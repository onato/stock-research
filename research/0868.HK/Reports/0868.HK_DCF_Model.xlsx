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<sst xmlns="http://schemas.openxmlformats.org/spreadsheetml/2006/main" count="357" uniqueCount="165">
  <si>
    <t xml:space="preserve">Ticker</t>
  </si>
  <si>
    <t xml:space="preserve">0868.HK</t>
  </si>
  <si>
    <t xml:space="preserve">Company</t>
  </si>
  <si>
    <t xml:space="preserve">Xinyi Glass Holdings Limited</t>
  </si>
  <si>
    <t xml:space="preserve">Valuation date</t>
  </si>
  <si>
    <t xml:space="preserve">2026-10-11</t>
  </si>
  <si>
    <t xml:space="preserve">Current price</t>
  </si>
  <si>
    <t xml:space="preserve">Price as of</t>
  </si>
  <si>
    <t xml:space="preserve">2026-10-09T08:08:06Z regular close (HKEX)</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</si>
  <si>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</si>
  <si>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</si>
  <si>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</si>
  <si>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</si>
  <si>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</si>
  <si>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</si>
  <si>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</si>
  <si>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</si>
  <si>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</si>
  <si>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</si>
  <si>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</si>
  <si>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</si>
  <si>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</si>
  <si>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2026-10-11T09:52:59Z</t>
  </si>
  <si>
    <t xml:space="preserve">Drivers file</t>
  </si>
  <si>
    <t xml:space="preserve">0868.HK_Drivers.json</t>
  </si>
  <si>
    <t xml:space="preserve">Convention</t>
  </si>
  <si>
    <t xml:space="preserve">Percents stored as percents; formulas divide by 100. Blue = input, green = link, black = formula.</t>
  </si>
  <si>
    <t xml:space="preserve">Methodology</t>
  </si>
  <si>
    <t xml:space="preserve">summary: A low-cost, vertically integrated glass producer valued through a full cycle rather than at the trough: the explicit 10-year build lets the EBITDA margin recover to a mid-cycle 26% before the terminal year is capitalised, and the terminal value is capped at 13x FCF so no re-rating beyond a mid-cycle multiple is assumed. Associate stakes are taken at market, not book, and the company's own net-debt definition (netting fixed deposits) is used. The result is a core business at roughly 6.5x trough EBITDA on the current price, which the model regards as cheap only if the float cycle turns.
key_risks_to_valuation: PRC property completions: the float and architectural segments (67% of revenue) are tied to construction; a further leg down pushes the model toward the bear path.; Float-glass ASP is set by national supply/demand, not by Xinyi; supply-side reform may not deliver the margin recovery the base assumes.; US import tariffs on aftermarket automobile glass, the highest-margin product line; mitigation depends on Malaysian and Indonesian ramp-up.; Input costs: soda ash and natural gas/fuel oil; the H1 FY2026 outlook flags higher Malaysian energy costs in H2 2026.; Xinyi Solar stake (RMB3.6bn at market, ~HK$0.95/share) moves with the solar-glass cycle; it is held at the 2026-10-09 price.; Terminal value is 50%+ of EV in every scenario; a 1pp change in WACC moves the base value by roughly 12-15%.; Currency: flows in RMB, quote in HKD; a CNY depreciation lowers the HKD headline one-for-one.</t>
  </si>
  <si>
    <t xml:space="preserve">Data sources</t>
  </si>
  <si>
    <t xml:space="preserve">price: Yahoo Finance chart API for 0868.HK at inputs.price_as_of; 52-week range 7.78-12.35. Associate prices 0968.HK and 3868.HK from the same endpoint, same close. CNYHKD=X from Yahoo at 2026-10-10.
financials: 0868.HK_Metrics.csv (core_metrics, FY2017-FY2025 annual plus H1 FY2024-FY2026); FY2025 annual report (segment note 5, associates note 14, cash flow statement, EPS note, share option note); H1 FY2026 interim report (balance sheet, bank borrowings and net-debt section, EPS note 9, capital expenditure and commitments).
qualitative: 0868.HK_Analysis.json (2026-10-11): business model, segment mix, moat, bull/bear cases, guidance and recent developments; chairman's statement and business outlook in the FY2025 annual report and H1 FY2026 interim report.</t>
  </si>
  <si>
    <t xml:space="preserve">Scenario narrative: bear</t>
  </si>
  <si>
    <t xml:space="preserve">The PRC property market keeps contracting, float ASP never recovers because closed capacity is matched by lost demand, Malaysian energy costs rise as flagged for H2 2026, and the US tariff keeps cutting into the highest-margin aftermarket auto-glass line faster than the ASEAN plants can replace it. Revenue falls 5% then 3% and the EBITDA margin is stuck at 21-22%. The balance sheet (net-debt gearing 4%) means this is an earnings story, not a solvency one, which is why the bear value stays positive. Per the Analysis JSON, auto glass competes against the larger, more specialised Fuyao, and the associate exposure has already shown how fast an adjacent bet can reverse (Xinyi Solar ~RMB2.3bn of FY2025 impairments, H1 FY2026 associate profit -87%): the bear holds the stakes at today's price with no recovery.</t>
  </si>
  <si>
    <t xml:space="preserve">Scenario narrative: base</t>
  </si>
  <si>
    <t xml:space="preserve">Xinyi Glass is being valued at the bottom of the float-glass cycle: PRC operating float capacity is at its lowest level this decade, the float segment earned a 15% gross margin in FY2025 against 40%+ in FY2021, and architectural glass is shrinking with property completions. The base case assumes the trough persists through FY2026 (revenue -3%), that supply-side reform and a stabilised property market let float ASP recover modestly from FY2027, and that automobile glass (54% gross margin, growing overseas and in PRC OEM) keeps lifting the mix. Group EBITDA margin ex-associates climbs from 21% to 26% by FY2031 and holds there; capex settles at ~7.5% of revenue, just above D&amp;A. The listed Xinyi Solar and Xinyi Energy stakes are added at today's depressed market prices (RMB3.9bn, 42% of carrying value), not at book. The Analysis JSON's PRC completions path (-18% in 2025, -24% in H1 2026, forecast -7-10% for 2026) is why year 1 is negative despite auto-glass growth; sell-side targets bracket the base (Citi HK$10.3 Neutral, Guoyuan HK$12.5 Hold).</t>
  </si>
  <si>
    <t xml:space="preserve">Scenario narrative: bull</t>
  </si>
  <si>
    <t xml:space="preserve">Property completions in the PRC find a floor in 2027 and the government's capacity restrictions turn into a genuine float-glass ASP recovery; the Indonesian and Malaysian lines take the automobile aftermarket back to growth in the US and win OEM share in the PRC; Low-E architectural demand grows on tightened energy standards. Revenue compounds 4-6% in FY2027-FY2030 and the EBITDA margin returns to 30%, the pre-boom FY2020 level, with the Xinyi Solar stake worth whatever the solar-glass cycle eventually delivers (not modelled: held at today's price). The Analysis JSON's bull axes are the same: survivor economics from capacity rationalisation, EV content growth in auto glass, a balance sheet that funds investment and rising dividends through the trough, and ASEAN diversification.</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</si>
  <si>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</si>
  <si>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</si>
  <si>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</si>
  <si>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</si>
  <si>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</si>
  <si>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</si>
  <si>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</si>
  <si>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</si>
  <si>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</si>
  <si>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</si>
  <si>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</si>
  <si>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</si>
  <si>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</si>
  <si>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</si>
  <si>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</si>
  <si>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</si>
  <si>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</si>
  <si>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</si>
  <si>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</si>
  <si>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</si>
  <si>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</si>
  <si>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</si>
  <si>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</si>
  <si>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</si>
  <si>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</si>
  <si>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</si>
  <si>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</si>
  <si>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NetIncomeIncludingNCI</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</si>
  <si>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</si>
  <si>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</si>
  <si>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</si>
  <si>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</si>
  <si>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</si>
  <si>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</si>
  <si>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</si>
  <si>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</si>
  <si>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</si>
  <si>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</si>
  <si>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</si>
  <si>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</si>
  <si>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</si>
  <si>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</si>
  <si>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</si>
  <si>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</si>
  <si>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</si>
  <si>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</si>
  <si>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</si>
  <si>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</si>
  <si>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</si>
  <si>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</si>
  <si>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</si>
  <si>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</si>
  <si>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</si>
  <si>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</si>
  <si>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</si>
  <si>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</si>
  <si>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</si>
  <si>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</si>
  <si>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</si>
  <si>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</si>
  <si>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</si>
  <si>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</si>
  <si>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</si>
  <si>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</si>
  <si>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</si>
  <si>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</si>
  <si>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</si>
  <si>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</si>
  <si>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</si>
  <si>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</si>
  <si>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</si>
  <si>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</si>
  <si>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</si>
  <si>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</si>
  <si>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0868.HK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</si>
  <si>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</si>
  <si>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</si>
  <si>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</si>
  <si>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</si>
  <si>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</si>
  <si>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</si>
  <si>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</si>
  <si>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</si>
  <si>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</si>
  <si>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</si>
  <si>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</si>
  <si>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</si>
  <si>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</si>
  <si>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</si>
  <si>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</si>
  <si>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</si>
  <si>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</si>
  <si>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</si>
  <si>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</si>
  <si>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</si>
  <si>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</si>
  <si>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</si>
  <si>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</si>
  <si>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</si>
  <si>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</si>
  <si>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</si>
  <si>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</si>
  <si>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</si>
  <si>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</si>
  <si>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</si>
  <si>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0868.HK owner-FCF component DCF: base case (millions, CNY)</t>
  </si>
  <si>
    <t xml:space="preserve">0868.HK owner-FCF component DCF: bull case (millions, CNY)</t>
  </si>
  <si>
    <t xml:space="preserve">0868.HK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</si>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</sst>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8.165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14727.542</v>
      </c>
      <c r="C2" s="0" t="n">
        <v>9283.428</v>
      </c>
      <c r="D2" s="0" t="n">
        <v>5444.114</v>
      </c>
      <c r="E2" s="0" t="n">
        <v>37</v>
      </c>
      <c r="F2" s="0" t="n">
        <v>4103.27</v>
      </c>
      <c r="G2" s="0" t="n">
        <v>27.9</v>
      </c>
      <c r="H2" s="0" t="n">
        <v>5023.828</v>
      </c>
      <c r="I2" s="0" t="n">
        <v>4013.764</v>
      </c>
      <c r="J2" s="0" t="n">
        <v>27.3</v>
      </c>
      <c r="K2" s="0" t="n">
        <v>1.0114</v>
      </c>
      <c r="L2" s="0" t="n">
        <v>3534.742</v>
      </c>
      <c r="M2" s="0" t="n">
        <v>3195.421</v>
      </c>
      <c r="N2" s="0" t="n">
        <v>339.321</v>
      </c>
      <c r="O2" s="0" t="n">
        <v>18306.192</v>
      </c>
      <c r="P2" s="0" t="n">
        <v>30305</v>
      </c>
      <c r="Q2" s="0" t="n">
        <v>11998.808</v>
      </c>
      <c r="R2" s="0" t="n">
        <v>8466.385</v>
      </c>
      <c r="S2" s="0" t="n">
        <v>3048.604</v>
      </c>
      <c r="T2" s="0" t="n">
        <v>3968.5</v>
      </c>
      <c r="U2" s="0" t="n">
        <v>28.441</v>
      </c>
      <c r="AA2" s="0" t="s">
        <v>18</v>
      </c>
      <c r="AB2" s="0" t="s">
        <v>16</v>
      </c>
      <c r="AC2" s="0" t="n">
        <v>4014.019</v>
      </c>
    </row>
    <row r="3" customFormat="false" ht="15" hidden="false" customHeight="false" outlineLevel="0" collapsed="false">
      <c r="A3" s="0" t="s">
        <v>66</v>
      </c>
      <c r="B3" s="0" t="n">
        <v>16014.49</v>
      </c>
      <c r="C3" s="0" t="n">
        <v>10139.138</v>
      </c>
      <c r="D3" s="0" t="n">
        <v>5875.352</v>
      </c>
      <c r="E3" s="0" t="n">
        <v>36.7</v>
      </c>
      <c r="F3" s="0" t="n">
        <v>4546.713</v>
      </c>
      <c r="G3" s="0" t="n">
        <v>28.4</v>
      </c>
      <c r="H3" s="0" t="n">
        <v>5550.609</v>
      </c>
      <c r="I3" s="0" t="n">
        <v>4236.806</v>
      </c>
      <c r="J3" s="0" t="n">
        <v>26.5</v>
      </c>
      <c r="K3" s="0" t="n">
        <v>1.0571</v>
      </c>
      <c r="L3" s="0" t="n">
        <v>4642.764</v>
      </c>
      <c r="M3" s="0" t="n">
        <v>2269.806</v>
      </c>
      <c r="N3" s="0" t="n">
        <v>2372.958</v>
      </c>
      <c r="O3" s="0" t="n">
        <v>18702.261</v>
      </c>
      <c r="P3" s="0" t="n">
        <v>32679.267</v>
      </c>
      <c r="Q3" s="0" t="n">
        <v>13977.006</v>
      </c>
      <c r="R3" s="0" t="n">
        <v>9969.374</v>
      </c>
      <c r="S3" s="0" t="n">
        <v>4598.506</v>
      </c>
      <c r="T3" s="0" t="n">
        <v>4008.1</v>
      </c>
      <c r="U3" s="0" t="n">
        <v>32.012</v>
      </c>
      <c r="AA3" s="0" t="s">
        <v>18</v>
      </c>
      <c r="AB3" s="0" t="s">
        <v>16</v>
      </c>
      <c r="AC3" s="0" t="n">
        <v>4247.576</v>
      </c>
    </row>
    <row r="4" customFormat="false" ht="15" hidden="false" customHeight="false" outlineLevel="0" collapsed="false">
      <c r="A4" s="0" t="s">
        <v>67</v>
      </c>
      <c r="B4" s="0" t="n">
        <v>16258.489</v>
      </c>
      <c r="C4" s="0" t="n">
        <v>10375.212</v>
      </c>
      <c r="D4" s="0" t="n">
        <v>5883.277</v>
      </c>
      <c r="E4" s="0" t="n">
        <v>36.2</v>
      </c>
      <c r="F4" s="0" t="n">
        <v>4558.134</v>
      </c>
      <c r="G4" s="0" t="n">
        <v>28</v>
      </c>
      <c r="H4" s="0" t="n">
        <v>5632.365</v>
      </c>
      <c r="I4" s="0" t="n">
        <v>4477.792</v>
      </c>
      <c r="J4" s="0" t="n">
        <v>27.5</v>
      </c>
      <c r="K4" s="0" t="n">
        <v>1.1177</v>
      </c>
      <c r="L4" s="0" t="n">
        <v>3779.121</v>
      </c>
      <c r="M4" s="0" t="n">
        <v>2912.131</v>
      </c>
      <c r="N4" s="0" t="n">
        <v>866.99</v>
      </c>
      <c r="O4" s="0" t="n">
        <v>20927.426</v>
      </c>
      <c r="P4" s="0" t="n">
        <v>36254.298</v>
      </c>
      <c r="Q4" s="0" t="n">
        <v>15326.872</v>
      </c>
      <c r="R4" s="0" t="n">
        <v>10816.605</v>
      </c>
      <c r="S4" s="0" t="n">
        <v>5097.924</v>
      </c>
      <c r="T4" s="0" t="n">
        <v>4006.41</v>
      </c>
      <c r="U4" s="0" t="n">
        <v>41.549</v>
      </c>
      <c r="AA4" s="0" t="s">
        <v>18</v>
      </c>
      <c r="AB4" s="0" t="s">
        <v>16</v>
      </c>
      <c r="AC4" s="0" t="n">
        <v>4482.679</v>
      </c>
    </row>
    <row r="5" customFormat="false" ht="15" hidden="false" customHeight="false" outlineLevel="0" collapsed="false">
      <c r="A5" s="0" t="s">
        <v>68</v>
      </c>
      <c r="B5" s="0" t="n">
        <v>18615.879</v>
      </c>
      <c r="C5" s="0" t="n">
        <v>10844.444</v>
      </c>
      <c r="D5" s="0" t="n">
        <v>7771.435</v>
      </c>
      <c r="E5" s="0" t="n">
        <v>41.7</v>
      </c>
      <c r="F5" s="0" t="n">
        <v>6360.996</v>
      </c>
      <c r="G5" s="0" t="n">
        <v>34.2</v>
      </c>
      <c r="H5" s="0" t="n">
        <v>7530.593</v>
      </c>
      <c r="I5" s="0" t="n">
        <v>6422.213</v>
      </c>
      <c r="J5" s="0" t="n">
        <v>34.5</v>
      </c>
      <c r="K5" s="0" t="n">
        <v>1.5949</v>
      </c>
      <c r="L5" s="0" t="n">
        <v>4504.329</v>
      </c>
      <c r="M5" s="0" t="n">
        <v>3628.962</v>
      </c>
      <c r="N5" s="0" t="n">
        <v>875.367</v>
      </c>
      <c r="O5" s="0" t="n">
        <v>27973.349</v>
      </c>
      <c r="P5" s="0" t="n">
        <v>45071.089</v>
      </c>
      <c r="Q5" s="0" t="n">
        <v>17097.74</v>
      </c>
      <c r="R5" s="0" t="n">
        <v>11657.266</v>
      </c>
      <c r="S5" s="0" t="n">
        <v>5244.554</v>
      </c>
      <c r="T5" s="0" t="n">
        <v>4026.6</v>
      </c>
      <c r="U5" s="0" t="n">
        <v>44.514</v>
      </c>
      <c r="AA5" s="0" t="s">
        <v>18</v>
      </c>
      <c r="AB5" s="0" t="s">
        <v>16</v>
      </c>
      <c r="AC5" s="0" t="n">
        <v>6431.259</v>
      </c>
    </row>
    <row r="6" customFormat="false" ht="15" hidden="false" customHeight="false" outlineLevel="0" collapsed="false">
      <c r="A6" s="0" t="s">
        <v>69</v>
      </c>
      <c r="B6" s="0" t="n">
        <v>30459.12</v>
      </c>
      <c r="C6" s="0" t="n">
        <v>14681.992</v>
      </c>
      <c r="D6" s="0" t="n">
        <v>15777.128</v>
      </c>
      <c r="E6" s="0" t="n">
        <v>51.8</v>
      </c>
      <c r="F6" s="0" t="n">
        <v>12472.017</v>
      </c>
      <c r="G6" s="0" t="n">
        <v>40.9</v>
      </c>
      <c r="H6" s="0" t="n">
        <v>14004.767</v>
      </c>
      <c r="I6" s="0" t="n">
        <v>11555.887</v>
      </c>
      <c r="J6" s="0" t="n">
        <v>37.9</v>
      </c>
      <c r="K6" s="0" t="n">
        <v>2.8697</v>
      </c>
      <c r="L6" s="0" t="n">
        <v>10947.124</v>
      </c>
      <c r="M6" s="0" t="n">
        <v>3005.079</v>
      </c>
      <c r="N6" s="0" t="n">
        <v>7942.045</v>
      </c>
      <c r="O6" s="0" t="n">
        <v>34706.524</v>
      </c>
      <c r="P6" s="0" t="n">
        <v>56498.665</v>
      </c>
      <c r="Q6" s="0" t="n">
        <v>21792.141</v>
      </c>
      <c r="R6" s="0" t="n">
        <v>15545.113</v>
      </c>
      <c r="S6" s="0" t="n">
        <v>9220.384</v>
      </c>
      <c r="T6" s="0" t="n">
        <v>4026.81</v>
      </c>
      <c r="U6" s="0" t="n">
        <v>64.745</v>
      </c>
      <c r="AA6" s="0" t="s">
        <v>18</v>
      </c>
      <c r="AB6" s="0" t="s">
        <v>16</v>
      </c>
      <c r="AC6" s="0" t="n">
        <v>11570.68</v>
      </c>
    </row>
    <row r="7" customFormat="false" ht="15" hidden="false" customHeight="false" outlineLevel="0" collapsed="false">
      <c r="A7" s="0" t="s">
        <v>70</v>
      </c>
      <c r="B7" s="0" t="n">
        <v>25745.99</v>
      </c>
      <c r="C7" s="0" t="n">
        <v>17059.615</v>
      </c>
      <c r="D7" s="0" t="n">
        <v>8686.375</v>
      </c>
      <c r="E7" s="0" t="n">
        <v>33.7</v>
      </c>
      <c r="F7" s="0" t="n">
        <v>5337.866</v>
      </c>
      <c r="G7" s="0" t="n">
        <v>20.7</v>
      </c>
      <c r="H7" s="0" t="n">
        <v>6832.987</v>
      </c>
      <c r="I7" s="0" t="n">
        <v>5127.154</v>
      </c>
      <c r="J7" s="0" t="n">
        <v>19.9</v>
      </c>
      <c r="K7" s="0" t="n">
        <v>1.2662</v>
      </c>
      <c r="L7" s="0" t="n">
        <v>6737.304</v>
      </c>
      <c r="M7" s="0" t="n">
        <v>2665.469</v>
      </c>
      <c r="N7" s="0" t="n">
        <v>4071.835</v>
      </c>
      <c r="O7" s="0" t="n">
        <v>32087.623</v>
      </c>
      <c r="P7" s="0" t="n">
        <v>52231.789</v>
      </c>
      <c r="Q7" s="0" t="n">
        <v>20144.166</v>
      </c>
      <c r="R7" s="0" t="n">
        <v>13536.758</v>
      </c>
      <c r="S7" s="0" t="n">
        <v>3180.155</v>
      </c>
      <c r="T7" s="0" t="n">
        <v>4049.26</v>
      </c>
      <c r="U7" s="0" t="n">
        <v>84.481</v>
      </c>
      <c r="AA7" s="0" t="s">
        <v>18</v>
      </c>
      <c r="AB7" s="0" t="s">
        <v>16</v>
      </c>
      <c r="AC7" s="0" t="n">
        <v>5144.204</v>
      </c>
    </row>
    <row r="8" customFormat="false" ht="15" hidden="false" customHeight="false" outlineLevel="0" collapsed="false">
      <c r="A8" s="0" t="s">
        <v>71</v>
      </c>
      <c r="B8" s="0" t="n">
        <v>24293.673</v>
      </c>
      <c r="C8" s="0" t="n">
        <v>16476.198</v>
      </c>
      <c r="D8" s="0" t="n">
        <v>7817.475</v>
      </c>
      <c r="E8" s="0" t="n">
        <v>32.2</v>
      </c>
      <c r="F8" s="0" t="n">
        <v>5141.619</v>
      </c>
      <c r="G8" s="0" t="n">
        <v>21.2</v>
      </c>
      <c r="H8" s="0" t="n">
        <v>6511.369</v>
      </c>
      <c r="I8" s="0" t="n">
        <v>4883.103</v>
      </c>
      <c r="J8" s="0" t="n">
        <v>20.1</v>
      </c>
      <c r="K8" s="0" t="n">
        <v>1.176</v>
      </c>
      <c r="L8" s="0" t="n">
        <v>4476.413</v>
      </c>
      <c r="M8" s="0" t="n">
        <v>3093.011</v>
      </c>
      <c r="N8" s="0" t="n">
        <v>1383.402</v>
      </c>
      <c r="O8" s="0" t="n">
        <v>32694.652</v>
      </c>
      <c r="P8" s="0" t="n">
        <v>46316.143</v>
      </c>
      <c r="Q8" s="0" t="n">
        <v>13621.491</v>
      </c>
      <c r="R8" s="0" t="n">
        <v>7466.857</v>
      </c>
      <c r="S8" s="0" t="n">
        <v>1814.614</v>
      </c>
      <c r="T8" s="0" t="n">
        <v>4152.12</v>
      </c>
      <c r="U8" s="0" t="n">
        <v>92.962</v>
      </c>
      <c r="AA8" s="0" t="s">
        <v>18</v>
      </c>
      <c r="AB8" s="0" t="s">
        <v>14</v>
      </c>
      <c r="AC8" s="0" t="n">
        <v>4895.483</v>
      </c>
    </row>
    <row r="9" customFormat="false" ht="15" hidden="false" customHeight="false" outlineLevel="0" collapsed="false">
      <c r="A9" s="0" t="s">
        <v>72</v>
      </c>
      <c r="B9" s="0" t="n">
        <v>22323.569</v>
      </c>
      <c r="C9" s="0" t="n">
        <v>15091.812</v>
      </c>
      <c r="D9" s="0" t="n">
        <v>7231.757</v>
      </c>
      <c r="E9" s="0" t="n">
        <v>32.4</v>
      </c>
      <c r="F9" s="0" t="n">
        <v>4185.5</v>
      </c>
      <c r="G9" s="0" t="n">
        <v>18.7</v>
      </c>
      <c r="H9" s="0" t="n">
        <v>5635.512</v>
      </c>
      <c r="I9" s="0" t="n">
        <v>3369.173</v>
      </c>
      <c r="J9" s="0" t="n">
        <v>15.1</v>
      </c>
      <c r="K9" s="0" t="n">
        <v>0.7923</v>
      </c>
      <c r="L9" s="0" t="n">
        <v>5589.701</v>
      </c>
      <c r="M9" s="0" t="n">
        <v>5073.035</v>
      </c>
      <c r="N9" s="0" t="n">
        <v>516.666</v>
      </c>
      <c r="O9" s="0" t="n">
        <v>34377.141</v>
      </c>
      <c r="P9" s="0" t="n">
        <v>48078.296</v>
      </c>
      <c r="Q9" s="0" t="n">
        <v>13701.155</v>
      </c>
      <c r="R9" s="0" t="n">
        <v>7322.167</v>
      </c>
      <c r="S9" s="0" t="n">
        <v>1456.115</v>
      </c>
      <c r="T9" s="0" t="n">
        <v>4252.14</v>
      </c>
      <c r="U9" s="0" t="n">
        <v>81.129</v>
      </c>
      <c r="AA9" s="0" t="s">
        <v>18</v>
      </c>
      <c r="AB9" s="0" t="s">
        <v>14</v>
      </c>
      <c r="AC9" s="0" t="n">
        <v>3371.91</v>
      </c>
    </row>
    <row r="10" customFormat="false" ht="15" hidden="false" customHeight="false" outlineLevel="0" collapsed="false">
      <c r="A10" s="0" t="s">
        <v>73</v>
      </c>
      <c r="B10" s="0" t="n">
        <v>20829.014</v>
      </c>
      <c r="C10" s="0" t="n">
        <v>14347.222</v>
      </c>
      <c r="D10" s="0" t="n">
        <v>6481.792</v>
      </c>
      <c r="E10" s="0" t="n">
        <v>31.1</v>
      </c>
      <c r="F10" s="0" t="n">
        <v>2851.748</v>
      </c>
      <c r="G10" s="0" t="n">
        <v>13.7</v>
      </c>
      <c r="H10" s="0" t="n">
        <v>4368.417</v>
      </c>
      <c r="I10" s="0" t="n">
        <v>2729.004</v>
      </c>
      <c r="J10" s="0" t="n">
        <v>13.1</v>
      </c>
      <c r="K10" s="0" t="n">
        <v>0.6231</v>
      </c>
      <c r="L10" s="0" t="n">
        <v>5321.5</v>
      </c>
      <c r="M10" s="0" t="n">
        <v>1430.282</v>
      </c>
      <c r="N10" s="0" t="n">
        <v>3891.218</v>
      </c>
      <c r="O10" s="0" t="n">
        <v>36857.984</v>
      </c>
      <c r="P10" s="0" t="n">
        <v>47623.628</v>
      </c>
      <c r="Q10" s="0" t="n">
        <v>10765.644</v>
      </c>
      <c r="R10" s="0" t="n">
        <v>4807.179</v>
      </c>
      <c r="S10" s="0" t="n">
        <v>2626.042</v>
      </c>
      <c r="T10" s="0" t="n">
        <v>4379.59</v>
      </c>
      <c r="U10" s="0" t="n">
        <v>79.944</v>
      </c>
      <c r="AA10" s="0" t="s">
        <v>18</v>
      </c>
      <c r="AB10" s="0" t="s">
        <v>14</v>
      </c>
      <c r="AC10" s="0" t="n">
        <v>2737.434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8.165</v>
      </c>
    </row>
    <row r="3" customFormat="false" ht="15" hidden="false" customHeight="false" outlineLevel="0" collapsed="false">
      <c r="A3" s="0" t="s">
        <v>77</v>
      </c>
      <c r="B3" s="3" t="n">
        <v>4431.8</v>
      </c>
    </row>
    <row r="4" customFormat="false" ht="15" hidden="false" customHeight="false" outlineLevel="0" collapsed="false">
      <c r="A4" s="0" t="s">
        <v>78</v>
      </c>
      <c r="B4" s="3" t="n">
        <v>1480.4</v>
      </c>
    </row>
    <row r="5" customFormat="false" ht="15" hidden="false" customHeight="false" outlineLevel="0" collapsed="false">
      <c r="A5" s="0" t="s">
        <v>79</v>
      </c>
      <c r="B5" s="3" t="n">
        <v>4045.8</v>
      </c>
    </row>
    <row r="6" customFormat="false" ht="15" hidden="false" customHeight="false" outlineLevel="0" collapsed="false">
      <c r="A6" s="0" t="s">
        <v>80</v>
      </c>
      <c r="B6" s="3" t="n">
        <v>15</v>
      </c>
    </row>
    <row r="7" customFormat="false" ht="15" hidden="false" customHeight="false" outlineLevel="0" collapsed="false">
      <c r="A7" s="0" t="s">
        <v>81</v>
      </c>
      <c r="B7" s="3" t="n">
        <v>20829.014</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1.1721</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-5</v>
      </c>
      <c r="D13" s="3" t="n">
        <v>-3</v>
      </c>
      <c r="E13" s="3" t="n">
        <v>0</v>
      </c>
      <c r="F13" s="3" t="n">
        <v>1</v>
      </c>
      <c r="G13" s="3" t="n">
        <v>1.5</v>
      </c>
      <c r="H13" s="3" t="n">
        <v>2</v>
      </c>
      <c r="I13" s="3" t="n">
        <v>2</v>
      </c>
      <c r="J13" s="3" t="n">
        <v>2</v>
      </c>
      <c r="K13" s="3" t="n">
        <v>2</v>
      </c>
      <c r="L13" s="3" t="n">
        <v>2</v>
      </c>
    </row>
    <row r="14" customFormat="false" ht="15" hidden="false" customHeight="false" outlineLevel="0" collapsed="false">
      <c r="A14" s="0" t="s">
        <v>98</v>
      </c>
      <c r="C14" s="3" t="n">
        <v>21</v>
      </c>
      <c r="D14" s="3" t="n">
        <v>20.5</v>
      </c>
      <c r="E14" s="3" t="n">
        <v>20.5</v>
      </c>
      <c r="F14" s="3" t="n">
        <v>21</v>
      </c>
      <c r="G14" s="3" t="n">
        <v>21.5</v>
      </c>
      <c r="H14" s="3" t="n">
        <v>22</v>
      </c>
      <c r="I14" s="3" t="n">
        <v>22</v>
      </c>
      <c r="J14" s="3" t="n">
        <v>22</v>
      </c>
      <c r="K14" s="3" t="n">
        <v>22</v>
      </c>
      <c r="L14" s="3" t="n">
        <v>22</v>
      </c>
    </row>
    <row r="15" customFormat="false" ht="15" hidden="false" customHeight="false" outlineLevel="0" collapsed="false">
      <c r="A15" s="0" t="s">
        <v>99</v>
      </c>
      <c r="C15" s="3" t="n">
        <v>0.4</v>
      </c>
      <c r="D15" s="3" t="n">
        <v>0.4</v>
      </c>
      <c r="E15" s="3" t="n">
        <v>0.4</v>
      </c>
      <c r="F15" s="3" t="n">
        <v>0.4</v>
      </c>
      <c r="G15" s="3" t="n">
        <v>0.4</v>
      </c>
      <c r="H15" s="3" t="n">
        <v>0.4</v>
      </c>
      <c r="I15" s="3" t="n">
        <v>0.4</v>
      </c>
      <c r="J15" s="3" t="n">
        <v>0.4</v>
      </c>
      <c r="K15" s="3" t="n">
        <v>0.4</v>
      </c>
      <c r="L15" s="3" t="n">
        <v>0.4</v>
      </c>
    </row>
    <row r="16" customFormat="false" ht="15" hidden="false" customHeight="false" outlineLevel="0" collapsed="false">
      <c r="A16" s="0" t="s">
        <v>100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101</v>
      </c>
      <c r="C17" s="3" t="n">
        <v>8</v>
      </c>
      <c r="D17" s="3" t="n">
        <v>8</v>
      </c>
      <c r="E17" s="3" t="n">
        <v>7.8</v>
      </c>
      <c r="F17" s="3" t="n">
        <v>7.6</v>
      </c>
      <c r="G17" s="3" t="n">
        <v>7.5</v>
      </c>
      <c r="H17" s="3" t="n">
        <v>7.5</v>
      </c>
      <c r="I17" s="3" t="n">
        <v>7.5</v>
      </c>
      <c r="J17" s="3" t="n">
        <v>7.5</v>
      </c>
      <c r="K17" s="3" t="n">
        <v>7.5</v>
      </c>
      <c r="L17" s="3" t="n">
        <v>7.5</v>
      </c>
    </row>
    <row r="18" customFormat="false" ht="15" hidden="false" customHeight="false" outlineLevel="0" collapsed="false">
      <c r="A18" s="0" t="s">
        <v>102</v>
      </c>
      <c r="C18" s="3" t="n">
        <v>8</v>
      </c>
      <c r="D18" s="3" t="n">
        <v>7.5</v>
      </c>
      <c r="E18" s="3" t="n">
        <v>7</v>
      </c>
      <c r="F18" s="3" t="n">
        <v>7</v>
      </c>
      <c r="G18" s="3" t="n">
        <v>7</v>
      </c>
      <c r="H18" s="3" t="n">
        <v>7</v>
      </c>
      <c r="I18" s="3" t="n">
        <v>7</v>
      </c>
      <c r="J18" s="3" t="n">
        <v>7</v>
      </c>
      <c r="K18" s="3" t="n">
        <v>7</v>
      </c>
      <c r="L18" s="3" t="n">
        <v>7</v>
      </c>
    </row>
    <row r="19" customFormat="false" ht="15" hidden="false" customHeight="false" outlineLevel="0" collapsed="false">
      <c r="A19" s="0" t="s">
        <v>103</v>
      </c>
      <c r="C19" s="3" t="n">
        <v>18</v>
      </c>
      <c r="D19" s="3" t="n">
        <v>19</v>
      </c>
      <c r="E19" s="3" t="n">
        <v>20</v>
      </c>
      <c r="F19" s="3" t="n">
        <v>20</v>
      </c>
      <c r="G19" s="3" t="n">
        <v>20</v>
      </c>
      <c r="H19" s="3" t="n">
        <v>20</v>
      </c>
      <c r="I19" s="3" t="n">
        <v>20</v>
      </c>
      <c r="J19" s="3" t="n">
        <v>20</v>
      </c>
      <c r="K19" s="3" t="n">
        <v>20</v>
      </c>
      <c r="L19" s="3" t="n">
        <v>20</v>
      </c>
    </row>
    <row r="20" customFormat="false" ht="15" hidden="false" customHeight="false" outlineLevel="0" collapsed="false">
      <c r="A20" s="0" t="s">
        <v>104</v>
      </c>
      <c r="B20" s="3" t="n">
        <v>9</v>
      </c>
    </row>
    <row r="21" customFormat="false" ht="15" hidden="false" customHeight="false" outlineLevel="0" collapsed="false">
      <c r="A21" s="0" t="s">
        <v>105</v>
      </c>
      <c r="B21" s="3" t="n">
        <v>2</v>
      </c>
    </row>
    <row r="22" customFormat="false" ht="15" hidden="false" customHeight="false" outlineLevel="0" collapsed="false">
      <c r="A22" s="0" t="s">
        <v>106</v>
      </c>
      <c r="B22" s="3" t="n">
        <v>12</v>
      </c>
    </row>
    <row r="23" customFormat="false" ht="15" hidden="false" customHeight="false" outlineLevel="0" collapsed="false">
      <c r="A23" s="0" t="s">
        <v>107</v>
      </c>
      <c r="B23" s="3" t="n">
        <v>-10</v>
      </c>
    </row>
    <row r="24" customFormat="false" ht="15" hidden="false" customHeight="false" outlineLevel="0" collapsed="false">
      <c r="A24" s="0" t="s">
        <v>108</v>
      </c>
      <c r="B24" s="3" t="n">
        <v>0.25</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-3</v>
      </c>
      <c r="D27" s="3" t="n">
        <v>2</v>
      </c>
      <c r="E27" s="3" t="n">
        <v>4</v>
      </c>
      <c r="F27" s="3" t="n">
        <v>4</v>
      </c>
      <c r="G27" s="3" t="n">
        <v>3.5</v>
      </c>
      <c r="H27" s="3" t="n">
        <v>3</v>
      </c>
      <c r="I27" s="3" t="n">
        <v>3</v>
      </c>
      <c r="J27" s="3" t="n">
        <v>2.5</v>
      </c>
      <c r="K27" s="3" t="n">
        <v>2.5</v>
      </c>
      <c r="L27" s="3" t="n">
        <v>2.5</v>
      </c>
    </row>
    <row r="28" customFormat="false" ht="15" hidden="false" customHeight="false" outlineLevel="0" collapsed="false">
      <c r="A28" s="0" t="s">
        <v>98</v>
      </c>
      <c r="C28" s="3" t="n">
        <v>22.5</v>
      </c>
      <c r="D28" s="3" t="n">
        <v>23</v>
      </c>
      <c r="E28" s="3" t="n">
        <v>24</v>
      </c>
      <c r="F28" s="3" t="n">
        <v>25</v>
      </c>
      <c r="G28" s="3" t="n">
        <v>25.5</v>
      </c>
      <c r="H28" s="3" t="n">
        <v>26</v>
      </c>
      <c r="I28" s="3" t="n">
        <v>26</v>
      </c>
      <c r="J28" s="3" t="n">
        <v>26</v>
      </c>
      <c r="K28" s="3" t="n">
        <v>26</v>
      </c>
      <c r="L28" s="3" t="n">
        <v>26</v>
      </c>
    </row>
    <row r="29" customFormat="false" ht="15" hidden="false" customHeight="false" outlineLevel="0" collapsed="false">
      <c r="A29" s="0" t="s">
        <v>99</v>
      </c>
      <c r="C29" s="3" t="n">
        <v>0.4</v>
      </c>
      <c r="D29" s="3" t="n">
        <v>0.4</v>
      </c>
      <c r="E29" s="3" t="n">
        <v>0.4</v>
      </c>
      <c r="F29" s="3" t="n">
        <v>0.4</v>
      </c>
      <c r="G29" s="3" t="n">
        <v>0.4</v>
      </c>
      <c r="H29" s="3" t="n">
        <v>0.4</v>
      </c>
      <c r="I29" s="3" t="n">
        <v>0.4</v>
      </c>
      <c r="J29" s="3" t="n">
        <v>0.4</v>
      </c>
      <c r="K29" s="3" t="n">
        <v>0.4</v>
      </c>
      <c r="L29" s="3" t="n">
        <v>0.4</v>
      </c>
    </row>
    <row r="30" customFormat="false" ht="15" hidden="false" customHeight="false" outlineLevel="0" collapsed="false">
      <c r="A30" s="0" t="s">
        <v>100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101</v>
      </c>
      <c r="C31" s="3" t="n">
        <v>7.8</v>
      </c>
      <c r="D31" s="3" t="n">
        <v>7.6</v>
      </c>
      <c r="E31" s="3" t="n">
        <v>7.4</v>
      </c>
      <c r="F31" s="3" t="n">
        <v>7.2</v>
      </c>
      <c r="G31" s="3" t="n">
        <v>7</v>
      </c>
      <c r="H31" s="3" t="n">
        <v>7</v>
      </c>
      <c r="I31" s="3" t="n">
        <v>7</v>
      </c>
      <c r="J31" s="3" t="n">
        <v>7</v>
      </c>
      <c r="K31" s="3" t="n">
        <v>7</v>
      </c>
      <c r="L31" s="3" t="n">
        <v>7</v>
      </c>
    </row>
    <row r="32" customFormat="false" ht="15" hidden="false" customHeight="false" outlineLevel="0" collapsed="false">
      <c r="A32" s="0" t="s">
        <v>102</v>
      </c>
      <c r="C32" s="3" t="n">
        <v>8</v>
      </c>
      <c r="D32" s="3" t="n">
        <v>8</v>
      </c>
      <c r="E32" s="3" t="n">
        <v>7.5</v>
      </c>
      <c r="F32" s="3" t="n">
        <v>7.5</v>
      </c>
      <c r="G32" s="3" t="n">
        <v>7.5</v>
      </c>
      <c r="H32" s="3" t="n">
        <v>7.5</v>
      </c>
      <c r="I32" s="3" t="n">
        <v>7.5</v>
      </c>
      <c r="J32" s="3" t="n">
        <v>7.5</v>
      </c>
      <c r="K32" s="3" t="n">
        <v>7.5</v>
      </c>
      <c r="L32" s="3" t="n">
        <v>7.5</v>
      </c>
    </row>
    <row r="33" customFormat="false" ht="15" hidden="false" customHeight="false" outlineLevel="0" collapsed="false">
      <c r="A33" s="0" t="s">
        <v>103</v>
      </c>
      <c r="C33" s="3" t="n">
        <v>18</v>
      </c>
      <c r="D33" s="3" t="n">
        <v>19</v>
      </c>
      <c r="E33" s="3" t="n">
        <v>20</v>
      </c>
      <c r="F33" s="3" t="n">
        <v>20</v>
      </c>
      <c r="G33" s="3" t="n">
        <v>20</v>
      </c>
      <c r="H33" s="3" t="n">
        <v>20</v>
      </c>
      <c r="I33" s="3" t="n">
        <v>20</v>
      </c>
      <c r="J33" s="3" t="n">
        <v>20</v>
      </c>
      <c r="K33" s="3" t="n">
        <v>20</v>
      </c>
      <c r="L33" s="3" t="n">
        <v>20</v>
      </c>
    </row>
    <row r="34" customFormat="false" ht="15" hidden="false" customHeight="false" outlineLevel="0" collapsed="false">
      <c r="A34" s="0" t="s">
        <v>104</v>
      </c>
      <c r="B34" s="3" t="n">
        <v>9</v>
      </c>
    </row>
    <row r="35" customFormat="false" ht="15" hidden="false" customHeight="false" outlineLevel="0" collapsed="false">
      <c r="A35" s="0" t="s">
        <v>105</v>
      </c>
      <c r="B35" s="3" t="n">
        <v>2.5</v>
      </c>
    </row>
    <row r="36" customFormat="false" ht="15" hidden="false" customHeight="false" outlineLevel="0" collapsed="false">
      <c r="A36" s="0" t="s">
        <v>106</v>
      </c>
      <c r="B36" s="3" t="n">
        <v>13</v>
      </c>
    </row>
    <row r="37" customFormat="false" ht="15" hidden="false" customHeight="false" outlineLevel="0" collapsed="false">
      <c r="A37" s="0" t="s">
        <v>107</v>
      </c>
      <c r="B37" s="3" t="n">
        <v>-10</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-2</v>
      </c>
      <c r="D41" s="3" t="n">
        <v>4</v>
      </c>
      <c r="E41" s="3" t="n">
        <v>6</v>
      </c>
      <c r="F41" s="3" t="n">
        <v>6</v>
      </c>
      <c r="G41" s="3" t="n">
        <v>5</v>
      </c>
      <c r="H41" s="3" t="n">
        <v>4</v>
      </c>
      <c r="I41" s="3" t="n">
        <v>3.5</v>
      </c>
      <c r="J41" s="3" t="n">
        <v>3</v>
      </c>
      <c r="K41" s="3" t="n">
        <v>3</v>
      </c>
      <c r="L41" s="3" t="n">
        <v>3</v>
      </c>
    </row>
    <row r="42" customFormat="false" ht="15" hidden="false" customHeight="false" outlineLevel="0" collapsed="false">
      <c r="A42" s="0" t="s">
        <v>98</v>
      </c>
      <c r="C42" s="3" t="n">
        <v>23</v>
      </c>
      <c r="D42" s="3" t="n">
        <v>24.5</v>
      </c>
      <c r="E42" s="3" t="n">
        <v>26.5</v>
      </c>
      <c r="F42" s="3" t="n">
        <v>28</v>
      </c>
      <c r="G42" s="3" t="n">
        <v>29</v>
      </c>
      <c r="H42" s="3" t="n">
        <v>29.5</v>
      </c>
      <c r="I42" s="3" t="n">
        <v>30</v>
      </c>
      <c r="J42" s="3" t="n">
        <v>30</v>
      </c>
      <c r="K42" s="3" t="n">
        <v>30</v>
      </c>
      <c r="L42" s="3" t="n">
        <v>30</v>
      </c>
    </row>
    <row r="43" customFormat="false" ht="15" hidden="false" customHeight="false" outlineLevel="0" collapsed="false">
      <c r="A43" s="0" t="s">
        <v>99</v>
      </c>
      <c r="C43" s="3" t="n">
        <v>0.4</v>
      </c>
      <c r="D43" s="3" t="n">
        <v>0.4</v>
      </c>
      <c r="E43" s="3" t="n">
        <v>0.4</v>
      </c>
      <c r="F43" s="3" t="n">
        <v>0.4</v>
      </c>
      <c r="G43" s="3" t="n">
        <v>0.4</v>
      </c>
      <c r="H43" s="3" t="n">
        <v>0.4</v>
      </c>
      <c r="I43" s="3" t="n">
        <v>0.4</v>
      </c>
      <c r="J43" s="3" t="n">
        <v>0.4</v>
      </c>
      <c r="K43" s="3" t="n">
        <v>0.4</v>
      </c>
      <c r="L43" s="3" t="n">
        <v>0.4</v>
      </c>
    </row>
    <row r="44" customFormat="false" ht="15" hidden="false" customHeight="false" outlineLevel="0" collapsed="false">
      <c r="A44" s="0" t="s">
        <v>100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101</v>
      </c>
      <c r="C45" s="3" t="n">
        <v>7.8</v>
      </c>
      <c r="D45" s="3" t="n">
        <v>7.5</v>
      </c>
      <c r="E45" s="3" t="n">
        <v>7.2</v>
      </c>
      <c r="F45" s="3" t="n">
        <v>7</v>
      </c>
      <c r="G45" s="3" t="n">
        <v>6.8</v>
      </c>
      <c r="H45" s="3" t="n">
        <v>6.8</v>
      </c>
      <c r="I45" s="3" t="n">
        <v>6.8</v>
      </c>
      <c r="J45" s="3" t="n">
        <v>6.8</v>
      </c>
      <c r="K45" s="3" t="n">
        <v>6.8</v>
      </c>
      <c r="L45" s="3" t="n">
        <v>6.8</v>
      </c>
    </row>
    <row r="46" customFormat="false" ht="15" hidden="false" customHeight="false" outlineLevel="0" collapsed="false">
      <c r="A46" s="0" t="s">
        <v>102</v>
      </c>
      <c r="C46" s="3" t="n">
        <v>8.5</v>
      </c>
      <c r="D46" s="3" t="n">
        <v>8.5</v>
      </c>
      <c r="E46" s="3" t="n">
        <v>8</v>
      </c>
      <c r="F46" s="3" t="n">
        <v>8</v>
      </c>
      <c r="G46" s="3" t="n">
        <v>8</v>
      </c>
      <c r="H46" s="3" t="n">
        <v>7.5</v>
      </c>
      <c r="I46" s="3" t="n">
        <v>7.5</v>
      </c>
      <c r="J46" s="3" t="n">
        <v>7.5</v>
      </c>
      <c r="K46" s="3" t="n">
        <v>7.5</v>
      </c>
      <c r="L46" s="3" t="n">
        <v>7.5</v>
      </c>
    </row>
    <row r="47" customFormat="false" ht="15" hidden="false" customHeight="false" outlineLevel="0" collapsed="false">
      <c r="A47" s="0" t="s">
        <v>103</v>
      </c>
      <c r="C47" s="3" t="n">
        <v>18</v>
      </c>
      <c r="D47" s="3" t="n">
        <v>19</v>
      </c>
      <c r="E47" s="3" t="n">
        <v>20</v>
      </c>
      <c r="F47" s="3" t="n">
        <v>20</v>
      </c>
      <c r="G47" s="3" t="n">
        <v>20</v>
      </c>
      <c r="H47" s="3" t="n">
        <v>20</v>
      </c>
      <c r="I47" s="3" t="n">
        <v>20</v>
      </c>
      <c r="J47" s="3" t="n">
        <v>20</v>
      </c>
      <c r="K47" s="3" t="n">
        <v>20</v>
      </c>
      <c r="L47" s="3" t="n">
        <v>20</v>
      </c>
    </row>
    <row r="48" customFormat="false" ht="15" hidden="false" customHeight="false" outlineLevel="0" collapsed="false">
      <c r="A48" s="0" t="s">
        <v>104</v>
      </c>
      <c r="B48" s="3" t="n">
        <v>9</v>
      </c>
    </row>
    <row r="49" customFormat="false" ht="15" hidden="false" customHeight="false" outlineLevel="0" collapsed="false">
      <c r="A49" s="0" t="s">
        <v>105</v>
      </c>
      <c r="B49" s="3" t="n">
        <v>3</v>
      </c>
    </row>
    <row r="50" customFormat="false" ht="15" hidden="false" customHeight="false" outlineLevel="0" collapsed="false">
      <c r="A50" s="0" t="s">
        <v>106</v>
      </c>
      <c r="B50" s="3" t="n">
        <v>13</v>
      </c>
    </row>
    <row r="51" customFormat="false" ht="15" hidden="false" customHeight="false" outlineLevel="0" collapsed="false">
      <c r="A51" s="0" t="s">
        <v>107</v>
      </c>
      <c r="B51" s="3" t="n">
        <v>-10</v>
      </c>
    </row>
    <row r="52" customFormat="false" ht="15" hidden="false" customHeight="false" outlineLevel="0" collapsed="false">
      <c r="A52" s="0" t="s">
        <v>108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-5</v>
      </c>
      <c r="D5" s="4" t="n">
        <f aca="false">Assumptions!D13</f>
        <v>-3</v>
      </c>
      <c r="E5" s="4" t="n">
        <f aca="false">Assumptions!E13</f>
        <v>0</v>
      </c>
      <c r="F5" s="4" t="n">
        <f aca="false">Assumptions!F13</f>
        <v>1</v>
      </c>
      <c r="G5" s="4" t="n">
        <f aca="false">Assumptions!G13</f>
        <v>1.5</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20829.014</v>
      </c>
      <c r="C6" s="0" t="n">
        <f aca="false">B6*(1+C5/100)</f>
        <v>19787.5633</v>
      </c>
      <c r="D6" s="0" t="n">
        <f aca="false">C6*(1+D5/100)</f>
        <v>19193.936401</v>
      </c>
      <c r="E6" s="0" t="n">
        <f aca="false">D6*(1+E5/100)</f>
        <v>19193.936401</v>
      </c>
      <c r="F6" s="0" t="n">
        <f aca="false">E6*(1+F5/100)</f>
        <v>19385.87576501</v>
      </c>
      <c r="G6" s="0" t="n">
        <f aca="false">F6*(1+G5/100)</f>
        <v>19676.6639014851</v>
      </c>
      <c r="H6" s="0" t="n">
        <f aca="false">G6*(1+H5/100)</f>
        <v>20070.1971795149</v>
      </c>
      <c r="I6" s="0" t="n">
        <f aca="false">H6*(1+I5/100)</f>
        <v>20471.6011231051</v>
      </c>
      <c r="J6" s="0" t="n">
        <f aca="false">I6*(1+J5/100)</f>
        <v>20881.0331455673</v>
      </c>
      <c r="K6" s="0" t="n">
        <f aca="false">J6*(1+K5/100)</f>
        <v>21298.6538084786</v>
      </c>
      <c r="L6" s="0" t="n">
        <f aca="false">K6*(1+L5/100)</f>
        <v>21724.6268846482</v>
      </c>
    </row>
    <row r="7" customFormat="false" ht="15" hidden="false" customHeight="false" outlineLevel="0" collapsed="false">
      <c r="A7" s="0" t="s">
        <v>98</v>
      </c>
      <c r="C7" s="4" t="n">
        <f aca="false">Assumptions!C14</f>
        <v>21</v>
      </c>
      <c r="D7" s="4" t="n">
        <f aca="false">Assumptions!D14</f>
        <v>20.5</v>
      </c>
      <c r="E7" s="4" t="n">
        <f aca="false">Assumptions!E14</f>
        <v>20.5</v>
      </c>
      <c r="F7" s="4" t="n">
        <f aca="false">Assumptions!F14</f>
        <v>21</v>
      </c>
      <c r="G7" s="4" t="n">
        <f aca="false">Assumptions!G14</f>
        <v>21.5</v>
      </c>
      <c r="H7" s="4" t="n">
        <f aca="false">Assumptions!H14</f>
        <v>22</v>
      </c>
      <c r="I7" s="4" t="n">
        <f aca="false">Assumptions!I14</f>
        <v>22</v>
      </c>
      <c r="J7" s="4" t="n">
        <f aca="false">Assumptions!J14</f>
        <v>22</v>
      </c>
      <c r="K7" s="4" t="n">
        <f aca="false">Assumptions!K14</f>
        <v>22</v>
      </c>
      <c r="L7" s="4" t="n">
        <f aca="false">Assumptions!L14</f>
        <v>22</v>
      </c>
    </row>
    <row r="8" customFormat="false" ht="15" hidden="false" customHeight="false" outlineLevel="0" collapsed="false">
      <c r="A8" s="0" t="s">
        <v>44</v>
      </c>
      <c r="C8" s="0" t="n">
        <f aca="false">C6*C7/100</f>
        <v>4155.388293</v>
      </c>
      <c r="D8" s="0" t="n">
        <f aca="false">D6*D7/100</f>
        <v>3934.756962205</v>
      </c>
      <c r="E8" s="0" t="n">
        <f aca="false">E6*E7/100</f>
        <v>3934.756962205</v>
      </c>
      <c r="F8" s="0" t="n">
        <f aca="false">F6*F7/100</f>
        <v>4071.0339106521</v>
      </c>
      <c r="G8" s="0" t="n">
        <f aca="false">G6*G7/100</f>
        <v>4230.48273881931</v>
      </c>
      <c r="H8" s="0" t="n">
        <f aca="false">H6*H7/100</f>
        <v>4415.44337949327</v>
      </c>
      <c r="I8" s="0" t="n">
        <f aca="false">I6*I7/100</f>
        <v>4503.75224708313</v>
      </c>
      <c r="J8" s="0" t="n">
        <f aca="false">J6*J7/100</f>
        <v>4593.8272920248</v>
      </c>
      <c r="K8" s="0" t="n">
        <f aca="false">K6*K7/100</f>
        <v>4685.70383786529</v>
      </c>
      <c r="L8" s="0" t="n">
        <f aca="false">L6*L7/100</f>
        <v>4779.4179146226</v>
      </c>
    </row>
    <row r="9" customFormat="false" ht="15" hidden="false" customHeight="false" outlineLevel="0" collapsed="false">
      <c r="A9" s="0" t="s">
        <v>99</v>
      </c>
      <c r="C9" s="4" t="n">
        <f aca="false">Assumptions!C15</f>
        <v>0.4</v>
      </c>
      <c r="D9" s="4" t="n">
        <f aca="false">Assumptions!D15</f>
        <v>0.4</v>
      </c>
      <c r="E9" s="4" t="n">
        <f aca="false">Assumptions!E15</f>
        <v>0.4</v>
      </c>
      <c r="F9" s="4" t="n">
        <f aca="false">Assumptions!F15</f>
        <v>0.4</v>
      </c>
      <c r="G9" s="4" t="n">
        <f aca="false">Assumptions!G15</f>
        <v>0.4</v>
      </c>
      <c r="H9" s="4" t="n">
        <f aca="false">Assumptions!H15</f>
        <v>0.4</v>
      </c>
      <c r="I9" s="4" t="n">
        <f aca="false">Assumptions!I15</f>
        <v>0.4</v>
      </c>
      <c r="J9" s="4" t="n">
        <f aca="false">Assumptions!J15</f>
        <v>0.4</v>
      </c>
      <c r="K9" s="4" t="n">
        <f aca="false">Assumptions!K15</f>
        <v>0.4</v>
      </c>
      <c r="L9" s="4" t="n">
        <f aca="false">Assumptions!L15</f>
        <v>0.4</v>
      </c>
    </row>
    <row r="10" customFormat="false" ht="15" hidden="false" customHeight="false" outlineLevel="0" collapsed="false">
      <c r="A10" s="0" t="s">
        <v>114</v>
      </c>
      <c r="C10" s="0" t="n">
        <f aca="false">-C6*C9/100</f>
        <v>-79.1502532</v>
      </c>
      <c r="D10" s="0" t="n">
        <f aca="false">-D6*D9/100</f>
        <v>-76.775745604</v>
      </c>
      <c r="E10" s="0" t="n">
        <f aca="false">-E6*E9/100</f>
        <v>-76.775745604</v>
      </c>
      <c r="F10" s="0" t="n">
        <f aca="false">-F6*F9/100</f>
        <v>-77.54350306004</v>
      </c>
      <c r="G10" s="0" t="n">
        <f aca="false">-G6*G9/100</f>
        <v>-78.7066556059406</v>
      </c>
      <c r="H10" s="0" t="n">
        <f aca="false">-H6*H9/100</f>
        <v>-80.2807887180594</v>
      </c>
      <c r="I10" s="0" t="n">
        <f aca="false">-I6*I9/100</f>
        <v>-81.8864044924206</v>
      </c>
      <c r="J10" s="0" t="n">
        <f aca="false">-J6*J9/100</f>
        <v>-83.524132582269</v>
      </c>
      <c r="K10" s="0" t="n">
        <f aca="false">-K6*K9/100</f>
        <v>-85.1946152339144</v>
      </c>
      <c r="L10" s="0" t="n">
        <f aca="false">-L6*L9/100</f>
        <v>-86.8985075385927</v>
      </c>
    </row>
    <row r="11" customFormat="false" ht="15" hidden="false" customHeight="false" outlineLevel="0" collapsed="false">
      <c r="A11" s="0" t="s">
        <v>115</v>
      </c>
      <c r="C11" s="0" t="n">
        <f aca="false">C8+C10+C24</f>
        <v>4076.2380398</v>
      </c>
      <c r="D11" s="0" t="n">
        <f aca="false">D8+D10+D24</f>
        <v>3857.981216601</v>
      </c>
      <c r="E11" s="0" t="n">
        <f aca="false">E8+E10+E24</f>
        <v>3857.981216601</v>
      </c>
      <c r="F11" s="0" t="n">
        <f aca="false">F8+F10+F24</f>
        <v>3993.49040759206</v>
      </c>
      <c r="G11" s="0" t="n">
        <f aca="false">G8+G10+G24</f>
        <v>4151.77608321337</v>
      </c>
      <c r="H11" s="0" t="n">
        <f aca="false">H8+H10+H24</f>
        <v>4335.16259077521</v>
      </c>
      <c r="I11" s="0" t="n">
        <f aca="false">I8+I10+I24</f>
        <v>4421.86584259071</v>
      </c>
      <c r="J11" s="0" t="n">
        <f aca="false">J8+J10+J24</f>
        <v>4510.30315944253</v>
      </c>
      <c r="K11" s="0" t="n">
        <f aca="false">K8+K10+K24</f>
        <v>4600.50922263138</v>
      </c>
      <c r="L11" s="0" t="n">
        <f aca="false">L8+L10+L24</f>
        <v>4692.519407084</v>
      </c>
    </row>
    <row r="12" customFormat="false" ht="15" hidden="false" customHeight="false" outlineLevel="0" collapsed="false">
      <c r="A12" s="0" t="s">
        <v>116</v>
      </c>
      <c r="C12" s="4" t="n">
        <f aca="false">-C6*Assumptions!C17/100</f>
        <v>-1583.005064</v>
      </c>
      <c r="D12" s="4" t="n">
        <f aca="false">-D6*Assumptions!D17/100</f>
        <v>-1535.51491208</v>
      </c>
      <c r="E12" s="4" t="n">
        <f aca="false">-E6*Assumptions!E17/100</f>
        <v>-1497.127039278</v>
      </c>
      <c r="F12" s="4" t="n">
        <f aca="false">-F6*Assumptions!F17/100</f>
        <v>-1473.32655814076</v>
      </c>
      <c r="G12" s="4" t="n">
        <f aca="false">-G6*Assumptions!G17/100</f>
        <v>-1475.74979261139</v>
      </c>
      <c r="H12" s="4" t="n">
        <f aca="false">-H6*Assumptions!H17/100</f>
        <v>-1505.26478846361</v>
      </c>
      <c r="I12" s="4" t="n">
        <f aca="false">-I6*Assumptions!I17/100</f>
        <v>-1535.37008423289</v>
      </c>
      <c r="J12" s="4" t="n">
        <f aca="false">-J6*Assumptions!J17/100</f>
        <v>-1566.07748591754</v>
      </c>
      <c r="K12" s="4" t="n">
        <f aca="false">-K6*Assumptions!K17/100</f>
        <v>-1597.39903563589</v>
      </c>
      <c r="L12" s="4" t="n">
        <f aca="false">-L6*Assumptions!L17/100</f>
        <v>-1629.34701634861</v>
      </c>
    </row>
    <row r="13" customFormat="false" ht="15" hidden="false" customHeight="false" outlineLevel="0" collapsed="false">
      <c r="A13" s="0" t="s">
        <v>117</v>
      </c>
      <c r="C13" s="0" t="n">
        <f aca="false">C11+C12</f>
        <v>2493.2329758</v>
      </c>
      <c r="D13" s="0" t="n">
        <f aca="false">D11+D12</f>
        <v>2322.466304521</v>
      </c>
      <c r="E13" s="0" t="n">
        <f aca="false">E11+E12</f>
        <v>2360.854177323</v>
      </c>
      <c r="F13" s="0" t="n">
        <f aca="false">F11+F12</f>
        <v>2520.1638494513</v>
      </c>
      <c r="G13" s="0" t="n">
        <f aca="false">G11+G12</f>
        <v>2676.02629060198</v>
      </c>
      <c r="H13" s="0" t="n">
        <f aca="false">H11+H12</f>
        <v>2829.89780231159</v>
      </c>
      <c r="I13" s="0" t="n">
        <f aca="false">I11+I12</f>
        <v>2886.49575835783</v>
      </c>
      <c r="J13" s="0" t="n">
        <f aca="false">J11+J12</f>
        <v>2944.22567352498</v>
      </c>
      <c r="K13" s="0" t="n">
        <f aca="false">K11+K12</f>
        <v>3003.11018699548</v>
      </c>
      <c r="L13" s="0" t="n">
        <f aca="false">L11+L12</f>
        <v>3063.17239073539</v>
      </c>
    </row>
    <row r="14" customFormat="false" ht="15" hidden="false" customHeight="false" outlineLevel="0" collapsed="false">
      <c r="A14" s="0" t="s">
        <v>103</v>
      </c>
      <c r="C14" s="4" t="n">
        <f aca="false">Assumptions!C19</f>
        <v>18</v>
      </c>
      <c r="D14" s="4" t="n">
        <f aca="false">Assumptions!D19</f>
        <v>19</v>
      </c>
      <c r="E14" s="4" t="n">
        <f aca="false">Assumptions!E19</f>
        <v>20</v>
      </c>
      <c r="F14" s="4" t="n">
        <f aca="false">Assumptions!F19</f>
        <v>20</v>
      </c>
      <c r="G14" s="4" t="n">
        <f aca="false">Assumptions!G19</f>
        <v>20</v>
      </c>
      <c r="H14" s="4" t="n">
        <f aca="false">Assumptions!H19</f>
        <v>20</v>
      </c>
      <c r="I14" s="4" t="n">
        <f aca="false">Assumptions!I19</f>
        <v>20</v>
      </c>
      <c r="J14" s="4" t="n">
        <f aca="false">Assumptions!J19</f>
        <v>20</v>
      </c>
      <c r="K14" s="4" t="n">
        <f aca="false">Assumptions!K19</f>
        <v>20</v>
      </c>
      <c r="L14" s="4" t="n">
        <f aca="false">Assumptions!L19</f>
        <v>20</v>
      </c>
    </row>
    <row r="15" customFormat="false" ht="15" hidden="false" customHeight="false" outlineLevel="0" collapsed="false">
      <c r="A15" s="0" t="s">
        <v>118</v>
      </c>
      <c r="C15" s="0" t="n">
        <f aca="false">C13-MAX(0,C13)*C14/100</f>
        <v>2044.451040156</v>
      </c>
      <c r="D15" s="0" t="n">
        <f aca="false">D13-MAX(0,D13)*D14/100</f>
        <v>1881.19770666201</v>
      </c>
      <c r="E15" s="0" t="n">
        <f aca="false">E13-MAX(0,E13)*E14/100</f>
        <v>1888.6833418584</v>
      </c>
      <c r="F15" s="0" t="n">
        <f aca="false">F13-MAX(0,F13)*F14/100</f>
        <v>2016.13107956104</v>
      </c>
      <c r="G15" s="0" t="n">
        <f aca="false">G13-MAX(0,G13)*G14/100</f>
        <v>2140.82103248158</v>
      </c>
      <c r="H15" s="0" t="n">
        <f aca="false">H13-MAX(0,H13)*H14/100</f>
        <v>2263.91824184927</v>
      </c>
      <c r="I15" s="0" t="n">
        <f aca="false">I13-MAX(0,I13)*I14/100</f>
        <v>2309.19660668626</v>
      </c>
      <c r="J15" s="0" t="n">
        <f aca="false">J13-MAX(0,J13)*J14/100</f>
        <v>2355.38053881999</v>
      </c>
      <c r="K15" s="0" t="n">
        <f aca="false">K13-MAX(0,K13)*K14/100</f>
        <v>2402.48814959639</v>
      </c>
      <c r="L15" s="0" t="n">
        <f aca="false">L13-MAX(0,L13)*L14/100</f>
        <v>2450.53791258831</v>
      </c>
    </row>
    <row r="16" customFormat="false" ht="15" hidden="false" customHeight="false" outlineLevel="0" collapsed="false">
      <c r="A16" s="0" t="s">
        <v>119</v>
      </c>
      <c r="C16" s="0" t="n">
        <f aca="false">-C12</f>
        <v>1583.005064</v>
      </c>
      <c r="D16" s="0" t="n">
        <f aca="false">-D12</f>
        <v>1535.51491208</v>
      </c>
      <c r="E16" s="0" t="n">
        <f aca="false">-E12</f>
        <v>1497.127039278</v>
      </c>
      <c r="F16" s="0" t="n">
        <f aca="false">-F12</f>
        <v>1473.32655814076</v>
      </c>
      <c r="G16" s="0" t="n">
        <f aca="false">-G12</f>
        <v>1475.74979261139</v>
      </c>
      <c r="H16" s="0" t="n">
        <f aca="false">-H12</f>
        <v>1505.26478846361</v>
      </c>
      <c r="I16" s="0" t="n">
        <f aca="false">-I12</f>
        <v>1535.37008423289</v>
      </c>
      <c r="J16" s="0" t="n">
        <f aca="false">-J12</f>
        <v>1566.07748591754</v>
      </c>
      <c r="K16" s="0" t="n">
        <f aca="false">-K12</f>
        <v>1597.39903563589</v>
      </c>
      <c r="L16" s="0" t="n">
        <f aca="false">-L12</f>
        <v>1629.34701634861</v>
      </c>
    </row>
    <row r="17" customFormat="false" ht="15" hidden="false" customHeight="false" outlineLevel="0" collapsed="false">
      <c r="A17" s="0" t="s">
        <v>120</v>
      </c>
      <c r="C17" s="4" t="n">
        <f aca="false">-C6*Assumptions!C18/100</f>
        <v>-1583.005064</v>
      </c>
      <c r="D17" s="4" t="n">
        <f aca="false">-D6*Assumptions!D18/100</f>
        <v>-1439.545230075</v>
      </c>
      <c r="E17" s="4" t="n">
        <f aca="false">-E6*Assumptions!E18/100</f>
        <v>-1343.57554807</v>
      </c>
      <c r="F17" s="4" t="n">
        <f aca="false">-F6*Assumptions!F18/100</f>
        <v>-1357.0113035507</v>
      </c>
      <c r="G17" s="4" t="n">
        <f aca="false">-G6*Assumptions!G18/100</f>
        <v>-1377.36647310396</v>
      </c>
      <c r="H17" s="4" t="n">
        <f aca="false">-H6*Assumptions!H18/100</f>
        <v>-1404.91380256604</v>
      </c>
      <c r="I17" s="4" t="n">
        <f aca="false">-I6*Assumptions!I18/100</f>
        <v>-1433.01207861736</v>
      </c>
      <c r="J17" s="4" t="n">
        <f aca="false">-J6*Assumptions!J18/100</f>
        <v>-1461.67232018971</v>
      </c>
      <c r="K17" s="4" t="n">
        <f aca="false">-K6*Assumptions!K18/100</f>
        <v>-1490.9057665935</v>
      </c>
      <c r="L17" s="4" t="n">
        <f aca="false">-L6*Assumptions!L18/100</f>
        <v>-1520.72388192537</v>
      </c>
    </row>
    <row r="18" customFormat="false" ht="15" hidden="false" customHeight="false" outlineLevel="0" collapsed="false">
      <c r="A18" s="0" t="s">
        <v>121</v>
      </c>
      <c r="C18" s="4" t="n">
        <f aca="false">(C6-B6)*Assumptions!$B$23/100</f>
        <v>104.14507</v>
      </c>
      <c r="D18" s="4" t="n">
        <f aca="false">(D6-C6)*Assumptions!$B$23/100</f>
        <v>59.3626898999999</v>
      </c>
      <c r="E18" s="4" t="n">
        <f aca="false">(E6-D6)*Assumptions!$B$23/100</f>
        <v>-0</v>
      </c>
      <c r="F18" s="4" t="n">
        <f aca="false">(F6-E6)*Assumptions!$B$23/100</f>
        <v>-19.1939364009999</v>
      </c>
      <c r="G18" s="4" t="n">
        <f aca="false">(G6-F6)*Assumptions!$B$23/100</f>
        <v>-29.0788136475148</v>
      </c>
      <c r="H18" s="4" t="n">
        <f aca="false">(H6-G6)*Assumptions!$B$23/100</f>
        <v>-39.3533278029703</v>
      </c>
      <c r="I18" s="4" t="n">
        <f aca="false">(I6-H6)*Assumptions!$B$23/100</f>
        <v>-40.1403943590296</v>
      </c>
      <c r="J18" s="4" t="n">
        <f aca="false">(J6-I6)*Assumptions!$B$23/100</f>
        <v>-40.9432022462104</v>
      </c>
      <c r="K18" s="4" t="n">
        <f aca="false">(K6-J6)*Assumptions!$B$23/100</f>
        <v>-41.7620662911344</v>
      </c>
      <c r="L18" s="4" t="n">
        <f aca="false">(L6-K6)*Assumptions!$B$23/100</f>
        <v>-42.5973076169572</v>
      </c>
    </row>
    <row r="19" customFormat="false" ht="15" hidden="false" customHeight="false" outlineLevel="0" collapsed="false">
      <c r="A19" s="0" t="s">
        <v>122</v>
      </c>
      <c r="C19" s="0" t="n">
        <f aca="false">C15+C16+C17+C18</f>
        <v>2148.596110156</v>
      </c>
      <c r="D19" s="0" t="n">
        <f aca="false">D15+D16+D17+D18</f>
        <v>2036.53007856701</v>
      </c>
      <c r="E19" s="0" t="n">
        <f aca="false">E15+E16+E17+E18</f>
        <v>2042.2348330664</v>
      </c>
      <c r="F19" s="0" t="n">
        <f aca="false">F15+F16+F17+F18</f>
        <v>2113.2523977501</v>
      </c>
      <c r="G19" s="0" t="n">
        <f aca="false">G15+G16+G17+G18</f>
        <v>2210.12553834149</v>
      </c>
      <c r="H19" s="0" t="n">
        <f aca="false">H15+H16+H17+H18</f>
        <v>2324.91589994388</v>
      </c>
      <c r="I19" s="0" t="n">
        <f aca="false">I15+I16+I17+I18</f>
        <v>2371.41421794276</v>
      </c>
      <c r="J19" s="0" t="n">
        <f aca="false">J15+J16+J17+J18</f>
        <v>2418.84250230161</v>
      </c>
      <c r="K19" s="0" t="n">
        <f aca="false">K15+K16+K17+K18</f>
        <v>2467.21935234764</v>
      </c>
      <c r="L19" s="0" t="n">
        <f aca="false">L15+L16+L17+L18</f>
        <v>2516.5637393946</v>
      </c>
    </row>
    <row r="20" customFormat="false" ht="15" hidden="false" customHeight="false" outlineLevel="0" collapsed="false">
      <c r="A20" s="0" t="s">
        <v>123</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124</v>
      </c>
      <c r="C21" s="0" t="n">
        <f aca="false">C19*C20</f>
        <v>1971.18909188624</v>
      </c>
      <c r="D21" s="0" t="n">
        <f aca="false">D19*D20</f>
        <v>1714.10662281543</v>
      </c>
      <c r="E21" s="0" t="n">
        <f aca="false">E19*E20</f>
        <v>1576.98000049914</v>
      </c>
      <c r="F21" s="0" t="n">
        <f aca="false">F19*F20</f>
        <v>1497.08127591015</v>
      </c>
      <c r="G21" s="0" t="n">
        <f aca="false">G19*G20</f>
        <v>1436.42995502766</v>
      </c>
      <c r="H21" s="0" t="n">
        <f aca="false">H19*H20</f>
        <v>1386.27138887852</v>
      </c>
      <c r="I21" s="0" t="n">
        <f aca="false">I19*I20</f>
        <v>1297.24478592302</v>
      </c>
      <c r="J21" s="0" t="n">
        <f aca="false">J19*J20</f>
        <v>1213.93548774448</v>
      </c>
      <c r="K21" s="0" t="n">
        <f aca="false">K19*K20</f>
        <v>1135.97632798107</v>
      </c>
      <c r="L21" s="0" t="n">
        <f aca="false">L19*L20</f>
        <v>1063.0237197621</v>
      </c>
    </row>
    <row r="23" customFormat="false" ht="15" hidden="false" customHeight="false" outlineLevel="0" collapsed="false">
      <c r="A23" s="0" t="s">
        <v>100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Assumptions!$B$20</f>
        <v>9</v>
      </c>
    </row>
    <row r="28" customFormat="false" ht="15" hidden="false" customHeight="false" outlineLevel="0" collapsed="false">
      <c r="A28" s="0" t="s">
        <v>105</v>
      </c>
      <c r="B28" s="4" t="n">
        <f aca="false">Assumptions!$B$21</f>
        <v>2</v>
      </c>
    </row>
    <row r="29" customFormat="false" ht="15" hidden="false" customHeight="false" outlineLevel="0" collapsed="false">
      <c r="A29" s="0" t="s">
        <v>106</v>
      </c>
      <c r="B29" s="4" t="n">
        <f aca="false">Assumptions!$B$22</f>
        <v>12</v>
      </c>
    </row>
    <row r="30" customFormat="false" ht="15" hidden="false" customHeight="false" outlineLevel="0" collapsed="false">
      <c r="A30" s="0" t="s">
        <v>127</v>
      </c>
      <c r="B30" s="0" t="n">
        <f aca="false">SUM(C21:L21)</f>
        <v>14292.2386564278</v>
      </c>
    </row>
    <row r="31" customFormat="false" ht="15" hidden="false" customHeight="false" outlineLevel="0" collapsed="false">
      <c r="A31" s="0" t="s">
        <v>128</v>
      </c>
      <c r="B31" s="0" t="n">
        <f aca="false">L19</f>
        <v>2516.5637393946</v>
      </c>
    </row>
    <row r="32" customFormat="false" ht="15" hidden="false" customHeight="false" outlineLevel="0" collapsed="false">
      <c r="A32" s="0" t="s">
        <v>129</v>
      </c>
      <c r="B32" s="0" t="n">
        <f aca="false">IF(B27&gt;B28,B31*(1+B28/100)/((B27-B28)/100),B31*B29)</f>
        <v>36669.9287740356</v>
      </c>
    </row>
    <row r="33" customFormat="false" ht="15" hidden="false" customHeight="false" outlineLevel="0" collapsed="false">
      <c r="A33" s="0" t="s">
        <v>130</v>
      </c>
      <c r="B33" s="0" t="n">
        <f aca="false">B31*B29</f>
        <v>30198.7648727352</v>
      </c>
    </row>
    <row r="34" customFormat="false" ht="15" hidden="false" customHeight="false" outlineLevel="0" collapsed="false">
      <c r="A34" s="0" t="s">
        <v>131</v>
      </c>
      <c r="B34" s="0" t="n">
        <f aca="false">MAX(0,MIN(B32,B33))</f>
        <v>30198.7648727352</v>
      </c>
    </row>
    <row r="35" customFormat="false" ht="15" hidden="false" customHeight="false" outlineLevel="0" collapsed="false">
      <c r="A35" s="0" t="s">
        <v>132</v>
      </c>
      <c r="B35" s="0" t="n">
        <f aca="false">B34/(1+B27/100)^L4</f>
        <v>12756.2846371452</v>
      </c>
    </row>
    <row r="36" customFormat="false" ht="15" hidden="false" customHeight="false" outlineLevel="0" collapsed="false">
      <c r="A36" s="0" t="s">
        <v>133</v>
      </c>
      <c r="B36" s="0" t="n">
        <f aca="false">B30+B35</f>
        <v>27048.5232935731</v>
      </c>
    </row>
    <row r="37" customFormat="false" ht="15" hidden="false" customHeight="false" outlineLevel="0" collapsed="false">
      <c r="A37" s="0" t="s">
        <v>134</v>
      </c>
      <c r="B37" s="0" t="n">
        <f aca="false">B36+Assumptions!$B$5-Assumptions!$B$4</f>
        <v>29613.9232935731</v>
      </c>
    </row>
    <row r="38" customFormat="false" ht="15" hidden="false" customHeight="false" outlineLevel="0" collapsed="false">
      <c r="A38" s="0" t="s">
        <v>135</v>
      </c>
      <c r="B38" s="0" t="n">
        <f aca="false">B37/Assumptions!$B$3*Assumptions!$B$10</f>
        <v>7.83214032501398</v>
      </c>
    </row>
    <row r="39" customFormat="false" ht="15" hidden="false" customHeight="false" outlineLevel="0" collapsed="false">
      <c r="A39" s="0" t="s">
        <v>136</v>
      </c>
      <c r="B39" s="4" t="n">
        <f aca="false">B38/Assumptions!$B$2-1</f>
        <v>-0.0407666472732412</v>
      </c>
    </row>
    <row r="41" customFormat="false" ht="15" hidden="false" customHeight="false" outlineLevel="0" collapsed="false">
      <c r="A41" s="0" t="s">
        <v>137</v>
      </c>
      <c r="B41" s="0" t="n">
        <f aca="false">SUMPRODUCT(-C10:L10/(1+$B$27/100)^C4:L4)</f>
        <v>513.12244159275</v>
      </c>
    </row>
    <row r="42" customFormat="false" ht="15" hidden="false" customHeight="false" outlineLevel="0" collapsed="false">
      <c r="A42" s="0" t="s">
        <v>138</v>
      </c>
      <c r="B42" s="0" t="n">
        <f aca="false">IF(B27&gt;B28,-L10*(1+B28/100)/((B27-B28)/100),-L10*20)/(1+B27/100)^L4</f>
        <v>534.871515159374</v>
      </c>
    </row>
    <row r="43" customFormat="false" ht="15" hidden="false" customHeight="false" outlineLevel="0" collapsed="false">
      <c r="A43" s="0" t="s">
        <v>139</v>
      </c>
      <c r="B43" s="0" t="n">
        <f aca="false">(B37+B41+B42)/Assumptions!$B$3*Assumptions!$B$10</f>
        <v>8.10930845460223</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19745.3462629422</v>
      </c>
    </row>
    <row r="47" customFormat="false" ht="15" hidden="false" customHeight="false" outlineLevel="0" collapsed="false">
      <c r="A47" s="0" t="s">
        <v>141</v>
      </c>
      <c r="B47" s="0" t="n">
        <f aca="false">(SUMPRODUCT(C19:L19/(1+B45/100)^C4:L4)+B46/(1+B45/100)^L4+Assumptions!$B$5-Assumptions!$B$4)/Assumptions!$B$3*Assumptions!$B$10</f>
        <v>4.89676162608575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-3</v>
      </c>
      <c r="D5" s="4" t="n">
        <f aca="false">Assumptions!D27</f>
        <v>2</v>
      </c>
      <c r="E5" s="4" t="n">
        <f aca="false">Assumptions!E27</f>
        <v>4</v>
      </c>
      <c r="F5" s="4" t="n">
        <f aca="false">Assumptions!F27</f>
        <v>4</v>
      </c>
      <c r="G5" s="4" t="n">
        <f aca="false">Assumptions!G27</f>
        <v>3.5</v>
      </c>
      <c r="H5" s="4" t="n">
        <f aca="false">Assumptions!H27</f>
        <v>3</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38</v>
      </c>
      <c r="B6" s="3" t="n">
        <v>20829.014</v>
      </c>
      <c r="C6" s="0" t="n">
        <f aca="false">B6*(1+C5/100)</f>
        <v>20204.14358</v>
      </c>
      <c r="D6" s="0" t="n">
        <f aca="false">C6*(1+D5/100)</f>
        <v>20608.2264516</v>
      </c>
      <c r="E6" s="0" t="n">
        <f aca="false">D6*(1+E5/100)</f>
        <v>21432.555509664</v>
      </c>
      <c r="F6" s="0" t="n">
        <f aca="false">E6*(1+F5/100)</f>
        <v>22289.8577300506</v>
      </c>
      <c r="G6" s="0" t="n">
        <f aca="false">F6*(1+G5/100)</f>
        <v>23070.0027506023</v>
      </c>
      <c r="H6" s="0" t="n">
        <f aca="false">G6*(1+H5/100)</f>
        <v>23762.1028331204</v>
      </c>
      <c r="I6" s="0" t="n">
        <f aca="false">H6*(1+I5/100)</f>
        <v>24474.965918114</v>
      </c>
      <c r="J6" s="0" t="n">
        <f aca="false">I6*(1+J5/100)</f>
        <v>25086.8400660669</v>
      </c>
      <c r="K6" s="0" t="n">
        <f aca="false">J6*(1+K5/100)</f>
        <v>25714.0110677185</v>
      </c>
      <c r="L6" s="0" t="n">
        <f aca="false">K6*(1+L5/100)</f>
        <v>26356.8613444115</v>
      </c>
    </row>
    <row r="7" customFormat="false" ht="15" hidden="false" customHeight="false" outlineLevel="0" collapsed="false">
      <c r="A7" s="0" t="s">
        <v>98</v>
      </c>
      <c r="C7" s="4" t="n">
        <f aca="false">Assumptions!C28</f>
        <v>22.5</v>
      </c>
      <c r="D7" s="4" t="n">
        <f aca="false">Assumptions!D28</f>
        <v>23</v>
      </c>
      <c r="E7" s="4" t="n">
        <f aca="false">Assumptions!E28</f>
        <v>24</v>
      </c>
      <c r="F7" s="4" t="n">
        <f aca="false">Assumptions!F28</f>
        <v>25</v>
      </c>
      <c r="G7" s="4" t="n">
        <f aca="false">Assumptions!G28</f>
        <v>25.5</v>
      </c>
      <c r="H7" s="4" t="n">
        <f aca="false">Assumptions!H28</f>
        <v>26</v>
      </c>
      <c r="I7" s="4" t="n">
        <f aca="false">Assumptions!I28</f>
        <v>26</v>
      </c>
      <c r="J7" s="4" t="n">
        <f aca="false">Assumptions!J28</f>
        <v>26</v>
      </c>
      <c r="K7" s="4" t="n">
        <f aca="false">Assumptions!K28</f>
        <v>26</v>
      </c>
      <c r="L7" s="4" t="n">
        <f aca="false">Assumptions!L28</f>
        <v>26</v>
      </c>
    </row>
    <row r="8" customFormat="false" ht="15" hidden="false" customHeight="false" outlineLevel="0" collapsed="false">
      <c r="A8" s="0" t="s">
        <v>44</v>
      </c>
      <c r="C8" s="0" t="n">
        <f aca="false">C6*C7/100</f>
        <v>4545.9323055</v>
      </c>
      <c r="D8" s="0" t="n">
        <f aca="false">D6*D7/100</f>
        <v>4739.892083868</v>
      </c>
      <c r="E8" s="0" t="n">
        <f aca="false">E6*E7/100</f>
        <v>5143.81332231936</v>
      </c>
      <c r="F8" s="0" t="n">
        <f aca="false">F6*F7/100</f>
        <v>5572.46443251264</v>
      </c>
      <c r="G8" s="0" t="n">
        <f aca="false">G6*G7/100</f>
        <v>5882.8507014036</v>
      </c>
      <c r="H8" s="0" t="n">
        <f aca="false">H6*H7/100</f>
        <v>6178.14673661131</v>
      </c>
      <c r="I8" s="0" t="n">
        <f aca="false">I6*I7/100</f>
        <v>6363.49113870964</v>
      </c>
      <c r="J8" s="0" t="n">
        <f aca="false">J6*J7/100</f>
        <v>6522.57841717738</v>
      </c>
      <c r="K8" s="0" t="n">
        <f aca="false">K6*K7/100</f>
        <v>6685.64287760682</v>
      </c>
      <c r="L8" s="0" t="n">
        <f aca="false">L6*L7/100</f>
        <v>6852.78394954699</v>
      </c>
    </row>
    <row r="9" customFormat="false" ht="15" hidden="false" customHeight="false" outlineLevel="0" collapsed="false">
      <c r="A9" s="0" t="s">
        <v>99</v>
      </c>
      <c r="C9" s="4" t="n">
        <f aca="false">Assumptions!C29</f>
        <v>0.4</v>
      </c>
      <c r="D9" s="4" t="n">
        <f aca="false">Assumptions!D29</f>
        <v>0.4</v>
      </c>
      <c r="E9" s="4" t="n">
        <f aca="false">Assumptions!E29</f>
        <v>0.4</v>
      </c>
      <c r="F9" s="4" t="n">
        <f aca="false">Assumptions!F29</f>
        <v>0.4</v>
      </c>
      <c r="G9" s="4" t="n">
        <f aca="false">Assumptions!G29</f>
        <v>0.4</v>
      </c>
      <c r="H9" s="4" t="n">
        <f aca="false">Assumptions!H29</f>
        <v>0.4</v>
      </c>
      <c r="I9" s="4" t="n">
        <f aca="false">Assumptions!I29</f>
        <v>0.4</v>
      </c>
      <c r="J9" s="4" t="n">
        <f aca="false">Assumptions!J29</f>
        <v>0.4</v>
      </c>
      <c r="K9" s="4" t="n">
        <f aca="false">Assumptions!K29</f>
        <v>0.4</v>
      </c>
      <c r="L9" s="4" t="n">
        <f aca="false">Assumptions!L29</f>
        <v>0.4</v>
      </c>
    </row>
    <row r="10" customFormat="false" ht="15" hidden="false" customHeight="false" outlineLevel="0" collapsed="false">
      <c r="A10" s="0" t="s">
        <v>114</v>
      </c>
      <c r="C10" s="0" t="n">
        <f aca="false">-C6*C9/100</f>
        <v>-80.81657432</v>
      </c>
      <c r="D10" s="0" t="n">
        <f aca="false">-D6*D9/100</f>
        <v>-82.4329058064</v>
      </c>
      <c r="E10" s="0" t="n">
        <f aca="false">-E6*E9/100</f>
        <v>-85.730222038656</v>
      </c>
      <c r="F10" s="0" t="n">
        <f aca="false">-F6*F9/100</f>
        <v>-89.1594309202023</v>
      </c>
      <c r="G10" s="0" t="n">
        <f aca="false">-G6*G9/100</f>
        <v>-92.2800110024093</v>
      </c>
      <c r="H10" s="0" t="n">
        <f aca="false">-H6*H9/100</f>
        <v>-95.0484113324816</v>
      </c>
      <c r="I10" s="0" t="n">
        <f aca="false">-I6*I9/100</f>
        <v>-97.8998636724561</v>
      </c>
      <c r="J10" s="0" t="n">
        <f aca="false">-J6*J9/100</f>
        <v>-100.347360264267</v>
      </c>
      <c r="K10" s="0" t="n">
        <f aca="false">-K6*K9/100</f>
        <v>-102.856044270874</v>
      </c>
      <c r="L10" s="0" t="n">
        <f aca="false">-L6*L9/100</f>
        <v>-105.427445377646</v>
      </c>
    </row>
    <row r="11" customFormat="false" ht="15" hidden="false" customHeight="false" outlineLevel="0" collapsed="false">
      <c r="A11" s="0" t="s">
        <v>115</v>
      </c>
      <c r="C11" s="0" t="n">
        <f aca="false">C8+C10+C24</f>
        <v>4465.11573118</v>
      </c>
      <c r="D11" s="0" t="n">
        <f aca="false">D8+D10+D24</f>
        <v>4657.4591780616</v>
      </c>
      <c r="E11" s="0" t="n">
        <f aca="false">E8+E10+E24</f>
        <v>5058.0831002807</v>
      </c>
      <c r="F11" s="0" t="n">
        <f aca="false">F8+F10+F24</f>
        <v>5483.30500159244</v>
      </c>
      <c r="G11" s="0" t="n">
        <f aca="false">G8+G10+G24</f>
        <v>5790.57069040119</v>
      </c>
      <c r="H11" s="0" t="n">
        <f aca="false">H8+H10+H24</f>
        <v>6083.09832527882</v>
      </c>
      <c r="I11" s="0" t="n">
        <f aca="false">I8+I10+I24</f>
        <v>6265.59127503719</v>
      </c>
      <c r="J11" s="0" t="n">
        <f aca="false">J8+J10+J24</f>
        <v>6422.23105691312</v>
      </c>
      <c r="K11" s="0" t="n">
        <f aca="false">K8+K10+K24</f>
        <v>6582.78683333594</v>
      </c>
      <c r="L11" s="0" t="n">
        <f aca="false">L8+L10+L24</f>
        <v>6747.35650416934</v>
      </c>
    </row>
    <row r="12" customFormat="false" ht="15" hidden="false" customHeight="false" outlineLevel="0" collapsed="false">
      <c r="A12" s="0" t="s">
        <v>116</v>
      </c>
      <c r="C12" s="4" t="n">
        <f aca="false">-C6*Assumptions!C31/100</f>
        <v>-1575.92319924</v>
      </c>
      <c r="D12" s="4" t="n">
        <f aca="false">-D6*Assumptions!D31/100</f>
        <v>-1566.2252103216</v>
      </c>
      <c r="E12" s="4" t="n">
        <f aca="false">-E6*Assumptions!E31/100</f>
        <v>-1586.00910771514</v>
      </c>
      <c r="F12" s="4" t="n">
        <f aca="false">-F6*Assumptions!F31/100</f>
        <v>-1604.86975656364</v>
      </c>
      <c r="G12" s="4" t="n">
        <f aca="false">-G6*Assumptions!G31/100</f>
        <v>-1614.90019254216</v>
      </c>
      <c r="H12" s="4" t="n">
        <f aca="false">-H6*Assumptions!H31/100</f>
        <v>-1663.34719831843</v>
      </c>
      <c r="I12" s="4" t="n">
        <f aca="false">-I6*Assumptions!I31/100</f>
        <v>-1713.24761426798</v>
      </c>
      <c r="J12" s="4" t="n">
        <f aca="false">-J6*Assumptions!J31/100</f>
        <v>-1756.07880462468</v>
      </c>
      <c r="K12" s="4" t="n">
        <f aca="false">-K6*Assumptions!K31/100</f>
        <v>-1799.9807747403</v>
      </c>
      <c r="L12" s="4" t="n">
        <f aca="false">-L6*Assumptions!L31/100</f>
        <v>-1844.9802941088</v>
      </c>
    </row>
    <row r="13" customFormat="false" ht="15" hidden="false" customHeight="false" outlineLevel="0" collapsed="false">
      <c r="A13" s="0" t="s">
        <v>117</v>
      </c>
      <c r="C13" s="0" t="n">
        <f aca="false">C11+C12</f>
        <v>2889.19253194</v>
      </c>
      <c r="D13" s="0" t="n">
        <f aca="false">D11+D12</f>
        <v>3091.23396774</v>
      </c>
      <c r="E13" s="0" t="n">
        <f aca="false">E11+E12</f>
        <v>3472.07399256557</v>
      </c>
      <c r="F13" s="0" t="n">
        <f aca="false">F11+F12</f>
        <v>3878.4352450288</v>
      </c>
      <c r="G13" s="0" t="n">
        <f aca="false">G11+G12</f>
        <v>4175.67049785902</v>
      </c>
      <c r="H13" s="0" t="n">
        <f aca="false">H11+H12</f>
        <v>4419.7511269604</v>
      </c>
      <c r="I13" s="0" t="n">
        <f aca="false">I11+I12</f>
        <v>4552.34366076921</v>
      </c>
      <c r="J13" s="0" t="n">
        <f aca="false">J11+J12</f>
        <v>4666.15225228844</v>
      </c>
      <c r="K13" s="0" t="n">
        <f aca="false">K11+K12</f>
        <v>4782.80605859565</v>
      </c>
      <c r="L13" s="0" t="n">
        <f aca="false">L11+L12</f>
        <v>4902.37621006054</v>
      </c>
    </row>
    <row r="14" customFormat="false" ht="15" hidden="false" customHeight="false" outlineLevel="0" collapsed="false">
      <c r="A14" s="0" t="s">
        <v>103</v>
      </c>
      <c r="C14" s="4" t="n">
        <f aca="false">Assumptions!C33</f>
        <v>18</v>
      </c>
      <c r="D14" s="4" t="n">
        <f aca="false">Assumptions!D33</f>
        <v>19</v>
      </c>
      <c r="E14" s="4" t="n">
        <f aca="false">Assumptions!E33</f>
        <v>20</v>
      </c>
      <c r="F14" s="4" t="n">
        <f aca="false">Assumptions!F33</f>
        <v>20</v>
      </c>
      <c r="G14" s="4" t="n">
        <f aca="false">Assumptions!G33</f>
        <v>20</v>
      </c>
      <c r="H14" s="4" t="n">
        <f aca="false">Assumptions!H33</f>
        <v>20</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118</v>
      </c>
      <c r="C15" s="0" t="n">
        <f aca="false">C13-MAX(0,C13)*C14/100</f>
        <v>2369.1378761908</v>
      </c>
      <c r="D15" s="0" t="n">
        <f aca="false">D13-MAX(0,D13)*D14/100</f>
        <v>2503.8995138694</v>
      </c>
      <c r="E15" s="0" t="n">
        <f aca="false">E13-MAX(0,E13)*E14/100</f>
        <v>2777.65919405245</v>
      </c>
      <c r="F15" s="0" t="n">
        <f aca="false">F13-MAX(0,F13)*F14/100</f>
        <v>3102.74819602304</v>
      </c>
      <c r="G15" s="0" t="n">
        <f aca="false">G13-MAX(0,G13)*G14/100</f>
        <v>3340.53639828722</v>
      </c>
      <c r="H15" s="0" t="n">
        <f aca="false">H13-MAX(0,H13)*H14/100</f>
        <v>3535.80090156832</v>
      </c>
      <c r="I15" s="0" t="n">
        <f aca="false">I13-MAX(0,I13)*I14/100</f>
        <v>3641.87492861536</v>
      </c>
      <c r="J15" s="0" t="n">
        <f aca="false">J13-MAX(0,J13)*J14/100</f>
        <v>3732.92180183075</v>
      </c>
      <c r="K15" s="0" t="n">
        <f aca="false">K13-MAX(0,K13)*K14/100</f>
        <v>3826.24484687652</v>
      </c>
      <c r="L15" s="0" t="n">
        <f aca="false">L13-MAX(0,L13)*L14/100</f>
        <v>3921.90096804843</v>
      </c>
    </row>
    <row r="16" customFormat="false" ht="15" hidden="false" customHeight="false" outlineLevel="0" collapsed="false">
      <c r="A16" s="0" t="s">
        <v>119</v>
      </c>
      <c r="C16" s="0" t="n">
        <f aca="false">-C12</f>
        <v>1575.92319924</v>
      </c>
      <c r="D16" s="0" t="n">
        <f aca="false">-D12</f>
        <v>1566.2252103216</v>
      </c>
      <c r="E16" s="0" t="n">
        <f aca="false">-E12</f>
        <v>1586.00910771514</v>
      </c>
      <c r="F16" s="0" t="n">
        <f aca="false">-F12</f>
        <v>1604.86975656364</v>
      </c>
      <c r="G16" s="0" t="n">
        <f aca="false">-G12</f>
        <v>1614.90019254216</v>
      </c>
      <c r="H16" s="0" t="n">
        <f aca="false">-H12</f>
        <v>1663.34719831843</v>
      </c>
      <c r="I16" s="0" t="n">
        <f aca="false">-I12</f>
        <v>1713.24761426798</v>
      </c>
      <c r="J16" s="0" t="n">
        <f aca="false">-J12</f>
        <v>1756.07880462468</v>
      </c>
      <c r="K16" s="0" t="n">
        <f aca="false">-K12</f>
        <v>1799.9807747403</v>
      </c>
      <c r="L16" s="0" t="n">
        <f aca="false">-L12</f>
        <v>1844.9802941088</v>
      </c>
    </row>
    <row r="17" customFormat="false" ht="15" hidden="false" customHeight="false" outlineLevel="0" collapsed="false">
      <c r="A17" s="0" t="s">
        <v>120</v>
      </c>
      <c r="C17" s="4" t="n">
        <f aca="false">-C6*Assumptions!C32/100</f>
        <v>-1616.3314864</v>
      </c>
      <c r="D17" s="4" t="n">
        <f aca="false">-D6*Assumptions!D32/100</f>
        <v>-1648.658116128</v>
      </c>
      <c r="E17" s="4" t="n">
        <f aca="false">-E6*Assumptions!E32/100</f>
        <v>-1607.4416632248</v>
      </c>
      <c r="F17" s="4" t="n">
        <f aca="false">-F6*Assumptions!F32/100</f>
        <v>-1671.73932975379</v>
      </c>
      <c r="G17" s="4" t="n">
        <f aca="false">-G6*Assumptions!G32/100</f>
        <v>-1730.25020629518</v>
      </c>
      <c r="H17" s="4" t="n">
        <f aca="false">-H6*Assumptions!H32/100</f>
        <v>-1782.15771248403</v>
      </c>
      <c r="I17" s="4" t="n">
        <f aca="false">-I6*Assumptions!I32/100</f>
        <v>-1835.62244385855</v>
      </c>
      <c r="J17" s="4" t="n">
        <f aca="false">-J6*Assumptions!J32/100</f>
        <v>-1881.51300495501</v>
      </c>
      <c r="K17" s="4" t="n">
        <f aca="false">-K6*Assumptions!K32/100</f>
        <v>-1928.55083007889</v>
      </c>
      <c r="L17" s="4" t="n">
        <f aca="false">-L6*Assumptions!L32/100</f>
        <v>-1976.76460083086</v>
      </c>
    </row>
    <row r="18" customFormat="false" ht="15" hidden="false" customHeight="false" outlineLevel="0" collapsed="false">
      <c r="A18" s="0" t="s">
        <v>121</v>
      </c>
      <c r="C18" s="4" t="n">
        <f aca="false">(C6-B6)*Assumptions!$B$37/100</f>
        <v>62.4870419999999</v>
      </c>
      <c r="D18" s="4" t="n">
        <f aca="false">(D6-C6)*Assumptions!$B$37/100</f>
        <v>-40.40828716</v>
      </c>
      <c r="E18" s="4" t="n">
        <f aca="false">(E6-D6)*Assumptions!$B$37/100</f>
        <v>-82.4329058064002</v>
      </c>
      <c r="F18" s="4" t="n">
        <f aca="false">(F6-E6)*Assumptions!$B$37/100</f>
        <v>-85.7302220386562</v>
      </c>
      <c r="G18" s="4" t="n">
        <f aca="false">(G6-F6)*Assumptions!$B$37/100</f>
        <v>-78.0145020551769</v>
      </c>
      <c r="H18" s="4" t="n">
        <f aca="false">(H6-G6)*Assumptions!$B$37/100</f>
        <v>-69.2100082518071</v>
      </c>
      <c r="I18" s="4" t="n">
        <f aca="false">(I6-H6)*Assumptions!$B$37/100</f>
        <v>-71.2863084993613</v>
      </c>
      <c r="J18" s="4" t="n">
        <f aca="false">(J6-I6)*Assumptions!$B$37/100</f>
        <v>-61.1874147952847</v>
      </c>
      <c r="K18" s="4" t="n">
        <f aca="false">(K6-J6)*Assumptions!$B$37/100</f>
        <v>-62.717100165167</v>
      </c>
      <c r="L18" s="4" t="n">
        <f aca="false">(L6-K6)*Assumptions!$B$37/100</f>
        <v>-64.285027669296</v>
      </c>
    </row>
    <row r="19" customFormat="false" ht="15" hidden="false" customHeight="false" outlineLevel="0" collapsed="false">
      <c r="A19" s="0" t="s">
        <v>122</v>
      </c>
      <c r="C19" s="0" t="n">
        <f aca="false">C15+C16+C17+C18</f>
        <v>2391.2166310308</v>
      </c>
      <c r="D19" s="0" t="n">
        <f aca="false">D15+D16+D17+D18</f>
        <v>2381.058320903</v>
      </c>
      <c r="E19" s="0" t="n">
        <f aca="false">E15+E16+E17+E18</f>
        <v>2673.79373273639</v>
      </c>
      <c r="F19" s="0" t="n">
        <f aca="false">F15+F16+F17+F18</f>
        <v>2950.14840079423</v>
      </c>
      <c r="G19" s="0" t="n">
        <f aca="false">G15+G16+G17+G18</f>
        <v>3147.17188247903</v>
      </c>
      <c r="H19" s="0" t="n">
        <f aca="false">H15+H16+H17+H18</f>
        <v>3347.78037915091</v>
      </c>
      <c r="I19" s="0" t="n">
        <f aca="false">I15+I16+I17+I18</f>
        <v>3448.21379052543</v>
      </c>
      <c r="J19" s="0" t="n">
        <f aca="false">J15+J16+J17+J18</f>
        <v>3546.30018670513</v>
      </c>
      <c r="K19" s="0" t="n">
        <f aca="false">K15+K16+K17+K18</f>
        <v>3634.95769137276</v>
      </c>
      <c r="L19" s="0" t="n">
        <f aca="false">L15+L16+L17+L18</f>
        <v>3725.83163365708</v>
      </c>
    </row>
    <row r="20" customFormat="false" ht="15" hidden="false" customHeight="false" outlineLevel="0" collapsed="false">
      <c r="A20" s="0" t="s">
        <v>123</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124</v>
      </c>
      <c r="C21" s="0" t="n">
        <f aca="false">C19*C20</f>
        <v>2193.77672571633</v>
      </c>
      <c r="D21" s="0" t="n">
        <f aca="false">D19*D20</f>
        <v>2004.08915150492</v>
      </c>
      <c r="E21" s="0" t="n">
        <f aca="false">E19*E20</f>
        <v>2064.65934950985</v>
      </c>
      <c r="F21" s="0" t="n">
        <f aca="false">F19*F20</f>
        <v>2089.9595035063</v>
      </c>
      <c r="G21" s="0" t="n">
        <f aca="false">G19*G20</f>
        <v>2045.44578449877</v>
      </c>
      <c r="H21" s="0" t="n">
        <f aca="false">H19*H20</f>
        <v>1996.172057655</v>
      </c>
      <c r="I21" s="0" t="n">
        <f aca="false">I19*I20</f>
        <v>1886.29102695839</v>
      </c>
      <c r="J21" s="0" t="n">
        <f aca="false">J19*J20</f>
        <v>1779.76848130455</v>
      </c>
      <c r="K21" s="0" t="n">
        <f aca="false">K19*K20</f>
        <v>1673.63549847446</v>
      </c>
      <c r="L21" s="0" t="n">
        <f aca="false">L19*L20</f>
        <v>1573.83154673057</v>
      </c>
    </row>
    <row r="23" customFormat="false" ht="15" hidden="false" customHeight="false" outlineLevel="0" collapsed="false">
      <c r="A23" s="0" t="s">
        <v>100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Assumptions!$B$34</f>
        <v>9</v>
      </c>
    </row>
    <row r="28" customFormat="false" ht="15" hidden="false" customHeight="false" outlineLevel="0" collapsed="false">
      <c r="A28" s="0" t="s">
        <v>105</v>
      </c>
      <c r="B28" s="4" t="n">
        <f aca="false">Assumptions!$B$35</f>
        <v>2.5</v>
      </c>
    </row>
    <row r="29" customFormat="false" ht="15" hidden="false" customHeight="false" outlineLevel="0" collapsed="false">
      <c r="A29" s="0" t="s">
        <v>106</v>
      </c>
      <c r="B29" s="4" t="n">
        <f aca="false">Assumptions!$B$36</f>
        <v>13</v>
      </c>
    </row>
    <row r="30" customFormat="false" ht="15" hidden="false" customHeight="false" outlineLevel="0" collapsed="false">
      <c r="A30" s="0" t="s">
        <v>127</v>
      </c>
      <c r="B30" s="0" t="n">
        <f aca="false">SUM(C21:L21)</f>
        <v>19307.6291258591</v>
      </c>
    </row>
    <row r="31" customFormat="false" ht="15" hidden="false" customHeight="false" outlineLevel="0" collapsed="false">
      <c r="A31" s="0" t="s">
        <v>128</v>
      </c>
      <c r="B31" s="0" t="n">
        <f aca="false">L19</f>
        <v>3725.83163365708</v>
      </c>
    </row>
    <row r="32" customFormat="false" ht="15" hidden="false" customHeight="false" outlineLevel="0" collapsed="false">
      <c r="A32" s="0" t="s">
        <v>129</v>
      </c>
      <c r="B32" s="0" t="n">
        <f aca="false">IF(B27&gt;B28,B31*(1+B28/100)/((B27-B28)/100),B31*B29)</f>
        <v>58753.4988384385</v>
      </c>
    </row>
    <row r="33" customFormat="false" ht="15" hidden="false" customHeight="false" outlineLevel="0" collapsed="false">
      <c r="A33" s="0" t="s">
        <v>130</v>
      </c>
      <c r="B33" s="0" t="n">
        <f aca="false">B31*B29</f>
        <v>48435.811237542</v>
      </c>
    </row>
    <row r="34" customFormat="false" ht="15" hidden="false" customHeight="false" outlineLevel="0" collapsed="false">
      <c r="A34" s="0" t="s">
        <v>131</v>
      </c>
      <c r="B34" s="0" t="n">
        <f aca="false">MAX(0,MIN(B32,B33))</f>
        <v>48435.811237542</v>
      </c>
    </row>
    <row r="35" customFormat="false" ht="15" hidden="false" customHeight="false" outlineLevel="0" collapsed="false">
      <c r="A35" s="0" t="s">
        <v>132</v>
      </c>
      <c r="B35" s="0" t="n">
        <f aca="false">B34/(1+B27/100)^L4</f>
        <v>20459.8101074974</v>
      </c>
    </row>
    <row r="36" customFormat="false" ht="15" hidden="false" customHeight="false" outlineLevel="0" collapsed="false">
      <c r="A36" s="0" t="s">
        <v>133</v>
      </c>
      <c r="B36" s="0" t="n">
        <f aca="false">B30+B35</f>
        <v>39767.4392333565</v>
      </c>
    </row>
    <row r="37" customFormat="false" ht="15" hidden="false" customHeight="false" outlineLevel="0" collapsed="false">
      <c r="A37" s="0" t="s">
        <v>134</v>
      </c>
      <c r="B37" s="0" t="n">
        <f aca="false">B36+Assumptions!$B$5-Assumptions!$B$4</f>
        <v>42332.8392333565</v>
      </c>
    </row>
    <row r="38" customFormat="false" ht="15" hidden="false" customHeight="false" outlineLevel="0" collapsed="false">
      <c r="A38" s="0" t="s">
        <v>135</v>
      </c>
      <c r="B38" s="0" t="n">
        <f aca="false">B37/Assumptions!$B$3*Assumptions!$B$10</f>
        <v>11.1959747428623</v>
      </c>
    </row>
    <row r="39" customFormat="false" ht="15" hidden="false" customHeight="false" outlineLevel="0" collapsed="false">
      <c r="A39" s="0" t="s">
        <v>136</v>
      </c>
      <c r="B39" s="4" t="n">
        <f aca="false">B38/Assumptions!$B$2-1</f>
        <v>0.371215522702059</v>
      </c>
    </row>
    <row r="41" customFormat="false" ht="15" hidden="false" customHeight="false" outlineLevel="0" collapsed="false">
      <c r="A41" s="0" t="s">
        <v>137</v>
      </c>
      <c r="B41" s="0" t="n">
        <f aca="false">SUMPRODUCT(-C10:L10/(1+$B$27/100)^C4:L4)</f>
        <v>585.344967974811</v>
      </c>
    </row>
    <row r="42" customFormat="false" ht="15" hidden="false" customHeight="false" outlineLevel="0" collapsed="false">
      <c r="A42" s="0" t="s">
        <v>138</v>
      </c>
      <c r="B42" s="0" t="n">
        <f aca="false">IF(B27&gt;B28,-L10*(1+B28/100)/((B27-B28)/100),-L10*20)/(1+B27/100)^L4</f>
        <v>702.262070426087</v>
      </c>
    </row>
    <row r="43" customFormat="false" ht="15" hidden="false" customHeight="false" outlineLevel="0" collapsed="false">
      <c r="A43" s="0" t="s">
        <v>139</v>
      </c>
      <c r="B43" s="0" t="n">
        <f aca="false">(B37+B41+B42)/Assumptions!$B$3*Assumptions!$B$10</f>
        <v>11.5365145257292</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30551.819395988</v>
      </c>
    </row>
    <row r="47" customFormat="false" ht="15" hidden="false" customHeight="false" outlineLevel="0" collapsed="false">
      <c r="A47" s="0" t="s">
        <v>141</v>
      </c>
      <c r="B47" s="0" t="n">
        <f aca="false">(SUMPRODUCT(C19:L19/(1+B45/100)^C4:L4)+B46/(1+B45/100)^L4+Assumptions!$B$5-Assumptions!$B$4)/Assumptions!$B$3*Assumptions!$B$10</f>
        <v>6.57585052815169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-2</v>
      </c>
      <c r="D5" s="4" t="n">
        <f aca="false">Assumptions!D41</f>
        <v>4</v>
      </c>
      <c r="E5" s="4" t="n">
        <f aca="false">Assumptions!E41</f>
        <v>6</v>
      </c>
      <c r="F5" s="4" t="n">
        <f aca="false">Assumptions!F41</f>
        <v>6</v>
      </c>
      <c r="G5" s="4" t="n">
        <f aca="false">Assumptions!G41</f>
        <v>5</v>
      </c>
      <c r="H5" s="4" t="n">
        <f aca="false">Assumptions!H41</f>
        <v>4</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38</v>
      </c>
      <c r="B6" s="3" t="n">
        <v>20829.014</v>
      </c>
      <c r="C6" s="0" t="n">
        <f aca="false">B6*(1+C5/100)</f>
        <v>20412.43372</v>
      </c>
      <c r="D6" s="0" t="n">
        <f aca="false">C6*(1+D5/100)</f>
        <v>21228.9310688</v>
      </c>
      <c r="E6" s="0" t="n">
        <f aca="false">D6*(1+E5/100)</f>
        <v>22502.666932928</v>
      </c>
      <c r="F6" s="0" t="n">
        <f aca="false">E6*(1+F5/100)</f>
        <v>23852.8269489037</v>
      </c>
      <c r="G6" s="0" t="n">
        <f aca="false">F6*(1+G5/100)</f>
        <v>25045.4682963489</v>
      </c>
      <c r="H6" s="0" t="n">
        <f aca="false">G6*(1+H5/100)</f>
        <v>26047.2870282028</v>
      </c>
      <c r="I6" s="0" t="n">
        <f aca="false">H6*(1+I5/100)</f>
        <v>26958.9420741899</v>
      </c>
      <c r="J6" s="0" t="n">
        <f aca="false">I6*(1+J5/100)</f>
        <v>27767.7103364156</v>
      </c>
      <c r="K6" s="0" t="n">
        <f aca="false">J6*(1+K5/100)</f>
        <v>28600.7416465081</v>
      </c>
      <c r="L6" s="0" t="n">
        <f aca="false">K6*(1+L5/100)</f>
        <v>29458.7638959033</v>
      </c>
    </row>
    <row r="7" customFormat="false" ht="15" hidden="false" customHeight="false" outlineLevel="0" collapsed="false">
      <c r="A7" s="0" t="s">
        <v>98</v>
      </c>
      <c r="C7" s="4" t="n">
        <f aca="false">Assumptions!C42</f>
        <v>23</v>
      </c>
      <c r="D7" s="4" t="n">
        <f aca="false">Assumptions!D42</f>
        <v>24.5</v>
      </c>
      <c r="E7" s="4" t="n">
        <f aca="false">Assumptions!E42</f>
        <v>26.5</v>
      </c>
      <c r="F7" s="4" t="n">
        <f aca="false">Assumptions!F42</f>
        <v>28</v>
      </c>
      <c r="G7" s="4" t="n">
        <f aca="false">Assumptions!G42</f>
        <v>29</v>
      </c>
      <c r="H7" s="4" t="n">
        <f aca="false">Assumptions!H42</f>
        <v>29.5</v>
      </c>
      <c r="I7" s="4" t="n">
        <f aca="false">Assumptions!I42</f>
        <v>30</v>
      </c>
      <c r="J7" s="4" t="n">
        <f aca="false">Assumptions!J42</f>
        <v>30</v>
      </c>
      <c r="K7" s="4" t="n">
        <f aca="false">Assumptions!K42</f>
        <v>30</v>
      </c>
      <c r="L7" s="4" t="n">
        <f aca="false">Assumptions!L42</f>
        <v>30</v>
      </c>
    </row>
    <row r="8" customFormat="false" ht="15" hidden="false" customHeight="false" outlineLevel="0" collapsed="false">
      <c r="A8" s="0" t="s">
        <v>44</v>
      </c>
      <c r="C8" s="0" t="n">
        <f aca="false">C6*C7/100</f>
        <v>4694.8597556</v>
      </c>
      <c r="D8" s="0" t="n">
        <f aca="false">D6*D7/100</f>
        <v>5201.088111856</v>
      </c>
      <c r="E8" s="0" t="n">
        <f aca="false">E6*E7/100</f>
        <v>5963.20673722592</v>
      </c>
      <c r="F8" s="0" t="n">
        <f aca="false">F6*F7/100</f>
        <v>6678.79154569303</v>
      </c>
      <c r="G8" s="0" t="n">
        <f aca="false">G6*G7/100</f>
        <v>7263.18580594117</v>
      </c>
      <c r="H8" s="0" t="n">
        <f aca="false">H6*H7/100</f>
        <v>7683.94967331983</v>
      </c>
      <c r="I8" s="0" t="n">
        <f aca="false">I6*I7/100</f>
        <v>8087.68262225698</v>
      </c>
      <c r="J8" s="0" t="n">
        <f aca="false">J6*J7/100</f>
        <v>8330.31310092468</v>
      </c>
      <c r="K8" s="0" t="n">
        <f aca="false">K6*K7/100</f>
        <v>8580.22249395242</v>
      </c>
      <c r="L8" s="0" t="n">
        <f aca="false">L6*L7/100</f>
        <v>8837.629168771</v>
      </c>
    </row>
    <row r="9" customFormat="false" ht="15" hidden="false" customHeight="false" outlineLevel="0" collapsed="false">
      <c r="A9" s="0" t="s">
        <v>99</v>
      </c>
      <c r="C9" s="4" t="n">
        <f aca="false">Assumptions!C43</f>
        <v>0.4</v>
      </c>
      <c r="D9" s="4" t="n">
        <f aca="false">Assumptions!D43</f>
        <v>0.4</v>
      </c>
      <c r="E9" s="4" t="n">
        <f aca="false">Assumptions!E43</f>
        <v>0.4</v>
      </c>
      <c r="F9" s="4" t="n">
        <f aca="false">Assumptions!F43</f>
        <v>0.4</v>
      </c>
      <c r="G9" s="4" t="n">
        <f aca="false">Assumptions!G43</f>
        <v>0.4</v>
      </c>
      <c r="H9" s="4" t="n">
        <f aca="false">Assumptions!H43</f>
        <v>0.4</v>
      </c>
      <c r="I9" s="4" t="n">
        <f aca="false">Assumptions!I43</f>
        <v>0.4</v>
      </c>
      <c r="J9" s="4" t="n">
        <f aca="false">Assumptions!J43</f>
        <v>0.4</v>
      </c>
      <c r="K9" s="4" t="n">
        <f aca="false">Assumptions!K43</f>
        <v>0.4</v>
      </c>
      <c r="L9" s="4" t="n">
        <f aca="false">Assumptions!L43</f>
        <v>0.4</v>
      </c>
    </row>
    <row r="10" customFormat="false" ht="15" hidden="false" customHeight="false" outlineLevel="0" collapsed="false">
      <c r="A10" s="0" t="s">
        <v>114</v>
      </c>
      <c r="C10" s="0" t="n">
        <f aca="false">-C6*C9/100</f>
        <v>-81.64973488</v>
      </c>
      <c r="D10" s="0" t="n">
        <f aca="false">-D6*D9/100</f>
        <v>-84.9157242752</v>
      </c>
      <c r="E10" s="0" t="n">
        <f aca="false">-E6*E9/100</f>
        <v>-90.010667731712</v>
      </c>
      <c r="F10" s="0" t="n">
        <f aca="false">-F6*F9/100</f>
        <v>-95.4113077956147</v>
      </c>
      <c r="G10" s="0" t="n">
        <f aca="false">-G6*G9/100</f>
        <v>-100.181873185395</v>
      </c>
      <c r="H10" s="0" t="n">
        <f aca="false">-H6*H9/100</f>
        <v>-104.189148112811</v>
      </c>
      <c r="I10" s="0" t="n">
        <f aca="false">-I6*I9/100</f>
        <v>-107.83576829676</v>
      </c>
      <c r="J10" s="0" t="n">
        <f aca="false">-J6*J9/100</f>
        <v>-111.070841345662</v>
      </c>
      <c r="K10" s="0" t="n">
        <f aca="false">-K6*K9/100</f>
        <v>-114.402966586032</v>
      </c>
      <c r="L10" s="0" t="n">
        <f aca="false">-L6*L9/100</f>
        <v>-117.835055583613</v>
      </c>
    </row>
    <row r="11" customFormat="false" ht="15" hidden="false" customHeight="false" outlineLevel="0" collapsed="false">
      <c r="A11" s="0" t="s">
        <v>115</v>
      </c>
      <c r="C11" s="0" t="n">
        <f aca="false">C8+C10+C24</f>
        <v>4613.21002072</v>
      </c>
      <c r="D11" s="0" t="n">
        <f aca="false">D8+D10+D24</f>
        <v>5116.1723875808</v>
      </c>
      <c r="E11" s="0" t="n">
        <f aca="false">E8+E10+E24</f>
        <v>5873.19606949421</v>
      </c>
      <c r="F11" s="0" t="n">
        <f aca="false">F8+F10+F24</f>
        <v>6583.38023789742</v>
      </c>
      <c r="G11" s="0" t="n">
        <f aca="false">G8+G10+G24</f>
        <v>7163.00393275578</v>
      </c>
      <c r="H11" s="0" t="n">
        <f aca="false">H8+H10+H24</f>
        <v>7579.76052520702</v>
      </c>
      <c r="I11" s="0" t="n">
        <f aca="false">I8+I10+I24</f>
        <v>7979.84685396022</v>
      </c>
      <c r="J11" s="0" t="n">
        <f aca="false">J8+J10+J24</f>
        <v>8219.24225957902</v>
      </c>
      <c r="K11" s="0" t="n">
        <f aca="false">K8+K10+K24</f>
        <v>8465.81952736639</v>
      </c>
      <c r="L11" s="0" t="n">
        <f aca="false">L8+L10+L24</f>
        <v>8719.79411318739</v>
      </c>
    </row>
    <row r="12" customFormat="false" ht="15" hidden="false" customHeight="false" outlineLevel="0" collapsed="false">
      <c r="A12" s="0" t="s">
        <v>116</v>
      </c>
      <c r="C12" s="4" t="n">
        <f aca="false">-C6*Assumptions!C45/100</f>
        <v>-1592.16983016</v>
      </c>
      <c r="D12" s="4" t="n">
        <f aca="false">-D6*Assumptions!D45/100</f>
        <v>-1592.16983016</v>
      </c>
      <c r="E12" s="4" t="n">
        <f aca="false">-E6*Assumptions!E45/100</f>
        <v>-1620.19201917082</v>
      </c>
      <c r="F12" s="4" t="n">
        <f aca="false">-F6*Assumptions!F45/100</f>
        <v>-1669.69788642326</v>
      </c>
      <c r="G12" s="4" t="n">
        <f aca="false">-G6*Assumptions!G45/100</f>
        <v>-1703.09184415172</v>
      </c>
      <c r="H12" s="4" t="n">
        <f aca="false">-H6*Assumptions!H45/100</f>
        <v>-1771.21551791779</v>
      </c>
      <c r="I12" s="4" t="n">
        <f aca="false">-I6*Assumptions!I45/100</f>
        <v>-1833.20806104491</v>
      </c>
      <c r="J12" s="4" t="n">
        <f aca="false">-J6*Assumptions!J45/100</f>
        <v>-1888.20430287626</v>
      </c>
      <c r="K12" s="4" t="n">
        <f aca="false">-K6*Assumptions!K45/100</f>
        <v>-1944.85043196255</v>
      </c>
      <c r="L12" s="4" t="n">
        <f aca="false">-L6*Assumptions!L45/100</f>
        <v>-2003.19594492143</v>
      </c>
    </row>
    <row r="13" customFormat="false" ht="15" hidden="false" customHeight="false" outlineLevel="0" collapsed="false">
      <c r="A13" s="0" t="s">
        <v>117</v>
      </c>
      <c r="C13" s="0" t="n">
        <f aca="false">C11+C12</f>
        <v>3021.04019056</v>
      </c>
      <c r="D13" s="0" t="n">
        <f aca="false">D11+D12</f>
        <v>3524.0025574208</v>
      </c>
      <c r="E13" s="0" t="n">
        <f aca="false">E11+E12</f>
        <v>4253.00405032339</v>
      </c>
      <c r="F13" s="0" t="n">
        <f aca="false">F11+F12</f>
        <v>4913.68235147416</v>
      </c>
      <c r="G13" s="0" t="n">
        <f aca="false">G11+G12</f>
        <v>5459.91208860405</v>
      </c>
      <c r="H13" s="0" t="n">
        <f aca="false">H11+H12</f>
        <v>5808.54500728923</v>
      </c>
      <c r="I13" s="0" t="n">
        <f aca="false">I11+I12</f>
        <v>6146.6387929153</v>
      </c>
      <c r="J13" s="0" t="n">
        <f aca="false">J11+J12</f>
        <v>6331.03795670276</v>
      </c>
      <c r="K13" s="0" t="n">
        <f aca="false">K11+K12</f>
        <v>6520.96909540384</v>
      </c>
      <c r="L13" s="0" t="n">
        <f aca="false">L11+L12</f>
        <v>6716.59816826596</v>
      </c>
    </row>
    <row r="14" customFormat="false" ht="15" hidden="false" customHeight="false" outlineLevel="0" collapsed="false">
      <c r="A14" s="0" t="s">
        <v>103</v>
      </c>
      <c r="C14" s="4" t="n">
        <f aca="false">Assumptions!C47</f>
        <v>18</v>
      </c>
      <c r="D14" s="4" t="n">
        <f aca="false">Assumptions!D47</f>
        <v>19</v>
      </c>
      <c r="E14" s="4" t="n">
        <f aca="false">Assumptions!E47</f>
        <v>20</v>
      </c>
      <c r="F14" s="4" t="n">
        <f aca="false">Assumptions!F47</f>
        <v>20</v>
      </c>
      <c r="G14" s="4" t="n">
        <f aca="false">Assumptions!G47</f>
        <v>20</v>
      </c>
      <c r="H14" s="4" t="n">
        <f aca="false">Assumptions!H47</f>
        <v>20</v>
      </c>
      <c r="I14" s="4" t="n">
        <f aca="false">Assumptions!I47</f>
        <v>20</v>
      </c>
      <c r="J14" s="4" t="n">
        <f aca="false">Assumptions!J47</f>
        <v>20</v>
      </c>
      <c r="K14" s="4" t="n">
        <f aca="false">Assumptions!K47</f>
        <v>20</v>
      </c>
      <c r="L14" s="4" t="n">
        <f aca="false">Assumptions!L47</f>
        <v>20</v>
      </c>
    </row>
    <row r="15" customFormat="false" ht="15" hidden="false" customHeight="false" outlineLevel="0" collapsed="false">
      <c r="A15" s="0" t="s">
        <v>118</v>
      </c>
      <c r="C15" s="0" t="n">
        <f aca="false">C13-MAX(0,C13)*C14/100</f>
        <v>2477.2529562592</v>
      </c>
      <c r="D15" s="0" t="n">
        <f aca="false">D13-MAX(0,D13)*D14/100</f>
        <v>2854.44207151085</v>
      </c>
      <c r="E15" s="0" t="n">
        <f aca="false">E13-MAX(0,E13)*E14/100</f>
        <v>3402.40324025871</v>
      </c>
      <c r="F15" s="0" t="n">
        <f aca="false">F13-MAX(0,F13)*F14/100</f>
        <v>3930.94588117933</v>
      </c>
      <c r="G15" s="0" t="n">
        <f aca="false">G13-MAX(0,G13)*G14/100</f>
        <v>4367.92967088324</v>
      </c>
      <c r="H15" s="0" t="n">
        <f aca="false">H13-MAX(0,H13)*H14/100</f>
        <v>4646.83600583138</v>
      </c>
      <c r="I15" s="0" t="n">
        <f aca="false">I13-MAX(0,I13)*I14/100</f>
        <v>4917.31103433224</v>
      </c>
      <c r="J15" s="0" t="n">
        <f aca="false">J13-MAX(0,J13)*J14/100</f>
        <v>5064.83036536221</v>
      </c>
      <c r="K15" s="0" t="n">
        <f aca="false">K13-MAX(0,K13)*K14/100</f>
        <v>5216.77527632307</v>
      </c>
      <c r="L15" s="0" t="n">
        <f aca="false">L13-MAX(0,L13)*L14/100</f>
        <v>5373.27853461277</v>
      </c>
    </row>
    <row r="16" customFormat="false" ht="15" hidden="false" customHeight="false" outlineLevel="0" collapsed="false">
      <c r="A16" s="0" t="s">
        <v>119</v>
      </c>
      <c r="C16" s="0" t="n">
        <f aca="false">-C12</f>
        <v>1592.16983016</v>
      </c>
      <c r="D16" s="0" t="n">
        <f aca="false">-D12</f>
        <v>1592.16983016</v>
      </c>
      <c r="E16" s="0" t="n">
        <f aca="false">-E12</f>
        <v>1620.19201917082</v>
      </c>
      <c r="F16" s="0" t="n">
        <f aca="false">-F12</f>
        <v>1669.69788642326</v>
      </c>
      <c r="G16" s="0" t="n">
        <f aca="false">-G12</f>
        <v>1703.09184415172</v>
      </c>
      <c r="H16" s="0" t="n">
        <f aca="false">-H12</f>
        <v>1771.21551791779</v>
      </c>
      <c r="I16" s="0" t="n">
        <f aca="false">-I12</f>
        <v>1833.20806104491</v>
      </c>
      <c r="J16" s="0" t="n">
        <f aca="false">-J12</f>
        <v>1888.20430287626</v>
      </c>
      <c r="K16" s="0" t="n">
        <f aca="false">-K12</f>
        <v>1944.85043196255</v>
      </c>
      <c r="L16" s="0" t="n">
        <f aca="false">-L12</f>
        <v>2003.19594492143</v>
      </c>
    </row>
    <row r="17" customFormat="false" ht="15" hidden="false" customHeight="false" outlineLevel="0" collapsed="false">
      <c r="A17" s="0" t="s">
        <v>120</v>
      </c>
      <c r="C17" s="4" t="n">
        <f aca="false">-C6*Assumptions!C46/100</f>
        <v>-1735.0568662</v>
      </c>
      <c r="D17" s="4" t="n">
        <f aca="false">-D6*Assumptions!D46/100</f>
        <v>-1804.459140848</v>
      </c>
      <c r="E17" s="4" t="n">
        <f aca="false">-E6*Assumptions!E46/100</f>
        <v>-1800.21335463424</v>
      </c>
      <c r="F17" s="4" t="n">
        <f aca="false">-F6*Assumptions!F46/100</f>
        <v>-1908.22615591229</v>
      </c>
      <c r="G17" s="4" t="n">
        <f aca="false">-G6*Assumptions!G46/100</f>
        <v>-2003.63746370791</v>
      </c>
      <c r="H17" s="4" t="n">
        <f aca="false">-H6*Assumptions!H46/100</f>
        <v>-1953.54652711521</v>
      </c>
      <c r="I17" s="4" t="n">
        <f aca="false">-I6*Assumptions!I46/100</f>
        <v>-2021.92065556424</v>
      </c>
      <c r="J17" s="4" t="n">
        <f aca="false">-J6*Assumptions!J46/100</f>
        <v>-2082.57827523117</v>
      </c>
      <c r="K17" s="4" t="n">
        <f aca="false">-K6*Assumptions!K46/100</f>
        <v>-2145.05562348811</v>
      </c>
      <c r="L17" s="4" t="n">
        <f aca="false">-L6*Assumptions!L46/100</f>
        <v>-2209.40729219275</v>
      </c>
    </row>
    <row r="18" customFormat="false" ht="15" hidden="false" customHeight="false" outlineLevel="0" collapsed="false">
      <c r="A18" s="0" t="s">
        <v>121</v>
      </c>
      <c r="C18" s="4" t="n">
        <f aca="false">(C6-B6)*Assumptions!$B$51/100</f>
        <v>41.6580280000002</v>
      </c>
      <c r="D18" s="4" t="n">
        <f aca="false">(D6-C6)*Assumptions!$B$51/100</f>
        <v>-81.64973488</v>
      </c>
      <c r="E18" s="4" t="n">
        <f aca="false">(E6-D6)*Assumptions!$B$51/100</f>
        <v>-127.3735864128</v>
      </c>
      <c r="F18" s="4" t="n">
        <f aca="false">(F6-E6)*Assumptions!$B$51/100</f>
        <v>-135.016001597568</v>
      </c>
      <c r="G18" s="4" t="n">
        <f aca="false">(G6-F6)*Assumptions!$B$51/100</f>
        <v>-119.264134744518</v>
      </c>
      <c r="H18" s="4" t="n">
        <f aca="false">(H6-G6)*Assumptions!$B$51/100</f>
        <v>-100.181873185396</v>
      </c>
      <c r="I18" s="4" t="n">
        <f aca="false">(I6-H6)*Assumptions!$B$51/100</f>
        <v>-91.1655045987096</v>
      </c>
      <c r="J18" s="4" t="n">
        <f aca="false">(J6-I6)*Assumptions!$B$51/100</f>
        <v>-80.8768262225698</v>
      </c>
      <c r="K18" s="4" t="n">
        <f aca="false">(K6-J6)*Assumptions!$B$51/100</f>
        <v>-83.3031310092469</v>
      </c>
      <c r="L18" s="4" t="n">
        <f aca="false">(L6-K6)*Assumptions!$B$51/100</f>
        <v>-85.8022249395242</v>
      </c>
    </row>
    <row r="19" customFormat="false" ht="15" hidden="false" customHeight="false" outlineLevel="0" collapsed="false">
      <c r="A19" s="0" t="s">
        <v>122</v>
      </c>
      <c r="C19" s="0" t="n">
        <f aca="false">C15+C16+C17+C18</f>
        <v>2376.0239482192</v>
      </c>
      <c r="D19" s="0" t="n">
        <f aca="false">D15+D16+D17+D18</f>
        <v>2560.50302594285</v>
      </c>
      <c r="E19" s="0" t="n">
        <f aca="false">E15+E16+E17+E18</f>
        <v>3095.00831838249</v>
      </c>
      <c r="F19" s="0" t="n">
        <f aca="false">F15+F16+F17+F18</f>
        <v>3557.40161009272</v>
      </c>
      <c r="G19" s="0" t="n">
        <f aca="false">G15+G16+G17+G18</f>
        <v>3948.11991658254</v>
      </c>
      <c r="H19" s="0" t="n">
        <f aca="false">H15+H16+H17+H18</f>
        <v>4364.32312344857</v>
      </c>
      <c r="I19" s="0" t="n">
        <f aca="false">I15+I16+I17+I18</f>
        <v>4637.4329352142</v>
      </c>
      <c r="J19" s="0" t="n">
        <f aca="false">J15+J16+J17+J18</f>
        <v>4789.57956678473</v>
      </c>
      <c r="K19" s="0" t="n">
        <f aca="false">K15+K16+K17+K18</f>
        <v>4933.26695378827</v>
      </c>
      <c r="L19" s="0" t="n">
        <f aca="false">L15+L16+L17+L18</f>
        <v>5081.26496240192</v>
      </c>
    </row>
    <row r="20" customFormat="false" ht="15" hidden="false" customHeight="false" outlineLevel="0" collapsed="false">
      <c r="A20" s="0" t="s">
        <v>123</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124</v>
      </c>
      <c r="C21" s="0" t="n">
        <f aca="false">C19*C20</f>
        <v>2179.83848460477</v>
      </c>
      <c r="D21" s="0" t="n">
        <f aca="false">D19*D20</f>
        <v>2155.12416963458</v>
      </c>
      <c r="E21" s="0" t="n">
        <f aca="false">E19*E20</f>
        <v>2389.91429410653</v>
      </c>
      <c r="F21" s="0" t="n">
        <f aca="false">F19*F20</f>
        <v>2520.15298647361</v>
      </c>
      <c r="G21" s="0" t="n">
        <f aca="false">G19*G20</f>
        <v>2566.0070506566</v>
      </c>
      <c r="H21" s="0" t="n">
        <f aca="false">H19*H20</f>
        <v>2602.30328245583</v>
      </c>
      <c r="I21" s="0" t="n">
        <f aca="false">I19*I20</f>
        <v>2536.83462372643</v>
      </c>
      <c r="J21" s="0" t="n">
        <f aca="false">J19*J20</f>
        <v>2403.72847837896</v>
      </c>
      <c r="K21" s="0" t="n">
        <f aca="false">K19*K20</f>
        <v>2271.41314929388</v>
      </c>
      <c r="L21" s="0" t="n">
        <f aca="false">L19*L20</f>
        <v>2146.38123281899</v>
      </c>
    </row>
    <row r="23" customFormat="false" ht="15" hidden="false" customHeight="false" outlineLevel="0" collapsed="false">
      <c r="A23" s="0" t="s">
        <v>100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Assumptions!$B$48</f>
        <v>9</v>
      </c>
    </row>
    <row r="28" customFormat="false" ht="15" hidden="false" customHeight="false" outlineLevel="0" collapsed="false">
      <c r="A28" s="0" t="s">
        <v>105</v>
      </c>
      <c r="B28" s="4" t="n">
        <f aca="false">Assumptions!$B$49</f>
        <v>3</v>
      </c>
    </row>
    <row r="29" customFormat="false" ht="15" hidden="false" customHeight="false" outlineLevel="0" collapsed="false">
      <c r="A29" s="0" t="s">
        <v>106</v>
      </c>
      <c r="B29" s="4" t="n">
        <f aca="false">Assumptions!$B$50</f>
        <v>13</v>
      </c>
    </row>
    <row r="30" customFormat="false" ht="15" hidden="false" customHeight="false" outlineLevel="0" collapsed="false">
      <c r="A30" s="0" t="s">
        <v>127</v>
      </c>
      <c r="B30" s="0" t="n">
        <f aca="false">SUM(C21:L21)</f>
        <v>23771.6977521502</v>
      </c>
    </row>
    <row r="31" customFormat="false" ht="15" hidden="false" customHeight="false" outlineLevel="0" collapsed="false">
      <c r="A31" s="0" t="s">
        <v>128</v>
      </c>
      <c r="B31" s="0" t="n">
        <f aca="false">L19</f>
        <v>5081.26496240192</v>
      </c>
    </row>
    <row r="32" customFormat="false" ht="15" hidden="false" customHeight="false" outlineLevel="0" collapsed="false">
      <c r="A32" s="0" t="s">
        <v>129</v>
      </c>
      <c r="B32" s="0" t="n">
        <f aca="false">IF(B27&gt;B28,B31*(1+B28/100)/((B27-B28)/100),B31*B29)</f>
        <v>87228.3818545663</v>
      </c>
    </row>
    <row r="33" customFormat="false" ht="15" hidden="false" customHeight="false" outlineLevel="0" collapsed="false">
      <c r="A33" s="0" t="s">
        <v>130</v>
      </c>
      <c r="B33" s="0" t="n">
        <f aca="false">B31*B29</f>
        <v>66056.4445112249</v>
      </c>
    </row>
    <row r="34" customFormat="false" ht="15" hidden="false" customHeight="false" outlineLevel="0" collapsed="false">
      <c r="A34" s="0" t="s">
        <v>131</v>
      </c>
      <c r="B34" s="0" t="n">
        <f aca="false">MAX(0,MIN(B32,B33))</f>
        <v>66056.4445112249</v>
      </c>
    </row>
    <row r="35" customFormat="false" ht="15" hidden="false" customHeight="false" outlineLevel="0" collapsed="false">
      <c r="A35" s="0" t="s">
        <v>132</v>
      </c>
      <c r="B35" s="0" t="n">
        <f aca="false">B34/(1+B27/100)^L4</f>
        <v>27902.9560266468</v>
      </c>
    </row>
    <row r="36" customFormat="false" ht="15" hidden="false" customHeight="false" outlineLevel="0" collapsed="false">
      <c r="A36" s="0" t="s">
        <v>133</v>
      </c>
      <c r="B36" s="0" t="n">
        <f aca="false">B30+B35</f>
        <v>51674.653778797</v>
      </c>
    </row>
    <row r="37" customFormat="false" ht="15" hidden="false" customHeight="false" outlineLevel="0" collapsed="false">
      <c r="A37" s="0" t="s">
        <v>134</v>
      </c>
      <c r="B37" s="0" t="n">
        <f aca="false">B36+Assumptions!$B$5-Assumptions!$B$4</f>
        <v>54240.053778797</v>
      </c>
    </row>
    <row r="38" customFormat="false" ht="15" hidden="false" customHeight="false" outlineLevel="0" collapsed="false">
      <c r="A38" s="0" t="s">
        <v>135</v>
      </c>
      <c r="B38" s="0" t="n">
        <f aca="false">B37/Assumptions!$B$3*Assumptions!$B$10</f>
        <v>14.3451344903037</v>
      </c>
    </row>
    <row r="39" customFormat="false" ht="15" hidden="false" customHeight="false" outlineLevel="0" collapsed="false">
      <c r="A39" s="0" t="s">
        <v>136</v>
      </c>
      <c r="B39" s="4" t="n">
        <f aca="false">B38/Assumptions!$B$2-1</f>
        <v>0.756905632615273</v>
      </c>
    </row>
    <row r="41" customFormat="false" ht="15" hidden="false" customHeight="false" outlineLevel="0" collapsed="false">
      <c r="A41" s="0" t="s">
        <v>137</v>
      </c>
      <c r="B41" s="0" t="n">
        <f aca="false">SUMPRODUCT(-C10:L10/(1+$B$27/100)^C4:L4)</f>
        <v>627.894007747303</v>
      </c>
    </row>
    <row r="42" customFormat="false" ht="15" hidden="false" customHeight="false" outlineLevel="0" collapsed="false">
      <c r="A42" s="0" t="s">
        <v>138</v>
      </c>
      <c r="B42" s="0" t="n">
        <f aca="false">IF(B27&gt;B28,-L10*(1+B28/100)/((B27-B28)/100),-L10*20)/(1+B27/100)^L4</f>
        <v>854.467415616044</v>
      </c>
    </row>
    <row r="43" customFormat="false" ht="15" hidden="false" customHeight="false" outlineLevel="0" collapsed="false">
      <c r="A43" s="0" t="s">
        <v>139</v>
      </c>
      <c r="B43" s="0" t="n">
        <f aca="false">(B37+B41+B42)/Assumptions!$B$3*Assumptions!$B$10</f>
        <v>14.7371819257304</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43614.1909272831</v>
      </c>
    </row>
    <row r="47" customFormat="false" ht="15" hidden="false" customHeight="false" outlineLevel="0" collapsed="false">
      <c r="A47" s="0" t="s">
        <v>141</v>
      </c>
      <c r="B47" s="0" t="n">
        <f aca="false">(SUMPRODUCT(C19:L19/(1+B45/100)^C4:L4)+B46/(1+B45/100)^L4+Assumptions!$B$5-Assumptions!$B$4)/Assumptions!$B$3*Assumptions!$B$10</f>
        <v>8.26075279916835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7.83214032501398</v>
      </c>
      <c r="C4" s="0" t="n">
        <f aca="false">B4/Assumptions!$B$2-1</f>
        <v>-0.0407666472732412</v>
      </c>
      <c r="D4" s="4" t="n">
        <f aca="false">Assumptions!$B$24</f>
        <v>0.25</v>
      </c>
      <c r="E4" s="4" t="n">
        <f aca="false">DCF_Bear!$B$43</f>
        <v>8.10930845460223</v>
      </c>
      <c r="F4" s="4" t="n">
        <f aca="false">DCF_Bear!$B$47</f>
        <v>4.89676162608575</v>
      </c>
    </row>
    <row r="5" customFormat="false" ht="15" hidden="false" customHeight="false" outlineLevel="0" collapsed="false">
      <c r="A5" s="0" t="s">
        <v>150</v>
      </c>
      <c r="B5" s="4" t="n">
        <f aca="false">DCF_Base!$B$38</f>
        <v>11.1959747428623</v>
      </c>
      <c r="C5" s="0" t="n">
        <f aca="false">B5/Assumptions!$B$2-1</f>
        <v>0.371215522702059</v>
      </c>
      <c r="D5" s="4" t="n">
        <f aca="false">Assumptions!$B$38</f>
        <v>0.5</v>
      </c>
      <c r="E5" s="4" t="n">
        <f aca="false">DCF_Base!$B$43</f>
        <v>11.5365145257292</v>
      </c>
      <c r="F5" s="4" t="n">
        <f aca="false">DCF_Base!$B$47</f>
        <v>6.57585052815169</v>
      </c>
    </row>
    <row r="6" customFormat="false" ht="15" hidden="false" customHeight="false" outlineLevel="0" collapsed="false">
      <c r="A6" s="0" t="s">
        <v>151</v>
      </c>
      <c r="B6" s="4" t="n">
        <f aca="false">DCF_Bull!$B$38</f>
        <v>14.3451344903037</v>
      </c>
      <c r="C6" s="0" t="n">
        <f aca="false">B6/Assumptions!$B$2-1</f>
        <v>0.756905632615273</v>
      </c>
      <c r="D6" s="4" t="n">
        <f aca="false">Assumptions!$B$52</f>
        <v>0.25</v>
      </c>
      <c r="E6" s="4" t="n">
        <f aca="false">DCF_Bull!$B$43</f>
        <v>14.7371819257304</v>
      </c>
      <c r="F6" s="4" t="n">
        <f aca="false">DCF_Bull!$B$47</f>
        <v>8.26075279916835</v>
      </c>
    </row>
    <row r="8" customFormat="false" ht="15" hidden="false" customHeight="false" outlineLevel="0" collapsed="false">
      <c r="A8" s="0" t="s">
        <v>152</v>
      </c>
      <c r="B8" s="0" t="n">
        <f aca="false">SUMPRODUCT(B4:B6,D4:D6)</f>
        <v>11.1423060752606</v>
      </c>
    </row>
    <row r="9" customFormat="false" ht="15" hidden="false" customHeight="false" outlineLevel="0" collapsed="false">
      <c r="A9" s="0" t="s">
        <v>153</v>
      </c>
      <c r="B9" s="0" t="n">
        <f aca="false">SUMPRODUCT(E4:E6,D4:D6)</f>
        <v>11.4798798579478</v>
      </c>
    </row>
    <row r="10" customFormat="false" ht="15" hidden="false" customHeight="false" outlineLevel="0" collapsed="false">
      <c r="A10" s="0" t="s">
        <v>154</v>
      </c>
      <c r="B10" s="0" t="n">
        <f aca="false">1-Assumptions!$B$2/B8</f>
        <v>0.267207349641124</v>
      </c>
    </row>
    <row r="11" customFormat="false" ht="15" hidden="false" customHeight="false" outlineLevel="0" collapsed="false">
      <c r="A11" s="0" t="s">
        <v>155</v>
      </c>
      <c r="B11" s="0" t="n">
        <f aca="false">IF(ABS(B9-B8)&gt;0.01*ABS(B8),(Assumptions!$B$2-B8)/(B9-B8)*100,"n/a")</f>
        <v>-881.971950416332</v>
      </c>
    </row>
    <row r="12" customFormat="false" ht="15" hidden="false" customHeight="false" outlineLevel="0" collapsed="false">
      <c r="A12" s="0" t="s">
        <v>156</v>
      </c>
      <c r="B12" s="0" t="n">
        <f aca="false">SUMPRODUCT(F4:F6,D4:D6)</f>
        <v>6.57730387038937</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11.1959747428623</v>
      </c>
      <c r="C15" s="3" t="n">
        <v>9</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10.4866386908823</v>
      </c>
      <c r="C16" s="3" t="n">
        <v>10</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9.51166895260014</v>
      </c>
      <c r="C17" s="3" t="n">
        <v>11</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8.54366206525692</v>
      </c>
      <c r="C18" s="3" t="n">
        <v>12</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6.57585052815169</v>
      </c>
      <c r="C19" s="3" t="n">
        <v>15</v>
      </c>
    </row>
    <row r="21" customFormat="false" ht="15" hidden="false" customHeight="false" outlineLevel="0" collapsed="false">
      <c r="A21" s="2" t="s">
        <v>164</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12.8250976190641</v>
      </c>
      <c r="C23" s="0" t="n">
        <f aca="false">(SUMPRODUCT(DCF_Base!$C$19:$L$19/(1+$A$23/100)^DCF_Base!$C$4:$L$4)+MAX(0,MIN(IF($A$23&gt;$C$22,DCF_Base!$L$19*(1+$C$22/100)/(($A$23-$C$22)/100),DCF_Base!$L$19*DCF_Base!$B$29),DCF_Base!$L$19*DCF_Base!$B$29))/(1+$A$23/100)^DCF_Base!$L$4+Assumptions!$B$5-Assumptions!$B$4)/Assumptions!$B$3*Assumptions!$B$10</f>
        <v>12.8250976190641</v>
      </c>
      <c r="D23" s="0" t="n">
        <f aca="false">(SUMPRODUCT(DCF_Base!$C$19:$L$19/(1+$A$23/100)^DCF_Base!$C$4:$L$4)+MAX(0,MIN(IF($A$23&gt;$D$22,DCF_Base!$L$19*(1+$D$22/100)/(($A$23-$D$22)/100),DCF_Base!$L$19*DCF_Base!$B$29),DCF_Base!$L$19*DCF_Base!$B$29))/(1+$A$23/100)^DCF_Base!$L$4+Assumptions!$B$5-Assumptions!$B$4)/Assumptions!$B$3*Assumptions!$B$10</f>
        <v>12.8250976190641</v>
      </c>
      <c r="E23" s="0" t="n">
        <f aca="false">(SUMPRODUCT(DCF_Base!$C$19:$L$19/(1+$A$23/100)^DCF_Base!$C$4:$L$4)+MAX(0,MIN(IF($A$23&gt;$E$22,DCF_Base!$L$19*(1+$E$22/100)/(($A$23-$E$22)/100),DCF_Base!$L$19*DCF_Base!$B$29),DCF_Base!$L$19*DCF_Base!$B$29))/(1+$A$23/100)^DCF_Base!$L$4+Assumptions!$B$5-Assumptions!$B$4)/Assumptions!$B$3*Assumptions!$B$10</f>
        <v>12.8250976190641</v>
      </c>
      <c r="F23" s="0" t="n">
        <f aca="false">(SUMPRODUCT(DCF_Base!$C$19:$L$19/(1+$A$23/100)^DCF_Base!$C$4:$L$4)+MAX(0,MIN(IF($A$23&gt;$F$22,DCF_Base!$L$19*(1+$F$22/100)/(($A$23-$F$22)/100),DCF_Base!$L$19*DCF_Base!$B$29),DCF_Base!$L$19*DCF_Base!$B$29))/(1+$A$23/100)^DCF_Base!$L$4+Assumptions!$B$5-Assumptions!$B$4)/Assumptions!$B$3*Assumptions!$B$10</f>
        <v>12.8250976190641</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11.9729674474037</v>
      </c>
      <c r="C24" s="0" t="n">
        <f aca="false">(SUMPRODUCT(DCF_Base!$C$19:$L$19/(1+$A$24/100)^DCF_Base!$C$4:$L$4)+MAX(0,MIN(IF($A$24&gt;$C$22,DCF_Base!$L$19*(1+$C$22/100)/(($A$24-$C$22)/100),DCF_Base!$L$19*DCF_Base!$B$29),DCF_Base!$L$19*DCF_Base!$B$29))/(1+$A$24/100)^DCF_Base!$L$4+Assumptions!$B$5-Assumptions!$B$4)/Assumptions!$B$3*Assumptions!$B$10</f>
        <v>11.9729674474037</v>
      </c>
      <c r="D24" s="0" t="n">
        <f aca="false">(SUMPRODUCT(DCF_Base!$C$19:$L$19/(1+$A$24/100)^DCF_Base!$C$4:$L$4)+MAX(0,MIN(IF($A$24&gt;$D$22,DCF_Base!$L$19*(1+$D$22/100)/(($A$24-$D$22)/100),DCF_Base!$L$19*DCF_Base!$B$29),DCF_Base!$L$19*DCF_Base!$B$29))/(1+$A$24/100)^DCF_Base!$L$4+Assumptions!$B$5-Assumptions!$B$4)/Assumptions!$B$3*Assumptions!$B$10</f>
        <v>11.9729674474037</v>
      </c>
      <c r="E24" s="0" t="n">
        <f aca="false">(SUMPRODUCT(DCF_Base!$C$19:$L$19/(1+$A$24/100)^DCF_Base!$C$4:$L$4)+MAX(0,MIN(IF($A$24&gt;$E$22,DCF_Base!$L$19*(1+$E$22/100)/(($A$24-$E$22)/100),DCF_Base!$L$19*DCF_Base!$B$29),DCF_Base!$L$19*DCF_Base!$B$29))/(1+$A$24/100)^DCF_Base!$L$4+Assumptions!$B$5-Assumptions!$B$4)/Assumptions!$B$3*Assumptions!$B$10</f>
        <v>11.9729674474037</v>
      </c>
      <c r="F24" s="0" t="n">
        <f aca="false">(SUMPRODUCT(DCF_Base!$C$19:$L$19/(1+$A$24/100)^DCF_Base!$C$4:$L$4)+MAX(0,MIN(IF($A$24&gt;$F$22,DCF_Base!$L$19*(1+$F$22/100)/(($A$24-$F$22)/100),DCF_Base!$L$19*DCF_Base!$B$29),DCF_Base!$L$19*DCF_Base!$B$29))/(1+$A$24/100)^DCF_Base!$L$4+Assumptions!$B$5-Assumptions!$B$4)/Assumptions!$B$3*Assumptions!$B$10</f>
        <v>11.9729674474037</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11.1959747428623</v>
      </c>
      <c r="C25" s="0" t="n">
        <f aca="false">(SUMPRODUCT(DCF_Base!$C$19:$L$19/(1+$A$25/100)^DCF_Base!$C$4:$L$4)+MAX(0,MIN(IF($A$25&gt;$C$22,DCF_Base!$L$19*(1+$C$22/100)/(($A$25-$C$22)/100),DCF_Base!$L$19*DCF_Base!$B$29),DCF_Base!$L$19*DCF_Base!$B$29))/(1+$A$25/100)^DCF_Base!$L$4+Assumptions!$B$5-Assumptions!$B$4)/Assumptions!$B$3*Assumptions!$B$10</f>
        <v>11.1959747428623</v>
      </c>
      <c r="D25" s="0" t="n">
        <f aca="false">(SUMPRODUCT(DCF_Base!$C$19:$L$19/(1+$A$25/100)^DCF_Base!$C$4:$L$4)+MAX(0,MIN(IF($A$25&gt;$D$22,DCF_Base!$L$19*(1+$D$22/100)/(($A$25-$D$22)/100),DCF_Base!$L$19*DCF_Base!$B$29),DCF_Base!$L$19*DCF_Base!$B$29))/(1+$A$25/100)^DCF_Base!$L$4+Assumptions!$B$5-Assumptions!$B$4)/Assumptions!$B$3*Assumptions!$B$10</f>
        <v>11.1959747428623</v>
      </c>
      <c r="E25" s="0" t="n">
        <f aca="false">(SUMPRODUCT(DCF_Base!$C$19:$L$19/(1+$A$25/100)^DCF_Base!$C$4:$L$4)+MAX(0,MIN(IF($A$25&gt;$E$22,DCF_Base!$L$19*(1+$E$22/100)/(($A$25-$E$22)/100),DCF_Base!$L$19*DCF_Base!$B$29),DCF_Base!$L$19*DCF_Base!$B$29))/(1+$A$25/100)^DCF_Base!$L$4+Assumptions!$B$5-Assumptions!$B$4)/Assumptions!$B$3*Assumptions!$B$10</f>
        <v>11.1959747428623</v>
      </c>
      <c r="F25" s="0" t="n">
        <f aca="false">(SUMPRODUCT(DCF_Base!$C$19:$L$19/(1+$A$25/100)^DCF_Base!$C$4:$L$4)+MAX(0,MIN(IF($A$25&gt;$F$22,DCF_Base!$L$19*(1+$F$22/100)/(($A$25-$F$22)/100),DCF_Base!$L$19*DCF_Base!$B$29),DCF_Base!$L$19*DCF_Base!$B$29))/(1+$A$25/100)^DCF_Base!$L$4+Assumptions!$B$5-Assumptions!$B$4)/Assumptions!$B$3*Assumptions!$B$10</f>
        <v>11.1959747428623</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10.0843808940548</v>
      </c>
      <c r="C26" s="0" t="n">
        <f aca="false">(SUMPRODUCT(DCF_Base!$C$19:$L$19/(1+$A$26/100)^DCF_Base!$C$4:$L$4)+MAX(0,MIN(IF($A$26&gt;$C$22,DCF_Base!$L$19*(1+$C$22/100)/(($A$26-$C$22)/100),DCF_Base!$L$19*DCF_Base!$B$29),DCF_Base!$L$19*DCF_Base!$B$29))/(1+$A$26/100)^DCF_Base!$L$4+Assumptions!$B$5-Assumptions!$B$4)/Assumptions!$B$3*Assumptions!$B$10</f>
        <v>10.3916611555202</v>
      </c>
      <c r="D26" s="0" t="n">
        <f aca="false">(SUMPRODUCT(DCF_Base!$C$19:$L$19/(1+$A$26/100)^DCF_Base!$C$4:$L$4)+MAX(0,MIN(IF($A$26&gt;$D$22,DCF_Base!$L$19*(1+$D$22/100)/(($A$26-$D$22)/100),DCF_Base!$L$19*DCF_Base!$B$29),DCF_Base!$L$19*DCF_Base!$B$29))/(1+$A$26/100)^DCF_Base!$L$4+Assumptions!$B$5-Assumptions!$B$4)/Assumptions!$B$3*Assumptions!$B$10</f>
        <v>10.4866386908823</v>
      </c>
      <c r="E26" s="0" t="n">
        <f aca="false">(SUMPRODUCT(DCF_Base!$C$19:$L$19/(1+$A$26/100)^DCF_Base!$C$4:$L$4)+MAX(0,MIN(IF($A$26&gt;$E$22,DCF_Base!$L$19*(1+$E$22/100)/(($A$26-$E$22)/100),DCF_Base!$L$19*DCF_Base!$B$29),DCF_Base!$L$19*DCF_Base!$B$29))/(1+$A$26/100)^DCF_Base!$L$4+Assumptions!$B$5-Assumptions!$B$4)/Assumptions!$B$3*Assumptions!$B$10</f>
        <v>10.4866386908823</v>
      </c>
      <c r="F26" s="0" t="n">
        <f aca="false">(SUMPRODUCT(DCF_Base!$C$19:$L$19/(1+$A$26/100)^DCF_Base!$C$4:$L$4)+MAX(0,MIN(IF($A$26&gt;$F$22,DCF_Base!$L$19*(1+$F$22/100)/(($A$26-$F$22)/100),DCF_Base!$L$19*DCF_Base!$B$29),DCF_Base!$L$19*DCF_Base!$B$29))/(1+$A$26/100)^DCF_Base!$L$4+Assumptions!$B$5-Assumptions!$B$4)/Assumptions!$B$3*Assumptions!$B$10</f>
        <v>10.4866386908823</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9.03462499597611</v>
      </c>
      <c r="C27" s="0" t="n">
        <f aca="false">(SUMPRODUCT(DCF_Base!$C$19:$L$19/(1+$A$27/100)^DCF_Base!$C$4:$L$4)+MAX(0,MIN(IF($A$27&gt;$C$22,DCF_Base!$L$19*(1+$C$22/100)/(($A$27-$C$22)/100),DCF_Base!$L$19*DCF_Base!$B$29),DCF_Base!$L$19*DCF_Base!$B$29))/(1+$A$27/100)^DCF_Base!$L$4+Assumptions!$B$5-Assumptions!$B$4)/Assumptions!$B$3*Assumptions!$B$10</f>
        <v>9.25989575327079</v>
      </c>
      <c r="D27" s="0" t="n">
        <f aca="false">(SUMPRODUCT(DCF_Base!$C$19:$L$19/(1+$A$27/100)^DCF_Base!$C$4:$L$4)+MAX(0,MIN(IF($A$27&gt;$D$22,DCF_Base!$L$19*(1+$D$22/100)/(($A$27-$D$22)/100),DCF_Base!$L$19*DCF_Base!$B$29),DCF_Base!$L$19*DCF_Base!$B$29))/(1+$A$27/100)^DCF_Base!$L$4+Assumptions!$B$5-Assumptions!$B$4)/Assumptions!$B$3*Assumptions!$B$10</f>
        <v>9.51166895260014</v>
      </c>
      <c r="E27" s="0" t="n">
        <f aca="false">(SUMPRODUCT(DCF_Base!$C$19:$L$19/(1+$A$27/100)^DCF_Base!$C$4:$L$4)+MAX(0,MIN(IF($A$27&gt;$E$22,DCF_Base!$L$19*(1+$E$22/100)/(($A$27-$E$22)/100),DCF_Base!$L$19*DCF_Base!$B$29),DCF_Base!$L$19*DCF_Base!$B$29))/(1+$A$27/100)^DCF_Base!$L$4+Assumptions!$B$5-Assumptions!$B$4)/Assumptions!$B$3*Assumptions!$B$10</f>
        <v>9.79491380184566</v>
      </c>
      <c r="F27" s="0" t="n">
        <f aca="false">(SUMPRODUCT(DCF_Base!$C$19:$L$19/(1+$A$27/100)^DCF_Base!$C$4:$L$4)+MAX(0,MIN(IF($A$27&gt;$F$22,DCF_Base!$L$19*(1+$F$22/100)/(($A$27-$F$22)/100),DCF_Base!$L$19*DCF_Base!$B$29),DCF_Base!$L$19*DCF_Base!$B$29))/(1+$A$27/100)^DCF_Base!$L$4+Assumptions!$B$5-Assumptions!$B$4)/Assumptions!$B$3*Assumptions!$B$10</f>
        <v>9.838293643622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2026-10-11T09:52:59Z</dcterms:created>
  <dc:creator>openpyxl</dc:creator>
  <dc:description/>
  <dc:language>en-NZ</dc:language>
  <cp:lastModifiedBy/>
  <dcterms:modified xsi:type="dcterms:W3CDTF">2026-10-11T09:52:59Z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