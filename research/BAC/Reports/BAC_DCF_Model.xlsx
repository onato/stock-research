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<sst xmlns="http://schemas.openxmlformats.org/spreadsheetml/2006/main" count="390" uniqueCount="176">
  <si>
    <t xml:space="preserve">Ticker</t>
  </si>
  <si>
    <t xml:space="preserve">BAC</t>
  </si>
  <si>
    <t xml:space="preserve">Company</t>
  </si>
  <si>
    <t xml:space="preserve">Bank of America Corporation</t>
  </si>
  <si>
    <t xml:space="preserve">Valuation date</t>
  </si>
  <si>
    <t xml:space="preserve">2026-09-26</t>
  </si>
  <si>
    <t xml:space="preserve">Current price</t>
  </si>
  <si>
    <t xml:space="preserve">Price as of</t>
  </si>
  <si>
    <t xml:space="preserve">2026-09-25T20:00:03Z NYSE regular close</t>
  </si>
  <si>
    <t xml:space="preserve">Balance sheet date</t>
  </si>
  <si>
    <t xml:space="preserve">2026-06-30</t>
  </si>
  <si>
    <t xml:space="preserve">Model</t>
  </si>
  <si>
    <t xml:space="preserve">Bank FCFE capitalisation at cost of equity (engine route; GAAP net income after regulatory capital retention, net debt zero)</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</si>
  <si>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</si>
  <si>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</si>
  <si>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</si>
  <si>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</si>
  <si>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</si>
  <si>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</si>
  <si>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</si>
  <si>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</si>
  <si>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2026-09-25T22:54:57Z</t>
  </si>
  <si>
    <t xml:space="preserve">Drivers file</t>
  </si>
  <si>
    <t xml:space="preserve">BAC_Drivers.json</t>
  </si>
  <si>
    <t xml:space="preserve">Convention</t>
  </si>
  <si>
    <t xml:space="preserve">Percents stored as percents; formulas divide by 100. Blue = input, green = link, black = formula.</t>
  </si>
  <si>
    <t xml:space="preserve">Methodology</t>
  </si>
  <si>
    <t xml:space="preserve">summary: A money-center bank holding company is valued on what it can distribute to shareholders after funding regulatory-capital-driven balance-sheet growth, discounted at a USD cost of equity -- never on GAAP operating cash flow (dominated by trading-book and loan-portfolio movements) and never with deposits or wholesale funding treated as net debt. GAAP net income is the flow; capital retained to fund RWA/balance-sheet growth at the CET1 target is the reinvestment; 10.5% is the return an owner requires given BAC's mix of a sticky deposit franchise and cyclical capital-markets exposure. The result is the residual-income answer in FCFE form: at a 12.8% mid-cycle ROE and 4.0% terminal growth the franchise is worth ~1.35x book, almost exactly the 1.37x book the market currently pays -- unlike NAB.AX (market at 2.05x vs. a modeled ~1.4x), BAC is not obviously mispriced on this framework in either direction.
key_risks_to_valuation: Net interest margin and yield curve: FY2026 NII guidance depends on an assumed 25bp September rate cut and continued fixed-rate asset repricing; a flatter curve or fewer cuts than modeled compresses NII directly (BAC_Analysis.json flags this as the highest-severity financial risk); Capital-markets cyclicality: Q3 2026 guidance of $1.6-1.8bn IB fees (below ~$2bn consensus) and flat trading YoY shows the H1 2026 boom (record equities +70%, IB +50%) can decelerate sharply quarter to quarter; the bear case assumes this persists rather than reverses; Credit cycle: ~$70bn CRE exposure (office-heavy) and elevated card/consumer credit costs are slow-moving overhangs; a recession would raise provisions across consumer and commercial books simultaneously and could push retention needs above the modeled g/ROE relationship; Share count and buyback pace: H1 2026's -5.0% share count decline (7,680.9m -&gt; 7,294.2m) looks opportunistic (buying into the September selloff) rather than sustainable; the model holds shares flat rather than extrapolating that pace, so realized per-share value could be higher if the fast buyback pace continues, or the model could be too generous if it reverts to the slower ~2%/yr historical norm; Book-value basis: no tangible-book/goodwill breakdown was available from the extracted data (pure-XBRL build, no PDFs); BAC carries ~$69bn of goodwill from legacy acquisitions (Merrill Lynch, Countrywide) that GAAP book value does not strip out, so the P/B multiples in this model are on a GAAP-equity basis, not tangible book; Regulatory capital: Basel III Endgame re-proposal (modest system-wide CET1 relief for G-SIBs) is not yet finalized (comments closed June 2026); a stricter-than-modeled outcome would raise retention above the modeled g/ROE and reduce distributable FCFE</t>
  </si>
  <si>
    <t xml:space="preserve">Data sources</t>
  </si>
  <si>
    <t xml:space="preserve">price: Yahoo Finance chart API at inputs.price_as_of (NYSE regular close); 52-week range 46.12-65.23.
financials: BAC_Metrics.csv (core_metrics, USD millions, FY2006-FY2025 annual + quarterly through Q2 2026) exported from BAC.duckdb (built via SEC XBRL, no PDFs/Extracted text for this filer); kpis table for buybacks, cash_taxes, ebitda_da.
qualitative: BAC_Analysis.json (2026-09-26): business model, competitive position, growth drivers, risk taxonomy, September 2026 guidance/selloff, Q2 2026 earnings detail, bull/bear cases.</t>
  </si>
  <si>
    <t xml:space="preserve">Scenario narrative: bear</t>
  </si>
  <si>
    <t xml:space="preserve">The yield-curve flattening and credit-cycle risks BAC itself flagged materialize: NII growth stalls well below guidance, the capital-markets slowdown that started with soft Q3 IB/trading guidance persists, and elevated CRE (~$70bn, office-heavy) and card charge-offs rise as the cycle turns. Revenue growth falls to 1.5-2.5%, ROE drops to 8-9.5% (below the cost of equity for most of the projection), and the franchise is worth only ~0.9x book (~$36/share).</t>
  </si>
  <si>
    <t xml:space="preserve">Scenario narrative: base</t>
  </si>
  <si>
    <t xml:space="preserve">BAC grows total revenue 7% in FY2027 as NII keeps ramping on fixed-rate asset repricing and loan growth, fading to 4% terminal as a $3.5tn balance sheet cannot compound faster than nominal GDP forever. Net-income margin improves from ~28% to ~29% as the 300-400bp FY2026 operating-leverage guidance persists via AI/digital cost-out, taking ROE from ~11.5% to ~12.8% mid-cycle. At a 10.5% cost of equity this is worth about 1.35x book (~$56/share) -- close to where BAC already trades (1.37x), meaning the market is pricing this scenario almost exactly, not a re-rating.</t>
  </si>
  <si>
    <t xml:space="preserve">Scenario narrative: bull</t>
  </si>
  <si>
    <t xml:space="preserve">The September 2026 caution about Q3 investment-banking fees and trading revenue proves overly conservative: Global Markets and Global Banking sustain the H1 2026 boom (record equities, IB fees), NII keeps compounding at the top of guidance, and Basel III Endgame relief frees capital for further growth. Revenue grows 10% fading to 4.5%, ROE reaches 15% on sustained cost discipline, and the franchise is worth ~1.75x book (~$72/share) -- meaningful upside, but it requires several consecutive years of capital-markets strength that BAC's own Q3 guidance says is already decelerating.</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</si>
  <si>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</si>
  <si>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</si>
  <si>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</si>
  <si>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</si>
  <si>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</si>
  <si>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</si>
  <si>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</si>
  <si>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</si>
  <si>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</si>
  <si>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</si>
  <si>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</si>
  <si>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</si>
  <si>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</si>
  <si>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</si>
  <si>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</si>
  <si>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</si>
  <si>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</si>
  <si>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</si>
  <si>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</si>
  <si>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</si>
  <si>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</si>
  <si>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</si>
  <si>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</si>
  <si>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</si>
  <si>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</si>
  <si>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</si>
  <si>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</si>
  <si>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FY2006</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</si>
  <si>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</si>
  <si>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</si>
  <si>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</si>
  <si>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</si>
  <si>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</si>
  <si>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</si>
  <si>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</si>
  <si>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</si>
  <si>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</si>
  <si>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</si>
  <si>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</si>
  <si>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</si>
  <si>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</si>
  <si>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</si>
  <si>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</si>
  <si>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</si>
  <si>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</si>
  <si>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</si>
  <si>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</si>
  <si>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</si>
  <si>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</si>
  <si>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</si>
  <si>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</si>
  <si>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</si>
  <si>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</si>
  <si>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</si>
  <si>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</si>
  <si>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</si>
  <si>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</si>
  <si>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</si>
  <si>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</si>
  <si>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</si>
  <si>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</si>
  <si>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</si>
  <si>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</si>
  <si>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</si>
  <si>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</si>
  <si>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</si>
  <si>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</si>
  <si>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</si>
  <si>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</si>
  <si>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</si>
  <si>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</si>
  <si>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</si>
  <si>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</si>
  <si>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</si>
  <si>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</si>
  <si>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</si>
  <si>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</si>
  <si>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</si>
  <si>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</si>
  <si>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</si>
  <si>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</si>
  <si>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</si>
  <si>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</si>
  <si>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</si>
  <si>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</si>
  <si>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BAC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</si>
  <si>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</si>
  <si>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</si>
  <si>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</si>
  <si>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</si>
  <si>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</si>
  <si>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</si>
  <si>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</si>
  <si>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</si>
  <si>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</si>
  <si>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</si>
  <si>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</si>
  <si>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</si>
  <si>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</si>
  <si>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</si>
  <si>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</si>
  <si>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</si>
  <si>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</si>
  <si>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</si>
  <si>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</si>
  <si>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</si>
  <si>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</si>
  <si>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</si>
  <si>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</si>
  <si>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</si>
  <si>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</si>
  <si>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</si>
  <si>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</si>
  <si>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</si>
  <si>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</si>
  <si>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</si>
  <si>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BAC owner-FCF component DCF: base case (millions, USD)</t>
  </si>
  <si>
    <t xml:space="preserve">BAC owner-FCF component DCF: bull case (millions, USD)</t>
  </si>
  <si>
    <t xml:space="preserve">BAC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</si>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</sst>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56.7</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135272</v>
      </c>
      <c r="S2" s="0" t="n">
        <v>36429</v>
      </c>
      <c r="AA2" s="0" t="s">
        <v>17</v>
      </c>
      <c r="AB2" s="0" t="s">
        <v>14</v>
      </c>
    </row>
    <row r="3" customFormat="false" ht="15" hidden="false" customHeight="false" outlineLevel="0" collapsed="false">
      <c r="A3" s="0" t="s">
        <v>64</v>
      </c>
      <c r="B3" s="0" t="n">
        <v>66833</v>
      </c>
      <c r="I3" s="0" t="n">
        <v>14982</v>
      </c>
      <c r="J3" s="0" t="n">
        <v>22.4170694118175</v>
      </c>
      <c r="K3" s="0" t="n">
        <v>3.32</v>
      </c>
      <c r="L3" s="0" t="n">
        <v>11036</v>
      </c>
      <c r="O3" s="0" t="n">
        <v>146803</v>
      </c>
      <c r="S3" s="0" t="n">
        <v>42531</v>
      </c>
      <c r="T3" s="0" t="n">
        <v>4463.213</v>
      </c>
      <c r="AA3" s="0" t="s">
        <v>17</v>
      </c>
      <c r="AB3" s="0" t="s">
        <v>14</v>
      </c>
    </row>
    <row r="4" customFormat="false" ht="15" hidden="false" customHeight="false" outlineLevel="0" collapsed="false">
      <c r="A4" s="0" t="s">
        <v>65</v>
      </c>
      <c r="B4" s="0" t="n">
        <v>72782</v>
      </c>
      <c r="I4" s="0" t="n">
        <v>4008</v>
      </c>
      <c r="J4" s="0" t="n">
        <v>5.50685609079168</v>
      </c>
      <c r="K4" s="0" t="n">
        <v>0.54</v>
      </c>
      <c r="L4" s="0" t="n">
        <v>4034</v>
      </c>
      <c r="O4" s="0" t="n">
        <v>177052</v>
      </c>
      <c r="P4" s="0" t="n">
        <v>0</v>
      </c>
      <c r="Q4" s="0" t="n">
        <v>1640891</v>
      </c>
      <c r="R4" s="0" t="n">
        <v>268292</v>
      </c>
      <c r="S4" s="0" t="n">
        <v>32857</v>
      </c>
      <c r="T4" s="0" t="n">
        <v>5017.435592</v>
      </c>
      <c r="U4" s="0" t="n">
        <v>885</v>
      </c>
      <c r="AA4" s="0" t="s">
        <v>17</v>
      </c>
      <c r="AB4" s="0" t="s">
        <v>14</v>
      </c>
    </row>
    <row r="5" customFormat="false" ht="15" hidden="false" customHeight="false" outlineLevel="0" collapsed="false">
      <c r="A5" s="0" t="s">
        <v>66</v>
      </c>
      <c r="B5" s="0" t="n">
        <v>119643</v>
      </c>
      <c r="I5" s="0" t="n">
        <v>6276</v>
      </c>
      <c r="J5" s="0" t="n">
        <v>5.24560567688874</v>
      </c>
      <c r="K5" s="0" t="n">
        <v>-0.29</v>
      </c>
      <c r="L5" s="0" t="n">
        <v>129731</v>
      </c>
      <c r="O5" s="0" t="n">
        <v>231444</v>
      </c>
      <c r="P5" s="0" t="n">
        <v>2330671</v>
      </c>
      <c r="Q5" s="0" t="n">
        <v>2105497</v>
      </c>
      <c r="R5" s="0" t="n">
        <v>522877</v>
      </c>
      <c r="S5" s="0" t="n">
        <v>121339</v>
      </c>
      <c r="T5" s="0" t="n">
        <v>8650.243926</v>
      </c>
      <c r="U5" s="0" t="n">
        <v>2400</v>
      </c>
      <c r="AA5" s="0" t="s">
        <v>17</v>
      </c>
      <c r="AB5" s="0" t="s">
        <v>14</v>
      </c>
    </row>
    <row r="6" customFormat="false" ht="15" hidden="false" customHeight="false" outlineLevel="0" collapsed="false">
      <c r="A6" s="0" t="s">
        <v>67</v>
      </c>
      <c r="B6" s="0" t="n">
        <v>110220</v>
      </c>
      <c r="I6" s="0" t="n">
        <v>-2238</v>
      </c>
      <c r="J6" s="0" t="n">
        <v>-2.03048448557431</v>
      </c>
      <c r="K6" s="0" t="n">
        <v>-0.37</v>
      </c>
      <c r="L6" s="0" t="n">
        <v>82541</v>
      </c>
      <c r="O6" s="0" t="n">
        <v>228248</v>
      </c>
      <c r="P6" s="0" t="n">
        <v>2264909</v>
      </c>
      <c r="Q6" s="0" t="n">
        <v>2036661</v>
      </c>
      <c r="R6" s="0" t="n">
        <v>448431</v>
      </c>
      <c r="S6" s="0" t="n">
        <v>108427</v>
      </c>
      <c r="T6" s="0" t="n">
        <v>10085.154806</v>
      </c>
      <c r="U6" s="0" t="n">
        <v>2000</v>
      </c>
      <c r="AA6" s="0" t="s">
        <v>17</v>
      </c>
      <c r="AB6" s="0" t="s">
        <v>14</v>
      </c>
    </row>
    <row r="7" customFormat="false" ht="15" hidden="false" customHeight="false" outlineLevel="0" collapsed="false">
      <c r="A7" s="0" t="s">
        <v>68</v>
      </c>
      <c r="B7" s="0" t="n">
        <v>93454</v>
      </c>
      <c r="I7" s="0" t="n">
        <v>1446</v>
      </c>
      <c r="J7" s="0" t="n">
        <v>1.54728529543947</v>
      </c>
      <c r="K7" s="0" t="n">
        <v>0.01</v>
      </c>
      <c r="L7" s="0" t="n">
        <v>64448</v>
      </c>
      <c r="O7" s="0" t="n">
        <v>230101</v>
      </c>
      <c r="P7" s="0" t="n">
        <v>2129046</v>
      </c>
      <c r="Q7" s="0" t="n">
        <v>1898945</v>
      </c>
      <c r="R7" s="0" t="n">
        <v>372265</v>
      </c>
      <c r="S7" s="0" t="n">
        <v>120102</v>
      </c>
      <c r="T7" s="0" t="n">
        <v>10535.937957</v>
      </c>
      <c r="U7" s="0" t="n">
        <v>2600</v>
      </c>
      <c r="V7" s="0" t="n">
        <v>0.01</v>
      </c>
      <c r="AA7" s="0" t="s">
        <v>17</v>
      </c>
      <c r="AB7" s="0" t="s">
        <v>14</v>
      </c>
    </row>
    <row r="8" customFormat="false" ht="15" hidden="false" customHeight="false" outlineLevel="0" collapsed="false">
      <c r="A8" s="0" t="s">
        <v>69</v>
      </c>
      <c r="B8" s="0" t="n">
        <v>83334</v>
      </c>
      <c r="I8" s="0" t="n">
        <v>4188</v>
      </c>
      <c r="J8" s="0" t="n">
        <v>5.02555979552164</v>
      </c>
      <c r="K8" s="0" t="n">
        <v>0.26</v>
      </c>
      <c r="L8" s="0" t="n">
        <v>-16056</v>
      </c>
      <c r="O8" s="0" t="n">
        <v>236956</v>
      </c>
      <c r="P8" s="0" t="n">
        <v>2209974</v>
      </c>
      <c r="Q8" s="0" t="n">
        <v>1973018</v>
      </c>
      <c r="R8" s="0" t="n">
        <v>275585</v>
      </c>
      <c r="S8" s="0" t="n">
        <v>110752</v>
      </c>
      <c r="T8" s="0" t="n">
        <v>10840.854</v>
      </c>
      <c r="U8" s="0" t="n">
        <v>2270</v>
      </c>
      <c r="AA8" s="0" t="s">
        <v>17</v>
      </c>
      <c r="AB8" s="0" t="s">
        <v>14</v>
      </c>
    </row>
    <row r="9" customFormat="false" ht="15" hidden="false" customHeight="false" outlineLevel="0" collapsed="false">
      <c r="A9" s="0" t="s">
        <v>70</v>
      </c>
      <c r="B9" s="0" t="n">
        <v>88942</v>
      </c>
      <c r="I9" s="0" t="n">
        <v>11431</v>
      </c>
      <c r="J9" s="0" t="n">
        <v>12.8521958130017</v>
      </c>
      <c r="K9" s="0" t="n">
        <v>0.94</v>
      </c>
      <c r="L9" s="0" t="n">
        <v>92817</v>
      </c>
      <c r="O9" s="0" t="n">
        <v>232475</v>
      </c>
      <c r="P9" s="0" t="n">
        <v>2102273</v>
      </c>
      <c r="Q9" s="0" t="n">
        <v>1869588</v>
      </c>
      <c r="R9" s="0" t="n">
        <v>249674</v>
      </c>
      <c r="S9" s="0" t="n">
        <v>131322</v>
      </c>
      <c r="T9" s="0" t="n">
        <v>11491.418</v>
      </c>
      <c r="U9" s="0" t="n">
        <v>2280</v>
      </c>
      <c r="AA9" s="0" t="s">
        <v>17</v>
      </c>
      <c r="AB9" s="0" t="s">
        <v>14</v>
      </c>
    </row>
    <row r="10" customFormat="false" ht="15" hidden="false" customHeight="false" outlineLevel="0" collapsed="false">
      <c r="A10" s="0" t="s">
        <v>71</v>
      </c>
      <c r="B10" s="0" t="n">
        <v>85894</v>
      </c>
      <c r="I10" s="0" t="n">
        <v>5520</v>
      </c>
      <c r="J10" s="0" t="n">
        <v>6.42652571774513</v>
      </c>
      <c r="K10" s="0" t="n">
        <v>0.43</v>
      </c>
      <c r="O10" s="0" t="n">
        <v>243476</v>
      </c>
      <c r="P10" s="0" t="n">
        <v>2104534</v>
      </c>
      <c r="Q10" s="0" t="n">
        <v>1861063</v>
      </c>
      <c r="R10" s="0" t="n">
        <v>243139</v>
      </c>
      <c r="S10" s="0" t="n">
        <v>138589</v>
      </c>
      <c r="T10" s="0" t="n">
        <v>10584.535</v>
      </c>
      <c r="U10" s="0" t="n">
        <v>2300</v>
      </c>
      <c r="AA10" s="0" t="s">
        <v>17</v>
      </c>
      <c r="AB10" s="0" t="s">
        <v>14</v>
      </c>
    </row>
    <row r="11" customFormat="false" ht="15" hidden="false" customHeight="false" outlineLevel="0" collapsed="false">
      <c r="A11" s="0" t="s">
        <v>72</v>
      </c>
      <c r="B11" s="0" t="n">
        <v>82965</v>
      </c>
      <c r="I11" s="0" t="n">
        <v>15910</v>
      </c>
      <c r="J11" s="0" t="n">
        <v>19.1767612848792</v>
      </c>
      <c r="K11" s="0" t="n">
        <v>1.38</v>
      </c>
      <c r="O11" s="0" t="n">
        <v>255615</v>
      </c>
      <c r="P11" s="0" t="n">
        <v>2144287</v>
      </c>
      <c r="Q11" s="0" t="n">
        <v>1888111</v>
      </c>
      <c r="R11" s="0" t="n">
        <v>236764</v>
      </c>
      <c r="S11" s="0" t="n">
        <v>159353</v>
      </c>
      <c r="T11" s="0" t="n">
        <v>11236.23</v>
      </c>
      <c r="U11" s="0" t="n">
        <v>2100</v>
      </c>
      <c r="AA11" s="0" t="s">
        <v>17</v>
      </c>
      <c r="AB11" s="0" t="s">
        <v>14</v>
      </c>
    </row>
    <row r="12" customFormat="false" ht="15" hidden="false" customHeight="false" outlineLevel="0" collapsed="false">
      <c r="A12" s="0" t="s">
        <v>73</v>
      </c>
      <c r="B12" s="0" t="n">
        <v>83701</v>
      </c>
      <c r="I12" s="0" t="n">
        <v>17822</v>
      </c>
      <c r="J12" s="0" t="n">
        <v>21.2924576767303</v>
      </c>
      <c r="K12" s="0" t="n">
        <v>1.57</v>
      </c>
      <c r="L12" s="0" t="n">
        <v>17277</v>
      </c>
      <c r="O12" s="0" t="n">
        <v>266195</v>
      </c>
      <c r="P12" s="0" t="n">
        <v>2188067</v>
      </c>
      <c r="Q12" s="0" t="n">
        <v>1921872</v>
      </c>
      <c r="R12" s="0" t="n">
        <v>216823</v>
      </c>
      <c r="S12" s="0" t="n">
        <v>147738</v>
      </c>
      <c r="T12" s="0" t="n">
        <v>11046.8</v>
      </c>
      <c r="U12" s="0" t="n">
        <v>2200</v>
      </c>
      <c r="V12" s="0" t="n">
        <v>0.25</v>
      </c>
      <c r="AA12" s="0" t="s">
        <v>17</v>
      </c>
      <c r="AB12" s="0" t="s">
        <v>14</v>
      </c>
    </row>
    <row r="13" customFormat="false" ht="15" hidden="false" customHeight="false" outlineLevel="0" collapsed="false">
      <c r="A13" s="0" t="s">
        <v>74</v>
      </c>
      <c r="B13" s="0" t="n">
        <v>87126</v>
      </c>
      <c r="I13" s="0" t="n">
        <v>18232</v>
      </c>
      <c r="J13" s="0" t="n">
        <v>20.9260151963823</v>
      </c>
      <c r="K13" s="0" t="n">
        <v>1.63</v>
      </c>
      <c r="L13" s="0" t="n">
        <v>9864</v>
      </c>
      <c r="O13" s="0" t="n">
        <v>267146</v>
      </c>
      <c r="P13" s="0" t="n">
        <v>2281234</v>
      </c>
      <c r="Q13" s="0" t="n">
        <v>2014088</v>
      </c>
      <c r="R13" s="0" t="n">
        <v>227402</v>
      </c>
      <c r="S13" s="0" t="n">
        <v>157434</v>
      </c>
      <c r="T13" s="0" t="n">
        <v>10778.4</v>
      </c>
      <c r="U13" s="0" t="n">
        <v>2200</v>
      </c>
      <c r="V13" s="0" t="n">
        <v>0.39</v>
      </c>
      <c r="AA13" s="0" t="s">
        <v>17</v>
      </c>
      <c r="AB13" s="0" t="s">
        <v>14</v>
      </c>
    </row>
    <row r="14" customFormat="false" ht="15" hidden="false" customHeight="false" outlineLevel="0" collapsed="false">
      <c r="A14" s="0" t="s">
        <v>75</v>
      </c>
      <c r="B14" s="0" t="n">
        <v>91020</v>
      </c>
      <c r="I14" s="0" t="n">
        <v>28147</v>
      </c>
      <c r="J14" s="0" t="n">
        <v>30.9239727532411</v>
      </c>
      <c r="K14" s="0" t="n">
        <v>2.64</v>
      </c>
      <c r="L14" s="0" t="n">
        <v>39520</v>
      </c>
      <c r="O14" s="0" t="n">
        <v>265325</v>
      </c>
      <c r="P14" s="0" t="n">
        <v>2354507</v>
      </c>
      <c r="Q14" s="0" t="n">
        <v>2089182</v>
      </c>
      <c r="R14" s="0" t="n">
        <v>229392</v>
      </c>
      <c r="S14" s="0" t="n">
        <v>177404</v>
      </c>
      <c r="T14" s="0" t="n">
        <v>10236.9</v>
      </c>
      <c r="U14" s="0" t="n">
        <v>1800</v>
      </c>
      <c r="V14" s="0" t="n">
        <v>0.54</v>
      </c>
      <c r="AA14" s="0" t="s">
        <v>17</v>
      </c>
      <c r="AB14" s="0" t="s">
        <v>14</v>
      </c>
    </row>
    <row r="15" customFormat="false" ht="15" hidden="false" customHeight="false" outlineLevel="0" collapsed="false">
      <c r="A15" s="0" t="s">
        <v>76</v>
      </c>
      <c r="B15" s="0" t="n">
        <v>91244</v>
      </c>
      <c r="I15" s="0" t="n">
        <v>27430</v>
      </c>
      <c r="J15" s="0" t="n">
        <v>30.0622506685371</v>
      </c>
      <c r="K15" s="0" t="n">
        <v>2.77</v>
      </c>
      <c r="L15" s="0" t="n">
        <v>61777</v>
      </c>
      <c r="O15" s="0" t="n">
        <v>264810</v>
      </c>
      <c r="P15" s="0" t="n">
        <v>2434079</v>
      </c>
      <c r="Q15" s="0" t="n">
        <v>2169269</v>
      </c>
      <c r="R15" s="0" t="n">
        <v>240856</v>
      </c>
      <c r="S15" s="0" t="n">
        <v>161560</v>
      </c>
      <c r="T15" s="0" t="n">
        <v>9442.9</v>
      </c>
      <c r="U15" s="0" t="n">
        <v>2100</v>
      </c>
      <c r="AA15" s="0" t="s">
        <v>17</v>
      </c>
      <c r="AB15" s="0" t="s">
        <v>14</v>
      </c>
    </row>
    <row r="16" customFormat="false" ht="15" hidden="false" customHeight="false" outlineLevel="0" collapsed="false">
      <c r="A16" s="0" t="s">
        <v>77</v>
      </c>
      <c r="B16" s="0" t="n">
        <v>85528</v>
      </c>
      <c r="I16" s="0" t="n">
        <v>17894</v>
      </c>
      <c r="J16" s="0" t="n">
        <v>20.9218033860256</v>
      </c>
      <c r="K16" s="0" t="n">
        <v>1.88</v>
      </c>
      <c r="L16" s="0" t="n">
        <v>37993</v>
      </c>
      <c r="O16" s="0" t="n">
        <v>272924</v>
      </c>
      <c r="P16" s="0" t="n">
        <v>2819627</v>
      </c>
      <c r="Q16" s="0" t="n">
        <v>2546703</v>
      </c>
      <c r="R16" s="0" t="n">
        <v>262934</v>
      </c>
      <c r="T16" s="0" t="n">
        <v>8796.9</v>
      </c>
      <c r="U16" s="0" t="n">
        <v>2100</v>
      </c>
      <c r="AA16" s="0" t="s">
        <v>17</v>
      </c>
      <c r="AB16" s="0" t="s">
        <v>14</v>
      </c>
    </row>
    <row r="17" customFormat="false" ht="15" hidden="false" customHeight="false" outlineLevel="0" collapsed="false">
      <c r="A17" s="0" t="s">
        <v>78</v>
      </c>
      <c r="B17" s="0" t="n">
        <v>89113</v>
      </c>
      <c r="I17" s="0" t="n">
        <v>31978</v>
      </c>
      <c r="J17" s="0" t="n">
        <v>35.8847755097461</v>
      </c>
      <c r="K17" s="0" t="n">
        <v>3.6</v>
      </c>
      <c r="L17" s="0" t="n">
        <v>-7193</v>
      </c>
      <c r="O17" s="0" t="n">
        <v>270066</v>
      </c>
      <c r="P17" s="0" t="n">
        <v>3169495</v>
      </c>
      <c r="Q17" s="0" t="n">
        <v>2899429</v>
      </c>
      <c r="R17" s="0" t="n">
        <v>280117</v>
      </c>
      <c r="T17" s="0" t="n">
        <v>8558.4</v>
      </c>
      <c r="U17" s="0" t="n">
        <v>3000</v>
      </c>
      <c r="AA17" s="0" t="s">
        <v>17</v>
      </c>
      <c r="AB17" s="0" t="s">
        <v>14</v>
      </c>
    </row>
    <row r="18" customFormat="false" ht="15" hidden="false" customHeight="false" outlineLevel="0" collapsed="false">
      <c r="A18" s="0" t="s">
        <v>79</v>
      </c>
      <c r="B18" s="0" t="n">
        <v>94950</v>
      </c>
      <c r="I18" s="0" t="n">
        <v>27528</v>
      </c>
      <c r="J18" s="0" t="n">
        <v>28.9921011058452</v>
      </c>
      <c r="K18" s="0" t="n">
        <v>3.21</v>
      </c>
      <c r="L18" s="0" t="n">
        <v>-6327</v>
      </c>
      <c r="O18" s="0" t="n">
        <v>273197</v>
      </c>
      <c r="P18" s="0" t="n">
        <v>3051375</v>
      </c>
      <c r="Q18" s="0" t="n">
        <v>2778178</v>
      </c>
      <c r="R18" s="0" t="n">
        <v>275982</v>
      </c>
      <c r="T18" s="0" t="n">
        <v>8167.5</v>
      </c>
      <c r="U18" s="0" t="n">
        <v>2900</v>
      </c>
      <c r="AA18" s="0" t="s">
        <v>17</v>
      </c>
      <c r="AB18" s="0" t="s">
        <v>14</v>
      </c>
    </row>
    <row r="19" customFormat="false" ht="15" hidden="false" customHeight="false" outlineLevel="0" collapsed="false">
      <c r="A19" s="0" t="s">
        <v>80</v>
      </c>
      <c r="B19" s="0" t="n">
        <v>102769</v>
      </c>
      <c r="I19" s="0" t="n">
        <v>26305</v>
      </c>
      <c r="J19" s="0" t="n">
        <v>25.5962401113176</v>
      </c>
      <c r="K19" s="0" t="n">
        <v>3.07</v>
      </c>
      <c r="L19" s="0" t="n">
        <v>44982</v>
      </c>
      <c r="O19" s="0" t="n">
        <v>290209</v>
      </c>
      <c r="P19" s="0" t="n">
        <v>3180151</v>
      </c>
      <c r="Q19" s="0" t="n">
        <v>2888505</v>
      </c>
      <c r="R19" s="0" t="n">
        <v>302204</v>
      </c>
      <c r="T19" s="0" t="n">
        <v>8080.5</v>
      </c>
      <c r="U19" s="0" t="n">
        <v>3100</v>
      </c>
      <c r="AA19" s="0" t="s">
        <v>17</v>
      </c>
      <c r="AB19" s="0" t="s">
        <v>14</v>
      </c>
    </row>
    <row r="20" customFormat="false" ht="15" hidden="false" customHeight="false" outlineLevel="0" collapsed="false">
      <c r="A20" s="0" t="s">
        <v>81</v>
      </c>
      <c r="B20" s="0" t="n">
        <v>105856</v>
      </c>
      <c r="I20" s="0" t="n">
        <v>26973</v>
      </c>
      <c r="J20" s="0" t="n">
        <v>25.4808418984281</v>
      </c>
      <c r="K20" s="0" t="n">
        <v>3.23</v>
      </c>
      <c r="L20" s="0" t="n">
        <v>-8805</v>
      </c>
      <c r="O20" s="0" t="n">
        <v>293963</v>
      </c>
      <c r="P20" s="0" t="n">
        <v>3261299</v>
      </c>
      <c r="Q20" s="0" t="n">
        <v>2967336</v>
      </c>
      <c r="R20" s="0" t="n">
        <v>283279</v>
      </c>
      <c r="T20" s="0" t="n">
        <v>7935.8</v>
      </c>
      <c r="U20" s="0" t="n">
        <v>3600</v>
      </c>
      <c r="AA20" s="0" t="s">
        <v>17</v>
      </c>
      <c r="AB20" s="0" t="s">
        <v>14</v>
      </c>
    </row>
    <row r="21" customFormat="false" ht="15" hidden="false" customHeight="false" outlineLevel="0" collapsed="false">
      <c r="A21" s="0" t="s">
        <v>82</v>
      </c>
      <c r="B21" s="0" t="n">
        <v>113097</v>
      </c>
      <c r="I21" s="0" t="n">
        <v>30509</v>
      </c>
      <c r="J21" s="0" t="n">
        <v>26.9759586903278</v>
      </c>
      <c r="K21" s="0" t="n">
        <v>3.86</v>
      </c>
      <c r="L21" s="0" t="n">
        <v>12613</v>
      </c>
      <c r="O21" s="0" t="n">
        <v>303243</v>
      </c>
      <c r="P21" s="0" t="n">
        <v>3411738</v>
      </c>
      <c r="Q21" s="0" t="n">
        <v>3108495</v>
      </c>
      <c r="R21" s="0" t="n">
        <v>317816</v>
      </c>
      <c r="T21" s="0" t="n">
        <v>7680.9</v>
      </c>
      <c r="U21" s="0" t="n">
        <v>4200</v>
      </c>
      <c r="AA21" s="0" t="s">
        <v>17</v>
      </c>
      <c r="AB2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56.7</v>
      </c>
    </row>
    <row r="3" customFormat="false" ht="15" hidden="false" customHeight="false" outlineLevel="0" collapsed="false">
      <c r="A3" s="0" t="s">
        <v>86</v>
      </c>
      <c r="B3" s="3" t="n">
        <v>7294.2</v>
      </c>
    </row>
    <row r="4" customFormat="false" ht="15" hidden="false" customHeight="false" outlineLevel="0" collapsed="false">
      <c r="A4" s="0" t="s">
        <v>87</v>
      </c>
      <c r="B4" s="3" t="n">
        <v>0</v>
      </c>
    </row>
    <row r="5" customFormat="false" ht="15" hidden="false" customHeight="false" outlineLevel="0" collapsed="false">
      <c r="A5" s="0" t="s">
        <v>88</v>
      </c>
      <c r="B5" s="3" t="n">
        <v>0</v>
      </c>
    </row>
    <row r="6" customFormat="false" ht="15" hidden="false" customHeight="false" outlineLevel="0" collapsed="false">
      <c r="A6" s="0" t="s">
        <v>89</v>
      </c>
      <c r="B6" s="3" t="n">
        <v>15</v>
      </c>
    </row>
    <row r="7" customFormat="false" ht="15" hidden="false" customHeight="false" outlineLevel="0" collapsed="false">
      <c r="A7" s="0" t="s">
        <v>90</v>
      </c>
      <c r="B7" s="3" t="n">
        <v>122974.6</v>
      </c>
    </row>
    <row r="8" customFormat="false" ht="15" hidden="false" customHeight="false" outlineLevel="0" collapsed="false">
      <c r="A8" s="0" t="s">
        <v>91</v>
      </c>
      <c r="B8" s="3" t="s">
        <v>92</v>
      </c>
    </row>
    <row r="9" customFormat="false" ht="15" hidden="false" customHeight="false" outlineLevel="0" collapsed="false">
      <c r="A9" s="0" t="s">
        <v>93</v>
      </c>
      <c r="B9" s="3" t="s">
        <v>94</v>
      </c>
    </row>
    <row r="10" customFormat="false" ht="15" hidden="false" customHeight="false" outlineLevel="0" collapsed="false">
      <c r="A10" s="0" t="s">
        <v>95</v>
      </c>
      <c r="B10" s="3" t="n">
        <v>1</v>
      </c>
    </row>
    <row r="12" customFormat="false" ht="15" hidden="false" customHeight="false" outlineLevel="0" collapsed="false">
      <c r="A12" s="2" t="s">
        <v>96</v>
      </c>
      <c r="C12" s="2" t="s">
        <v>97</v>
      </c>
      <c r="D12" s="2" t="s">
        <v>98</v>
      </c>
      <c r="E12" s="2" t="s">
        <v>99</v>
      </c>
      <c r="F12" s="2" t="s">
        <v>100</v>
      </c>
      <c r="G12" s="2" t="s">
        <v>101</v>
      </c>
      <c r="H12" s="2" t="s">
        <v>102</v>
      </c>
      <c r="I12" s="2" t="s">
        <v>103</v>
      </c>
      <c r="J12" s="2" t="s">
        <v>104</v>
      </c>
      <c r="K12" s="2" t="s">
        <v>105</v>
      </c>
      <c r="L12" s="2" t="s">
        <v>106</v>
      </c>
    </row>
    <row r="13" customFormat="false" ht="15" hidden="false" customHeight="false" outlineLevel="0" collapsed="false">
      <c r="A13" s="0" t="s">
        <v>107</v>
      </c>
      <c r="C13" s="3" t="n">
        <v>2</v>
      </c>
      <c r="D13" s="3" t="n">
        <v>1.5</v>
      </c>
      <c r="E13" s="3" t="n">
        <v>2</v>
      </c>
      <c r="F13" s="3" t="n">
        <v>2</v>
      </c>
      <c r="G13" s="3" t="n">
        <v>2.5</v>
      </c>
      <c r="H13" s="3" t="n">
        <v>2.5</v>
      </c>
      <c r="I13" s="3" t="n">
        <v>2.5</v>
      </c>
      <c r="J13" s="3" t="n">
        <v>2.5</v>
      </c>
      <c r="K13" s="3" t="n">
        <v>2.5</v>
      </c>
      <c r="L13" s="3" t="n">
        <v>2.5</v>
      </c>
    </row>
    <row r="14" customFormat="false" ht="15" hidden="false" customHeight="false" outlineLevel="0" collapsed="false">
      <c r="A14" s="0" t="s">
        <v>108</v>
      </c>
      <c r="C14" s="3" t="n">
        <v>34.77</v>
      </c>
      <c r="D14" s="3" t="n">
        <v>32.17</v>
      </c>
      <c r="E14" s="3" t="n">
        <v>32.82</v>
      </c>
      <c r="F14" s="3" t="n">
        <v>33.47</v>
      </c>
      <c r="G14" s="3" t="n">
        <v>34.12</v>
      </c>
      <c r="H14" s="3" t="n">
        <v>34.77</v>
      </c>
      <c r="I14" s="3" t="n">
        <v>34.77</v>
      </c>
      <c r="J14" s="3" t="n">
        <v>34.77</v>
      </c>
      <c r="K14" s="3" t="n">
        <v>34.77</v>
      </c>
      <c r="L14" s="3" t="n">
        <v>34.77</v>
      </c>
    </row>
    <row r="15" customFormat="false" ht="15" hidden="false" customHeight="false" outlineLevel="0" collapsed="false">
      <c r="A15" s="0" t="s">
        <v>109</v>
      </c>
      <c r="C15" s="3" t="n">
        <v>3.6</v>
      </c>
      <c r="D15" s="3" t="n">
        <v>3.6</v>
      </c>
      <c r="E15" s="3" t="n">
        <v>3.6</v>
      </c>
      <c r="F15" s="3" t="n">
        <v>3.6</v>
      </c>
      <c r="G15" s="3" t="n">
        <v>3.6</v>
      </c>
      <c r="H15" s="3" t="n">
        <v>3.6</v>
      </c>
      <c r="I15" s="3" t="n">
        <v>3.6</v>
      </c>
      <c r="J15" s="3" t="n">
        <v>3.6</v>
      </c>
      <c r="K15" s="3" t="n">
        <v>3.6</v>
      </c>
      <c r="L15" s="3" t="n">
        <v>3.6</v>
      </c>
    </row>
    <row r="16" customFormat="false" ht="15" hidden="false" customHeight="false" outlineLevel="0" collapsed="false">
      <c r="A16" s="0" t="s">
        <v>110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111</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112</v>
      </c>
      <c r="C18" s="3" t="n">
        <v>5.33</v>
      </c>
      <c r="D18" s="3" t="n">
        <v>4.12</v>
      </c>
      <c r="E18" s="3" t="n">
        <v>5.29</v>
      </c>
      <c r="F18" s="3" t="n">
        <v>5.11</v>
      </c>
      <c r="G18" s="3" t="n">
        <v>6.18</v>
      </c>
      <c r="H18" s="3" t="n">
        <v>6.32</v>
      </c>
      <c r="I18" s="3" t="n">
        <v>6.32</v>
      </c>
      <c r="J18" s="3" t="n">
        <v>6.32</v>
      </c>
      <c r="K18" s="3" t="n">
        <v>6.32</v>
      </c>
      <c r="L18" s="3" t="n">
        <v>6.32</v>
      </c>
    </row>
    <row r="19" customFormat="false" ht="15" hidden="false" customHeight="false" outlineLevel="0" collapsed="false">
      <c r="A19" s="0" t="s">
        <v>113</v>
      </c>
      <c r="C19" s="3" t="n">
        <v>23</v>
      </c>
      <c r="D19" s="3" t="n">
        <v>23</v>
      </c>
      <c r="E19" s="3" t="n">
        <v>23</v>
      </c>
      <c r="F19" s="3" t="n">
        <v>23</v>
      </c>
      <c r="G19" s="3" t="n">
        <v>23</v>
      </c>
      <c r="H19" s="3" t="n">
        <v>23</v>
      </c>
      <c r="I19" s="3" t="n">
        <v>23</v>
      </c>
      <c r="J19" s="3" t="n">
        <v>23</v>
      </c>
      <c r="K19" s="3" t="n">
        <v>23</v>
      </c>
      <c r="L19" s="3" t="n">
        <v>23</v>
      </c>
    </row>
    <row r="20" customFormat="false" ht="15" hidden="false" customHeight="false" outlineLevel="0" collapsed="false">
      <c r="A20" s="0" t="s">
        <v>114</v>
      </c>
      <c r="B20" s="3" t="n">
        <v>10.5</v>
      </c>
    </row>
    <row r="21" customFormat="false" ht="15" hidden="false" customHeight="false" outlineLevel="0" collapsed="false">
      <c r="A21" s="0" t="s">
        <v>115</v>
      </c>
      <c r="B21" s="3" t="n">
        <v>2.5</v>
      </c>
    </row>
    <row r="22" customFormat="false" ht="15" hidden="false" customHeight="false" outlineLevel="0" collapsed="false">
      <c r="A22" s="0" t="s">
        <v>116</v>
      </c>
      <c r="B22" s="3" t="n">
        <v>16</v>
      </c>
    </row>
    <row r="23" customFormat="false" ht="15" hidden="false" customHeight="false" outlineLevel="0" collapsed="false">
      <c r="A23" s="0" t="s">
        <v>117</v>
      </c>
      <c r="B23" s="3" t="n">
        <v>0</v>
      </c>
    </row>
    <row r="24" customFormat="false" ht="15" hidden="false" customHeight="false" outlineLevel="0" collapsed="false">
      <c r="A24" s="0" t="s">
        <v>118</v>
      </c>
      <c r="B24" s="3" t="n">
        <v>0.3</v>
      </c>
    </row>
    <row r="26" customFormat="false" ht="15" hidden="false" customHeight="false" outlineLevel="0" collapsed="false">
      <c r="A26" s="2" t="s">
        <v>119</v>
      </c>
      <c r="C26" s="2" t="s">
        <v>97</v>
      </c>
      <c r="D26" s="2" t="s">
        <v>98</v>
      </c>
      <c r="E26" s="2" t="s">
        <v>99</v>
      </c>
      <c r="F26" s="2" t="s">
        <v>100</v>
      </c>
      <c r="G26" s="2" t="s">
        <v>101</v>
      </c>
      <c r="H26" s="2" t="s">
        <v>102</v>
      </c>
      <c r="I26" s="2" t="s">
        <v>103</v>
      </c>
      <c r="J26" s="2" t="s">
        <v>104</v>
      </c>
      <c r="K26" s="2" t="s">
        <v>105</v>
      </c>
      <c r="L26" s="2" t="s">
        <v>106</v>
      </c>
    </row>
    <row r="27" customFormat="false" ht="15" hidden="false" customHeight="false" outlineLevel="0" collapsed="false">
      <c r="A27" s="0" t="s">
        <v>107</v>
      </c>
      <c r="C27" s="3" t="n">
        <v>7</v>
      </c>
      <c r="D27" s="3" t="n">
        <v>6.5</v>
      </c>
      <c r="E27" s="3" t="n">
        <v>6</v>
      </c>
      <c r="F27" s="3" t="n">
        <v>5.5</v>
      </c>
      <c r="G27" s="3" t="n">
        <v>5</v>
      </c>
      <c r="H27" s="3" t="n">
        <v>4.5</v>
      </c>
      <c r="I27" s="3" t="n">
        <v>4</v>
      </c>
      <c r="J27" s="3" t="n">
        <v>4</v>
      </c>
      <c r="K27" s="3" t="n">
        <v>4</v>
      </c>
      <c r="L27" s="3" t="n">
        <v>4</v>
      </c>
    </row>
    <row r="28" customFormat="false" ht="15" hidden="false" customHeight="false" outlineLevel="0" collapsed="false">
      <c r="A28" s="0" t="s">
        <v>108</v>
      </c>
      <c r="C28" s="3" t="n">
        <v>39.96</v>
      </c>
      <c r="D28" s="3" t="n">
        <v>40.35</v>
      </c>
      <c r="E28" s="3" t="n">
        <v>40.74</v>
      </c>
      <c r="F28" s="3" t="n">
        <v>41</v>
      </c>
      <c r="G28" s="3" t="n">
        <v>41.26</v>
      </c>
      <c r="H28" s="3" t="n">
        <v>41.26</v>
      </c>
      <c r="I28" s="3" t="n">
        <v>41.26</v>
      </c>
      <c r="J28" s="3" t="n">
        <v>41.26</v>
      </c>
      <c r="K28" s="3" t="n">
        <v>41.26</v>
      </c>
      <c r="L28" s="3" t="n">
        <v>41.26</v>
      </c>
    </row>
    <row r="29" customFormat="false" ht="15" hidden="false" customHeight="false" outlineLevel="0" collapsed="false">
      <c r="A29" s="0" t="s">
        <v>109</v>
      </c>
      <c r="C29" s="3" t="n">
        <v>3.6</v>
      </c>
      <c r="D29" s="3" t="n">
        <v>3.6</v>
      </c>
      <c r="E29" s="3" t="n">
        <v>3.6</v>
      </c>
      <c r="F29" s="3" t="n">
        <v>3.6</v>
      </c>
      <c r="G29" s="3" t="n">
        <v>3.6</v>
      </c>
      <c r="H29" s="3" t="n">
        <v>3.6</v>
      </c>
      <c r="I29" s="3" t="n">
        <v>3.6</v>
      </c>
      <c r="J29" s="3" t="n">
        <v>3.6</v>
      </c>
      <c r="K29" s="3" t="n">
        <v>3.6</v>
      </c>
      <c r="L29" s="3" t="n">
        <v>3.6</v>
      </c>
    </row>
    <row r="30" customFormat="false" ht="15" hidden="false" customHeight="false" outlineLevel="0" collapsed="false">
      <c r="A30" s="0" t="s">
        <v>110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111</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112</v>
      </c>
      <c r="C32" s="3" t="n">
        <v>17.04</v>
      </c>
      <c r="D32" s="3" t="n">
        <v>15.59</v>
      </c>
      <c r="E32" s="3" t="n">
        <v>14.3</v>
      </c>
      <c r="F32" s="3" t="n">
        <v>12.88</v>
      </c>
      <c r="G32" s="3" t="n">
        <v>11.6</v>
      </c>
      <c r="H32" s="3" t="n">
        <v>10.28</v>
      </c>
      <c r="I32" s="3" t="n">
        <v>9.06</v>
      </c>
      <c r="J32" s="3" t="n">
        <v>9.06</v>
      </c>
      <c r="K32" s="3" t="n">
        <v>9.06</v>
      </c>
      <c r="L32" s="3" t="n">
        <v>9.06</v>
      </c>
    </row>
    <row r="33" customFormat="false" ht="15" hidden="false" customHeight="false" outlineLevel="0" collapsed="false">
      <c r="A33" s="0" t="s">
        <v>113</v>
      </c>
      <c r="C33" s="3" t="n">
        <v>23</v>
      </c>
      <c r="D33" s="3" t="n">
        <v>23</v>
      </c>
      <c r="E33" s="3" t="n">
        <v>23</v>
      </c>
      <c r="F33" s="3" t="n">
        <v>23</v>
      </c>
      <c r="G33" s="3" t="n">
        <v>23</v>
      </c>
      <c r="H33" s="3" t="n">
        <v>23</v>
      </c>
      <c r="I33" s="3" t="n">
        <v>23</v>
      </c>
      <c r="J33" s="3" t="n">
        <v>23</v>
      </c>
      <c r="K33" s="3" t="n">
        <v>23</v>
      </c>
      <c r="L33" s="3" t="n">
        <v>23</v>
      </c>
    </row>
    <row r="34" customFormat="false" ht="15" hidden="false" customHeight="false" outlineLevel="0" collapsed="false">
      <c r="A34" s="0" t="s">
        <v>114</v>
      </c>
      <c r="B34" s="3" t="n">
        <v>10.5</v>
      </c>
    </row>
    <row r="35" customFormat="false" ht="15" hidden="false" customHeight="false" outlineLevel="0" collapsed="false">
      <c r="A35" s="0" t="s">
        <v>115</v>
      </c>
      <c r="B35" s="3" t="n">
        <v>4</v>
      </c>
    </row>
    <row r="36" customFormat="false" ht="15" hidden="false" customHeight="false" outlineLevel="0" collapsed="false">
      <c r="A36" s="0" t="s">
        <v>116</v>
      </c>
      <c r="B36" s="3" t="n">
        <v>16</v>
      </c>
    </row>
    <row r="37" customFormat="false" ht="15" hidden="false" customHeight="false" outlineLevel="0" collapsed="false">
      <c r="A37" s="0" t="s">
        <v>117</v>
      </c>
      <c r="B37" s="3" t="n">
        <v>0</v>
      </c>
    </row>
    <row r="38" customFormat="false" ht="15" hidden="false" customHeight="false" outlineLevel="0" collapsed="false">
      <c r="A38" s="0" t="s">
        <v>118</v>
      </c>
      <c r="B38" s="3" t="n">
        <v>0.5</v>
      </c>
    </row>
    <row r="40" customFormat="false" ht="15" hidden="false" customHeight="false" outlineLevel="0" collapsed="false">
      <c r="A40" s="2" t="s">
        <v>120</v>
      </c>
      <c r="C40" s="2" t="s">
        <v>97</v>
      </c>
      <c r="D40" s="2" t="s">
        <v>98</v>
      </c>
      <c r="E40" s="2" t="s">
        <v>99</v>
      </c>
      <c r="F40" s="2" t="s">
        <v>100</v>
      </c>
      <c r="G40" s="2" t="s">
        <v>101</v>
      </c>
      <c r="H40" s="2" t="s">
        <v>102</v>
      </c>
      <c r="I40" s="2" t="s">
        <v>103</v>
      </c>
      <c r="J40" s="2" t="s">
        <v>104</v>
      </c>
      <c r="K40" s="2" t="s">
        <v>105</v>
      </c>
      <c r="L40" s="2" t="s">
        <v>106</v>
      </c>
    </row>
    <row r="41" customFormat="false" ht="15" hidden="false" customHeight="false" outlineLevel="0" collapsed="false">
      <c r="A41" s="0" t="s">
        <v>107</v>
      </c>
      <c r="C41" s="3" t="n">
        <v>10</v>
      </c>
      <c r="D41" s="3" t="n">
        <v>9</v>
      </c>
      <c r="E41" s="3" t="n">
        <v>8</v>
      </c>
      <c r="F41" s="3" t="n">
        <v>7</v>
      </c>
      <c r="G41" s="3" t="n">
        <v>6</v>
      </c>
      <c r="H41" s="3" t="n">
        <v>5.5</v>
      </c>
      <c r="I41" s="3" t="n">
        <v>5</v>
      </c>
      <c r="J41" s="3" t="n">
        <v>4.5</v>
      </c>
      <c r="K41" s="3" t="n">
        <v>4.5</v>
      </c>
      <c r="L41" s="3" t="n">
        <v>4.5</v>
      </c>
    </row>
    <row r="42" customFormat="false" ht="15" hidden="false" customHeight="false" outlineLevel="0" collapsed="false">
      <c r="A42" s="0" t="s">
        <v>108</v>
      </c>
      <c r="C42" s="3" t="n">
        <v>41.26</v>
      </c>
      <c r="D42" s="3" t="n">
        <v>41.91</v>
      </c>
      <c r="E42" s="3" t="n">
        <v>42.56</v>
      </c>
      <c r="F42" s="3" t="n">
        <v>43.21</v>
      </c>
      <c r="G42" s="3" t="n">
        <v>43.86</v>
      </c>
      <c r="H42" s="3" t="n">
        <v>43.86</v>
      </c>
      <c r="I42" s="3" t="n">
        <v>43.86</v>
      </c>
      <c r="J42" s="3" t="n">
        <v>43.86</v>
      </c>
      <c r="K42" s="3" t="n">
        <v>43.86</v>
      </c>
      <c r="L42" s="3" t="n">
        <v>43.86</v>
      </c>
    </row>
    <row r="43" customFormat="false" ht="15" hidden="false" customHeight="false" outlineLevel="0" collapsed="false">
      <c r="A43" s="0" t="s">
        <v>109</v>
      </c>
      <c r="C43" s="3" t="n">
        <v>3.6</v>
      </c>
      <c r="D43" s="3" t="n">
        <v>3.6</v>
      </c>
      <c r="E43" s="3" t="n">
        <v>3.6</v>
      </c>
      <c r="F43" s="3" t="n">
        <v>3.6</v>
      </c>
      <c r="G43" s="3" t="n">
        <v>3.6</v>
      </c>
      <c r="H43" s="3" t="n">
        <v>3.6</v>
      </c>
      <c r="I43" s="3" t="n">
        <v>3.6</v>
      </c>
      <c r="J43" s="3" t="n">
        <v>3.6</v>
      </c>
      <c r="K43" s="3" t="n">
        <v>3.6</v>
      </c>
      <c r="L43" s="3" t="n">
        <v>3.6</v>
      </c>
    </row>
    <row r="44" customFormat="false" ht="15" hidden="false" customHeight="false" outlineLevel="0" collapsed="false">
      <c r="A44" s="0" t="s">
        <v>110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111</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112</v>
      </c>
      <c r="C46" s="3" t="n">
        <v>23.2</v>
      </c>
      <c r="D46" s="3" t="n">
        <v>20.42</v>
      </c>
      <c r="E46" s="3" t="n">
        <v>17.78</v>
      </c>
      <c r="F46" s="3" t="n">
        <v>15.25</v>
      </c>
      <c r="G46" s="3" t="n">
        <v>12.83</v>
      </c>
      <c r="H46" s="3" t="n">
        <v>11.37</v>
      </c>
      <c r="I46" s="3" t="n">
        <v>10.33</v>
      </c>
      <c r="J46" s="3" t="n">
        <v>9.3</v>
      </c>
      <c r="K46" s="3" t="n">
        <v>9.3</v>
      </c>
      <c r="L46" s="3" t="n">
        <v>9.3</v>
      </c>
    </row>
    <row r="47" customFormat="false" ht="15" hidden="false" customHeight="false" outlineLevel="0" collapsed="false">
      <c r="A47" s="0" t="s">
        <v>113</v>
      </c>
      <c r="C47" s="3" t="n">
        <v>23</v>
      </c>
      <c r="D47" s="3" t="n">
        <v>23</v>
      </c>
      <c r="E47" s="3" t="n">
        <v>23</v>
      </c>
      <c r="F47" s="3" t="n">
        <v>23</v>
      </c>
      <c r="G47" s="3" t="n">
        <v>23</v>
      </c>
      <c r="H47" s="3" t="n">
        <v>23</v>
      </c>
      <c r="I47" s="3" t="n">
        <v>23</v>
      </c>
      <c r="J47" s="3" t="n">
        <v>23</v>
      </c>
      <c r="K47" s="3" t="n">
        <v>23</v>
      </c>
      <c r="L47" s="3" t="n">
        <v>23</v>
      </c>
    </row>
    <row r="48" customFormat="false" ht="15" hidden="false" customHeight="false" outlineLevel="0" collapsed="false">
      <c r="A48" s="0" t="s">
        <v>114</v>
      </c>
      <c r="B48" s="3" t="n">
        <v>10.5</v>
      </c>
    </row>
    <row r="49" customFormat="false" ht="15" hidden="false" customHeight="false" outlineLevel="0" collapsed="false">
      <c r="A49" s="0" t="s">
        <v>115</v>
      </c>
      <c r="B49" s="3" t="n">
        <v>4.5</v>
      </c>
    </row>
    <row r="50" customFormat="false" ht="15" hidden="false" customHeight="false" outlineLevel="0" collapsed="false">
      <c r="A50" s="0" t="s">
        <v>116</v>
      </c>
      <c r="B50" s="3" t="n">
        <v>16</v>
      </c>
    </row>
    <row r="51" customFormat="false" ht="15" hidden="false" customHeight="false" outlineLevel="0" collapsed="false">
      <c r="A51" s="0" t="s">
        <v>117</v>
      </c>
      <c r="B51" s="3" t="n">
        <v>0</v>
      </c>
    </row>
    <row r="52" customFormat="false" ht="15" hidden="false" customHeight="false" outlineLevel="0" collapsed="false">
      <c r="A52" s="0" t="s">
        <v>118</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121</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Assumptions!C13</f>
        <v>2</v>
      </c>
      <c r="D5" s="4" t="n">
        <f aca="false">Assumptions!D13</f>
        <v>1.5</v>
      </c>
      <c r="E5" s="4" t="n">
        <f aca="false">Assumptions!E13</f>
        <v>2</v>
      </c>
      <c r="F5" s="4" t="n">
        <f aca="false">Assumptions!F13</f>
        <v>2</v>
      </c>
      <c r="G5" s="4" t="n">
        <f aca="false">Assumptions!G13</f>
        <v>2.5</v>
      </c>
      <c r="H5" s="4" t="n">
        <f aca="false">Assumptions!H13</f>
        <v>2.5</v>
      </c>
      <c r="I5" s="4" t="n">
        <f aca="false">Assumptions!I13</f>
        <v>2.5</v>
      </c>
      <c r="J5" s="4" t="n">
        <f aca="false">Assumptions!J13</f>
        <v>2.5</v>
      </c>
      <c r="K5" s="4" t="n">
        <f aca="false">Assumptions!K13</f>
        <v>2.5</v>
      </c>
      <c r="L5" s="4" t="n">
        <f aca="false">Assumptions!L13</f>
        <v>2.5</v>
      </c>
    </row>
    <row r="6" customFormat="false" ht="15" hidden="false" customHeight="false" outlineLevel="0" collapsed="false">
      <c r="A6" s="0" t="s">
        <v>37</v>
      </c>
      <c r="B6" s="3" t="n">
        <v>122974.6</v>
      </c>
      <c r="C6" s="0" t="n">
        <f aca="false">B6*(1+C5/100)</f>
        <v>125434.092</v>
      </c>
      <c r="D6" s="0" t="n">
        <f aca="false">C6*(1+D5/100)</f>
        <v>127315.60338</v>
      </c>
      <c r="E6" s="0" t="n">
        <f aca="false">D6*(1+E5/100)</f>
        <v>129861.9154476</v>
      </c>
      <c r="F6" s="0" t="n">
        <f aca="false">E6*(1+F5/100)</f>
        <v>132459.153756552</v>
      </c>
      <c r="G6" s="0" t="n">
        <f aca="false">F6*(1+G5/100)</f>
        <v>135770.632600466</v>
      </c>
      <c r="H6" s="0" t="n">
        <f aca="false">G6*(1+H5/100)</f>
        <v>139164.898415477</v>
      </c>
      <c r="I6" s="0" t="n">
        <f aca="false">H6*(1+I5/100)</f>
        <v>142644.020875864</v>
      </c>
      <c r="J6" s="0" t="n">
        <f aca="false">I6*(1+J5/100)</f>
        <v>146210.121397761</v>
      </c>
      <c r="K6" s="0" t="n">
        <f aca="false">J6*(1+K5/100)</f>
        <v>149865.374432705</v>
      </c>
      <c r="L6" s="0" t="n">
        <f aca="false">K6*(1+L5/100)</f>
        <v>153612.008793523</v>
      </c>
    </row>
    <row r="7" customFormat="false" ht="15" hidden="false" customHeight="false" outlineLevel="0" collapsed="false">
      <c r="A7" s="0" t="s">
        <v>108</v>
      </c>
      <c r="C7" s="4" t="n">
        <f aca="false">Assumptions!C14</f>
        <v>34.77</v>
      </c>
      <c r="D7" s="4" t="n">
        <f aca="false">Assumptions!D14</f>
        <v>32.17</v>
      </c>
      <c r="E7" s="4" t="n">
        <f aca="false">Assumptions!E14</f>
        <v>32.82</v>
      </c>
      <c r="F7" s="4" t="n">
        <f aca="false">Assumptions!F14</f>
        <v>33.47</v>
      </c>
      <c r="G7" s="4" t="n">
        <f aca="false">Assumptions!G14</f>
        <v>34.12</v>
      </c>
      <c r="H7" s="4" t="n">
        <f aca="false">Assumptions!H14</f>
        <v>34.77</v>
      </c>
      <c r="I7" s="4" t="n">
        <f aca="false">Assumptions!I14</f>
        <v>34.77</v>
      </c>
      <c r="J7" s="4" t="n">
        <f aca="false">Assumptions!J14</f>
        <v>34.77</v>
      </c>
      <c r="K7" s="4" t="n">
        <f aca="false">Assumptions!K14</f>
        <v>34.77</v>
      </c>
      <c r="L7" s="4" t="n">
        <f aca="false">Assumptions!L14</f>
        <v>34.77</v>
      </c>
    </row>
    <row r="8" customFormat="false" ht="15" hidden="false" customHeight="false" outlineLevel="0" collapsed="false">
      <c r="A8" s="0" t="s">
        <v>43</v>
      </c>
      <c r="C8" s="0" t="n">
        <f aca="false">C6*C7/100</f>
        <v>43613.4337884</v>
      </c>
      <c r="D8" s="0" t="n">
        <f aca="false">D6*D7/100</f>
        <v>40957.429607346</v>
      </c>
      <c r="E8" s="0" t="n">
        <f aca="false">E6*E7/100</f>
        <v>42620.6806499023</v>
      </c>
      <c r="F8" s="0" t="n">
        <f aca="false">F6*F7/100</f>
        <v>44334.078762318</v>
      </c>
      <c r="G8" s="0" t="n">
        <f aca="false">G6*G7/100</f>
        <v>46324.9398432789</v>
      </c>
      <c r="H8" s="0" t="n">
        <f aca="false">H6*H7/100</f>
        <v>48387.6351790615</v>
      </c>
      <c r="I8" s="0" t="n">
        <f aca="false">I6*I7/100</f>
        <v>49597.326058538</v>
      </c>
      <c r="J8" s="0" t="n">
        <f aca="false">J6*J7/100</f>
        <v>50837.2592100015</v>
      </c>
      <c r="K8" s="0" t="n">
        <f aca="false">K6*K7/100</f>
        <v>52108.1906902515</v>
      </c>
      <c r="L8" s="0" t="n">
        <f aca="false">L6*L7/100</f>
        <v>53410.8954575078</v>
      </c>
    </row>
    <row r="9" customFormat="false" ht="15" hidden="false" customHeight="false" outlineLevel="0" collapsed="false">
      <c r="A9" s="0" t="s">
        <v>109</v>
      </c>
      <c r="C9" s="4" t="n">
        <f aca="false">Assumptions!C15</f>
        <v>3.6</v>
      </c>
      <c r="D9" s="4" t="n">
        <f aca="false">Assumptions!D15</f>
        <v>3.6</v>
      </c>
      <c r="E9" s="4" t="n">
        <f aca="false">Assumptions!E15</f>
        <v>3.6</v>
      </c>
      <c r="F9" s="4" t="n">
        <f aca="false">Assumptions!F15</f>
        <v>3.6</v>
      </c>
      <c r="G9" s="4" t="n">
        <f aca="false">Assumptions!G15</f>
        <v>3.6</v>
      </c>
      <c r="H9" s="4" t="n">
        <f aca="false">Assumptions!H15</f>
        <v>3.6</v>
      </c>
      <c r="I9" s="4" t="n">
        <f aca="false">Assumptions!I15</f>
        <v>3.6</v>
      </c>
      <c r="J9" s="4" t="n">
        <f aca="false">Assumptions!J15</f>
        <v>3.6</v>
      </c>
      <c r="K9" s="4" t="n">
        <f aca="false">Assumptions!K15</f>
        <v>3.6</v>
      </c>
      <c r="L9" s="4" t="n">
        <f aca="false">Assumptions!L15</f>
        <v>3.6</v>
      </c>
    </row>
    <row r="10" customFormat="false" ht="15" hidden="false" customHeight="false" outlineLevel="0" collapsed="false">
      <c r="A10" s="0" t="s">
        <v>124</v>
      </c>
      <c r="C10" s="0" t="n">
        <f aca="false">-C6*C9/100</f>
        <v>-4515.627312</v>
      </c>
      <c r="D10" s="0" t="n">
        <f aca="false">-D6*D9/100</f>
        <v>-4583.36172168</v>
      </c>
      <c r="E10" s="0" t="n">
        <f aca="false">-E6*E9/100</f>
        <v>-4675.0289561136</v>
      </c>
      <c r="F10" s="0" t="n">
        <f aca="false">-F6*F9/100</f>
        <v>-4768.52953523587</v>
      </c>
      <c r="G10" s="0" t="n">
        <f aca="false">-G6*G9/100</f>
        <v>-4887.74277361677</v>
      </c>
      <c r="H10" s="0" t="n">
        <f aca="false">-H6*H9/100</f>
        <v>-5009.93634295719</v>
      </c>
      <c r="I10" s="0" t="n">
        <f aca="false">-I6*I9/100</f>
        <v>-5135.18475153112</v>
      </c>
      <c r="J10" s="0" t="n">
        <f aca="false">-J6*J9/100</f>
        <v>-5263.56437031939</v>
      </c>
      <c r="K10" s="0" t="n">
        <f aca="false">-K6*K9/100</f>
        <v>-5395.15347957738</v>
      </c>
      <c r="L10" s="0" t="n">
        <f aca="false">-L6*L9/100</f>
        <v>-5530.03231656681</v>
      </c>
    </row>
    <row r="11" customFormat="false" ht="15" hidden="false" customHeight="false" outlineLevel="0" collapsed="false">
      <c r="A11" s="0" t="s">
        <v>125</v>
      </c>
      <c r="C11" s="0" t="n">
        <f aca="false">C8+C10+C24</f>
        <v>39097.8064764</v>
      </c>
      <c r="D11" s="0" t="n">
        <f aca="false">D8+D10+D24</f>
        <v>36374.067885666</v>
      </c>
      <c r="E11" s="0" t="n">
        <f aca="false">E8+E10+E24</f>
        <v>37945.6516937887</v>
      </c>
      <c r="F11" s="0" t="n">
        <f aca="false">F8+F10+F24</f>
        <v>39565.5492270821</v>
      </c>
      <c r="G11" s="0" t="n">
        <f aca="false">G8+G10+G24</f>
        <v>41437.1970696622</v>
      </c>
      <c r="H11" s="0" t="n">
        <f aca="false">H8+H10+H24</f>
        <v>43377.6988361043</v>
      </c>
      <c r="I11" s="0" t="n">
        <f aca="false">I8+I10+I24</f>
        <v>44462.1413070069</v>
      </c>
      <c r="J11" s="0" t="n">
        <f aca="false">J8+J10+J24</f>
        <v>45573.6948396821</v>
      </c>
      <c r="K11" s="0" t="n">
        <f aca="false">K8+K10+K24</f>
        <v>46713.0372106741</v>
      </c>
      <c r="L11" s="0" t="n">
        <f aca="false">L8+L10+L24</f>
        <v>47880.863140941</v>
      </c>
    </row>
    <row r="12" customFormat="false" ht="15" hidden="false" customHeight="false" outlineLevel="0" collapsed="false">
      <c r="A12" s="0" t="s">
        <v>126</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127</v>
      </c>
      <c r="C13" s="0" t="n">
        <f aca="false">C11+C12</f>
        <v>39097.8064764</v>
      </c>
      <c r="D13" s="0" t="n">
        <f aca="false">D11+D12</f>
        <v>36374.067885666</v>
      </c>
      <c r="E13" s="0" t="n">
        <f aca="false">E11+E12</f>
        <v>37945.6516937887</v>
      </c>
      <c r="F13" s="0" t="n">
        <f aca="false">F11+F12</f>
        <v>39565.5492270821</v>
      </c>
      <c r="G13" s="0" t="n">
        <f aca="false">G11+G12</f>
        <v>41437.1970696622</v>
      </c>
      <c r="H13" s="0" t="n">
        <f aca="false">H11+H12</f>
        <v>43377.6988361043</v>
      </c>
      <c r="I13" s="0" t="n">
        <f aca="false">I11+I12</f>
        <v>44462.1413070069</v>
      </c>
      <c r="J13" s="0" t="n">
        <f aca="false">J11+J12</f>
        <v>45573.6948396821</v>
      </c>
      <c r="K13" s="0" t="n">
        <f aca="false">K11+K12</f>
        <v>46713.0372106741</v>
      </c>
      <c r="L13" s="0" t="n">
        <f aca="false">L11+L12</f>
        <v>47880.863140941</v>
      </c>
    </row>
    <row r="14" customFormat="false" ht="15" hidden="false" customHeight="false" outlineLevel="0" collapsed="false">
      <c r="A14" s="0" t="s">
        <v>113</v>
      </c>
      <c r="C14" s="4" t="n">
        <f aca="false">Assumptions!C19</f>
        <v>23</v>
      </c>
      <c r="D14" s="4" t="n">
        <f aca="false">Assumptions!D19</f>
        <v>23</v>
      </c>
      <c r="E14" s="4" t="n">
        <f aca="false">Assumptions!E19</f>
        <v>23</v>
      </c>
      <c r="F14" s="4" t="n">
        <f aca="false">Assumptions!F19</f>
        <v>23</v>
      </c>
      <c r="G14" s="4" t="n">
        <f aca="false">Assumptions!G19</f>
        <v>23</v>
      </c>
      <c r="H14" s="4" t="n">
        <f aca="false">Assumptions!H19</f>
        <v>23</v>
      </c>
      <c r="I14" s="4" t="n">
        <f aca="false">Assumptions!I19</f>
        <v>23</v>
      </c>
      <c r="J14" s="4" t="n">
        <f aca="false">Assumptions!J19</f>
        <v>23</v>
      </c>
      <c r="K14" s="4" t="n">
        <f aca="false">Assumptions!K19</f>
        <v>23</v>
      </c>
      <c r="L14" s="4" t="n">
        <f aca="false">Assumptions!L19</f>
        <v>23</v>
      </c>
    </row>
    <row r="15" customFormat="false" ht="15" hidden="false" customHeight="false" outlineLevel="0" collapsed="false">
      <c r="A15" s="0" t="s">
        <v>128</v>
      </c>
      <c r="C15" s="0" t="n">
        <f aca="false">C13-MAX(0,C13)*C14/100</f>
        <v>30105.310986828</v>
      </c>
      <c r="D15" s="0" t="n">
        <f aca="false">D13-MAX(0,D13)*D14/100</f>
        <v>28008.0322719628</v>
      </c>
      <c r="E15" s="0" t="n">
        <f aca="false">E13-MAX(0,E13)*E14/100</f>
        <v>29218.1518042173</v>
      </c>
      <c r="F15" s="0" t="n">
        <f aca="false">F13-MAX(0,F13)*F14/100</f>
        <v>30465.4729048532</v>
      </c>
      <c r="G15" s="0" t="n">
        <f aca="false">G13-MAX(0,G13)*G14/100</f>
        <v>31906.6417436399</v>
      </c>
      <c r="H15" s="0" t="n">
        <f aca="false">H13-MAX(0,H13)*H14/100</f>
        <v>33400.8281038003</v>
      </c>
      <c r="I15" s="0" t="n">
        <f aca="false">I13-MAX(0,I13)*I14/100</f>
        <v>34235.8488063953</v>
      </c>
      <c r="J15" s="0" t="n">
        <f aca="false">J13-MAX(0,J13)*J14/100</f>
        <v>35091.7450265552</v>
      </c>
      <c r="K15" s="0" t="n">
        <f aca="false">K13-MAX(0,K13)*K14/100</f>
        <v>35969.0386522191</v>
      </c>
      <c r="L15" s="0" t="n">
        <f aca="false">L13-MAX(0,L13)*L14/100</f>
        <v>36868.2646185246</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-C6*Assumptions!C18/100</f>
        <v>-6685.6371036</v>
      </c>
      <c r="D17" s="4" t="n">
        <f aca="false">-D6*Assumptions!D18/100</f>
        <v>-5245.402859256</v>
      </c>
      <c r="E17" s="4" t="n">
        <f aca="false">-E6*Assumptions!E18/100</f>
        <v>-6869.69532717804</v>
      </c>
      <c r="F17" s="4" t="n">
        <f aca="false">-F6*Assumptions!F18/100</f>
        <v>-6768.66275695981</v>
      </c>
      <c r="G17" s="4" t="n">
        <f aca="false">-G6*Assumptions!G18/100</f>
        <v>-8390.62509470879</v>
      </c>
      <c r="H17" s="4" t="n">
        <f aca="false">-H6*Assumptions!H18/100</f>
        <v>-8795.22157985817</v>
      </c>
      <c r="I17" s="4" t="n">
        <f aca="false">-I6*Assumptions!I18/100</f>
        <v>-9015.10211935463</v>
      </c>
      <c r="J17" s="4" t="n">
        <f aca="false">-J6*Assumptions!J18/100</f>
        <v>-9240.47967233849</v>
      </c>
      <c r="K17" s="4" t="n">
        <f aca="false">-K6*Assumptions!K18/100</f>
        <v>-9471.49166414695</v>
      </c>
      <c r="L17" s="4" t="n">
        <f aca="false">-L6*Assumptions!L18/100</f>
        <v>-9708.27895575063</v>
      </c>
    </row>
    <row r="18" customFormat="false" ht="15" hidden="false" customHeight="false" outlineLevel="0" collapsed="false">
      <c r="A18" s="0" t="s">
        <v>131</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132</v>
      </c>
      <c r="C19" s="0" t="n">
        <f aca="false">C15+C16+C17+C18</f>
        <v>23419.673883228</v>
      </c>
      <c r="D19" s="0" t="n">
        <f aca="false">D15+D16+D17+D18</f>
        <v>22762.6294127068</v>
      </c>
      <c r="E19" s="0" t="n">
        <f aca="false">E15+E16+E17+E18</f>
        <v>22348.4564770393</v>
      </c>
      <c r="F19" s="0" t="n">
        <f aca="false">F15+F16+F17+F18</f>
        <v>23696.8101478934</v>
      </c>
      <c r="G19" s="0" t="n">
        <f aca="false">G15+G16+G17+G18</f>
        <v>23516.0166489311</v>
      </c>
      <c r="H19" s="0" t="n">
        <f aca="false">H15+H16+H17+H18</f>
        <v>24605.6065239422</v>
      </c>
      <c r="I19" s="0" t="n">
        <f aca="false">I15+I16+I17+I18</f>
        <v>25220.7466870407</v>
      </c>
      <c r="J19" s="0" t="n">
        <f aca="false">J15+J16+J17+J18</f>
        <v>25851.2653542167</v>
      </c>
      <c r="K19" s="0" t="n">
        <f aca="false">K15+K16+K17+K18</f>
        <v>26497.5469880721</v>
      </c>
      <c r="L19" s="0" t="n">
        <f aca="false">L15+L16+L17+L18</f>
        <v>27159.9856627739</v>
      </c>
    </row>
    <row r="20" customFormat="false" ht="15" hidden="false" customHeight="false" outlineLevel="0" collapsed="false">
      <c r="A20" s="0" t="s">
        <v>133</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134</v>
      </c>
      <c r="C21" s="0" t="n">
        <f aca="false">C19*C20</f>
        <v>21194.2750074462</v>
      </c>
      <c r="D21" s="0" t="n">
        <f aca="false">D19*D20</f>
        <v>18642.2304315692</v>
      </c>
      <c r="E21" s="0" t="n">
        <f aca="false">E19*E20</f>
        <v>16563.8275142059</v>
      </c>
      <c r="F21" s="0" t="n">
        <f aca="false">F19*F20</f>
        <v>15894.2769834943</v>
      </c>
      <c r="G21" s="0" t="n">
        <f aca="false">G19*G20</f>
        <v>14274.219437679</v>
      </c>
      <c r="H21" s="0" t="n">
        <f aca="false">H19*H20</f>
        <v>13516.3804236936</v>
      </c>
      <c r="I21" s="0" t="n">
        <f aca="false">I19*I20</f>
        <v>12537.8189450552</v>
      </c>
      <c r="J21" s="0" t="n">
        <f aca="false">J19*J20</f>
        <v>11630.1035463181</v>
      </c>
      <c r="K21" s="0" t="n">
        <f aca="false">K19*K20</f>
        <v>10788.1050995259</v>
      </c>
      <c r="L21" s="0" t="n">
        <f aca="false">L19*L20</f>
        <v>10007.0658163023</v>
      </c>
    </row>
    <row r="23" customFormat="false" ht="15" hidden="false" customHeight="false" outlineLevel="0" collapsed="false">
      <c r="A23" s="0" t="s">
        <v>110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Assumptions!$B$20</f>
        <v>10.5</v>
      </c>
    </row>
    <row r="28" customFormat="false" ht="15" hidden="false" customHeight="false" outlineLevel="0" collapsed="false">
      <c r="A28" s="0" t="s">
        <v>115</v>
      </c>
      <c r="B28" s="4" t="n">
        <f aca="false">Assumptions!$B$21</f>
        <v>2.5</v>
      </c>
    </row>
    <row r="29" customFormat="false" ht="15" hidden="false" customHeight="false" outlineLevel="0" collapsed="false">
      <c r="A29" s="0" t="s">
        <v>116</v>
      </c>
      <c r="B29" s="4" t="n">
        <f aca="false">Assumptions!$B$22</f>
        <v>16</v>
      </c>
    </row>
    <row r="30" customFormat="false" ht="15" hidden="false" customHeight="false" outlineLevel="0" collapsed="false">
      <c r="A30" s="0" t="s">
        <v>137</v>
      </c>
      <c r="B30" s="0" t="n">
        <f aca="false">SUM(C21:L21)</f>
        <v>145048.30320529</v>
      </c>
    </row>
    <row r="31" customFormat="false" ht="15" hidden="false" customHeight="false" outlineLevel="0" collapsed="false">
      <c r="A31" s="0" t="s">
        <v>138</v>
      </c>
      <c r="B31" s="0" t="n">
        <f aca="false">L19</f>
        <v>27159.9856627739</v>
      </c>
    </row>
    <row r="32" customFormat="false" ht="15" hidden="false" customHeight="false" outlineLevel="0" collapsed="false">
      <c r="A32" s="0" t="s">
        <v>139</v>
      </c>
      <c r="B32" s="0" t="n">
        <f aca="false">IF(B27&gt;B28,B31*(1+B28/100)/((B27-B28)/100),B31*B29)</f>
        <v>347987.316304291</v>
      </c>
    </row>
    <row r="33" customFormat="false" ht="15" hidden="false" customHeight="false" outlineLevel="0" collapsed="false">
      <c r="A33" s="0" t="s">
        <v>140</v>
      </c>
      <c r="B33" s="0" t="n">
        <f aca="false">B31*B29</f>
        <v>434559.770604383</v>
      </c>
    </row>
    <row r="34" customFormat="false" ht="15" hidden="false" customHeight="false" outlineLevel="0" collapsed="false">
      <c r="A34" s="0" t="s">
        <v>141</v>
      </c>
      <c r="B34" s="0" t="n">
        <f aca="false">MAX(0,MIN(B32,B33))</f>
        <v>347987.316304291</v>
      </c>
    </row>
    <row r="35" customFormat="false" ht="15" hidden="false" customHeight="false" outlineLevel="0" collapsed="false">
      <c r="A35" s="0" t="s">
        <v>142</v>
      </c>
      <c r="B35" s="0" t="n">
        <f aca="false">B34/(1+B27/100)^L4</f>
        <v>128215.530771373</v>
      </c>
    </row>
    <row r="36" customFormat="false" ht="15" hidden="false" customHeight="false" outlineLevel="0" collapsed="false">
      <c r="A36" s="0" t="s">
        <v>143</v>
      </c>
      <c r="B36" s="0" t="n">
        <f aca="false">B30+B35</f>
        <v>273263.833976663</v>
      </c>
    </row>
    <row r="37" customFormat="false" ht="15" hidden="false" customHeight="false" outlineLevel="0" collapsed="false">
      <c r="A37" s="0" t="s">
        <v>144</v>
      </c>
      <c r="B37" s="0" t="n">
        <f aca="false">B36+Assumptions!$B$5-Assumptions!$B$4</f>
        <v>273263.833976663</v>
      </c>
    </row>
    <row r="38" customFormat="false" ht="15" hidden="false" customHeight="false" outlineLevel="0" collapsed="false">
      <c r="A38" s="0" t="s">
        <v>145</v>
      </c>
      <c r="B38" s="0" t="n">
        <f aca="false">B37/Assumptions!$B$3*Assumptions!$B$10</f>
        <v>37.4631671707196</v>
      </c>
    </row>
    <row r="39" customFormat="false" ht="15" hidden="false" customHeight="false" outlineLevel="0" collapsed="false">
      <c r="A39" s="0" t="s">
        <v>146</v>
      </c>
      <c r="B39" s="4" t="n">
        <f aca="false">B38/Assumptions!$B$2-1</f>
        <v>-0.339273947606357</v>
      </c>
    </row>
    <row r="41" customFormat="false" ht="15" hidden="false" customHeight="false" outlineLevel="0" collapsed="false">
      <c r="A41" s="0" t="s">
        <v>147</v>
      </c>
      <c r="B41" s="0" t="n">
        <f aca="false">SUMPRODUCT(-C10:L10/(1+$B$27/100)^C4:L4)</f>
        <v>29377.4520958422</v>
      </c>
    </row>
    <row r="42" customFormat="false" ht="15" hidden="false" customHeight="false" outlineLevel="0" collapsed="false">
      <c r="A42" s="0" t="s">
        <v>148</v>
      </c>
      <c r="B42" s="0" t="n">
        <f aca="false">IF(B27&gt;B28,-L10*(1+B28/100)/((B27-B28)/100),-L10*20)/(1+B27/100)^L4</f>
        <v>26105.9058519048</v>
      </c>
    </row>
    <row r="43" customFormat="false" ht="15" hidden="false" customHeight="false" outlineLevel="0" collapsed="false">
      <c r="A43" s="0" t="s">
        <v>149</v>
      </c>
      <c r="B43" s="0" t="n">
        <f aca="false">(B37+B41+B42)/Assumptions!$B$3*Assumptions!$B$10</f>
        <v>45.0696706869033</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222711.882434746</v>
      </c>
    </row>
    <row r="47" customFormat="false" ht="15" hidden="false" customHeight="false" outlineLevel="0" collapsed="false">
      <c r="A47" s="0" t="s">
        <v>151</v>
      </c>
      <c r="B47" s="0" t="n">
        <f aca="false">(SUMPRODUCT(C19:L19/(1+B45/100)^C4:L4)+B46/(1+B45/100)^L4+Assumptions!$B$5-Assumptions!$B$4)/Assumptions!$B$3*Assumptions!$B$10</f>
        <v>24.0435209161054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Assumptions!C27</f>
        <v>7</v>
      </c>
      <c r="D5" s="4" t="n">
        <f aca="false">Assumptions!D27</f>
        <v>6.5</v>
      </c>
      <c r="E5" s="4" t="n">
        <f aca="false">Assumptions!E27</f>
        <v>6</v>
      </c>
      <c r="F5" s="4" t="n">
        <f aca="false">Assumptions!F27</f>
        <v>5.5</v>
      </c>
      <c r="G5" s="4" t="n">
        <f aca="false">Assumptions!G27</f>
        <v>5</v>
      </c>
      <c r="H5" s="4" t="n">
        <f aca="false">Assumptions!H27</f>
        <v>4.5</v>
      </c>
      <c r="I5" s="4" t="n">
        <f aca="false">Assumptions!I27</f>
        <v>4</v>
      </c>
      <c r="J5" s="4" t="n">
        <f aca="false">Assumptions!J27</f>
        <v>4</v>
      </c>
      <c r="K5" s="4" t="n">
        <f aca="false">Assumptions!K27</f>
        <v>4</v>
      </c>
      <c r="L5" s="4" t="n">
        <f aca="false">Assumptions!L27</f>
        <v>4</v>
      </c>
    </row>
    <row r="6" customFormat="false" ht="15" hidden="false" customHeight="false" outlineLevel="0" collapsed="false">
      <c r="A6" s="0" t="s">
        <v>37</v>
      </c>
      <c r="B6" s="3" t="n">
        <v>122974.6</v>
      </c>
      <c r="C6" s="0" t="n">
        <f aca="false">B6*(1+C5/100)</f>
        <v>131582.822</v>
      </c>
      <c r="D6" s="0" t="n">
        <f aca="false">C6*(1+D5/100)</f>
        <v>140135.70543</v>
      </c>
      <c r="E6" s="0" t="n">
        <f aca="false">D6*(1+E5/100)</f>
        <v>148543.8477558</v>
      </c>
      <c r="F6" s="0" t="n">
        <f aca="false">E6*(1+F5/100)</f>
        <v>156713.759382369</v>
      </c>
      <c r="G6" s="0" t="n">
        <f aca="false">F6*(1+G5/100)</f>
        <v>164549.447351487</v>
      </c>
      <c r="H6" s="0" t="n">
        <f aca="false">G6*(1+H5/100)</f>
        <v>171954.172482304</v>
      </c>
      <c r="I6" s="0" t="n">
        <f aca="false">H6*(1+I5/100)</f>
        <v>178832.339381597</v>
      </c>
      <c r="J6" s="0" t="n">
        <f aca="false">I6*(1+J5/100)</f>
        <v>185985.63295686</v>
      </c>
      <c r="K6" s="0" t="n">
        <f aca="false">J6*(1+K5/100)</f>
        <v>193425.058275135</v>
      </c>
      <c r="L6" s="0" t="n">
        <f aca="false">K6*(1+L5/100)</f>
        <v>201162.06060614</v>
      </c>
    </row>
    <row r="7" customFormat="false" ht="15" hidden="false" customHeight="false" outlineLevel="0" collapsed="false">
      <c r="A7" s="0" t="s">
        <v>108</v>
      </c>
      <c r="C7" s="4" t="n">
        <f aca="false">Assumptions!C28</f>
        <v>39.96</v>
      </c>
      <c r="D7" s="4" t="n">
        <f aca="false">Assumptions!D28</f>
        <v>40.35</v>
      </c>
      <c r="E7" s="4" t="n">
        <f aca="false">Assumptions!E28</f>
        <v>40.74</v>
      </c>
      <c r="F7" s="4" t="n">
        <f aca="false">Assumptions!F28</f>
        <v>41</v>
      </c>
      <c r="G7" s="4" t="n">
        <f aca="false">Assumptions!G28</f>
        <v>41.26</v>
      </c>
      <c r="H7" s="4" t="n">
        <f aca="false">Assumptions!H28</f>
        <v>41.26</v>
      </c>
      <c r="I7" s="4" t="n">
        <f aca="false">Assumptions!I28</f>
        <v>41.26</v>
      </c>
      <c r="J7" s="4" t="n">
        <f aca="false">Assumptions!J28</f>
        <v>41.26</v>
      </c>
      <c r="K7" s="4" t="n">
        <f aca="false">Assumptions!K28</f>
        <v>41.26</v>
      </c>
      <c r="L7" s="4" t="n">
        <f aca="false">Assumptions!L28</f>
        <v>41.26</v>
      </c>
    </row>
    <row r="8" customFormat="false" ht="15" hidden="false" customHeight="false" outlineLevel="0" collapsed="false">
      <c r="A8" s="0" t="s">
        <v>43</v>
      </c>
      <c r="C8" s="0" t="n">
        <f aca="false">C6*C7/100</f>
        <v>52580.4956712</v>
      </c>
      <c r="D8" s="0" t="n">
        <f aca="false">D6*D7/100</f>
        <v>56544.757141005</v>
      </c>
      <c r="E8" s="0" t="n">
        <f aca="false">E6*E7/100</f>
        <v>60516.7635757129</v>
      </c>
      <c r="F8" s="0" t="n">
        <f aca="false">F6*F7/100</f>
        <v>64252.6413467713</v>
      </c>
      <c r="G8" s="0" t="n">
        <f aca="false">G6*G7/100</f>
        <v>67893.1019772237</v>
      </c>
      <c r="H8" s="0" t="n">
        <f aca="false">H6*H7/100</f>
        <v>70948.2915661988</v>
      </c>
      <c r="I8" s="0" t="n">
        <f aca="false">I6*I7/100</f>
        <v>73786.2232288467</v>
      </c>
      <c r="J8" s="0" t="n">
        <f aca="false">J6*J7/100</f>
        <v>76737.6721580006</v>
      </c>
      <c r="K8" s="0" t="n">
        <f aca="false">K6*K7/100</f>
        <v>79807.1790443206</v>
      </c>
      <c r="L8" s="0" t="n">
        <f aca="false">L6*L7/100</f>
        <v>82999.4662060935</v>
      </c>
    </row>
    <row r="9" customFormat="false" ht="15" hidden="false" customHeight="false" outlineLevel="0" collapsed="false">
      <c r="A9" s="0" t="s">
        <v>109</v>
      </c>
      <c r="C9" s="4" t="n">
        <f aca="false">Assumptions!C29</f>
        <v>3.6</v>
      </c>
      <c r="D9" s="4" t="n">
        <f aca="false">Assumptions!D29</f>
        <v>3.6</v>
      </c>
      <c r="E9" s="4" t="n">
        <f aca="false">Assumptions!E29</f>
        <v>3.6</v>
      </c>
      <c r="F9" s="4" t="n">
        <f aca="false">Assumptions!F29</f>
        <v>3.6</v>
      </c>
      <c r="G9" s="4" t="n">
        <f aca="false">Assumptions!G29</f>
        <v>3.6</v>
      </c>
      <c r="H9" s="4" t="n">
        <f aca="false">Assumptions!H29</f>
        <v>3.6</v>
      </c>
      <c r="I9" s="4" t="n">
        <f aca="false">Assumptions!I29</f>
        <v>3.6</v>
      </c>
      <c r="J9" s="4" t="n">
        <f aca="false">Assumptions!J29</f>
        <v>3.6</v>
      </c>
      <c r="K9" s="4" t="n">
        <f aca="false">Assumptions!K29</f>
        <v>3.6</v>
      </c>
      <c r="L9" s="4" t="n">
        <f aca="false">Assumptions!L29</f>
        <v>3.6</v>
      </c>
    </row>
    <row r="10" customFormat="false" ht="15" hidden="false" customHeight="false" outlineLevel="0" collapsed="false">
      <c r="A10" s="0" t="s">
        <v>124</v>
      </c>
      <c r="C10" s="0" t="n">
        <f aca="false">-C6*C9/100</f>
        <v>-4736.981592</v>
      </c>
      <c r="D10" s="0" t="n">
        <f aca="false">-D6*D9/100</f>
        <v>-5044.88539548</v>
      </c>
      <c r="E10" s="0" t="n">
        <f aca="false">-E6*E9/100</f>
        <v>-5347.5785192088</v>
      </c>
      <c r="F10" s="0" t="n">
        <f aca="false">-F6*F9/100</f>
        <v>-5641.69533776528</v>
      </c>
      <c r="G10" s="0" t="n">
        <f aca="false">-G6*G9/100</f>
        <v>-5923.78010465355</v>
      </c>
      <c r="H10" s="0" t="n">
        <f aca="false">-H6*H9/100</f>
        <v>-6190.35020936296</v>
      </c>
      <c r="I10" s="0" t="n">
        <f aca="false">-I6*I9/100</f>
        <v>-6437.96421773748</v>
      </c>
      <c r="J10" s="0" t="n">
        <f aca="false">-J6*J9/100</f>
        <v>-6695.48278644698</v>
      </c>
      <c r="K10" s="0" t="n">
        <f aca="false">-K6*K9/100</f>
        <v>-6963.30209790485</v>
      </c>
      <c r="L10" s="0" t="n">
        <f aca="false">-L6*L9/100</f>
        <v>-7241.83418182105</v>
      </c>
    </row>
    <row r="11" customFormat="false" ht="15" hidden="false" customHeight="false" outlineLevel="0" collapsed="false">
      <c r="A11" s="0" t="s">
        <v>125</v>
      </c>
      <c r="C11" s="0" t="n">
        <f aca="false">C8+C10+C24</f>
        <v>47843.5140792</v>
      </c>
      <c r="D11" s="0" t="n">
        <f aca="false">D8+D10+D24</f>
        <v>51499.871745525</v>
      </c>
      <c r="E11" s="0" t="n">
        <f aca="false">E8+E10+E24</f>
        <v>55169.1850565041</v>
      </c>
      <c r="F11" s="0" t="n">
        <f aca="false">F8+F10+F24</f>
        <v>58610.946009006</v>
      </c>
      <c r="G11" s="0" t="n">
        <f aca="false">G8+G10+G24</f>
        <v>61969.3218725702</v>
      </c>
      <c r="H11" s="0" t="n">
        <f aca="false">H8+H10+H24</f>
        <v>64757.9413568358</v>
      </c>
      <c r="I11" s="0" t="n">
        <f aca="false">I8+I10+I24</f>
        <v>67348.2590111093</v>
      </c>
      <c r="J11" s="0" t="n">
        <f aca="false">J8+J10+J24</f>
        <v>70042.1893715536</v>
      </c>
      <c r="K11" s="0" t="n">
        <f aca="false">K8+K10+K24</f>
        <v>72843.8769464158</v>
      </c>
      <c r="L11" s="0" t="n">
        <f aca="false">L8+L10+L24</f>
        <v>75757.6320242724</v>
      </c>
    </row>
    <row r="12" customFormat="false" ht="15" hidden="false" customHeight="false" outlineLevel="0" collapsed="false">
      <c r="A12" s="0" t="s">
        <v>126</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127</v>
      </c>
      <c r="C13" s="0" t="n">
        <f aca="false">C11+C12</f>
        <v>47843.5140792</v>
      </c>
      <c r="D13" s="0" t="n">
        <f aca="false">D11+D12</f>
        <v>51499.871745525</v>
      </c>
      <c r="E13" s="0" t="n">
        <f aca="false">E11+E12</f>
        <v>55169.1850565041</v>
      </c>
      <c r="F13" s="0" t="n">
        <f aca="false">F11+F12</f>
        <v>58610.946009006</v>
      </c>
      <c r="G13" s="0" t="n">
        <f aca="false">G11+G12</f>
        <v>61969.3218725702</v>
      </c>
      <c r="H13" s="0" t="n">
        <f aca="false">H11+H12</f>
        <v>64757.9413568358</v>
      </c>
      <c r="I13" s="0" t="n">
        <f aca="false">I11+I12</f>
        <v>67348.2590111093</v>
      </c>
      <c r="J13" s="0" t="n">
        <f aca="false">J11+J12</f>
        <v>70042.1893715536</v>
      </c>
      <c r="K13" s="0" t="n">
        <f aca="false">K11+K12</f>
        <v>72843.8769464158</v>
      </c>
      <c r="L13" s="0" t="n">
        <f aca="false">L11+L12</f>
        <v>75757.6320242724</v>
      </c>
    </row>
    <row r="14" customFormat="false" ht="15" hidden="false" customHeight="false" outlineLevel="0" collapsed="false">
      <c r="A14" s="0" t="s">
        <v>113</v>
      </c>
      <c r="C14" s="4" t="n">
        <f aca="false">Assumptions!C33</f>
        <v>23</v>
      </c>
      <c r="D14" s="4" t="n">
        <f aca="false">Assumptions!D33</f>
        <v>23</v>
      </c>
      <c r="E14" s="4" t="n">
        <f aca="false">Assumptions!E33</f>
        <v>23</v>
      </c>
      <c r="F14" s="4" t="n">
        <f aca="false">Assumptions!F33</f>
        <v>23</v>
      </c>
      <c r="G14" s="4" t="n">
        <f aca="false">Assumptions!G33</f>
        <v>23</v>
      </c>
      <c r="H14" s="4" t="n">
        <f aca="false">Assumptions!H33</f>
        <v>23</v>
      </c>
      <c r="I14" s="4" t="n">
        <f aca="false">Assumptions!I33</f>
        <v>23</v>
      </c>
      <c r="J14" s="4" t="n">
        <f aca="false">Assumptions!J33</f>
        <v>23</v>
      </c>
      <c r="K14" s="4" t="n">
        <f aca="false">Assumptions!K33</f>
        <v>23</v>
      </c>
      <c r="L14" s="4" t="n">
        <f aca="false">Assumptions!L33</f>
        <v>23</v>
      </c>
    </row>
    <row r="15" customFormat="false" ht="15" hidden="false" customHeight="false" outlineLevel="0" collapsed="false">
      <c r="A15" s="0" t="s">
        <v>128</v>
      </c>
      <c r="C15" s="0" t="n">
        <f aca="false">C13-MAX(0,C13)*C14/100</f>
        <v>36839.505840984</v>
      </c>
      <c r="D15" s="0" t="n">
        <f aca="false">D13-MAX(0,D13)*D14/100</f>
        <v>39654.9012440543</v>
      </c>
      <c r="E15" s="0" t="n">
        <f aca="false">E13-MAX(0,E13)*E14/100</f>
        <v>42480.2724935082</v>
      </c>
      <c r="F15" s="0" t="n">
        <f aca="false">F13-MAX(0,F13)*F14/100</f>
        <v>45130.4284269346</v>
      </c>
      <c r="G15" s="0" t="n">
        <f aca="false">G13-MAX(0,G13)*G14/100</f>
        <v>47716.377841879</v>
      </c>
      <c r="H15" s="0" t="n">
        <f aca="false">H13-MAX(0,H13)*H14/100</f>
        <v>49863.6148447636</v>
      </c>
      <c r="I15" s="0" t="n">
        <f aca="false">I13-MAX(0,I13)*I14/100</f>
        <v>51858.1594385541</v>
      </c>
      <c r="J15" s="0" t="n">
        <f aca="false">J13-MAX(0,J13)*J14/100</f>
        <v>53932.4858160963</v>
      </c>
      <c r="K15" s="0" t="n">
        <f aca="false">K13-MAX(0,K13)*K14/100</f>
        <v>56089.7852487401</v>
      </c>
      <c r="L15" s="0" t="n">
        <f aca="false">L13-MAX(0,L13)*L14/100</f>
        <v>58333.3766586898</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-C6*Assumptions!C32/100</f>
        <v>-22421.7128688</v>
      </c>
      <c r="D17" s="4" t="n">
        <f aca="false">-D6*Assumptions!D32/100</f>
        <v>-21847.156476537</v>
      </c>
      <c r="E17" s="4" t="n">
        <f aca="false">-E6*Assumptions!E32/100</f>
        <v>-21241.7702290794</v>
      </c>
      <c r="F17" s="4" t="n">
        <f aca="false">-F6*Assumptions!F32/100</f>
        <v>-20184.7322084491</v>
      </c>
      <c r="G17" s="4" t="n">
        <f aca="false">-G6*Assumptions!G32/100</f>
        <v>-19087.7358927725</v>
      </c>
      <c r="H17" s="4" t="n">
        <f aca="false">-H6*Assumptions!H32/100</f>
        <v>-17676.8889311809</v>
      </c>
      <c r="I17" s="4" t="n">
        <f aca="false">-I6*Assumptions!I32/100</f>
        <v>-16202.2099479726</v>
      </c>
      <c r="J17" s="4" t="n">
        <f aca="false">-J6*Assumptions!J32/100</f>
        <v>-16850.2983458916</v>
      </c>
      <c r="K17" s="4" t="n">
        <f aca="false">-K6*Assumptions!K32/100</f>
        <v>-17524.3102797272</v>
      </c>
      <c r="L17" s="4" t="n">
        <f aca="false">-L6*Assumptions!L32/100</f>
        <v>-18225.2826909163</v>
      </c>
    </row>
    <row r="18" customFormat="false" ht="15" hidden="false" customHeight="false" outlineLevel="0" collapsed="false">
      <c r="A18" s="0" t="s">
        <v>131</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132</v>
      </c>
      <c r="C19" s="0" t="n">
        <f aca="false">C15+C16+C17+C18</f>
        <v>14417.792972184</v>
      </c>
      <c r="D19" s="0" t="n">
        <f aca="false">D15+D16+D17+D18</f>
        <v>17807.7447675173</v>
      </c>
      <c r="E19" s="0" t="n">
        <f aca="false">E15+E16+E17+E18</f>
        <v>21238.5022644288</v>
      </c>
      <c r="F19" s="0" t="n">
        <f aca="false">F15+F16+F17+F18</f>
        <v>24945.6962184855</v>
      </c>
      <c r="G19" s="0" t="n">
        <f aca="false">G15+G16+G17+G18</f>
        <v>28628.6419491065</v>
      </c>
      <c r="H19" s="0" t="n">
        <f aca="false">H15+H16+H17+H18</f>
        <v>32186.7259135827</v>
      </c>
      <c r="I19" s="0" t="n">
        <f aca="false">I15+I16+I17+I18</f>
        <v>35655.9494905815</v>
      </c>
      <c r="J19" s="0" t="n">
        <f aca="false">J15+J16+J17+J18</f>
        <v>37082.1874702047</v>
      </c>
      <c r="K19" s="0" t="n">
        <f aca="false">K15+K16+K17+K18</f>
        <v>38565.4749690129</v>
      </c>
      <c r="L19" s="0" t="n">
        <f aca="false">L15+L16+L17+L18</f>
        <v>40108.0939677735</v>
      </c>
    </row>
    <row r="20" customFormat="false" ht="15" hidden="false" customHeight="false" outlineLevel="0" collapsed="false">
      <c r="A20" s="0" t="s">
        <v>133</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134</v>
      </c>
      <c r="C21" s="0" t="n">
        <f aca="false">C19*C20</f>
        <v>13047.7764454154</v>
      </c>
      <c r="D21" s="0" t="n">
        <f aca="false">D19*D20</f>
        <v>14584.2589361539</v>
      </c>
      <c r="E21" s="0" t="n">
        <f aca="false">E19*E20</f>
        <v>15741.1715896129</v>
      </c>
      <c r="F21" s="0" t="n">
        <f aca="false">F19*F20</f>
        <v>16731.9484254704</v>
      </c>
      <c r="G21" s="0" t="n">
        <f aca="false">G19*G20</f>
        <v>17377.5824147864</v>
      </c>
      <c r="H21" s="0" t="n">
        <f aca="false">H19*H20</f>
        <v>17680.8497534017</v>
      </c>
      <c r="I21" s="0" t="n">
        <f aca="false">I19*I20</f>
        <v>17725.4006225221</v>
      </c>
      <c r="J21" s="0" t="n">
        <f aca="false">J19*J20</f>
        <v>16682.7299976678</v>
      </c>
      <c r="K21" s="0" t="n">
        <f aca="false">K19*K20</f>
        <v>15701.3929389815</v>
      </c>
      <c r="L21" s="0" t="n">
        <f aca="false">L19*L20</f>
        <v>14777.7815896296</v>
      </c>
    </row>
    <row r="23" customFormat="false" ht="15" hidden="false" customHeight="false" outlineLevel="0" collapsed="false">
      <c r="A23" s="0" t="s">
        <v>110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Assumptions!$B$34</f>
        <v>10.5</v>
      </c>
    </row>
    <row r="28" customFormat="false" ht="15" hidden="false" customHeight="false" outlineLevel="0" collapsed="false">
      <c r="A28" s="0" t="s">
        <v>115</v>
      </c>
      <c r="B28" s="4" t="n">
        <f aca="false">Assumptions!$B$35</f>
        <v>4</v>
      </c>
    </row>
    <row r="29" customFormat="false" ht="15" hidden="false" customHeight="false" outlineLevel="0" collapsed="false">
      <c r="A29" s="0" t="s">
        <v>116</v>
      </c>
      <c r="B29" s="4" t="n">
        <f aca="false">Assumptions!$B$36</f>
        <v>16</v>
      </c>
    </row>
    <row r="30" customFormat="false" ht="15" hidden="false" customHeight="false" outlineLevel="0" collapsed="false">
      <c r="A30" s="0" t="s">
        <v>137</v>
      </c>
      <c r="B30" s="0" t="n">
        <f aca="false">SUM(C21:L21)</f>
        <v>160050.892713642</v>
      </c>
    </row>
    <row r="31" customFormat="false" ht="15" hidden="false" customHeight="false" outlineLevel="0" collapsed="false">
      <c r="A31" s="0" t="s">
        <v>138</v>
      </c>
      <c r="B31" s="0" t="n">
        <f aca="false">L19</f>
        <v>40108.0939677735</v>
      </c>
    </row>
    <row r="32" customFormat="false" ht="15" hidden="false" customHeight="false" outlineLevel="0" collapsed="false">
      <c r="A32" s="0" t="s">
        <v>139</v>
      </c>
      <c r="B32" s="0" t="n">
        <f aca="false">IF(B27&gt;B28,B31*(1+B28/100)/((B27-B28)/100),B31*B29)</f>
        <v>641729.503484375</v>
      </c>
    </row>
    <row r="33" customFormat="false" ht="15" hidden="false" customHeight="false" outlineLevel="0" collapsed="false">
      <c r="A33" s="0" t="s">
        <v>140</v>
      </c>
      <c r="B33" s="0" t="n">
        <f aca="false">B31*B29</f>
        <v>641729.503484375</v>
      </c>
    </row>
    <row r="34" customFormat="false" ht="15" hidden="false" customHeight="false" outlineLevel="0" collapsed="false">
      <c r="A34" s="0" t="s">
        <v>141</v>
      </c>
      <c r="B34" s="0" t="n">
        <f aca="false">MAX(0,MIN(B32,B33))</f>
        <v>641729.503484375</v>
      </c>
    </row>
    <row r="35" customFormat="false" ht="15" hidden="false" customHeight="false" outlineLevel="0" collapsed="false">
      <c r="A35" s="0" t="s">
        <v>142</v>
      </c>
      <c r="B35" s="0" t="n">
        <f aca="false">B34/(1+B27/100)^L4</f>
        <v>236444.505434074</v>
      </c>
    </row>
    <row r="36" customFormat="false" ht="15" hidden="false" customHeight="false" outlineLevel="0" collapsed="false">
      <c r="A36" s="0" t="s">
        <v>143</v>
      </c>
      <c r="B36" s="0" t="n">
        <f aca="false">B30+B35</f>
        <v>396495.398147716</v>
      </c>
    </row>
    <row r="37" customFormat="false" ht="15" hidden="false" customHeight="false" outlineLevel="0" collapsed="false">
      <c r="A37" s="0" t="s">
        <v>144</v>
      </c>
      <c r="B37" s="0" t="n">
        <f aca="false">B36+Assumptions!$B$5-Assumptions!$B$4</f>
        <v>396495.398147716</v>
      </c>
    </row>
    <row r="38" customFormat="false" ht="15" hidden="false" customHeight="false" outlineLevel="0" collapsed="false">
      <c r="A38" s="0" t="s">
        <v>145</v>
      </c>
      <c r="B38" s="0" t="n">
        <f aca="false">B37/Assumptions!$B$3*Assumptions!$B$10</f>
        <v>54.3576263535022</v>
      </c>
    </row>
    <row r="39" customFormat="false" ht="15" hidden="false" customHeight="false" outlineLevel="0" collapsed="false">
      <c r="A39" s="0" t="s">
        <v>146</v>
      </c>
      <c r="B39" s="4" t="n">
        <f aca="false">B38/Assumptions!$B$2-1</f>
        <v>-0.0413117045237703</v>
      </c>
    </row>
    <row r="41" customFormat="false" ht="15" hidden="false" customHeight="false" outlineLevel="0" collapsed="false">
      <c r="A41" s="0" t="s">
        <v>147</v>
      </c>
      <c r="B41" s="0" t="n">
        <f aca="false">SUMPRODUCT(-C10:L10/(1+$B$27/100)^C4:L4)</f>
        <v>34878.187190484</v>
      </c>
    </row>
    <row r="42" customFormat="false" ht="15" hidden="false" customHeight="false" outlineLevel="0" collapsed="false">
      <c r="A42" s="0" t="s">
        <v>148</v>
      </c>
      <c r="B42" s="0" t="n">
        <f aca="false">IF(B27&gt;B28,-L10*(1+B28/100)/((B27-B28)/100),-L10*20)/(1+B27/100)^L4</f>
        <v>42691.9290388635</v>
      </c>
    </row>
    <row r="43" customFormat="false" ht="15" hidden="false" customHeight="false" outlineLevel="0" collapsed="false">
      <c r="A43" s="0" t="s">
        <v>149</v>
      </c>
      <c r="B43" s="0" t="n">
        <f aca="false">(B37+B41+B42)/Assumptions!$B$3*Assumptions!$B$10</f>
        <v>64.992118995512</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379203.797513495</v>
      </c>
    </row>
    <row r="47" customFormat="false" ht="15" hidden="false" customHeight="false" outlineLevel="0" collapsed="false">
      <c r="A47" s="0" t="s">
        <v>151</v>
      </c>
      <c r="B47" s="0" t="n">
        <f aca="false">(SUMPRODUCT(C19:L19/(1+B45/100)^C4:L4)+B46/(1+B45/100)^L4+Assumptions!$B$5-Assumptions!$B$4)/Assumptions!$B$3*Assumptions!$B$10</f>
        <v>30.5057989405597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153</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Assumptions!C41</f>
        <v>10</v>
      </c>
      <c r="D5" s="4" t="n">
        <f aca="false">Assumptions!D41</f>
        <v>9</v>
      </c>
      <c r="E5" s="4" t="n">
        <f aca="false">Assumptions!E41</f>
        <v>8</v>
      </c>
      <c r="F5" s="4" t="n">
        <f aca="false">Assumptions!F41</f>
        <v>7</v>
      </c>
      <c r="G5" s="4" t="n">
        <f aca="false">Assumptions!G41</f>
        <v>6</v>
      </c>
      <c r="H5" s="4" t="n">
        <f aca="false">Assumptions!H41</f>
        <v>5.5</v>
      </c>
      <c r="I5" s="4" t="n">
        <f aca="false">Assumptions!I41</f>
        <v>5</v>
      </c>
      <c r="J5" s="4" t="n">
        <f aca="false">Assumptions!J41</f>
        <v>4.5</v>
      </c>
      <c r="K5" s="4" t="n">
        <f aca="false">Assumptions!K41</f>
        <v>4.5</v>
      </c>
      <c r="L5" s="4" t="n">
        <f aca="false">Assumptions!L41</f>
        <v>4.5</v>
      </c>
    </row>
    <row r="6" customFormat="false" ht="15" hidden="false" customHeight="false" outlineLevel="0" collapsed="false">
      <c r="A6" s="0" t="s">
        <v>37</v>
      </c>
      <c r="B6" s="3" t="n">
        <v>122974.6</v>
      </c>
      <c r="C6" s="0" t="n">
        <f aca="false">B6*(1+C5/100)</f>
        <v>135272.06</v>
      </c>
      <c r="D6" s="0" t="n">
        <f aca="false">C6*(1+D5/100)</f>
        <v>147446.5454</v>
      </c>
      <c r="E6" s="0" t="n">
        <f aca="false">D6*(1+E5/100)</f>
        <v>159242.269032</v>
      </c>
      <c r="F6" s="0" t="n">
        <f aca="false">E6*(1+F5/100)</f>
        <v>170389.22786424</v>
      </c>
      <c r="G6" s="0" t="n">
        <f aca="false">F6*(1+G5/100)</f>
        <v>180612.581536094</v>
      </c>
      <c r="H6" s="0" t="n">
        <f aca="false">G6*(1+H5/100)</f>
        <v>190546.27352058</v>
      </c>
      <c r="I6" s="0" t="n">
        <f aca="false">H6*(1+I5/100)</f>
        <v>200073.587196609</v>
      </c>
      <c r="J6" s="0" t="n">
        <f aca="false">I6*(1+J5/100)</f>
        <v>209076.898620456</v>
      </c>
      <c r="K6" s="0" t="n">
        <f aca="false">J6*(1+K5/100)</f>
        <v>218485.359058377</v>
      </c>
      <c r="L6" s="0" t="n">
        <f aca="false">K6*(1+L5/100)</f>
        <v>228317.200216003</v>
      </c>
    </row>
    <row r="7" customFormat="false" ht="15" hidden="false" customHeight="false" outlineLevel="0" collapsed="false">
      <c r="A7" s="0" t="s">
        <v>108</v>
      </c>
      <c r="C7" s="4" t="n">
        <f aca="false">Assumptions!C42</f>
        <v>41.26</v>
      </c>
      <c r="D7" s="4" t="n">
        <f aca="false">Assumptions!D42</f>
        <v>41.91</v>
      </c>
      <c r="E7" s="4" t="n">
        <f aca="false">Assumptions!E42</f>
        <v>42.56</v>
      </c>
      <c r="F7" s="4" t="n">
        <f aca="false">Assumptions!F42</f>
        <v>43.21</v>
      </c>
      <c r="G7" s="4" t="n">
        <f aca="false">Assumptions!G42</f>
        <v>43.86</v>
      </c>
      <c r="H7" s="4" t="n">
        <f aca="false">Assumptions!H42</f>
        <v>43.86</v>
      </c>
      <c r="I7" s="4" t="n">
        <f aca="false">Assumptions!I42</f>
        <v>43.86</v>
      </c>
      <c r="J7" s="4" t="n">
        <f aca="false">Assumptions!J42</f>
        <v>43.86</v>
      </c>
      <c r="K7" s="4" t="n">
        <f aca="false">Assumptions!K42</f>
        <v>43.86</v>
      </c>
      <c r="L7" s="4" t="n">
        <f aca="false">Assumptions!L42</f>
        <v>43.86</v>
      </c>
    </row>
    <row r="8" customFormat="false" ht="15" hidden="false" customHeight="false" outlineLevel="0" collapsed="false">
      <c r="A8" s="0" t="s">
        <v>43</v>
      </c>
      <c r="C8" s="0" t="n">
        <f aca="false">C6*C7/100</f>
        <v>55813.251956</v>
      </c>
      <c r="D8" s="0" t="n">
        <f aca="false">D6*D7/100</f>
        <v>61794.84717714</v>
      </c>
      <c r="E8" s="0" t="n">
        <f aca="false">E6*E7/100</f>
        <v>67773.5097000192</v>
      </c>
      <c r="F8" s="0" t="n">
        <f aca="false">F6*F7/100</f>
        <v>73625.1853601381</v>
      </c>
      <c r="G8" s="0" t="n">
        <f aca="false">G6*G7/100</f>
        <v>79216.678261731</v>
      </c>
      <c r="H8" s="0" t="n">
        <f aca="false">H6*H7/100</f>
        <v>83573.5955661262</v>
      </c>
      <c r="I8" s="0" t="n">
        <f aca="false">I6*I7/100</f>
        <v>87752.2753444326</v>
      </c>
      <c r="J8" s="0" t="n">
        <f aca="false">J6*J7/100</f>
        <v>91701.127734932</v>
      </c>
      <c r="K8" s="0" t="n">
        <f aca="false">K6*K7/100</f>
        <v>95827.6784830039</v>
      </c>
      <c r="L8" s="0" t="n">
        <f aca="false">L6*L7/100</f>
        <v>100139.924014739</v>
      </c>
    </row>
    <row r="9" customFormat="false" ht="15" hidden="false" customHeight="false" outlineLevel="0" collapsed="false">
      <c r="A9" s="0" t="s">
        <v>109</v>
      </c>
      <c r="C9" s="4" t="n">
        <f aca="false">Assumptions!C43</f>
        <v>3.6</v>
      </c>
      <c r="D9" s="4" t="n">
        <f aca="false">Assumptions!D43</f>
        <v>3.6</v>
      </c>
      <c r="E9" s="4" t="n">
        <f aca="false">Assumptions!E43</f>
        <v>3.6</v>
      </c>
      <c r="F9" s="4" t="n">
        <f aca="false">Assumptions!F43</f>
        <v>3.6</v>
      </c>
      <c r="G9" s="4" t="n">
        <f aca="false">Assumptions!G43</f>
        <v>3.6</v>
      </c>
      <c r="H9" s="4" t="n">
        <f aca="false">Assumptions!H43</f>
        <v>3.6</v>
      </c>
      <c r="I9" s="4" t="n">
        <f aca="false">Assumptions!I43</f>
        <v>3.6</v>
      </c>
      <c r="J9" s="4" t="n">
        <f aca="false">Assumptions!J43</f>
        <v>3.6</v>
      </c>
      <c r="K9" s="4" t="n">
        <f aca="false">Assumptions!K43</f>
        <v>3.6</v>
      </c>
      <c r="L9" s="4" t="n">
        <f aca="false">Assumptions!L43</f>
        <v>3.6</v>
      </c>
    </row>
    <row r="10" customFormat="false" ht="15" hidden="false" customHeight="false" outlineLevel="0" collapsed="false">
      <c r="A10" s="0" t="s">
        <v>124</v>
      </c>
      <c r="C10" s="0" t="n">
        <f aca="false">-C6*C9/100</f>
        <v>-4869.79416</v>
      </c>
      <c r="D10" s="0" t="n">
        <f aca="false">-D6*D9/100</f>
        <v>-5308.0756344</v>
      </c>
      <c r="E10" s="0" t="n">
        <f aca="false">-E6*E9/100</f>
        <v>-5732.721685152</v>
      </c>
      <c r="F10" s="0" t="n">
        <f aca="false">-F6*F9/100</f>
        <v>-6134.01220311264</v>
      </c>
      <c r="G10" s="0" t="n">
        <f aca="false">-G6*G9/100</f>
        <v>-6502.0529352994</v>
      </c>
      <c r="H10" s="0" t="n">
        <f aca="false">-H6*H9/100</f>
        <v>-6859.66584674087</v>
      </c>
      <c r="I10" s="0" t="n">
        <f aca="false">-I6*I9/100</f>
        <v>-7202.64913907791</v>
      </c>
      <c r="J10" s="0" t="n">
        <f aca="false">-J6*J9/100</f>
        <v>-7526.76835033642</v>
      </c>
      <c r="K10" s="0" t="n">
        <f aca="false">-K6*K9/100</f>
        <v>-7865.47292610156</v>
      </c>
      <c r="L10" s="0" t="n">
        <f aca="false">-L6*L9/100</f>
        <v>-8219.41920777612</v>
      </c>
    </row>
    <row r="11" customFormat="false" ht="15" hidden="false" customHeight="false" outlineLevel="0" collapsed="false">
      <c r="A11" s="0" t="s">
        <v>125</v>
      </c>
      <c r="C11" s="0" t="n">
        <f aca="false">C8+C10+C24</f>
        <v>50943.457796</v>
      </c>
      <c r="D11" s="0" t="n">
        <f aca="false">D8+D10+D24</f>
        <v>56486.77154274</v>
      </c>
      <c r="E11" s="0" t="n">
        <f aca="false">E8+E10+E24</f>
        <v>62040.7880148672</v>
      </c>
      <c r="F11" s="0" t="n">
        <f aca="false">F8+F10+F24</f>
        <v>67491.1731570255</v>
      </c>
      <c r="G11" s="0" t="n">
        <f aca="false">G8+G10+G24</f>
        <v>72714.6253264316</v>
      </c>
      <c r="H11" s="0" t="n">
        <f aca="false">H8+H10+H24</f>
        <v>76713.9297193854</v>
      </c>
      <c r="I11" s="0" t="n">
        <f aca="false">I8+I10+I24</f>
        <v>80549.6262053546</v>
      </c>
      <c r="J11" s="0" t="n">
        <f aca="false">J8+J10+J24</f>
        <v>84174.3593845956</v>
      </c>
      <c r="K11" s="0" t="n">
        <f aca="false">K8+K10+K24</f>
        <v>87962.2055569024</v>
      </c>
      <c r="L11" s="0" t="n">
        <f aca="false">L8+L10+L24</f>
        <v>91920.504806963</v>
      </c>
    </row>
    <row r="12" customFormat="false" ht="15" hidden="false" customHeight="false" outlineLevel="0" collapsed="false">
      <c r="A12" s="0" t="s">
        <v>126</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127</v>
      </c>
      <c r="C13" s="0" t="n">
        <f aca="false">C11+C12</f>
        <v>50943.457796</v>
      </c>
      <c r="D13" s="0" t="n">
        <f aca="false">D11+D12</f>
        <v>56486.77154274</v>
      </c>
      <c r="E13" s="0" t="n">
        <f aca="false">E11+E12</f>
        <v>62040.7880148672</v>
      </c>
      <c r="F13" s="0" t="n">
        <f aca="false">F11+F12</f>
        <v>67491.1731570255</v>
      </c>
      <c r="G13" s="0" t="n">
        <f aca="false">G11+G12</f>
        <v>72714.6253264316</v>
      </c>
      <c r="H13" s="0" t="n">
        <f aca="false">H11+H12</f>
        <v>76713.9297193854</v>
      </c>
      <c r="I13" s="0" t="n">
        <f aca="false">I11+I12</f>
        <v>80549.6262053546</v>
      </c>
      <c r="J13" s="0" t="n">
        <f aca="false">J11+J12</f>
        <v>84174.3593845956</v>
      </c>
      <c r="K13" s="0" t="n">
        <f aca="false">K11+K12</f>
        <v>87962.2055569024</v>
      </c>
      <c r="L13" s="0" t="n">
        <f aca="false">L11+L12</f>
        <v>91920.504806963</v>
      </c>
    </row>
    <row r="14" customFormat="false" ht="15" hidden="false" customHeight="false" outlineLevel="0" collapsed="false">
      <c r="A14" s="0" t="s">
        <v>113</v>
      </c>
      <c r="C14" s="4" t="n">
        <f aca="false">Assumptions!C47</f>
        <v>23</v>
      </c>
      <c r="D14" s="4" t="n">
        <f aca="false">Assumptions!D47</f>
        <v>23</v>
      </c>
      <c r="E14" s="4" t="n">
        <f aca="false">Assumptions!E47</f>
        <v>23</v>
      </c>
      <c r="F14" s="4" t="n">
        <f aca="false">Assumptions!F47</f>
        <v>23</v>
      </c>
      <c r="G14" s="4" t="n">
        <f aca="false">Assumptions!G47</f>
        <v>23</v>
      </c>
      <c r="H14" s="4" t="n">
        <f aca="false">Assumptions!H47</f>
        <v>23</v>
      </c>
      <c r="I14" s="4" t="n">
        <f aca="false">Assumptions!I47</f>
        <v>23</v>
      </c>
      <c r="J14" s="4" t="n">
        <f aca="false">Assumptions!J47</f>
        <v>23</v>
      </c>
      <c r="K14" s="4" t="n">
        <f aca="false">Assumptions!K47</f>
        <v>23</v>
      </c>
      <c r="L14" s="4" t="n">
        <f aca="false">Assumptions!L47</f>
        <v>23</v>
      </c>
    </row>
    <row r="15" customFormat="false" ht="15" hidden="false" customHeight="false" outlineLevel="0" collapsed="false">
      <c r="A15" s="0" t="s">
        <v>128</v>
      </c>
      <c r="C15" s="0" t="n">
        <f aca="false">C13-MAX(0,C13)*C14/100</f>
        <v>39226.46250292</v>
      </c>
      <c r="D15" s="0" t="n">
        <f aca="false">D13-MAX(0,D13)*D14/100</f>
        <v>43494.8140879098</v>
      </c>
      <c r="E15" s="0" t="n">
        <f aca="false">E13-MAX(0,E13)*E14/100</f>
        <v>47771.4067714478</v>
      </c>
      <c r="F15" s="0" t="n">
        <f aca="false">F13-MAX(0,F13)*F14/100</f>
        <v>51968.2033309096</v>
      </c>
      <c r="G15" s="0" t="n">
        <f aca="false">G13-MAX(0,G13)*G14/100</f>
        <v>55990.2615013524</v>
      </c>
      <c r="H15" s="0" t="n">
        <f aca="false">H13-MAX(0,H13)*H14/100</f>
        <v>59069.7258839267</v>
      </c>
      <c r="I15" s="0" t="n">
        <f aca="false">I13-MAX(0,I13)*I14/100</f>
        <v>62023.2121781231</v>
      </c>
      <c r="J15" s="0" t="n">
        <f aca="false">J13-MAX(0,J13)*J14/100</f>
        <v>64814.2567261386</v>
      </c>
      <c r="K15" s="0" t="n">
        <f aca="false">K13-MAX(0,K13)*K14/100</f>
        <v>67730.8982788148</v>
      </c>
      <c r="L15" s="0" t="n">
        <f aca="false">L13-MAX(0,L13)*L14/100</f>
        <v>70778.7887013615</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-C6*Assumptions!C46/100</f>
        <v>-31383.11792</v>
      </c>
      <c r="D17" s="4" t="n">
        <f aca="false">-D6*Assumptions!D46/100</f>
        <v>-30108.58457068</v>
      </c>
      <c r="E17" s="4" t="n">
        <f aca="false">-E6*Assumptions!E46/100</f>
        <v>-28313.2754338896</v>
      </c>
      <c r="F17" s="4" t="n">
        <f aca="false">-F6*Assumptions!F46/100</f>
        <v>-25984.3572492966</v>
      </c>
      <c r="G17" s="4" t="n">
        <f aca="false">-G6*Assumptions!G46/100</f>
        <v>-23172.5942110809</v>
      </c>
      <c r="H17" s="4" t="n">
        <f aca="false">-H6*Assumptions!H46/100</f>
        <v>-21665.1112992899</v>
      </c>
      <c r="I17" s="4" t="n">
        <f aca="false">-I6*Assumptions!I46/100</f>
        <v>-20667.6015574097</v>
      </c>
      <c r="J17" s="4" t="n">
        <f aca="false">-J6*Assumptions!J46/100</f>
        <v>-19444.1515717024</v>
      </c>
      <c r="K17" s="4" t="n">
        <f aca="false">-K6*Assumptions!K46/100</f>
        <v>-20319.138392429</v>
      </c>
      <c r="L17" s="4" t="n">
        <f aca="false">-L6*Assumptions!L46/100</f>
        <v>-21233.4996200883</v>
      </c>
    </row>
    <row r="18" customFormat="false" ht="15" hidden="false" customHeight="false" outlineLevel="0" collapsed="false">
      <c r="A18" s="0" t="s">
        <v>131</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132</v>
      </c>
      <c r="C19" s="0" t="n">
        <f aca="false">C15+C16+C17+C18</f>
        <v>7843.34458292001</v>
      </c>
      <c r="D19" s="0" t="n">
        <f aca="false">D15+D16+D17+D18</f>
        <v>13386.2295172298</v>
      </c>
      <c r="E19" s="0" t="n">
        <f aca="false">E15+E16+E17+E18</f>
        <v>19458.1313375582</v>
      </c>
      <c r="F19" s="0" t="n">
        <f aca="false">F15+F16+F17+F18</f>
        <v>25983.846081613</v>
      </c>
      <c r="G19" s="0" t="n">
        <f aca="false">G15+G16+G17+G18</f>
        <v>32817.6672902714</v>
      </c>
      <c r="H19" s="0" t="n">
        <f aca="false">H15+H16+H17+H18</f>
        <v>37404.6145846368</v>
      </c>
      <c r="I19" s="0" t="n">
        <f aca="false">I15+I16+I17+I18</f>
        <v>41355.6106207134</v>
      </c>
      <c r="J19" s="0" t="n">
        <f aca="false">J15+J16+J17+J18</f>
        <v>45370.1051544362</v>
      </c>
      <c r="K19" s="0" t="n">
        <f aca="false">K15+K16+K17+K18</f>
        <v>47411.7598863858</v>
      </c>
      <c r="L19" s="0" t="n">
        <f aca="false">L15+L16+L17+L18</f>
        <v>49545.2890812732</v>
      </c>
    </row>
    <row r="20" customFormat="false" ht="15" hidden="false" customHeight="false" outlineLevel="0" collapsed="false">
      <c r="A20" s="0" t="s">
        <v>133</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134</v>
      </c>
      <c r="C21" s="0" t="n">
        <f aca="false">C19*C20</f>
        <v>7098.0493963077</v>
      </c>
      <c r="D21" s="0" t="n">
        <f aca="false">D19*D20</f>
        <v>10963.1084680738</v>
      </c>
      <c r="E21" s="0" t="n">
        <f aca="false">E19*E20</f>
        <v>14421.6282478036</v>
      </c>
      <c r="F21" s="0" t="n">
        <f aca="false">F19*F20</f>
        <v>17428.2717437543</v>
      </c>
      <c r="G21" s="0" t="n">
        <f aca="false">G19*G20</f>
        <v>19920.3203215698</v>
      </c>
      <c r="H21" s="0" t="n">
        <f aca="false">H19*H20</f>
        <v>20547.1464332996</v>
      </c>
      <c r="I21" s="0" t="n">
        <f aca="false">I19*I20</f>
        <v>20558.8345483496</v>
      </c>
      <c r="J21" s="0" t="n">
        <f aca="false">J19*J20</f>
        <v>20411.342099638</v>
      </c>
      <c r="K21" s="0" t="n">
        <f aca="false">K19*K20</f>
        <v>19303.0339313318</v>
      </c>
      <c r="L21" s="0" t="n">
        <f aca="false">L19*L20</f>
        <v>18254.905392074</v>
      </c>
    </row>
    <row r="23" customFormat="false" ht="15" hidden="false" customHeight="false" outlineLevel="0" collapsed="false">
      <c r="A23" s="0" t="s">
        <v>110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Assumptions!$B$48</f>
        <v>10.5</v>
      </c>
    </row>
    <row r="28" customFormat="false" ht="15" hidden="false" customHeight="false" outlineLevel="0" collapsed="false">
      <c r="A28" s="0" t="s">
        <v>115</v>
      </c>
      <c r="B28" s="4" t="n">
        <f aca="false">Assumptions!$B$49</f>
        <v>4.5</v>
      </c>
    </row>
    <row r="29" customFormat="false" ht="15" hidden="false" customHeight="false" outlineLevel="0" collapsed="false">
      <c r="A29" s="0" t="s">
        <v>116</v>
      </c>
      <c r="B29" s="4" t="n">
        <f aca="false">Assumptions!$B$50</f>
        <v>16</v>
      </c>
    </row>
    <row r="30" customFormat="false" ht="15" hidden="false" customHeight="false" outlineLevel="0" collapsed="false">
      <c r="A30" s="0" t="s">
        <v>137</v>
      </c>
      <c r="B30" s="0" t="n">
        <f aca="false">SUM(C21:L21)</f>
        <v>168906.640582202</v>
      </c>
    </row>
    <row r="31" customFormat="false" ht="15" hidden="false" customHeight="false" outlineLevel="0" collapsed="false">
      <c r="A31" s="0" t="s">
        <v>138</v>
      </c>
      <c r="B31" s="0" t="n">
        <f aca="false">L19</f>
        <v>49545.2890812732</v>
      </c>
    </row>
    <row r="32" customFormat="false" ht="15" hidden="false" customHeight="false" outlineLevel="0" collapsed="false">
      <c r="A32" s="0" t="s">
        <v>139</v>
      </c>
      <c r="B32" s="0" t="n">
        <f aca="false">IF(B27&gt;B28,B31*(1+B28/100)/((B27-B28)/100),B31*B29)</f>
        <v>862913.784832174</v>
      </c>
    </row>
    <row r="33" customFormat="false" ht="15" hidden="false" customHeight="false" outlineLevel="0" collapsed="false">
      <c r="A33" s="0" t="s">
        <v>140</v>
      </c>
      <c r="B33" s="0" t="n">
        <f aca="false">B31*B29</f>
        <v>792724.625300371</v>
      </c>
    </row>
    <row r="34" customFormat="false" ht="15" hidden="false" customHeight="false" outlineLevel="0" collapsed="false">
      <c r="A34" s="0" t="s">
        <v>141</v>
      </c>
      <c r="B34" s="0" t="n">
        <f aca="false">MAX(0,MIN(B32,B33))</f>
        <v>792724.625300371</v>
      </c>
    </row>
    <row r="35" customFormat="false" ht="15" hidden="false" customHeight="false" outlineLevel="0" collapsed="false">
      <c r="A35" s="0" t="s">
        <v>142</v>
      </c>
      <c r="B35" s="0" t="n">
        <f aca="false">B34/(1+B27/100)^L4</f>
        <v>292078.486273184</v>
      </c>
    </row>
    <row r="36" customFormat="false" ht="15" hidden="false" customHeight="false" outlineLevel="0" collapsed="false">
      <c r="A36" s="0" t="s">
        <v>143</v>
      </c>
      <c r="B36" s="0" t="n">
        <f aca="false">B30+B35</f>
        <v>460985.126855386</v>
      </c>
    </row>
    <row r="37" customFormat="false" ht="15" hidden="false" customHeight="false" outlineLevel="0" collapsed="false">
      <c r="A37" s="0" t="s">
        <v>144</v>
      </c>
      <c r="B37" s="0" t="n">
        <f aca="false">B36+Assumptions!$B$5-Assumptions!$B$4</f>
        <v>460985.126855386</v>
      </c>
    </row>
    <row r="38" customFormat="false" ht="15" hidden="false" customHeight="false" outlineLevel="0" collapsed="false">
      <c r="A38" s="0" t="s">
        <v>145</v>
      </c>
      <c r="B38" s="0" t="n">
        <f aca="false">B37/Assumptions!$B$3*Assumptions!$B$10</f>
        <v>63.1988603075575</v>
      </c>
    </row>
    <row r="39" customFormat="false" ht="15" hidden="false" customHeight="false" outlineLevel="0" collapsed="false">
      <c r="A39" s="0" t="s">
        <v>146</v>
      </c>
      <c r="B39" s="4" t="n">
        <f aca="false">B38/Assumptions!$B$2-1</f>
        <v>0.114618347575969</v>
      </c>
    </row>
    <row r="41" customFormat="false" ht="15" hidden="false" customHeight="false" outlineLevel="0" collapsed="false">
      <c r="A41" s="0" t="s">
        <v>147</v>
      </c>
      <c r="B41" s="0" t="n">
        <f aca="false">SUMPRODUCT(-C10:L10/(1+$B$27/100)^C4:L4)</f>
        <v>38029.898612608</v>
      </c>
    </row>
    <row r="42" customFormat="false" ht="15" hidden="false" customHeight="false" outlineLevel="0" collapsed="false">
      <c r="A42" s="0" t="s">
        <v>148</v>
      </c>
      <c r="B42" s="0" t="n">
        <f aca="false">IF(B27&gt;B28,-L10*(1+B28/100)/((B27-B28)/100),-L10*20)/(1+B27/100)^L4</f>
        <v>52745.2543332798</v>
      </c>
    </row>
    <row r="43" customFormat="false" ht="15" hidden="false" customHeight="false" outlineLevel="0" collapsed="false">
      <c r="A43" s="0" t="s">
        <v>149</v>
      </c>
      <c r="B43" s="0" t="n">
        <f aca="false">(B37+B41+B42)/Assumptions!$B$3*Assumptions!$B$10</f>
        <v>75.643700447105</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493093.591332671</v>
      </c>
    </row>
    <row r="47" customFormat="false" ht="15" hidden="false" customHeight="false" outlineLevel="0" collapsed="false">
      <c r="A47" s="0" t="s">
        <v>151</v>
      </c>
      <c r="B47" s="0" t="n">
        <f aca="false">(SUMPRODUCT(C19:L19/(1+B45/100)^C4:L4)+B46/(1+B45/100)^L4+Assumptions!$B$5-Assumptions!$B$4)/Assumptions!$B$3*Assumptions!$B$10</f>
        <v>34.9685932304201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154</v>
      </c>
    </row>
    <row r="3" customFormat="false" ht="15" hidden="false" customHeight="false" outlineLevel="0" collapsed="false">
      <c r="A3" s="2" t="s">
        <v>155</v>
      </c>
      <c r="B3" s="2" t="s">
        <v>156</v>
      </c>
      <c r="C3" s="2" t="s">
        <v>146</v>
      </c>
      <c r="D3" s="2" t="s">
        <v>157</v>
      </c>
      <c r="E3" s="2" t="s">
        <v>149</v>
      </c>
      <c r="F3" s="2" t="s">
        <v>158</v>
      </c>
    </row>
    <row r="4" customFormat="false" ht="15" hidden="false" customHeight="false" outlineLevel="0" collapsed="false">
      <c r="A4" s="0" t="s">
        <v>159</v>
      </c>
      <c r="B4" s="4" t="n">
        <f aca="false">DCF_Bear!$B$38</f>
        <v>37.4631671707196</v>
      </c>
      <c r="C4" s="0" t="n">
        <f aca="false">B4/Assumptions!$B$2-1</f>
        <v>-0.339273947606357</v>
      </c>
      <c r="D4" s="4" t="n">
        <f aca="false">Assumptions!$B$24</f>
        <v>0.3</v>
      </c>
      <c r="E4" s="4" t="n">
        <f aca="false">DCF_Bear!$B$43</f>
        <v>45.0696706869033</v>
      </c>
      <c r="F4" s="4" t="n">
        <f aca="false">DCF_Bear!$B$47</f>
        <v>24.0435209161054</v>
      </c>
    </row>
    <row r="5" customFormat="false" ht="15" hidden="false" customHeight="false" outlineLevel="0" collapsed="false">
      <c r="A5" s="0" t="s">
        <v>160</v>
      </c>
      <c r="B5" s="4" t="n">
        <f aca="false">DCF_Base!$B$38</f>
        <v>54.3576263535022</v>
      </c>
      <c r="C5" s="0" t="n">
        <f aca="false">B5/Assumptions!$B$2-1</f>
        <v>-0.0413117045237703</v>
      </c>
      <c r="D5" s="4" t="n">
        <f aca="false">Assumptions!$B$38</f>
        <v>0.5</v>
      </c>
      <c r="E5" s="4" t="n">
        <f aca="false">DCF_Base!$B$43</f>
        <v>64.992118995512</v>
      </c>
      <c r="F5" s="4" t="n">
        <f aca="false">DCF_Base!$B$47</f>
        <v>30.5057989405597</v>
      </c>
    </row>
    <row r="6" customFormat="false" ht="15" hidden="false" customHeight="false" outlineLevel="0" collapsed="false">
      <c r="A6" s="0" t="s">
        <v>161</v>
      </c>
      <c r="B6" s="4" t="n">
        <f aca="false">DCF_Bull!$B$38</f>
        <v>63.1988603075575</v>
      </c>
      <c r="C6" s="0" t="n">
        <f aca="false">B6/Assumptions!$B$2-1</f>
        <v>0.114618347575969</v>
      </c>
      <c r="D6" s="4" t="n">
        <f aca="false">Assumptions!$B$52</f>
        <v>0.2</v>
      </c>
      <c r="E6" s="4" t="n">
        <f aca="false">DCF_Bull!$B$43</f>
        <v>75.643700447105</v>
      </c>
      <c r="F6" s="4" t="n">
        <f aca="false">DCF_Bull!$B$47</f>
        <v>34.9685932304201</v>
      </c>
    </row>
    <row r="8" customFormat="false" ht="15" hidden="false" customHeight="false" outlineLevel="0" collapsed="false">
      <c r="A8" s="0" t="s">
        <v>162</v>
      </c>
      <c r="B8" s="0" t="n">
        <f aca="false">SUMPRODUCT(B4:B6,D4:D6)</f>
        <v>51.0575353894785</v>
      </c>
    </row>
    <row r="9" customFormat="false" ht="15" hidden="false" customHeight="false" outlineLevel="0" collapsed="false">
      <c r="A9" s="0" t="s">
        <v>163</v>
      </c>
      <c r="B9" s="0" t="n">
        <f aca="false">SUMPRODUCT(E4:E6,D4:D6)</f>
        <v>61.145700793248</v>
      </c>
    </row>
    <row r="10" customFormat="false" ht="15" hidden="false" customHeight="false" outlineLevel="0" collapsed="false">
      <c r="A10" s="0" t="s">
        <v>164</v>
      </c>
      <c r="B10" s="0" t="n">
        <f aca="false">1-Assumptions!$B$2/B8</f>
        <v>-0.110511887569181</v>
      </c>
    </row>
    <row r="11" customFormat="false" ht="15" hidden="false" customHeight="false" outlineLevel="0" collapsed="false">
      <c r="A11" s="0" t="s">
        <v>165</v>
      </c>
      <c r="B11" s="0" t="n">
        <f aca="false">IF(ABS(B9-B8)&gt;0.01*ABS(B8),(Assumptions!$B$2-B8)/(B9-B8)*100,"n/a")</f>
        <v>55.931523569322</v>
      </c>
    </row>
    <row r="12" customFormat="false" ht="15" hidden="false" customHeight="false" outlineLevel="0" collapsed="false">
      <c r="A12" s="0" t="s">
        <v>166</v>
      </c>
      <c r="B12" s="0" t="n">
        <f aca="false">SUMPRODUCT(F4:F6,D4:D6)</f>
        <v>29.4596743911955</v>
      </c>
    </row>
    <row r="14" customFormat="false" ht="15" hidden="false" customHeight="false" outlineLevel="0" collapsed="false">
      <c r="A14" s="2" t="s">
        <v>167</v>
      </c>
      <c r="C14" s="0" t="s">
        <v>168</v>
      </c>
    </row>
    <row r="15" customFormat="false" ht="15" hidden="false" customHeight="false" outlineLevel="0" collapsed="false">
      <c r="A15" s="0" t="s">
        <v>169</v>
      </c>
      <c r="B15" s="0" t="n">
        <f aca="false">(SUMPRODUCT(DCF_Base!$C$19:$L$19/(1+$C$15/100)^DCF_Base!$C$4:$L$4)+MAX(0,MIN(IF($C$15&gt;DCF_Base!$B$28,DCF_Base!$L$19*(1+DCF_Base!$B$28/100)/(($C$15-DCF_Base!$B$28)/100),DCF_Base!$L$19*DCF_Base!$B$29),DCF_Base!$L$19*DCF_Base!$B$29))/(1+$C$15/100)^DCF_Base!$L$4+Assumptions!$B$5-Assumptions!$B$4)/Assumptions!$B$3*Assumptions!$B$10</f>
        <v>60.8667150279693</v>
      </c>
      <c r="C15" s="3" t="n">
        <v>9</v>
      </c>
    </row>
    <row r="16" customFormat="false" ht="15" hidden="false" customHeight="false" outlineLevel="0" collapsed="false">
      <c r="A16" s="0" t="s">
        <v>170</v>
      </c>
      <c r="B16" s="0" t="n">
        <f aca="false">(SUMPRODUCT(DCF_Base!$C$19:$L$19/(1+$C$16/100)^DCF_Base!$C$4:$L$4)+MAX(0,MIN(IF($C$16&gt;DCF_Base!$B$28,DCF_Base!$L$19*(1+DCF_Base!$B$28/100)/(($C$16-DCF_Base!$B$28)/100),DCF_Base!$L$19*DCF_Base!$B$29),DCF_Base!$L$19*DCF_Base!$B$29))/(1+$C$16/100)^DCF_Base!$L$4+Assumptions!$B$5-Assumptions!$B$4)/Assumptions!$B$3*Assumptions!$B$10</f>
        <v>56.4275271411756</v>
      </c>
      <c r="C16" s="3" t="n">
        <v>10</v>
      </c>
    </row>
    <row r="17" customFormat="false" ht="15" hidden="false" customHeight="false" outlineLevel="0" collapsed="false">
      <c r="A17" s="0" t="s">
        <v>171</v>
      </c>
      <c r="B17" s="0" t="n">
        <f aca="false">(SUMPRODUCT(DCF_Base!$C$19:$L$19/(1+$C$17/100)^DCF_Base!$C$4:$L$4)+MAX(0,MIN(IF($C$17&gt;DCF_Base!$B$28,DCF_Base!$L$19*(1+DCF_Base!$B$28/100)/(($C$17-DCF_Base!$B$28)/100),DCF_Base!$L$19*DCF_Base!$B$29),DCF_Base!$L$19*DCF_Base!$B$29))/(1+$C$17/100)^DCF_Base!$L$4+Assumptions!$B$5-Assumptions!$B$4)/Assumptions!$B$3*Assumptions!$B$10</f>
        <v>54.3576263535022</v>
      </c>
      <c r="C17" s="3" t="n">
        <v>10.5</v>
      </c>
    </row>
    <row r="18" customFormat="false" ht="15" hidden="false" customHeight="false" outlineLevel="0" collapsed="false">
      <c r="A18" s="0" t="s">
        <v>172</v>
      </c>
      <c r="B18" s="0" t="n">
        <f aca="false">(SUMPRODUCT(DCF_Base!$C$19:$L$19/(1+$C$18/100)^DCF_Base!$C$4:$L$4)+MAX(0,MIN(IF($C$18&gt;DCF_Base!$B$28,DCF_Base!$L$19*(1+DCF_Base!$B$28/100)/(($C$18-DCF_Base!$B$28)/100),DCF_Base!$L$19*DCF_Base!$B$29),DCF_Base!$L$19*DCF_Base!$B$29))/(1+$C$18/100)^DCF_Base!$L$4+Assumptions!$B$5-Assumptions!$B$4)/Assumptions!$B$3*Assumptions!$B$10</f>
        <v>50.1675995595587</v>
      </c>
      <c r="C18" s="3" t="n">
        <v>11</v>
      </c>
    </row>
    <row r="19" customFormat="false" ht="15" hidden="false" customHeight="false" outlineLevel="0" collapsed="false">
      <c r="A19" s="0" t="s">
        <v>173</v>
      </c>
      <c r="B19" s="0" t="n">
        <f aca="false">(SUMPRODUCT(DCF_Base!$C$19:$L$19/(1+$C$19/100)^DCF_Base!$C$4:$L$4)+MAX(0,MIN(IF($C$19&gt;DCF_Base!$B$28,DCF_Base!$L$19*(1+DCF_Base!$B$28/100)/(($C$19-DCF_Base!$B$28)/100),DCF_Base!$L$19*DCF_Base!$B$29),DCF_Base!$L$19*DCF_Base!$B$29))/(1+$C$19/100)^DCF_Base!$L$4+Assumptions!$B$5-Assumptions!$B$4)/Assumptions!$B$3*Assumptions!$B$10</f>
        <v>43.3764456733843</v>
      </c>
      <c r="C19" s="3" t="n">
        <v>12</v>
      </c>
    </row>
    <row r="20" customFormat="false" ht="15" hidden="false" customHeight="false" outlineLevel="0" collapsed="false">
      <c r="A20" s="0" t="s">
        <v>174</v>
      </c>
      <c r="B20" s="0" t="n">
        <f aca="false">(SUMPRODUCT(DCF_Base!$C$19:$L$19/(1+$C$20/100)^DCF_Base!$C$4:$L$4)+MAX(0,MIN(IF($C$20&gt;DCF_Base!$B$28,DCF_Base!$L$19*(1+DCF_Base!$B$28/100)/(($C$20-DCF_Base!$B$28)/100),DCF_Base!$L$19*DCF_Base!$B$29),DCF_Base!$L$19*DCF_Base!$B$29))/(1+$C$20/100)^DCF_Base!$L$4+Assumptions!$B$5-Assumptions!$B$4)/Assumptions!$B$3*Assumptions!$B$10</f>
        <v>30.5057989405597</v>
      </c>
      <c r="C20" s="3" t="n">
        <v>15</v>
      </c>
    </row>
    <row r="22" customFormat="false" ht="15" hidden="false" customHeight="false" outlineLevel="0" collapsed="false">
      <c r="A22" s="2" t="s">
        <v>175</v>
      </c>
    </row>
    <row r="23" customFormat="false" ht="15" hidden="false" customHeight="false" outlineLevel="0" collapsed="false">
      <c r="B23" s="3" t="n">
        <v>3</v>
      </c>
      <c r="C23" s="3" t="n">
        <v>3.5</v>
      </c>
      <c r="D23" s="3" t="n">
        <v>4</v>
      </c>
      <c r="E23" s="3" t="n">
        <v>4.5</v>
      </c>
      <c r="F23" s="3" t="n">
        <v>5</v>
      </c>
    </row>
    <row r="24" customFormat="false" ht="15" hidden="false" customHeight="false" outlineLevel="0" collapsed="false">
      <c r="A24" s="3" t="n">
        <v>8.5</v>
      </c>
      <c r="B24" s="0" t="n">
        <f aca="false">(SUMPRODUCT(DCF_Base!$C$19:$L$19/(1+$A$24/100)^DCF_Base!$C$4:$L$4)+MAX(0,MIN(IF($A$24&gt;$B$23,DCF_Base!$L$19*(1+$B$23/100)/(($A$24-$B$23)/100),DCF_Base!$L$19*DCF_Base!$B$29),DCF_Base!$L$19*DCF_Base!$B$29))/(1+$A$24/100)^DCF_Base!$L$4+Assumptions!$B$5-Assumptions!$B$4)/Assumptions!$B$3*Assumptions!$B$10</f>
        <v>63.246873204032</v>
      </c>
      <c r="C24" s="0" t="n">
        <f aca="false">(SUMPRODUCT(DCF_Base!$C$19:$L$19/(1+$A$24/100)^DCF_Base!$C$4:$L$4)+MAX(0,MIN(IF($A$24&gt;$C$23,DCF_Base!$L$19*(1+$C$23/100)/(($A$24-$C$23)/100),DCF_Base!$L$19*DCF_Base!$B$29),DCF_Base!$L$19*DCF_Base!$B$29))/(1+$A$24/100)^DCF_Base!$L$4+Assumptions!$B$5-Assumptions!$B$4)/Assumptions!$B$3*Assumptions!$B$10</f>
        <v>63.246873204032</v>
      </c>
      <c r="D24" s="0" t="n">
        <f aca="false">(SUMPRODUCT(DCF_Base!$C$19:$L$19/(1+$A$24/100)^DCF_Base!$C$4:$L$4)+MAX(0,MIN(IF($A$24&gt;$D$23,DCF_Base!$L$19*(1+$D$23/100)/(($A$24-$D$23)/100),DCF_Base!$L$19*DCF_Base!$B$29),DCF_Base!$L$19*DCF_Base!$B$29))/(1+$A$24/100)^DCF_Base!$L$4+Assumptions!$B$5-Assumptions!$B$4)/Assumptions!$B$3*Assumptions!$B$10</f>
        <v>63.246873204032</v>
      </c>
      <c r="E24" s="0" t="n">
        <f aca="false">(SUMPRODUCT(DCF_Base!$C$19:$L$19/(1+$A$24/100)^DCF_Base!$C$4:$L$4)+MAX(0,MIN(IF($A$24&gt;$E$23,DCF_Base!$L$19*(1+$E$23/100)/(($A$24-$E$23)/100),DCF_Base!$L$19*DCF_Base!$B$29),DCF_Base!$L$19*DCF_Base!$B$29))/(1+$A$24/100)^DCF_Base!$L$4+Assumptions!$B$5-Assumptions!$B$4)/Assumptions!$B$3*Assumptions!$B$10</f>
        <v>63.246873204032</v>
      </c>
      <c r="F24" s="0" t="n">
        <f aca="false">(SUMPRODUCT(DCF_Base!$C$19:$L$19/(1+$A$24/100)^DCF_Base!$C$4:$L$4)+MAX(0,MIN(IF($A$24&gt;$F$23,DCF_Base!$L$19*(1+$F$23/100)/(($A$24-$F$23)/100),DCF_Base!$L$19*DCF_Base!$B$29),DCF_Base!$L$19*DCF_Base!$B$29))/(1+$A$24/100)^DCF_Base!$L$4+Assumptions!$B$5-Assumptions!$B$4)/Assumptions!$B$3*Assumptions!$B$10</f>
        <v>63.246873204032</v>
      </c>
    </row>
    <row r="25" customFormat="false" ht="15" hidden="false" customHeight="false" outlineLevel="0" collapsed="false">
      <c r="A25" s="3" t="n">
        <v>9.5</v>
      </c>
      <c r="B25" s="0" t="n">
        <f aca="false">(SUMPRODUCT(DCF_Base!$C$19:$L$19/(1+$A$25/100)^DCF_Base!$C$4:$L$4)+MAX(0,MIN(IF($A$25&gt;$B$23,DCF_Base!$L$19*(1+$B$23/100)/(($A$25-$B$23)/100),DCF_Base!$L$19*DCF_Base!$B$29),DCF_Base!$L$19*DCF_Base!$B$29))/(1+$A$25/100)^DCF_Base!$L$4+Assumptions!$B$5-Assumptions!$B$4)/Assumptions!$B$3*Assumptions!$B$10</f>
        <v>58.2541139882434</v>
      </c>
      <c r="C25" s="0" t="n">
        <f aca="false">(SUMPRODUCT(DCF_Base!$C$19:$L$19/(1+$A$25/100)^DCF_Base!$C$4:$L$4)+MAX(0,MIN(IF($A$25&gt;$C$23,DCF_Base!$L$19*(1+$C$23/100)/(($A$25-$C$23)/100),DCF_Base!$L$19*DCF_Base!$B$29),DCF_Base!$L$19*DCF_Base!$B$29))/(1+$A$25/100)^DCF_Base!$L$4+Assumptions!$B$5-Assumptions!$B$4)/Assumptions!$B$3*Assumptions!$B$10</f>
        <v>58.5954639105014</v>
      </c>
      <c r="D25" s="0" t="n">
        <f aca="false">(SUMPRODUCT(DCF_Base!$C$19:$L$19/(1+$A$25/100)^DCF_Base!$C$4:$L$4)+MAX(0,MIN(IF($A$25&gt;$D$23,DCF_Base!$L$19*(1+$D$23/100)/(($A$25-$D$23)/100),DCF_Base!$L$19*DCF_Base!$B$29),DCF_Base!$L$19*DCF_Base!$B$29))/(1+$A$25/100)^DCF_Base!$L$4+Assumptions!$B$5-Assumptions!$B$4)/Assumptions!$B$3*Assumptions!$B$10</f>
        <v>58.5954639105014</v>
      </c>
      <c r="E25" s="0" t="n">
        <f aca="false">(SUMPRODUCT(DCF_Base!$C$19:$L$19/(1+$A$25/100)^DCF_Base!$C$4:$L$4)+MAX(0,MIN(IF($A$25&gt;$E$23,DCF_Base!$L$19*(1+$E$23/100)/(($A$25-$E$23)/100),DCF_Base!$L$19*DCF_Base!$B$29),DCF_Base!$L$19*DCF_Base!$B$29))/(1+$A$25/100)^DCF_Base!$L$4+Assumptions!$B$5-Assumptions!$B$4)/Assumptions!$B$3*Assumptions!$B$10</f>
        <v>58.5954639105014</v>
      </c>
      <c r="F25" s="0" t="n">
        <f aca="false">(SUMPRODUCT(DCF_Base!$C$19:$L$19/(1+$A$25/100)^DCF_Base!$C$4:$L$4)+MAX(0,MIN(IF($A$25&gt;$F$23,DCF_Base!$L$19*(1+$F$23/100)/(($A$25-$F$23)/100),DCF_Base!$L$19*DCF_Base!$B$29),DCF_Base!$L$19*DCF_Base!$B$29))/(1+$A$25/100)^DCF_Base!$L$4+Assumptions!$B$5-Assumptions!$B$4)/Assumptions!$B$3*Assumptions!$B$10</f>
        <v>58.5954639105014</v>
      </c>
    </row>
    <row r="26" customFormat="false" ht="15" hidden="false" customHeight="false" outlineLevel="0" collapsed="false">
      <c r="A26" s="3" t="n">
        <v>10.5</v>
      </c>
      <c r="B26" s="0" t="n">
        <f aca="false">(SUMPRODUCT(DCF_Base!$C$19:$L$19/(1+$A$26/100)^DCF_Base!$C$4:$L$4)+MAX(0,MIN(IF($A$26&gt;$B$23,DCF_Base!$L$19*(1+$B$23/100)/(($A$26-$B$23)/100),DCF_Base!$L$19*DCF_Base!$B$29),DCF_Base!$L$19*DCF_Base!$B$29))/(1+$A$26/100)^DCF_Base!$L$4+Assumptions!$B$5-Assumptions!$B$4)/Assumptions!$B$3*Assumptions!$B$10</f>
        <v>49.7654428465386</v>
      </c>
      <c r="C26" s="0" t="n">
        <f aca="false">(SUMPRODUCT(DCF_Base!$C$19:$L$19/(1+$A$26/100)^DCF_Base!$C$4:$L$4)+MAX(0,MIN(IF($A$26&gt;$C$23,DCF_Base!$L$19*(1+$C$23/100)/(($A$26-$C$23)/100),DCF_Base!$L$19*DCF_Base!$B$29),DCF_Base!$L$19*DCF_Base!$B$29))/(1+$A$26/100)^DCF_Base!$L$4+Assumptions!$B$5-Assumptions!$B$4)/Assumptions!$B$3*Assumptions!$B$10</f>
        <v>51.8975280462003</v>
      </c>
      <c r="D26" s="0" t="n">
        <f aca="false">(SUMPRODUCT(DCF_Base!$C$19:$L$19/(1+$A$26/100)^DCF_Base!$C$4:$L$4)+MAX(0,MIN(IF($A$26&gt;$D$23,DCF_Base!$L$19*(1+$D$23/100)/(($A$26-$D$23)/100),DCF_Base!$L$19*DCF_Base!$B$29),DCF_Base!$L$19*DCF_Base!$B$29))/(1+$A$26/100)^DCF_Base!$L$4+Assumptions!$B$5-Assumptions!$B$4)/Assumptions!$B$3*Assumptions!$B$10</f>
        <v>54.3576263535022</v>
      </c>
      <c r="E26" s="0" t="n">
        <f aca="false">(SUMPRODUCT(DCF_Base!$C$19:$L$19/(1+$A$26/100)^DCF_Base!$C$4:$L$4)+MAX(0,MIN(IF($A$26&gt;$E$23,DCF_Base!$L$19*(1+$E$23/100)/(($A$26-$E$23)/100),DCF_Base!$L$19*DCF_Base!$B$29),DCF_Base!$L$19*DCF_Base!$B$29))/(1+$A$26/100)^DCF_Base!$L$4+Assumptions!$B$5-Assumptions!$B$4)/Assumptions!$B$3*Assumptions!$B$10</f>
        <v>54.3576263535022</v>
      </c>
      <c r="F26" s="0" t="n">
        <f aca="false">(SUMPRODUCT(DCF_Base!$C$19:$L$19/(1+$A$26/100)^DCF_Base!$C$4:$L$4)+MAX(0,MIN(IF($A$26&gt;$F$23,DCF_Base!$L$19*(1+$F$23/100)/(($A$26-$F$23)/100),DCF_Base!$L$19*DCF_Base!$B$29),DCF_Base!$L$19*DCF_Base!$B$29))/(1+$A$26/100)^DCF_Base!$L$4+Assumptions!$B$5-Assumptions!$B$4)/Assumptions!$B$3*Assumptions!$B$10</f>
        <v>54.3576263535022</v>
      </c>
    </row>
    <row r="27" customFormat="false" ht="15" hidden="false" customHeight="false" outlineLevel="0" collapsed="false">
      <c r="A27" s="3" t="n">
        <v>11.5</v>
      </c>
      <c r="B27" s="0" t="n">
        <f aca="false">(SUMPRODUCT(DCF_Base!$C$19:$L$19/(1+$A$27/100)^DCF_Base!$C$4:$L$4)+MAX(0,MIN(IF($A$27&gt;$B$23,DCF_Base!$L$19*(1+$B$23/100)/(($A$27-$B$23)/100),DCF_Base!$L$19*DCF_Base!$B$29),DCF_Base!$L$19*DCF_Base!$B$29))/(1+$A$27/100)^DCF_Base!$L$4+Assumptions!$B$5-Assumptions!$B$4)/Assumptions!$B$3*Assumptions!$B$10</f>
        <v>43.3043996689581</v>
      </c>
      <c r="C27" s="0" t="n">
        <f aca="false">(SUMPRODUCT(DCF_Base!$C$19:$L$19/(1+$A$27/100)^DCF_Base!$C$4:$L$4)+MAX(0,MIN(IF($A$27&gt;$C$23,DCF_Base!$L$19*(1+$C$23/100)/(($A$27-$C$23)/100),DCF_Base!$L$19*DCF_Base!$B$29),DCF_Base!$L$19*DCF_Base!$B$29))/(1+$A$27/100)^DCF_Base!$L$4+Assumptions!$B$5-Assumptions!$B$4)/Assumptions!$B$3*Assumptions!$B$10</f>
        <v>44.822294359524</v>
      </c>
      <c r="D27" s="0" t="n">
        <f aca="false">(SUMPRODUCT(DCF_Base!$C$19:$L$19/(1+$A$27/100)^DCF_Base!$C$4:$L$4)+MAX(0,MIN(IF($A$27&gt;$D$23,DCF_Base!$L$19*(1+$D$23/100)/(($A$27-$D$23)/100),DCF_Base!$L$19*DCF_Base!$B$29),DCF_Base!$L$19*DCF_Base!$B$29))/(1+$A$27/100)^DCF_Base!$L$4+Assumptions!$B$5-Assumptions!$B$4)/Assumptions!$B$3*Assumptions!$B$10</f>
        <v>46.5425750088319</v>
      </c>
      <c r="E27" s="0" t="n">
        <f aca="false">(SUMPRODUCT(DCF_Base!$C$19:$L$19/(1+$A$27/100)^DCF_Base!$C$4:$L$4)+MAX(0,MIN(IF($A$27&gt;$E$23,DCF_Base!$L$19*(1+$E$23/100)/(($A$27-$E$23)/100),DCF_Base!$L$19*DCF_Base!$B$29),DCF_Base!$L$19*DCF_Base!$B$29))/(1+$A$27/100)^DCF_Base!$L$4+Assumptions!$B$5-Assumptions!$B$4)/Assumptions!$B$3*Assumptions!$B$10</f>
        <v>48.5086100366124</v>
      </c>
      <c r="F27" s="0" t="n">
        <f aca="false">(SUMPRODUCT(DCF_Base!$C$19:$L$19/(1+$A$27/100)^DCF_Base!$C$4:$L$4)+MAX(0,MIN(IF($A$27&gt;$F$23,DCF_Base!$L$19*(1+$F$23/100)/(($A$27-$F$23)/100),DCF_Base!$L$19*DCF_Base!$B$29),DCF_Base!$L$19*DCF_Base!$B$29))/(1+$A$27/100)^DCF_Base!$L$4+Assumptions!$B$5-Assumptions!$B$4)/Assumptions!$B$3*Assumptions!$B$10</f>
        <v>50.4922776655389</v>
      </c>
    </row>
    <row r="28" customFormat="false" ht="15" hidden="false" customHeight="false" outlineLevel="0" collapsed="false">
      <c r="A28" s="3" t="n">
        <v>12.5</v>
      </c>
      <c r="B28" s="0" t="n">
        <f aca="false">(SUMPRODUCT(DCF_Base!$C$19:$L$19/(1+$A$28/100)^DCF_Base!$C$4:$L$4)+MAX(0,MIN(IF($A$28&gt;$B$23,DCF_Base!$L$19*(1+$B$23/100)/(($A$28-$B$23)/100),DCF_Base!$L$19*DCF_Base!$B$29),DCF_Base!$L$19*DCF_Base!$B$29))/(1+$A$28/100)^DCF_Base!$L$4+Assumptions!$B$5-Assumptions!$B$4)/Assumptions!$B$3*Assumptions!$B$10</f>
        <v>38.2290155630242</v>
      </c>
      <c r="C28" s="0" t="n">
        <f aca="false">(SUMPRODUCT(DCF_Base!$C$19:$L$19/(1+$A$28/100)^DCF_Base!$C$4:$L$4)+MAX(0,MIN(IF($A$28&gt;$C$23,DCF_Base!$L$19*(1+$C$23/100)/(($A$28-$C$23)/100),DCF_Base!$L$19*DCF_Base!$B$29),DCF_Base!$L$19*DCF_Base!$B$29))/(1+$A$28/100)^DCF_Base!$L$4+Assumptions!$B$5-Assumptions!$B$4)/Assumptions!$B$3*Assumptions!$B$10</f>
        <v>39.3430164695897</v>
      </c>
      <c r="D28" s="0" t="n">
        <f aca="false">(SUMPRODUCT(DCF_Base!$C$19:$L$19/(1+$A$28/100)^DCF_Base!$C$4:$L$4)+MAX(0,MIN(IF($A$28&gt;$D$23,DCF_Base!$L$19*(1+$D$23/100)/(($A$28-$D$23)/100),DCF_Base!$L$19*DCF_Base!$B$29),DCF_Base!$L$19*DCF_Base!$B$29))/(1+$A$28/100)^DCF_Base!$L$4+Assumptions!$B$5-Assumptions!$B$4)/Assumptions!$B$3*Assumptions!$B$10</f>
        <v>40.5880763063394</v>
      </c>
      <c r="E28" s="0" t="n">
        <f aca="false">(SUMPRODUCT(DCF_Base!$C$19:$L$19/(1+$A$28/100)^DCF_Base!$C$4:$L$4)+MAX(0,MIN(IF($A$28&gt;$E$23,DCF_Base!$L$19*(1+$E$23/100)/(($A$28-$E$23)/100),DCF_Base!$L$19*DCF_Base!$B$29),DCF_Base!$L$19*DCF_Base!$B$29))/(1+$A$28/100)^DCF_Base!$L$4+Assumptions!$B$5-Assumptions!$B$4)/Assumptions!$B$3*Assumptions!$B$10</f>
        <v>41.9887686226828</v>
      </c>
      <c r="F28" s="0" t="n">
        <f aca="false">(SUMPRODUCT(DCF_Base!$C$19:$L$19/(1+$A$28/100)^DCF_Base!$C$4:$L$4)+MAX(0,MIN(IF($A$28&gt;$F$23,DCF_Base!$L$19*(1+$F$23/100)/(($A$28-$F$23)/100),DCF_Base!$L$19*DCF_Base!$B$29),DCF_Base!$L$19*DCF_Base!$B$29))/(1+$A$28/100)^DCF_Base!$L$4+Assumptions!$B$5-Assumptions!$B$4)/Assumptions!$B$3*Assumptions!$B$10</f>
        <v>43.5762199145386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2026-09-25T22:54:57Z</dcterms:created>
  <dc:creator>openpyxl</dc:creator>
  <dc:description/>
  <dc:language>en-NZ</dc:language>
  <cp:lastModifiedBy/>
  <dcterms:modified xsi:type="dcterms:W3CDTF">2026-09-25T22:54:57Z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