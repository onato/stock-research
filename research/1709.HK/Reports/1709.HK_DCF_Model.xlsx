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<sst xmlns="http://schemas.openxmlformats.org/spreadsheetml/2006/main" count="353" uniqueCount="162">
  <si>
    <t xml:space="preserve">Ticker</t>
  </si>
  <si>
    <t xml:space="preserve">1709.HK</t>
  </si>
  <si>
    <t xml:space="preserve">Company</t>
  </si>
  <si>
    <t xml:space="preserve">DL Holdings Group Limited</t>
  </si>
  <si>
    <t xml:space="preserve">Valuation date</t>
  </si>
  <si>
    <t xml:space="preserve">2026-10-17</t>
  </si>
  <si>
    <t xml:space="preserve">Current price</t>
  </si>
  <si>
    <t xml:space="preserve">Price as of</t>
  </si>
  <si>
    <t xml:space="preserve">2026-10-16T08:08:14Z regular close (HKEX)</t>
  </si>
  <si>
    <t xml:space="preserve">Balance sheet date</t>
  </si>
  <si>
    <t xml:space="preserve">2026-03-31</t>
  </si>
  <si>
    <t xml:space="preserve">Model</t>
  </si>
  <si>
    <t xml:space="preserve">Holdco sum-of-parts: proprietary investment portfolio at haircut NAV plus fee and bitcoin-mining businesses on owner-FCF (engine route)</t>
  </si>
  <si>
    <t xml:space="preserve">Currency (model)</t>
  </si>
  <si>
    <t xml:space="preserve">HKD</t>
  </si>
  <si>
    <t xml:space="preserve">Currency (quote)</t>
  </si>
  <si>
    <t xml:space="preserve">Units</t>
  </si>
  <si>
    <t xml:space="preserve">millions</t>
  </si>
  <si>
    <t xml:space="preserve">Engine</t>
  </si>
  <si>
    <t xml:space="preserve">dcf_engine v1</t>
  </si>
  <si>
    <t xml:space="preserve">Built at</t>
  </si>
  <si>
    <t xml:space="preserve">2026-10-16T15:59:54Z</t>
  </si>
  <si>
    <t xml:space="preserve">Drivers file</t>
  </si>
  <si>
    <t xml:space="preserve">1709.HK_Drivers.json</t>
  </si>
  <si>
    <t xml:space="preserve">Convention</t>
  </si>
  <si>
    <t xml:space="preserve">Percents stored as percents; formulas divide by 100. Blue = input, green = link, black = formula.</t>
  </si>
  <si>
    <t xml:space="preserve">Methodology</t>
  </si>
  <si>
    <t xml:space="preserve">summary: DL Holdings is a controlled Hong Kong financial holdco whose value sits on the balance sheet, not in the P&amp;L: six operating segments earned HK$0.3m of segment profit in FY2026 and the group's EBIT excluding fair-value gains was about -HK$20m, while HK$1.57bn of placings at HK$2.95-3.05 funded a mining fleet, a BTC/gold-token treasury, fund and land investments and a self-marked AI associate. The valuation is therefore a sum of parts: owner-FCF on the fee businesses plus a run-off of the mining fleet, and a haircut NAV of the investment portfolio. At HK$0.83 the stock trades at 0.63x stated NAV (HK$1.31) and at the at-book bridge value (HK$0.81) before any operating value; the question is entirely whether the Level-3 marks (HK$727m, 27% of equity) are real. We assume roughly half are not.
key_risks_to_valuation: Level-3 marks: Carmel Reserve (HK$322m, related party, residual-method land valuation) and NeuralFin (HK$340m, DCF at 120-300% user growth) are 25% of equity and 100%+ of FY2026 profit; a write-down to cost removes c.HK$0.29/share of stated NAV.; Bitcoin price and mining difficulty: the HK$617m fleet is valued only through its run-off cash flows; at a BTC price below hosted-mining cash cost it is worth nothing and the digital-asset treasury (HK$146m) falls with it.; Governance and related-party flows: controlling shareholder Mr Chen sold and re-subscribed 456m shares in two top-up placings, the fleet vendor/placee/CB holder Evergreen Wealth, HK$34.5m due from related parties, HK$68m of unpaid disposal consideration, and a HK$180m guarantee to a fund the group manages.; Dilution overhang: 53.8m CB shares at HK$3.17, 40m warrants at HK$3.80 and 13.4m earn-out shares are out of the money today but a recovery toward HK$3 would bring 107m shares (5%) back; the trustee holds c.70m shares for staff awards.; Liquidity: the US$21.85m (HK$170m) zero-coupon CB is a cash repayment on 30 Dec 2027; the March 2026 resolution to redirect placing proceeds to power sites, AI data centres and GPUs could consume the HK$370m cash pile before then.; Fee-business economics: FY2025 EBITDA after corporate cost was roughly zero; the margin recovery in the base case rests on the retail virtual-asset licence and family-office growth that have not yet shown up in segment profit (licensed-business segment profit fell to HK$18.1m from HK$25.3m).</t>
  </si>
  <si>
    <t xml:space="preserve">Data sources</t>
  </si>
  <si>
    <t xml:space="preserve">price: Yahoo Finance chart API (query1.finance.yahoo.com) at inputs.price_as_of; 52-week range HK$0.785-3.431
financials: research/1709.HK/Reports/1709.HK_Metrics.csv (FY2019-FY2026 annual, H1 FY2024-FY2026); FY2026 annual report (1709.HK_Annual_FY2026.txt): balance sheet p.70, cash-flow p.73, notes 5 (segments), 6 (other gains), 7-8 (expenses), 15 (EPS and dilutive securities), 16 (mining fleet), 18, 21, 24, 25, 26, 28, 30, 32, 34, 35, 36, 47(g) (fair-value hierarchy); chairman's statement pp.3-6 for post-balance-date items
qualitative: research/1709.HK/Reports/1709.HK_Analysis.json (2026-10-17, written concurrently; read after the first build -- its loan-concentration (top-5 borrowers 44%), director-turnover and Evergreen/Bitmain fleet-purchase points support the bridge haircuts and the 40% bear weight; it flagged the FY2026 distribution, which the AR confirms as a HK0.99c cash dividend + 1-for-50 bonus issue + proposed HK$100m RWA token in-specie distribution, now reflected in cash and the share count); FY2026 annual report for the business read</t>
  </si>
  <si>
    <t xml:space="preserve">Scenario narrative: bear</t>
  </si>
  <si>
    <t xml:space="preserve">BTC falls to where hosted mining is uneconomic, the fleet is switched off within three years and written off, the fee businesses stay at FY2025's break-even-to-10% EBITDA margin with no growth, lease and corporate costs absorb most of the segment profit, and the operating business is worth roughly nothing at 13% and 8x. Intrinsic value is then the haircut bridge less net debt. What this scenario does NOT model -- and the 40% weight partly stands in for -- is the Level-3 portfolio being marked down: with Carmel, NeuralFin and the L3 funds at zero and the rest at 70%, the bridge alone is HK$0.30/share (nav_memo.bridge_severe_per_share).</t>
  </si>
  <si>
    <t xml:space="preserve">Scenario narrative: base</t>
  </si>
  <si>
    <t xml:space="preserve">The fee franchise (DL Securities Type 1/4/6, DL Family Office, DL Asset Management) grows mid-single digits off the June 2026 retail virtual-asset trading approval and family-office AUM, and its EBITDA margin recovers from roughly break-even (FY2025) to the mid/high teens; the 4.2 EH/s mining fleet is run to the end of its life without replacement, producing a declining revenue stream that is EBITDA-positive for four or five years and then switched off, so the terminal value is the fee business alone at 10x owner FCF. The investment portfolio is carried at the haircuts in equity_bridge: Level-3 marks on the chairman's Carmel land project and the NeuralFin associate are halved or worse, everything else is lightly discounted. The convertible bond is repaid in cash in December 2027 from the HK$370m cash pile.</t>
  </si>
  <si>
    <t xml:space="preserve">Scenario narrative: bull</t>
  </si>
  <si>
    <t xml:space="preserve">BTC rallies and the fleet earns 35-40% EBITDA margins for several years with some reinvestment, retail virtual-asset trading and RWA tokenisation (DL Tower LPF, Animoca Brands LPF, ONE Carmel) turn DL Securities into a fee platform growing 10%, margins reach the low twenties, and the terminal multiple expands to 12x at an 11% rate. The investment portfolio is still carried at the base haircuts, so this scenario does NOT give credit for the Level-3 marks being right; if Carmel and NeuralFin are worth book, nav_memo adds c.HK$0.29/share on top.</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</si>
  <si>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</si>
  <si>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</si>
  <si>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</si>
  <si>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</si>
  <si>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</si>
  <si>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</si>
  <si>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</si>
  <si>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</si>
  <si>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</si>
  <si>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</si>
  <si>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</si>
  <si>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</si>
  <si>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</si>
  <si>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</si>
  <si>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</si>
  <si>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</si>
  <si>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</si>
  <si>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</si>
  <si>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</si>
  <si>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</si>
  <si>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</si>
  <si>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</si>
  <si>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</si>
  <si>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</si>
  <si>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</si>
  <si>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</si>
  <si>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</si>
  <si>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</si>
  <si>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</si>
  <si>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</si>
  <si>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</si>
  <si>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</si>
  <si>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</si>
  <si>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</si>
  <si>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</si>
  <si>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</si>
  <si>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</si>
  <si>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</si>
  <si>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</si>
  <si>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</si>
  <si>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</si>
  <si>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</si>
  <si>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</si>
  <si>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</si>
  <si>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</si>
  <si>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HKD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</si>
  <si>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</si>
  <si>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</si>
  <si>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</si>
  <si>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</si>
  <si>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</si>
  <si>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</si>
  <si>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</si>
  <si>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</si>
  <si>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</si>
  <si>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</si>
  <si>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</si>
  <si>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</si>
  <si>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</si>
  <si>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</si>
  <si>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</si>
  <si>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</si>
  <si>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</si>
  <si>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</si>
  <si>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</si>
  <si>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</si>
  <si>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</si>
  <si>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</si>
  <si>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</si>
  <si>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</si>
  <si>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</si>
  <si>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</si>
  <si>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1709.HK owner-FCF component DCF: bear case (millions, HKD)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</si>
  <si>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</si>
  <si>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</si>
  <si>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</si>
  <si>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</si>
  <si>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</si>
  <si>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</si>
  <si>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</si>
  <si>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</si>
  <si>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</si>
  <si>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</si>
  <si>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</si>
  <si>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</si>
  <si>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</si>
  <si>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</si>
  <si>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</si>
  <si>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</si>
  <si>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</si>
  <si>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</si>
  <si>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</si>
  <si>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</si>
  <si>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</si>
  <si>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</si>
  <si>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</si>
  <si>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</si>
  <si>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</si>
  <si>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</si>
  <si>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</si>
  <si>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</si>
  <si>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</si>
  <si>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</si>
  <si>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1709.HK owner-FCF component DCF: base case (millions, HKD)</t>
  </si>
  <si>
    <t xml:space="preserve">1709.HK owner-FCF component DCF: bull case (millions, HKD)</t>
  </si>
  <si>
    <t xml:space="preserve">1709.HK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</si>
  <si>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</si>
  <si>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</si>
  <si>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</si>
  <si>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</si>
  <si>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</si>
  <si>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</si>
  <si>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</si>
  <si>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</si>
  <si>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</si>
  <si>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</si>
  <si>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</si>
  <si>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</si>
  <si>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</si>
  <si>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</si>
  <si>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</si>
  <si>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</si>
  <si>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t>
  </si>
  <si>
    <t xml:space="preserve">Value per share at 12% (WACC)</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</si>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</sst>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0.83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186.519</v>
      </c>
      <c r="C2" s="0" t="n">
        <v>165.601</v>
      </c>
      <c r="D2" s="0" t="n">
        <v>20.918</v>
      </c>
      <c r="E2" s="0" t="n">
        <v>11.2</v>
      </c>
      <c r="F2" s="0" t="n">
        <v>18.82</v>
      </c>
      <c r="G2" s="0" t="n">
        <v>10.1</v>
      </c>
      <c r="I2" s="0" t="n">
        <v>18.682</v>
      </c>
      <c r="J2" s="0" t="n">
        <v>10</v>
      </c>
      <c r="K2" s="0" t="n">
        <v>0.0167</v>
      </c>
      <c r="L2" s="0" t="n">
        <v>-5.769</v>
      </c>
      <c r="M2" s="0" t="n">
        <v>0.658</v>
      </c>
      <c r="N2" s="0" t="n">
        <v>-6.427</v>
      </c>
      <c r="O2" s="0" t="n">
        <v>170.822</v>
      </c>
      <c r="P2" s="0" t="n">
        <v>180.456</v>
      </c>
      <c r="Q2" s="0" t="n">
        <v>9.634</v>
      </c>
      <c r="R2" s="0" t="n">
        <v>1.5</v>
      </c>
      <c r="S2" s="0" t="n">
        <v>52.284</v>
      </c>
      <c r="T2" s="0" t="n">
        <v>1118.7</v>
      </c>
      <c r="U2" s="0" t="n">
        <v>9.694</v>
      </c>
      <c r="AA2" s="0" t="s">
        <v>17</v>
      </c>
      <c r="AB2" s="0" t="s">
        <v>14</v>
      </c>
    </row>
    <row r="3" customFormat="false" ht="15" hidden="false" customHeight="false" outlineLevel="0" collapsed="false">
      <c r="A3" s="0" t="s">
        <v>64</v>
      </c>
      <c r="B3" s="0" t="n">
        <v>226.391</v>
      </c>
      <c r="C3" s="0" t="n">
        <v>195.804</v>
      </c>
      <c r="D3" s="0" t="n">
        <v>30.587</v>
      </c>
      <c r="E3" s="0" t="n">
        <v>13.5</v>
      </c>
      <c r="F3" s="0" t="n">
        <v>-51.618</v>
      </c>
      <c r="G3" s="0" t="n">
        <v>-22.8</v>
      </c>
      <c r="I3" s="0" t="n">
        <v>-51.409</v>
      </c>
      <c r="J3" s="0" t="n">
        <v>-22.7</v>
      </c>
      <c r="K3" s="0" t="n">
        <v>-0.0457</v>
      </c>
      <c r="L3" s="0" t="n">
        <v>-6.27</v>
      </c>
      <c r="M3" s="0" t="n">
        <v>1.566</v>
      </c>
      <c r="N3" s="0" t="n">
        <v>-7.836</v>
      </c>
      <c r="O3" s="0" t="n">
        <v>165.014</v>
      </c>
      <c r="P3" s="0" t="n">
        <v>211.114</v>
      </c>
      <c r="Q3" s="0" t="n">
        <v>46.1</v>
      </c>
      <c r="R3" s="0" t="n">
        <v>6.362</v>
      </c>
      <c r="S3" s="0" t="n">
        <v>50.745</v>
      </c>
      <c r="T3" s="0" t="n">
        <v>1124.9</v>
      </c>
      <c r="U3" s="0" t="n">
        <v>4.269</v>
      </c>
      <c r="AA3" s="0" t="s">
        <v>17</v>
      </c>
      <c r="AB3" s="0" t="s">
        <v>14</v>
      </c>
    </row>
    <row r="4" customFormat="false" ht="15" hidden="false" customHeight="false" outlineLevel="0" collapsed="false">
      <c r="A4" s="0" t="s">
        <v>65</v>
      </c>
      <c r="B4" s="0" t="n">
        <v>426.551</v>
      </c>
      <c r="C4" s="0" t="n">
        <v>181.078</v>
      </c>
      <c r="D4" s="0" t="n">
        <v>245.473</v>
      </c>
      <c r="E4" s="0" t="n">
        <v>57.5</v>
      </c>
      <c r="F4" s="0" t="n">
        <v>219.854</v>
      </c>
      <c r="G4" s="0" t="n">
        <v>51.5</v>
      </c>
      <c r="I4" s="0" t="n">
        <v>200.798</v>
      </c>
      <c r="J4" s="0" t="n">
        <v>47.1</v>
      </c>
      <c r="K4" s="0" t="n">
        <v>0.15</v>
      </c>
      <c r="L4" s="0" t="n">
        <v>49.125</v>
      </c>
      <c r="M4" s="0" t="n">
        <v>0.814</v>
      </c>
      <c r="N4" s="0" t="n">
        <v>48.311</v>
      </c>
      <c r="O4" s="0" t="n">
        <v>500.557</v>
      </c>
      <c r="P4" s="0" t="n">
        <v>627.941</v>
      </c>
      <c r="Q4" s="0" t="n">
        <v>127.384</v>
      </c>
      <c r="R4" s="0" t="n">
        <v>6</v>
      </c>
      <c r="S4" s="0" t="n">
        <v>56.222</v>
      </c>
      <c r="T4" s="0" t="n">
        <v>1338.7</v>
      </c>
      <c r="U4" s="0" t="n">
        <v>31.961</v>
      </c>
      <c r="AA4" s="0" t="s">
        <v>17</v>
      </c>
      <c r="AB4" s="0" t="s">
        <v>14</v>
      </c>
    </row>
    <row r="5" customFormat="false" ht="15" hidden="false" customHeight="false" outlineLevel="0" collapsed="false">
      <c r="A5" s="0" t="s">
        <v>66</v>
      </c>
      <c r="B5" s="0" t="n">
        <v>309.065</v>
      </c>
      <c r="C5" s="0" t="n">
        <v>136.345</v>
      </c>
      <c r="D5" s="0" t="n">
        <v>172.72</v>
      </c>
      <c r="E5" s="0" t="n">
        <v>55.9</v>
      </c>
      <c r="F5" s="0" t="n">
        <v>129.343</v>
      </c>
      <c r="G5" s="0" t="n">
        <v>41.8</v>
      </c>
      <c r="I5" s="0" t="n">
        <v>109.775</v>
      </c>
      <c r="J5" s="0" t="n">
        <v>35.5</v>
      </c>
      <c r="K5" s="0" t="n">
        <v>0.079</v>
      </c>
      <c r="L5" s="0" t="n">
        <v>108.148</v>
      </c>
      <c r="M5" s="0" t="n">
        <v>2.184</v>
      </c>
      <c r="N5" s="0" t="n">
        <v>105.964</v>
      </c>
      <c r="O5" s="0" t="n">
        <v>526.161</v>
      </c>
      <c r="P5" s="0" t="n">
        <v>914.78</v>
      </c>
      <c r="Q5" s="0" t="n">
        <v>388.619</v>
      </c>
      <c r="R5" s="0" t="n">
        <v>93</v>
      </c>
      <c r="S5" s="0" t="n">
        <v>154.636</v>
      </c>
      <c r="T5" s="0" t="n">
        <v>1389.6</v>
      </c>
      <c r="AA5" s="0" t="s">
        <v>17</v>
      </c>
      <c r="AB5" s="0" t="s">
        <v>14</v>
      </c>
    </row>
    <row r="6" customFormat="false" ht="15" hidden="false" customHeight="false" outlineLevel="0" collapsed="false">
      <c r="A6" s="0" t="s">
        <v>67</v>
      </c>
      <c r="B6" s="0" t="n">
        <v>191.116</v>
      </c>
      <c r="C6" s="0" t="n">
        <v>88.476</v>
      </c>
      <c r="D6" s="0" t="n">
        <v>102.64</v>
      </c>
      <c r="E6" s="0" t="n">
        <v>53.7</v>
      </c>
      <c r="F6" s="0" t="n">
        <v>-33.361</v>
      </c>
      <c r="G6" s="0" t="n">
        <v>-17.5</v>
      </c>
      <c r="I6" s="0" t="n">
        <v>-49.177</v>
      </c>
      <c r="J6" s="0" t="n">
        <v>-25.7</v>
      </c>
      <c r="K6" s="0" t="n">
        <v>-0.0352</v>
      </c>
      <c r="L6" s="0" t="n">
        <v>194.606</v>
      </c>
      <c r="M6" s="0" t="n">
        <v>0.42</v>
      </c>
      <c r="N6" s="0" t="n">
        <v>194.186</v>
      </c>
      <c r="O6" s="0" t="n">
        <v>435.748</v>
      </c>
      <c r="P6" s="0" t="n">
        <v>894.686</v>
      </c>
      <c r="Q6" s="0" t="n">
        <v>458.938</v>
      </c>
      <c r="R6" s="0" t="n">
        <v>105</v>
      </c>
      <c r="S6" s="0" t="n">
        <v>83.504</v>
      </c>
      <c r="T6" s="0" t="n">
        <v>1397.1</v>
      </c>
      <c r="AA6" s="0" t="s">
        <v>17</v>
      </c>
      <c r="AB6" s="0" t="s">
        <v>14</v>
      </c>
    </row>
    <row r="7" customFormat="false" ht="15" hidden="false" customHeight="false" outlineLevel="0" collapsed="false">
      <c r="A7" s="0" t="s">
        <v>68</v>
      </c>
      <c r="B7" s="0" t="n">
        <v>202.353</v>
      </c>
      <c r="C7" s="0" t="n">
        <v>71.896</v>
      </c>
      <c r="D7" s="0" t="n">
        <v>130.457</v>
      </c>
      <c r="E7" s="0" t="n">
        <v>64.5</v>
      </c>
      <c r="F7" s="0" t="n">
        <v>117.578</v>
      </c>
      <c r="G7" s="0" t="n">
        <v>58.1</v>
      </c>
      <c r="I7" s="0" t="n">
        <v>99.903</v>
      </c>
      <c r="J7" s="0" t="n">
        <v>49.4</v>
      </c>
      <c r="K7" s="0" t="n">
        <v>0.0712</v>
      </c>
      <c r="L7" s="0" t="n">
        <v>-33.658</v>
      </c>
      <c r="M7" s="0" t="n">
        <v>1.307</v>
      </c>
      <c r="N7" s="0" t="n">
        <v>-34.965</v>
      </c>
      <c r="O7" s="0" t="n">
        <v>520.965</v>
      </c>
      <c r="P7" s="0" t="n">
        <v>1076.432</v>
      </c>
      <c r="Q7" s="0" t="n">
        <v>555.467</v>
      </c>
      <c r="R7" s="0" t="n">
        <v>306.551</v>
      </c>
      <c r="S7" s="0" t="n">
        <v>39.842</v>
      </c>
      <c r="T7" s="0" t="n">
        <v>1403.1</v>
      </c>
      <c r="AA7" s="0" t="s">
        <v>17</v>
      </c>
      <c r="AB7" s="0" t="s">
        <v>14</v>
      </c>
    </row>
    <row r="8" customFormat="false" ht="15" hidden="false" customHeight="false" outlineLevel="0" collapsed="false">
      <c r="A8" s="0" t="s">
        <v>69</v>
      </c>
      <c r="B8" s="0" t="n">
        <v>189.66</v>
      </c>
      <c r="C8" s="0" t="n">
        <v>50.745</v>
      </c>
      <c r="D8" s="0" t="n">
        <v>138.915</v>
      </c>
      <c r="E8" s="0" t="n">
        <v>73.2</v>
      </c>
      <c r="F8" s="0" t="n">
        <v>164.364</v>
      </c>
      <c r="G8" s="0" t="n">
        <v>86.7</v>
      </c>
      <c r="I8" s="0" t="n">
        <v>136.812</v>
      </c>
      <c r="J8" s="0" t="n">
        <v>72.1</v>
      </c>
      <c r="K8" s="0" t="n">
        <v>0.0922</v>
      </c>
      <c r="L8" s="0" t="n">
        <v>16.912</v>
      </c>
      <c r="M8" s="0" t="n">
        <v>7.306</v>
      </c>
      <c r="N8" s="0" t="n">
        <v>9.606</v>
      </c>
      <c r="O8" s="0" t="n">
        <v>917.636</v>
      </c>
      <c r="P8" s="0" t="n">
        <v>1289.925</v>
      </c>
      <c r="Q8" s="0" t="n">
        <v>342.132</v>
      </c>
      <c r="R8" s="0" t="n">
        <v>172.213</v>
      </c>
      <c r="S8" s="0" t="n">
        <v>31.7</v>
      </c>
      <c r="T8" s="0" t="n">
        <v>1483.9</v>
      </c>
      <c r="U8" s="0" t="n">
        <v>1.058</v>
      </c>
      <c r="AA8" s="0" t="s">
        <v>17</v>
      </c>
      <c r="AB8" s="0" t="s">
        <v>14</v>
      </c>
    </row>
    <row r="9" customFormat="false" ht="15" hidden="false" customHeight="false" outlineLevel="0" collapsed="false">
      <c r="A9" s="0" t="s">
        <v>70</v>
      </c>
      <c r="B9" s="0" t="n">
        <v>323.685</v>
      </c>
      <c r="C9" s="0" t="n">
        <v>56.107</v>
      </c>
      <c r="D9" s="0" t="n">
        <v>267.578</v>
      </c>
      <c r="E9" s="0" t="n">
        <v>82.7</v>
      </c>
      <c r="F9" s="0" t="n">
        <v>377.327</v>
      </c>
      <c r="G9" s="0" t="n">
        <v>116.6</v>
      </c>
      <c r="I9" s="0" t="n">
        <v>363.136</v>
      </c>
      <c r="J9" s="0" t="n">
        <v>112.2</v>
      </c>
      <c r="K9" s="0" t="n">
        <v>0.2063</v>
      </c>
      <c r="L9" s="0" t="n">
        <v>-160.799</v>
      </c>
      <c r="M9" s="0" t="n">
        <v>496.881</v>
      </c>
      <c r="N9" s="0" t="n">
        <v>-657.68</v>
      </c>
      <c r="O9" s="0" t="n">
        <v>2687.04</v>
      </c>
      <c r="P9" s="0" t="n">
        <v>3354.346</v>
      </c>
      <c r="Q9" s="0" t="n">
        <v>632.923</v>
      </c>
      <c r="R9" s="0" t="n">
        <v>377.559</v>
      </c>
      <c r="S9" s="0" t="n">
        <v>369.551</v>
      </c>
      <c r="T9" s="0" t="n">
        <v>1760.2</v>
      </c>
      <c r="U9" s="0" t="n">
        <v>1.011</v>
      </c>
      <c r="AA9" s="0" t="s">
        <v>17</v>
      </c>
      <c r="AB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71</v>
      </c>
      <c r="B1" s="2" t="s">
        <v>72</v>
      </c>
    </row>
    <row r="2" customFormat="false" ht="15" hidden="false" customHeight="false" outlineLevel="0" collapsed="false">
      <c r="A2" s="0" t="s">
        <v>73</v>
      </c>
      <c r="B2" s="3" t="n">
        <v>0.83</v>
      </c>
    </row>
    <row r="3" customFormat="false" ht="15" hidden="false" customHeight="false" outlineLevel="0" collapsed="false">
      <c r="A3" s="0" t="s">
        <v>74</v>
      </c>
      <c r="B3" s="3" t="n">
        <v>2041.4</v>
      </c>
    </row>
    <row r="4" customFormat="false" ht="15" hidden="false" customHeight="false" outlineLevel="0" collapsed="false">
      <c r="A4" s="0" t="s">
        <v>75</v>
      </c>
      <c r="B4" s="3" t="n">
        <v>52.1</v>
      </c>
    </row>
    <row r="5" customFormat="false" ht="15" hidden="false" customHeight="false" outlineLevel="0" collapsed="false">
      <c r="A5" s="0" t="s">
        <v>76</v>
      </c>
      <c r="B5" s="3" t="n">
        <v>1125.2</v>
      </c>
    </row>
    <row r="6" customFormat="false" ht="15" hidden="false" customHeight="false" outlineLevel="0" collapsed="false">
      <c r="A6" s="0" t="s">
        <v>77</v>
      </c>
      <c r="B6" s="3" t="n">
        <v>15</v>
      </c>
    </row>
    <row r="7" customFormat="false" ht="15" hidden="false" customHeight="false" outlineLevel="0" collapsed="false">
      <c r="A7" s="0" t="s">
        <v>78</v>
      </c>
      <c r="B7" s="3" t="n">
        <v>303.3</v>
      </c>
    </row>
    <row r="8" customFormat="false" ht="15" hidden="false" customHeight="false" outlineLevel="0" collapsed="false">
      <c r="A8" s="0" t="s">
        <v>79</v>
      </c>
      <c r="B8" s="3" t="s">
        <v>70</v>
      </c>
    </row>
    <row r="9" customFormat="false" ht="15" hidden="false" customHeight="false" outlineLevel="0" collapsed="false">
      <c r="A9" s="0" t="s">
        <v>80</v>
      </c>
      <c r="B9" s="3" t="s">
        <v>81</v>
      </c>
    </row>
    <row r="10" customFormat="false" ht="15" hidden="false" customHeight="false" outlineLevel="0" collapsed="false">
      <c r="A10" s="0" t="s">
        <v>82</v>
      </c>
      <c r="B10" s="3" t="n">
        <v>1</v>
      </c>
    </row>
    <row r="12" customFormat="false" ht="15" hidden="false" customHeight="false" outlineLevel="0" collapsed="false">
      <c r="A12" s="2" t="s">
        <v>83</v>
      </c>
      <c r="C12" s="2" t="s">
        <v>84</v>
      </c>
      <c r="D12" s="2" t="s">
        <v>85</v>
      </c>
      <c r="E12" s="2" t="s">
        <v>86</v>
      </c>
      <c r="F12" s="2" t="s">
        <v>87</v>
      </c>
      <c r="G12" s="2" t="s">
        <v>88</v>
      </c>
      <c r="H12" s="2" t="s">
        <v>89</v>
      </c>
      <c r="I12" s="2" t="s">
        <v>90</v>
      </c>
      <c r="J12" s="2" t="s">
        <v>91</v>
      </c>
      <c r="K12" s="2" t="s">
        <v>92</v>
      </c>
      <c r="L12" s="2" t="s">
        <v>93</v>
      </c>
    </row>
    <row r="13" customFormat="false" ht="15" hidden="false" customHeight="false" outlineLevel="0" collapsed="false">
      <c r="A13" s="0" t="s">
        <v>94</v>
      </c>
      <c r="C13" s="3" t="n">
        <v>27.2</v>
      </c>
      <c r="D13" s="3" t="n">
        <v>-20.74</v>
      </c>
      <c r="E13" s="3" t="n">
        <v>-24.95</v>
      </c>
      <c r="F13" s="3" t="n">
        <v>-15.78</v>
      </c>
      <c r="G13" s="3" t="n">
        <v>2</v>
      </c>
      <c r="H13" s="3" t="n">
        <v>2</v>
      </c>
      <c r="I13" s="3" t="n">
        <v>2</v>
      </c>
      <c r="J13" s="3" t="n">
        <v>2</v>
      </c>
      <c r="K13" s="3" t="n">
        <v>2</v>
      </c>
      <c r="L13" s="3" t="n">
        <v>2</v>
      </c>
    </row>
    <row r="14" customFormat="false" ht="15" hidden="false" customHeight="false" outlineLevel="0" collapsed="false">
      <c r="A14" s="0" t="s">
        <v>95</v>
      </c>
      <c r="C14" s="3" t="n">
        <v>6.44</v>
      </c>
      <c r="D14" s="3" t="n">
        <v>4.86</v>
      </c>
      <c r="E14" s="3" t="n">
        <v>7.43</v>
      </c>
      <c r="F14" s="3" t="n">
        <v>9</v>
      </c>
      <c r="G14" s="3" t="n">
        <v>10</v>
      </c>
      <c r="H14" s="3" t="n">
        <v>10</v>
      </c>
      <c r="I14" s="3" t="n">
        <v>10</v>
      </c>
      <c r="J14" s="3" t="n">
        <v>10</v>
      </c>
      <c r="K14" s="3" t="n">
        <v>10</v>
      </c>
      <c r="L14" s="3" t="n">
        <v>10</v>
      </c>
    </row>
    <row r="15" customFormat="false" ht="15" hidden="false" customHeight="false" outlineLevel="0" collapsed="false">
      <c r="A15" s="0" t="s">
        <v>96</v>
      </c>
      <c r="C15" s="3" t="n">
        <v>0.3</v>
      </c>
      <c r="D15" s="3" t="n">
        <v>0.3</v>
      </c>
      <c r="E15" s="3" t="n">
        <v>0.3</v>
      </c>
      <c r="F15" s="3" t="n">
        <v>0.3</v>
      </c>
      <c r="G15" s="3" t="n">
        <v>0.3</v>
      </c>
      <c r="H15" s="3" t="n">
        <v>0.3</v>
      </c>
      <c r="I15" s="3" t="n">
        <v>0.3</v>
      </c>
      <c r="J15" s="3" t="n">
        <v>0.3</v>
      </c>
      <c r="K15" s="3" t="n">
        <v>0.3</v>
      </c>
      <c r="L15" s="3" t="n">
        <v>0.3</v>
      </c>
    </row>
    <row r="16" customFormat="false" ht="15" hidden="false" customHeight="false" outlineLevel="0" collapsed="false">
      <c r="A16" s="0" t="s">
        <v>97</v>
      </c>
      <c r="C16" s="3" t="n">
        <v>3.11</v>
      </c>
      <c r="D16" s="3" t="n">
        <v>3.92</v>
      </c>
      <c r="E16" s="3" t="n">
        <v>5.23</v>
      </c>
      <c r="F16" s="3" t="n">
        <v>6.21</v>
      </c>
      <c r="G16" s="3" t="n">
        <v>6.09</v>
      </c>
      <c r="H16" s="3" t="n">
        <v>5.97</v>
      </c>
      <c r="I16" s="3" t="n">
        <v>5.85</v>
      </c>
      <c r="J16" s="3" t="n">
        <v>5.74</v>
      </c>
      <c r="K16" s="3" t="n">
        <v>5.62</v>
      </c>
      <c r="L16" s="3" t="n">
        <v>5.51</v>
      </c>
    </row>
    <row r="17" customFormat="false" ht="15" hidden="false" customHeight="false" outlineLevel="0" collapsed="false">
      <c r="A17" s="0" t="s">
        <v>98</v>
      </c>
      <c r="C17" s="3" t="n">
        <v>45.88</v>
      </c>
      <c r="D17" s="3" t="n">
        <v>57.88</v>
      </c>
      <c r="E17" s="3" t="n">
        <v>77.12</v>
      </c>
      <c r="F17" s="3" t="n">
        <v>69.32</v>
      </c>
      <c r="G17" s="3" t="n">
        <v>6.09</v>
      </c>
      <c r="H17" s="3" t="n">
        <v>5.97</v>
      </c>
      <c r="I17" s="3" t="n">
        <v>5.85</v>
      </c>
      <c r="J17" s="3" t="n">
        <v>5.74</v>
      </c>
      <c r="K17" s="3" t="n">
        <v>5.62</v>
      </c>
      <c r="L17" s="3" t="n">
        <v>5.51</v>
      </c>
    </row>
    <row r="18" customFormat="false" ht="15" hidden="false" customHeight="false" outlineLevel="0" collapsed="false">
      <c r="A18" s="0" t="s">
        <v>99</v>
      </c>
      <c r="C18" s="3" t="n">
        <v>1.5</v>
      </c>
      <c r="D18" s="3" t="n">
        <v>1.5</v>
      </c>
      <c r="E18" s="3" t="n">
        <v>1.5</v>
      </c>
      <c r="F18" s="3" t="n">
        <v>1.5</v>
      </c>
      <c r="G18" s="3" t="n">
        <v>1.5</v>
      </c>
      <c r="H18" s="3" t="n">
        <v>1.5</v>
      </c>
      <c r="I18" s="3" t="n">
        <v>1.5</v>
      </c>
      <c r="J18" s="3" t="n">
        <v>1.5</v>
      </c>
      <c r="K18" s="3" t="n">
        <v>1.5</v>
      </c>
      <c r="L18" s="3" t="n">
        <v>1.5</v>
      </c>
    </row>
    <row r="19" customFormat="false" ht="15" hidden="false" customHeight="false" outlineLevel="0" collapsed="false">
      <c r="A19" s="0" t="s">
        <v>100</v>
      </c>
      <c r="C19" s="3" t="n">
        <v>16.5</v>
      </c>
      <c r="D19" s="3" t="n">
        <v>16.5</v>
      </c>
      <c r="E19" s="3" t="n">
        <v>16.5</v>
      </c>
      <c r="F19" s="3" t="n">
        <v>16.5</v>
      </c>
      <c r="G19" s="3" t="n">
        <v>16.5</v>
      </c>
      <c r="H19" s="3" t="n">
        <v>16.5</v>
      </c>
      <c r="I19" s="3" t="n">
        <v>16.5</v>
      </c>
      <c r="J19" s="3" t="n">
        <v>16.5</v>
      </c>
      <c r="K19" s="3" t="n">
        <v>16.5</v>
      </c>
      <c r="L19" s="3" t="n">
        <v>16.5</v>
      </c>
    </row>
    <row r="20" customFormat="false" ht="15" hidden="false" customHeight="false" outlineLevel="0" collapsed="false">
      <c r="A20" s="0" t="s">
        <v>101</v>
      </c>
      <c r="B20" s="3" t="n">
        <v>12</v>
      </c>
    </row>
    <row r="21" customFormat="false" ht="15" hidden="false" customHeight="false" outlineLevel="0" collapsed="false">
      <c r="A21" s="0" t="s">
        <v>102</v>
      </c>
      <c r="B21" s="3" t="n">
        <v>2</v>
      </c>
    </row>
    <row r="22" customFormat="false" ht="15" hidden="false" customHeight="false" outlineLevel="0" collapsed="false">
      <c r="A22" s="0" t="s">
        <v>103</v>
      </c>
      <c r="B22" s="3" t="n">
        <v>8</v>
      </c>
    </row>
    <row r="23" customFormat="false" ht="15" hidden="false" customHeight="false" outlineLevel="0" collapsed="false">
      <c r="A23" s="0" t="s">
        <v>104</v>
      </c>
      <c r="B23" s="3" t="n">
        <v>0</v>
      </c>
    </row>
    <row r="24" customFormat="false" ht="15" hidden="false" customHeight="false" outlineLevel="0" collapsed="false">
      <c r="A24" s="0" t="s">
        <v>105</v>
      </c>
      <c r="B24" s="3" t="n">
        <v>0.4</v>
      </c>
    </row>
    <row r="26" customFormat="false" ht="15" hidden="false" customHeight="false" outlineLevel="0" collapsed="false">
      <c r="A26" s="2" t="s">
        <v>106</v>
      </c>
      <c r="C26" s="2" t="s">
        <v>84</v>
      </c>
      <c r="D26" s="2" t="s">
        <v>85</v>
      </c>
      <c r="E26" s="2" t="s">
        <v>86</v>
      </c>
      <c r="F26" s="2" t="s">
        <v>87</v>
      </c>
      <c r="G26" s="2" t="s">
        <v>88</v>
      </c>
      <c r="H26" s="2" t="s">
        <v>89</v>
      </c>
      <c r="I26" s="2" t="s">
        <v>90</v>
      </c>
      <c r="J26" s="2" t="s">
        <v>91</v>
      </c>
      <c r="K26" s="2" t="s">
        <v>92</v>
      </c>
      <c r="L26" s="2" t="s">
        <v>93</v>
      </c>
    </row>
    <row r="27" customFormat="false" ht="15" hidden="false" customHeight="false" outlineLevel="0" collapsed="false">
      <c r="A27" s="0" t="s">
        <v>94</v>
      </c>
      <c r="C27" s="3" t="n">
        <v>70.44</v>
      </c>
      <c r="D27" s="3" t="n">
        <v>-7.39</v>
      </c>
      <c r="E27" s="3" t="n">
        <v>-7.83</v>
      </c>
      <c r="F27" s="3" t="n">
        <v>-8.32</v>
      </c>
      <c r="G27" s="3" t="n">
        <v>-8.88</v>
      </c>
      <c r="H27" s="3" t="n">
        <v>-7.48</v>
      </c>
      <c r="I27" s="3" t="n">
        <v>-4.97</v>
      </c>
      <c r="J27" s="3" t="n">
        <v>-2.79</v>
      </c>
      <c r="K27" s="3" t="n">
        <v>-2.05</v>
      </c>
      <c r="L27" s="3" t="n">
        <v>-2.01</v>
      </c>
    </row>
    <row r="28" customFormat="false" ht="15" hidden="false" customHeight="false" outlineLevel="0" collapsed="false">
      <c r="A28" s="0" t="s">
        <v>95</v>
      </c>
      <c r="C28" s="3" t="n">
        <v>20.43</v>
      </c>
      <c r="D28" s="3" t="n">
        <v>18.51</v>
      </c>
      <c r="E28" s="3" t="n">
        <v>16.5</v>
      </c>
      <c r="F28" s="3" t="n">
        <v>14.32</v>
      </c>
      <c r="G28" s="3" t="n">
        <v>14.07</v>
      </c>
      <c r="H28" s="3" t="n">
        <v>14.33</v>
      </c>
      <c r="I28" s="3" t="n">
        <v>14.8</v>
      </c>
      <c r="J28" s="3" t="n">
        <v>16.29</v>
      </c>
      <c r="K28" s="3" t="n">
        <v>17.13</v>
      </c>
      <c r="L28" s="3" t="n">
        <v>18</v>
      </c>
    </row>
    <row r="29" customFormat="false" ht="15" hidden="false" customHeight="false" outlineLevel="0" collapsed="false">
      <c r="A29" s="0" t="s">
        <v>96</v>
      </c>
      <c r="C29" s="3" t="n">
        <v>0.3</v>
      </c>
      <c r="D29" s="3" t="n">
        <v>0.3</v>
      </c>
      <c r="E29" s="3" t="n">
        <v>0.3</v>
      </c>
      <c r="F29" s="3" t="n">
        <v>0.3</v>
      </c>
      <c r="G29" s="3" t="n">
        <v>0.3</v>
      </c>
      <c r="H29" s="3" t="n">
        <v>0.3</v>
      </c>
      <c r="I29" s="3" t="n">
        <v>0.3</v>
      </c>
      <c r="J29" s="3" t="n">
        <v>0.3</v>
      </c>
      <c r="K29" s="3" t="n">
        <v>0.3</v>
      </c>
      <c r="L29" s="3" t="n">
        <v>0.3</v>
      </c>
    </row>
    <row r="30" customFormat="false" ht="15" hidden="false" customHeight="false" outlineLevel="0" collapsed="false">
      <c r="A30" s="0" t="s">
        <v>97</v>
      </c>
      <c r="C30" s="3" t="n">
        <v>2.32</v>
      </c>
      <c r="D30" s="3" t="n">
        <v>2.51</v>
      </c>
      <c r="E30" s="3" t="n">
        <v>2.72</v>
      </c>
      <c r="F30" s="3" t="n">
        <v>2.97</v>
      </c>
      <c r="G30" s="3" t="n">
        <v>3.26</v>
      </c>
      <c r="H30" s="3" t="n">
        <v>3.52</v>
      </c>
      <c r="I30" s="3" t="n">
        <v>3.7</v>
      </c>
      <c r="J30" s="3" t="n">
        <v>3.81</v>
      </c>
      <c r="K30" s="3" t="n">
        <v>3.89</v>
      </c>
      <c r="L30" s="3" t="n">
        <v>3.97</v>
      </c>
    </row>
    <row r="31" customFormat="false" ht="15" hidden="false" customHeight="false" outlineLevel="0" collapsed="false">
      <c r="A31" s="0" t="s">
        <v>98</v>
      </c>
      <c r="C31" s="3" t="n">
        <v>34.24</v>
      </c>
      <c r="D31" s="3" t="n">
        <v>36.97</v>
      </c>
      <c r="E31" s="3" t="n">
        <v>40.11</v>
      </c>
      <c r="F31" s="3" t="n">
        <v>33.12</v>
      </c>
      <c r="G31" s="3" t="n">
        <v>3.26</v>
      </c>
      <c r="H31" s="3" t="n">
        <v>3.52</v>
      </c>
      <c r="I31" s="3" t="n">
        <v>3.7</v>
      </c>
      <c r="J31" s="3" t="n">
        <v>3.81</v>
      </c>
      <c r="K31" s="3" t="n">
        <v>3.89</v>
      </c>
      <c r="L31" s="3" t="n">
        <v>3.97</v>
      </c>
    </row>
    <row r="32" customFormat="false" ht="15" hidden="false" customHeight="false" outlineLevel="0" collapsed="false">
      <c r="A32" s="0" t="s">
        <v>99</v>
      </c>
      <c r="C32" s="3" t="n">
        <v>1.5</v>
      </c>
      <c r="D32" s="3" t="n">
        <v>1.5</v>
      </c>
      <c r="E32" s="3" t="n">
        <v>1.5</v>
      </c>
      <c r="F32" s="3" t="n">
        <v>1.5</v>
      </c>
      <c r="G32" s="3" t="n">
        <v>1.5</v>
      </c>
      <c r="H32" s="3" t="n">
        <v>1.5</v>
      </c>
      <c r="I32" s="3" t="n">
        <v>1.5</v>
      </c>
      <c r="J32" s="3" t="n">
        <v>1.5</v>
      </c>
      <c r="K32" s="3" t="n">
        <v>1.5</v>
      </c>
      <c r="L32" s="3" t="n">
        <v>1.5</v>
      </c>
    </row>
    <row r="33" customFormat="false" ht="15" hidden="false" customHeight="false" outlineLevel="0" collapsed="false">
      <c r="A33" s="0" t="s">
        <v>100</v>
      </c>
      <c r="C33" s="3" t="n">
        <v>16.5</v>
      </c>
      <c r="D33" s="3" t="n">
        <v>16.5</v>
      </c>
      <c r="E33" s="3" t="n">
        <v>16.5</v>
      </c>
      <c r="F33" s="3" t="n">
        <v>16.5</v>
      </c>
      <c r="G33" s="3" t="n">
        <v>16.5</v>
      </c>
      <c r="H33" s="3" t="n">
        <v>16.5</v>
      </c>
      <c r="I33" s="3" t="n">
        <v>16.5</v>
      </c>
      <c r="J33" s="3" t="n">
        <v>16.5</v>
      </c>
      <c r="K33" s="3" t="n">
        <v>16.5</v>
      </c>
      <c r="L33" s="3" t="n">
        <v>16.5</v>
      </c>
    </row>
    <row r="34" customFormat="false" ht="15" hidden="false" customHeight="false" outlineLevel="0" collapsed="false">
      <c r="A34" s="0" t="s">
        <v>101</v>
      </c>
      <c r="B34" s="3" t="n">
        <v>12</v>
      </c>
    </row>
    <row r="35" customFormat="false" ht="15" hidden="false" customHeight="false" outlineLevel="0" collapsed="false">
      <c r="A35" s="0" t="s">
        <v>102</v>
      </c>
      <c r="B35" s="3" t="n">
        <v>2.5</v>
      </c>
    </row>
    <row r="36" customFormat="false" ht="15" hidden="false" customHeight="false" outlineLevel="0" collapsed="false">
      <c r="A36" s="0" t="s">
        <v>103</v>
      </c>
      <c r="B36" s="3" t="n">
        <v>10</v>
      </c>
    </row>
    <row r="37" customFormat="false" ht="15" hidden="false" customHeight="false" outlineLevel="0" collapsed="false">
      <c r="A37" s="0" t="s">
        <v>104</v>
      </c>
      <c r="B37" s="3" t="n">
        <v>0</v>
      </c>
    </row>
    <row r="38" customFormat="false" ht="15" hidden="false" customHeight="false" outlineLevel="0" collapsed="false">
      <c r="A38" s="0" t="s">
        <v>105</v>
      </c>
      <c r="B38" s="3" t="n">
        <v>0.45</v>
      </c>
    </row>
    <row r="40" customFormat="false" ht="15" hidden="false" customHeight="false" outlineLevel="0" collapsed="false">
      <c r="A40" s="2" t="s">
        <v>107</v>
      </c>
      <c r="C40" s="2" t="s">
        <v>84</v>
      </c>
      <c r="D40" s="2" t="s">
        <v>85</v>
      </c>
      <c r="E40" s="2" t="s">
        <v>86</v>
      </c>
      <c r="F40" s="2" t="s">
        <v>87</v>
      </c>
      <c r="G40" s="2" t="s">
        <v>88</v>
      </c>
      <c r="H40" s="2" t="s">
        <v>89</v>
      </c>
      <c r="I40" s="2" t="s">
        <v>90</v>
      </c>
      <c r="J40" s="2" t="s">
        <v>91</v>
      </c>
      <c r="K40" s="2" t="s">
        <v>92</v>
      </c>
      <c r="L40" s="2" t="s">
        <v>93</v>
      </c>
    </row>
    <row r="41" customFormat="false" ht="15" hidden="false" customHeight="false" outlineLevel="0" collapsed="false">
      <c r="A41" s="0" t="s">
        <v>94</v>
      </c>
      <c r="C41" s="3" t="n">
        <v>115.75</v>
      </c>
      <c r="D41" s="3" t="n">
        <v>-1.46</v>
      </c>
      <c r="E41" s="3" t="n">
        <v>-3.07</v>
      </c>
      <c r="F41" s="3" t="n">
        <v>-4.86</v>
      </c>
      <c r="G41" s="3" t="n">
        <v>-5.29</v>
      </c>
      <c r="H41" s="3" t="n">
        <v>-7.64</v>
      </c>
      <c r="I41" s="3" t="n">
        <v>-8.65</v>
      </c>
      <c r="J41" s="3" t="n">
        <v>-9.97</v>
      </c>
      <c r="K41" s="3" t="n">
        <v>-9.39</v>
      </c>
      <c r="L41" s="3" t="n">
        <v>-10.29</v>
      </c>
    </row>
    <row r="42" customFormat="false" ht="15" hidden="false" customHeight="false" outlineLevel="0" collapsed="false">
      <c r="A42" s="0" t="s">
        <v>95</v>
      </c>
      <c r="C42" s="3" t="n">
        <v>32.19</v>
      </c>
      <c r="D42" s="3" t="n">
        <v>30.33</v>
      </c>
      <c r="E42" s="3" t="n">
        <v>27.94</v>
      </c>
      <c r="F42" s="3" t="n">
        <v>24.66</v>
      </c>
      <c r="G42" s="3" t="n">
        <v>21.98</v>
      </c>
      <c r="H42" s="3" t="n">
        <v>20</v>
      </c>
      <c r="I42" s="3" t="n">
        <v>18.98</v>
      </c>
      <c r="J42" s="3" t="n">
        <v>19.19</v>
      </c>
      <c r="K42" s="3" t="n">
        <v>19.81</v>
      </c>
      <c r="L42" s="3" t="n">
        <v>22</v>
      </c>
    </row>
    <row r="43" customFormat="false" ht="15" hidden="false" customHeight="false" outlineLevel="0" collapsed="false">
      <c r="A43" s="0" t="s">
        <v>96</v>
      </c>
      <c r="C43" s="3" t="n">
        <v>0.3</v>
      </c>
      <c r="D43" s="3" t="n">
        <v>0.3</v>
      </c>
      <c r="E43" s="3" t="n">
        <v>0.3</v>
      </c>
      <c r="F43" s="3" t="n">
        <v>0.3</v>
      </c>
      <c r="G43" s="3" t="n">
        <v>0.3</v>
      </c>
      <c r="H43" s="3" t="n">
        <v>0.3</v>
      </c>
      <c r="I43" s="3" t="n">
        <v>0.3</v>
      </c>
      <c r="J43" s="3" t="n">
        <v>0.3</v>
      </c>
      <c r="K43" s="3" t="n">
        <v>0.3</v>
      </c>
      <c r="L43" s="3" t="n">
        <v>0.3</v>
      </c>
    </row>
    <row r="44" customFormat="false" ht="15" hidden="false" customHeight="false" outlineLevel="0" collapsed="false">
      <c r="A44" s="0" t="s">
        <v>97</v>
      </c>
      <c r="C44" s="3" t="n">
        <v>1.83</v>
      </c>
      <c r="D44" s="3" t="n">
        <v>1.86</v>
      </c>
      <c r="E44" s="3" t="n">
        <v>1.92</v>
      </c>
      <c r="F44" s="3" t="n">
        <v>2.02</v>
      </c>
      <c r="G44" s="3" t="n">
        <v>2.13</v>
      </c>
      <c r="H44" s="3" t="n">
        <v>2.31</v>
      </c>
      <c r="I44" s="3" t="n">
        <v>2.53</v>
      </c>
      <c r="J44" s="3" t="n">
        <v>2.81</v>
      </c>
      <c r="K44" s="3" t="n">
        <v>3.1</v>
      </c>
      <c r="L44" s="3" t="n">
        <v>3.45</v>
      </c>
    </row>
    <row r="45" customFormat="false" ht="15" hidden="false" customHeight="false" outlineLevel="0" collapsed="false">
      <c r="A45" s="0" t="s">
        <v>98</v>
      </c>
      <c r="C45" s="3" t="n">
        <v>27.05</v>
      </c>
      <c r="D45" s="3" t="n">
        <v>27.45</v>
      </c>
      <c r="E45" s="3" t="n">
        <v>28.32</v>
      </c>
      <c r="F45" s="3" t="n">
        <v>22.53</v>
      </c>
      <c r="G45" s="3" t="n">
        <v>2.13</v>
      </c>
      <c r="H45" s="3" t="n">
        <v>2.31</v>
      </c>
      <c r="I45" s="3" t="n">
        <v>2.53</v>
      </c>
      <c r="J45" s="3" t="n">
        <v>2.81</v>
      </c>
      <c r="K45" s="3" t="n">
        <v>3.1</v>
      </c>
      <c r="L45" s="3" t="n">
        <v>3.45</v>
      </c>
    </row>
    <row r="46" customFormat="false" ht="15" hidden="false" customHeight="false" outlineLevel="0" collapsed="false">
      <c r="A46" s="0" t="s">
        <v>99</v>
      </c>
      <c r="C46" s="3" t="n">
        <v>6</v>
      </c>
      <c r="D46" s="3" t="n">
        <v>6</v>
      </c>
      <c r="E46" s="3" t="n">
        <v>6</v>
      </c>
      <c r="F46" s="3" t="n">
        <v>6</v>
      </c>
      <c r="G46" s="3" t="n">
        <v>6</v>
      </c>
      <c r="H46" s="3" t="n">
        <v>2</v>
      </c>
      <c r="I46" s="3" t="n">
        <v>1.5</v>
      </c>
      <c r="J46" s="3" t="n">
        <v>1.5</v>
      </c>
      <c r="K46" s="3" t="n">
        <v>1.5</v>
      </c>
      <c r="L46" s="3" t="n">
        <v>1.5</v>
      </c>
    </row>
    <row r="47" customFormat="false" ht="15" hidden="false" customHeight="false" outlineLevel="0" collapsed="false">
      <c r="A47" s="0" t="s">
        <v>100</v>
      </c>
      <c r="C47" s="3" t="n">
        <v>16.5</v>
      </c>
      <c r="D47" s="3" t="n">
        <v>16.5</v>
      </c>
      <c r="E47" s="3" t="n">
        <v>16.5</v>
      </c>
      <c r="F47" s="3" t="n">
        <v>16.5</v>
      </c>
      <c r="G47" s="3" t="n">
        <v>16.5</v>
      </c>
      <c r="H47" s="3" t="n">
        <v>16.5</v>
      </c>
      <c r="I47" s="3" t="n">
        <v>16.5</v>
      </c>
      <c r="J47" s="3" t="n">
        <v>16.5</v>
      </c>
      <c r="K47" s="3" t="n">
        <v>16.5</v>
      </c>
      <c r="L47" s="3" t="n">
        <v>16.5</v>
      </c>
    </row>
    <row r="48" customFormat="false" ht="15" hidden="false" customHeight="false" outlineLevel="0" collapsed="false">
      <c r="A48" s="0" t="s">
        <v>101</v>
      </c>
      <c r="B48" s="3" t="n">
        <v>12</v>
      </c>
    </row>
    <row r="49" customFormat="false" ht="15" hidden="false" customHeight="false" outlineLevel="0" collapsed="false">
      <c r="A49" s="0" t="s">
        <v>102</v>
      </c>
      <c r="B49" s="3" t="n">
        <v>3</v>
      </c>
    </row>
    <row r="50" customFormat="false" ht="15" hidden="false" customHeight="false" outlineLevel="0" collapsed="false">
      <c r="A50" s="0" t="s">
        <v>103</v>
      </c>
      <c r="B50" s="3" t="n">
        <v>12</v>
      </c>
    </row>
    <row r="51" customFormat="false" ht="15" hidden="false" customHeight="false" outlineLevel="0" collapsed="false">
      <c r="A51" s="0" t="s">
        <v>104</v>
      </c>
      <c r="B51" s="3" t="n">
        <v>0</v>
      </c>
    </row>
    <row r="52" customFormat="false" ht="15" hidden="false" customHeight="false" outlineLevel="0" collapsed="false">
      <c r="A52" s="0" t="s">
        <v>105</v>
      </c>
      <c r="B52" s="3" t="n">
        <v>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108</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Assumptions!C13</f>
        <v>27.2</v>
      </c>
      <c r="D5" s="4" t="n">
        <f aca="false">Assumptions!D13</f>
        <v>-20.74</v>
      </c>
      <c r="E5" s="4" t="n">
        <f aca="false">Assumptions!E13</f>
        <v>-24.95</v>
      </c>
      <c r="F5" s="4" t="n">
        <f aca="false">Assumptions!F13</f>
        <v>-15.78</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303.3</v>
      </c>
      <c r="C6" s="0" t="n">
        <f aca="false">B6*(1+C5/100)</f>
        <v>385.7976</v>
      </c>
      <c r="D6" s="0" t="n">
        <f aca="false">C6*(1+D5/100)</f>
        <v>305.78317776</v>
      </c>
      <c r="E6" s="0" t="n">
        <f aca="false">D6*(1+E5/100)</f>
        <v>229.49027490888</v>
      </c>
      <c r="F6" s="0" t="n">
        <f aca="false">E6*(1+F5/100)</f>
        <v>193.276709528259</v>
      </c>
      <c r="G6" s="0" t="n">
        <f aca="false">F6*(1+G5/100)</f>
        <v>197.142243718824</v>
      </c>
      <c r="H6" s="0" t="n">
        <f aca="false">G6*(1+H5/100)</f>
        <v>201.0850885932</v>
      </c>
      <c r="I6" s="0" t="n">
        <f aca="false">H6*(1+I5/100)</f>
        <v>205.106790365064</v>
      </c>
      <c r="J6" s="0" t="n">
        <f aca="false">I6*(1+J5/100)</f>
        <v>209.208926172366</v>
      </c>
      <c r="K6" s="0" t="n">
        <f aca="false">J6*(1+K5/100)</f>
        <v>213.393104695813</v>
      </c>
      <c r="L6" s="0" t="n">
        <f aca="false">K6*(1+L5/100)</f>
        <v>217.660966789729</v>
      </c>
    </row>
    <row r="7" customFormat="false" ht="15" hidden="false" customHeight="false" outlineLevel="0" collapsed="false">
      <c r="A7" s="0" t="s">
        <v>95</v>
      </c>
      <c r="C7" s="4" t="n">
        <f aca="false">Assumptions!C14</f>
        <v>6.44</v>
      </c>
      <c r="D7" s="4" t="n">
        <f aca="false">Assumptions!D14</f>
        <v>4.86</v>
      </c>
      <c r="E7" s="4" t="n">
        <f aca="false">Assumptions!E14</f>
        <v>7.43</v>
      </c>
      <c r="F7" s="4" t="n">
        <f aca="false">Assumptions!F14</f>
        <v>9</v>
      </c>
      <c r="G7" s="4" t="n">
        <f aca="false">Assumptions!G14</f>
        <v>10</v>
      </c>
      <c r="H7" s="4" t="n">
        <f aca="false">Assumptions!H14</f>
        <v>10</v>
      </c>
      <c r="I7" s="4" t="n">
        <f aca="false">Assumptions!I14</f>
        <v>10</v>
      </c>
      <c r="J7" s="4" t="n">
        <f aca="false">Assumptions!J14</f>
        <v>10</v>
      </c>
      <c r="K7" s="4" t="n">
        <f aca="false">Assumptions!K14</f>
        <v>10</v>
      </c>
      <c r="L7" s="4" t="n">
        <f aca="false">Assumptions!L14</f>
        <v>10</v>
      </c>
    </row>
    <row r="8" customFormat="false" ht="15" hidden="false" customHeight="false" outlineLevel="0" collapsed="false">
      <c r="A8" s="0" t="s">
        <v>43</v>
      </c>
      <c r="C8" s="0" t="n">
        <f aca="false">C6*C7/100</f>
        <v>24.84536544</v>
      </c>
      <c r="D8" s="0" t="n">
        <f aca="false">D6*D7/100</f>
        <v>14.861062439136</v>
      </c>
      <c r="E8" s="0" t="n">
        <f aca="false">E6*E7/100</f>
        <v>17.0511274257298</v>
      </c>
      <c r="F8" s="0" t="n">
        <f aca="false">F6*F7/100</f>
        <v>17.3949038575433</v>
      </c>
      <c r="G8" s="0" t="n">
        <f aca="false">G6*G7/100</f>
        <v>19.7142243718824</v>
      </c>
      <c r="H8" s="0" t="n">
        <f aca="false">H6*H7/100</f>
        <v>20.10850885932</v>
      </c>
      <c r="I8" s="0" t="n">
        <f aca="false">I6*I7/100</f>
        <v>20.5106790365064</v>
      </c>
      <c r="J8" s="0" t="n">
        <f aca="false">J6*J7/100</f>
        <v>20.9208926172366</v>
      </c>
      <c r="K8" s="0" t="n">
        <f aca="false">K6*K7/100</f>
        <v>21.3393104695813</v>
      </c>
      <c r="L8" s="0" t="n">
        <f aca="false">L6*L7/100</f>
        <v>21.7660966789729</v>
      </c>
    </row>
    <row r="9" customFormat="false" ht="15" hidden="false" customHeight="false" outlineLevel="0" collapsed="false">
      <c r="A9" s="0" t="s">
        <v>96</v>
      </c>
      <c r="C9" s="4" t="n">
        <f aca="false">Assumptions!C15</f>
        <v>0.3</v>
      </c>
      <c r="D9" s="4" t="n">
        <f aca="false">Assumptions!D15</f>
        <v>0.3</v>
      </c>
      <c r="E9" s="4" t="n">
        <f aca="false">Assumptions!E15</f>
        <v>0.3</v>
      </c>
      <c r="F9" s="4" t="n">
        <f aca="false">Assumptions!F15</f>
        <v>0.3</v>
      </c>
      <c r="G9" s="4" t="n">
        <f aca="false">Assumptions!G15</f>
        <v>0.3</v>
      </c>
      <c r="H9" s="4" t="n">
        <f aca="false">Assumptions!H15</f>
        <v>0.3</v>
      </c>
      <c r="I9" s="4" t="n">
        <f aca="false">Assumptions!I15</f>
        <v>0.3</v>
      </c>
      <c r="J9" s="4" t="n">
        <f aca="false">Assumptions!J15</f>
        <v>0.3</v>
      </c>
      <c r="K9" s="4" t="n">
        <f aca="false">Assumptions!K15</f>
        <v>0.3</v>
      </c>
      <c r="L9" s="4" t="n">
        <f aca="false">Assumptions!L15</f>
        <v>0.3</v>
      </c>
    </row>
    <row r="10" customFormat="false" ht="15" hidden="false" customHeight="false" outlineLevel="0" collapsed="false">
      <c r="A10" s="0" t="s">
        <v>111</v>
      </c>
      <c r="C10" s="0" t="n">
        <f aca="false">-C6*C9/100</f>
        <v>-1.1573928</v>
      </c>
      <c r="D10" s="0" t="n">
        <f aca="false">-D6*D9/100</f>
        <v>-0.91734953328</v>
      </c>
      <c r="E10" s="0" t="n">
        <f aca="false">-E6*E9/100</f>
        <v>-0.68847082472664</v>
      </c>
      <c r="F10" s="0" t="n">
        <f aca="false">-F6*F9/100</f>
        <v>-0.579830128584776</v>
      </c>
      <c r="G10" s="0" t="n">
        <f aca="false">-G6*G9/100</f>
        <v>-0.591426731156472</v>
      </c>
      <c r="H10" s="0" t="n">
        <f aca="false">-H6*H9/100</f>
        <v>-0.603255265779601</v>
      </c>
      <c r="I10" s="0" t="n">
        <f aca="false">-I6*I9/100</f>
        <v>-0.615320371095193</v>
      </c>
      <c r="J10" s="0" t="n">
        <f aca="false">-J6*J9/100</f>
        <v>-0.627626778517097</v>
      </c>
      <c r="K10" s="0" t="n">
        <f aca="false">-K6*K9/100</f>
        <v>-0.640179314087439</v>
      </c>
      <c r="L10" s="0" t="n">
        <f aca="false">-L6*L9/100</f>
        <v>-0.652982900369188</v>
      </c>
    </row>
    <row r="11" customFormat="false" ht="15" hidden="false" customHeight="false" outlineLevel="0" collapsed="false">
      <c r="A11" s="0" t="s">
        <v>112</v>
      </c>
      <c r="C11" s="0" t="n">
        <f aca="false">C8+C10+C24</f>
        <v>11.68966728</v>
      </c>
      <c r="D11" s="0" t="n">
        <f aca="false">D8+D10+D24</f>
        <v>1.957012337664</v>
      </c>
      <c r="E11" s="0" t="n">
        <f aca="false">E8+E10+E24</f>
        <v>4.36031522326872</v>
      </c>
      <c r="F11" s="0" t="n">
        <f aca="false">F8+F10+F24</f>
        <v>4.81259006725364</v>
      </c>
      <c r="G11" s="0" t="n">
        <f aca="false">G8+G10+G24</f>
        <v>7.11683499824954</v>
      </c>
      <c r="H11" s="0" t="n">
        <f aca="false">H8+H10+H24</f>
        <v>7.50047380452638</v>
      </c>
      <c r="I11" s="0" t="n">
        <f aca="false">I8+I10+I24</f>
        <v>7.89661142905498</v>
      </c>
      <c r="J11" s="0" t="n">
        <f aca="false">J8+J10+J24</f>
        <v>8.28467347642568</v>
      </c>
      <c r="K11" s="0" t="n">
        <f aca="false">K8+K10+K24</f>
        <v>8.70643867158917</v>
      </c>
      <c r="L11" s="0" t="n">
        <f aca="false">L8+L10+L24</f>
        <v>9.11999450848965</v>
      </c>
    </row>
    <row r="12" customFormat="false" ht="15" hidden="false" customHeight="false" outlineLevel="0" collapsed="false">
      <c r="A12" s="0" t="s">
        <v>113</v>
      </c>
      <c r="C12" s="4" t="n">
        <f aca="false">-C6*Assumptions!C17/100</f>
        <v>-177.00393888</v>
      </c>
      <c r="D12" s="4" t="n">
        <f aca="false">-D6*Assumptions!D17/100</f>
        <v>-176.987303287488</v>
      </c>
      <c r="E12" s="4" t="n">
        <f aca="false">-E6*Assumptions!E17/100</f>
        <v>-176.982900009728</v>
      </c>
      <c r="F12" s="4" t="n">
        <f aca="false">-F6*Assumptions!F17/100</f>
        <v>-133.979415044989</v>
      </c>
      <c r="G12" s="4" t="n">
        <f aca="false">-G6*Assumptions!G17/100</f>
        <v>-12.0059626424764</v>
      </c>
      <c r="H12" s="4" t="n">
        <f aca="false">-H6*Assumptions!H17/100</f>
        <v>-12.0047797890141</v>
      </c>
      <c r="I12" s="4" t="n">
        <f aca="false">-I6*Assumptions!I17/100</f>
        <v>-11.9987472363563</v>
      </c>
      <c r="J12" s="4" t="n">
        <f aca="false">-J6*Assumptions!J17/100</f>
        <v>-12.0085923622938</v>
      </c>
      <c r="K12" s="4" t="n">
        <f aca="false">-K6*Assumptions!K17/100</f>
        <v>-11.9926924839047</v>
      </c>
      <c r="L12" s="4" t="n">
        <f aca="false">-L6*Assumptions!L17/100</f>
        <v>-11.9931192701141</v>
      </c>
    </row>
    <row r="13" customFormat="false" ht="15" hidden="false" customHeight="false" outlineLevel="0" collapsed="false">
      <c r="A13" s="0" t="s">
        <v>114</v>
      </c>
      <c r="C13" s="0" t="n">
        <f aca="false">C11+C12</f>
        <v>-165.3142716</v>
      </c>
      <c r="D13" s="0" t="n">
        <f aca="false">D11+D12</f>
        <v>-175.030290949824</v>
      </c>
      <c r="E13" s="0" t="n">
        <f aca="false">E11+E12</f>
        <v>-172.62258478646</v>
      </c>
      <c r="F13" s="0" t="n">
        <f aca="false">F11+F12</f>
        <v>-129.166824977735</v>
      </c>
      <c r="G13" s="0" t="n">
        <f aca="false">G11+G12</f>
        <v>-4.88912764422683</v>
      </c>
      <c r="H13" s="0" t="n">
        <f aca="false">H11+H12</f>
        <v>-4.50430598448769</v>
      </c>
      <c r="I13" s="0" t="n">
        <f aca="false">I11+I12</f>
        <v>-4.10213580730129</v>
      </c>
      <c r="J13" s="0" t="n">
        <f aca="false">J11+J12</f>
        <v>-3.72391888586811</v>
      </c>
      <c r="K13" s="0" t="n">
        <f aca="false">K11+K12</f>
        <v>-3.28625381231552</v>
      </c>
      <c r="L13" s="0" t="n">
        <f aca="false">L11+L12</f>
        <v>-2.87312476162443</v>
      </c>
    </row>
    <row r="14" customFormat="false" ht="15" hidden="false" customHeight="false" outlineLevel="0" collapsed="false">
      <c r="A14" s="0" t="s">
        <v>100</v>
      </c>
      <c r="C14" s="4" t="n">
        <f aca="false">Assumptions!C19</f>
        <v>16.5</v>
      </c>
      <c r="D14" s="4" t="n">
        <f aca="false">Assumptions!D19</f>
        <v>16.5</v>
      </c>
      <c r="E14" s="4" t="n">
        <f aca="false">Assumptions!E19</f>
        <v>16.5</v>
      </c>
      <c r="F14" s="4" t="n">
        <f aca="false">Assumptions!F19</f>
        <v>16.5</v>
      </c>
      <c r="G14" s="4" t="n">
        <f aca="false">Assumptions!G19</f>
        <v>16.5</v>
      </c>
      <c r="H14" s="4" t="n">
        <f aca="false">Assumptions!H19</f>
        <v>16.5</v>
      </c>
      <c r="I14" s="4" t="n">
        <f aca="false">Assumptions!I19</f>
        <v>16.5</v>
      </c>
      <c r="J14" s="4" t="n">
        <f aca="false">Assumptions!J19</f>
        <v>16.5</v>
      </c>
      <c r="K14" s="4" t="n">
        <f aca="false">Assumptions!K19</f>
        <v>16.5</v>
      </c>
      <c r="L14" s="4" t="n">
        <f aca="false">Assumptions!L19</f>
        <v>16.5</v>
      </c>
    </row>
    <row r="15" customFormat="false" ht="15" hidden="false" customHeight="false" outlineLevel="0" collapsed="false">
      <c r="A15" s="0" t="s">
        <v>115</v>
      </c>
      <c r="C15" s="0" t="n">
        <f aca="false">C13-MAX(0,C13)*C14/100</f>
        <v>-165.3142716</v>
      </c>
      <c r="D15" s="0" t="n">
        <f aca="false">D13-MAX(0,D13)*D14/100</f>
        <v>-175.030290949824</v>
      </c>
      <c r="E15" s="0" t="n">
        <f aca="false">E13-MAX(0,E13)*E14/100</f>
        <v>-172.62258478646</v>
      </c>
      <c r="F15" s="0" t="n">
        <f aca="false">F13-MAX(0,F13)*F14/100</f>
        <v>-129.166824977735</v>
      </c>
      <c r="G15" s="0" t="n">
        <f aca="false">G13-MAX(0,G13)*G14/100</f>
        <v>-4.88912764422683</v>
      </c>
      <c r="H15" s="0" t="n">
        <f aca="false">H13-MAX(0,H13)*H14/100</f>
        <v>-4.50430598448769</v>
      </c>
      <c r="I15" s="0" t="n">
        <f aca="false">I13-MAX(0,I13)*I14/100</f>
        <v>-4.10213580730129</v>
      </c>
      <c r="J15" s="0" t="n">
        <f aca="false">J13-MAX(0,J13)*J14/100</f>
        <v>-3.72391888586811</v>
      </c>
      <c r="K15" s="0" t="n">
        <f aca="false">K13-MAX(0,K13)*K14/100</f>
        <v>-3.28625381231552</v>
      </c>
      <c r="L15" s="0" t="n">
        <f aca="false">L13-MAX(0,L13)*L14/100</f>
        <v>-2.87312476162443</v>
      </c>
    </row>
    <row r="16" customFormat="false" ht="15" hidden="false" customHeight="false" outlineLevel="0" collapsed="false">
      <c r="A16" s="0" t="s">
        <v>116</v>
      </c>
      <c r="C16" s="0" t="n">
        <f aca="false">-C12</f>
        <v>177.00393888</v>
      </c>
      <c r="D16" s="0" t="n">
        <f aca="false">-D12</f>
        <v>176.987303287488</v>
      </c>
      <c r="E16" s="0" t="n">
        <f aca="false">-E12</f>
        <v>176.982900009728</v>
      </c>
      <c r="F16" s="0" t="n">
        <f aca="false">-F12</f>
        <v>133.979415044989</v>
      </c>
      <c r="G16" s="0" t="n">
        <f aca="false">-G12</f>
        <v>12.0059626424764</v>
      </c>
      <c r="H16" s="0" t="n">
        <f aca="false">-H12</f>
        <v>12.0047797890141</v>
      </c>
      <c r="I16" s="0" t="n">
        <f aca="false">-I12</f>
        <v>11.9987472363563</v>
      </c>
      <c r="J16" s="0" t="n">
        <f aca="false">-J12</f>
        <v>12.0085923622938</v>
      </c>
      <c r="K16" s="0" t="n">
        <f aca="false">-K12</f>
        <v>11.9926924839047</v>
      </c>
      <c r="L16" s="0" t="n">
        <f aca="false">-L12</f>
        <v>11.9931192701141</v>
      </c>
    </row>
    <row r="17" customFormat="false" ht="15" hidden="false" customHeight="false" outlineLevel="0" collapsed="false">
      <c r="A17" s="0" t="s">
        <v>117</v>
      </c>
      <c r="C17" s="4" t="n">
        <f aca="false">-C6*Assumptions!C18/100</f>
        <v>-5.786964</v>
      </c>
      <c r="D17" s="4" t="n">
        <f aca="false">-D6*Assumptions!D18/100</f>
        <v>-4.5867476664</v>
      </c>
      <c r="E17" s="4" t="n">
        <f aca="false">-E6*Assumptions!E18/100</f>
        <v>-3.4423541236332</v>
      </c>
      <c r="F17" s="4" t="n">
        <f aca="false">-F6*Assumptions!F18/100</f>
        <v>-2.89915064292388</v>
      </c>
      <c r="G17" s="4" t="n">
        <f aca="false">-G6*Assumptions!G18/100</f>
        <v>-2.95713365578236</v>
      </c>
      <c r="H17" s="4" t="n">
        <f aca="false">-H6*Assumptions!H18/100</f>
        <v>-3.01627632889801</v>
      </c>
      <c r="I17" s="4" t="n">
        <f aca="false">-I6*Assumptions!I18/100</f>
        <v>-3.07660185547597</v>
      </c>
      <c r="J17" s="4" t="n">
        <f aca="false">-J6*Assumptions!J18/100</f>
        <v>-3.13813389258549</v>
      </c>
      <c r="K17" s="4" t="n">
        <f aca="false">-K6*Assumptions!K18/100</f>
        <v>-3.2008965704372</v>
      </c>
      <c r="L17" s="4" t="n">
        <f aca="false">-L6*Assumptions!L18/100</f>
        <v>-3.26491450184594</v>
      </c>
    </row>
    <row r="18" customFormat="false" ht="15" hidden="false" customHeight="false" outlineLevel="0" collapsed="false">
      <c r="A18" s="0" t="s">
        <v>118</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119</v>
      </c>
      <c r="C19" s="0" t="n">
        <f aca="false">C15+C16+C17+C18</f>
        <v>5.90270328000001</v>
      </c>
      <c r="D19" s="0" t="n">
        <f aca="false">D15+D16+D17+D18</f>
        <v>-2.629735328736</v>
      </c>
      <c r="E19" s="0" t="n">
        <f aca="false">E15+E16+E17+E18</f>
        <v>0.917961099635514</v>
      </c>
      <c r="F19" s="0" t="n">
        <f aca="false">F15+F16+F17+F18</f>
        <v>1.91343942432976</v>
      </c>
      <c r="G19" s="0" t="n">
        <f aca="false">G15+G16+G17+G18</f>
        <v>4.15970134246719</v>
      </c>
      <c r="H19" s="0" t="n">
        <f aca="false">H15+H16+H17+H18</f>
        <v>4.48419747562837</v>
      </c>
      <c r="I19" s="0" t="n">
        <f aca="false">I15+I16+I17+I18</f>
        <v>4.82000957357901</v>
      </c>
      <c r="J19" s="0" t="n">
        <f aca="false">J15+J16+J17+J18</f>
        <v>5.14653958384019</v>
      </c>
      <c r="K19" s="0" t="n">
        <f aca="false">K15+K16+K17+K18</f>
        <v>5.50554210115197</v>
      </c>
      <c r="L19" s="0" t="n">
        <f aca="false">L15+L16+L17+L18</f>
        <v>5.85508000664372</v>
      </c>
    </row>
    <row r="20" customFormat="false" ht="15" hidden="false" customHeight="false" outlineLevel="0" collapsed="false">
      <c r="A20" s="0" t="s">
        <v>120</v>
      </c>
      <c r="C20" s="0" t="n">
        <f aca="false">1/(1+$B$27/100)^C4</f>
        <v>0.892857142857143</v>
      </c>
      <c r="D20" s="0" t="n">
        <f aca="false">1/(1+$B$27/100)^D4</f>
        <v>0.79719387755102</v>
      </c>
      <c r="E20" s="0" t="n">
        <f aca="false">1/(1+$B$27/100)^E4</f>
        <v>0.711780247813411</v>
      </c>
      <c r="F20" s="0" t="n">
        <f aca="false">1/(1+$B$27/100)^F4</f>
        <v>0.635518078404831</v>
      </c>
      <c r="G20" s="0" t="n">
        <f aca="false">1/(1+$B$27/100)^G4</f>
        <v>0.567426855718599</v>
      </c>
      <c r="H20" s="0" t="n">
        <f aca="false">1/(1+$B$27/100)^H4</f>
        <v>0.506631121177321</v>
      </c>
      <c r="I20" s="0" t="n">
        <f aca="false">1/(1+$B$27/100)^I4</f>
        <v>0.452349215336893</v>
      </c>
      <c r="J20" s="0" t="n">
        <f aca="false">1/(1+$B$27/100)^J4</f>
        <v>0.403883227979369</v>
      </c>
      <c r="K20" s="0" t="n">
        <f aca="false">1/(1+$B$27/100)^K4</f>
        <v>0.360610024981579</v>
      </c>
      <c r="L20" s="0" t="n">
        <f aca="false">1/(1+$B$27/100)^L4</f>
        <v>0.321973236590696</v>
      </c>
    </row>
    <row r="21" customFormat="false" ht="15" hidden="false" customHeight="false" outlineLevel="0" collapsed="false">
      <c r="A21" s="0" t="s">
        <v>121</v>
      </c>
      <c r="C21" s="0" t="n">
        <f aca="false">C19*C20</f>
        <v>5.27027078571429</v>
      </c>
      <c r="D21" s="0" t="n">
        <f aca="false">D19*D20</f>
        <v>-2.09640890364796</v>
      </c>
      <c r="E21" s="0" t="n">
        <f aca="false">E19*E20</f>
        <v>0.653386578981637</v>
      </c>
      <c r="F21" s="0" t="n">
        <f aca="false">F19*F20</f>
        <v>1.21602534609409</v>
      </c>
      <c r="G21" s="0" t="n">
        <f aca="false">G19*G20</f>
        <v>2.36032625348459</v>
      </c>
      <c r="H21" s="0" t="n">
        <f aca="false">H19*H20</f>
        <v>2.27183399465811</v>
      </c>
      <c r="I21" s="0" t="n">
        <f aca="false">I19*I20</f>
        <v>2.18032754852478</v>
      </c>
      <c r="J21" s="0" t="n">
        <f aca="false">J19*J20</f>
        <v>2.07860102004498</v>
      </c>
      <c r="K21" s="0" t="n">
        <f aca="false">K19*K20</f>
        <v>1.98535367463355</v>
      </c>
      <c r="L21" s="0" t="n">
        <f aca="false">L19*L20</f>
        <v>1.88517906023655</v>
      </c>
    </row>
    <row r="23" customFormat="false" ht="15" hidden="false" customHeight="false" outlineLevel="0" collapsed="false">
      <c r="A23" s="0" t="s">
        <v>97</v>
      </c>
      <c r="C23" s="4" t="n">
        <f aca="false">Assumptions!C16</f>
        <v>3.11</v>
      </c>
      <c r="D23" s="4" t="n">
        <f aca="false">Assumptions!D16</f>
        <v>3.92</v>
      </c>
      <c r="E23" s="4" t="n">
        <f aca="false">Assumptions!E16</f>
        <v>5.23</v>
      </c>
      <c r="F23" s="4" t="n">
        <f aca="false">Assumptions!F16</f>
        <v>6.21</v>
      </c>
      <c r="G23" s="4" t="n">
        <f aca="false">Assumptions!G16</f>
        <v>6.09</v>
      </c>
      <c r="H23" s="4" t="n">
        <f aca="false">Assumptions!H16</f>
        <v>5.97</v>
      </c>
      <c r="I23" s="4" t="n">
        <f aca="false">Assumptions!I16</f>
        <v>5.85</v>
      </c>
      <c r="J23" s="4" t="n">
        <f aca="false">Assumptions!J16</f>
        <v>5.74</v>
      </c>
      <c r="K23" s="4" t="n">
        <f aca="false">Assumptions!K16</f>
        <v>5.62</v>
      </c>
      <c r="L23" s="4" t="n">
        <f aca="false">Assumptions!L16</f>
        <v>5.51</v>
      </c>
    </row>
    <row r="24" customFormat="false" ht="15" hidden="false" customHeight="false" outlineLevel="0" collapsed="false">
      <c r="A24" s="0" t="s">
        <v>122</v>
      </c>
      <c r="C24" s="0" t="n">
        <f aca="false">-C6*C23/100</f>
        <v>-11.99830536</v>
      </c>
      <c r="D24" s="0" t="n">
        <f aca="false">-D6*D23/100</f>
        <v>-11.986700568192</v>
      </c>
      <c r="E24" s="0" t="n">
        <f aca="false">-E6*E23/100</f>
        <v>-12.0023413777344</v>
      </c>
      <c r="F24" s="0" t="n">
        <f aca="false">-F6*F23/100</f>
        <v>-12.0024836617049</v>
      </c>
      <c r="G24" s="0" t="n">
        <f aca="false">-G6*G23/100</f>
        <v>-12.0059626424764</v>
      </c>
      <c r="H24" s="0" t="n">
        <f aca="false">-H6*H23/100</f>
        <v>-12.0047797890141</v>
      </c>
      <c r="I24" s="0" t="n">
        <f aca="false">-I6*I23/100</f>
        <v>-11.9987472363563</v>
      </c>
      <c r="J24" s="0" t="n">
        <f aca="false">-J6*J23/100</f>
        <v>-12.0085923622938</v>
      </c>
      <c r="K24" s="0" t="n">
        <f aca="false">-K6*K23/100</f>
        <v>-11.9926924839047</v>
      </c>
      <c r="L24" s="0" t="n">
        <f aca="false">-L6*L23/100</f>
        <v>-11.9931192701141</v>
      </c>
    </row>
    <row r="26" customFormat="false" ht="15" hidden="false" customHeight="false" outlineLevel="0" collapsed="false">
      <c r="A26" s="2" t="s">
        <v>123</v>
      </c>
    </row>
    <row r="27" customFormat="false" ht="15" hidden="false" customHeight="false" outlineLevel="0" collapsed="false">
      <c r="A27" s="0" t="s">
        <v>101</v>
      </c>
      <c r="B27" s="4" t="n">
        <f aca="false">Assumptions!$B$20</f>
        <v>12</v>
      </c>
    </row>
    <row r="28" customFormat="false" ht="15" hidden="false" customHeight="false" outlineLevel="0" collapsed="false">
      <c r="A28" s="0" t="s">
        <v>102</v>
      </c>
      <c r="B28" s="4" t="n">
        <f aca="false">Assumptions!$B$21</f>
        <v>2</v>
      </c>
    </row>
    <row r="29" customFormat="false" ht="15" hidden="false" customHeight="false" outlineLevel="0" collapsed="false">
      <c r="A29" s="0" t="s">
        <v>103</v>
      </c>
      <c r="B29" s="4" t="n">
        <f aca="false">Assumptions!$B$22</f>
        <v>8</v>
      </c>
    </row>
    <row r="30" customFormat="false" ht="15" hidden="false" customHeight="false" outlineLevel="0" collapsed="false">
      <c r="A30" s="0" t="s">
        <v>124</v>
      </c>
      <c r="B30" s="0" t="n">
        <f aca="false">SUM(C21:L21)</f>
        <v>17.8048953587246</v>
      </c>
    </row>
    <row r="31" customFormat="false" ht="15" hidden="false" customHeight="false" outlineLevel="0" collapsed="false">
      <c r="A31" s="0" t="s">
        <v>125</v>
      </c>
      <c r="B31" s="0" t="n">
        <f aca="false">L19</f>
        <v>5.85508000664372</v>
      </c>
    </row>
    <row r="32" customFormat="false" ht="15" hidden="false" customHeight="false" outlineLevel="0" collapsed="false">
      <c r="A32" s="0" t="s">
        <v>126</v>
      </c>
      <c r="B32" s="0" t="n">
        <f aca="false">IF(B27&gt;B28,B31*(1+B28/100)/((B27-B28)/100),B31*B29)</f>
        <v>59.7218160677659</v>
      </c>
    </row>
    <row r="33" customFormat="false" ht="15" hidden="false" customHeight="false" outlineLevel="0" collapsed="false">
      <c r="A33" s="0" t="s">
        <v>127</v>
      </c>
      <c r="B33" s="0" t="n">
        <f aca="false">B31*B29</f>
        <v>46.8406400531497</v>
      </c>
    </row>
    <row r="34" customFormat="false" ht="15" hidden="false" customHeight="false" outlineLevel="0" collapsed="false">
      <c r="A34" s="0" t="s">
        <v>128</v>
      </c>
      <c r="B34" s="0" t="n">
        <f aca="false">MAX(0,MIN(B32,B33))</f>
        <v>46.8406400531497</v>
      </c>
    </row>
    <row r="35" customFormat="false" ht="15" hidden="false" customHeight="false" outlineLevel="0" collapsed="false">
      <c r="A35" s="0" t="s">
        <v>129</v>
      </c>
      <c r="B35" s="0" t="n">
        <f aca="false">B34/(1+B27/100)^L4</f>
        <v>15.0814324818924</v>
      </c>
    </row>
    <row r="36" customFormat="false" ht="15" hidden="false" customHeight="false" outlineLevel="0" collapsed="false">
      <c r="A36" s="0" t="s">
        <v>130</v>
      </c>
      <c r="B36" s="0" t="n">
        <f aca="false">B30+B35</f>
        <v>32.886327840617</v>
      </c>
    </row>
    <row r="37" customFormat="false" ht="15" hidden="false" customHeight="false" outlineLevel="0" collapsed="false">
      <c r="A37" s="0" t="s">
        <v>131</v>
      </c>
      <c r="B37" s="0" t="n">
        <f aca="false">B36+Assumptions!$B$5-Assumptions!$B$4</f>
        <v>1105.98632784062</v>
      </c>
    </row>
    <row r="38" customFormat="false" ht="15" hidden="false" customHeight="false" outlineLevel="0" collapsed="false">
      <c r="A38" s="0" t="s">
        <v>132</v>
      </c>
      <c r="B38" s="0" t="n">
        <f aca="false">B37/Assumptions!$B$3*Assumptions!$B$10</f>
        <v>0.541778352033221</v>
      </c>
    </row>
    <row r="39" customFormat="false" ht="15" hidden="false" customHeight="false" outlineLevel="0" collapsed="false">
      <c r="A39" s="0" t="s">
        <v>133</v>
      </c>
      <c r="B39" s="4" t="n">
        <f aca="false">B38/Assumptions!$B$2-1</f>
        <v>-0.347254997550336</v>
      </c>
    </row>
    <row r="41" customFormat="false" ht="15" hidden="false" customHeight="false" outlineLevel="0" collapsed="false">
      <c r="A41" s="0" t="s">
        <v>134</v>
      </c>
      <c r="B41" s="0" t="n">
        <f aca="false">SUMPRODUCT(-C10:L10/(1+$B$27/100)^C4:L4)</f>
        <v>4.23736933817378</v>
      </c>
    </row>
    <row r="42" customFormat="false" ht="15" hidden="false" customHeight="false" outlineLevel="0" collapsed="false">
      <c r="A42" s="0" t="s">
        <v>135</v>
      </c>
      <c r="B42" s="0" t="n">
        <f aca="false">IF(B27&gt;B28,-L10*(1+B28/100)/((B27-B28)/100),-L10*20)/(1+B27/100)^L4</f>
        <v>2.14447878227652</v>
      </c>
    </row>
    <row r="43" customFormat="false" ht="15" hidden="false" customHeight="false" outlineLevel="0" collapsed="false">
      <c r="A43" s="0" t="s">
        <v>136</v>
      </c>
      <c r="B43" s="0" t="n">
        <f aca="false">(B37+B41+B42)/Assumptions!$B$3*Assumptions!$B$10</f>
        <v>0.544904563515758</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45.9398585136661</v>
      </c>
    </row>
    <row r="47" customFormat="false" ht="15" hidden="false" customHeight="false" outlineLevel="0" collapsed="false">
      <c r="A47" s="0" t="s">
        <v>138</v>
      </c>
      <c r="B47" s="0" t="n">
        <f aca="false">(SUMPRODUCT(C19:L19/(1+B45/100)^C4:L4)+B46/(1+B45/100)^L4+Assumptions!$B$5-Assumptions!$B$4)/Assumptions!$B$3*Assumptions!$B$10</f>
        <v>0.538753323553618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Assumptions!C27</f>
        <v>70.44</v>
      </c>
      <c r="D5" s="4" t="n">
        <f aca="false">Assumptions!D27</f>
        <v>-7.39</v>
      </c>
      <c r="E5" s="4" t="n">
        <f aca="false">Assumptions!E27</f>
        <v>-7.83</v>
      </c>
      <c r="F5" s="4" t="n">
        <f aca="false">Assumptions!F27</f>
        <v>-8.32</v>
      </c>
      <c r="G5" s="4" t="n">
        <f aca="false">Assumptions!G27</f>
        <v>-8.88</v>
      </c>
      <c r="H5" s="4" t="n">
        <f aca="false">Assumptions!H27</f>
        <v>-7.48</v>
      </c>
      <c r="I5" s="4" t="n">
        <f aca="false">Assumptions!I27</f>
        <v>-4.97</v>
      </c>
      <c r="J5" s="4" t="n">
        <f aca="false">Assumptions!J27</f>
        <v>-2.79</v>
      </c>
      <c r="K5" s="4" t="n">
        <f aca="false">Assumptions!K27</f>
        <v>-2.05</v>
      </c>
      <c r="L5" s="4" t="n">
        <f aca="false">Assumptions!L27</f>
        <v>-2.01</v>
      </c>
    </row>
    <row r="6" customFormat="false" ht="15" hidden="false" customHeight="false" outlineLevel="0" collapsed="false">
      <c r="A6" s="0" t="s">
        <v>37</v>
      </c>
      <c r="B6" s="3" t="n">
        <v>303.3</v>
      </c>
      <c r="C6" s="0" t="n">
        <f aca="false">B6*(1+C5/100)</f>
        <v>516.94452</v>
      </c>
      <c r="D6" s="0" t="n">
        <f aca="false">C6*(1+D5/100)</f>
        <v>478.742319972</v>
      </c>
      <c r="E6" s="0" t="n">
        <f aca="false">D6*(1+E5/100)</f>
        <v>441.256796318192</v>
      </c>
      <c r="F6" s="0" t="n">
        <f aca="false">E6*(1+F5/100)</f>
        <v>404.544230864519</v>
      </c>
      <c r="G6" s="0" t="n">
        <f aca="false">F6*(1+G5/100)</f>
        <v>368.62070316375</v>
      </c>
      <c r="H6" s="0" t="n">
        <f aca="false">G6*(1+H5/100)</f>
        <v>341.047874567101</v>
      </c>
      <c r="I6" s="0" t="n">
        <f aca="false">H6*(1+I5/100)</f>
        <v>324.097795201116</v>
      </c>
      <c r="J6" s="0" t="n">
        <f aca="false">I6*(1+J5/100)</f>
        <v>315.055466715005</v>
      </c>
      <c r="K6" s="0" t="n">
        <f aca="false">J6*(1+K5/100)</f>
        <v>308.596829647348</v>
      </c>
      <c r="L6" s="0" t="n">
        <f aca="false">K6*(1+L5/100)</f>
        <v>302.394033371436</v>
      </c>
    </row>
    <row r="7" customFormat="false" ht="15" hidden="false" customHeight="false" outlineLevel="0" collapsed="false">
      <c r="A7" s="0" t="s">
        <v>95</v>
      </c>
      <c r="C7" s="4" t="n">
        <f aca="false">Assumptions!C28</f>
        <v>20.43</v>
      </c>
      <c r="D7" s="4" t="n">
        <f aca="false">Assumptions!D28</f>
        <v>18.51</v>
      </c>
      <c r="E7" s="4" t="n">
        <f aca="false">Assumptions!E28</f>
        <v>16.5</v>
      </c>
      <c r="F7" s="4" t="n">
        <f aca="false">Assumptions!F28</f>
        <v>14.32</v>
      </c>
      <c r="G7" s="4" t="n">
        <f aca="false">Assumptions!G28</f>
        <v>14.07</v>
      </c>
      <c r="H7" s="4" t="n">
        <f aca="false">Assumptions!H28</f>
        <v>14.33</v>
      </c>
      <c r="I7" s="4" t="n">
        <f aca="false">Assumptions!I28</f>
        <v>14.8</v>
      </c>
      <c r="J7" s="4" t="n">
        <f aca="false">Assumptions!J28</f>
        <v>16.29</v>
      </c>
      <c r="K7" s="4" t="n">
        <f aca="false">Assumptions!K28</f>
        <v>17.13</v>
      </c>
      <c r="L7" s="4" t="n">
        <f aca="false">Assumptions!L28</f>
        <v>18</v>
      </c>
    </row>
    <row r="8" customFormat="false" ht="15" hidden="false" customHeight="false" outlineLevel="0" collapsed="false">
      <c r="A8" s="0" t="s">
        <v>43</v>
      </c>
      <c r="C8" s="0" t="n">
        <f aca="false">C6*C7/100</f>
        <v>105.611765436</v>
      </c>
      <c r="D8" s="0" t="n">
        <f aca="false">D6*D7/100</f>
        <v>88.6152034268172</v>
      </c>
      <c r="E8" s="0" t="n">
        <f aca="false">E6*E7/100</f>
        <v>72.8073713925018</v>
      </c>
      <c r="F8" s="0" t="n">
        <f aca="false">F6*F7/100</f>
        <v>57.9307338597991</v>
      </c>
      <c r="G8" s="0" t="n">
        <f aca="false">G6*G7/100</f>
        <v>51.8649329351396</v>
      </c>
      <c r="H8" s="0" t="n">
        <f aca="false">H6*H7/100</f>
        <v>48.8721604254656</v>
      </c>
      <c r="I8" s="0" t="n">
        <f aca="false">I6*I7/100</f>
        <v>47.9664736897652</v>
      </c>
      <c r="J8" s="0" t="n">
        <f aca="false">J6*J7/100</f>
        <v>51.3225355278743</v>
      </c>
      <c r="K8" s="0" t="n">
        <f aca="false">K6*K7/100</f>
        <v>52.8626369185906</v>
      </c>
      <c r="L8" s="0" t="n">
        <f aca="false">L6*L7/100</f>
        <v>54.4309260068584</v>
      </c>
    </row>
    <row r="9" customFormat="false" ht="15" hidden="false" customHeight="false" outlineLevel="0" collapsed="false">
      <c r="A9" s="0" t="s">
        <v>96</v>
      </c>
      <c r="C9" s="4" t="n">
        <f aca="false">Assumptions!C29</f>
        <v>0.3</v>
      </c>
      <c r="D9" s="4" t="n">
        <f aca="false">Assumptions!D29</f>
        <v>0.3</v>
      </c>
      <c r="E9" s="4" t="n">
        <f aca="false">Assumptions!E29</f>
        <v>0.3</v>
      </c>
      <c r="F9" s="4" t="n">
        <f aca="false">Assumptions!F29</f>
        <v>0.3</v>
      </c>
      <c r="G9" s="4" t="n">
        <f aca="false">Assumptions!G29</f>
        <v>0.3</v>
      </c>
      <c r="H9" s="4" t="n">
        <f aca="false">Assumptions!H29</f>
        <v>0.3</v>
      </c>
      <c r="I9" s="4" t="n">
        <f aca="false">Assumptions!I29</f>
        <v>0.3</v>
      </c>
      <c r="J9" s="4" t="n">
        <f aca="false">Assumptions!J29</f>
        <v>0.3</v>
      </c>
      <c r="K9" s="4" t="n">
        <f aca="false">Assumptions!K29</f>
        <v>0.3</v>
      </c>
      <c r="L9" s="4" t="n">
        <f aca="false">Assumptions!L29</f>
        <v>0.3</v>
      </c>
    </row>
    <row r="10" customFormat="false" ht="15" hidden="false" customHeight="false" outlineLevel="0" collapsed="false">
      <c r="A10" s="0" t="s">
        <v>111</v>
      </c>
      <c r="C10" s="0" t="n">
        <f aca="false">-C6*C9/100</f>
        <v>-1.55083356</v>
      </c>
      <c r="D10" s="0" t="n">
        <f aca="false">-D6*D9/100</f>
        <v>-1.436226959916</v>
      </c>
      <c r="E10" s="0" t="n">
        <f aca="false">-E6*E9/100</f>
        <v>-1.32377038895458</v>
      </c>
      <c r="F10" s="0" t="n">
        <f aca="false">-F6*F9/100</f>
        <v>-1.21363269259356</v>
      </c>
      <c r="G10" s="0" t="n">
        <f aca="false">-G6*G9/100</f>
        <v>-1.10586210949125</v>
      </c>
      <c r="H10" s="0" t="n">
        <f aca="false">-H6*H9/100</f>
        <v>-1.0231436237013</v>
      </c>
      <c r="I10" s="0" t="n">
        <f aca="false">-I6*I9/100</f>
        <v>-0.972293385603349</v>
      </c>
      <c r="J10" s="0" t="n">
        <f aca="false">-J6*J9/100</f>
        <v>-0.945166400145015</v>
      </c>
      <c r="K10" s="0" t="n">
        <f aca="false">-K6*K9/100</f>
        <v>-0.925790488942042</v>
      </c>
      <c r="L10" s="0" t="n">
        <f aca="false">-L6*L9/100</f>
        <v>-0.907182100114307</v>
      </c>
    </row>
    <row r="11" customFormat="false" ht="15" hidden="false" customHeight="false" outlineLevel="0" collapsed="false">
      <c r="A11" s="0" t="s">
        <v>112</v>
      </c>
      <c r="C11" s="0" t="n">
        <f aca="false">C8+C10+C24</f>
        <v>92.067819012</v>
      </c>
      <c r="D11" s="0" t="n">
        <f aca="false">D8+D10+D24</f>
        <v>75.162544235604</v>
      </c>
      <c r="E11" s="0" t="n">
        <f aca="false">E8+E10+E24</f>
        <v>59.4814161436923</v>
      </c>
      <c r="F11" s="0" t="n">
        <f aca="false">F8+F10+F24</f>
        <v>44.7021375105293</v>
      </c>
      <c r="G11" s="0" t="n">
        <f aca="false">G8+G10+G24</f>
        <v>38.7420359025101</v>
      </c>
      <c r="H11" s="0" t="n">
        <f aca="false">H8+H10+H24</f>
        <v>35.8441316170023</v>
      </c>
      <c r="I11" s="0" t="n">
        <f aca="false">I8+I10+I24</f>
        <v>35.0025618817206</v>
      </c>
      <c r="J11" s="0" t="n">
        <f aca="false">J8+J10+J24</f>
        <v>38.3737558458876</v>
      </c>
      <c r="K11" s="0" t="n">
        <f aca="false">K8+K10+K24</f>
        <v>39.9324297563668</v>
      </c>
      <c r="L11" s="0" t="n">
        <f aca="false">L8+L10+L24</f>
        <v>41.5187007818981</v>
      </c>
    </row>
    <row r="12" customFormat="false" ht="15" hidden="false" customHeight="false" outlineLevel="0" collapsed="false">
      <c r="A12" s="0" t="s">
        <v>113</v>
      </c>
      <c r="C12" s="4" t="n">
        <f aca="false">-C6*Assumptions!C31/100</f>
        <v>-177.001803648</v>
      </c>
      <c r="D12" s="4" t="n">
        <f aca="false">-D6*Assumptions!D31/100</f>
        <v>-176.991035693648</v>
      </c>
      <c r="E12" s="4" t="n">
        <f aca="false">-E6*Assumptions!E31/100</f>
        <v>-176.988101003227</v>
      </c>
      <c r="F12" s="4" t="n">
        <f aca="false">-F6*Assumptions!F31/100</f>
        <v>-133.985049262329</v>
      </c>
      <c r="G12" s="4" t="n">
        <f aca="false">-G6*Assumptions!G31/100</f>
        <v>-12.0170349231382</v>
      </c>
      <c r="H12" s="4" t="n">
        <f aca="false">-H6*Assumptions!H31/100</f>
        <v>-12.004885184762</v>
      </c>
      <c r="I12" s="4" t="n">
        <f aca="false">-I6*Assumptions!I31/100</f>
        <v>-11.9916184224413</v>
      </c>
      <c r="J12" s="4" t="n">
        <f aca="false">-J6*Assumptions!J31/100</f>
        <v>-12.0036132818417</v>
      </c>
      <c r="K12" s="4" t="n">
        <f aca="false">-K6*Assumptions!K31/100</f>
        <v>-12.0044166732818</v>
      </c>
      <c r="L12" s="4" t="n">
        <f aca="false">-L6*Assumptions!L31/100</f>
        <v>-12.005043124846</v>
      </c>
    </row>
    <row r="13" customFormat="false" ht="15" hidden="false" customHeight="false" outlineLevel="0" collapsed="false">
      <c r="A13" s="0" t="s">
        <v>114</v>
      </c>
      <c r="C13" s="0" t="n">
        <f aca="false">C11+C12</f>
        <v>-84.933984636</v>
      </c>
      <c r="D13" s="0" t="n">
        <f aca="false">D11+D12</f>
        <v>-101.828491458044</v>
      </c>
      <c r="E13" s="0" t="n">
        <f aca="false">E11+E12</f>
        <v>-117.506684859535</v>
      </c>
      <c r="F13" s="0" t="n">
        <f aca="false">F11+F12</f>
        <v>-89.2829117517993</v>
      </c>
      <c r="G13" s="0" t="n">
        <f aca="false">G11+G12</f>
        <v>26.7250009793719</v>
      </c>
      <c r="H13" s="0" t="n">
        <f aca="false">H11+H12</f>
        <v>23.8392464322404</v>
      </c>
      <c r="I13" s="0" t="n">
        <f aca="false">I11+I12</f>
        <v>23.0109434592793</v>
      </c>
      <c r="J13" s="0" t="n">
        <f aca="false">J11+J12</f>
        <v>26.3701425640459</v>
      </c>
      <c r="K13" s="0" t="n">
        <f aca="false">K11+K12</f>
        <v>27.928013083085</v>
      </c>
      <c r="L13" s="0" t="n">
        <f aca="false">L11+L12</f>
        <v>29.5136576570521</v>
      </c>
    </row>
    <row r="14" customFormat="false" ht="15" hidden="false" customHeight="false" outlineLevel="0" collapsed="false">
      <c r="A14" s="0" t="s">
        <v>100</v>
      </c>
      <c r="C14" s="4" t="n">
        <f aca="false">Assumptions!C33</f>
        <v>16.5</v>
      </c>
      <c r="D14" s="4" t="n">
        <f aca="false">Assumptions!D33</f>
        <v>16.5</v>
      </c>
      <c r="E14" s="4" t="n">
        <f aca="false">Assumptions!E33</f>
        <v>16.5</v>
      </c>
      <c r="F14" s="4" t="n">
        <f aca="false">Assumptions!F33</f>
        <v>16.5</v>
      </c>
      <c r="G14" s="4" t="n">
        <f aca="false">Assumptions!G33</f>
        <v>16.5</v>
      </c>
      <c r="H14" s="4" t="n">
        <f aca="false">Assumptions!H33</f>
        <v>16.5</v>
      </c>
      <c r="I14" s="4" t="n">
        <f aca="false">Assumptions!I33</f>
        <v>16.5</v>
      </c>
      <c r="J14" s="4" t="n">
        <f aca="false">Assumptions!J33</f>
        <v>16.5</v>
      </c>
      <c r="K14" s="4" t="n">
        <f aca="false">Assumptions!K33</f>
        <v>16.5</v>
      </c>
      <c r="L14" s="4" t="n">
        <f aca="false">Assumptions!L33</f>
        <v>16.5</v>
      </c>
    </row>
    <row r="15" customFormat="false" ht="15" hidden="false" customHeight="false" outlineLevel="0" collapsed="false">
      <c r="A15" s="0" t="s">
        <v>115</v>
      </c>
      <c r="C15" s="0" t="n">
        <f aca="false">C13-MAX(0,C13)*C14/100</f>
        <v>-84.933984636</v>
      </c>
      <c r="D15" s="0" t="n">
        <f aca="false">D13-MAX(0,D13)*D14/100</f>
        <v>-101.828491458044</v>
      </c>
      <c r="E15" s="0" t="n">
        <f aca="false">E13-MAX(0,E13)*E14/100</f>
        <v>-117.506684859535</v>
      </c>
      <c r="F15" s="0" t="n">
        <f aca="false">F13-MAX(0,F13)*F14/100</f>
        <v>-89.2829117517993</v>
      </c>
      <c r="G15" s="0" t="n">
        <f aca="false">G13-MAX(0,G13)*G14/100</f>
        <v>22.3153758177755</v>
      </c>
      <c r="H15" s="0" t="n">
        <f aca="false">H13-MAX(0,H13)*H14/100</f>
        <v>19.9057707709207</v>
      </c>
      <c r="I15" s="0" t="n">
        <f aca="false">I13-MAX(0,I13)*I14/100</f>
        <v>19.2141377884982</v>
      </c>
      <c r="J15" s="0" t="n">
        <f aca="false">J13-MAX(0,J13)*J14/100</f>
        <v>22.0190690409783</v>
      </c>
      <c r="K15" s="0" t="n">
        <f aca="false">K13-MAX(0,K13)*K14/100</f>
        <v>23.3198909243759</v>
      </c>
      <c r="L15" s="0" t="n">
        <f aca="false">L13-MAX(0,L13)*L14/100</f>
        <v>24.6439041436385</v>
      </c>
    </row>
    <row r="16" customFormat="false" ht="15" hidden="false" customHeight="false" outlineLevel="0" collapsed="false">
      <c r="A16" s="0" t="s">
        <v>116</v>
      </c>
      <c r="C16" s="0" t="n">
        <f aca="false">-C12</f>
        <v>177.001803648</v>
      </c>
      <c r="D16" s="0" t="n">
        <f aca="false">-D12</f>
        <v>176.991035693648</v>
      </c>
      <c r="E16" s="0" t="n">
        <f aca="false">-E12</f>
        <v>176.988101003227</v>
      </c>
      <c r="F16" s="0" t="n">
        <f aca="false">-F12</f>
        <v>133.985049262329</v>
      </c>
      <c r="G16" s="0" t="n">
        <f aca="false">-G12</f>
        <v>12.0170349231382</v>
      </c>
      <c r="H16" s="0" t="n">
        <f aca="false">-H12</f>
        <v>12.004885184762</v>
      </c>
      <c r="I16" s="0" t="n">
        <f aca="false">-I12</f>
        <v>11.9916184224413</v>
      </c>
      <c r="J16" s="0" t="n">
        <f aca="false">-J12</f>
        <v>12.0036132818417</v>
      </c>
      <c r="K16" s="0" t="n">
        <f aca="false">-K12</f>
        <v>12.0044166732818</v>
      </c>
      <c r="L16" s="0" t="n">
        <f aca="false">-L12</f>
        <v>12.005043124846</v>
      </c>
    </row>
    <row r="17" customFormat="false" ht="15" hidden="false" customHeight="false" outlineLevel="0" collapsed="false">
      <c r="A17" s="0" t="s">
        <v>117</v>
      </c>
      <c r="C17" s="4" t="n">
        <f aca="false">-C6*Assumptions!C32/100</f>
        <v>-7.7541678</v>
      </c>
      <c r="D17" s="4" t="n">
        <f aca="false">-D6*Assumptions!D32/100</f>
        <v>-7.18113479958</v>
      </c>
      <c r="E17" s="4" t="n">
        <f aca="false">-E6*Assumptions!E32/100</f>
        <v>-6.61885194477289</v>
      </c>
      <c r="F17" s="4" t="n">
        <f aca="false">-F6*Assumptions!F32/100</f>
        <v>-6.06816346296778</v>
      </c>
      <c r="G17" s="4" t="n">
        <f aca="false">-G6*Assumptions!G32/100</f>
        <v>-5.52931054745624</v>
      </c>
      <c r="H17" s="4" t="n">
        <f aca="false">-H6*Assumptions!H32/100</f>
        <v>-5.11571811850652</v>
      </c>
      <c r="I17" s="4" t="n">
        <f aca="false">-I6*Assumptions!I32/100</f>
        <v>-4.86146692801674</v>
      </c>
      <c r="J17" s="4" t="n">
        <f aca="false">-J6*Assumptions!J32/100</f>
        <v>-4.72583200072508</v>
      </c>
      <c r="K17" s="4" t="n">
        <f aca="false">-K6*Assumptions!K32/100</f>
        <v>-4.62895244471021</v>
      </c>
      <c r="L17" s="4" t="n">
        <f aca="false">-L6*Assumptions!L32/100</f>
        <v>-4.53591050057154</v>
      </c>
    </row>
    <row r="18" customFormat="false" ht="15" hidden="false" customHeight="false" outlineLevel="0" collapsed="false">
      <c r="A18" s="0" t="s">
        <v>118</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119</v>
      </c>
      <c r="C19" s="0" t="n">
        <f aca="false">C15+C16+C17+C18</f>
        <v>84.313651212</v>
      </c>
      <c r="D19" s="0" t="n">
        <f aca="false">D15+D16+D17+D18</f>
        <v>67.981409436024</v>
      </c>
      <c r="E19" s="0" t="n">
        <f aca="false">E15+E16+E17+E18</f>
        <v>52.8625641989195</v>
      </c>
      <c r="F19" s="0" t="n">
        <f aca="false">F15+F16+F17+F18</f>
        <v>38.6339740475616</v>
      </c>
      <c r="G19" s="0" t="n">
        <f aca="false">G15+G16+G17+G18</f>
        <v>28.8031001934575</v>
      </c>
      <c r="H19" s="0" t="n">
        <f aca="false">H15+H16+H17+H18</f>
        <v>26.7949378371761</v>
      </c>
      <c r="I19" s="0" t="n">
        <f aca="false">I15+I16+I17+I18</f>
        <v>26.3442892829227</v>
      </c>
      <c r="J19" s="0" t="n">
        <f aca="false">J15+J16+J17+J18</f>
        <v>29.296850322095</v>
      </c>
      <c r="K19" s="0" t="n">
        <f aca="false">K15+K16+K17+K18</f>
        <v>30.6953551529475</v>
      </c>
      <c r="L19" s="0" t="n">
        <f aca="false">L15+L16+L17+L18</f>
        <v>32.113036767913</v>
      </c>
    </row>
    <row r="20" customFormat="false" ht="15" hidden="false" customHeight="false" outlineLevel="0" collapsed="false">
      <c r="A20" s="0" t="s">
        <v>120</v>
      </c>
      <c r="C20" s="0" t="n">
        <f aca="false">1/(1+$B$27/100)^C4</f>
        <v>0.892857142857143</v>
      </c>
      <c r="D20" s="0" t="n">
        <f aca="false">1/(1+$B$27/100)^D4</f>
        <v>0.79719387755102</v>
      </c>
      <c r="E20" s="0" t="n">
        <f aca="false">1/(1+$B$27/100)^E4</f>
        <v>0.711780247813411</v>
      </c>
      <c r="F20" s="0" t="n">
        <f aca="false">1/(1+$B$27/100)^F4</f>
        <v>0.635518078404831</v>
      </c>
      <c r="G20" s="0" t="n">
        <f aca="false">1/(1+$B$27/100)^G4</f>
        <v>0.567426855718599</v>
      </c>
      <c r="H20" s="0" t="n">
        <f aca="false">1/(1+$B$27/100)^H4</f>
        <v>0.506631121177321</v>
      </c>
      <c r="I20" s="0" t="n">
        <f aca="false">1/(1+$B$27/100)^I4</f>
        <v>0.452349215336893</v>
      </c>
      <c r="J20" s="0" t="n">
        <f aca="false">1/(1+$B$27/100)^J4</f>
        <v>0.403883227979369</v>
      </c>
      <c r="K20" s="0" t="n">
        <f aca="false">1/(1+$B$27/100)^K4</f>
        <v>0.360610024981579</v>
      </c>
      <c r="L20" s="0" t="n">
        <f aca="false">1/(1+$B$27/100)^L4</f>
        <v>0.321973236590696</v>
      </c>
    </row>
    <row r="21" customFormat="false" ht="15" hidden="false" customHeight="false" outlineLevel="0" collapsed="false">
      <c r="A21" s="0" t="s">
        <v>121</v>
      </c>
      <c r="C21" s="0" t="n">
        <f aca="false">C19*C20</f>
        <v>75.280045725</v>
      </c>
      <c r="D21" s="0" t="n">
        <f aca="false">D19*D20</f>
        <v>54.1943633896875</v>
      </c>
      <c r="E21" s="0" t="n">
        <f aca="false">E19*E20</f>
        <v>37.6265290455592</v>
      </c>
      <c r="F21" s="0" t="n">
        <f aca="false">F19*F20</f>
        <v>24.5525889478484</v>
      </c>
      <c r="G21" s="0" t="n">
        <f aca="false">G19*G20</f>
        <v>16.3436525777214</v>
      </c>
      <c r="H21" s="0" t="n">
        <f aca="false">H19*H20</f>
        <v>13.5751493983252</v>
      </c>
      <c r="I21" s="0" t="n">
        <f aca="false">I19*I20</f>
        <v>11.9168185857382</v>
      </c>
      <c r="J21" s="0" t="n">
        <f aca="false">J19*J20</f>
        <v>11.8325064777161</v>
      </c>
      <c r="K21" s="0" t="n">
        <f aca="false">K19*K20</f>
        <v>11.0690527885229</v>
      </c>
      <c r="L21" s="0" t="n">
        <f aca="false">L19*L20</f>
        <v>10.339538384921</v>
      </c>
    </row>
    <row r="23" customFormat="false" ht="15" hidden="false" customHeight="false" outlineLevel="0" collapsed="false">
      <c r="A23" s="0" t="s">
        <v>97</v>
      </c>
      <c r="C23" s="4" t="n">
        <f aca="false">Assumptions!C30</f>
        <v>2.32</v>
      </c>
      <c r="D23" s="4" t="n">
        <f aca="false">Assumptions!D30</f>
        <v>2.51</v>
      </c>
      <c r="E23" s="4" t="n">
        <f aca="false">Assumptions!E30</f>
        <v>2.72</v>
      </c>
      <c r="F23" s="4" t="n">
        <f aca="false">Assumptions!F30</f>
        <v>2.97</v>
      </c>
      <c r="G23" s="4" t="n">
        <f aca="false">Assumptions!G30</f>
        <v>3.26</v>
      </c>
      <c r="H23" s="4" t="n">
        <f aca="false">Assumptions!H30</f>
        <v>3.52</v>
      </c>
      <c r="I23" s="4" t="n">
        <f aca="false">Assumptions!I30</f>
        <v>3.7</v>
      </c>
      <c r="J23" s="4" t="n">
        <f aca="false">Assumptions!J30</f>
        <v>3.81</v>
      </c>
      <c r="K23" s="4" t="n">
        <f aca="false">Assumptions!K30</f>
        <v>3.89</v>
      </c>
      <c r="L23" s="4" t="n">
        <f aca="false">Assumptions!L30</f>
        <v>3.97</v>
      </c>
    </row>
    <row r="24" customFormat="false" ht="15" hidden="false" customHeight="false" outlineLevel="0" collapsed="false">
      <c r="A24" s="0" t="s">
        <v>122</v>
      </c>
      <c r="C24" s="0" t="n">
        <f aca="false">-C6*C23/100</f>
        <v>-11.993112864</v>
      </c>
      <c r="D24" s="0" t="n">
        <f aca="false">-D6*D23/100</f>
        <v>-12.0164322312972</v>
      </c>
      <c r="E24" s="0" t="n">
        <f aca="false">-E6*E23/100</f>
        <v>-12.0021848598548</v>
      </c>
      <c r="F24" s="0" t="n">
        <f aca="false">-F6*F23/100</f>
        <v>-12.0149636566762</v>
      </c>
      <c r="G24" s="0" t="n">
        <f aca="false">-G6*G23/100</f>
        <v>-12.0170349231382</v>
      </c>
      <c r="H24" s="0" t="n">
        <f aca="false">-H6*H23/100</f>
        <v>-12.004885184762</v>
      </c>
      <c r="I24" s="0" t="n">
        <f aca="false">-I6*I23/100</f>
        <v>-11.9916184224413</v>
      </c>
      <c r="J24" s="0" t="n">
        <f aca="false">-J6*J23/100</f>
        <v>-12.0036132818417</v>
      </c>
      <c r="K24" s="0" t="n">
        <f aca="false">-K6*K23/100</f>
        <v>-12.0044166732818</v>
      </c>
      <c r="L24" s="0" t="n">
        <f aca="false">-L6*L23/100</f>
        <v>-12.005043124846</v>
      </c>
    </row>
    <row r="26" customFormat="false" ht="15" hidden="false" customHeight="false" outlineLevel="0" collapsed="false">
      <c r="A26" s="2" t="s">
        <v>123</v>
      </c>
    </row>
    <row r="27" customFormat="false" ht="15" hidden="false" customHeight="false" outlineLevel="0" collapsed="false">
      <c r="A27" s="0" t="s">
        <v>101</v>
      </c>
      <c r="B27" s="4" t="n">
        <f aca="false">Assumptions!$B$34</f>
        <v>12</v>
      </c>
    </row>
    <row r="28" customFormat="false" ht="15" hidden="false" customHeight="false" outlineLevel="0" collapsed="false">
      <c r="A28" s="0" t="s">
        <v>102</v>
      </c>
      <c r="B28" s="4" t="n">
        <f aca="false">Assumptions!$B$35</f>
        <v>2.5</v>
      </c>
    </row>
    <row r="29" customFormat="false" ht="15" hidden="false" customHeight="false" outlineLevel="0" collapsed="false">
      <c r="A29" s="0" t="s">
        <v>103</v>
      </c>
      <c r="B29" s="4" t="n">
        <f aca="false">Assumptions!$B$36</f>
        <v>10</v>
      </c>
    </row>
    <row r="30" customFormat="false" ht="15" hidden="false" customHeight="false" outlineLevel="0" collapsed="false">
      <c r="A30" s="0" t="s">
        <v>124</v>
      </c>
      <c r="B30" s="0" t="n">
        <f aca="false">SUM(C21:L21)</f>
        <v>266.73024532104</v>
      </c>
    </row>
    <row r="31" customFormat="false" ht="15" hidden="false" customHeight="false" outlineLevel="0" collapsed="false">
      <c r="A31" s="0" t="s">
        <v>125</v>
      </c>
      <c r="B31" s="0" t="n">
        <f aca="false">L19</f>
        <v>32.113036767913</v>
      </c>
    </row>
    <row r="32" customFormat="false" ht="15" hidden="false" customHeight="false" outlineLevel="0" collapsed="false">
      <c r="A32" s="0" t="s">
        <v>126</v>
      </c>
      <c r="B32" s="0" t="n">
        <f aca="false">IF(B27&gt;B28,B31*(1+B28/100)/((B27-B28)/100),B31*B29)</f>
        <v>346.482765127482</v>
      </c>
    </row>
    <row r="33" customFormat="false" ht="15" hidden="false" customHeight="false" outlineLevel="0" collapsed="false">
      <c r="A33" s="0" t="s">
        <v>127</v>
      </c>
      <c r="B33" s="0" t="n">
        <f aca="false">B31*B29</f>
        <v>321.13036767913</v>
      </c>
    </row>
    <row r="34" customFormat="false" ht="15" hidden="false" customHeight="false" outlineLevel="0" collapsed="false">
      <c r="A34" s="0" t="s">
        <v>128</v>
      </c>
      <c r="B34" s="0" t="n">
        <f aca="false">MAX(0,MIN(B32,B33))</f>
        <v>321.13036767913</v>
      </c>
    </row>
    <row r="35" customFormat="false" ht="15" hidden="false" customHeight="false" outlineLevel="0" collapsed="false">
      <c r="A35" s="0" t="s">
        <v>129</v>
      </c>
      <c r="B35" s="0" t="n">
        <f aca="false">B34/(1+B27/100)^L4</f>
        <v>103.39538384921</v>
      </c>
    </row>
    <row r="36" customFormat="false" ht="15" hidden="false" customHeight="false" outlineLevel="0" collapsed="false">
      <c r="A36" s="0" t="s">
        <v>130</v>
      </c>
      <c r="B36" s="0" t="n">
        <f aca="false">B30+B35</f>
        <v>370.12562917025</v>
      </c>
    </row>
    <row r="37" customFormat="false" ht="15" hidden="false" customHeight="false" outlineLevel="0" collapsed="false">
      <c r="A37" s="0" t="s">
        <v>131</v>
      </c>
      <c r="B37" s="0" t="n">
        <f aca="false">B36+Assumptions!$B$5-Assumptions!$B$4</f>
        <v>1443.22562917025</v>
      </c>
    </row>
    <row r="38" customFormat="false" ht="15" hidden="false" customHeight="false" outlineLevel="0" collapsed="false">
      <c r="A38" s="0" t="s">
        <v>132</v>
      </c>
      <c r="B38" s="0" t="n">
        <f aca="false">B37/Assumptions!$B$3*Assumptions!$B$10</f>
        <v>0.706978362481753</v>
      </c>
    </row>
    <row r="39" customFormat="false" ht="15" hidden="false" customHeight="false" outlineLevel="0" collapsed="false">
      <c r="A39" s="0" t="s">
        <v>133</v>
      </c>
      <c r="B39" s="4" t="n">
        <f aca="false">B38/Assumptions!$B$2-1</f>
        <v>-0.148218840383431</v>
      </c>
    </row>
    <row r="41" customFormat="false" ht="15" hidden="false" customHeight="false" outlineLevel="0" collapsed="false">
      <c r="A41" s="0" t="s">
        <v>134</v>
      </c>
      <c r="B41" s="0" t="n">
        <f aca="false">SUMPRODUCT(-C10:L10/(1+$B$27/100)^C4:L4)</f>
        <v>6.83648624869916</v>
      </c>
    </row>
    <row r="42" customFormat="false" ht="15" hidden="false" customHeight="false" outlineLevel="0" collapsed="false">
      <c r="A42" s="0" t="s">
        <v>135</v>
      </c>
      <c r="B42" s="0" t="n">
        <f aca="false">IF(B27&gt;B28,-L10*(1+B28/100)/((B27-B28)/100),-L10*20)/(1+B27/100)^L4</f>
        <v>3.15147964078655</v>
      </c>
    </row>
    <row r="43" customFormat="false" ht="15" hidden="false" customHeight="false" outlineLevel="0" collapsed="false">
      <c r="A43" s="0" t="s">
        <v>136</v>
      </c>
      <c r="B43" s="0" t="n">
        <f aca="false">(B37+B41+B42)/Assumptions!$B$3*Assumptions!$B$10</f>
        <v>0.711871066454265</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263.326901496887</v>
      </c>
    </row>
    <row r="47" customFormat="false" ht="15" hidden="false" customHeight="false" outlineLevel="0" collapsed="false">
      <c r="A47" s="0" t="s">
        <v>138</v>
      </c>
      <c r="B47" s="0" t="n">
        <f aca="false">(SUMPRODUCT(C19:L19/(1+B45/100)^C4:L4)+B46/(1+B45/100)^L4+Assumptions!$B$5-Assumptions!$B$4)/Assumptions!$B$3*Assumptions!$B$10</f>
        <v>0.676891448831363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Assumptions!C41</f>
        <v>115.75</v>
      </c>
      <c r="D5" s="4" t="n">
        <f aca="false">Assumptions!D41</f>
        <v>-1.46</v>
      </c>
      <c r="E5" s="4" t="n">
        <f aca="false">Assumptions!E41</f>
        <v>-3.07</v>
      </c>
      <c r="F5" s="4" t="n">
        <f aca="false">Assumptions!F41</f>
        <v>-4.86</v>
      </c>
      <c r="G5" s="4" t="n">
        <f aca="false">Assumptions!G41</f>
        <v>-5.29</v>
      </c>
      <c r="H5" s="4" t="n">
        <f aca="false">Assumptions!H41</f>
        <v>-7.64</v>
      </c>
      <c r="I5" s="4" t="n">
        <f aca="false">Assumptions!I41</f>
        <v>-8.65</v>
      </c>
      <c r="J5" s="4" t="n">
        <f aca="false">Assumptions!J41</f>
        <v>-9.97</v>
      </c>
      <c r="K5" s="4" t="n">
        <f aca="false">Assumptions!K41</f>
        <v>-9.39</v>
      </c>
      <c r="L5" s="4" t="n">
        <f aca="false">Assumptions!L41</f>
        <v>-10.29</v>
      </c>
    </row>
    <row r="6" customFormat="false" ht="15" hidden="false" customHeight="false" outlineLevel="0" collapsed="false">
      <c r="A6" s="0" t="s">
        <v>37</v>
      </c>
      <c r="B6" s="3" t="n">
        <v>303.3</v>
      </c>
      <c r="C6" s="0" t="n">
        <f aca="false">B6*(1+C5/100)</f>
        <v>654.36975</v>
      </c>
      <c r="D6" s="0" t="n">
        <f aca="false">C6*(1+D5/100)</f>
        <v>644.81595165</v>
      </c>
      <c r="E6" s="0" t="n">
        <f aca="false">D6*(1+E5/100)</f>
        <v>625.020101934345</v>
      </c>
      <c r="F6" s="0" t="n">
        <f aca="false">E6*(1+F5/100)</f>
        <v>594.644124980336</v>
      </c>
      <c r="G6" s="0" t="n">
        <f aca="false">F6*(1+G5/100)</f>
        <v>563.187450768876</v>
      </c>
      <c r="H6" s="0" t="n">
        <f aca="false">G6*(1+H5/100)</f>
        <v>520.159929530134</v>
      </c>
      <c r="I6" s="0" t="n">
        <f aca="false">H6*(1+I5/100)</f>
        <v>475.166095625777</v>
      </c>
      <c r="J6" s="0" t="n">
        <f aca="false">I6*(1+J5/100)</f>
        <v>427.792035891887</v>
      </c>
      <c r="K6" s="0" t="n">
        <f aca="false">J6*(1+K5/100)</f>
        <v>387.622363721639</v>
      </c>
      <c r="L6" s="0" t="n">
        <f aca="false">K6*(1+L5/100)</f>
        <v>347.736022494683</v>
      </c>
    </row>
    <row r="7" customFormat="false" ht="15" hidden="false" customHeight="false" outlineLevel="0" collapsed="false">
      <c r="A7" s="0" t="s">
        <v>95</v>
      </c>
      <c r="C7" s="4" t="n">
        <f aca="false">Assumptions!C42</f>
        <v>32.19</v>
      </c>
      <c r="D7" s="4" t="n">
        <f aca="false">Assumptions!D42</f>
        <v>30.33</v>
      </c>
      <c r="E7" s="4" t="n">
        <f aca="false">Assumptions!E42</f>
        <v>27.94</v>
      </c>
      <c r="F7" s="4" t="n">
        <f aca="false">Assumptions!F42</f>
        <v>24.66</v>
      </c>
      <c r="G7" s="4" t="n">
        <f aca="false">Assumptions!G42</f>
        <v>21.98</v>
      </c>
      <c r="H7" s="4" t="n">
        <f aca="false">Assumptions!H42</f>
        <v>20</v>
      </c>
      <c r="I7" s="4" t="n">
        <f aca="false">Assumptions!I42</f>
        <v>18.98</v>
      </c>
      <c r="J7" s="4" t="n">
        <f aca="false">Assumptions!J42</f>
        <v>19.19</v>
      </c>
      <c r="K7" s="4" t="n">
        <f aca="false">Assumptions!K42</f>
        <v>19.81</v>
      </c>
      <c r="L7" s="4" t="n">
        <f aca="false">Assumptions!L42</f>
        <v>22</v>
      </c>
    </row>
    <row r="8" customFormat="false" ht="15" hidden="false" customHeight="false" outlineLevel="0" collapsed="false">
      <c r="A8" s="0" t="s">
        <v>43</v>
      </c>
      <c r="C8" s="0" t="n">
        <f aca="false">C6*C7/100</f>
        <v>210.641622525</v>
      </c>
      <c r="D8" s="0" t="n">
        <f aca="false">D6*D7/100</f>
        <v>195.572678135445</v>
      </c>
      <c r="E8" s="0" t="n">
        <f aca="false">E6*E7/100</f>
        <v>174.630616480456</v>
      </c>
      <c r="F8" s="0" t="n">
        <f aca="false">F6*F7/100</f>
        <v>146.639241220151</v>
      </c>
      <c r="G8" s="0" t="n">
        <f aca="false">G6*G7/100</f>
        <v>123.788601678999</v>
      </c>
      <c r="H8" s="0" t="n">
        <f aca="false">H6*H7/100</f>
        <v>104.031985906027</v>
      </c>
      <c r="I8" s="0" t="n">
        <f aca="false">I6*I7/100</f>
        <v>90.1865249497726</v>
      </c>
      <c r="J8" s="0" t="n">
        <f aca="false">J6*J7/100</f>
        <v>82.0932916876532</v>
      </c>
      <c r="K8" s="0" t="n">
        <f aca="false">K6*K7/100</f>
        <v>76.7879902532567</v>
      </c>
      <c r="L8" s="0" t="n">
        <f aca="false">L6*L7/100</f>
        <v>76.5019249488302</v>
      </c>
    </row>
    <row r="9" customFormat="false" ht="15" hidden="false" customHeight="false" outlineLevel="0" collapsed="false">
      <c r="A9" s="0" t="s">
        <v>96</v>
      </c>
      <c r="C9" s="4" t="n">
        <f aca="false">Assumptions!C43</f>
        <v>0.3</v>
      </c>
      <c r="D9" s="4" t="n">
        <f aca="false">Assumptions!D43</f>
        <v>0.3</v>
      </c>
      <c r="E9" s="4" t="n">
        <f aca="false">Assumptions!E43</f>
        <v>0.3</v>
      </c>
      <c r="F9" s="4" t="n">
        <f aca="false">Assumptions!F43</f>
        <v>0.3</v>
      </c>
      <c r="G9" s="4" t="n">
        <f aca="false">Assumptions!G43</f>
        <v>0.3</v>
      </c>
      <c r="H9" s="4" t="n">
        <f aca="false">Assumptions!H43</f>
        <v>0.3</v>
      </c>
      <c r="I9" s="4" t="n">
        <f aca="false">Assumptions!I43</f>
        <v>0.3</v>
      </c>
      <c r="J9" s="4" t="n">
        <f aca="false">Assumptions!J43</f>
        <v>0.3</v>
      </c>
      <c r="K9" s="4" t="n">
        <f aca="false">Assumptions!K43</f>
        <v>0.3</v>
      </c>
      <c r="L9" s="4" t="n">
        <f aca="false">Assumptions!L43</f>
        <v>0.3</v>
      </c>
    </row>
    <row r="10" customFormat="false" ht="15" hidden="false" customHeight="false" outlineLevel="0" collapsed="false">
      <c r="A10" s="0" t="s">
        <v>111</v>
      </c>
      <c r="C10" s="0" t="n">
        <f aca="false">-C6*C9/100</f>
        <v>-1.96310925</v>
      </c>
      <c r="D10" s="0" t="n">
        <f aca="false">-D6*D9/100</f>
        <v>-1.93444785495</v>
      </c>
      <c r="E10" s="0" t="n">
        <f aca="false">-E6*E9/100</f>
        <v>-1.87506030580304</v>
      </c>
      <c r="F10" s="0" t="n">
        <f aca="false">-F6*F9/100</f>
        <v>-1.78393237494101</v>
      </c>
      <c r="G10" s="0" t="n">
        <f aca="false">-G6*G9/100</f>
        <v>-1.68956235230663</v>
      </c>
      <c r="H10" s="0" t="n">
        <f aca="false">-H6*H9/100</f>
        <v>-1.5604797885904</v>
      </c>
      <c r="I10" s="0" t="n">
        <f aca="false">-I6*I9/100</f>
        <v>-1.42549828687733</v>
      </c>
      <c r="J10" s="0" t="n">
        <f aca="false">-J6*J9/100</f>
        <v>-1.28337610767566</v>
      </c>
      <c r="K10" s="0" t="n">
        <f aca="false">-K6*K9/100</f>
        <v>-1.16286709116492</v>
      </c>
      <c r="L10" s="0" t="n">
        <f aca="false">-L6*L9/100</f>
        <v>-1.04320806748405</v>
      </c>
    </row>
    <row r="11" customFormat="false" ht="15" hidden="false" customHeight="false" outlineLevel="0" collapsed="false">
      <c r="A11" s="0" t="s">
        <v>112</v>
      </c>
      <c r="C11" s="0" t="n">
        <f aca="false">C8+C10+C24</f>
        <v>196.70354685</v>
      </c>
      <c r="D11" s="0" t="n">
        <f aca="false">D8+D10+D24</f>
        <v>181.644653579805</v>
      </c>
      <c r="E11" s="0" t="n">
        <f aca="false">E8+E10+E24</f>
        <v>160.755170217514</v>
      </c>
      <c r="F11" s="0" t="n">
        <f aca="false">F8+F10+F24</f>
        <v>132.843497520607</v>
      </c>
      <c r="G11" s="0" t="n">
        <f aca="false">G8+G10+G24</f>
        <v>110.103146625315</v>
      </c>
      <c r="H11" s="0" t="n">
        <f aca="false">H8+H10+H24</f>
        <v>90.4558117452903</v>
      </c>
      <c r="I11" s="0" t="n">
        <f aca="false">I8+I10+I24</f>
        <v>76.7393244435631</v>
      </c>
      <c r="J11" s="0" t="n">
        <f aca="false">J8+J10+J24</f>
        <v>68.7889593714155</v>
      </c>
      <c r="K11" s="0" t="n">
        <f aca="false">K8+K10+K24</f>
        <v>63.608829886721</v>
      </c>
      <c r="L11" s="0" t="n">
        <f aca="false">L8+L10+L24</f>
        <v>63.4618241052796</v>
      </c>
    </row>
    <row r="12" customFormat="false" ht="15" hidden="false" customHeight="false" outlineLevel="0" collapsed="false">
      <c r="A12" s="0" t="s">
        <v>113</v>
      </c>
      <c r="C12" s="4" t="n">
        <f aca="false">-C6*Assumptions!C45/100</f>
        <v>-177.007017375</v>
      </c>
      <c r="D12" s="4" t="n">
        <f aca="false">-D6*Assumptions!D45/100</f>
        <v>-177.001978727925</v>
      </c>
      <c r="E12" s="4" t="n">
        <f aca="false">-E6*Assumptions!E45/100</f>
        <v>-177.005692867807</v>
      </c>
      <c r="F12" s="4" t="n">
        <f aca="false">-F6*Assumptions!F45/100</f>
        <v>-133.97332135807</v>
      </c>
      <c r="G12" s="4" t="n">
        <f aca="false">-G6*Assumptions!G45/100</f>
        <v>-11.9958927013771</v>
      </c>
      <c r="H12" s="4" t="n">
        <f aca="false">-H6*Assumptions!H45/100</f>
        <v>-12.0156943721461</v>
      </c>
      <c r="I12" s="4" t="n">
        <f aca="false">-I6*Assumptions!I45/100</f>
        <v>-12.0217022193322</v>
      </c>
      <c r="J12" s="4" t="n">
        <f aca="false">-J6*Assumptions!J45/100</f>
        <v>-12.020956208562</v>
      </c>
      <c r="K12" s="4" t="n">
        <f aca="false">-K6*Assumptions!K45/100</f>
        <v>-12.0162932753708</v>
      </c>
      <c r="L12" s="4" t="n">
        <f aca="false">-L6*Assumptions!L45/100</f>
        <v>-11.9968927760665</v>
      </c>
    </row>
    <row r="13" customFormat="false" ht="15" hidden="false" customHeight="false" outlineLevel="0" collapsed="false">
      <c r="A13" s="0" t="s">
        <v>114</v>
      </c>
      <c r="C13" s="0" t="n">
        <f aca="false">C11+C12</f>
        <v>19.696529475</v>
      </c>
      <c r="D13" s="0" t="n">
        <f aca="false">D11+D12</f>
        <v>4.64267485188</v>
      </c>
      <c r="E13" s="0" t="n">
        <f aca="false">E11+E12</f>
        <v>-16.2505226502929</v>
      </c>
      <c r="F13" s="0" t="n">
        <f aca="false">F11+F12</f>
        <v>-1.12982383746265</v>
      </c>
      <c r="G13" s="0" t="n">
        <f aca="false">G11+G12</f>
        <v>98.1072539239383</v>
      </c>
      <c r="H13" s="0" t="n">
        <f aca="false">H11+H12</f>
        <v>78.4401173731442</v>
      </c>
      <c r="I13" s="0" t="n">
        <f aca="false">I11+I12</f>
        <v>64.7176222242309</v>
      </c>
      <c r="J13" s="0" t="n">
        <f aca="false">J11+J12</f>
        <v>56.7680031628535</v>
      </c>
      <c r="K13" s="0" t="n">
        <f aca="false">K11+K12</f>
        <v>51.5925366113502</v>
      </c>
      <c r="L13" s="0" t="n">
        <f aca="false">L11+L12</f>
        <v>51.464931329213</v>
      </c>
    </row>
    <row r="14" customFormat="false" ht="15" hidden="false" customHeight="false" outlineLevel="0" collapsed="false">
      <c r="A14" s="0" t="s">
        <v>100</v>
      </c>
      <c r="C14" s="4" t="n">
        <f aca="false">Assumptions!C47</f>
        <v>16.5</v>
      </c>
      <c r="D14" s="4" t="n">
        <f aca="false">Assumptions!D47</f>
        <v>16.5</v>
      </c>
      <c r="E14" s="4" t="n">
        <f aca="false">Assumptions!E47</f>
        <v>16.5</v>
      </c>
      <c r="F14" s="4" t="n">
        <f aca="false">Assumptions!F47</f>
        <v>16.5</v>
      </c>
      <c r="G14" s="4" t="n">
        <f aca="false">Assumptions!G47</f>
        <v>16.5</v>
      </c>
      <c r="H14" s="4" t="n">
        <f aca="false">Assumptions!H47</f>
        <v>16.5</v>
      </c>
      <c r="I14" s="4" t="n">
        <f aca="false">Assumptions!I47</f>
        <v>16.5</v>
      </c>
      <c r="J14" s="4" t="n">
        <f aca="false">Assumptions!J47</f>
        <v>16.5</v>
      </c>
      <c r="K14" s="4" t="n">
        <f aca="false">Assumptions!K47</f>
        <v>16.5</v>
      </c>
      <c r="L14" s="4" t="n">
        <f aca="false">Assumptions!L47</f>
        <v>16.5</v>
      </c>
    </row>
    <row r="15" customFormat="false" ht="15" hidden="false" customHeight="false" outlineLevel="0" collapsed="false">
      <c r="A15" s="0" t="s">
        <v>115</v>
      </c>
      <c r="C15" s="0" t="n">
        <f aca="false">C13-MAX(0,C13)*C14/100</f>
        <v>16.446602111625</v>
      </c>
      <c r="D15" s="0" t="n">
        <f aca="false">D13-MAX(0,D13)*D14/100</f>
        <v>3.8766335013198</v>
      </c>
      <c r="E15" s="0" t="n">
        <f aca="false">E13-MAX(0,E13)*E14/100</f>
        <v>-16.2505226502929</v>
      </c>
      <c r="F15" s="0" t="n">
        <f aca="false">F13-MAX(0,F13)*F14/100</f>
        <v>-1.12982383746265</v>
      </c>
      <c r="G15" s="0" t="n">
        <f aca="false">G13-MAX(0,G13)*G14/100</f>
        <v>81.9195570264884</v>
      </c>
      <c r="H15" s="0" t="n">
        <f aca="false">H13-MAX(0,H13)*H14/100</f>
        <v>65.4974980065754</v>
      </c>
      <c r="I15" s="0" t="n">
        <f aca="false">I13-MAX(0,I13)*I14/100</f>
        <v>54.0392145572328</v>
      </c>
      <c r="J15" s="0" t="n">
        <f aca="false">J13-MAX(0,J13)*J14/100</f>
        <v>47.4012826409826</v>
      </c>
      <c r="K15" s="0" t="n">
        <f aca="false">K13-MAX(0,K13)*K14/100</f>
        <v>43.0797680704774</v>
      </c>
      <c r="L15" s="0" t="n">
        <f aca="false">L13-MAX(0,L13)*L14/100</f>
        <v>42.9732176598929</v>
      </c>
    </row>
    <row r="16" customFormat="false" ht="15" hidden="false" customHeight="false" outlineLevel="0" collapsed="false">
      <c r="A16" s="0" t="s">
        <v>116</v>
      </c>
      <c r="C16" s="0" t="n">
        <f aca="false">-C12</f>
        <v>177.007017375</v>
      </c>
      <c r="D16" s="0" t="n">
        <f aca="false">-D12</f>
        <v>177.001978727925</v>
      </c>
      <c r="E16" s="0" t="n">
        <f aca="false">-E12</f>
        <v>177.005692867807</v>
      </c>
      <c r="F16" s="0" t="n">
        <f aca="false">-F12</f>
        <v>133.97332135807</v>
      </c>
      <c r="G16" s="0" t="n">
        <f aca="false">-G12</f>
        <v>11.9958927013771</v>
      </c>
      <c r="H16" s="0" t="n">
        <f aca="false">-H12</f>
        <v>12.0156943721461</v>
      </c>
      <c r="I16" s="0" t="n">
        <f aca="false">-I12</f>
        <v>12.0217022193322</v>
      </c>
      <c r="J16" s="0" t="n">
        <f aca="false">-J12</f>
        <v>12.020956208562</v>
      </c>
      <c r="K16" s="0" t="n">
        <f aca="false">-K12</f>
        <v>12.0162932753708</v>
      </c>
      <c r="L16" s="0" t="n">
        <f aca="false">-L12</f>
        <v>11.9968927760665</v>
      </c>
    </row>
    <row r="17" customFormat="false" ht="15" hidden="false" customHeight="false" outlineLevel="0" collapsed="false">
      <c r="A17" s="0" t="s">
        <v>117</v>
      </c>
      <c r="C17" s="4" t="n">
        <f aca="false">-C6*Assumptions!C46/100</f>
        <v>-39.262185</v>
      </c>
      <c r="D17" s="4" t="n">
        <f aca="false">-D6*Assumptions!D46/100</f>
        <v>-38.688957099</v>
      </c>
      <c r="E17" s="4" t="n">
        <f aca="false">-E6*Assumptions!E46/100</f>
        <v>-37.5012061160607</v>
      </c>
      <c r="F17" s="4" t="n">
        <f aca="false">-F6*Assumptions!F46/100</f>
        <v>-35.6786474988202</v>
      </c>
      <c r="G17" s="4" t="n">
        <f aca="false">-G6*Assumptions!G46/100</f>
        <v>-33.7912470461326</v>
      </c>
      <c r="H17" s="4" t="n">
        <f aca="false">-H6*Assumptions!H46/100</f>
        <v>-10.4031985906027</v>
      </c>
      <c r="I17" s="4" t="n">
        <f aca="false">-I6*Assumptions!I46/100</f>
        <v>-7.12749143438666</v>
      </c>
      <c r="J17" s="4" t="n">
        <f aca="false">-J6*Assumptions!J46/100</f>
        <v>-6.41688053837831</v>
      </c>
      <c r="K17" s="4" t="n">
        <f aca="false">-K6*Assumptions!K46/100</f>
        <v>-5.81433545582459</v>
      </c>
      <c r="L17" s="4" t="n">
        <f aca="false">-L6*Assumptions!L46/100</f>
        <v>-5.21604033742024</v>
      </c>
    </row>
    <row r="18" customFormat="false" ht="15" hidden="false" customHeight="false" outlineLevel="0" collapsed="false">
      <c r="A18" s="0" t="s">
        <v>118</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119</v>
      </c>
      <c r="C19" s="0" t="n">
        <f aca="false">C15+C16+C17+C18</f>
        <v>154.191434486625</v>
      </c>
      <c r="D19" s="0" t="n">
        <f aca="false">D15+D16+D17+D18</f>
        <v>142.189655130245</v>
      </c>
      <c r="E19" s="0" t="n">
        <f aca="false">E15+E16+E17+E18</f>
        <v>123.253964101453</v>
      </c>
      <c r="F19" s="0" t="n">
        <f aca="false">F15+F16+F17+F18</f>
        <v>97.1648500217869</v>
      </c>
      <c r="G19" s="0" t="n">
        <f aca="false">G15+G16+G17+G18</f>
        <v>60.1242026817329</v>
      </c>
      <c r="H19" s="0" t="n">
        <f aca="false">H15+H16+H17+H18</f>
        <v>67.1099937881188</v>
      </c>
      <c r="I19" s="0" t="n">
        <f aca="false">I15+I16+I17+I18</f>
        <v>58.9334253421783</v>
      </c>
      <c r="J19" s="0" t="n">
        <f aca="false">J15+J16+J17+J18</f>
        <v>53.0053583111664</v>
      </c>
      <c r="K19" s="0" t="n">
        <f aca="false">K15+K16+K17+K18</f>
        <v>49.2817258900236</v>
      </c>
      <c r="L19" s="0" t="n">
        <f aca="false">L15+L16+L17+L18</f>
        <v>49.7540700985392</v>
      </c>
    </row>
    <row r="20" customFormat="false" ht="15" hidden="false" customHeight="false" outlineLevel="0" collapsed="false">
      <c r="A20" s="0" t="s">
        <v>120</v>
      </c>
      <c r="C20" s="0" t="n">
        <f aca="false">1/(1+$B$27/100)^C4</f>
        <v>0.892857142857143</v>
      </c>
      <c r="D20" s="0" t="n">
        <f aca="false">1/(1+$B$27/100)^D4</f>
        <v>0.79719387755102</v>
      </c>
      <c r="E20" s="0" t="n">
        <f aca="false">1/(1+$B$27/100)^E4</f>
        <v>0.711780247813411</v>
      </c>
      <c r="F20" s="0" t="n">
        <f aca="false">1/(1+$B$27/100)^F4</f>
        <v>0.635518078404831</v>
      </c>
      <c r="G20" s="0" t="n">
        <f aca="false">1/(1+$B$27/100)^G4</f>
        <v>0.567426855718599</v>
      </c>
      <c r="H20" s="0" t="n">
        <f aca="false">1/(1+$B$27/100)^H4</f>
        <v>0.506631121177321</v>
      </c>
      <c r="I20" s="0" t="n">
        <f aca="false">1/(1+$B$27/100)^I4</f>
        <v>0.452349215336893</v>
      </c>
      <c r="J20" s="0" t="n">
        <f aca="false">1/(1+$B$27/100)^J4</f>
        <v>0.403883227979369</v>
      </c>
      <c r="K20" s="0" t="n">
        <f aca="false">1/(1+$B$27/100)^K4</f>
        <v>0.360610024981579</v>
      </c>
      <c r="L20" s="0" t="n">
        <f aca="false">1/(1+$B$27/100)^L4</f>
        <v>0.321973236590696</v>
      </c>
    </row>
    <row r="21" customFormat="false" ht="15" hidden="false" customHeight="false" outlineLevel="0" collapsed="false">
      <c r="A21" s="0" t="s">
        <v>121</v>
      </c>
      <c r="C21" s="0" t="n">
        <f aca="false">C19*C20</f>
        <v>137.670923648772</v>
      </c>
      <c r="D21" s="0" t="n">
        <f aca="false">D19*D20</f>
        <v>113.352722520922</v>
      </c>
      <c r="E21" s="0" t="n">
        <f aca="false">E19*E20</f>
        <v>87.7297371121174</v>
      </c>
      <c r="F21" s="0" t="n">
        <f aca="false">F19*F20</f>
        <v>61.7500187743396</v>
      </c>
      <c r="G21" s="0" t="n">
        <f aca="false">G19*G20</f>
        <v>34.1160872802835</v>
      </c>
      <c r="H21" s="0" t="n">
        <f aca="false">H19*H20</f>
        <v>34.0000113950777</v>
      </c>
      <c r="I21" s="0" t="n">
        <f aca="false">I19*I20</f>
        <v>26.6584887106497</v>
      </c>
      <c r="J21" s="0" t="n">
        <f aca="false">J19*J20</f>
        <v>21.407975214917</v>
      </c>
      <c r="K21" s="0" t="n">
        <f aca="false">K19*K20</f>
        <v>17.7714844043368</v>
      </c>
      <c r="L21" s="0" t="n">
        <f aca="false">L19*L20</f>
        <v>16.019478983187</v>
      </c>
    </row>
    <row r="23" customFormat="false" ht="15" hidden="false" customHeight="false" outlineLevel="0" collapsed="false">
      <c r="A23" s="0" t="s">
        <v>97</v>
      </c>
      <c r="C23" s="4" t="n">
        <f aca="false">Assumptions!C44</f>
        <v>1.83</v>
      </c>
      <c r="D23" s="4" t="n">
        <f aca="false">Assumptions!D44</f>
        <v>1.86</v>
      </c>
      <c r="E23" s="4" t="n">
        <f aca="false">Assumptions!E44</f>
        <v>1.92</v>
      </c>
      <c r="F23" s="4" t="n">
        <f aca="false">Assumptions!F44</f>
        <v>2.02</v>
      </c>
      <c r="G23" s="4" t="n">
        <f aca="false">Assumptions!G44</f>
        <v>2.13</v>
      </c>
      <c r="H23" s="4" t="n">
        <f aca="false">Assumptions!H44</f>
        <v>2.31</v>
      </c>
      <c r="I23" s="4" t="n">
        <f aca="false">Assumptions!I44</f>
        <v>2.53</v>
      </c>
      <c r="J23" s="4" t="n">
        <f aca="false">Assumptions!J44</f>
        <v>2.81</v>
      </c>
      <c r="K23" s="4" t="n">
        <f aca="false">Assumptions!K44</f>
        <v>3.1</v>
      </c>
      <c r="L23" s="4" t="n">
        <f aca="false">Assumptions!L44</f>
        <v>3.45</v>
      </c>
    </row>
    <row r="24" customFormat="false" ht="15" hidden="false" customHeight="false" outlineLevel="0" collapsed="false">
      <c r="A24" s="0" t="s">
        <v>122</v>
      </c>
      <c r="C24" s="0" t="n">
        <f aca="false">-C6*C23/100</f>
        <v>-11.974966425</v>
      </c>
      <c r="D24" s="0" t="n">
        <f aca="false">-D6*D23/100</f>
        <v>-11.99357670069</v>
      </c>
      <c r="E24" s="0" t="n">
        <f aca="false">-E6*E23/100</f>
        <v>-12.0003859571394</v>
      </c>
      <c r="F24" s="0" t="n">
        <f aca="false">-F6*F23/100</f>
        <v>-12.0118113246028</v>
      </c>
      <c r="G24" s="0" t="n">
        <f aca="false">-G6*G23/100</f>
        <v>-11.9958927013771</v>
      </c>
      <c r="H24" s="0" t="n">
        <f aca="false">-H6*H23/100</f>
        <v>-12.0156943721461</v>
      </c>
      <c r="I24" s="0" t="n">
        <f aca="false">-I6*I23/100</f>
        <v>-12.0217022193322</v>
      </c>
      <c r="J24" s="0" t="n">
        <f aca="false">-J6*J23/100</f>
        <v>-12.020956208562</v>
      </c>
      <c r="K24" s="0" t="n">
        <f aca="false">-K6*K23/100</f>
        <v>-12.0162932753708</v>
      </c>
      <c r="L24" s="0" t="n">
        <f aca="false">-L6*L23/100</f>
        <v>-11.9968927760665</v>
      </c>
    </row>
    <row r="26" customFormat="false" ht="15" hidden="false" customHeight="false" outlineLevel="0" collapsed="false">
      <c r="A26" s="2" t="s">
        <v>123</v>
      </c>
    </row>
    <row r="27" customFormat="false" ht="15" hidden="false" customHeight="false" outlineLevel="0" collapsed="false">
      <c r="A27" s="0" t="s">
        <v>101</v>
      </c>
      <c r="B27" s="4" t="n">
        <f aca="false">Assumptions!$B$48</f>
        <v>12</v>
      </c>
    </row>
    <row r="28" customFormat="false" ht="15" hidden="false" customHeight="false" outlineLevel="0" collapsed="false">
      <c r="A28" s="0" t="s">
        <v>102</v>
      </c>
      <c r="B28" s="4" t="n">
        <f aca="false">Assumptions!$B$49</f>
        <v>3</v>
      </c>
    </row>
    <row r="29" customFormat="false" ht="15" hidden="false" customHeight="false" outlineLevel="0" collapsed="false">
      <c r="A29" s="0" t="s">
        <v>103</v>
      </c>
      <c r="B29" s="4" t="n">
        <f aca="false">Assumptions!$B$50</f>
        <v>12</v>
      </c>
    </row>
    <row r="30" customFormat="false" ht="15" hidden="false" customHeight="false" outlineLevel="0" collapsed="false">
      <c r="A30" s="0" t="s">
        <v>124</v>
      </c>
      <c r="B30" s="0" t="n">
        <f aca="false">SUM(C21:L21)</f>
        <v>550.476928044603</v>
      </c>
    </row>
    <row r="31" customFormat="false" ht="15" hidden="false" customHeight="false" outlineLevel="0" collapsed="false">
      <c r="A31" s="0" t="s">
        <v>125</v>
      </c>
      <c r="B31" s="0" t="n">
        <f aca="false">L19</f>
        <v>49.7540700985392</v>
      </c>
    </row>
    <row r="32" customFormat="false" ht="15" hidden="false" customHeight="false" outlineLevel="0" collapsed="false">
      <c r="A32" s="0" t="s">
        <v>126</v>
      </c>
      <c r="B32" s="0" t="n">
        <f aca="false">IF(B27&gt;B28,B31*(1+B28/100)/((B27-B28)/100),B31*B29)</f>
        <v>569.407691127726</v>
      </c>
    </row>
    <row r="33" customFormat="false" ht="15" hidden="false" customHeight="false" outlineLevel="0" collapsed="false">
      <c r="A33" s="0" t="s">
        <v>127</v>
      </c>
      <c r="B33" s="0" t="n">
        <f aca="false">B31*B29</f>
        <v>597.04884118247</v>
      </c>
    </row>
    <row r="34" customFormat="false" ht="15" hidden="false" customHeight="false" outlineLevel="0" collapsed="false">
      <c r="A34" s="0" t="s">
        <v>128</v>
      </c>
      <c r="B34" s="0" t="n">
        <f aca="false">MAX(0,MIN(B32,B33))</f>
        <v>569.407691127726</v>
      </c>
    </row>
    <row r="35" customFormat="false" ht="15" hidden="false" customHeight="false" outlineLevel="0" collapsed="false">
      <c r="A35" s="0" t="s">
        <v>129</v>
      </c>
      <c r="B35" s="0" t="n">
        <f aca="false">B34/(1+B27/100)^L4</f>
        <v>183.334037252029</v>
      </c>
    </row>
    <row r="36" customFormat="false" ht="15" hidden="false" customHeight="false" outlineLevel="0" collapsed="false">
      <c r="A36" s="0" t="s">
        <v>130</v>
      </c>
      <c r="B36" s="0" t="n">
        <f aca="false">B30+B35</f>
        <v>733.810965296632</v>
      </c>
    </row>
    <row r="37" customFormat="false" ht="15" hidden="false" customHeight="false" outlineLevel="0" collapsed="false">
      <c r="A37" s="0" t="s">
        <v>131</v>
      </c>
      <c r="B37" s="0" t="n">
        <f aca="false">B36+Assumptions!$B$5-Assumptions!$B$4</f>
        <v>1806.91096529663</v>
      </c>
    </row>
    <row r="38" customFormat="false" ht="15" hidden="false" customHeight="false" outlineLevel="0" collapsed="false">
      <c r="A38" s="0" t="s">
        <v>132</v>
      </c>
      <c r="B38" s="0" t="n">
        <f aca="false">B37/Assumptions!$B$3*Assumptions!$B$10</f>
        <v>0.885133224893031</v>
      </c>
    </row>
    <row r="39" customFormat="false" ht="15" hidden="false" customHeight="false" outlineLevel="0" collapsed="false">
      <c r="A39" s="0" t="s">
        <v>133</v>
      </c>
      <c r="B39" s="4" t="n">
        <f aca="false">B38/Assumptions!$B$2-1</f>
        <v>0.0664255721602778</v>
      </c>
    </row>
    <row r="41" customFormat="false" ht="15" hidden="false" customHeight="false" outlineLevel="0" collapsed="false">
      <c r="A41" s="0" t="s">
        <v>134</v>
      </c>
      <c r="B41" s="0" t="n">
        <f aca="false">SUMPRODUCT(-C10:L10/(1+$B$27/100)^C4:L4)</f>
        <v>9.43093266984679</v>
      </c>
    </row>
    <row r="42" customFormat="false" ht="15" hidden="false" customHeight="false" outlineLevel="0" collapsed="false">
      <c r="A42" s="0" t="s">
        <v>135</v>
      </c>
      <c r="B42" s="0" t="n">
        <f aca="false">IF(B27&gt;B28,-L10*(1+B28/100)/((B27-B28)/100),-L10*20)/(1+B27/100)^L4</f>
        <v>3.84401811403472</v>
      </c>
    </row>
    <row r="43" customFormat="false" ht="15" hidden="false" customHeight="false" outlineLevel="0" collapsed="false">
      <c r="A43" s="0" t="s">
        <v>136</v>
      </c>
      <c r="B43" s="0" t="n">
        <f aca="false">(B37+B41+B42)/Assumptions!$B$3*Assumptions!$B$10</f>
        <v>0.891636090957438</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427.055768345795</v>
      </c>
    </row>
    <row r="47" customFormat="false" ht="15" hidden="false" customHeight="false" outlineLevel="0" collapsed="false">
      <c r="A47" s="0" t="s">
        <v>138</v>
      </c>
      <c r="B47" s="0" t="n">
        <f aca="false">(SUMPRODUCT(C19:L19/(1+B45/100)^C4:L4)+B46/(1+B45/100)^L4+Assumptions!$B$5-Assumptions!$B$4)/Assumptions!$B$3*Assumptions!$B$10</f>
        <v>0.823723336077441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141</v>
      </c>
    </row>
    <row r="3" customFormat="false" ht="15" hidden="false" customHeight="false" outlineLevel="0" collapsed="false">
      <c r="A3" s="2" t="s">
        <v>142</v>
      </c>
      <c r="B3" s="2" t="s">
        <v>143</v>
      </c>
      <c r="C3" s="2" t="s">
        <v>133</v>
      </c>
      <c r="D3" s="2" t="s">
        <v>144</v>
      </c>
      <c r="E3" s="2" t="s">
        <v>136</v>
      </c>
      <c r="F3" s="2" t="s">
        <v>145</v>
      </c>
    </row>
    <row r="4" customFormat="false" ht="15" hidden="false" customHeight="false" outlineLevel="0" collapsed="false">
      <c r="A4" s="0" t="s">
        <v>146</v>
      </c>
      <c r="B4" s="4" t="n">
        <f aca="false">DCF_Bear!$B$38</f>
        <v>0.541778352033221</v>
      </c>
      <c r="C4" s="0" t="n">
        <f aca="false">B4/Assumptions!$B$2-1</f>
        <v>-0.347254997550336</v>
      </c>
      <c r="D4" s="4" t="n">
        <f aca="false">Assumptions!$B$24</f>
        <v>0.4</v>
      </c>
      <c r="E4" s="4" t="n">
        <f aca="false">DCF_Bear!$B$43</f>
        <v>0.544904563515758</v>
      </c>
      <c r="F4" s="4" t="n">
        <f aca="false">DCF_Bear!$B$47</f>
        <v>0.538753323553618</v>
      </c>
    </row>
    <row r="5" customFormat="false" ht="15" hidden="false" customHeight="false" outlineLevel="0" collapsed="false">
      <c r="A5" s="0" t="s">
        <v>147</v>
      </c>
      <c r="B5" s="4" t="n">
        <f aca="false">DCF_Base!$B$38</f>
        <v>0.706978362481753</v>
      </c>
      <c r="C5" s="0" t="n">
        <f aca="false">B5/Assumptions!$B$2-1</f>
        <v>-0.148218840383431</v>
      </c>
      <c r="D5" s="4" t="n">
        <f aca="false">Assumptions!$B$38</f>
        <v>0.45</v>
      </c>
      <c r="E5" s="4" t="n">
        <f aca="false">DCF_Base!$B$43</f>
        <v>0.711871066454265</v>
      </c>
      <c r="F5" s="4" t="n">
        <f aca="false">DCF_Base!$B$47</f>
        <v>0.676891448831363</v>
      </c>
    </row>
    <row r="6" customFormat="false" ht="15" hidden="false" customHeight="false" outlineLevel="0" collapsed="false">
      <c r="A6" s="0" t="s">
        <v>148</v>
      </c>
      <c r="B6" s="4" t="n">
        <f aca="false">DCF_Bull!$B$38</f>
        <v>0.885133224893031</v>
      </c>
      <c r="C6" s="0" t="n">
        <f aca="false">B6/Assumptions!$B$2-1</f>
        <v>0.0664255721602778</v>
      </c>
      <c r="D6" s="4" t="n">
        <f aca="false">Assumptions!$B$52</f>
        <v>0.15</v>
      </c>
      <c r="E6" s="4" t="n">
        <f aca="false">DCF_Bull!$B$43</f>
        <v>0.891636090957438</v>
      </c>
      <c r="F6" s="4" t="n">
        <f aca="false">DCF_Bull!$B$47</f>
        <v>0.823723336077441</v>
      </c>
    </row>
    <row r="8" customFormat="false" ht="15" hidden="false" customHeight="false" outlineLevel="0" collapsed="false">
      <c r="A8" s="0" t="s">
        <v>149</v>
      </c>
      <c r="B8" s="0" t="n">
        <f aca="false">SUMPRODUCT(B4:B6,D4:D6)</f>
        <v>0.667621587664032</v>
      </c>
    </row>
    <row r="9" customFormat="false" ht="15" hidden="false" customHeight="false" outlineLevel="0" collapsed="false">
      <c r="A9" s="0" t="s">
        <v>150</v>
      </c>
      <c r="B9" s="0" t="n">
        <f aca="false">SUMPRODUCT(E4:E6,D4:D6)</f>
        <v>0.672049218954338</v>
      </c>
    </row>
    <row r="10" customFormat="false" ht="15" hidden="false" customHeight="false" outlineLevel="0" collapsed="false">
      <c r="A10" s="0" t="s">
        <v>151</v>
      </c>
      <c r="B10" s="0" t="n">
        <f aca="false">1-Assumptions!$B$2/B8</f>
        <v>-0.243219235771151</v>
      </c>
    </row>
    <row r="11" customFormat="false" ht="15" hidden="false" customHeight="false" outlineLevel="0" collapsed="false">
      <c r="A11" s="0" t="s">
        <v>152</v>
      </c>
      <c r="B11" s="0" t="str">
        <f aca="false">IF(ABS(B9-B8)&gt;0.01*ABS(B8),(Assumptions!$B$2-B8)/(B9-B8)*100,"n/a")</f>
        <v>n/a</v>
      </c>
    </row>
    <row r="12" customFormat="false" ht="15" hidden="false" customHeight="false" outlineLevel="0" collapsed="false">
      <c r="A12" s="0" t="s">
        <v>153</v>
      </c>
      <c r="B12" s="0" t="n">
        <f aca="false">SUMPRODUCT(F4:F6,D4:D6)</f>
        <v>0.643660981807177</v>
      </c>
    </row>
    <row r="14" customFormat="false" ht="15" hidden="false" customHeight="false" outlineLevel="0" collapsed="false">
      <c r="A14" s="2" t="s">
        <v>154</v>
      </c>
      <c r="C14" s="0" t="s">
        <v>155</v>
      </c>
    </row>
    <row r="15" customFormat="false" ht="15" hidden="false" customHeight="false" outlineLevel="0" collapsed="false">
      <c r="A15" s="0" t="s">
        <v>156</v>
      </c>
      <c r="B15" s="0" t="n">
        <f aca="false">(SUMPRODUCT(DCF_Base!$C$19:$L$19/(1+$C$15/100)^DCF_Base!$C$4:$L$4)+MAX(0,MIN(IF($C$15&gt;DCF_Base!$B$28,DCF_Base!$L$19*(1+DCF_Base!$B$28/100)/(($C$15-DCF_Base!$B$28)/100),DCF_Base!$L$19*DCF_Base!$B$29),DCF_Base!$L$19*DCF_Base!$B$29))/(1+$C$15/100)^DCF_Base!$L$4+Assumptions!$B$5-Assumptions!$B$4)/Assumptions!$B$3*Assumptions!$B$10</f>
        <v>0.736268044487871</v>
      </c>
      <c r="C15" s="3" t="n">
        <v>9</v>
      </c>
    </row>
    <row r="16" customFormat="false" ht="15" hidden="false" customHeight="false" outlineLevel="0" collapsed="false">
      <c r="A16" s="0" t="s">
        <v>157</v>
      </c>
      <c r="B16" s="0" t="n">
        <f aca="false">(SUMPRODUCT(DCF_Base!$C$19:$L$19/(1+$C$16/100)^DCF_Base!$C$4:$L$4)+MAX(0,MIN(IF($C$16&gt;DCF_Base!$B$28,DCF_Base!$L$19*(1+DCF_Base!$B$28/100)/(($C$16-DCF_Base!$B$28)/100),DCF_Base!$L$19*DCF_Base!$B$29),DCF_Base!$L$19*DCF_Base!$B$29))/(1+$C$16/100)^DCF_Base!$L$4+Assumptions!$B$5-Assumptions!$B$4)/Assumptions!$B$3*Assumptions!$B$10</f>
        <v>0.725697876324008</v>
      </c>
      <c r="C16" s="3" t="n">
        <v>10</v>
      </c>
    </row>
    <row r="17" customFormat="false" ht="15" hidden="false" customHeight="false" outlineLevel="0" collapsed="false">
      <c r="A17" s="0" t="s">
        <v>158</v>
      </c>
      <c r="B17" s="0" t="n">
        <f aca="false">(SUMPRODUCT(DCF_Base!$C$19:$L$19/(1+$C$17/100)^DCF_Base!$C$4:$L$4)+MAX(0,MIN(IF($C$17&gt;DCF_Base!$B$28,DCF_Base!$L$19*(1+DCF_Base!$B$28/100)/(($C$17-DCF_Base!$B$28)/100),DCF_Base!$L$19*DCF_Base!$B$29),DCF_Base!$L$19*DCF_Base!$B$29))/(1+$C$17/100)^DCF_Base!$L$4+Assumptions!$B$5-Assumptions!$B$4)/Assumptions!$B$3*Assumptions!$B$10</f>
        <v>0.715960850935813</v>
      </c>
      <c r="C17" s="3" t="n">
        <v>11</v>
      </c>
    </row>
    <row r="18" customFormat="false" ht="15" hidden="false" customHeight="false" outlineLevel="0" collapsed="false">
      <c r="A18" s="0" t="s">
        <v>159</v>
      </c>
      <c r="B18" s="0" t="n">
        <f aca="false">(SUMPRODUCT(DCF_Base!$C$19:$L$19/(1+$C$18/100)^DCF_Base!$C$4:$L$4)+MAX(0,MIN(IF($C$18&gt;DCF_Base!$B$28,DCF_Base!$L$19*(1+DCF_Base!$B$28/100)/(($C$18-DCF_Base!$B$28)/100),DCF_Base!$L$19*DCF_Base!$B$29),DCF_Base!$L$19*DCF_Base!$B$29))/(1+$C$18/100)^DCF_Base!$L$4+Assumptions!$B$5-Assumptions!$B$4)/Assumptions!$B$3*Assumptions!$B$10</f>
        <v>0.706978362481753</v>
      </c>
      <c r="C18" s="3" t="n">
        <v>12</v>
      </c>
    </row>
    <row r="19" customFormat="false" ht="15" hidden="false" customHeight="false" outlineLevel="0" collapsed="false">
      <c r="A19" s="0" t="s">
        <v>160</v>
      </c>
      <c r="B19" s="0" t="n">
        <f aca="false">(SUMPRODUCT(DCF_Base!$C$19:$L$19/(1+$C$19/100)^DCF_Base!$C$4:$L$4)+MAX(0,MIN(IF($C$19&gt;DCF_Base!$B$28,DCF_Base!$L$19*(1+DCF_Base!$B$28/100)/(($C$19-DCF_Base!$B$28)/100),DCF_Base!$L$19*DCF_Base!$B$29),DCF_Base!$L$19*DCF_Base!$B$29))/(1+$C$19/100)^DCF_Base!$L$4+Assumptions!$B$5-Assumptions!$B$4)/Assumptions!$B$3*Assumptions!$B$10</f>
        <v>0.676891448831363</v>
      </c>
      <c r="C19" s="3" t="n">
        <v>15</v>
      </c>
    </row>
    <row r="21" customFormat="false" ht="15" hidden="false" customHeight="false" outlineLevel="0" collapsed="false">
      <c r="A21" s="2" t="s">
        <v>161</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10</v>
      </c>
      <c r="B23" s="0" t="n">
        <f aca="false">(SUMPRODUCT(DCF_Base!$C$19:$L$19/(1+$A$23/100)^DCF_Base!$C$4:$L$4)+MAX(0,MIN(IF($A$23&gt;$B$22,DCF_Base!$L$19*(1+$B$22/100)/(($A$23-$B$22)/100),DCF_Base!$L$19*DCF_Base!$B$29),DCF_Base!$L$19*DCF_Base!$B$29))/(1+$A$23/100)^DCF_Base!$L$4+Assumptions!$B$5-Assumptions!$B$4)/Assumptions!$B$3*Assumptions!$B$10</f>
        <v>0.725697876324008</v>
      </c>
      <c r="C23" s="0" t="n">
        <f aca="false">(SUMPRODUCT(DCF_Base!$C$19:$L$19/(1+$A$23/100)^DCF_Base!$C$4:$L$4)+MAX(0,MIN(IF($A$23&gt;$C$22,DCF_Base!$L$19*(1+$C$22/100)/(($A$23-$C$22)/100),DCF_Base!$L$19*DCF_Base!$B$29),DCF_Base!$L$19*DCF_Base!$B$29))/(1+$A$23/100)^DCF_Base!$L$4+Assumptions!$B$5-Assumptions!$B$4)/Assumptions!$B$3*Assumptions!$B$10</f>
        <v>0.725697876324008</v>
      </c>
      <c r="D23" s="0" t="n">
        <f aca="false">(SUMPRODUCT(DCF_Base!$C$19:$L$19/(1+$A$23/100)^DCF_Base!$C$4:$L$4)+MAX(0,MIN(IF($A$23&gt;$D$22,DCF_Base!$L$19*(1+$D$22/100)/(($A$23-$D$22)/100),DCF_Base!$L$19*DCF_Base!$B$29),DCF_Base!$L$19*DCF_Base!$B$29))/(1+$A$23/100)^DCF_Base!$L$4+Assumptions!$B$5-Assumptions!$B$4)/Assumptions!$B$3*Assumptions!$B$10</f>
        <v>0.725697876324008</v>
      </c>
      <c r="E23" s="0" t="n">
        <f aca="false">(SUMPRODUCT(DCF_Base!$C$19:$L$19/(1+$A$23/100)^DCF_Base!$C$4:$L$4)+MAX(0,MIN(IF($A$23&gt;$E$22,DCF_Base!$L$19*(1+$E$22/100)/(($A$23-$E$22)/100),DCF_Base!$L$19*DCF_Base!$B$29),DCF_Base!$L$19*DCF_Base!$B$29))/(1+$A$23/100)^DCF_Base!$L$4+Assumptions!$B$5-Assumptions!$B$4)/Assumptions!$B$3*Assumptions!$B$10</f>
        <v>0.725697876324008</v>
      </c>
      <c r="F23" s="0" t="n">
        <f aca="false">(SUMPRODUCT(DCF_Base!$C$19:$L$19/(1+$A$23/100)^DCF_Base!$C$4:$L$4)+MAX(0,MIN(IF($A$23&gt;$F$22,DCF_Base!$L$19*(1+$F$22/100)/(($A$23-$F$22)/100),DCF_Base!$L$19*DCF_Base!$B$29),DCF_Base!$L$19*DCF_Base!$B$29))/(1+$A$23/100)^DCF_Base!$L$4+Assumptions!$B$5-Assumptions!$B$4)/Assumptions!$B$3*Assumptions!$B$10</f>
        <v>0.725697876324008</v>
      </c>
    </row>
    <row r="24" customFormat="false" ht="15" hidden="false" customHeight="false" outlineLevel="0" collapsed="false">
      <c r="A24" s="3" t="n">
        <v>11</v>
      </c>
      <c r="B24" s="0" t="n">
        <f aca="false">(SUMPRODUCT(DCF_Base!$C$19:$L$19/(1+$A$24/100)^DCF_Base!$C$4:$L$4)+MAX(0,MIN(IF($A$24&gt;$B$22,DCF_Base!$L$19*(1+$B$22/100)/(($A$24-$B$22)/100),DCF_Base!$L$19*DCF_Base!$B$29),DCF_Base!$L$19*DCF_Base!$B$29))/(1+$A$24/100)^DCF_Base!$L$4+Assumptions!$B$5-Assumptions!$B$4)/Assumptions!$B$3*Assumptions!$B$10</f>
        <v>0.715960850935813</v>
      </c>
      <c r="C24" s="0" t="n">
        <f aca="false">(SUMPRODUCT(DCF_Base!$C$19:$L$19/(1+$A$24/100)^DCF_Base!$C$4:$L$4)+MAX(0,MIN(IF($A$24&gt;$C$22,DCF_Base!$L$19*(1+$C$22/100)/(($A$24-$C$22)/100),DCF_Base!$L$19*DCF_Base!$B$29),DCF_Base!$L$19*DCF_Base!$B$29))/(1+$A$24/100)^DCF_Base!$L$4+Assumptions!$B$5-Assumptions!$B$4)/Assumptions!$B$3*Assumptions!$B$10</f>
        <v>0.715960850935813</v>
      </c>
      <c r="D24" s="0" t="n">
        <f aca="false">(SUMPRODUCT(DCF_Base!$C$19:$L$19/(1+$A$24/100)^DCF_Base!$C$4:$L$4)+MAX(0,MIN(IF($A$24&gt;$D$22,DCF_Base!$L$19*(1+$D$22/100)/(($A$24-$D$22)/100),DCF_Base!$L$19*DCF_Base!$B$29),DCF_Base!$L$19*DCF_Base!$B$29))/(1+$A$24/100)^DCF_Base!$L$4+Assumptions!$B$5-Assumptions!$B$4)/Assumptions!$B$3*Assumptions!$B$10</f>
        <v>0.715960850935813</v>
      </c>
      <c r="E24" s="0" t="n">
        <f aca="false">(SUMPRODUCT(DCF_Base!$C$19:$L$19/(1+$A$24/100)^DCF_Base!$C$4:$L$4)+MAX(0,MIN(IF($A$24&gt;$E$22,DCF_Base!$L$19*(1+$E$22/100)/(($A$24-$E$22)/100),DCF_Base!$L$19*DCF_Base!$B$29),DCF_Base!$L$19*DCF_Base!$B$29))/(1+$A$24/100)^DCF_Base!$L$4+Assumptions!$B$5-Assumptions!$B$4)/Assumptions!$B$3*Assumptions!$B$10</f>
        <v>0.715960850935813</v>
      </c>
      <c r="F24" s="0" t="n">
        <f aca="false">(SUMPRODUCT(DCF_Base!$C$19:$L$19/(1+$A$24/100)^DCF_Base!$C$4:$L$4)+MAX(0,MIN(IF($A$24&gt;$F$22,DCF_Base!$L$19*(1+$F$22/100)/(($A$24-$F$22)/100),DCF_Base!$L$19*DCF_Base!$B$29),DCF_Base!$L$19*DCF_Base!$B$29))/(1+$A$24/100)^DCF_Base!$L$4+Assumptions!$B$5-Assumptions!$B$4)/Assumptions!$B$3*Assumptions!$B$10</f>
        <v>0.715960850935813</v>
      </c>
    </row>
    <row r="25" customFormat="false" ht="15" hidden="false" customHeight="false" outlineLevel="0" collapsed="false">
      <c r="A25" s="3" t="n">
        <v>12</v>
      </c>
      <c r="B25" s="0" t="n">
        <f aca="false">(SUMPRODUCT(DCF_Base!$C$19:$L$19/(1+$A$25/100)^DCF_Base!$C$4:$L$4)+MAX(0,MIN(IF($A$25&gt;$B$22,DCF_Base!$L$19*(1+$B$22/100)/(($A$25-$B$22)/100),DCF_Base!$L$19*DCF_Base!$B$29),DCF_Base!$L$19*DCF_Base!$B$29))/(1+$A$25/100)^DCF_Base!$L$4+Assumptions!$B$5-Assumptions!$B$4)/Assumptions!$B$3*Assumptions!$B$10</f>
        <v>0.705290054068422</v>
      </c>
      <c r="C25" s="0" t="n">
        <f aca="false">(SUMPRODUCT(DCF_Base!$C$19:$L$19/(1+$A$25/100)^DCF_Base!$C$4:$L$4)+MAX(0,MIN(IF($A$25&gt;$C$22,DCF_Base!$L$19*(1+$C$22/100)/(($A$25-$C$22)/100),DCF_Base!$L$19*DCF_Base!$B$29),DCF_Base!$L$19*DCF_Base!$B$29))/(1+$A$25/100)^DCF_Base!$L$4+Assumptions!$B$5-Assumptions!$B$4)/Assumptions!$B$3*Assumptions!$B$10</f>
        <v>0.706978362481753</v>
      </c>
      <c r="D25" s="0" t="n">
        <f aca="false">(SUMPRODUCT(DCF_Base!$C$19:$L$19/(1+$A$25/100)^DCF_Base!$C$4:$L$4)+MAX(0,MIN(IF($A$25&gt;$D$22,DCF_Base!$L$19*(1+$D$22/100)/(($A$25-$D$22)/100),DCF_Base!$L$19*DCF_Base!$B$29),DCF_Base!$L$19*DCF_Base!$B$29))/(1+$A$25/100)^DCF_Base!$L$4+Assumptions!$B$5-Assumptions!$B$4)/Assumptions!$B$3*Assumptions!$B$10</f>
        <v>0.706978362481753</v>
      </c>
      <c r="E25" s="0" t="n">
        <f aca="false">(SUMPRODUCT(DCF_Base!$C$19:$L$19/(1+$A$25/100)^DCF_Base!$C$4:$L$4)+MAX(0,MIN(IF($A$25&gt;$E$22,DCF_Base!$L$19*(1+$E$22/100)/(($A$25-$E$22)/100),DCF_Base!$L$19*DCF_Base!$B$29),DCF_Base!$L$19*DCF_Base!$B$29))/(1+$A$25/100)^DCF_Base!$L$4+Assumptions!$B$5-Assumptions!$B$4)/Assumptions!$B$3*Assumptions!$B$10</f>
        <v>0.706978362481753</v>
      </c>
      <c r="F25" s="0" t="n">
        <f aca="false">(SUMPRODUCT(DCF_Base!$C$19:$L$19/(1+$A$25/100)^DCF_Base!$C$4:$L$4)+MAX(0,MIN(IF($A$25&gt;$F$22,DCF_Base!$L$19*(1+$F$22/100)/(($A$25-$F$22)/100),DCF_Base!$L$19*DCF_Base!$B$29),DCF_Base!$L$19*DCF_Base!$B$29))/(1+$A$25/100)^DCF_Base!$L$4+Assumptions!$B$5-Assumptions!$B$4)/Assumptions!$B$3*Assumptions!$B$10</f>
        <v>0.706978362481753</v>
      </c>
    </row>
    <row r="26" customFormat="false" ht="15" hidden="false" customHeight="false" outlineLevel="0" collapsed="false">
      <c r="A26" s="3" t="n">
        <v>13</v>
      </c>
      <c r="B26" s="0" t="n">
        <f aca="false">(SUMPRODUCT(DCF_Base!$C$19:$L$19/(1+$A$26/100)^DCF_Base!$C$4:$L$4)+MAX(0,MIN(IF($A$26&gt;$B$22,DCF_Base!$L$19*(1+$B$22/100)/(($A$26-$B$22)/100),DCF_Base!$L$19*DCF_Base!$B$29),DCF_Base!$L$19*DCF_Base!$B$29))/(1+$A$26/100)^DCF_Base!$L$4+Assumptions!$B$5-Assumptions!$B$4)/Assumptions!$B$3*Assumptions!$B$10</f>
        <v>0.693240007566083</v>
      </c>
      <c r="C26" s="0" t="n">
        <f aca="false">(SUMPRODUCT(DCF_Base!$C$19:$L$19/(1+$A$26/100)^DCF_Base!$C$4:$L$4)+MAX(0,MIN(IF($A$26&gt;$C$22,DCF_Base!$L$19*(1+$C$22/100)/(($A$26-$C$22)/100),DCF_Base!$L$19*DCF_Base!$B$29),DCF_Base!$L$19*DCF_Base!$B$29))/(1+$A$26/100)^DCF_Base!$L$4+Assumptions!$B$5-Assumptions!$B$4)/Assumptions!$B$3*Assumptions!$B$10</f>
        <v>0.695309799802344</v>
      </c>
      <c r="D26" s="0" t="n">
        <f aca="false">(SUMPRODUCT(DCF_Base!$C$19:$L$19/(1+$A$26/100)^DCF_Base!$C$4:$L$4)+MAX(0,MIN(IF($A$26&gt;$D$22,DCF_Base!$L$19*(1+$D$22/100)/(($A$26-$D$22)/100),DCF_Base!$L$19*DCF_Base!$B$29),DCF_Base!$L$19*DCF_Base!$B$29))/(1+$A$26/100)^DCF_Base!$L$4+Assumptions!$B$5-Assumptions!$B$4)/Assumptions!$B$3*Assumptions!$B$10</f>
        <v>0.697576715108726</v>
      </c>
      <c r="E26" s="0" t="n">
        <f aca="false">(SUMPRODUCT(DCF_Base!$C$19:$L$19/(1+$A$26/100)^DCF_Base!$C$4:$L$4)+MAX(0,MIN(IF($A$26&gt;$E$22,DCF_Base!$L$19*(1+$E$22/100)/(($A$26-$E$22)/100),DCF_Base!$L$19*DCF_Base!$B$29),DCF_Base!$L$19*DCF_Base!$B$29))/(1+$A$26/100)^DCF_Base!$L$4+Assumptions!$B$5-Assumptions!$B$4)/Assumptions!$B$3*Assumptions!$B$10</f>
        <v>0.698680080965814</v>
      </c>
      <c r="F26" s="0" t="n">
        <f aca="false">(SUMPRODUCT(DCF_Base!$C$19:$L$19/(1+$A$26/100)^DCF_Base!$C$4:$L$4)+MAX(0,MIN(IF($A$26&gt;$F$22,DCF_Base!$L$19*(1+$F$22/100)/(($A$26-$F$22)/100),DCF_Base!$L$19*DCF_Base!$B$29),DCF_Base!$L$19*DCF_Base!$B$29))/(1+$A$26/100)^DCF_Base!$L$4+Assumptions!$B$5-Assumptions!$B$4)/Assumptions!$B$3*Assumptions!$B$10</f>
        <v>0.698680080965814</v>
      </c>
    </row>
    <row r="27" customFormat="false" ht="15" hidden="false" customHeight="false" outlineLevel="0" collapsed="false">
      <c r="A27" s="3" t="n">
        <v>14</v>
      </c>
      <c r="B27" s="0" t="n">
        <f aca="false">(SUMPRODUCT(DCF_Base!$C$19:$L$19/(1+$A$27/100)^DCF_Base!$C$4:$L$4)+MAX(0,MIN(IF($A$27&gt;$B$22,DCF_Base!$L$19*(1+$B$22/100)/(($A$27-$B$22)/100),DCF_Base!$L$19*DCF_Base!$B$29),DCF_Base!$L$19*DCF_Base!$B$29))/(1+$A$27/100)^DCF_Base!$L$4+Assumptions!$B$5-Assumptions!$B$4)/Assumptions!$B$3*Assumptions!$B$10</f>
        <v>0.683025582570887</v>
      </c>
      <c r="C27" s="0" t="n">
        <f aca="false">(SUMPRODUCT(DCF_Base!$C$19:$L$19/(1+$A$27/100)^DCF_Base!$C$4:$L$4)+MAX(0,MIN(IF($A$27&gt;$C$22,DCF_Base!$L$19*(1+$C$22/100)/(($A$27-$C$22)/100),DCF_Base!$L$19*DCF_Base!$B$29),DCF_Base!$L$19*DCF_Base!$B$29))/(1+$A$27/100)^DCF_Base!$L$4+Assumptions!$B$5-Assumptions!$B$4)/Assumptions!$B$3*Assumptions!$B$10</f>
        <v>0.684638040340917</v>
      </c>
      <c r="D27" s="0" t="n">
        <f aca="false">(SUMPRODUCT(DCF_Base!$C$19:$L$19/(1+$A$27/100)^DCF_Base!$C$4:$L$4)+MAX(0,MIN(IF($A$27&gt;$D$22,DCF_Base!$L$19*(1+$D$22/100)/(($A$27-$D$22)/100),DCF_Base!$L$19*DCF_Base!$B$29),DCF_Base!$L$19*DCF_Base!$B$29))/(1+$A$27/100)^DCF_Base!$L$4+Assumptions!$B$5-Assumptions!$B$4)/Assumptions!$B$3*Assumptions!$B$10</f>
        <v>0.68639071183008</v>
      </c>
      <c r="E27" s="0" t="n">
        <f aca="false">(SUMPRODUCT(DCF_Base!$C$19:$L$19/(1+$A$27/100)^DCF_Base!$C$4:$L$4)+MAX(0,MIN(IF($A$27&gt;$E$22,DCF_Base!$L$19*(1+$E$22/100)/(($A$27-$E$22)/100),DCF_Base!$L$19*DCF_Base!$B$29),DCF_Base!$L$19*DCF_Base!$B$29))/(1+$A$27/100)^DCF_Base!$L$4+Assumptions!$B$5-Assumptions!$B$4)/Assumptions!$B$3*Assumptions!$B$10</f>
        <v>0.688302717090985</v>
      </c>
      <c r="F27" s="0" t="n">
        <f aca="false">(SUMPRODUCT(DCF_Base!$C$19:$L$19/(1+$A$27/100)^DCF_Base!$C$4:$L$4)+MAX(0,MIN(IF($A$27&gt;$F$22,DCF_Base!$L$19*(1+$F$22/100)/(($A$27-$F$22)/100),DCF_Base!$L$19*DCF_Base!$B$29),DCF_Base!$L$19*DCF_Base!$B$29))/(1+$A$27/100)^DCF_Base!$L$4+Assumptions!$B$5-Assumptions!$B$4)/Assumptions!$B$3*Assumptions!$B$10</f>
        <v>0.690396818091024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2026-10-16T15:59:54Z</dcterms:created>
  <dc:creator>openpyxl</dc:creator>
  <dc:description/>
  <dc:language>en-NZ</dc:language>
  <cp:lastModifiedBy/>
  <dcterms:modified xsi:type="dcterms:W3CDTF">2026-10-16T15:59:54Z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