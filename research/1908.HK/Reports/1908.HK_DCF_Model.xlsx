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<sst xmlns="http://schemas.openxmlformats.org/spreadsheetml/2006/main" count="364" uniqueCount="172">
  <si>
    <t xml:space="preserve">Ticker</t>
  </si>
  <si>
    <t xml:space="preserve">1908.HK</t>
  </si>
  <si>
    <t xml:space="preserve">Company</t>
  </si>
  <si>
    <t xml:space="preserve">C&amp;D International Investment Group Limited</t>
  </si>
  <si>
    <t xml:space="preserve">Valuation date</t>
  </si>
  <si>
    <t xml:space="preserve">2026-10-17</t>
  </si>
  <si>
    <t xml:space="preserve">Current price</t>
  </si>
  <si>
    <t xml:space="preserve">Price as of</t>
  </si>
  <si>
    <t xml:space="preserve">2026-10-16T08:08:14Z HKEX regular close (Friday); Yahoo regularMarketTime 1792138094</t>
  </si>
  <si>
    <t xml:space="preserve">Balance sheet date</t>
  </si>
  <si>
    <t xml:space="preserve">2026-06-30</t>
  </si>
  <si>
    <t xml:space="preserve">Model</t>
  </si>
  <si>
    <t xml:space="preserve">Developer blended NTA exit-P/B and earnings exit-P/E: attributable earnings capitalised at cost of equity (engine route), perpetual loans deducted in the equity bridge</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</si>
  <si>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</si>
  <si>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</si>
  <si>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</si>
  <si>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</si>
  <si>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</si>
  <si>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</si>
  <si>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</si>
  <si>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</si>
  <si>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</si>
  <si>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2026-10-16T22:35:43Z</t>
  </si>
  <si>
    <t xml:space="preserve">Drivers file</t>
  </si>
  <si>
    <t xml:space="preserve">1908.HK_Drivers.json</t>
  </si>
  <si>
    <t xml:space="preserve">Convention</t>
  </si>
  <si>
    <t xml:space="preserve">Percents stored as percents; formulas divide by 100. Blue = input, green = link, black = formula.</t>
  </si>
  <si>
    <t xml:space="preserve">Methodology</t>
  </si>
  <si>
    <t xml:space="preserve">summary: A Chinese residential developer's value is the after-tax, after-minority earnings it can distribute through the cycle plus what its book is worth at exit, not an unlevered FCF that swings by tens of billions with land and pre-sale timing. The stream is profit attributable to equity holders at the RMB cost of equity, net debt held at zero because interest is already in the stream, the RMB10bn of parent-group perpetual loans deducted at face, and a terminal that blends an exit P/E with an exit P/B on year-10 book.
key_risks_to_valuation: Revenue path rests on the contract-liability-to-handover conversion ratio (0.52-0.56x historically); a delivery slip moves FY2026 by RMB10bn+.; Leakage (tax + LAT + NCI) has ranged 38-63% of pre-tax profit; every 5pp is ~10% of value.; Parent-group dependency: RMB38.0bn of parent loans and RMB10.0bn of perpetual loans; a change in parent willingness or an SOE deleveraging directive would hit funding cost and liquidity.; Mortgage guarantees (RMB19bn at FY2025) and NCI receivables (RMB40.2bn due from NCI at H1 FY2026) are not charged in the model.; fx_rate (CNY-&gt;HKD 1.1724) is not moved by refresh_price.py; a 5% RMB move is a 5% move in HKD value.; Scrip dividends grow the share count ~2-4% a year in practice; the model holds it flat because earnings are capitalised as if fully distributed.</t>
  </si>
  <si>
    <t xml:space="preserve">Data sources</t>
  </si>
  <si>
    <t xml:space="preserve">price: Yahoo Finance chart API at inputs.price_as_of (HKEX regular close); 52-week range HK$11.47-18.47.
fx: Yahoo Finance CNYHKD=X chart API, regularMarketTime 1792188148.
financials: 1908.HK_Metrics.csv and kpis (FY2017-FY2025 annuals, H1 FY2023-FY2026 interims); FY2025 Annual Report income statement, balance sheet, EPS note 11 and perpetual-loan note 33; H1 FY2026 Interim Report statements, EPS note 10, MD&amp;A (contracted sales, gross margin, net debt, borrowing rates).
qualitative: 1908.HK_Analysis.json (2026-10-17).</t>
  </si>
  <si>
    <t xml:space="preserve">Scenario narrative: bear</t>
  </si>
  <si>
    <t xml:space="preserve">No bottom. National new-home sales keep falling, C&amp;D's contracted sales keep declining 8-12% a year as in FY2025 and H1 FY2026, and selling costs and impairments hold pre-tax margin near 5%. Revenue settles ~RMB70bn, the NCI share of a shrinking profit pool rises, and the market prices the sector at ~5x earnings and 0.3x book. The parent keeps the company solvent, so this is a value case, not a credit event; the risk that the parent's own balance sheet or an SOE deleveraging directive tightens the RMB38bn loan line sits here.</t>
  </si>
  <si>
    <t xml:space="preserve">Scenario narrative: base</t>
  </si>
  <si>
    <t xml:space="preserve">Survive and consolidate at low margins. Handovers from the weaker 2024-25 sales cohort cut revenue ~22% in FY2026 and a further 8% over FY2027-28, then the post-2022 land bank (higher gross margin, core-city weighted) and SOE share gains from defaulted private peers stabilise revenue around RMB100-110bn. Pre-tax margin recovers to 8% and roughly half of it leaks to tax, LAT and project partners, leaving RMB3-4bn a year for equity holders. Parent funding stays available and cheap; the perpetual loans are redeemed at face around their 2030-31 step-up.</t>
  </si>
  <si>
    <t xml:space="preserve">Scenario narrative: bull</t>
  </si>
  <si>
    <t xml:space="preserve">The state-backed funding advantage and flagship-project product turn into share: September-2026 launches sell through, contracted sales return to growth by FY2028, the property-management/construction 'second curve' keeps compounding, and funding costs keep falling. Margin reaches 9.5% and the market re-rates SOE developers toward 2020-21 multiples (~8.5x earnings, ~0.95x book). Needs a stabilising national market and margin expansion and a re-rating together, which is why it carries 20%.</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</si>
  <si>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</si>
  <si>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</si>
  <si>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</si>
  <si>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</si>
  <si>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</si>
  <si>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</si>
  <si>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</si>
  <si>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</si>
  <si>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</si>
  <si>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</si>
  <si>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</si>
  <si>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</si>
  <si>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</si>
  <si>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</si>
  <si>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</si>
  <si>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</si>
  <si>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</si>
  <si>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</si>
  <si>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</si>
  <si>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</si>
  <si>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</si>
  <si>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</si>
  <si>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</si>
  <si>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</si>
  <si>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</si>
  <si>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</si>
  <si>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</si>
  <si>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EPSBasic</t>
  </si>
  <si>
    <t xml:space="preserve">InterestPaid</t>
  </si>
  <si>
    <t xml:space="preserve">MinorityDividendsPaid</t>
  </si>
  <si>
    <t xml:space="preserve">NonControllingInterests</t>
  </si>
  <si>
    <t xml:space="preserve">PerpetualCapitalInstruments</t>
  </si>
  <si>
    <t xml:space="preserve">PerpetualDistributionsPaid</t>
  </si>
  <si>
    <t xml:space="preserve">ProfitForPeriodTotal</t>
  </si>
  <si>
    <t xml:space="preserve">TotalEquityInclNCI</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</si>
  <si>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</si>
  <si>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</si>
  <si>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</si>
  <si>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</si>
  <si>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</si>
  <si>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</si>
  <si>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</si>
  <si>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</si>
  <si>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</si>
  <si>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</si>
  <si>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</si>
  <si>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</si>
  <si>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</si>
  <si>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</si>
  <si>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</si>
  <si>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</si>
  <si>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</si>
  <si>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</si>
  <si>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</si>
  <si>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</si>
  <si>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</si>
  <si>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</si>
  <si>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</si>
  <si>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</si>
  <si>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</si>
  <si>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</si>
  <si>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</si>
  <si>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</si>
  <si>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</si>
  <si>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</si>
  <si>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</si>
  <si>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</si>
  <si>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</si>
  <si>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</si>
  <si>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</si>
  <si>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</si>
  <si>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</si>
  <si>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</si>
  <si>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</si>
  <si>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</si>
  <si>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</si>
  <si>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</si>
  <si>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</si>
  <si>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</si>
  <si>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</si>
  <si>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</si>
  <si>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1908.HK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</si>
  <si>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</si>
  <si>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</si>
  <si>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</si>
  <si>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</si>
  <si>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</si>
  <si>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</si>
  <si>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</si>
  <si>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</si>
  <si>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</si>
  <si>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</si>
  <si>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</si>
  <si>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</si>
  <si>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</si>
  <si>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</si>
  <si>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</si>
  <si>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</si>
  <si>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</si>
  <si>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</si>
  <si>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</si>
  <si>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</si>
  <si>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</si>
  <si>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</si>
  <si>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</si>
  <si>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</si>
  <si>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</si>
  <si>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</si>
  <si>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</si>
  <si>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</si>
  <si>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</si>
  <si>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</si>
  <si>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1908.HK owner-FCF component DCF: base case (millions, CNY)</t>
  </si>
  <si>
    <t xml:space="preserve">1908.HK owner-FCF component DCF: bull case (millions, CNY)</t>
  </si>
  <si>
    <t xml:space="preserve">1908.HK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</si>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</sst>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13.29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row>
    <row r="2" customFormat="false" ht="15" hidden="false" customHeight="false" outlineLevel="0" collapsed="false">
      <c r="A2" s="0" t="s">
        <v>72</v>
      </c>
      <c r="B2" s="0" t="n">
        <v>4778.846</v>
      </c>
      <c r="C2" s="0" t="n">
        <v>3188.124</v>
      </c>
      <c r="D2" s="0" t="n">
        <v>1590.722</v>
      </c>
      <c r="E2" s="0" t="n">
        <v>33.3</v>
      </c>
      <c r="I2" s="0" t="n">
        <v>527.813</v>
      </c>
      <c r="J2" s="0" t="n">
        <v>11</v>
      </c>
      <c r="K2" s="0" t="n">
        <v>1.01</v>
      </c>
      <c r="L2" s="0" t="n">
        <v>-11644.792</v>
      </c>
      <c r="M2" s="0" t="n">
        <v>24.606</v>
      </c>
      <c r="N2" s="0" t="n">
        <v>-11669.398</v>
      </c>
      <c r="P2" s="0" t="n">
        <v>34021.524</v>
      </c>
      <c r="Q2" s="0" t="n">
        <v>28736.384</v>
      </c>
      <c r="R2" s="0" t="n">
        <v>10930.676</v>
      </c>
      <c r="S2" s="0" t="n">
        <v>1985.195</v>
      </c>
      <c r="U2" s="0" t="n">
        <v>0</v>
      </c>
      <c r="AA2" s="0" t="s">
        <v>18</v>
      </c>
      <c r="AB2" s="0" t="s">
        <v>14</v>
      </c>
      <c r="AC2" s="0" t="n">
        <v>1.18</v>
      </c>
      <c r="AD2" s="0" t="n">
        <v>161.024</v>
      </c>
      <c r="AE2" s="0" t="n">
        <v>1.699</v>
      </c>
      <c r="AF2" s="0" t="n">
        <v>397.262</v>
      </c>
      <c r="AH2" s="0" t="n">
        <v>110.222</v>
      </c>
      <c r="AI2" s="0" t="n">
        <v>603.048</v>
      </c>
      <c r="AJ2" s="0" t="n">
        <v>5285.14</v>
      </c>
    </row>
    <row r="3" customFormat="false" ht="15" hidden="false" customHeight="false" outlineLevel="0" collapsed="false">
      <c r="A3" s="0" t="s">
        <v>73</v>
      </c>
      <c r="B3" s="0" t="n">
        <v>12371.415</v>
      </c>
      <c r="C3" s="0" t="n">
        <v>8256.257</v>
      </c>
      <c r="D3" s="0" t="n">
        <v>4115.158</v>
      </c>
      <c r="E3" s="0" t="n">
        <v>33.3</v>
      </c>
      <c r="I3" s="0" t="n">
        <v>1420.446</v>
      </c>
      <c r="J3" s="0" t="n">
        <v>11.5</v>
      </c>
      <c r="K3" s="0" t="n">
        <v>1.85</v>
      </c>
      <c r="L3" s="0" t="n">
        <v>-11114.347</v>
      </c>
      <c r="M3" s="0" t="n">
        <v>27.386</v>
      </c>
      <c r="N3" s="0" t="n">
        <v>-11141.733</v>
      </c>
      <c r="O3" s="0" t="n">
        <v>6094.022</v>
      </c>
      <c r="P3" s="0" t="n">
        <v>62774.954</v>
      </c>
      <c r="Q3" s="0" t="n">
        <v>52170.908</v>
      </c>
      <c r="R3" s="0" t="n">
        <v>24430.752</v>
      </c>
      <c r="S3" s="0" t="n">
        <v>4547.441</v>
      </c>
      <c r="T3" s="0" t="n">
        <v>765.808</v>
      </c>
      <c r="U3" s="0" t="n">
        <v>0</v>
      </c>
      <c r="AA3" s="0" t="s">
        <v>18</v>
      </c>
      <c r="AB3" s="0" t="s">
        <v>14</v>
      </c>
      <c r="AC3" s="0" t="n">
        <v>1.93</v>
      </c>
      <c r="AD3" s="0" t="n">
        <v>418.468</v>
      </c>
      <c r="AE3" s="0" t="n">
        <v>9.612</v>
      </c>
      <c r="AF3" s="0" t="n">
        <v>4510.024</v>
      </c>
      <c r="AH3" s="0" t="n">
        <v>90.969</v>
      </c>
      <c r="AI3" s="0" t="n">
        <v>1577.902</v>
      </c>
      <c r="AJ3" s="0" t="n">
        <v>10604.046</v>
      </c>
    </row>
    <row r="4" customFormat="false" ht="15" hidden="false" customHeight="false" outlineLevel="0" collapsed="false">
      <c r="A4" s="0" t="s">
        <v>74</v>
      </c>
      <c r="B4" s="0" t="n">
        <v>17995.146</v>
      </c>
      <c r="C4" s="0" t="n">
        <v>13341.808</v>
      </c>
      <c r="D4" s="0" t="n">
        <v>4653.338</v>
      </c>
      <c r="E4" s="0" t="n">
        <v>25.9</v>
      </c>
      <c r="I4" s="0" t="n">
        <v>1717.993</v>
      </c>
      <c r="J4" s="0" t="n">
        <v>9.5</v>
      </c>
      <c r="K4" s="0" t="n">
        <v>1.48</v>
      </c>
      <c r="L4" s="0" t="n">
        <v>1246.138</v>
      </c>
      <c r="M4" s="0" t="n">
        <v>55.369</v>
      </c>
      <c r="N4" s="0" t="n">
        <v>1190.769</v>
      </c>
      <c r="O4" s="0" t="n">
        <v>7298.149</v>
      </c>
      <c r="P4" s="0" t="n">
        <v>115588.822</v>
      </c>
      <c r="Q4" s="0" t="n">
        <v>95978.88</v>
      </c>
      <c r="R4" s="0" t="n">
        <v>40325.326</v>
      </c>
      <c r="S4" s="0" t="n">
        <v>11562.27</v>
      </c>
      <c r="T4" s="0" t="n">
        <v>1159.383</v>
      </c>
      <c r="U4" s="0" t="n">
        <v>0</v>
      </c>
      <c r="AA4" s="0" t="s">
        <v>18</v>
      </c>
      <c r="AB4" s="0" t="s">
        <v>14</v>
      </c>
      <c r="AC4" s="0" t="n">
        <v>1.99</v>
      </c>
      <c r="AD4" s="0" t="n">
        <v>823.409</v>
      </c>
      <c r="AE4" s="0" t="n">
        <v>55.654</v>
      </c>
      <c r="AF4" s="0" t="n">
        <v>12311.793</v>
      </c>
      <c r="AG4" s="0" t="n">
        <v>0</v>
      </c>
      <c r="AH4" s="0" t="n">
        <v>15.1</v>
      </c>
      <c r="AI4" s="0" t="n">
        <v>1997.571</v>
      </c>
      <c r="AJ4" s="0" t="n">
        <v>19609.942</v>
      </c>
    </row>
    <row r="5" customFormat="false" ht="15" hidden="false" customHeight="false" outlineLevel="0" collapsed="false">
      <c r="A5" s="0" t="s">
        <v>75</v>
      </c>
      <c r="B5" s="0" t="n">
        <v>42744.478</v>
      </c>
      <c r="C5" s="0" t="n">
        <v>35404.21</v>
      </c>
      <c r="D5" s="0" t="n">
        <v>7340.268</v>
      </c>
      <c r="E5" s="0" t="n">
        <v>17.2</v>
      </c>
      <c r="I5" s="0" t="n">
        <v>2321.625</v>
      </c>
      <c r="J5" s="0" t="n">
        <v>5.4</v>
      </c>
      <c r="K5" s="0" t="n">
        <v>1.9</v>
      </c>
      <c r="L5" s="0" t="n">
        <v>4272.83</v>
      </c>
      <c r="M5" s="0" t="n">
        <v>64.455</v>
      </c>
      <c r="N5" s="0" t="n">
        <v>4208.375</v>
      </c>
      <c r="O5" s="0" t="n">
        <v>8315.365</v>
      </c>
      <c r="P5" s="0" t="n">
        <v>183423.554</v>
      </c>
      <c r="Q5" s="0" t="n">
        <v>146071.985</v>
      </c>
      <c r="R5" s="0" t="n">
        <v>51215.199</v>
      </c>
      <c r="S5" s="0" t="n">
        <v>27992.866</v>
      </c>
      <c r="T5" s="0" t="n">
        <v>1167.206</v>
      </c>
      <c r="U5" s="0" t="n">
        <v>0</v>
      </c>
      <c r="AA5" s="0" t="s">
        <v>18</v>
      </c>
      <c r="AB5" s="0" t="s">
        <v>14</v>
      </c>
      <c r="AC5" s="0" t="n">
        <v>1.9</v>
      </c>
      <c r="AD5" s="0" t="n">
        <v>1763.13</v>
      </c>
      <c r="AE5" s="0" t="n">
        <v>198.175</v>
      </c>
      <c r="AF5" s="0" t="n">
        <v>19536.204</v>
      </c>
      <c r="AG5" s="0" t="n">
        <v>9500</v>
      </c>
      <c r="AH5" s="0" t="n">
        <v>84.038</v>
      </c>
      <c r="AI5" s="0" t="n">
        <v>2767.839</v>
      </c>
      <c r="AJ5" s="0" t="n">
        <v>37351.569</v>
      </c>
    </row>
    <row r="6" customFormat="false" ht="15" hidden="false" customHeight="false" outlineLevel="0" collapsed="false">
      <c r="A6" s="0" t="s">
        <v>76</v>
      </c>
      <c r="B6" s="0" t="n">
        <v>53441.863</v>
      </c>
      <c r="C6" s="0" t="n">
        <v>44705.412</v>
      </c>
      <c r="D6" s="0" t="n">
        <v>8736.451</v>
      </c>
      <c r="E6" s="0" t="n">
        <v>16.3</v>
      </c>
      <c r="I6" s="0" t="n">
        <v>3516.758</v>
      </c>
      <c r="J6" s="0" t="n">
        <v>6.6</v>
      </c>
      <c r="K6" s="0" t="n">
        <v>2.54</v>
      </c>
      <c r="L6" s="0" t="n">
        <v>6496.568</v>
      </c>
      <c r="M6" s="0" t="n">
        <v>90.196</v>
      </c>
      <c r="N6" s="0" t="n">
        <v>6406.372</v>
      </c>
      <c r="O6" s="0" t="n">
        <v>12111.313</v>
      </c>
      <c r="P6" s="0" t="n">
        <v>343522.215</v>
      </c>
      <c r="Q6" s="0" t="n">
        <v>280265.395</v>
      </c>
      <c r="R6" s="0" t="n">
        <v>79304.824</v>
      </c>
      <c r="S6" s="0" t="n">
        <v>46054.13</v>
      </c>
      <c r="T6" s="0" t="n">
        <v>1247.993</v>
      </c>
      <c r="U6" s="0" t="n">
        <v>39.436</v>
      </c>
      <c r="AA6" s="0" t="s">
        <v>18</v>
      </c>
      <c r="AB6" s="0" t="s">
        <v>14</v>
      </c>
      <c r="AC6" s="0" t="n">
        <v>2.54</v>
      </c>
      <c r="AD6" s="0" t="n">
        <v>2959.693</v>
      </c>
      <c r="AE6" s="0" t="n">
        <v>148.99</v>
      </c>
      <c r="AF6" s="0" t="n">
        <v>36645.507</v>
      </c>
      <c r="AG6" s="0" t="n">
        <v>14500</v>
      </c>
      <c r="AH6" s="0" t="n">
        <v>345.216</v>
      </c>
      <c r="AI6" s="0" t="n">
        <v>4009.402</v>
      </c>
      <c r="AJ6" s="0" t="n">
        <v>63256.82</v>
      </c>
    </row>
    <row r="7" customFormat="false" ht="15" hidden="false" customHeight="false" outlineLevel="0" collapsed="false">
      <c r="A7" s="0" t="s">
        <v>77</v>
      </c>
      <c r="B7" s="0" t="n">
        <v>99635.501</v>
      </c>
      <c r="C7" s="0" t="n">
        <v>84416.087</v>
      </c>
      <c r="D7" s="0" t="n">
        <v>15219.414</v>
      </c>
      <c r="E7" s="0" t="n">
        <v>15.3</v>
      </c>
      <c r="I7" s="0" t="n">
        <v>4933.968</v>
      </c>
      <c r="J7" s="0" t="n">
        <v>5</v>
      </c>
      <c r="K7" s="0" t="n">
        <v>2.6</v>
      </c>
      <c r="L7" s="0" t="n">
        <v>3519.161</v>
      </c>
      <c r="M7" s="0" t="n">
        <v>113.351</v>
      </c>
      <c r="N7" s="0" t="n">
        <v>3405.81</v>
      </c>
      <c r="O7" s="0" t="n">
        <v>17137.22</v>
      </c>
      <c r="P7" s="0" t="n">
        <v>393463.167</v>
      </c>
      <c r="Q7" s="0" t="n">
        <v>314042.679</v>
      </c>
      <c r="R7" s="0" t="n">
        <v>89337.956</v>
      </c>
      <c r="S7" s="0" t="n">
        <v>50280.062</v>
      </c>
      <c r="T7" s="0" t="n">
        <v>1623.012</v>
      </c>
      <c r="U7" s="0" t="n">
        <v>133.03</v>
      </c>
      <c r="AA7" s="0" t="s">
        <v>18</v>
      </c>
      <c r="AB7" s="0" t="s">
        <v>14</v>
      </c>
      <c r="AC7" s="0" t="n">
        <v>2.84</v>
      </c>
      <c r="AD7" s="0" t="n">
        <v>2715.495</v>
      </c>
      <c r="AE7" s="0" t="n">
        <v>921.428</v>
      </c>
      <c r="AF7" s="0" t="n">
        <v>47783.268</v>
      </c>
      <c r="AG7" s="0" t="n">
        <v>14500</v>
      </c>
      <c r="AH7" s="0" t="n">
        <v>713.891</v>
      </c>
      <c r="AI7" s="0" t="n">
        <v>5561.903</v>
      </c>
      <c r="AJ7" s="0" t="n">
        <v>79420.488</v>
      </c>
    </row>
    <row r="8" customFormat="false" ht="15" hidden="false" customHeight="false" outlineLevel="0" collapsed="false">
      <c r="A8" s="0" t="s">
        <v>78</v>
      </c>
      <c r="B8" s="0" t="n">
        <v>134429.975</v>
      </c>
      <c r="C8" s="0" t="n">
        <v>119513.516</v>
      </c>
      <c r="D8" s="0" t="n">
        <v>14916.459</v>
      </c>
      <c r="E8" s="0" t="n">
        <v>11.1</v>
      </c>
      <c r="I8" s="0" t="n">
        <v>5034.712</v>
      </c>
      <c r="J8" s="0" t="n">
        <v>3.7</v>
      </c>
      <c r="K8" s="0" t="n">
        <v>2.36</v>
      </c>
      <c r="L8" s="0" t="n">
        <v>24414.306</v>
      </c>
      <c r="M8" s="0" t="n">
        <v>192.148</v>
      </c>
      <c r="N8" s="0" t="n">
        <v>24222.158</v>
      </c>
      <c r="O8" s="0" t="n">
        <v>21456.479</v>
      </c>
      <c r="P8" s="0" t="n">
        <v>427277.513</v>
      </c>
      <c r="Q8" s="0" t="n">
        <v>336338.644</v>
      </c>
      <c r="R8" s="0" t="n">
        <v>79905.683</v>
      </c>
      <c r="S8" s="0" t="n">
        <v>54161.319</v>
      </c>
      <c r="T8" s="0" t="n">
        <v>1832.1</v>
      </c>
      <c r="U8" s="0" t="n">
        <v>297.589</v>
      </c>
      <c r="AA8" s="0" t="s">
        <v>18</v>
      </c>
      <c r="AB8" s="0" t="s">
        <v>14</v>
      </c>
      <c r="AC8" s="0" t="n">
        <v>2.61</v>
      </c>
      <c r="AD8" s="0" t="n">
        <v>2107.63</v>
      </c>
      <c r="AE8" s="0" t="n">
        <v>490.125</v>
      </c>
      <c r="AF8" s="0" t="n">
        <v>57482.39</v>
      </c>
      <c r="AG8" s="0" t="n">
        <v>12000</v>
      </c>
      <c r="AH8" s="0" t="n">
        <v>695.581</v>
      </c>
      <c r="AI8" s="0" t="n">
        <v>6335.226</v>
      </c>
      <c r="AJ8" s="0" t="n">
        <v>90938.869</v>
      </c>
    </row>
    <row r="9" customFormat="false" ht="15" hidden="false" customHeight="false" outlineLevel="0" collapsed="false">
      <c r="A9" s="0" t="s">
        <v>79</v>
      </c>
      <c r="B9" s="0" t="n">
        <v>142986.284</v>
      </c>
      <c r="C9" s="0" t="n">
        <v>124013.843</v>
      </c>
      <c r="D9" s="0" t="n">
        <v>18972.441</v>
      </c>
      <c r="E9" s="0" t="n">
        <v>13.3</v>
      </c>
      <c r="I9" s="0" t="n">
        <v>4803.839</v>
      </c>
      <c r="J9" s="0" t="n">
        <v>3.4</v>
      </c>
      <c r="K9" s="0" t="n">
        <v>2.21</v>
      </c>
      <c r="L9" s="0" t="n">
        <v>3737.41</v>
      </c>
      <c r="M9" s="0" t="n">
        <v>221.887</v>
      </c>
      <c r="N9" s="0" t="n">
        <v>3515.523</v>
      </c>
      <c r="O9" s="0" t="n">
        <v>25559.87</v>
      </c>
      <c r="P9" s="0" t="n">
        <v>412483.385</v>
      </c>
      <c r="Q9" s="0" t="n">
        <v>309978.492</v>
      </c>
      <c r="R9" s="0" t="n">
        <v>84499.435</v>
      </c>
      <c r="S9" s="0" t="n">
        <v>57259.153</v>
      </c>
      <c r="T9" s="0" t="n">
        <v>1932.387</v>
      </c>
      <c r="U9" s="0" t="n">
        <v>359.655</v>
      </c>
      <c r="AA9" s="0" t="s">
        <v>18</v>
      </c>
      <c r="AB9" s="0" t="s">
        <v>14</v>
      </c>
      <c r="AC9" s="0" t="n">
        <v>2.38</v>
      </c>
      <c r="AD9" s="0" t="n">
        <v>906.058</v>
      </c>
      <c r="AE9" s="0" t="n">
        <v>1129.572</v>
      </c>
      <c r="AF9" s="0" t="n">
        <v>64945.023</v>
      </c>
      <c r="AG9" s="0" t="n">
        <v>12000</v>
      </c>
      <c r="AH9" s="0" t="n">
        <v>535.419</v>
      </c>
      <c r="AI9" s="0" t="n">
        <v>6389.988</v>
      </c>
      <c r="AJ9" s="0" t="n">
        <v>102504.893</v>
      </c>
    </row>
    <row r="10" customFormat="false" ht="15" hidden="false" customHeight="false" outlineLevel="0" collapsed="false">
      <c r="A10" s="0" t="s">
        <v>80</v>
      </c>
      <c r="B10" s="0" t="n">
        <v>136788.517</v>
      </c>
      <c r="C10" s="0" t="n">
        <v>117782.366</v>
      </c>
      <c r="D10" s="0" t="n">
        <v>19006.151</v>
      </c>
      <c r="E10" s="0" t="n">
        <v>13.9</v>
      </c>
      <c r="I10" s="0" t="n">
        <v>3650.585</v>
      </c>
      <c r="J10" s="0" t="n">
        <v>2.7</v>
      </c>
      <c r="K10" s="0" t="n">
        <v>1.54</v>
      </c>
      <c r="L10" s="0" t="n">
        <v>21961.699</v>
      </c>
      <c r="M10" s="0" t="n">
        <v>352.189</v>
      </c>
      <c r="N10" s="0" t="n">
        <v>21609.51</v>
      </c>
      <c r="O10" s="0" t="n">
        <v>30096.85</v>
      </c>
      <c r="P10" s="0" t="n">
        <v>368248.213</v>
      </c>
      <c r="Q10" s="0" t="n">
        <v>272098.92</v>
      </c>
      <c r="R10" s="0" t="n">
        <v>77305.155</v>
      </c>
      <c r="S10" s="0" t="n">
        <v>50625.746</v>
      </c>
      <c r="T10" s="0" t="n">
        <v>2059.569</v>
      </c>
      <c r="U10" s="0" t="n">
        <v>147.367</v>
      </c>
      <c r="AA10" s="0" t="s">
        <v>18</v>
      </c>
      <c r="AB10" s="0" t="s">
        <v>14</v>
      </c>
      <c r="AC10" s="0" t="n">
        <v>1.58</v>
      </c>
      <c r="AD10" s="0" t="n">
        <v>857.449</v>
      </c>
      <c r="AE10" s="0" t="n">
        <v>2134.119</v>
      </c>
      <c r="AF10" s="0" t="n">
        <v>54052.443</v>
      </c>
      <c r="AG10" s="0" t="n">
        <v>12000</v>
      </c>
      <c r="AH10" s="0" t="n">
        <v>467.673</v>
      </c>
      <c r="AI10" s="0" t="n">
        <v>5541.551</v>
      </c>
      <c r="AJ10" s="0" t="n">
        <v>96149.293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81</v>
      </c>
      <c r="B1" s="2" t="s">
        <v>82</v>
      </c>
    </row>
    <row r="2" customFormat="false" ht="15" hidden="false" customHeight="false" outlineLevel="0" collapsed="false">
      <c r="A2" s="0" t="s">
        <v>83</v>
      </c>
      <c r="B2" s="3" t="n">
        <v>13.29</v>
      </c>
    </row>
    <row r="3" customFormat="false" ht="15" hidden="false" customHeight="false" outlineLevel="0" collapsed="false">
      <c r="A3" s="0" t="s">
        <v>84</v>
      </c>
      <c r="B3" s="3" t="n">
        <v>2240.154</v>
      </c>
    </row>
    <row r="4" customFormat="false" ht="15" hidden="false" customHeight="false" outlineLevel="0" collapsed="false">
      <c r="A4" s="0" t="s">
        <v>85</v>
      </c>
      <c r="B4" s="3" t="n">
        <v>0</v>
      </c>
    </row>
    <row r="5" customFormat="false" ht="15" hidden="false" customHeight="false" outlineLevel="0" collapsed="false">
      <c r="A5" s="0" t="s">
        <v>86</v>
      </c>
      <c r="B5" s="3" t="n">
        <v>-10000</v>
      </c>
    </row>
    <row r="6" customFormat="false" ht="15" hidden="false" customHeight="false" outlineLevel="0" collapsed="false">
      <c r="A6" s="0" t="s">
        <v>87</v>
      </c>
      <c r="B6" s="3" t="n">
        <v>15</v>
      </c>
    </row>
    <row r="7" customFormat="false" ht="15" hidden="false" customHeight="false" outlineLevel="0" collapsed="false">
      <c r="A7" s="0" t="s">
        <v>88</v>
      </c>
      <c r="B7" s="3" t="n">
        <v>136788.517</v>
      </c>
    </row>
    <row r="8" customFormat="false" ht="15" hidden="false" customHeight="false" outlineLevel="0" collapsed="false">
      <c r="A8" s="0" t="s">
        <v>89</v>
      </c>
      <c r="B8" s="3" t="s">
        <v>80</v>
      </c>
    </row>
    <row r="9" customFormat="false" ht="15" hidden="false" customHeight="false" outlineLevel="0" collapsed="false">
      <c r="A9" s="0" t="s">
        <v>90</v>
      </c>
      <c r="B9" s="3" t="s">
        <v>91</v>
      </c>
    </row>
    <row r="10" customFormat="false" ht="15" hidden="false" customHeight="false" outlineLevel="0" collapsed="false">
      <c r="A10" s="0" t="s">
        <v>92</v>
      </c>
      <c r="B10" s="3" t="n">
        <v>1.1724</v>
      </c>
    </row>
    <row r="12" customFormat="false" ht="15" hidden="false" customHeight="false" outlineLevel="0" collapsed="false">
      <c r="A12" s="2" t="s">
        <v>93</v>
      </c>
      <c r="C12" s="2" t="s">
        <v>94</v>
      </c>
      <c r="D12" s="2" t="s">
        <v>95</v>
      </c>
      <c r="E12" s="2" t="s">
        <v>96</v>
      </c>
      <c r="F12" s="2" t="s">
        <v>97</v>
      </c>
      <c r="G12" s="2" t="s">
        <v>98</v>
      </c>
      <c r="H12" s="2" t="s">
        <v>99</v>
      </c>
      <c r="I12" s="2" t="s">
        <v>100</v>
      </c>
      <c r="J12" s="2" t="s">
        <v>101</v>
      </c>
      <c r="K12" s="2" t="s">
        <v>102</v>
      </c>
      <c r="L12" s="2" t="s">
        <v>103</v>
      </c>
    </row>
    <row r="13" customFormat="false" ht="15" hidden="false" customHeight="false" outlineLevel="0" collapsed="false">
      <c r="A13" s="0" t="s">
        <v>104</v>
      </c>
      <c r="C13" s="3" t="n">
        <v>-28</v>
      </c>
      <c r="D13" s="3" t="n">
        <v>-12</v>
      </c>
      <c r="E13" s="3" t="n">
        <v>-8</v>
      </c>
      <c r="F13" s="3" t="n">
        <v>-4</v>
      </c>
      <c r="G13" s="3" t="n">
        <v>-2</v>
      </c>
      <c r="H13" s="3" t="n">
        <v>0</v>
      </c>
      <c r="I13" s="3" t="n">
        <v>0</v>
      </c>
      <c r="J13" s="3" t="n">
        <v>0</v>
      </c>
      <c r="K13" s="3" t="n">
        <v>0</v>
      </c>
      <c r="L13" s="3" t="n">
        <v>0</v>
      </c>
    </row>
    <row r="14" customFormat="false" ht="15" hidden="false" customHeight="false" outlineLevel="0" collapsed="false">
      <c r="A14" s="0" t="s">
        <v>105</v>
      </c>
      <c r="C14" s="3" t="n">
        <v>5</v>
      </c>
      <c r="D14" s="3" t="n">
        <v>4.5</v>
      </c>
      <c r="E14" s="3" t="n">
        <v>4.5</v>
      </c>
      <c r="F14" s="3" t="n">
        <v>5</v>
      </c>
      <c r="G14" s="3" t="n">
        <v>5</v>
      </c>
      <c r="H14" s="3" t="n">
        <v>5</v>
      </c>
      <c r="I14" s="3" t="n">
        <v>5</v>
      </c>
      <c r="J14" s="3" t="n">
        <v>5</v>
      </c>
      <c r="K14" s="3" t="n">
        <v>5</v>
      </c>
      <c r="L14" s="3" t="n">
        <v>5</v>
      </c>
    </row>
    <row r="15" customFormat="false" ht="15" hidden="false" customHeight="false" outlineLevel="0" collapsed="false">
      <c r="A15" s="0" t="s">
        <v>106</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107</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108</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109</v>
      </c>
      <c r="C18" s="3" t="n">
        <v>0</v>
      </c>
      <c r="D18" s="3" t="n">
        <v>0</v>
      </c>
      <c r="E18" s="3" t="n">
        <v>0</v>
      </c>
      <c r="F18" s="3" t="n">
        <v>0</v>
      </c>
      <c r="G18" s="3" t="n">
        <v>0</v>
      </c>
      <c r="H18" s="3" t="n">
        <v>0</v>
      </c>
      <c r="I18" s="3" t="n">
        <v>0</v>
      </c>
      <c r="J18" s="3" t="n">
        <v>0</v>
      </c>
      <c r="K18" s="3" t="n">
        <v>0</v>
      </c>
      <c r="L18" s="3" t="n">
        <v>0</v>
      </c>
    </row>
    <row r="19" customFormat="false" ht="15" hidden="false" customHeight="false" outlineLevel="0" collapsed="false">
      <c r="A19" s="0" t="s">
        <v>110</v>
      </c>
      <c r="C19" s="3" t="n">
        <v>55</v>
      </c>
      <c r="D19" s="3" t="n">
        <v>57</v>
      </c>
      <c r="E19" s="3" t="n">
        <v>57</v>
      </c>
      <c r="F19" s="3" t="n">
        <v>57</v>
      </c>
      <c r="G19" s="3" t="n">
        <v>57</v>
      </c>
      <c r="H19" s="3" t="n">
        <v>57</v>
      </c>
      <c r="I19" s="3" t="n">
        <v>57</v>
      </c>
      <c r="J19" s="3" t="n">
        <v>57</v>
      </c>
      <c r="K19" s="3" t="n">
        <v>57</v>
      </c>
      <c r="L19" s="3" t="n">
        <v>57</v>
      </c>
    </row>
    <row r="20" customFormat="false" ht="15" hidden="false" customHeight="false" outlineLevel="0" collapsed="false">
      <c r="A20" s="0" t="s">
        <v>111</v>
      </c>
      <c r="B20" s="3" t="n">
        <v>11</v>
      </c>
    </row>
    <row r="21" customFormat="false" ht="15" hidden="false" customHeight="false" outlineLevel="0" collapsed="false">
      <c r="A21" s="0" t="s">
        <v>112</v>
      </c>
      <c r="B21" s="3" t="n">
        <v>0</v>
      </c>
    </row>
    <row r="22" customFormat="false" ht="15" hidden="false" customHeight="false" outlineLevel="0" collapsed="false">
      <c r="A22" s="0" t="s">
        <v>113</v>
      </c>
      <c r="B22" s="3" t="n">
        <v>5.5</v>
      </c>
    </row>
    <row r="23" customFormat="false" ht="15" hidden="false" customHeight="false" outlineLevel="0" collapsed="false">
      <c r="A23" s="0" t="s">
        <v>114</v>
      </c>
      <c r="B23" s="3" t="n">
        <v>0</v>
      </c>
    </row>
    <row r="24" customFormat="false" ht="15" hidden="false" customHeight="false" outlineLevel="0" collapsed="false">
      <c r="A24" s="0" t="s">
        <v>115</v>
      </c>
      <c r="B24" s="3" t="n">
        <v>0.3</v>
      </c>
    </row>
    <row r="26" customFormat="false" ht="15" hidden="false" customHeight="false" outlineLevel="0" collapsed="false">
      <c r="A26" s="2" t="s">
        <v>116</v>
      </c>
      <c r="C26" s="2" t="s">
        <v>94</v>
      </c>
      <c r="D26" s="2" t="s">
        <v>95</v>
      </c>
      <c r="E26" s="2" t="s">
        <v>96</v>
      </c>
      <c r="F26" s="2" t="s">
        <v>97</v>
      </c>
      <c r="G26" s="2" t="s">
        <v>98</v>
      </c>
      <c r="H26" s="2" t="s">
        <v>99</v>
      </c>
      <c r="I26" s="2" t="s">
        <v>100</v>
      </c>
      <c r="J26" s="2" t="s">
        <v>101</v>
      </c>
      <c r="K26" s="2" t="s">
        <v>102</v>
      </c>
      <c r="L26" s="2" t="s">
        <v>103</v>
      </c>
    </row>
    <row r="27" customFormat="false" ht="15" hidden="false" customHeight="false" outlineLevel="0" collapsed="false">
      <c r="A27" s="0" t="s">
        <v>104</v>
      </c>
      <c r="C27" s="3" t="n">
        <v>-22</v>
      </c>
      <c r="D27" s="3" t="n">
        <v>-6</v>
      </c>
      <c r="E27" s="3" t="n">
        <v>-2</v>
      </c>
      <c r="F27" s="3" t="n">
        <v>1</v>
      </c>
      <c r="G27" s="3" t="n">
        <v>2</v>
      </c>
      <c r="H27" s="3" t="n">
        <v>2</v>
      </c>
      <c r="I27" s="3" t="n">
        <v>2</v>
      </c>
      <c r="J27" s="3" t="n">
        <v>2</v>
      </c>
      <c r="K27" s="3" t="n">
        <v>1.5</v>
      </c>
      <c r="L27" s="3" t="n">
        <v>1.5</v>
      </c>
    </row>
    <row r="28" customFormat="false" ht="15" hidden="false" customHeight="false" outlineLevel="0" collapsed="false">
      <c r="A28" s="0" t="s">
        <v>105</v>
      </c>
      <c r="C28" s="3" t="n">
        <v>6</v>
      </c>
      <c r="D28" s="3" t="n">
        <v>6.5</v>
      </c>
      <c r="E28" s="3" t="n">
        <v>7</v>
      </c>
      <c r="F28" s="3" t="n">
        <v>7.5</v>
      </c>
      <c r="G28" s="3" t="n">
        <v>8</v>
      </c>
      <c r="H28" s="3" t="n">
        <v>8</v>
      </c>
      <c r="I28" s="3" t="n">
        <v>8</v>
      </c>
      <c r="J28" s="3" t="n">
        <v>8</v>
      </c>
      <c r="K28" s="3" t="n">
        <v>8</v>
      </c>
      <c r="L28" s="3" t="n">
        <v>8</v>
      </c>
    </row>
    <row r="29" customFormat="false" ht="15" hidden="false" customHeight="false" outlineLevel="0" collapsed="false">
      <c r="A29" s="0" t="s">
        <v>106</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107</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108</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109</v>
      </c>
      <c r="C32" s="3" t="n">
        <v>0</v>
      </c>
      <c r="D32" s="3" t="n">
        <v>0</v>
      </c>
      <c r="E32" s="3" t="n">
        <v>0</v>
      </c>
      <c r="F32" s="3" t="n">
        <v>0</v>
      </c>
      <c r="G32" s="3" t="n">
        <v>0</v>
      </c>
      <c r="H32" s="3" t="n">
        <v>0</v>
      </c>
      <c r="I32" s="3" t="n">
        <v>0</v>
      </c>
      <c r="J32" s="3" t="n">
        <v>0</v>
      </c>
      <c r="K32" s="3" t="n">
        <v>0</v>
      </c>
      <c r="L32" s="3" t="n">
        <v>0</v>
      </c>
    </row>
    <row r="33" customFormat="false" ht="15" hidden="false" customHeight="false" outlineLevel="0" collapsed="false">
      <c r="A33" s="0" t="s">
        <v>110</v>
      </c>
      <c r="C33" s="3" t="n">
        <v>50</v>
      </c>
      <c r="D33" s="3" t="n">
        <v>52</v>
      </c>
      <c r="E33" s="3" t="n">
        <v>52</v>
      </c>
      <c r="F33" s="3" t="n">
        <v>52</v>
      </c>
      <c r="G33" s="3" t="n">
        <v>52</v>
      </c>
      <c r="H33" s="3" t="n">
        <v>52</v>
      </c>
      <c r="I33" s="3" t="n">
        <v>52</v>
      </c>
      <c r="J33" s="3" t="n">
        <v>52</v>
      </c>
      <c r="K33" s="3" t="n">
        <v>52</v>
      </c>
      <c r="L33" s="3" t="n">
        <v>52</v>
      </c>
    </row>
    <row r="34" customFormat="false" ht="15" hidden="false" customHeight="false" outlineLevel="0" collapsed="false">
      <c r="A34" s="0" t="s">
        <v>111</v>
      </c>
      <c r="B34" s="3" t="n">
        <v>11</v>
      </c>
    </row>
    <row r="35" customFormat="false" ht="15" hidden="false" customHeight="false" outlineLevel="0" collapsed="false">
      <c r="A35" s="0" t="s">
        <v>112</v>
      </c>
      <c r="B35" s="3" t="n">
        <v>1</v>
      </c>
    </row>
    <row r="36" customFormat="false" ht="15" hidden="false" customHeight="false" outlineLevel="0" collapsed="false">
      <c r="A36" s="0" t="s">
        <v>113</v>
      </c>
      <c r="B36" s="3" t="n">
        <v>6.5</v>
      </c>
    </row>
    <row r="37" customFormat="false" ht="15" hidden="false" customHeight="false" outlineLevel="0" collapsed="false">
      <c r="A37" s="0" t="s">
        <v>114</v>
      </c>
      <c r="B37" s="3" t="n">
        <v>0</v>
      </c>
    </row>
    <row r="38" customFormat="false" ht="15" hidden="false" customHeight="false" outlineLevel="0" collapsed="false">
      <c r="A38" s="0" t="s">
        <v>115</v>
      </c>
      <c r="B38" s="3" t="n">
        <v>0.5</v>
      </c>
    </row>
    <row r="40" customFormat="false" ht="15" hidden="false" customHeight="false" outlineLevel="0" collapsed="false">
      <c r="A40" s="2" t="s">
        <v>117</v>
      </c>
      <c r="C40" s="2" t="s">
        <v>94</v>
      </c>
      <c r="D40" s="2" t="s">
        <v>95</v>
      </c>
      <c r="E40" s="2" t="s">
        <v>96</v>
      </c>
      <c r="F40" s="2" t="s">
        <v>97</v>
      </c>
      <c r="G40" s="2" t="s">
        <v>98</v>
      </c>
      <c r="H40" s="2" t="s">
        <v>99</v>
      </c>
      <c r="I40" s="2" t="s">
        <v>100</v>
      </c>
      <c r="J40" s="2" t="s">
        <v>101</v>
      </c>
      <c r="K40" s="2" t="s">
        <v>102</v>
      </c>
      <c r="L40" s="2" t="s">
        <v>103</v>
      </c>
    </row>
    <row r="41" customFormat="false" ht="15" hidden="false" customHeight="false" outlineLevel="0" collapsed="false">
      <c r="A41" s="0" t="s">
        <v>104</v>
      </c>
      <c r="C41" s="3" t="n">
        <v>-15</v>
      </c>
      <c r="D41" s="3" t="n">
        <v>0</v>
      </c>
      <c r="E41" s="3" t="n">
        <v>4</v>
      </c>
      <c r="F41" s="3" t="n">
        <v>5</v>
      </c>
      <c r="G41" s="3" t="n">
        <v>4</v>
      </c>
      <c r="H41" s="3" t="n">
        <v>3</v>
      </c>
      <c r="I41" s="3" t="n">
        <v>3</v>
      </c>
      <c r="J41" s="3" t="n">
        <v>3</v>
      </c>
      <c r="K41" s="3" t="n">
        <v>3</v>
      </c>
      <c r="L41" s="3" t="n">
        <v>3</v>
      </c>
    </row>
    <row r="42" customFormat="false" ht="15" hidden="false" customHeight="false" outlineLevel="0" collapsed="false">
      <c r="A42" s="0" t="s">
        <v>105</v>
      </c>
      <c r="C42" s="3" t="n">
        <v>6.5</v>
      </c>
      <c r="D42" s="3" t="n">
        <v>7.5</v>
      </c>
      <c r="E42" s="3" t="n">
        <v>8.5</v>
      </c>
      <c r="F42" s="3" t="n">
        <v>9</v>
      </c>
      <c r="G42" s="3" t="n">
        <v>9.5</v>
      </c>
      <c r="H42" s="3" t="n">
        <v>9.5</v>
      </c>
      <c r="I42" s="3" t="n">
        <v>9.5</v>
      </c>
      <c r="J42" s="3" t="n">
        <v>9.5</v>
      </c>
      <c r="K42" s="3" t="n">
        <v>9.5</v>
      </c>
      <c r="L42" s="3" t="n">
        <v>9.5</v>
      </c>
    </row>
    <row r="43" customFormat="false" ht="15" hidden="false" customHeight="false" outlineLevel="0" collapsed="false">
      <c r="A43" s="0" t="s">
        <v>106</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107</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108</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109</v>
      </c>
      <c r="C46" s="3" t="n">
        <v>0</v>
      </c>
      <c r="D46" s="3" t="n">
        <v>0</v>
      </c>
      <c r="E46" s="3" t="n">
        <v>0</v>
      </c>
      <c r="F46" s="3" t="n">
        <v>0</v>
      </c>
      <c r="G46" s="3" t="n">
        <v>0</v>
      </c>
      <c r="H46" s="3" t="n">
        <v>0</v>
      </c>
      <c r="I46" s="3" t="n">
        <v>0</v>
      </c>
      <c r="J46" s="3" t="n">
        <v>0</v>
      </c>
      <c r="K46" s="3" t="n">
        <v>0</v>
      </c>
      <c r="L46" s="3" t="n">
        <v>0</v>
      </c>
    </row>
    <row r="47" customFormat="false" ht="15" hidden="false" customHeight="false" outlineLevel="0" collapsed="false">
      <c r="A47" s="0" t="s">
        <v>110</v>
      </c>
      <c r="C47" s="3" t="n">
        <v>46</v>
      </c>
      <c r="D47" s="3" t="n">
        <v>48</v>
      </c>
      <c r="E47" s="3" t="n">
        <v>48</v>
      </c>
      <c r="F47" s="3" t="n">
        <v>48</v>
      </c>
      <c r="G47" s="3" t="n">
        <v>48</v>
      </c>
      <c r="H47" s="3" t="n">
        <v>48</v>
      </c>
      <c r="I47" s="3" t="n">
        <v>48</v>
      </c>
      <c r="J47" s="3" t="n">
        <v>48</v>
      </c>
      <c r="K47" s="3" t="n">
        <v>48</v>
      </c>
      <c r="L47" s="3" t="n">
        <v>48</v>
      </c>
    </row>
    <row r="48" customFormat="false" ht="15" hidden="false" customHeight="false" outlineLevel="0" collapsed="false">
      <c r="A48" s="0" t="s">
        <v>111</v>
      </c>
      <c r="B48" s="3" t="n">
        <v>11</v>
      </c>
    </row>
    <row r="49" customFormat="false" ht="15" hidden="false" customHeight="false" outlineLevel="0" collapsed="false">
      <c r="A49" s="0" t="s">
        <v>112</v>
      </c>
      <c r="B49" s="3" t="n">
        <v>2</v>
      </c>
    </row>
    <row r="50" customFormat="false" ht="15" hidden="false" customHeight="false" outlineLevel="0" collapsed="false">
      <c r="A50" s="0" t="s">
        <v>113</v>
      </c>
      <c r="B50" s="3" t="n">
        <v>8.5</v>
      </c>
    </row>
    <row r="51" customFormat="false" ht="15" hidden="false" customHeight="false" outlineLevel="0" collapsed="false">
      <c r="A51" s="0" t="s">
        <v>114</v>
      </c>
      <c r="B51" s="3" t="n">
        <v>0</v>
      </c>
    </row>
    <row r="52" customFormat="false" ht="15" hidden="false" customHeight="false" outlineLevel="0" collapsed="false">
      <c r="A52" s="0" t="s">
        <v>115</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118</v>
      </c>
    </row>
    <row r="3" customFormat="false" ht="15" hidden="false" customHeight="false" outlineLevel="0" collapsed="false">
      <c r="A3" s="0" t="s">
        <v>119</v>
      </c>
      <c r="B3" s="0" t="s">
        <v>80</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Assumptions!C13</f>
        <v>-28</v>
      </c>
      <c r="D5" s="4" t="n">
        <f aca="false">Assumptions!D13</f>
        <v>-12</v>
      </c>
      <c r="E5" s="4" t="n">
        <f aca="false">Assumptions!E13</f>
        <v>-8</v>
      </c>
      <c r="F5" s="4" t="n">
        <f aca="false">Assumptions!F13</f>
        <v>-4</v>
      </c>
      <c r="G5" s="4" t="n">
        <f aca="false">Assumptions!G13</f>
        <v>-2</v>
      </c>
      <c r="H5" s="4" t="n">
        <f aca="false">Assumptions!H13</f>
        <v>0</v>
      </c>
      <c r="I5" s="4" t="n">
        <f aca="false">Assumptions!I13</f>
        <v>0</v>
      </c>
      <c r="J5" s="4" t="n">
        <f aca="false">Assumptions!J13</f>
        <v>0</v>
      </c>
      <c r="K5" s="4" t="n">
        <f aca="false">Assumptions!K13</f>
        <v>0</v>
      </c>
      <c r="L5" s="4" t="n">
        <f aca="false">Assumptions!L13</f>
        <v>0</v>
      </c>
    </row>
    <row r="6" customFormat="false" ht="15" hidden="false" customHeight="false" outlineLevel="0" collapsed="false">
      <c r="A6" s="0" t="s">
        <v>38</v>
      </c>
      <c r="B6" s="3" t="n">
        <v>136788.517</v>
      </c>
      <c r="C6" s="0" t="n">
        <f aca="false">B6*(1+C5/100)</f>
        <v>98487.73224</v>
      </c>
      <c r="D6" s="0" t="n">
        <f aca="false">C6*(1+D5/100)</f>
        <v>86669.2043712</v>
      </c>
      <c r="E6" s="0" t="n">
        <f aca="false">D6*(1+E5/100)</f>
        <v>79735.668021504</v>
      </c>
      <c r="F6" s="0" t="n">
        <f aca="false">E6*(1+F5/100)</f>
        <v>76546.2413006438</v>
      </c>
      <c r="G6" s="0" t="n">
        <f aca="false">F6*(1+G5/100)</f>
        <v>75015.316474631</v>
      </c>
      <c r="H6" s="0" t="n">
        <f aca="false">G6*(1+H5/100)</f>
        <v>75015.316474631</v>
      </c>
      <c r="I6" s="0" t="n">
        <f aca="false">H6*(1+I5/100)</f>
        <v>75015.316474631</v>
      </c>
      <c r="J6" s="0" t="n">
        <f aca="false">I6*(1+J5/100)</f>
        <v>75015.316474631</v>
      </c>
      <c r="K6" s="0" t="n">
        <f aca="false">J6*(1+K5/100)</f>
        <v>75015.316474631</v>
      </c>
      <c r="L6" s="0" t="n">
        <f aca="false">K6*(1+L5/100)</f>
        <v>75015.316474631</v>
      </c>
    </row>
    <row r="7" customFormat="false" ht="15" hidden="false" customHeight="false" outlineLevel="0" collapsed="false">
      <c r="A7" s="0" t="s">
        <v>105</v>
      </c>
      <c r="C7" s="4" t="n">
        <f aca="false">Assumptions!C14</f>
        <v>5</v>
      </c>
      <c r="D7" s="4" t="n">
        <f aca="false">Assumptions!D14</f>
        <v>4.5</v>
      </c>
      <c r="E7" s="4" t="n">
        <f aca="false">Assumptions!E14</f>
        <v>4.5</v>
      </c>
      <c r="F7" s="4" t="n">
        <f aca="false">Assumptions!F14</f>
        <v>5</v>
      </c>
      <c r="G7" s="4" t="n">
        <f aca="false">Assumptions!G14</f>
        <v>5</v>
      </c>
      <c r="H7" s="4" t="n">
        <f aca="false">Assumptions!H14</f>
        <v>5</v>
      </c>
      <c r="I7" s="4" t="n">
        <f aca="false">Assumptions!I14</f>
        <v>5</v>
      </c>
      <c r="J7" s="4" t="n">
        <f aca="false">Assumptions!J14</f>
        <v>5</v>
      </c>
      <c r="K7" s="4" t="n">
        <f aca="false">Assumptions!K14</f>
        <v>5</v>
      </c>
      <c r="L7" s="4" t="n">
        <f aca="false">Assumptions!L14</f>
        <v>5</v>
      </c>
    </row>
    <row r="8" customFormat="false" ht="15" hidden="false" customHeight="false" outlineLevel="0" collapsed="false">
      <c r="A8" s="0" t="s">
        <v>44</v>
      </c>
      <c r="C8" s="0" t="n">
        <f aca="false">C6*C7/100</f>
        <v>4924.386612</v>
      </c>
      <c r="D8" s="0" t="n">
        <f aca="false">D6*D7/100</f>
        <v>3900.114196704</v>
      </c>
      <c r="E8" s="0" t="n">
        <f aca="false">E6*E7/100</f>
        <v>3588.10506096768</v>
      </c>
      <c r="F8" s="0" t="n">
        <f aca="false">F6*F7/100</f>
        <v>3827.31206503219</v>
      </c>
      <c r="G8" s="0" t="n">
        <f aca="false">G6*G7/100</f>
        <v>3750.76582373155</v>
      </c>
      <c r="H8" s="0" t="n">
        <f aca="false">H6*H7/100</f>
        <v>3750.76582373155</v>
      </c>
      <c r="I8" s="0" t="n">
        <f aca="false">I6*I7/100</f>
        <v>3750.76582373155</v>
      </c>
      <c r="J8" s="0" t="n">
        <f aca="false">J6*J7/100</f>
        <v>3750.76582373155</v>
      </c>
      <c r="K8" s="0" t="n">
        <f aca="false">K6*K7/100</f>
        <v>3750.76582373155</v>
      </c>
      <c r="L8" s="0" t="n">
        <f aca="false">L6*L7/100</f>
        <v>3750.76582373155</v>
      </c>
    </row>
    <row r="9" customFormat="false" ht="15" hidden="false" customHeight="false" outlineLevel="0" collapsed="false">
      <c r="A9" s="0" t="s">
        <v>106</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122</v>
      </c>
      <c r="C11" s="0" t="n">
        <f aca="false">C8+C10+C24</f>
        <v>4924.386612</v>
      </c>
      <c r="D11" s="0" t="n">
        <f aca="false">D8+D10+D24</f>
        <v>3900.114196704</v>
      </c>
      <c r="E11" s="0" t="n">
        <f aca="false">E8+E10+E24</f>
        <v>3588.10506096768</v>
      </c>
      <c r="F11" s="0" t="n">
        <f aca="false">F8+F10+F24</f>
        <v>3827.31206503219</v>
      </c>
      <c r="G11" s="0" t="n">
        <f aca="false">G8+G10+G24</f>
        <v>3750.76582373155</v>
      </c>
      <c r="H11" s="0" t="n">
        <f aca="false">H8+H10+H24</f>
        <v>3750.76582373155</v>
      </c>
      <c r="I11" s="0" t="n">
        <f aca="false">I8+I10+I24</f>
        <v>3750.76582373155</v>
      </c>
      <c r="J11" s="0" t="n">
        <f aca="false">J8+J10+J24</f>
        <v>3750.76582373155</v>
      </c>
      <c r="K11" s="0" t="n">
        <f aca="false">K8+K10+K24</f>
        <v>3750.76582373155</v>
      </c>
      <c r="L11" s="0" t="n">
        <f aca="false">L8+L10+L24</f>
        <v>3750.76582373155</v>
      </c>
    </row>
    <row r="12" customFormat="false" ht="15" hidden="false" customHeight="false" outlineLevel="0" collapsed="false">
      <c r="A12" s="0" t="s">
        <v>123</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124</v>
      </c>
      <c r="C13" s="0" t="n">
        <f aca="false">C11+C12</f>
        <v>4924.386612</v>
      </c>
      <c r="D13" s="0" t="n">
        <f aca="false">D11+D12</f>
        <v>3900.114196704</v>
      </c>
      <c r="E13" s="0" t="n">
        <f aca="false">E11+E12</f>
        <v>3588.10506096768</v>
      </c>
      <c r="F13" s="0" t="n">
        <f aca="false">F11+F12</f>
        <v>3827.31206503219</v>
      </c>
      <c r="G13" s="0" t="n">
        <f aca="false">G11+G12</f>
        <v>3750.76582373155</v>
      </c>
      <c r="H13" s="0" t="n">
        <f aca="false">H11+H12</f>
        <v>3750.76582373155</v>
      </c>
      <c r="I13" s="0" t="n">
        <f aca="false">I11+I12</f>
        <v>3750.76582373155</v>
      </c>
      <c r="J13" s="0" t="n">
        <f aca="false">J11+J12</f>
        <v>3750.76582373155</v>
      </c>
      <c r="K13" s="0" t="n">
        <f aca="false">K11+K12</f>
        <v>3750.76582373155</v>
      </c>
      <c r="L13" s="0" t="n">
        <f aca="false">L11+L12</f>
        <v>3750.76582373155</v>
      </c>
    </row>
    <row r="14" customFormat="false" ht="15" hidden="false" customHeight="false" outlineLevel="0" collapsed="false">
      <c r="A14" s="0" t="s">
        <v>110</v>
      </c>
      <c r="C14" s="4" t="n">
        <f aca="false">Assumptions!C19</f>
        <v>55</v>
      </c>
      <c r="D14" s="4" t="n">
        <f aca="false">Assumptions!D19</f>
        <v>57</v>
      </c>
      <c r="E14" s="4" t="n">
        <f aca="false">Assumptions!E19</f>
        <v>57</v>
      </c>
      <c r="F14" s="4" t="n">
        <f aca="false">Assumptions!F19</f>
        <v>57</v>
      </c>
      <c r="G14" s="4" t="n">
        <f aca="false">Assumptions!G19</f>
        <v>57</v>
      </c>
      <c r="H14" s="4" t="n">
        <f aca="false">Assumptions!H19</f>
        <v>57</v>
      </c>
      <c r="I14" s="4" t="n">
        <f aca="false">Assumptions!I19</f>
        <v>57</v>
      </c>
      <c r="J14" s="4" t="n">
        <f aca="false">Assumptions!J19</f>
        <v>57</v>
      </c>
      <c r="K14" s="4" t="n">
        <f aca="false">Assumptions!K19</f>
        <v>57</v>
      </c>
      <c r="L14" s="4" t="n">
        <f aca="false">Assumptions!L19</f>
        <v>57</v>
      </c>
    </row>
    <row r="15" customFormat="false" ht="15" hidden="false" customHeight="false" outlineLevel="0" collapsed="false">
      <c r="A15" s="0" t="s">
        <v>125</v>
      </c>
      <c r="C15" s="0" t="n">
        <f aca="false">C13-MAX(0,C13)*C14/100</f>
        <v>2215.9739754</v>
      </c>
      <c r="D15" s="0" t="n">
        <f aca="false">D13-MAX(0,D13)*D14/100</f>
        <v>1677.04910458272</v>
      </c>
      <c r="E15" s="0" t="n">
        <f aca="false">E13-MAX(0,E13)*E14/100</f>
        <v>1542.8851762161</v>
      </c>
      <c r="F15" s="0" t="n">
        <f aca="false">F13-MAX(0,F13)*F14/100</f>
        <v>1645.74418796384</v>
      </c>
      <c r="G15" s="0" t="n">
        <f aca="false">G13-MAX(0,G13)*G14/100</f>
        <v>1612.82930420457</v>
      </c>
      <c r="H15" s="0" t="n">
        <f aca="false">H13-MAX(0,H13)*H14/100</f>
        <v>1612.82930420457</v>
      </c>
      <c r="I15" s="0" t="n">
        <f aca="false">I13-MAX(0,I13)*I14/100</f>
        <v>1612.82930420457</v>
      </c>
      <c r="J15" s="0" t="n">
        <f aca="false">J13-MAX(0,J13)*J14/100</f>
        <v>1612.82930420457</v>
      </c>
      <c r="K15" s="0" t="n">
        <f aca="false">K13-MAX(0,K13)*K14/100</f>
        <v>1612.82930420457</v>
      </c>
      <c r="L15" s="0" t="n">
        <f aca="false">L13-MAX(0,L13)*L14/100</f>
        <v>1612.82930420457</v>
      </c>
    </row>
    <row r="16" customFormat="false" ht="15" hidden="false" customHeight="false" outlineLevel="0" collapsed="false">
      <c r="A16" s="0" t="s">
        <v>126</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127</v>
      </c>
      <c r="C17" s="4" t="n">
        <f aca="false">-C6*Assumptions!C18/100</f>
        <v>-0</v>
      </c>
      <c r="D17" s="4" t="n">
        <f aca="false">-D6*Assumptions!D18/100</f>
        <v>-0</v>
      </c>
      <c r="E17" s="4" t="n">
        <f aca="false">-E6*Assumptions!E18/100</f>
        <v>-0</v>
      </c>
      <c r="F17" s="4" t="n">
        <f aca="false">-F6*Assumptions!F18/100</f>
        <v>-0</v>
      </c>
      <c r="G17" s="4" t="n">
        <f aca="false">-G6*Assumptions!G18/100</f>
        <v>-0</v>
      </c>
      <c r="H17" s="4" t="n">
        <f aca="false">-H6*Assumptions!H18/100</f>
        <v>-0</v>
      </c>
      <c r="I17" s="4" t="n">
        <f aca="false">-I6*Assumptions!I18/100</f>
        <v>-0</v>
      </c>
      <c r="J17" s="4" t="n">
        <f aca="false">-J6*Assumptions!J18/100</f>
        <v>-0</v>
      </c>
      <c r="K17" s="4" t="n">
        <f aca="false">-K6*Assumptions!K18/100</f>
        <v>-0</v>
      </c>
      <c r="L17" s="4" t="n">
        <f aca="false">-L6*Assumptions!L18/100</f>
        <v>-0</v>
      </c>
    </row>
    <row r="18" customFormat="false" ht="15" hidden="false" customHeight="false" outlineLevel="0" collapsed="false">
      <c r="A18" s="0" t="s">
        <v>128</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129</v>
      </c>
      <c r="C19" s="0" t="n">
        <f aca="false">C15+C16+C17+C18</f>
        <v>2215.9739754</v>
      </c>
      <c r="D19" s="0" t="n">
        <f aca="false">D15+D16+D17+D18</f>
        <v>1677.04910458272</v>
      </c>
      <c r="E19" s="0" t="n">
        <f aca="false">E15+E16+E17+E18</f>
        <v>1542.8851762161</v>
      </c>
      <c r="F19" s="0" t="n">
        <f aca="false">F15+F16+F17+F18</f>
        <v>1645.74418796384</v>
      </c>
      <c r="G19" s="0" t="n">
        <f aca="false">G15+G16+G17+G18</f>
        <v>1612.82930420457</v>
      </c>
      <c r="H19" s="0" t="n">
        <f aca="false">H15+H16+H17+H18</f>
        <v>1612.82930420457</v>
      </c>
      <c r="I19" s="0" t="n">
        <f aca="false">I15+I16+I17+I18</f>
        <v>1612.82930420457</v>
      </c>
      <c r="J19" s="0" t="n">
        <f aca="false">J15+J16+J17+J18</f>
        <v>1612.82930420457</v>
      </c>
      <c r="K19" s="0" t="n">
        <f aca="false">K15+K16+K17+K18</f>
        <v>1612.82930420457</v>
      </c>
      <c r="L19" s="0" t="n">
        <f aca="false">L15+L16+L17+L18</f>
        <v>1612.82930420457</v>
      </c>
    </row>
    <row r="20" customFormat="false" ht="15" hidden="false" customHeight="false" outlineLevel="0" collapsed="false">
      <c r="A20" s="0" t="s">
        <v>130</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131</v>
      </c>
      <c r="C21" s="0" t="n">
        <f aca="false">C19*C20</f>
        <v>1996.37295081081</v>
      </c>
      <c r="D21" s="0" t="n">
        <f aca="false">D19*D20</f>
        <v>1361.13067493119</v>
      </c>
      <c r="E21" s="0" t="n">
        <f aca="false">E19*E20</f>
        <v>1128.14434318621</v>
      </c>
      <c r="F21" s="0" t="n">
        <f aca="false">F19*F20</f>
        <v>1084.10267213089</v>
      </c>
      <c r="G21" s="0" t="n">
        <f aca="false">G19*G20</f>
        <v>957.135692511961</v>
      </c>
      <c r="H21" s="0" t="n">
        <f aca="false">H19*H20</f>
        <v>862.284407668433</v>
      </c>
      <c r="I21" s="0" t="n">
        <f aca="false">I19*I20</f>
        <v>776.832799701291</v>
      </c>
      <c r="J21" s="0" t="n">
        <f aca="false">J19*J20</f>
        <v>699.849369100262</v>
      </c>
      <c r="K21" s="0" t="n">
        <f aca="false">K19*K20</f>
        <v>630.494927117353</v>
      </c>
      <c r="L21" s="0" t="n">
        <f aca="false">L19*L20</f>
        <v>568.013447853471</v>
      </c>
    </row>
    <row r="23" customFormat="false" ht="15" hidden="false" customHeight="false" outlineLevel="0" collapsed="false">
      <c r="A23" s="0" t="s">
        <v>107</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Assumptions!$B$20</f>
        <v>11</v>
      </c>
    </row>
    <row r="28" customFormat="false" ht="15" hidden="false" customHeight="false" outlineLevel="0" collapsed="false">
      <c r="A28" s="0" t="s">
        <v>112</v>
      </c>
      <c r="B28" s="4" t="n">
        <f aca="false">Assumptions!$B$21</f>
        <v>0</v>
      </c>
    </row>
    <row r="29" customFormat="false" ht="15" hidden="false" customHeight="false" outlineLevel="0" collapsed="false">
      <c r="A29" s="0" t="s">
        <v>113</v>
      </c>
      <c r="B29" s="4" t="n">
        <f aca="false">Assumptions!$B$22</f>
        <v>5.5</v>
      </c>
    </row>
    <row r="30" customFormat="false" ht="15" hidden="false" customHeight="false" outlineLevel="0" collapsed="false">
      <c r="A30" s="0" t="s">
        <v>134</v>
      </c>
      <c r="B30" s="0" t="n">
        <f aca="false">SUM(C21:L21)</f>
        <v>10064.3612850119</v>
      </c>
    </row>
    <row r="31" customFormat="false" ht="15" hidden="false" customHeight="false" outlineLevel="0" collapsed="false">
      <c r="A31" s="0" t="s">
        <v>135</v>
      </c>
      <c r="B31" s="0" t="n">
        <f aca="false">L19</f>
        <v>1612.82930420457</v>
      </c>
    </row>
    <row r="32" customFormat="false" ht="15" hidden="false" customHeight="false" outlineLevel="0" collapsed="false">
      <c r="A32" s="0" t="s">
        <v>136</v>
      </c>
      <c r="B32" s="0" t="n">
        <f aca="false">IF(B27&gt;B28,B31*(1+B28/100)/((B27-B28)/100),B31*B29)</f>
        <v>14662.0845836779</v>
      </c>
    </row>
    <row r="33" customFormat="false" ht="15" hidden="false" customHeight="false" outlineLevel="0" collapsed="false">
      <c r="A33" s="0" t="s">
        <v>137</v>
      </c>
      <c r="B33" s="0" t="n">
        <f aca="false">B31*B29</f>
        <v>8870.56117312511</v>
      </c>
    </row>
    <row r="34" customFormat="false" ht="15" hidden="false" customHeight="false" outlineLevel="0" collapsed="false">
      <c r="A34" s="0" t="s">
        <v>138</v>
      </c>
      <c r="B34" s="0" t="n">
        <f aca="false">MAX(0,MIN(B32,B33))</f>
        <v>8870.56117312511</v>
      </c>
    </row>
    <row r="35" customFormat="false" ht="15" hidden="false" customHeight="false" outlineLevel="0" collapsed="false">
      <c r="A35" s="0" t="s">
        <v>139</v>
      </c>
      <c r="B35" s="0" t="n">
        <f aca="false">B34/(1+B27/100)^L4</f>
        <v>3124.07396319409</v>
      </c>
    </row>
    <row r="36" customFormat="false" ht="15" hidden="false" customHeight="false" outlineLevel="0" collapsed="false">
      <c r="A36" s="0" t="s">
        <v>140</v>
      </c>
      <c r="B36" s="0" t="n">
        <f aca="false">B30+B35</f>
        <v>13188.435248206</v>
      </c>
    </row>
    <row r="37" customFormat="false" ht="15" hidden="false" customHeight="false" outlineLevel="0" collapsed="false">
      <c r="A37" s="0" t="s">
        <v>141</v>
      </c>
      <c r="B37" s="0" t="n">
        <f aca="false">B36+Assumptions!$B$5-Assumptions!$B$4</f>
        <v>3188.43524820597</v>
      </c>
    </row>
    <row r="38" customFormat="false" ht="15" hidden="false" customHeight="false" outlineLevel="0" collapsed="false">
      <c r="A38" s="0" t="s">
        <v>142</v>
      </c>
      <c r="B38" s="0" t="n">
        <f aca="false">B37/Assumptions!$B$3*Assumptions!$B$10</f>
        <v>1.66868951196957</v>
      </c>
    </row>
    <row r="39" customFormat="false" ht="15" hidden="false" customHeight="false" outlineLevel="0" collapsed="false">
      <c r="A39" s="0" t="s">
        <v>143</v>
      </c>
      <c r="B39" s="4" t="n">
        <f aca="false">B38/Assumptions!$B$2-1</f>
        <v>-0.874440217308535</v>
      </c>
    </row>
    <row r="41" customFormat="false" ht="15" hidden="false" customHeight="false" outlineLevel="0" collapsed="false">
      <c r="A41" s="0" t="s">
        <v>144</v>
      </c>
      <c r="B41" s="0" t="n">
        <f aca="false">SUMPRODUCT(-C10:L10/(1+$B$27/100)^C4:L4)</f>
        <v>0</v>
      </c>
    </row>
    <row r="42" customFormat="false" ht="15" hidden="false" customHeight="false" outlineLevel="0" collapsed="false">
      <c r="A42" s="0" t="s">
        <v>145</v>
      </c>
      <c r="B42" s="0" t="n">
        <f aca="false">IF(B27&gt;B28,-L10*(1+B28/100)/((B27-B28)/100),-L10*20)/(1+B27/100)^L4</f>
        <v>0</v>
      </c>
    </row>
    <row r="43" customFormat="false" ht="15" hidden="false" customHeight="false" outlineLevel="0" collapsed="false">
      <c r="A43" s="0" t="s">
        <v>146</v>
      </c>
      <c r="B43" s="0" t="n">
        <f aca="false">(B37+B41+B42)/Assumptions!$B$3*Assumptions!$B$10</f>
        <v>1.66868951196957</v>
      </c>
    </row>
    <row r="45" customFormat="false" ht="15" hidden="false" customHeight="false" outlineLevel="0" collapsed="false">
      <c r="A45" s="0" t="s">
        <v>87</v>
      </c>
      <c r="B45" s="4" t="n">
        <f aca="false">Assumptions!$B$6</f>
        <v>15</v>
      </c>
    </row>
    <row r="46" customFormat="false" ht="15" hidden="false" customHeight="false" outlineLevel="0" collapsed="false">
      <c r="A46" s="0" t="s">
        <v>147</v>
      </c>
      <c r="B46" s="0" t="n">
        <f aca="false">MAX(0,MIN(IF(B45&gt;B28,B31*(1+B28/100)/((B45-B28)/100),B31*B29),B31*B29))</f>
        <v>8870.56117312511</v>
      </c>
    </row>
    <row r="47" customFormat="false" ht="15" hidden="false" customHeight="false" outlineLevel="0" collapsed="false">
      <c r="A47" s="0" t="s">
        <v>148</v>
      </c>
      <c r="B47" s="0" t="n">
        <f aca="false">(SUMPRODUCT(C19:L19/(1+B45/100)^C4:L4)+B46/(1+B45/100)^L4+Assumptions!$B$5-Assumptions!$B$4)/Assumptions!$B$3*Assumptions!$B$10</f>
        <v>0.435928530730986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119</v>
      </c>
      <c r="B3" s="0" t="s">
        <v>80</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Assumptions!C27</f>
        <v>-22</v>
      </c>
      <c r="D5" s="4" t="n">
        <f aca="false">Assumptions!D27</f>
        <v>-6</v>
      </c>
      <c r="E5" s="4" t="n">
        <f aca="false">Assumptions!E27</f>
        <v>-2</v>
      </c>
      <c r="F5" s="4" t="n">
        <f aca="false">Assumptions!F27</f>
        <v>1</v>
      </c>
      <c r="G5" s="4" t="n">
        <f aca="false">Assumptions!G27</f>
        <v>2</v>
      </c>
      <c r="H5" s="4" t="n">
        <f aca="false">Assumptions!H27</f>
        <v>2</v>
      </c>
      <c r="I5" s="4" t="n">
        <f aca="false">Assumptions!I27</f>
        <v>2</v>
      </c>
      <c r="J5" s="4" t="n">
        <f aca="false">Assumptions!J27</f>
        <v>2</v>
      </c>
      <c r="K5" s="4" t="n">
        <f aca="false">Assumptions!K27</f>
        <v>1.5</v>
      </c>
      <c r="L5" s="4" t="n">
        <f aca="false">Assumptions!L27</f>
        <v>1.5</v>
      </c>
    </row>
    <row r="6" customFormat="false" ht="15" hidden="false" customHeight="false" outlineLevel="0" collapsed="false">
      <c r="A6" s="0" t="s">
        <v>38</v>
      </c>
      <c r="B6" s="3" t="n">
        <v>136788.517</v>
      </c>
      <c r="C6" s="0" t="n">
        <f aca="false">B6*(1+C5/100)</f>
        <v>106695.04326</v>
      </c>
      <c r="D6" s="0" t="n">
        <f aca="false">C6*(1+D5/100)</f>
        <v>100293.3406644</v>
      </c>
      <c r="E6" s="0" t="n">
        <f aca="false">D6*(1+E5/100)</f>
        <v>98287.473851112</v>
      </c>
      <c r="F6" s="0" t="n">
        <f aca="false">E6*(1+F5/100)</f>
        <v>99270.3485896231</v>
      </c>
      <c r="G6" s="0" t="n">
        <f aca="false">F6*(1+G5/100)</f>
        <v>101255.755561416</v>
      </c>
      <c r="H6" s="0" t="n">
        <f aca="false">G6*(1+H5/100)</f>
        <v>103280.870672644</v>
      </c>
      <c r="I6" s="0" t="n">
        <f aca="false">H6*(1+I5/100)</f>
        <v>105346.488086097</v>
      </c>
      <c r="J6" s="0" t="n">
        <f aca="false">I6*(1+J5/100)</f>
        <v>107453.417847819</v>
      </c>
      <c r="K6" s="0" t="n">
        <f aca="false">J6*(1+K5/100)</f>
        <v>109065.219115536</v>
      </c>
      <c r="L6" s="0" t="n">
        <f aca="false">K6*(1+L5/100)</f>
        <v>110701.197402269</v>
      </c>
    </row>
    <row r="7" customFormat="false" ht="15" hidden="false" customHeight="false" outlineLevel="0" collapsed="false">
      <c r="A7" s="0" t="s">
        <v>105</v>
      </c>
      <c r="C7" s="4" t="n">
        <f aca="false">Assumptions!C28</f>
        <v>6</v>
      </c>
      <c r="D7" s="4" t="n">
        <f aca="false">Assumptions!D28</f>
        <v>6.5</v>
      </c>
      <c r="E7" s="4" t="n">
        <f aca="false">Assumptions!E28</f>
        <v>7</v>
      </c>
      <c r="F7" s="4" t="n">
        <f aca="false">Assumptions!F28</f>
        <v>7.5</v>
      </c>
      <c r="G7" s="4" t="n">
        <f aca="false">Assumptions!G28</f>
        <v>8</v>
      </c>
      <c r="H7" s="4" t="n">
        <f aca="false">Assumptions!H28</f>
        <v>8</v>
      </c>
      <c r="I7" s="4" t="n">
        <f aca="false">Assumptions!I28</f>
        <v>8</v>
      </c>
      <c r="J7" s="4" t="n">
        <f aca="false">Assumptions!J28</f>
        <v>8</v>
      </c>
      <c r="K7" s="4" t="n">
        <f aca="false">Assumptions!K28</f>
        <v>8</v>
      </c>
      <c r="L7" s="4" t="n">
        <f aca="false">Assumptions!L28</f>
        <v>8</v>
      </c>
    </row>
    <row r="8" customFormat="false" ht="15" hidden="false" customHeight="false" outlineLevel="0" collapsed="false">
      <c r="A8" s="0" t="s">
        <v>44</v>
      </c>
      <c r="C8" s="0" t="n">
        <f aca="false">C6*C7/100</f>
        <v>6401.7025956</v>
      </c>
      <c r="D8" s="0" t="n">
        <f aca="false">D6*D7/100</f>
        <v>6519.067143186</v>
      </c>
      <c r="E8" s="0" t="n">
        <f aca="false">E6*E7/100</f>
        <v>6880.12316957784</v>
      </c>
      <c r="F8" s="0" t="n">
        <f aca="false">F6*F7/100</f>
        <v>7445.27614422173</v>
      </c>
      <c r="G8" s="0" t="n">
        <f aca="false">G6*G7/100</f>
        <v>8100.46044491325</v>
      </c>
      <c r="H8" s="0" t="n">
        <f aca="false">H6*H7/100</f>
        <v>8262.46965381151</v>
      </c>
      <c r="I8" s="0" t="n">
        <f aca="false">I6*I7/100</f>
        <v>8427.71904688774</v>
      </c>
      <c r="J8" s="0" t="n">
        <f aca="false">J6*J7/100</f>
        <v>8596.2734278255</v>
      </c>
      <c r="K8" s="0" t="n">
        <f aca="false">K6*K7/100</f>
        <v>8725.21752924288</v>
      </c>
      <c r="L8" s="0" t="n">
        <f aca="false">L6*L7/100</f>
        <v>8856.09579218152</v>
      </c>
    </row>
    <row r="9" customFormat="false" ht="15" hidden="false" customHeight="false" outlineLevel="0" collapsed="false">
      <c r="A9" s="0" t="s">
        <v>106</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122</v>
      </c>
      <c r="C11" s="0" t="n">
        <f aca="false">C8+C10+C24</f>
        <v>6401.7025956</v>
      </c>
      <c r="D11" s="0" t="n">
        <f aca="false">D8+D10+D24</f>
        <v>6519.067143186</v>
      </c>
      <c r="E11" s="0" t="n">
        <f aca="false">E8+E10+E24</f>
        <v>6880.12316957784</v>
      </c>
      <c r="F11" s="0" t="n">
        <f aca="false">F8+F10+F24</f>
        <v>7445.27614422173</v>
      </c>
      <c r="G11" s="0" t="n">
        <f aca="false">G8+G10+G24</f>
        <v>8100.46044491325</v>
      </c>
      <c r="H11" s="0" t="n">
        <f aca="false">H8+H10+H24</f>
        <v>8262.46965381151</v>
      </c>
      <c r="I11" s="0" t="n">
        <f aca="false">I8+I10+I24</f>
        <v>8427.71904688774</v>
      </c>
      <c r="J11" s="0" t="n">
        <f aca="false">J8+J10+J24</f>
        <v>8596.2734278255</v>
      </c>
      <c r="K11" s="0" t="n">
        <f aca="false">K8+K10+K24</f>
        <v>8725.21752924288</v>
      </c>
      <c r="L11" s="0" t="n">
        <f aca="false">L8+L10+L24</f>
        <v>8856.09579218152</v>
      </c>
    </row>
    <row r="12" customFormat="false" ht="15" hidden="false" customHeight="false" outlineLevel="0" collapsed="false">
      <c r="A12" s="0" t="s">
        <v>123</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124</v>
      </c>
      <c r="C13" s="0" t="n">
        <f aca="false">C11+C12</f>
        <v>6401.7025956</v>
      </c>
      <c r="D13" s="0" t="n">
        <f aca="false">D11+D12</f>
        <v>6519.067143186</v>
      </c>
      <c r="E13" s="0" t="n">
        <f aca="false">E11+E12</f>
        <v>6880.12316957784</v>
      </c>
      <c r="F13" s="0" t="n">
        <f aca="false">F11+F12</f>
        <v>7445.27614422173</v>
      </c>
      <c r="G13" s="0" t="n">
        <f aca="false">G11+G12</f>
        <v>8100.46044491325</v>
      </c>
      <c r="H13" s="0" t="n">
        <f aca="false">H11+H12</f>
        <v>8262.46965381151</v>
      </c>
      <c r="I13" s="0" t="n">
        <f aca="false">I11+I12</f>
        <v>8427.71904688774</v>
      </c>
      <c r="J13" s="0" t="n">
        <f aca="false">J11+J12</f>
        <v>8596.2734278255</v>
      </c>
      <c r="K13" s="0" t="n">
        <f aca="false">K11+K12</f>
        <v>8725.21752924288</v>
      </c>
      <c r="L13" s="0" t="n">
        <f aca="false">L11+L12</f>
        <v>8856.09579218152</v>
      </c>
    </row>
    <row r="14" customFormat="false" ht="15" hidden="false" customHeight="false" outlineLevel="0" collapsed="false">
      <c r="A14" s="0" t="s">
        <v>110</v>
      </c>
      <c r="C14" s="4" t="n">
        <f aca="false">Assumptions!C33</f>
        <v>50</v>
      </c>
      <c r="D14" s="4" t="n">
        <f aca="false">Assumptions!D33</f>
        <v>52</v>
      </c>
      <c r="E14" s="4" t="n">
        <f aca="false">Assumptions!E33</f>
        <v>52</v>
      </c>
      <c r="F14" s="4" t="n">
        <f aca="false">Assumptions!F33</f>
        <v>52</v>
      </c>
      <c r="G14" s="4" t="n">
        <f aca="false">Assumptions!G33</f>
        <v>52</v>
      </c>
      <c r="H14" s="4" t="n">
        <f aca="false">Assumptions!H33</f>
        <v>52</v>
      </c>
      <c r="I14" s="4" t="n">
        <f aca="false">Assumptions!I33</f>
        <v>52</v>
      </c>
      <c r="J14" s="4" t="n">
        <f aca="false">Assumptions!J33</f>
        <v>52</v>
      </c>
      <c r="K14" s="4" t="n">
        <f aca="false">Assumptions!K33</f>
        <v>52</v>
      </c>
      <c r="L14" s="4" t="n">
        <f aca="false">Assumptions!L33</f>
        <v>52</v>
      </c>
    </row>
    <row r="15" customFormat="false" ht="15" hidden="false" customHeight="false" outlineLevel="0" collapsed="false">
      <c r="A15" s="0" t="s">
        <v>125</v>
      </c>
      <c r="C15" s="0" t="n">
        <f aca="false">C13-MAX(0,C13)*C14/100</f>
        <v>3200.8512978</v>
      </c>
      <c r="D15" s="0" t="n">
        <f aca="false">D13-MAX(0,D13)*D14/100</f>
        <v>3129.15222872928</v>
      </c>
      <c r="E15" s="0" t="n">
        <f aca="false">E13-MAX(0,E13)*E14/100</f>
        <v>3302.45912139736</v>
      </c>
      <c r="F15" s="0" t="n">
        <f aca="false">F13-MAX(0,F13)*F14/100</f>
        <v>3573.73254922643</v>
      </c>
      <c r="G15" s="0" t="n">
        <f aca="false">G13-MAX(0,G13)*G14/100</f>
        <v>3888.22101355836</v>
      </c>
      <c r="H15" s="0" t="n">
        <f aca="false">H13-MAX(0,H13)*H14/100</f>
        <v>3965.98543382953</v>
      </c>
      <c r="I15" s="0" t="n">
        <f aca="false">I13-MAX(0,I13)*I14/100</f>
        <v>4045.30514250612</v>
      </c>
      <c r="J15" s="0" t="n">
        <f aca="false">J13-MAX(0,J13)*J14/100</f>
        <v>4126.21124535624</v>
      </c>
      <c r="K15" s="0" t="n">
        <f aca="false">K13-MAX(0,K13)*K14/100</f>
        <v>4188.10441403658</v>
      </c>
      <c r="L15" s="0" t="n">
        <f aca="false">L13-MAX(0,L13)*L14/100</f>
        <v>4250.92598024713</v>
      </c>
    </row>
    <row r="16" customFormat="false" ht="15" hidden="false" customHeight="false" outlineLevel="0" collapsed="false">
      <c r="A16" s="0" t="s">
        <v>126</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127</v>
      </c>
      <c r="C17" s="4" t="n">
        <f aca="false">-C6*Assumptions!C32/100</f>
        <v>-0</v>
      </c>
      <c r="D17" s="4" t="n">
        <f aca="false">-D6*Assumptions!D32/100</f>
        <v>-0</v>
      </c>
      <c r="E17" s="4" t="n">
        <f aca="false">-E6*Assumptions!E32/100</f>
        <v>-0</v>
      </c>
      <c r="F17" s="4" t="n">
        <f aca="false">-F6*Assumptions!F32/100</f>
        <v>-0</v>
      </c>
      <c r="G17" s="4" t="n">
        <f aca="false">-G6*Assumptions!G32/100</f>
        <v>-0</v>
      </c>
      <c r="H17" s="4" t="n">
        <f aca="false">-H6*Assumptions!H32/100</f>
        <v>-0</v>
      </c>
      <c r="I17" s="4" t="n">
        <f aca="false">-I6*Assumptions!I32/100</f>
        <v>-0</v>
      </c>
      <c r="J17" s="4" t="n">
        <f aca="false">-J6*Assumptions!J32/100</f>
        <v>-0</v>
      </c>
      <c r="K17" s="4" t="n">
        <f aca="false">-K6*Assumptions!K32/100</f>
        <v>-0</v>
      </c>
      <c r="L17" s="4" t="n">
        <f aca="false">-L6*Assumptions!L32/100</f>
        <v>-0</v>
      </c>
    </row>
    <row r="18" customFormat="false" ht="15" hidden="false" customHeight="false" outlineLevel="0" collapsed="false">
      <c r="A18" s="0" t="s">
        <v>128</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129</v>
      </c>
      <c r="C19" s="0" t="n">
        <f aca="false">C15+C16+C17+C18</f>
        <v>3200.8512978</v>
      </c>
      <c r="D19" s="0" t="n">
        <f aca="false">D15+D16+D17+D18</f>
        <v>3129.15222872928</v>
      </c>
      <c r="E19" s="0" t="n">
        <f aca="false">E15+E16+E17+E18</f>
        <v>3302.45912139736</v>
      </c>
      <c r="F19" s="0" t="n">
        <f aca="false">F15+F16+F17+F18</f>
        <v>3573.73254922643</v>
      </c>
      <c r="G19" s="0" t="n">
        <f aca="false">G15+G16+G17+G18</f>
        <v>3888.22101355836</v>
      </c>
      <c r="H19" s="0" t="n">
        <f aca="false">H15+H16+H17+H18</f>
        <v>3965.98543382953</v>
      </c>
      <c r="I19" s="0" t="n">
        <f aca="false">I15+I16+I17+I18</f>
        <v>4045.30514250612</v>
      </c>
      <c r="J19" s="0" t="n">
        <f aca="false">J15+J16+J17+J18</f>
        <v>4126.21124535624</v>
      </c>
      <c r="K19" s="0" t="n">
        <f aca="false">K15+K16+K17+K18</f>
        <v>4188.10441403658</v>
      </c>
      <c r="L19" s="0" t="n">
        <f aca="false">L15+L16+L17+L18</f>
        <v>4250.92598024713</v>
      </c>
    </row>
    <row r="20" customFormat="false" ht="15" hidden="false" customHeight="false" outlineLevel="0" collapsed="false">
      <c r="A20" s="0" t="s">
        <v>130</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131</v>
      </c>
      <c r="C21" s="0" t="n">
        <f aca="false">C19*C20</f>
        <v>2883.64981783784</v>
      </c>
      <c r="D21" s="0" t="n">
        <f aca="false">D19*D20</f>
        <v>2539.69014587231</v>
      </c>
      <c r="E21" s="0" t="n">
        <f aca="false">E19*E20</f>
        <v>2414.72964666446</v>
      </c>
      <c r="F21" s="0" t="n">
        <f aca="false">F19*F20</f>
        <v>2354.12832348562</v>
      </c>
      <c r="G21" s="0" t="n">
        <f aca="false">G19*G20</f>
        <v>2307.4699242814</v>
      </c>
      <c r="H21" s="0" t="n">
        <f aca="false">H19*H20</f>
        <v>2120.37776825859</v>
      </c>
      <c r="I21" s="0" t="n">
        <f aca="false">I19*I20</f>
        <v>1948.45524650789</v>
      </c>
      <c r="J21" s="0" t="n">
        <f aca="false">J19*J20</f>
        <v>1790.47238868293</v>
      </c>
      <c r="K21" s="0" t="n">
        <f aca="false">K19*K20</f>
        <v>1637.23376082267</v>
      </c>
      <c r="L21" s="0" t="n">
        <f aca="false">L19*L20</f>
        <v>1497.11015066218</v>
      </c>
    </row>
    <row r="23" customFormat="false" ht="15" hidden="false" customHeight="false" outlineLevel="0" collapsed="false">
      <c r="A23" s="0" t="s">
        <v>107</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Assumptions!$B$34</f>
        <v>11</v>
      </c>
    </row>
    <row r="28" customFormat="false" ht="15" hidden="false" customHeight="false" outlineLevel="0" collapsed="false">
      <c r="A28" s="0" t="s">
        <v>112</v>
      </c>
      <c r="B28" s="4" t="n">
        <f aca="false">Assumptions!$B$35</f>
        <v>1</v>
      </c>
    </row>
    <row r="29" customFormat="false" ht="15" hidden="false" customHeight="false" outlineLevel="0" collapsed="false">
      <c r="A29" s="0" t="s">
        <v>113</v>
      </c>
      <c r="B29" s="4" t="n">
        <f aca="false">Assumptions!$B$36</f>
        <v>6.5</v>
      </c>
    </row>
    <row r="30" customFormat="false" ht="15" hidden="false" customHeight="false" outlineLevel="0" collapsed="false">
      <c r="A30" s="0" t="s">
        <v>134</v>
      </c>
      <c r="B30" s="0" t="n">
        <f aca="false">SUM(C21:L21)</f>
        <v>21493.3171730759</v>
      </c>
    </row>
    <row r="31" customFormat="false" ht="15" hidden="false" customHeight="false" outlineLevel="0" collapsed="false">
      <c r="A31" s="0" t="s">
        <v>135</v>
      </c>
      <c r="B31" s="0" t="n">
        <f aca="false">L19</f>
        <v>4250.92598024713</v>
      </c>
    </row>
    <row r="32" customFormat="false" ht="15" hidden="false" customHeight="false" outlineLevel="0" collapsed="false">
      <c r="A32" s="0" t="s">
        <v>136</v>
      </c>
      <c r="B32" s="0" t="n">
        <f aca="false">IF(B27&gt;B28,B31*(1+B28/100)/((B27-B28)/100),B31*B29)</f>
        <v>42934.352400496</v>
      </c>
    </row>
    <row r="33" customFormat="false" ht="15" hidden="false" customHeight="false" outlineLevel="0" collapsed="false">
      <c r="A33" s="0" t="s">
        <v>137</v>
      </c>
      <c r="B33" s="0" t="n">
        <f aca="false">B31*B29</f>
        <v>27631.0188716063</v>
      </c>
    </row>
    <row r="34" customFormat="false" ht="15" hidden="false" customHeight="false" outlineLevel="0" collapsed="false">
      <c r="A34" s="0" t="s">
        <v>138</v>
      </c>
      <c r="B34" s="0" t="n">
        <f aca="false">MAX(0,MIN(B32,B33))</f>
        <v>27631.0188716063</v>
      </c>
    </row>
    <row r="35" customFormat="false" ht="15" hidden="false" customHeight="false" outlineLevel="0" collapsed="false">
      <c r="A35" s="0" t="s">
        <v>139</v>
      </c>
      <c r="B35" s="0" t="n">
        <f aca="false">B34/(1+B27/100)^L4</f>
        <v>9731.21597930414</v>
      </c>
    </row>
    <row r="36" customFormat="false" ht="15" hidden="false" customHeight="false" outlineLevel="0" collapsed="false">
      <c r="A36" s="0" t="s">
        <v>140</v>
      </c>
      <c r="B36" s="0" t="n">
        <f aca="false">B30+B35</f>
        <v>31224.53315238</v>
      </c>
    </row>
    <row r="37" customFormat="false" ht="15" hidden="false" customHeight="false" outlineLevel="0" collapsed="false">
      <c r="A37" s="0" t="s">
        <v>141</v>
      </c>
      <c r="B37" s="0" t="n">
        <f aca="false">B36+Assumptions!$B$5-Assumptions!$B$4</f>
        <v>21224.53315238</v>
      </c>
    </row>
    <row r="38" customFormat="false" ht="15" hidden="false" customHeight="false" outlineLevel="0" collapsed="false">
      <c r="A38" s="0" t="s">
        <v>142</v>
      </c>
      <c r="B38" s="0" t="n">
        <f aca="false">B37/Assumptions!$B$3*Assumptions!$B$10</f>
        <v>11.1080053727781</v>
      </c>
    </row>
    <row r="39" customFormat="false" ht="15" hidden="false" customHeight="false" outlineLevel="0" collapsed="false">
      <c r="A39" s="0" t="s">
        <v>143</v>
      </c>
      <c r="B39" s="4" t="n">
        <f aca="false">B38/Assumptions!$B$2-1</f>
        <v>-0.164183192416998</v>
      </c>
    </row>
    <row r="41" customFormat="false" ht="15" hidden="false" customHeight="false" outlineLevel="0" collapsed="false">
      <c r="A41" s="0" t="s">
        <v>144</v>
      </c>
      <c r="B41" s="0" t="n">
        <f aca="false">SUMPRODUCT(-C10:L10/(1+$B$27/100)^C4:L4)</f>
        <v>0</v>
      </c>
    </row>
    <row r="42" customFormat="false" ht="15" hidden="false" customHeight="false" outlineLevel="0" collapsed="false">
      <c r="A42" s="0" t="s">
        <v>145</v>
      </c>
      <c r="B42" s="0" t="n">
        <f aca="false">IF(B27&gt;B28,-L10*(1+B28/100)/((B27-B28)/100),-L10*20)/(1+B27/100)^L4</f>
        <v>0</v>
      </c>
    </row>
    <row r="43" customFormat="false" ht="15" hidden="false" customHeight="false" outlineLevel="0" collapsed="false">
      <c r="A43" s="0" t="s">
        <v>146</v>
      </c>
      <c r="B43" s="0" t="n">
        <f aca="false">(B37+B41+B42)/Assumptions!$B$3*Assumptions!$B$10</f>
        <v>11.1080053727781</v>
      </c>
    </row>
    <row r="45" customFormat="false" ht="15" hidden="false" customHeight="false" outlineLevel="0" collapsed="false">
      <c r="A45" s="0" t="s">
        <v>87</v>
      </c>
      <c r="B45" s="4" t="n">
        <f aca="false">Assumptions!$B$6</f>
        <v>15</v>
      </c>
    </row>
    <row r="46" customFormat="false" ht="15" hidden="false" customHeight="false" outlineLevel="0" collapsed="false">
      <c r="A46" s="0" t="s">
        <v>147</v>
      </c>
      <c r="B46" s="0" t="n">
        <f aca="false">MAX(0,MIN(IF(B45&gt;B28,B31*(1+B28/100)/((B45-B28)/100),B31*B29),B31*B29))</f>
        <v>27631.0188716063</v>
      </c>
    </row>
    <row r="47" customFormat="false" ht="15" hidden="false" customHeight="false" outlineLevel="0" collapsed="false">
      <c r="A47" s="0" t="s">
        <v>148</v>
      </c>
      <c r="B47" s="0" t="n">
        <f aca="false">(SUMPRODUCT(C19:L19/(1+B45/100)^C4:L4)+B46/(1+B45/100)^L4+Assumptions!$B$5-Assumptions!$B$4)/Assumptions!$B$3*Assumptions!$B$10</f>
        <v>7.82564279017698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119</v>
      </c>
      <c r="B3" s="0" t="s">
        <v>80</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Assumptions!C41</f>
        <v>-15</v>
      </c>
      <c r="D5" s="4" t="n">
        <f aca="false">Assumptions!D41</f>
        <v>0</v>
      </c>
      <c r="E5" s="4" t="n">
        <f aca="false">Assumptions!E41</f>
        <v>4</v>
      </c>
      <c r="F5" s="4" t="n">
        <f aca="false">Assumptions!F41</f>
        <v>5</v>
      </c>
      <c r="G5" s="4" t="n">
        <f aca="false">Assumptions!G41</f>
        <v>4</v>
      </c>
      <c r="H5" s="4" t="n">
        <f aca="false">Assumptions!H41</f>
        <v>3</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38</v>
      </c>
      <c r="B6" s="3" t="n">
        <v>136788.517</v>
      </c>
      <c r="C6" s="0" t="n">
        <f aca="false">B6*(1+C5/100)</f>
        <v>116270.23945</v>
      </c>
      <c r="D6" s="0" t="n">
        <f aca="false">C6*(1+D5/100)</f>
        <v>116270.23945</v>
      </c>
      <c r="E6" s="0" t="n">
        <f aca="false">D6*(1+E5/100)</f>
        <v>120921.049028</v>
      </c>
      <c r="F6" s="0" t="n">
        <f aca="false">E6*(1+F5/100)</f>
        <v>126967.1014794</v>
      </c>
      <c r="G6" s="0" t="n">
        <f aca="false">F6*(1+G5/100)</f>
        <v>132045.785538576</v>
      </c>
      <c r="H6" s="0" t="n">
        <f aca="false">G6*(1+H5/100)</f>
        <v>136007.159104733</v>
      </c>
      <c r="I6" s="0" t="n">
        <f aca="false">H6*(1+I5/100)</f>
        <v>140087.373877875</v>
      </c>
      <c r="J6" s="0" t="n">
        <f aca="false">I6*(1+J5/100)</f>
        <v>144289.995094212</v>
      </c>
      <c r="K6" s="0" t="n">
        <f aca="false">J6*(1+K5/100)</f>
        <v>148618.694947038</v>
      </c>
      <c r="L6" s="0" t="n">
        <f aca="false">K6*(1+L5/100)</f>
        <v>153077.255795449</v>
      </c>
    </row>
    <row r="7" customFormat="false" ht="15" hidden="false" customHeight="false" outlineLevel="0" collapsed="false">
      <c r="A7" s="0" t="s">
        <v>105</v>
      </c>
      <c r="C7" s="4" t="n">
        <f aca="false">Assumptions!C42</f>
        <v>6.5</v>
      </c>
      <c r="D7" s="4" t="n">
        <f aca="false">Assumptions!D42</f>
        <v>7.5</v>
      </c>
      <c r="E7" s="4" t="n">
        <f aca="false">Assumptions!E42</f>
        <v>8.5</v>
      </c>
      <c r="F7" s="4" t="n">
        <f aca="false">Assumptions!F42</f>
        <v>9</v>
      </c>
      <c r="G7" s="4" t="n">
        <f aca="false">Assumptions!G42</f>
        <v>9.5</v>
      </c>
      <c r="H7" s="4" t="n">
        <f aca="false">Assumptions!H42</f>
        <v>9.5</v>
      </c>
      <c r="I7" s="4" t="n">
        <f aca="false">Assumptions!I42</f>
        <v>9.5</v>
      </c>
      <c r="J7" s="4" t="n">
        <f aca="false">Assumptions!J42</f>
        <v>9.5</v>
      </c>
      <c r="K7" s="4" t="n">
        <f aca="false">Assumptions!K42</f>
        <v>9.5</v>
      </c>
      <c r="L7" s="4" t="n">
        <f aca="false">Assumptions!L42</f>
        <v>9.5</v>
      </c>
    </row>
    <row r="8" customFormat="false" ht="15" hidden="false" customHeight="false" outlineLevel="0" collapsed="false">
      <c r="A8" s="0" t="s">
        <v>44</v>
      </c>
      <c r="C8" s="0" t="n">
        <f aca="false">C6*C7/100</f>
        <v>7557.56556425</v>
      </c>
      <c r="D8" s="0" t="n">
        <f aca="false">D6*D7/100</f>
        <v>8720.26795875</v>
      </c>
      <c r="E8" s="0" t="n">
        <f aca="false">E6*E7/100</f>
        <v>10278.28916738</v>
      </c>
      <c r="F8" s="0" t="n">
        <f aca="false">F6*F7/100</f>
        <v>11427.039133146</v>
      </c>
      <c r="G8" s="0" t="n">
        <f aca="false">G6*G7/100</f>
        <v>12544.3496261647</v>
      </c>
      <c r="H8" s="0" t="n">
        <f aca="false">H6*H7/100</f>
        <v>12920.6801149497</v>
      </c>
      <c r="I8" s="0" t="n">
        <f aca="false">I6*I7/100</f>
        <v>13308.3005183982</v>
      </c>
      <c r="J8" s="0" t="n">
        <f aca="false">J6*J7/100</f>
        <v>13707.5495339501</v>
      </c>
      <c r="K8" s="0" t="n">
        <f aca="false">K6*K7/100</f>
        <v>14118.7760199686</v>
      </c>
      <c r="L8" s="0" t="n">
        <f aca="false">L6*L7/100</f>
        <v>14542.3393005677</v>
      </c>
    </row>
    <row r="9" customFormat="false" ht="15" hidden="false" customHeight="false" outlineLevel="0" collapsed="false">
      <c r="A9" s="0" t="s">
        <v>106</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122</v>
      </c>
      <c r="C11" s="0" t="n">
        <f aca="false">C8+C10+C24</f>
        <v>7557.56556425</v>
      </c>
      <c r="D11" s="0" t="n">
        <f aca="false">D8+D10+D24</f>
        <v>8720.26795875</v>
      </c>
      <c r="E11" s="0" t="n">
        <f aca="false">E8+E10+E24</f>
        <v>10278.28916738</v>
      </c>
      <c r="F11" s="0" t="n">
        <f aca="false">F8+F10+F24</f>
        <v>11427.039133146</v>
      </c>
      <c r="G11" s="0" t="n">
        <f aca="false">G8+G10+G24</f>
        <v>12544.3496261647</v>
      </c>
      <c r="H11" s="0" t="n">
        <f aca="false">H8+H10+H24</f>
        <v>12920.6801149497</v>
      </c>
      <c r="I11" s="0" t="n">
        <f aca="false">I8+I10+I24</f>
        <v>13308.3005183982</v>
      </c>
      <c r="J11" s="0" t="n">
        <f aca="false">J8+J10+J24</f>
        <v>13707.5495339501</v>
      </c>
      <c r="K11" s="0" t="n">
        <f aca="false">K8+K10+K24</f>
        <v>14118.7760199686</v>
      </c>
      <c r="L11" s="0" t="n">
        <f aca="false">L8+L10+L24</f>
        <v>14542.3393005677</v>
      </c>
    </row>
    <row r="12" customFormat="false" ht="15" hidden="false" customHeight="false" outlineLevel="0" collapsed="false">
      <c r="A12" s="0" t="s">
        <v>123</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124</v>
      </c>
      <c r="C13" s="0" t="n">
        <f aca="false">C11+C12</f>
        <v>7557.56556425</v>
      </c>
      <c r="D13" s="0" t="n">
        <f aca="false">D11+D12</f>
        <v>8720.26795875</v>
      </c>
      <c r="E13" s="0" t="n">
        <f aca="false">E11+E12</f>
        <v>10278.28916738</v>
      </c>
      <c r="F13" s="0" t="n">
        <f aca="false">F11+F12</f>
        <v>11427.039133146</v>
      </c>
      <c r="G13" s="0" t="n">
        <f aca="false">G11+G12</f>
        <v>12544.3496261647</v>
      </c>
      <c r="H13" s="0" t="n">
        <f aca="false">H11+H12</f>
        <v>12920.6801149497</v>
      </c>
      <c r="I13" s="0" t="n">
        <f aca="false">I11+I12</f>
        <v>13308.3005183982</v>
      </c>
      <c r="J13" s="0" t="n">
        <f aca="false">J11+J12</f>
        <v>13707.5495339501</v>
      </c>
      <c r="K13" s="0" t="n">
        <f aca="false">K11+K12</f>
        <v>14118.7760199686</v>
      </c>
      <c r="L13" s="0" t="n">
        <f aca="false">L11+L12</f>
        <v>14542.3393005677</v>
      </c>
    </row>
    <row r="14" customFormat="false" ht="15" hidden="false" customHeight="false" outlineLevel="0" collapsed="false">
      <c r="A14" s="0" t="s">
        <v>110</v>
      </c>
      <c r="C14" s="4" t="n">
        <f aca="false">Assumptions!C47</f>
        <v>46</v>
      </c>
      <c r="D14" s="4" t="n">
        <f aca="false">Assumptions!D47</f>
        <v>48</v>
      </c>
      <c r="E14" s="4" t="n">
        <f aca="false">Assumptions!E47</f>
        <v>48</v>
      </c>
      <c r="F14" s="4" t="n">
        <f aca="false">Assumptions!F47</f>
        <v>48</v>
      </c>
      <c r="G14" s="4" t="n">
        <f aca="false">Assumptions!G47</f>
        <v>48</v>
      </c>
      <c r="H14" s="4" t="n">
        <f aca="false">Assumptions!H47</f>
        <v>48</v>
      </c>
      <c r="I14" s="4" t="n">
        <f aca="false">Assumptions!I47</f>
        <v>48</v>
      </c>
      <c r="J14" s="4" t="n">
        <f aca="false">Assumptions!J47</f>
        <v>48</v>
      </c>
      <c r="K14" s="4" t="n">
        <f aca="false">Assumptions!K47</f>
        <v>48</v>
      </c>
      <c r="L14" s="4" t="n">
        <f aca="false">Assumptions!L47</f>
        <v>48</v>
      </c>
    </row>
    <row r="15" customFormat="false" ht="15" hidden="false" customHeight="false" outlineLevel="0" collapsed="false">
      <c r="A15" s="0" t="s">
        <v>125</v>
      </c>
      <c r="C15" s="0" t="n">
        <f aca="false">C13-MAX(0,C13)*C14/100</f>
        <v>4081.085404695</v>
      </c>
      <c r="D15" s="0" t="n">
        <f aca="false">D13-MAX(0,D13)*D14/100</f>
        <v>4534.53933855</v>
      </c>
      <c r="E15" s="0" t="n">
        <f aca="false">E13-MAX(0,E13)*E14/100</f>
        <v>5344.7103670376</v>
      </c>
      <c r="F15" s="0" t="n">
        <f aca="false">F13-MAX(0,F13)*F14/100</f>
        <v>5942.06034923592</v>
      </c>
      <c r="G15" s="0" t="n">
        <f aca="false">G13-MAX(0,G13)*G14/100</f>
        <v>6523.06180560565</v>
      </c>
      <c r="H15" s="0" t="n">
        <f aca="false">H13-MAX(0,H13)*H14/100</f>
        <v>6718.75365977382</v>
      </c>
      <c r="I15" s="0" t="n">
        <f aca="false">I13-MAX(0,I13)*I14/100</f>
        <v>6920.31626956704</v>
      </c>
      <c r="J15" s="0" t="n">
        <f aca="false">J13-MAX(0,J13)*J14/100</f>
        <v>7127.92575765405</v>
      </c>
      <c r="K15" s="0" t="n">
        <f aca="false">K13-MAX(0,K13)*K14/100</f>
        <v>7341.76353038367</v>
      </c>
      <c r="L15" s="0" t="n">
        <f aca="false">L13-MAX(0,L13)*L14/100</f>
        <v>7562.01643629518</v>
      </c>
    </row>
    <row r="16" customFormat="false" ht="15" hidden="false" customHeight="false" outlineLevel="0" collapsed="false">
      <c r="A16" s="0" t="s">
        <v>126</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127</v>
      </c>
      <c r="C17" s="4" t="n">
        <f aca="false">-C6*Assumptions!C46/100</f>
        <v>-0</v>
      </c>
      <c r="D17" s="4" t="n">
        <f aca="false">-D6*Assumptions!D46/100</f>
        <v>-0</v>
      </c>
      <c r="E17" s="4" t="n">
        <f aca="false">-E6*Assumptions!E46/100</f>
        <v>-0</v>
      </c>
      <c r="F17" s="4" t="n">
        <f aca="false">-F6*Assumptions!F46/100</f>
        <v>-0</v>
      </c>
      <c r="G17" s="4" t="n">
        <f aca="false">-G6*Assumptions!G46/100</f>
        <v>-0</v>
      </c>
      <c r="H17" s="4" t="n">
        <f aca="false">-H6*Assumptions!H46/100</f>
        <v>-0</v>
      </c>
      <c r="I17" s="4" t="n">
        <f aca="false">-I6*Assumptions!I46/100</f>
        <v>-0</v>
      </c>
      <c r="J17" s="4" t="n">
        <f aca="false">-J6*Assumptions!J46/100</f>
        <v>-0</v>
      </c>
      <c r="K17" s="4" t="n">
        <f aca="false">-K6*Assumptions!K46/100</f>
        <v>-0</v>
      </c>
      <c r="L17" s="4" t="n">
        <f aca="false">-L6*Assumptions!L46/100</f>
        <v>-0</v>
      </c>
    </row>
    <row r="18" customFormat="false" ht="15" hidden="false" customHeight="false" outlineLevel="0" collapsed="false">
      <c r="A18" s="0" t="s">
        <v>128</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129</v>
      </c>
      <c r="C19" s="0" t="n">
        <f aca="false">C15+C16+C17+C18</f>
        <v>4081.085404695</v>
      </c>
      <c r="D19" s="0" t="n">
        <f aca="false">D15+D16+D17+D18</f>
        <v>4534.53933855</v>
      </c>
      <c r="E19" s="0" t="n">
        <f aca="false">E15+E16+E17+E18</f>
        <v>5344.7103670376</v>
      </c>
      <c r="F19" s="0" t="n">
        <f aca="false">F15+F16+F17+F18</f>
        <v>5942.06034923592</v>
      </c>
      <c r="G19" s="0" t="n">
        <f aca="false">G15+G16+G17+G18</f>
        <v>6523.06180560565</v>
      </c>
      <c r="H19" s="0" t="n">
        <f aca="false">H15+H16+H17+H18</f>
        <v>6718.75365977382</v>
      </c>
      <c r="I19" s="0" t="n">
        <f aca="false">I15+I16+I17+I18</f>
        <v>6920.31626956704</v>
      </c>
      <c r="J19" s="0" t="n">
        <f aca="false">J15+J16+J17+J18</f>
        <v>7127.92575765405</v>
      </c>
      <c r="K19" s="0" t="n">
        <f aca="false">K15+K16+K17+K18</f>
        <v>7341.76353038367</v>
      </c>
      <c r="L19" s="0" t="n">
        <f aca="false">L15+L16+L17+L18</f>
        <v>7562.01643629518</v>
      </c>
    </row>
    <row r="20" customFormat="false" ht="15" hidden="false" customHeight="false" outlineLevel="0" collapsed="false">
      <c r="A20" s="0" t="s">
        <v>130</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131</v>
      </c>
      <c r="C21" s="0" t="n">
        <f aca="false">C19*C20</f>
        <v>3676.65351774324</v>
      </c>
      <c r="D21" s="0" t="n">
        <f aca="false">D19*D20</f>
        <v>3680.33385159484</v>
      </c>
      <c r="E21" s="0" t="n">
        <f aca="false">E19*E20</f>
        <v>3908.00615592773</v>
      </c>
      <c r="F21" s="0" t="n">
        <f aca="false">F19*F20</f>
        <v>3914.21920228056</v>
      </c>
      <c r="G21" s="0" t="n">
        <f aca="false">G19*G20</f>
        <v>3871.11969154473</v>
      </c>
      <c r="H21" s="0" t="n">
        <f aca="false">H19*H20</f>
        <v>3592.1200741361</v>
      </c>
      <c r="I21" s="0" t="n">
        <f aca="false">I19*I20</f>
        <v>3333.22853726143</v>
      </c>
      <c r="J21" s="0" t="n">
        <f aca="false">J19*J20</f>
        <v>3092.99584989124</v>
      </c>
      <c r="K21" s="0" t="n">
        <f aca="false">K19*K20</f>
        <v>2870.07723007926</v>
      </c>
      <c r="L21" s="0" t="n">
        <f aca="false">L19*L20</f>
        <v>2663.22481710057</v>
      </c>
    </row>
    <row r="23" customFormat="false" ht="15" hidden="false" customHeight="false" outlineLevel="0" collapsed="false">
      <c r="A23" s="0" t="s">
        <v>107</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Assumptions!$B$48</f>
        <v>11</v>
      </c>
    </row>
    <row r="28" customFormat="false" ht="15" hidden="false" customHeight="false" outlineLevel="0" collapsed="false">
      <c r="A28" s="0" t="s">
        <v>112</v>
      </c>
      <c r="B28" s="4" t="n">
        <f aca="false">Assumptions!$B$49</f>
        <v>2</v>
      </c>
    </row>
    <row r="29" customFormat="false" ht="15" hidden="false" customHeight="false" outlineLevel="0" collapsed="false">
      <c r="A29" s="0" t="s">
        <v>113</v>
      </c>
      <c r="B29" s="4" t="n">
        <f aca="false">Assumptions!$B$50</f>
        <v>8.5</v>
      </c>
    </row>
    <row r="30" customFormat="false" ht="15" hidden="false" customHeight="false" outlineLevel="0" collapsed="false">
      <c r="A30" s="0" t="s">
        <v>134</v>
      </c>
      <c r="B30" s="0" t="n">
        <f aca="false">SUM(C21:L21)</f>
        <v>34601.9789275597</v>
      </c>
    </row>
    <row r="31" customFormat="false" ht="15" hidden="false" customHeight="false" outlineLevel="0" collapsed="false">
      <c r="A31" s="0" t="s">
        <v>135</v>
      </c>
      <c r="B31" s="0" t="n">
        <f aca="false">L19</f>
        <v>7562.01643629518</v>
      </c>
    </row>
    <row r="32" customFormat="false" ht="15" hidden="false" customHeight="false" outlineLevel="0" collapsed="false">
      <c r="A32" s="0" t="s">
        <v>136</v>
      </c>
      <c r="B32" s="0" t="n">
        <f aca="false">IF(B27&gt;B28,B31*(1+B28/100)/((B27-B28)/100),B31*B29)</f>
        <v>85702.8529446787</v>
      </c>
    </row>
    <row r="33" customFormat="false" ht="15" hidden="false" customHeight="false" outlineLevel="0" collapsed="false">
      <c r="A33" s="0" t="s">
        <v>137</v>
      </c>
      <c r="B33" s="0" t="n">
        <f aca="false">B31*B29</f>
        <v>64277.139708509</v>
      </c>
    </row>
    <row r="34" customFormat="false" ht="15" hidden="false" customHeight="false" outlineLevel="0" collapsed="false">
      <c r="A34" s="0" t="s">
        <v>138</v>
      </c>
      <c r="B34" s="0" t="n">
        <f aca="false">MAX(0,MIN(B32,B33))</f>
        <v>64277.139708509</v>
      </c>
    </row>
    <row r="35" customFormat="false" ht="15" hidden="false" customHeight="false" outlineLevel="0" collapsed="false">
      <c r="A35" s="0" t="s">
        <v>139</v>
      </c>
      <c r="B35" s="0" t="n">
        <f aca="false">B34/(1+B27/100)^L4</f>
        <v>22637.4109453548</v>
      </c>
    </row>
    <row r="36" customFormat="false" ht="15" hidden="false" customHeight="false" outlineLevel="0" collapsed="false">
      <c r="A36" s="0" t="s">
        <v>140</v>
      </c>
      <c r="B36" s="0" t="n">
        <f aca="false">B30+B35</f>
        <v>57239.3898729145</v>
      </c>
    </row>
    <row r="37" customFormat="false" ht="15" hidden="false" customHeight="false" outlineLevel="0" collapsed="false">
      <c r="A37" s="0" t="s">
        <v>141</v>
      </c>
      <c r="B37" s="0" t="n">
        <f aca="false">B36+Assumptions!$B$5-Assumptions!$B$4</f>
        <v>47239.3898729145</v>
      </c>
    </row>
    <row r="38" customFormat="false" ht="15" hidden="false" customHeight="false" outlineLevel="0" collapsed="false">
      <c r="A38" s="0" t="s">
        <v>142</v>
      </c>
      <c r="B38" s="0" t="n">
        <f aca="false">B37/Assumptions!$B$3*Assumptions!$B$10</f>
        <v>24.7230595249278</v>
      </c>
    </row>
    <row r="39" customFormat="false" ht="15" hidden="false" customHeight="false" outlineLevel="0" collapsed="false">
      <c r="A39" s="0" t="s">
        <v>143</v>
      </c>
      <c r="B39" s="4" t="n">
        <f aca="false">B38/Assumptions!$B$2-1</f>
        <v>0.860275359287266</v>
      </c>
    </row>
    <row r="41" customFormat="false" ht="15" hidden="false" customHeight="false" outlineLevel="0" collapsed="false">
      <c r="A41" s="0" t="s">
        <v>144</v>
      </c>
      <c r="B41" s="0" t="n">
        <f aca="false">SUMPRODUCT(-C10:L10/(1+$B$27/100)^C4:L4)</f>
        <v>0</v>
      </c>
    </row>
    <row r="42" customFormat="false" ht="15" hidden="false" customHeight="false" outlineLevel="0" collapsed="false">
      <c r="A42" s="0" t="s">
        <v>145</v>
      </c>
      <c r="B42" s="0" t="n">
        <f aca="false">IF(B27&gt;B28,-L10*(1+B28/100)/((B27-B28)/100),-L10*20)/(1+B27/100)^L4</f>
        <v>0</v>
      </c>
    </row>
    <row r="43" customFormat="false" ht="15" hidden="false" customHeight="false" outlineLevel="0" collapsed="false">
      <c r="A43" s="0" t="s">
        <v>146</v>
      </c>
      <c r="B43" s="0" t="n">
        <f aca="false">(B37+B41+B42)/Assumptions!$B$3*Assumptions!$B$10</f>
        <v>24.7230595249278</v>
      </c>
    </row>
    <row r="45" customFormat="false" ht="15" hidden="false" customHeight="false" outlineLevel="0" collapsed="false">
      <c r="A45" s="0" t="s">
        <v>87</v>
      </c>
      <c r="B45" s="4" t="n">
        <f aca="false">Assumptions!$B$6</f>
        <v>15</v>
      </c>
    </row>
    <row r="46" customFormat="false" ht="15" hidden="false" customHeight="false" outlineLevel="0" collapsed="false">
      <c r="A46" s="0" t="s">
        <v>147</v>
      </c>
      <c r="B46" s="0" t="n">
        <f aca="false">MAX(0,MIN(IF(B45&gt;B28,B31*(1+B28/100)/((B45-B28)/100),B31*B29),B31*B29))</f>
        <v>59332.744346316</v>
      </c>
    </row>
    <row r="47" customFormat="false" ht="15" hidden="false" customHeight="false" outlineLevel="0" collapsed="false">
      <c r="A47" s="0" t="s">
        <v>148</v>
      </c>
      <c r="B47" s="0" t="n">
        <f aca="false">(SUMPRODUCT(C19:L19/(1+B45/100)^C4:L4)+B46/(1+B45/100)^L4+Assumptions!$B$5-Assumptions!$B$4)/Assumptions!$B$3*Assumptions!$B$10</f>
        <v>17.5801124490903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151</v>
      </c>
    </row>
    <row r="3" customFormat="false" ht="15" hidden="false" customHeight="false" outlineLevel="0" collapsed="false">
      <c r="A3" s="2" t="s">
        <v>152</v>
      </c>
      <c r="B3" s="2" t="s">
        <v>153</v>
      </c>
      <c r="C3" s="2" t="s">
        <v>143</v>
      </c>
      <c r="D3" s="2" t="s">
        <v>154</v>
      </c>
      <c r="E3" s="2" t="s">
        <v>146</v>
      </c>
      <c r="F3" s="2" t="s">
        <v>155</v>
      </c>
    </row>
    <row r="4" customFormat="false" ht="15" hidden="false" customHeight="false" outlineLevel="0" collapsed="false">
      <c r="A4" s="0" t="s">
        <v>156</v>
      </c>
      <c r="B4" s="4" t="n">
        <f aca="false">DCF_Bear!$B$38</f>
        <v>1.66868951196957</v>
      </c>
      <c r="C4" s="0" t="n">
        <f aca="false">B4/Assumptions!$B$2-1</f>
        <v>-0.874440217308535</v>
      </c>
      <c r="D4" s="4" t="n">
        <f aca="false">Assumptions!$B$24</f>
        <v>0.3</v>
      </c>
      <c r="E4" s="4" t="n">
        <f aca="false">DCF_Bear!$B$43</f>
        <v>1.66868951196957</v>
      </c>
      <c r="F4" s="4" t="n">
        <f aca="false">DCF_Bear!$B$47</f>
        <v>0.435928530730986</v>
      </c>
    </row>
    <row r="5" customFormat="false" ht="15" hidden="false" customHeight="false" outlineLevel="0" collapsed="false">
      <c r="A5" s="0" t="s">
        <v>157</v>
      </c>
      <c r="B5" s="4" t="n">
        <f aca="false">DCF_Base!$B$38</f>
        <v>11.1080053727781</v>
      </c>
      <c r="C5" s="0" t="n">
        <f aca="false">B5/Assumptions!$B$2-1</f>
        <v>-0.164183192416998</v>
      </c>
      <c r="D5" s="4" t="n">
        <f aca="false">Assumptions!$B$38</f>
        <v>0.5</v>
      </c>
      <c r="E5" s="4" t="n">
        <f aca="false">DCF_Base!$B$43</f>
        <v>11.1080053727781</v>
      </c>
      <c r="F5" s="4" t="n">
        <f aca="false">DCF_Base!$B$47</f>
        <v>7.82564279017698</v>
      </c>
    </row>
    <row r="6" customFormat="false" ht="15" hidden="false" customHeight="false" outlineLevel="0" collapsed="false">
      <c r="A6" s="0" t="s">
        <v>158</v>
      </c>
      <c r="B6" s="4" t="n">
        <f aca="false">DCF_Bull!$B$38</f>
        <v>24.7230595249278</v>
      </c>
      <c r="C6" s="0" t="n">
        <f aca="false">B6/Assumptions!$B$2-1</f>
        <v>0.860275359287266</v>
      </c>
      <c r="D6" s="4" t="n">
        <f aca="false">Assumptions!$B$52</f>
        <v>0.2</v>
      </c>
      <c r="E6" s="4" t="n">
        <f aca="false">DCF_Bull!$B$43</f>
        <v>24.7230595249278</v>
      </c>
      <c r="F6" s="4" t="n">
        <f aca="false">DCF_Bull!$B$47</f>
        <v>17.5801124490903</v>
      </c>
    </row>
    <row r="8" customFormat="false" ht="15" hidden="false" customHeight="false" outlineLevel="0" collapsed="false">
      <c r="A8" s="0" t="s">
        <v>159</v>
      </c>
      <c r="B8" s="0" t="n">
        <f aca="false">SUMPRODUCT(B4:B6,D4:D6)</f>
        <v>10.9992214449655</v>
      </c>
    </row>
    <row r="9" customFormat="false" ht="15" hidden="false" customHeight="false" outlineLevel="0" collapsed="false">
      <c r="A9" s="0" t="s">
        <v>160</v>
      </c>
      <c r="B9" s="0" t="n">
        <f aca="false">SUMPRODUCT(E4:E6,D4:D6)</f>
        <v>10.9992214449655</v>
      </c>
    </row>
    <row r="10" customFormat="false" ht="15" hidden="false" customHeight="false" outlineLevel="0" collapsed="false">
      <c r="A10" s="0" t="s">
        <v>161</v>
      </c>
      <c r="B10" s="0" t="n">
        <f aca="false">1-Assumptions!$B$2/B8</f>
        <v>-0.208267336601633</v>
      </c>
    </row>
    <row r="11" customFormat="false" ht="15" hidden="false" customHeight="false" outlineLevel="0" collapsed="false">
      <c r="A11" s="0" t="s">
        <v>162</v>
      </c>
      <c r="B11" s="0" t="str">
        <f aca="false">IF(ABS(B9-B8)&gt;0.01*ABS(B8),(Assumptions!$B$2-B8)/(B9-B8)*100,"n/a")</f>
        <v>n/a</v>
      </c>
    </row>
    <row r="12" customFormat="false" ht="15" hidden="false" customHeight="false" outlineLevel="0" collapsed="false">
      <c r="A12" s="0" t="s">
        <v>163</v>
      </c>
      <c r="B12" s="0" t="n">
        <f aca="false">SUMPRODUCT(F4:F6,D4:D6)</f>
        <v>7.55962244412584</v>
      </c>
    </row>
    <row r="14" customFormat="false" ht="15" hidden="false" customHeight="false" outlineLevel="0" collapsed="false">
      <c r="A14" s="2" t="s">
        <v>164</v>
      </c>
      <c r="C14" s="0" t="s">
        <v>165</v>
      </c>
    </row>
    <row r="15" customFormat="false" ht="15" hidden="false" customHeight="false" outlineLevel="0" collapsed="false">
      <c r="A15" s="0" t="s">
        <v>166</v>
      </c>
      <c r="B15" s="0" t="n">
        <f aca="false">(SUMPRODUCT(DCF_Base!$C$19:$L$19/(1+$C$15/100)^DCF_Base!$C$4:$L$4)+MAX(0,MIN(IF($C$15&gt;DCF_Base!$B$28,DCF_Base!$L$19*(1+DCF_Base!$B$28/100)/(($C$15-DCF_Base!$B$28)/100),DCF_Base!$L$19*DCF_Base!$B$29),DCF_Base!$L$19*DCF_Base!$B$29))/(1+$C$15/100)^DCF_Base!$L$4+Assumptions!$B$5-Assumptions!$B$4)/Assumptions!$B$3*Assumptions!$B$10</f>
        <v>13.2007985246635</v>
      </c>
      <c r="C15" s="3" t="n">
        <v>9</v>
      </c>
    </row>
    <row r="16" customFormat="false" ht="15" hidden="false" customHeight="false" outlineLevel="0" collapsed="false">
      <c r="A16" s="0" t="s">
        <v>167</v>
      </c>
      <c r="B16" s="0" t="n">
        <f aca="false">(SUMPRODUCT(DCF_Base!$C$19:$L$19/(1+$C$16/100)^DCF_Base!$C$4:$L$4)+MAX(0,MIN(IF($C$16&gt;DCF_Base!$B$28,DCF_Base!$L$19*(1+DCF_Base!$B$28/100)/(($C$16-DCF_Base!$B$28)/100),DCF_Base!$L$19*DCF_Base!$B$29),DCF_Base!$L$19*DCF_Base!$B$29))/(1+$C$16/100)^DCF_Base!$L$4+Assumptions!$B$5-Assumptions!$B$4)/Assumptions!$B$3*Assumptions!$B$10</f>
        <v>12.1103911186566</v>
      </c>
      <c r="C16" s="3" t="n">
        <v>10</v>
      </c>
    </row>
    <row r="17" customFormat="false" ht="15" hidden="false" customHeight="false" outlineLevel="0" collapsed="false">
      <c r="A17" s="0" t="s">
        <v>168</v>
      </c>
      <c r="B17" s="0" t="n">
        <f aca="false">(SUMPRODUCT(DCF_Base!$C$19:$L$19/(1+$C$17/100)^DCF_Base!$C$4:$L$4)+MAX(0,MIN(IF($C$17&gt;DCF_Base!$B$28,DCF_Base!$L$19*(1+DCF_Base!$B$28/100)/(($C$17-DCF_Base!$B$28)/100),DCF_Base!$L$19*DCF_Base!$B$29),DCF_Base!$L$19*DCF_Base!$B$29))/(1+$C$17/100)^DCF_Base!$L$4+Assumptions!$B$5-Assumptions!$B$4)/Assumptions!$B$3*Assumptions!$B$10</f>
        <v>11.1080053727781</v>
      </c>
      <c r="C17" s="3" t="n">
        <v>11</v>
      </c>
    </row>
    <row r="18" customFormat="false" ht="15" hidden="false" customHeight="false" outlineLevel="0" collapsed="false">
      <c r="A18" s="0" t="s">
        <v>169</v>
      </c>
      <c r="B18" s="0" t="n">
        <f aca="false">(SUMPRODUCT(DCF_Base!$C$19:$L$19/(1+$C$18/100)^DCF_Base!$C$4:$L$4)+MAX(0,MIN(IF($C$18&gt;DCF_Base!$B$28,DCF_Base!$L$19*(1+DCF_Base!$B$28/100)/(($C$18-DCF_Base!$B$28)/100),DCF_Base!$L$19*DCF_Base!$B$29),DCF_Base!$L$19*DCF_Base!$B$29))/(1+$C$18/100)^DCF_Base!$L$4+Assumptions!$B$5-Assumptions!$B$4)/Assumptions!$B$3*Assumptions!$B$10</f>
        <v>10.1853710624075</v>
      </c>
      <c r="C18" s="3" t="n">
        <v>12</v>
      </c>
    </row>
    <row r="19" customFormat="false" ht="15" hidden="false" customHeight="false" outlineLevel="0" collapsed="false">
      <c r="A19" s="0" t="s">
        <v>170</v>
      </c>
      <c r="B19" s="0" t="n">
        <f aca="false">(SUMPRODUCT(DCF_Base!$C$19:$L$19/(1+$C$19/100)^DCF_Base!$C$4:$L$4)+MAX(0,MIN(IF($C$19&gt;DCF_Base!$B$28,DCF_Base!$L$19*(1+DCF_Base!$B$28/100)/(($C$19-DCF_Base!$B$28)/100),DCF_Base!$L$19*DCF_Base!$B$29),DCF_Base!$L$19*DCF_Base!$B$29))/(1+$C$19/100)^DCF_Base!$L$4+Assumptions!$B$5-Assumptions!$B$4)/Assumptions!$B$3*Assumptions!$B$10</f>
        <v>7.82564279017698</v>
      </c>
      <c r="C19" s="3" t="n">
        <v>15</v>
      </c>
    </row>
    <row r="21" customFormat="false" ht="15" hidden="false" customHeight="false" outlineLevel="0" collapsed="false">
      <c r="A21" s="2" t="s">
        <v>171</v>
      </c>
    </row>
    <row r="22" customFormat="false" ht="15" hidden="false" customHeight="false" outlineLevel="0" collapsed="false">
      <c r="B22" s="3" t="n">
        <v>0</v>
      </c>
      <c r="C22" s="3" t="n">
        <v>0.5</v>
      </c>
      <c r="D22" s="3" t="n">
        <v>1</v>
      </c>
      <c r="E22" s="3" t="n">
        <v>1.5</v>
      </c>
      <c r="F22" s="3" t="n">
        <v>2</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13.2007985246635</v>
      </c>
      <c r="C23" s="0" t="n">
        <f aca="false">(SUMPRODUCT(DCF_Base!$C$19:$L$19/(1+$A$23/100)^DCF_Base!$C$4:$L$4)+MAX(0,MIN(IF($A$23&gt;$C$22,DCF_Base!$L$19*(1+$C$22/100)/(($A$23-$C$22)/100),DCF_Base!$L$19*DCF_Base!$B$29),DCF_Base!$L$19*DCF_Base!$B$29))/(1+$A$23/100)^DCF_Base!$L$4+Assumptions!$B$5-Assumptions!$B$4)/Assumptions!$B$3*Assumptions!$B$10</f>
        <v>13.2007985246635</v>
      </c>
      <c r="D23" s="0" t="n">
        <f aca="false">(SUMPRODUCT(DCF_Base!$C$19:$L$19/(1+$A$23/100)^DCF_Base!$C$4:$L$4)+MAX(0,MIN(IF($A$23&gt;$D$22,DCF_Base!$L$19*(1+$D$22/100)/(($A$23-$D$22)/100),DCF_Base!$L$19*DCF_Base!$B$29),DCF_Base!$L$19*DCF_Base!$B$29))/(1+$A$23/100)^DCF_Base!$L$4+Assumptions!$B$5-Assumptions!$B$4)/Assumptions!$B$3*Assumptions!$B$10</f>
        <v>13.2007985246635</v>
      </c>
      <c r="E23" s="0" t="n">
        <f aca="false">(SUMPRODUCT(DCF_Base!$C$19:$L$19/(1+$A$23/100)^DCF_Base!$C$4:$L$4)+MAX(0,MIN(IF($A$23&gt;$E$22,DCF_Base!$L$19*(1+$E$22/100)/(($A$23-$E$22)/100),DCF_Base!$L$19*DCF_Base!$B$29),DCF_Base!$L$19*DCF_Base!$B$29))/(1+$A$23/100)^DCF_Base!$L$4+Assumptions!$B$5-Assumptions!$B$4)/Assumptions!$B$3*Assumptions!$B$10</f>
        <v>13.2007985246635</v>
      </c>
      <c r="F23" s="0" t="n">
        <f aca="false">(SUMPRODUCT(DCF_Base!$C$19:$L$19/(1+$A$23/100)^DCF_Base!$C$4:$L$4)+MAX(0,MIN(IF($A$23&gt;$F$22,DCF_Base!$L$19*(1+$F$22/100)/(($A$23-$F$22)/100),DCF_Base!$L$19*DCF_Base!$B$29),DCF_Base!$L$19*DCF_Base!$B$29))/(1+$A$23/100)^DCF_Base!$L$4+Assumptions!$B$5-Assumptions!$B$4)/Assumptions!$B$3*Assumptions!$B$10</f>
        <v>13.2007985246635</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12.1103911186566</v>
      </c>
      <c r="C24" s="0" t="n">
        <f aca="false">(SUMPRODUCT(DCF_Base!$C$19:$L$19/(1+$A$24/100)^DCF_Base!$C$4:$L$4)+MAX(0,MIN(IF($A$24&gt;$C$22,DCF_Base!$L$19*(1+$C$22/100)/(($A$24-$C$22)/100),DCF_Base!$L$19*DCF_Base!$B$29),DCF_Base!$L$19*DCF_Base!$B$29))/(1+$A$24/100)^DCF_Base!$L$4+Assumptions!$B$5-Assumptions!$B$4)/Assumptions!$B$3*Assumptions!$B$10</f>
        <v>12.1103911186566</v>
      </c>
      <c r="D24" s="0" t="n">
        <f aca="false">(SUMPRODUCT(DCF_Base!$C$19:$L$19/(1+$A$24/100)^DCF_Base!$C$4:$L$4)+MAX(0,MIN(IF($A$24&gt;$D$22,DCF_Base!$L$19*(1+$D$22/100)/(($A$24-$D$22)/100),DCF_Base!$L$19*DCF_Base!$B$29),DCF_Base!$L$19*DCF_Base!$B$29))/(1+$A$24/100)^DCF_Base!$L$4+Assumptions!$B$5-Assumptions!$B$4)/Assumptions!$B$3*Assumptions!$B$10</f>
        <v>12.1103911186566</v>
      </c>
      <c r="E24" s="0" t="n">
        <f aca="false">(SUMPRODUCT(DCF_Base!$C$19:$L$19/(1+$A$24/100)^DCF_Base!$C$4:$L$4)+MAX(0,MIN(IF($A$24&gt;$E$22,DCF_Base!$L$19*(1+$E$22/100)/(($A$24-$E$22)/100),DCF_Base!$L$19*DCF_Base!$B$29),DCF_Base!$L$19*DCF_Base!$B$29))/(1+$A$24/100)^DCF_Base!$L$4+Assumptions!$B$5-Assumptions!$B$4)/Assumptions!$B$3*Assumptions!$B$10</f>
        <v>12.1103911186566</v>
      </c>
      <c r="F24" s="0" t="n">
        <f aca="false">(SUMPRODUCT(DCF_Base!$C$19:$L$19/(1+$A$24/100)^DCF_Base!$C$4:$L$4)+MAX(0,MIN(IF($A$24&gt;$F$22,DCF_Base!$L$19*(1+$F$22/100)/(($A$24-$F$22)/100),DCF_Base!$L$19*DCF_Base!$B$29),DCF_Base!$L$19*DCF_Base!$B$29))/(1+$A$24/100)^DCF_Base!$L$4+Assumptions!$B$5-Assumptions!$B$4)/Assumptions!$B$3*Assumptions!$B$10</f>
        <v>12.1103911186566</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11.1080053727781</v>
      </c>
      <c r="C25" s="0" t="n">
        <f aca="false">(SUMPRODUCT(DCF_Base!$C$19:$L$19/(1+$A$25/100)^DCF_Base!$C$4:$L$4)+MAX(0,MIN(IF($A$25&gt;$C$22,DCF_Base!$L$19*(1+$C$22/100)/(($A$25-$C$22)/100),DCF_Base!$L$19*DCF_Base!$B$29),DCF_Base!$L$19*DCF_Base!$B$29))/(1+$A$25/100)^DCF_Base!$L$4+Assumptions!$B$5-Assumptions!$B$4)/Assumptions!$B$3*Assumptions!$B$10</f>
        <v>11.1080053727781</v>
      </c>
      <c r="D25" s="0" t="n">
        <f aca="false">(SUMPRODUCT(DCF_Base!$C$19:$L$19/(1+$A$25/100)^DCF_Base!$C$4:$L$4)+MAX(0,MIN(IF($A$25&gt;$D$22,DCF_Base!$L$19*(1+$D$22/100)/(($A$25-$D$22)/100),DCF_Base!$L$19*DCF_Base!$B$29),DCF_Base!$L$19*DCF_Base!$B$29))/(1+$A$25/100)^DCF_Base!$L$4+Assumptions!$B$5-Assumptions!$B$4)/Assumptions!$B$3*Assumptions!$B$10</f>
        <v>11.1080053727781</v>
      </c>
      <c r="E25" s="0" t="n">
        <f aca="false">(SUMPRODUCT(DCF_Base!$C$19:$L$19/(1+$A$25/100)^DCF_Base!$C$4:$L$4)+MAX(0,MIN(IF($A$25&gt;$E$22,DCF_Base!$L$19*(1+$E$22/100)/(($A$25-$E$22)/100),DCF_Base!$L$19*DCF_Base!$B$29),DCF_Base!$L$19*DCF_Base!$B$29))/(1+$A$25/100)^DCF_Base!$L$4+Assumptions!$B$5-Assumptions!$B$4)/Assumptions!$B$3*Assumptions!$B$10</f>
        <v>11.1080053727781</v>
      </c>
      <c r="F25" s="0" t="n">
        <f aca="false">(SUMPRODUCT(DCF_Base!$C$19:$L$19/(1+$A$25/100)^DCF_Base!$C$4:$L$4)+MAX(0,MIN(IF($A$25&gt;$F$22,DCF_Base!$L$19*(1+$F$22/100)/(($A$25-$F$22)/100),DCF_Base!$L$19*DCF_Base!$B$29),DCF_Base!$L$19*DCF_Base!$B$29))/(1+$A$25/100)^DCF_Base!$L$4+Assumptions!$B$5-Assumptions!$B$4)/Assumptions!$B$3*Assumptions!$B$10</f>
        <v>11.1080053727781</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10.1853710624075</v>
      </c>
      <c r="C26" s="0" t="n">
        <f aca="false">(SUMPRODUCT(DCF_Base!$C$19:$L$19/(1+$A$26/100)^DCF_Base!$C$4:$L$4)+MAX(0,MIN(IF($A$26&gt;$C$22,DCF_Base!$L$19*(1+$C$22/100)/(($A$26-$C$22)/100),DCF_Base!$L$19*DCF_Base!$B$29),DCF_Base!$L$19*DCF_Base!$B$29))/(1+$A$26/100)^DCF_Base!$L$4+Assumptions!$B$5-Assumptions!$B$4)/Assumptions!$B$3*Assumptions!$B$10</f>
        <v>10.1853710624075</v>
      </c>
      <c r="D26" s="0" t="n">
        <f aca="false">(SUMPRODUCT(DCF_Base!$C$19:$L$19/(1+$A$26/100)^DCF_Base!$C$4:$L$4)+MAX(0,MIN(IF($A$26&gt;$D$22,DCF_Base!$L$19*(1+$D$22/100)/(($A$26-$D$22)/100),DCF_Base!$L$19*DCF_Base!$B$29),DCF_Base!$L$19*DCF_Base!$B$29))/(1+$A$26/100)^DCF_Base!$L$4+Assumptions!$B$5-Assumptions!$B$4)/Assumptions!$B$3*Assumptions!$B$10</f>
        <v>10.1853710624075</v>
      </c>
      <c r="E26" s="0" t="n">
        <f aca="false">(SUMPRODUCT(DCF_Base!$C$19:$L$19/(1+$A$26/100)^DCF_Base!$C$4:$L$4)+MAX(0,MIN(IF($A$26&gt;$E$22,DCF_Base!$L$19*(1+$E$22/100)/(($A$26-$E$22)/100),DCF_Base!$L$19*DCF_Base!$B$29),DCF_Base!$L$19*DCF_Base!$B$29))/(1+$A$26/100)^DCF_Base!$L$4+Assumptions!$B$5-Assumptions!$B$4)/Assumptions!$B$3*Assumptions!$B$10</f>
        <v>10.1853710624075</v>
      </c>
      <c r="F26" s="0" t="n">
        <f aca="false">(SUMPRODUCT(DCF_Base!$C$19:$L$19/(1+$A$26/100)^DCF_Base!$C$4:$L$4)+MAX(0,MIN(IF($A$26&gt;$F$22,DCF_Base!$L$19*(1+$F$22/100)/(($A$26-$F$22)/100),DCF_Base!$L$19*DCF_Base!$B$29),DCF_Base!$L$19*DCF_Base!$B$29))/(1+$A$26/100)^DCF_Base!$L$4+Assumptions!$B$5-Assumptions!$B$4)/Assumptions!$B$3*Assumptions!$B$10</f>
        <v>10.1853710624075</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9.33508087308332</v>
      </c>
      <c r="C27" s="0" t="n">
        <f aca="false">(SUMPRODUCT(DCF_Base!$C$19:$L$19/(1+$A$27/100)^DCF_Base!$C$4:$L$4)+MAX(0,MIN(IF($A$27&gt;$C$22,DCF_Base!$L$19*(1+$C$22/100)/(($A$27-$C$22)/100),DCF_Base!$L$19*DCF_Base!$B$29),DCF_Base!$L$19*DCF_Base!$B$29))/(1+$A$27/100)^DCF_Base!$L$4+Assumptions!$B$5-Assumptions!$B$4)/Assumptions!$B$3*Assumptions!$B$10</f>
        <v>9.33508087308332</v>
      </c>
      <c r="D27" s="0" t="n">
        <f aca="false">(SUMPRODUCT(DCF_Base!$C$19:$L$19/(1+$A$27/100)^DCF_Base!$C$4:$L$4)+MAX(0,MIN(IF($A$27&gt;$D$22,DCF_Base!$L$19*(1+$D$22/100)/(($A$27-$D$22)/100),DCF_Base!$L$19*DCF_Base!$B$29),DCF_Base!$L$19*DCF_Base!$B$29))/(1+$A$27/100)^DCF_Base!$L$4+Assumptions!$B$5-Assumptions!$B$4)/Assumptions!$B$3*Assumptions!$B$10</f>
        <v>9.33508087308332</v>
      </c>
      <c r="E27" s="0" t="n">
        <f aca="false">(SUMPRODUCT(DCF_Base!$C$19:$L$19/(1+$A$27/100)^DCF_Base!$C$4:$L$4)+MAX(0,MIN(IF($A$27&gt;$E$22,DCF_Base!$L$19*(1+$E$22/100)/(($A$27-$E$22)/100),DCF_Base!$L$19*DCF_Base!$B$29),DCF_Base!$L$19*DCF_Base!$B$29))/(1+$A$27/100)^DCF_Base!$L$4+Assumptions!$B$5-Assumptions!$B$4)/Assumptions!$B$3*Assumptions!$B$10</f>
        <v>9.33508087308332</v>
      </c>
      <c r="F27" s="0" t="n">
        <f aca="false">(SUMPRODUCT(DCF_Base!$C$19:$L$19/(1+$A$27/100)^DCF_Base!$C$4:$L$4)+MAX(0,MIN(IF($A$27&gt;$F$22,DCF_Base!$L$19*(1+$F$22/100)/(($A$27-$F$22)/100),DCF_Base!$L$19*DCF_Base!$B$29),DCF_Base!$L$19*DCF_Base!$B$29))/(1+$A$27/100)^DCF_Base!$L$4+Assumptions!$B$5-Assumptions!$B$4)/Assumptions!$B$3*Assumptions!$B$10</f>
        <v>9.33508087308332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2026-10-16T22:35:43Z</dcterms:created>
  <dc:creator>openpyxl</dc:creator>
  <dc:description/>
  <dc:language>en-NZ</dc:language>
  <cp:lastModifiedBy/>
  <dcterms:modified xsi:type="dcterms:W3CDTF">2026-10-16T22:35:43Z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