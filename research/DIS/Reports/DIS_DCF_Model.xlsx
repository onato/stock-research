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<sst xmlns="http://schemas.openxmlformats.org/spreadsheetml/2006/main" count="360" uniqueCount="166">
  <si>
    <t xml:space="preserve">Ticker</t>
  </si>
  <si>
    <t xml:space="preserve">DIS</t>
  </si>
  <si>
    <t xml:space="preserve">Company</t>
  </si>
  <si>
    <t xml:space="preserve">The Walt Disney Company</t>
  </si>
  <si>
    <t xml:space="preserve">Valuation date</t>
  </si>
  <si>
    <t xml:space="preserve">2026-09-26</t>
  </si>
  <si>
    <t xml:space="preserve">Current price</t>
  </si>
  <si>
    <t xml:space="preserve">Price as of</t>
  </si>
  <si>
    <t xml:space="preserve">2026-09-25T20:03:59Z regular close (Yahoo regularMarketTime)</t>
  </si>
  <si>
    <t xml:space="preserve">Balance sheet date</t>
  </si>
  <si>
    <t xml:space="preserve">2026-06-27</t>
  </si>
  <si>
    <t xml:space="preserve">Model</t>
  </si>
  <si>
    <t xml:space="preserve">owner_fcf_dcf_component</t>
  </si>
  <si>
    <t xml:space="preserve">Currency (model)</t>
  </si>
  <si>
    <t xml:space="preserve">USD</t>
  </si>
  <si>
    <t xml:space="preserve">Currency (quote)</t>
  </si>
  <si>
    <t xml:space="preserve">Units</t>
  </si>
  <si>
    <t xml:space="preserve">millions</t>
  </si>
  <si>
    <t xml:space="preserve">Engine</t>
  </si>
  <si>
    <t xml:space="preserve">dcf_engine v1</t>
  </si>
  <si>
    <t xml:space="preserve">Built at</t>
  </si>
  <si>
    <t xml:space="preserve">2026-09-26T01:31:12Z</t>
  </si>
  <si>
    <t xml:space="preserve">Drivers file</t>
  </si>
  <si>
    <t xml:space="preserve">DIS_Drivers.json</t>
  </si>
  <si>
    <t xml:space="preserve">Convention</t>
  </si>
  <si>
    <t xml:space="preserve">Percents stored as percents; formulas divide by 100. Blue = input, green = link, black = formula.</t>
  </si>
  <si>
    <t xml:space="preserve">Methodology</t>
  </si>
  <si>
    <t xml:space="preserve">summary: Disney is valued as a single consolidated operating company on owner FCF (SBC expensed, flat diluted share count) over 10 years, because the Experiences capex supercycle and the streaming margin ramp both mature beyond year 5. Terminal value is capped at a mature-media multiple (15x base) rather than left to Gordon, and minority interests (ESPN partners, Fubo, Asian resort partners) are deducted at market value because the flows are consolidated.
key_risks_to_valuation: Capex intensity: every 1pp of revenue in sustained capex is ~$1B+ of FCF a year; the $60B Experiences plan could be accelerated further.; Linear networks decline faster than modelled, removing a high-margin profit pool before streaming fully replaces it.; Sports-rights inflation (NBA, NFL, college) outpacing ESPN DTC monetisation.; Terminal multiple: the cap (15x base) binds below Gordon (~17x at 8.5%/2.5%); the sensitivity grid shows the uncapped range.; NCI valuation is an estimate; ESPN's 30% minority stakes could be worth more than ~$11B if ESPN DTC succeeds.</t>
  </si>
  <si>
    <t xml:space="preserve">Data sources</t>
  </si>
  <si>
    <t xml:space="preserve">price: Yahoo Finance chart API at inputs.price_as_of; 52-week range 92.19-117.09
financials: SEC XBRL companyfacts (CIK 1744489): FY2017-FY2025 10-Ks and Q1-Q3 FY2026 10-Qs (quarter ended 27-Jun-2026); research/DIS/Reports/DIS_Metrics.csv for annual history
qualitative: research/DIS/Reports/DIS_Analysis.json (Q3 FY2026 guidance, recent developments, bull/bear cases)</t>
  </si>
  <si>
    <t xml:space="preserve">Scenario narrative: bear</t>
  </si>
  <si>
    <t xml:space="preserve">Linear TV losses accelerate faster than streaming profit grows, NBA/NFL/college rights escalators keep compressing Sports operating income (-17% in Q3 FY2026), domestic park attendance weakness turns into a discretionary-spending downturn just as the $60B capacity comes on, and the new CEO misfires on content strategy. Revenue grows 2-3.5%, margin erodes toward 22%, capex stays elevated, and the terminal is priced at 12x as a no-growth media conglomerate.</t>
  </si>
  <si>
    <t xml:space="preserve">Scenario narrative: base</t>
  </si>
  <si>
    <t xml:space="preserve">Streaming holds double-digit margins and drifts to the mid-teens, the Experiences capex program opens capacity roughly on plan with price-led growth offsetting soft domestic attendance, and ESPN DTC scales enough to absorb sports-rights inflation while linear networks decline mid-single digits a year. Revenue grows ~5% fading to 3%, owner EBITDA margin rises ~1.8pp to 25%, and capex stays near 9% of revenue through the peak of the $60B plan before easing to 7%.</t>
  </si>
  <si>
    <t xml:space="preserve">Scenario narrative: bull</t>
  </si>
  <si>
    <t xml:space="preserve">Streaming reaches Netflix-like high-teens margins with bundling and ad tiers lifting ARPU; ESPN DTC converts cord-cutters at scale; new parks, lands and the 13-ship cruise fleet earn Experiences-level returns; a strong IP slate (post-Zootopia 2/Avatar) keeps the flywheel spinning. Revenue compounds 6-7% early, margin reaches 27.5%, and capex normalises faster as the build program peaks.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</si>
  <si>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</si>
  <si>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</si>
  <si>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</si>
  <si>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</si>
  <si>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</si>
  <si>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</si>
  <si>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</si>
  <si>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</si>
  <si>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</si>
  <si>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</si>
  <si>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</si>
  <si>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</si>
  <si>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</si>
  <si>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</si>
  <si>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</si>
  <si>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</si>
  <si>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</si>
  <si>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</si>
  <si>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</si>
  <si>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</si>
  <si>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</si>
  <si>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</si>
  <si>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</si>
  <si>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</si>
  <si>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</si>
  <si>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</si>
  <si>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</si>
  <si>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</si>
  <si>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</si>
  <si>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</si>
  <si>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</si>
  <si>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</si>
  <si>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</si>
  <si>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</si>
  <si>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</si>
  <si>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</si>
  <si>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</si>
  <si>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</si>
  <si>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</si>
  <si>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</si>
  <si>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</si>
  <si>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</si>
  <si>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</si>
  <si>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</si>
  <si>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</si>
  <si>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</si>
  <si>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 (52-week-normalised estimate; FY2026 ends 3-Oct-2026 and is a 53-week year)</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</si>
  <si>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</si>
  <si>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</si>
  <si>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</si>
  <si>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</si>
  <si>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</si>
  <si>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</si>
  <si>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</si>
  <si>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</si>
  <si>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</si>
  <si>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</si>
  <si>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</si>
  <si>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</si>
  <si>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</si>
  <si>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</si>
  <si>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</si>
  <si>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</si>
  <si>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</si>
  <si>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</si>
  <si>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</si>
  <si>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</si>
  <si>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</si>
  <si>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</si>
  <si>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</si>
  <si>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</si>
  <si>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</si>
  <si>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</si>
  <si>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</si>
  <si>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</si>
  <si>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DIS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</si>
  <si>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</si>
  <si>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</si>
  <si>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</si>
  <si>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</si>
  <si>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</si>
  <si>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</si>
  <si>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</si>
  <si>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</si>
  <si>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</si>
  <si>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</si>
  <si>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</si>
  <si>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</si>
  <si>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</si>
  <si>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</si>
  <si>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</si>
  <si>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</si>
  <si>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</si>
  <si>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</si>
  <si>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</si>
  <si>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</si>
  <si>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</si>
  <si>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</si>
  <si>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</si>
  <si>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</si>
  <si>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</si>
  <si>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</si>
  <si>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</si>
  <si>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</si>
  <si>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</si>
  <si>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</si>
  <si>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DIS owner-FCF component DCF: base case (millions, USD)</t>
  </si>
  <si>
    <t xml:space="preserve">DIS owner-FCF component DCF: bull case (millions, USD)</t>
  </si>
  <si>
    <t xml:space="preserve">DIS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</si>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</sst>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106.15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row>
    <row r="2" customFormat="false" ht="15" hidden="false" customHeight="false" outlineLevel="0" collapsed="false">
      <c r="A2" s="0" t="s">
        <v>63</v>
      </c>
      <c r="B2" s="0" t="n">
        <v>55632</v>
      </c>
      <c r="F2" s="0" t="n">
        <v>15721</v>
      </c>
      <c r="G2" s="0" t="n">
        <v>28.2589157319528</v>
      </c>
      <c r="H2" s="0" t="n">
        <v>18248</v>
      </c>
      <c r="I2" s="0" t="n">
        <v>9790</v>
      </c>
      <c r="J2" s="0" t="n">
        <v>17.5977854472246</v>
      </c>
      <c r="K2" s="0" t="n">
        <v>5.76</v>
      </c>
      <c r="L2" s="0" t="n">
        <v>13136</v>
      </c>
      <c r="M2" s="0" t="n">
        <v>4773</v>
      </c>
      <c r="N2" s="0" t="n">
        <v>8363</v>
      </c>
      <c r="S2" s="0" t="n">
        <v>4610</v>
      </c>
      <c r="T2" s="0" t="n">
        <v>1639</v>
      </c>
      <c r="U2" s="0" t="n">
        <v>393</v>
      </c>
      <c r="V2" s="0" t="n">
        <v>1.42</v>
      </c>
      <c r="AA2" s="0" t="s">
        <v>17</v>
      </c>
      <c r="AB2" s="0" t="s">
        <v>14</v>
      </c>
    </row>
    <row r="3" customFormat="false" ht="15" hidden="false" customHeight="false" outlineLevel="0" collapsed="false">
      <c r="A3" s="0" t="s">
        <v>64</v>
      </c>
      <c r="B3" s="0" t="n">
        <v>55137</v>
      </c>
      <c r="F3" s="0" t="n">
        <v>14775</v>
      </c>
      <c r="G3" s="0" t="n">
        <v>26.796887752326</v>
      </c>
      <c r="H3" s="0" t="n">
        <v>17557</v>
      </c>
      <c r="I3" s="0" t="n">
        <v>9366</v>
      </c>
      <c r="J3" s="0" t="n">
        <v>16.986778388378</v>
      </c>
      <c r="K3" s="0" t="n">
        <v>5.73</v>
      </c>
      <c r="L3" s="0" t="n">
        <v>12343</v>
      </c>
      <c r="M3" s="0" t="n">
        <v>3623</v>
      </c>
      <c r="N3" s="0" t="n">
        <v>8720</v>
      </c>
      <c r="O3" s="0" t="n">
        <v>45004</v>
      </c>
      <c r="P3" s="0" t="n">
        <v>95789</v>
      </c>
      <c r="R3" s="0" t="n">
        <v>31463</v>
      </c>
      <c r="S3" s="0" t="n">
        <v>4017</v>
      </c>
      <c r="T3" s="0" t="n">
        <v>1578</v>
      </c>
      <c r="U3" s="0" t="n">
        <v>364</v>
      </c>
      <c r="V3" s="0" t="n">
        <v>1.56</v>
      </c>
      <c r="AA3" s="0" t="s">
        <v>17</v>
      </c>
      <c r="AB3" s="0" t="s">
        <v>14</v>
      </c>
    </row>
    <row r="4" customFormat="false" ht="15" hidden="false" customHeight="false" outlineLevel="0" collapsed="false">
      <c r="A4" s="0" t="s">
        <v>65</v>
      </c>
      <c r="B4" s="0" t="n">
        <v>59434</v>
      </c>
      <c r="F4" s="0" t="n">
        <v>15689</v>
      </c>
      <c r="G4" s="0" t="n">
        <v>26.3973483191439</v>
      </c>
      <c r="H4" s="0" t="n">
        <v>18700</v>
      </c>
      <c r="I4" s="0" t="n">
        <v>13066</v>
      </c>
      <c r="J4" s="0" t="n">
        <v>21.9840495339368</v>
      </c>
      <c r="K4" s="0" t="n">
        <v>8.4</v>
      </c>
      <c r="L4" s="0" t="n">
        <v>14295</v>
      </c>
      <c r="M4" s="0" t="n">
        <v>4465</v>
      </c>
      <c r="N4" s="0" t="n">
        <v>9830</v>
      </c>
      <c r="O4" s="0" t="n">
        <v>52832</v>
      </c>
      <c r="P4" s="0" t="n">
        <v>98598</v>
      </c>
      <c r="R4" s="0" t="n">
        <v>24664</v>
      </c>
      <c r="S4" s="0" t="n">
        <v>4150</v>
      </c>
      <c r="T4" s="0" t="n">
        <v>1507</v>
      </c>
      <c r="U4" s="0" t="n">
        <v>393</v>
      </c>
      <c r="V4" s="0" t="n">
        <v>1.68</v>
      </c>
      <c r="AA4" s="0" t="s">
        <v>17</v>
      </c>
      <c r="AB4" s="0" t="s">
        <v>14</v>
      </c>
    </row>
    <row r="5" customFormat="false" ht="15" hidden="false" customHeight="false" outlineLevel="0" collapsed="false">
      <c r="A5" s="0" t="s">
        <v>66</v>
      </c>
      <c r="B5" s="0" t="n">
        <v>69607</v>
      </c>
      <c r="F5" s="0" t="n">
        <v>14847</v>
      </c>
      <c r="G5" s="0" t="n">
        <v>21.3297513181146</v>
      </c>
      <c r="H5" s="0" t="n">
        <v>19014</v>
      </c>
      <c r="I5" s="0" t="n">
        <v>11584</v>
      </c>
      <c r="J5" s="0" t="n">
        <v>16.6420043961096</v>
      </c>
      <c r="K5" s="0" t="n">
        <v>6.68</v>
      </c>
      <c r="M5" s="0" t="n">
        <v>4876</v>
      </c>
      <c r="O5" s="0" t="n">
        <v>93889</v>
      </c>
      <c r="P5" s="0" t="n">
        <v>193984</v>
      </c>
      <c r="R5" s="0" t="n">
        <v>55843</v>
      </c>
      <c r="S5" s="0" t="n">
        <v>5418</v>
      </c>
      <c r="T5" s="0" t="n">
        <v>1666</v>
      </c>
      <c r="U5" s="0" t="n">
        <v>711</v>
      </c>
      <c r="AA5" s="0" t="s">
        <v>17</v>
      </c>
      <c r="AB5" s="0" t="s">
        <v>14</v>
      </c>
    </row>
    <row r="6" customFormat="false" ht="15" hidden="false" customHeight="false" outlineLevel="0" collapsed="false">
      <c r="A6" s="0" t="s">
        <v>67</v>
      </c>
      <c r="B6" s="0" t="n">
        <v>65388</v>
      </c>
      <c r="F6" s="0" t="n">
        <v>8108</v>
      </c>
      <c r="G6" s="0" t="n">
        <v>12.3998287147489</v>
      </c>
      <c r="H6" s="0" t="n">
        <v>13453</v>
      </c>
      <c r="I6" s="0" t="n">
        <v>-2864</v>
      </c>
      <c r="J6" s="0" t="n">
        <v>-4.38000856426256</v>
      </c>
      <c r="K6" s="0" t="n">
        <v>-1.58</v>
      </c>
      <c r="M6" s="0" t="n">
        <v>4022</v>
      </c>
      <c r="O6" s="0" t="n">
        <v>88263</v>
      </c>
      <c r="P6" s="0" t="n">
        <v>201549</v>
      </c>
      <c r="R6" s="0" t="n">
        <v>64339</v>
      </c>
      <c r="S6" s="0" t="n">
        <v>17914</v>
      </c>
      <c r="T6" s="0" t="n">
        <v>1808</v>
      </c>
      <c r="U6" s="0" t="n">
        <v>525</v>
      </c>
      <c r="AA6" s="0" t="s">
        <v>17</v>
      </c>
      <c r="AB6" s="0" t="s">
        <v>14</v>
      </c>
    </row>
    <row r="7" customFormat="false" ht="15" hidden="false" customHeight="false" outlineLevel="0" collapsed="false">
      <c r="A7" s="0" t="s">
        <v>68</v>
      </c>
      <c r="B7" s="0" t="n">
        <v>67418</v>
      </c>
      <c r="F7" s="0" t="n">
        <v>7766</v>
      </c>
      <c r="G7" s="0" t="n">
        <v>11.5191788543119</v>
      </c>
      <c r="H7" s="0" t="n">
        <v>12877</v>
      </c>
      <c r="I7" s="0" t="n">
        <v>2507</v>
      </c>
      <c r="J7" s="0" t="n">
        <v>3.71859147408704</v>
      </c>
      <c r="K7" s="0" t="n">
        <v>1.1</v>
      </c>
      <c r="M7" s="0" t="n">
        <v>3578</v>
      </c>
      <c r="O7" s="0" t="n">
        <v>93011</v>
      </c>
      <c r="P7" s="0" t="n">
        <v>203609</v>
      </c>
      <c r="R7" s="0" t="n">
        <v>60272</v>
      </c>
      <c r="S7" s="0" t="n">
        <v>15959</v>
      </c>
      <c r="T7" s="0" t="n">
        <v>1828</v>
      </c>
      <c r="U7" s="0" t="n">
        <v>600</v>
      </c>
      <c r="AA7" s="0" t="s">
        <v>17</v>
      </c>
      <c r="AB7" s="0" t="s">
        <v>14</v>
      </c>
    </row>
    <row r="8" customFormat="false" ht="15" hidden="false" customHeight="false" outlineLevel="0" collapsed="false">
      <c r="A8" s="0" t="s">
        <v>69</v>
      </c>
      <c r="B8" s="0" t="n">
        <v>82722</v>
      </c>
      <c r="F8" s="0" t="n">
        <v>12121</v>
      </c>
      <c r="G8" s="0" t="n">
        <v>14.6526921496095</v>
      </c>
      <c r="H8" s="0" t="n">
        <v>17284</v>
      </c>
      <c r="I8" s="0" t="n">
        <v>3505</v>
      </c>
      <c r="J8" s="0" t="n">
        <v>4.23708324266821</v>
      </c>
      <c r="K8" s="0" t="n">
        <v>1.73</v>
      </c>
      <c r="M8" s="0" t="n">
        <v>4943</v>
      </c>
      <c r="O8" s="0" t="n">
        <v>98879</v>
      </c>
      <c r="P8" s="0" t="n">
        <v>203631</v>
      </c>
      <c r="R8" s="0" t="n">
        <v>51439</v>
      </c>
      <c r="S8" s="0" t="n">
        <v>11615</v>
      </c>
      <c r="T8" s="0" t="n">
        <v>1827</v>
      </c>
      <c r="U8" s="0" t="n">
        <v>977</v>
      </c>
      <c r="AA8" s="0" t="s">
        <v>17</v>
      </c>
      <c r="AB8" s="0" t="s">
        <v>14</v>
      </c>
    </row>
    <row r="9" customFormat="false" ht="15" hidden="false" customHeight="false" outlineLevel="0" collapsed="false">
      <c r="A9" s="0" t="s">
        <v>70</v>
      </c>
      <c r="B9" s="0" t="n">
        <v>88898</v>
      </c>
      <c r="F9" s="0" t="n">
        <v>12863</v>
      </c>
      <c r="G9" s="0" t="n">
        <v>14.4693918873316</v>
      </c>
      <c r="H9" s="0" t="n">
        <v>18232</v>
      </c>
      <c r="I9" s="0" t="n">
        <v>3390</v>
      </c>
      <c r="J9" s="0" t="n">
        <v>3.8133591306891</v>
      </c>
      <c r="K9" s="0" t="n">
        <v>1.29</v>
      </c>
      <c r="L9" s="0" t="n">
        <v>9866</v>
      </c>
      <c r="M9" s="0" t="n">
        <v>4969</v>
      </c>
      <c r="N9" s="0" t="n">
        <v>4897</v>
      </c>
      <c r="O9" s="0" t="n">
        <v>103957</v>
      </c>
      <c r="P9" s="0" t="n">
        <v>205579</v>
      </c>
      <c r="R9" s="0" t="n">
        <v>50761</v>
      </c>
      <c r="S9" s="0" t="n">
        <v>14182</v>
      </c>
      <c r="T9" s="0" t="n">
        <v>1830</v>
      </c>
      <c r="U9" s="0" t="n">
        <v>1143</v>
      </c>
      <c r="AA9" s="0" t="s">
        <v>17</v>
      </c>
      <c r="AB9" s="0" t="s">
        <v>14</v>
      </c>
    </row>
    <row r="10" customFormat="false" ht="15" hidden="false" customHeight="false" outlineLevel="0" collapsed="false">
      <c r="A10" s="0" t="s">
        <v>71</v>
      </c>
      <c r="B10" s="0" t="n">
        <v>91361</v>
      </c>
      <c r="F10" s="0" t="n">
        <v>15601</v>
      </c>
      <c r="G10" s="0" t="n">
        <v>17.0762141395125</v>
      </c>
      <c r="H10" s="0" t="n">
        <v>20591</v>
      </c>
      <c r="I10" s="0" t="n">
        <v>5773</v>
      </c>
      <c r="J10" s="0" t="n">
        <v>6.31888880375653</v>
      </c>
      <c r="K10" s="0" t="n">
        <v>2.72</v>
      </c>
      <c r="L10" s="0" t="n">
        <v>13971</v>
      </c>
      <c r="M10" s="0" t="n">
        <v>5412</v>
      </c>
      <c r="N10" s="0" t="n">
        <v>8559</v>
      </c>
      <c r="O10" s="0" t="n">
        <v>105522</v>
      </c>
      <c r="P10" s="0" t="n">
        <v>196219</v>
      </c>
      <c r="R10" s="0" t="n">
        <v>52660</v>
      </c>
      <c r="S10" s="0" t="n">
        <v>6002</v>
      </c>
      <c r="T10" s="0" t="n">
        <v>1900</v>
      </c>
      <c r="U10" s="0" t="n">
        <v>1366</v>
      </c>
      <c r="AA10" s="0" t="s">
        <v>17</v>
      </c>
      <c r="AB10" s="0" t="s">
        <v>14</v>
      </c>
    </row>
    <row r="11" customFormat="false" ht="15" hidden="false" customHeight="false" outlineLevel="0" collapsed="false">
      <c r="A11" s="0" t="s">
        <v>72</v>
      </c>
      <c r="B11" s="0" t="n">
        <v>94425</v>
      </c>
      <c r="F11" s="0" t="n">
        <v>17551</v>
      </c>
      <c r="G11" s="0" t="n">
        <v>18.5872385491131</v>
      </c>
      <c r="H11" s="0" t="n">
        <v>22877</v>
      </c>
      <c r="I11" s="0" t="n">
        <v>13431</v>
      </c>
      <c r="J11" s="0" t="n">
        <v>14.2239872915012</v>
      </c>
      <c r="K11" s="0" t="n">
        <v>6.88</v>
      </c>
      <c r="L11" s="0" t="n">
        <v>18101</v>
      </c>
      <c r="M11" s="0" t="n">
        <v>8024</v>
      </c>
      <c r="N11" s="0" t="n">
        <v>10077</v>
      </c>
      <c r="O11" s="0" t="n">
        <v>114612</v>
      </c>
      <c r="P11" s="0" t="n">
        <v>197514</v>
      </c>
      <c r="R11" s="0" t="n">
        <v>48737</v>
      </c>
      <c r="S11" s="0" t="n">
        <v>5695</v>
      </c>
      <c r="T11" s="0" t="n">
        <v>1900</v>
      </c>
      <c r="U11" s="0" t="n">
        <v>1363</v>
      </c>
      <c r="AA11" s="0" t="s">
        <v>17</v>
      </c>
      <c r="AB11"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73</v>
      </c>
      <c r="B1" s="2" t="s">
        <v>74</v>
      </c>
    </row>
    <row r="2" customFormat="false" ht="15" hidden="false" customHeight="false" outlineLevel="0" collapsed="false">
      <c r="A2" s="0" t="s">
        <v>75</v>
      </c>
      <c r="B2" s="3" t="n">
        <v>106.15</v>
      </c>
    </row>
    <row r="3" customFormat="false" ht="15" hidden="false" customHeight="false" outlineLevel="0" collapsed="false">
      <c r="A3" s="0" t="s">
        <v>76</v>
      </c>
      <c r="B3" s="3" t="n">
        <v>1743</v>
      </c>
    </row>
    <row r="4" customFormat="false" ht="15" hidden="false" customHeight="false" outlineLevel="0" collapsed="false">
      <c r="A4" s="0" t="s">
        <v>77</v>
      </c>
      <c r="B4" s="3" t="n">
        <v>40856</v>
      </c>
    </row>
    <row r="5" customFormat="false" ht="15" hidden="false" customHeight="false" outlineLevel="0" collapsed="false">
      <c r="A5" s="0" t="s">
        <v>78</v>
      </c>
      <c r="B5" s="3" t="n">
        <v>-8000</v>
      </c>
    </row>
    <row r="6" customFormat="false" ht="15" hidden="false" customHeight="false" outlineLevel="0" collapsed="false">
      <c r="A6" s="0" t="s">
        <v>79</v>
      </c>
      <c r="B6" s="3" t="n">
        <v>15</v>
      </c>
    </row>
    <row r="7" customFormat="false" ht="15" hidden="false" customHeight="false" outlineLevel="0" collapsed="false">
      <c r="A7" s="0" t="s">
        <v>80</v>
      </c>
      <c r="B7" s="3" t="n">
        <v>99300</v>
      </c>
    </row>
    <row r="8" customFormat="false" ht="15" hidden="false" customHeight="false" outlineLevel="0" collapsed="false">
      <c r="A8" s="0" t="s">
        <v>81</v>
      </c>
      <c r="B8" s="3" t="s">
        <v>82</v>
      </c>
    </row>
    <row r="9" customFormat="false" ht="15" hidden="false" customHeight="false" outlineLevel="0" collapsed="false">
      <c r="A9" s="0" t="s">
        <v>83</v>
      </c>
      <c r="B9" s="3" t="s">
        <v>84</v>
      </c>
    </row>
    <row r="10" customFormat="false" ht="15" hidden="false" customHeight="false" outlineLevel="0" collapsed="false">
      <c r="A10" s="0" t="s">
        <v>85</v>
      </c>
      <c r="B10" s="3" t="n">
        <v>1</v>
      </c>
    </row>
    <row r="12" customFormat="false" ht="15" hidden="false" customHeight="false" outlineLevel="0" collapsed="false">
      <c r="A12" s="2" t="s">
        <v>86</v>
      </c>
      <c r="C12" s="2" t="s">
        <v>87</v>
      </c>
      <c r="D12" s="2" t="s">
        <v>88</v>
      </c>
      <c r="E12" s="2" t="s">
        <v>89</v>
      </c>
      <c r="F12" s="2" t="s">
        <v>90</v>
      </c>
      <c r="G12" s="2" t="s">
        <v>91</v>
      </c>
      <c r="H12" s="2" t="s">
        <v>92</v>
      </c>
      <c r="I12" s="2" t="s">
        <v>93</v>
      </c>
      <c r="J12" s="2" t="s">
        <v>94</v>
      </c>
      <c r="K12" s="2" t="s">
        <v>95</v>
      </c>
      <c r="L12" s="2" t="s">
        <v>96</v>
      </c>
    </row>
    <row r="13" customFormat="false" ht="15" hidden="false" customHeight="false" outlineLevel="0" collapsed="false">
      <c r="A13" s="0" t="s">
        <v>97</v>
      </c>
      <c r="C13" s="3" t="n">
        <v>3.5</v>
      </c>
      <c r="D13" s="3" t="n">
        <v>2.5</v>
      </c>
      <c r="E13" s="3" t="n">
        <v>2.5</v>
      </c>
      <c r="F13" s="3" t="n">
        <v>2</v>
      </c>
      <c r="G13" s="3" t="n">
        <v>2</v>
      </c>
      <c r="H13" s="3" t="n">
        <v>2</v>
      </c>
      <c r="I13" s="3" t="n">
        <v>2</v>
      </c>
      <c r="J13" s="3" t="n">
        <v>2</v>
      </c>
      <c r="K13" s="3" t="n">
        <v>2</v>
      </c>
      <c r="L13" s="3" t="n">
        <v>2</v>
      </c>
    </row>
    <row r="14" customFormat="false" ht="15" hidden="false" customHeight="false" outlineLevel="0" collapsed="false">
      <c r="A14" s="0" t="s">
        <v>98</v>
      </c>
      <c r="C14" s="3" t="n">
        <v>23</v>
      </c>
      <c r="D14" s="3" t="n">
        <v>22.8</v>
      </c>
      <c r="E14" s="3" t="n">
        <v>22.6</v>
      </c>
      <c r="F14" s="3" t="n">
        <v>22.4</v>
      </c>
      <c r="G14" s="3" t="n">
        <v>22.2</v>
      </c>
      <c r="H14" s="3" t="n">
        <v>22</v>
      </c>
      <c r="I14" s="3" t="n">
        <v>22</v>
      </c>
      <c r="J14" s="3" t="n">
        <v>22</v>
      </c>
      <c r="K14" s="3" t="n">
        <v>22</v>
      </c>
      <c r="L14" s="3" t="n">
        <v>22</v>
      </c>
    </row>
    <row r="15" customFormat="false" ht="15" hidden="false" customHeight="false" outlineLevel="0" collapsed="false">
      <c r="A15" s="0" t="s">
        <v>99</v>
      </c>
      <c r="C15" s="3" t="n">
        <v>1.55</v>
      </c>
      <c r="D15" s="3" t="n">
        <v>1.55</v>
      </c>
      <c r="E15" s="3" t="n">
        <v>1.5</v>
      </c>
      <c r="F15" s="3" t="n">
        <v>1.5</v>
      </c>
      <c r="G15" s="3" t="n">
        <v>1.5</v>
      </c>
      <c r="H15" s="3" t="n">
        <v>1.45</v>
      </c>
      <c r="I15" s="3" t="n">
        <v>1.45</v>
      </c>
      <c r="J15" s="3" t="n">
        <v>1.4</v>
      </c>
      <c r="K15" s="3" t="n">
        <v>1.4</v>
      </c>
      <c r="L15" s="3" t="n">
        <v>1.4</v>
      </c>
    </row>
    <row r="16" customFormat="false" ht="15" hidden="false" customHeight="false" outlineLevel="0" collapsed="false">
      <c r="A16" s="0" t="s">
        <v>100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101</v>
      </c>
      <c r="C17" s="3" t="n">
        <v>4.3</v>
      </c>
      <c r="D17" s="3" t="n">
        <v>4.4</v>
      </c>
      <c r="E17" s="3" t="n">
        <v>4.5</v>
      </c>
      <c r="F17" s="3" t="n">
        <v>4.6</v>
      </c>
      <c r="G17" s="3" t="n">
        <v>4.7</v>
      </c>
      <c r="H17" s="3" t="n">
        <v>4.8</v>
      </c>
      <c r="I17" s="3" t="n">
        <v>4.9</v>
      </c>
      <c r="J17" s="3" t="n">
        <v>5</v>
      </c>
      <c r="K17" s="3" t="n">
        <v>5</v>
      </c>
      <c r="L17" s="3" t="n">
        <v>5</v>
      </c>
    </row>
    <row r="18" customFormat="false" ht="15" hidden="false" customHeight="false" outlineLevel="0" collapsed="false">
      <c r="A18" s="0" t="s">
        <v>102</v>
      </c>
      <c r="C18" s="3" t="n">
        <v>9</v>
      </c>
      <c r="D18" s="3" t="n">
        <v>9</v>
      </c>
      <c r="E18" s="3" t="n">
        <v>8.8</v>
      </c>
      <c r="F18" s="3" t="n">
        <v>8.6</v>
      </c>
      <c r="G18" s="3" t="n">
        <v>8.4</v>
      </c>
      <c r="H18" s="3" t="n">
        <v>8.2</v>
      </c>
      <c r="I18" s="3" t="n">
        <v>8</v>
      </c>
      <c r="J18" s="3" t="n">
        <v>7.8</v>
      </c>
      <c r="K18" s="3" t="n">
        <v>7.6</v>
      </c>
      <c r="L18" s="3" t="n">
        <v>7.5</v>
      </c>
    </row>
    <row r="19" customFormat="false" ht="15" hidden="false" customHeight="false" outlineLevel="0" collapsed="false">
      <c r="A19" s="0" t="s">
        <v>103</v>
      </c>
      <c r="C19" s="3" t="n">
        <v>19</v>
      </c>
      <c r="D19" s="3" t="n">
        <v>20</v>
      </c>
      <c r="E19" s="3" t="n">
        <v>21</v>
      </c>
      <c r="F19" s="3" t="n">
        <v>21</v>
      </c>
      <c r="G19" s="3" t="n">
        <v>21</v>
      </c>
      <c r="H19" s="3" t="n">
        <v>21</v>
      </c>
      <c r="I19" s="3" t="n">
        <v>21</v>
      </c>
      <c r="J19" s="3" t="n">
        <v>21</v>
      </c>
      <c r="K19" s="3" t="n">
        <v>21</v>
      </c>
      <c r="L19" s="3" t="n">
        <v>21</v>
      </c>
    </row>
    <row r="20" customFormat="false" ht="15" hidden="false" customHeight="false" outlineLevel="0" collapsed="false">
      <c r="A20" s="0" t="s">
        <v>104</v>
      </c>
      <c r="B20" s="3" t="n">
        <v>8.5</v>
      </c>
    </row>
    <row r="21" customFormat="false" ht="15" hidden="false" customHeight="false" outlineLevel="0" collapsed="false">
      <c r="A21" s="0" t="s">
        <v>105</v>
      </c>
      <c r="B21" s="3" t="n">
        <v>2</v>
      </c>
    </row>
    <row r="22" customFormat="false" ht="15" hidden="false" customHeight="false" outlineLevel="0" collapsed="false">
      <c r="A22" s="0" t="s">
        <v>106</v>
      </c>
      <c r="B22" s="3" t="n">
        <v>12</v>
      </c>
    </row>
    <row r="23" customFormat="false" ht="15" hidden="false" customHeight="false" outlineLevel="0" collapsed="false">
      <c r="A23" s="0" t="s">
        <v>107</v>
      </c>
      <c r="B23" s="3" t="n">
        <v>0</v>
      </c>
    </row>
    <row r="24" customFormat="false" ht="15" hidden="false" customHeight="false" outlineLevel="0" collapsed="false">
      <c r="A24" s="0" t="s">
        <v>108</v>
      </c>
      <c r="B24" s="3" t="n">
        <v>0.2</v>
      </c>
    </row>
    <row r="26" customFormat="false" ht="15" hidden="false" customHeight="false" outlineLevel="0" collapsed="false">
      <c r="A26" s="2" t="s">
        <v>109</v>
      </c>
      <c r="C26" s="2" t="s">
        <v>87</v>
      </c>
      <c r="D26" s="2" t="s">
        <v>88</v>
      </c>
      <c r="E26" s="2" t="s">
        <v>89</v>
      </c>
      <c r="F26" s="2" t="s">
        <v>90</v>
      </c>
      <c r="G26" s="2" t="s">
        <v>91</v>
      </c>
      <c r="H26" s="2" t="s">
        <v>92</v>
      </c>
      <c r="I26" s="2" t="s">
        <v>93</v>
      </c>
      <c r="J26" s="2" t="s">
        <v>94</v>
      </c>
      <c r="K26" s="2" t="s">
        <v>95</v>
      </c>
      <c r="L26" s="2" t="s">
        <v>96</v>
      </c>
    </row>
    <row r="27" customFormat="false" ht="15" hidden="false" customHeight="false" outlineLevel="0" collapsed="false">
      <c r="A27" s="0" t="s">
        <v>97</v>
      </c>
      <c r="C27" s="3" t="n">
        <v>5.5</v>
      </c>
      <c r="D27" s="3" t="n">
        <v>5</v>
      </c>
      <c r="E27" s="3" t="n">
        <v>5</v>
      </c>
      <c r="F27" s="3" t="n">
        <v>4.5</v>
      </c>
      <c r="G27" s="3" t="n">
        <v>4.5</v>
      </c>
      <c r="H27" s="3" t="n">
        <v>4</v>
      </c>
      <c r="I27" s="3" t="n">
        <v>3.5</v>
      </c>
      <c r="J27" s="3" t="n">
        <v>3.5</v>
      </c>
      <c r="K27" s="3" t="n">
        <v>3</v>
      </c>
      <c r="L27" s="3" t="n">
        <v>3</v>
      </c>
    </row>
    <row r="28" customFormat="false" ht="15" hidden="false" customHeight="false" outlineLevel="0" collapsed="false">
      <c r="A28" s="0" t="s">
        <v>98</v>
      </c>
      <c r="C28" s="3" t="n">
        <v>23.6</v>
      </c>
      <c r="D28" s="3" t="n">
        <v>24</v>
      </c>
      <c r="E28" s="3" t="n">
        <v>24.4</v>
      </c>
      <c r="F28" s="3" t="n">
        <v>24.7</v>
      </c>
      <c r="G28" s="3" t="n">
        <v>25</v>
      </c>
      <c r="H28" s="3" t="n">
        <v>25</v>
      </c>
      <c r="I28" s="3" t="n">
        <v>25</v>
      </c>
      <c r="J28" s="3" t="n">
        <v>25</v>
      </c>
      <c r="K28" s="3" t="n">
        <v>25</v>
      </c>
      <c r="L28" s="3" t="n">
        <v>25</v>
      </c>
    </row>
    <row r="29" customFormat="false" ht="15" hidden="false" customHeight="false" outlineLevel="0" collapsed="false">
      <c r="A29" s="0" t="s">
        <v>99</v>
      </c>
      <c r="C29" s="3" t="n">
        <v>1.55</v>
      </c>
      <c r="D29" s="3" t="n">
        <v>1.55</v>
      </c>
      <c r="E29" s="3" t="n">
        <v>1.5</v>
      </c>
      <c r="F29" s="3" t="n">
        <v>1.5</v>
      </c>
      <c r="G29" s="3" t="n">
        <v>1.5</v>
      </c>
      <c r="H29" s="3" t="n">
        <v>1.45</v>
      </c>
      <c r="I29" s="3" t="n">
        <v>1.45</v>
      </c>
      <c r="J29" s="3" t="n">
        <v>1.4</v>
      </c>
      <c r="K29" s="3" t="n">
        <v>1.4</v>
      </c>
      <c r="L29" s="3" t="n">
        <v>1.4</v>
      </c>
    </row>
    <row r="30" customFormat="false" ht="15" hidden="false" customHeight="false" outlineLevel="0" collapsed="false">
      <c r="A30" s="0" t="s">
        <v>100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101</v>
      </c>
      <c r="C31" s="3" t="n">
        <v>4.3</v>
      </c>
      <c r="D31" s="3" t="n">
        <v>4.4</v>
      </c>
      <c r="E31" s="3" t="n">
        <v>4.5</v>
      </c>
      <c r="F31" s="3" t="n">
        <v>4.6</v>
      </c>
      <c r="G31" s="3" t="n">
        <v>4.7</v>
      </c>
      <c r="H31" s="3" t="n">
        <v>4.8</v>
      </c>
      <c r="I31" s="3" t="n">
        <v>4.9</v>
      </c>
      <c r="J31" s="3" t="n">
        <v>5</v>
      </c>
      <c r="K31" s="3" t="n">
        <v>5</v>
      </c>
      <c r="L31" s="3" t="n">
        <v>5</v>
      </c>
    </row>
    <row r="32" customFormat="false" ht="15" hidden="false" customHeight="false" outlineLevel="0" collapsed="false">
      <c r="A32" s="0" t="s">
        <v>102</v>
      </c>
      <c r="C32" s="3" t="n">
        <v>8.8</v>
      </c>
      <c r="D32" s="3" t="n">
        <v>8.8</v>
      </c>
      <c r="E32" s="3" t="n">
        <v>8.6</v>
      </c>
      <c r="F32" s="3" t="n">
        <v>8.4</v>
      </c>
      <c r="G32" s="3" t="n">
        <v>8.2</v>
      </c>
      <c r="H32" s="3" t="n">
        <v>8</v>
      </c>
      <c r="I32" s="3" t="n">
        <v>7.8</v>
      </c>
      <c r="J32" s="3" t="n">
        <v>7.5</v>
      </c>
      <c r="K32" s="3" t="n">
        <v>7.2</v>
      </c>
      <c r="L32" s="3" t="n">
        <v>7</v>
      </c>
    </row>
    <row r="33" customFormat="false" ht="15" hidden="false" customHeight="false" outlineLevel="0" collapsed="false">
      <c r="A33" s="0" t="s">
        <v>103</v>
      </c>
      <c r="C33" s="3" t="n">
        <v>19</v>
      </c>
      <c r="D33" s="3" t="n">
        <v>20</v>
      </c>
      <c r="E33" s="3" t="n">
        <v>21</v>
      </c>
      <c r="F33" s="3" t="n">
        <v>21</v>
      </c>
      <c r="G33" s="3" t="n">
        <v>21</v>
      </c>
      <c r="H33" s="3" t="n">
        <v>21</v>
      </c>
      <c r="I33" s="3" t="n">
        <v>21</v>
      </c>
      <c r="J33" s="3" t="n">
        <v>21</v>
      </c>
      <c r="K33" s="3" t="n">
        <v>21</v>
      </c>
      <c r="L33" s="3" t="n">
        <v>21</v>
      </c>
    </row>
    <row r="34" customFormat="false" ht="15" hidden="false" customHeight="false" outlineLevel="0" collapsed="false">
      <c r="A34" s="0" t="s">
        <v>104</v>
      </c>
      <c r="B34" s="3" t="n">
        <v>8.5</v>
      </c>
    </row>
    <row r="35" customFormat="false" ht="15" hidden="false" customHeight="false" outlineLevel="0" collapsed="false">
      <c r="A35" s="0" t="s">
        <v>105</v>
      </c>
      <c r="B35" s="3" t="n">
        <v>2.5</v>
      </c>
    </row>
    <row r="36" customFormat="false" ht="15" hidden="false" customHeight="false" outlineLevel="0" collapsed="false">
      <c r="A36" s="0" t="s">
        <v>106</v>
      </c>
      <c r="B36" s="3" t="n">
        <v>15</v>
      </c>
    </row>
    <row r="37" customFormat="false" ht="15" hidden="false" customHeight="false" outlineLevel="0" collapsed="false">
      <c r="A37" s="0" t="s">
        <v>107</v>
      </c>
      <c r="B37" s="3" t="n">
        <v>0</v>
      </c>
    </row>
    <row r="38" customFormat="false" ht="15" hidden="false" customHeight="false" outlineLevel="0" collapsed="false">
      <c r="A38" s="0" t="s">
        <v>108</v>
      </c>
      <c r="B38" s="3" t="n">
        <v>0.5</v>
      </c>
    </row>
    <row r="40" customFormat="false" ht="15" hidden="false" customHeight="false" outlineLevel="0" collapsed="false">
      <c r="A40" s="2" t="s">
        <v>110</v>
      </c>
      <c r="C40" s="2" t="s">
        <v>87</v>
      </c>
      <c r="D40" s="2" t="s">
        <v>88</v>
      </c>
      <c r="E40" s="2" t="s">
        <v>89</v>
      </c>
      <c r="F40" s="2" t="s">
        <v>90</v>
      </c>
      <c r="G40" s="2" t="s">
        <v>91</v>
      </c>
      <c r="H40" s="2" t="s">
        <v>92</v>
      </c>
      <c r="I40" s="2" t="s">
        <v>93</v>
      </c>
      <c r="J40" s="2" t="s">
        <v>94</v>
      </c>
      <c r="K40" s="2" t="s">
        <v>95</v>
      </c>
      <c r="L40" s="2" t="s">
        <v>96</v>
      </c>
    </row>
    <row r="41" customFormat="false" ht="15" hidden="false" customHeight="false" outlineLevel="0" collapsed="false">
      <c r="A41" s="0" t="s">
        <v>97</v>
      </c>
      <c r="C41" s="3" t="n">
        <v>7</v>
      </c>
      <c r="D41" s="3" t="n">
        <v>7</v>
      </c>
      <c r="E41" s="3" t="n">
        <v>6.5</v>
      </c>
      <c r="F41" s="3" t="n">
        <v>6</v>
      </c>
      <c r="G41" s="3" t="n">
        <v>5.5</v>
      </c>
      <c r="H41" s="3" t="n">
        <v>5</v>
      </c>
      <c r="I41" s="3" t="n">
        <v>4.5</v>
      </c>
      <c r="J41" s="3" t="n">
        <v>4</v>
      </c>
      <c r="K41" s="3" t="n">
        <v>3.5</v>
      </c>
      <c r="L41" s="3" t="n">
        <v>3</v>
      </c>
    </row>
    <row r="42" customFormat="false" ht="15" hidden="false" customHeight="false" outlineLevel="0" collapsed="false">
      <c r="A42" s="0" t="s">
        <v>98</v>
      </c>
      <c r="C42" s="3" t="n">
        <v>24</v>
      </c>
      <c r="D42" s="3" t="n">
        <v>24.8</v>
      </c>
      <c r="E42" s="3" t="n">
        <v>25.6</v>
      </c>
      <c r="F42" s="3" t="n">
        <v>26.3</v>
      </c>
      <c r="G42" s="3" t="n">
        <v>27</v>
      </c>
      <c r="H42" s="3" t="n">
        <v>27.5</v>
      </c>
      <c r="I42" s="3" t="n">
        <v>27.5</v>
      </c>
      <c r="J42" s="3" t="n">
        <v>27.5</v>
      </c>
      <c r="K42" s="3" t="n">
        <v>27.5</v>
      </c>
      <c r="L42" s="3" t="n">
        <v>27.5</v>
      </c>
    </row>
    <row r="43" customFormat="false" ht="15" hidden="false" customHeight="false" outlineLevel="0" collapsed="false">
      <c r="A43" s="0" t="s">
        <v>99</v>
      </c>
      <c r="C43" s="3" t="n">
        <v>1.55</v>
      </c>
      <c r="D43" s="3" t="n">
        <v>1.55</v>
      </c>
      <c r="E43" s="3" t="n">
        <v>1.5</v>
      </c>
      <c r="F43" s="3" t="n">
        <v>1.5</v>
      </c>
      <c r="G43" s="3" t="n">
        <v>1.5</v>
      </c>
      <c r="H43" s="3" t="n">
        <v>1.45</v>
      </c>
      <c r="I43" s="3" t="n">
        <v>1.45</v>
      </c>
      <c r="J43" s="3" t="n">
        <v>1.4</v>
      </c>
      <c r="K43" s="3" t="n">
        <v>1.4</v>
      </c>
      <c r="L43" s="3" t="n">
        <v>1.4</v>
      </c>
    </row>
    <row r="44" customFormat="false" ht="15" hidden="false" customHeight="false" outlineLevel="0" collapsed="false">
      <c r="A44" s="0" t="s">
        <v>100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101</v>
      </c>
      <c r="C45" s="3" t="n">
        <v>4.3</v>
      </c>
      <c r="D45" s="3" t="n">
        <v>4.4</v>
      </c>
      <c r="E45" s="3" t="n">
        <v>4.5</v>
      </c>
      <c r="F45" s="3" t="n">
        <v>4.6</v>
      </c>
      <c r="G45" s="3" t="n">
        <v>4.7</v>
      </c>
      <c r="H45" s="3" t="n">
        <v>4.8</v>
      </c>
      <c r="I45" s="3" t="n">
        <v>4.9</v>
      </c>
      <c r="J45" s="3" t="n">
        <v>5</v>
      </c>
      <c r="K45" s="3" t="n">
        <v>5</v>
      </c>
      <c r="L45" s="3" t="n">
        <v>5</v>
      </c>
    </row>
    <row r="46" customFormat="false" ht="15" hidden="false" customHeight="false" outlineLevel="0" collapsed="false">
      <c r="A46" s="0" t="s">
        <v>102</v>
      </c>
      <c r="C46" s="3" t="n">
        <v>8.8</v>
      </c>
      <c r="D46" s="3" t="n">
        <v>8.6</v>
      </c>
      <c r="E46" s="3" t="n">
        <v>8.3</v>
      </c>
      <c r="F46" s="3" t="n">
        <v>8</v>
      </c>
      <c r="G46" s="3" t="n">
        <v>7.7</v>
      </c>
      <c r="H46" s="3" t="n">
        <v>7.4</v>
      </c>
      <c r="I46" s="3" t="n">
        <v>7</v>
      </c>
      <c r="J46" s="3" t="n">
        <v>6.8</v>
      </c>
      <c r="K46" s="3" t="n">
        <v>6.5</v>
      </c>
      <c r="L46" s="3" t="n">
        <v>6.5</v>
      </c>
    </row>
    <row r="47" customFormat="false" ht="15" hidden="false" customHeight="false" outlineLevel="0" collapsed="false">
      <c r="A47" s="0" t="s">
        <v>103</v>
      </c>
      <c r="C47" s="3" t="n">
        <v>19</v>
      </c>
      <c r="D47" s="3" t="n">
        <v>20</v>
      </c>
      <c r="E47" s="3" t="n">
        <v>21</v>
      </c>
      <c r="F47" s="3" t="n">
        <v>21</v>
      </c>
      <c r="G47" s="3" t="n">
        <v>21</v>
      </c>
      <c r="H47" s="3" t="n">
        <v>21</v>
      </c>
      <c r="I47" s="3" t="n">
        <v>21</v>
      </c>
      <c r="J47" s="3" t="n">
        <v>21</v>
      </c>
      <c r="K47" s="3" t="n">
        <v>21</v>
      </c>
      <c r="L47" s="3" t="n">
        <v>21</v>
      </c>
    </row>
    <row r="48" customFormat="false" ht="15" hidden="false" customHeight="false" outlineLevel="0" collapsed="false">
      <c r="A48" s="0" t="s">
        <v>104</v>
      </c>
      <c r="B48" s="3" t="n">
        <v>8.5</v>
      </c>
    </row>
    <row r="49" customFormat="false" ht="15" hidden="false" customHeight="false" outlineLevel="0" collapsed="false">
      <c r="A49" s="0" t="s">
        <v>105</v>
      </c>
      <c r="B49" s="3" t="n">
        <v>3</v>
      </c>
    </row>
    <row r="50" customFormat="false" ht="15" hidden="false" customHeight="false" outlineLevel="0" collapsed="false">
      <c r="A50" s="0" t="s">
        <v>106</v>
      </c>
      <c r="B50" s="3" t="n">
        <v>17</v>
      </c>
    </row>
    <row r="51" customFormat="false" ht="15" hidden="false" customHeight="false" outlineLevel="0" collapsed="false">
      <c r="A51" s="0" t="s">
        <v>107</v>
      </c>
      <c r="B51" s="3" t="n">
        <v>0</v>
      </c>
    </row>
    <row r="52" customFormat="false" ht="15" hidden="false" customHeight="false" outlineLevel="0" collapsed="false">
      <c r="A52" s="0" t="s">
        <v>108</v>
      </c>
      <c r="B52" s="3" t="n">
        <v>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111</v>
      </c>
    </row>
    <row r="3" customFormat="false" ht="15" hidden="false" customHeight="false" outlineLevel="0" collapsed="false">
      <c r="A3" s="0" t="s">
        <v>112</v>
      </c>
      <c r="B3" s="0" t="s">
        <v>82</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Assumptions!C13</f>
        <v>3.5</v>
      </c>
      <c r="D5" s="4" t="n">
        <f aca="false">Assumptions!D13</f>
        <v>2.5</v>
      </c>
      <c r="E5" s="4" t="n">
        <f aca="false">Assumptions!E13</f>
        <v>2.5</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99300</v>
      </c>
      <c r="C6" s="0" t="n">
        <f aca="false">B6*(1+C5/100)</f>
        <v>102775.5</v>
      </c>
      <c r="D6" s="0" t="n">
        <f aca="false">C6*(1+D5/100)</f>
        <v>105344.8875</v>
      </c>
      <c r="E6" s="0" t="n">
        <f aca="false">D6*(1+E5/100)</f>
        <v>107978.5096875</v>
      </c>
      <c r="F6" s="0" t="n">
        <f aca="false">E6*(1+F5/100)</f>
        <v>110138.07988125</v>
      </c>
      <c r="G6" s="0" t="n">
        <f aca="false">F6*(1+G5/100)</f>
        <v>112340.841478875</v>
      </c>
      <c r="H6" s="0" t="n">
        <f aca="false">G6*(1+H5/100)</f>
        <v>114587.658308452</v>
      </c>
      <c r="I6" s="0" t="n">
        <f aca="false">H6*(1+I5/100)</f>
        <v>116879.411474622</v>
      </c>
      <c r="J6" s="0" t="n">
        <f aca="false">I6*(1+J5/100)</f>
        <v>119216.999704114</v>
      </c>
      <c r="K6" s="0" t="n">
        <f aca="false">J6*(1+K5/100)</f>
        <v>121601.339698196</v>
      </c>
      <c r="L6" s="0" t="n">
        <f aca="false">K6*(1+L5/100)</f>
        <v>124033.36649216</v>
      </c>
    </row>
    <row r="7" customFormat="false" ht="15" hidden="false" customHeight="false" outlineLevel="0" collapsed="false">
      <c r="A7" s="0" t="s">
        <v>98</v>
      </c>
      <c r="C7" s="4" t="n">
        <f aca="false">Assumptions!C14</f>
        <v>23</v>
      </c>
      <c r="D7" s="4" t="n">
        <f aca="false">Assumptions!D14</f>
        <v>22.8</v>
      </c>
      <c r="E7" s="4" t="n">
        <f aca="false">Assumptions!E14</f>
        <v>22.6</v>
      </c>
      <c r="F7" s="4" t="n">
        <f aca="false">Assumptions!F14</f>
        <v>22.4</v>
      </c>
      <c r="G7" s="4" t="n">
        <f aca="false">Assumptions!G14</f>
        <v>22.2</v>
      </c>
      <c r="H7" s="4" t="n">
        <f aca="false">Assumptions!H14</f>
        <v>22</v>
      </c>
      <c r="I7" s="4" t="n">
        <f aca="false">Assumptions!I14</f>
        <v>22</v>
      </c>
      <c r="J7" s="4" t="n">
        <f aca="false">Assumptions!J14</f>
        <v>22</v>
      </c>
      <c r="K7" s="4" t="n">
        <f aca="false">Assumptions!K14</f>
        <v>22</v>
      </c>
      <c r="L7" s="4" t="n">
        <f aca="false">Assumptions!L14</f>
        <v>22</v>
      </c>
    </row>
    <row r="8" customFormat="false" ht="15" hidden="false" customHeight="false" outlineLevel="0" collapsed="false">
      <c r="A8" s="0" t="s">
        <v>43</v>
      </c>
      <c r="C8" s="0" t="n">
        <f aca="false">C6*C7/100</f>
        <v>23638.365</v>
      </c>
      <c r="D8" s="0" t="n">
        <f aca="false">D6*D7/100</f>
        <v>24018.63435</v>
      </c>
      <c r="E8" s="0" t="n">
        <f aca="false">E6*E7/100</f>
        <v>24403.143189375</v>
      </c>
      <c r="F8" s="0" t="n">
        <f aca="false">F6*F7/100</f>
        <v>24670.9298934</v>
      </c>
      <c r="G8" s="0" t="n">
        <f aca="false">G6*G7/100</f>
        <v>24939.6668083102</v>
      </c>
      <c r="H8" s="0" t="n">
        <f aca="false">H6*H7/100</f>
        <v>25209.2848278595</v>
      </c>
      <c r="I8" s="0" t="n">
        <f aca="false">I6*I7/100</f>
        <v>25713.4705244167</v>
      </c>
      <c r="J8" s="0" t="n">
        <f aca="false">J6*J7/100</f>
        <v>26227.7399349051</v>
      </c>
      <c r="K8" s="0" t="n">
        <f aca="false">K6*K7/100</f>
        <v>26752.2947336032</v>
      </c>
      <c r="L8" s="0" t="n">
        <f aca="false">L6*L7/100</f>
        <v>27287.3406282752</v>
      </c>
    </row>
    <row r="9" customFormat="false" ht="15" hidden="false" customHeight="false" outlineLevel="0" collapsed="false">
      <c r="A9" s="0" t="s">
        <v>99</v>
      </c>
      <c r="C9" s="4" t="n">
        <f aca="false">Assumptions!C15</f>
        <v>1.55</v>
      </c>
      <c r="D9" s="4" t="n">
        <f aca="false">Assumptions!D15</f>
        <v>1.55</v>
      </c>
      <c r="E9" s="4" t="n">
        <f aca="false">Assumptions!E15</f>
        <v>1.5</v>
      </c>
      <c r="F9" s="4" t="n">
        <f aca="false">Assumptions!F15</f>
        <v>1.5</v>
      </c>
      <c r="G9" s="4" t="n">
        <f aca="false">Assumptions!G15</f>
        <v>1.5</v>
      </c>
      <c r="H9" s="4" t="n">
        <f aca="false">Assumptions!H15</f>
        <v>1.45</v>
      </c>
      <c r="I9" s="4" t="n">
        <f aca="false">Assumptions!I15</f>
        <v>1.45</v>
      </c>
      <c r="J9" s="4" t="n">
        <f aca="false">Assumptions!J15</f>
        <v>1.4</v>
      </c>
      <c r="K9" s="4" t="n">
        <f aca="false">Assumptions!K15</f>
        <v>1.4</v>
      </c>
      <c r="L9" s="4" t="n">
        <f aca="false">Assumptions!L15</f>
        <v>1.4</v>
      </c>
    </row>
    <row r="10" customFormat="false" ht="15" hidden="false" customHeight="false" outlineLevel="0" collapsed="false">
      <c r="A10" s="0" t="s">
        <v>114</v>
      </c>
      <c r="C10" s="0" t="n">
        <f aca="false">-C6*C9/100</f>
        <v>-1593.02025</v>
      </c>
      <c r="D10" s="0" t="n">
        <f aca="false">-D6*D9/100</f>
        <v>-1632.84575625</v>
      </c>
      <c r="E10" s="0" t="n">
        <f aca="false">-E6*E9/100</f>
        <v>-1619.6776453125</v>
      </c>
      <c r="F10" s="0" t="n">
        <f aca="false">-F6*F9/100</f>
        <v>-1652.07119821875</v>
      </c>
      <c r="G10" s="0" t="n">
        <f aca="false">-G6*G9/100</f>
        <v>-1685.11262218312</v>
      </c>
      <c r="H10" s="0" t="n">
        <f aca="false">-H6*H9/100</f>
        <v>-1661.52104547256</v>
      </c>
      <c r="I10" s="0" t="n">
        <f aca="false">-I6*I9/100</f>
        <v>-1694.75146638201</v>
      </c>
      <c r="J10" s="0" t="n">
        <f aca="false">-J6*J9/100</f>
        <v>-1669.0379958576</v>
      </c>
      <c r="K10" s="0" t="n">
        <f aca="false">-K6*K9/100</f>
        <v>-1702.41875577475</v>
      </c>
      <c r="L10" s="0" t="n">
        <f aca="false">-L6*L9/100</f>
        <v>-1736.46713089024</v>
      </c>
    </row>
    <row r="11" customFormat="false" ht="15" hidden="false" customHeight="false" outlineLevel="0" collapsed="false">
      <c r="A11" s="0" t="s">
        <v>115</v>
      </c>
      <c r="C11" s="0" t="n">
        <f aca="false">C8+C10+C24</f>
        <v>22045.34475</v>
      </c>
      <c r="D11" s="0" t="n">
        <f aca="false">D8+D10+D24</f>
        <v>22385.78859375</v>
      </c>
      <c r="E11" s="0" t="n">
        <f aca="false">E8+E10+E24</f>
        <v>22783.4655440625</v>
      </c>
      <c r="F11" s="0" t="n">
        <f aca="false">F8+F10+F24</f>
        <v>23018.8586951812</v>
      </c>
      <c r="G11" s="0" t="n">
        <f aca="false">G8+G10+G24</f>
        <v>23254.5541861271</v>
      </c>
      <c r="H11" s="0" t="n">
        <f aca="false">H8+H10+H24</f>
        <v>23547.763782387</v>
      </c>
      <c r="I11" s="0" t="n">
        <f aca="false">I8+I10+I24</f>
        <v>24018.7190580347</v>
      </c>
      <c r="J11" s="0" t="n">
        <f aca="false">J8+J10+J24</f>
        <v>24558.7019390475</v>
      </c>
      <c r="K11" s="0" t="n">
        <f aca="false">K8+K10+K24</f>
        <v>25049.8759778284</v>
      </c>
      <c r="L11" s="0" t="n">
        <f aca="false">L8+L10+L24</f>
        <v>25550.873497385</v>
      </c>
    </row>
    <row r="12" customFormat="false" ht="15" hidden="false" customHeight="false" outlineLevel="0" collapsed="false">
      <c r="A12" s="0" t="s">
        <v>116</v>
      </c>
      <c r="C12" s="4" t="n">
        <f aca="false">-C6*Assumptions!C17/100</f>
        <v>-4419.3465</v>
      </c>
      <c r="D12" s="4" t="n">
        <f aca="false">-D6*Assumptions!D17/100</f>
        <v>-4635.17505</v>
      </c>
      <c r="E12" s="4" t="n">
        <f aca="false">-E6*Assumptions!E17/100</f>
        <v>-4859.0329359375</v>
      </c>
      <c r="F12" s="4" t="n">
        <f aca="false">-F6*Assumptions!F17/100</f>
        <v>-5066.3516745375</v>
      </c>
      <c r="G12" s="4" t="n">
        <f aca="false">-G6*Assumptions!G17/100</f>
        <v>-5280.01954950712</v>
      </c>
      <c r="H12" s="4" t="n">
        <f aca="false">-H6*Assumptions!H17/100</f>
        <v>-5500.20759880572</v>
      </c>
      <c r="I12" s="4" t="n">
        <f aca="false">-I6*Assumptions!I17/100</f>
        <v>-5727.09116225645</v>
      </c>
      <c r="J12" s="4" t="n">
        <f aca="false">-J6*Assumptions!J17/100</f>
        <v>-5960.8499852057</v>
      </c>
      <c r="K12" s="4" t="n">
        <f aca="false">-K6*Assumptions!K17/100</f>
        <v>-6080.06698490981</v>
      </c>
      <c r="L12" s="4" t="n">
        <f aca="false">-L6*Assumptions!L17/100</f>
        <v>-6201.66832460801</v>
      </c>
    </row>
    <row r="13" customFormat="false" ht="15" hidden="false" customHeight="false" outlineLevel="0" collapsed="false">
      <c r="A13" s="0" t="s">
        <v>117</v>
      </c>
      <c r="C13" s="0" t="n">
        <f aca="false">C11+C12</f>
        <v>17625.99825</v>
      </c>
      <c r="D13" s="0" t="n">
        <f aca="false">D11+D12</f>
        <v>17750.61354375</v>
      </c>
      <c r="E13" s="0" t="n">
        <f aca="false">E11+E12</f>
        <v>17924.432608125</v>
      </c>
      <c r="F13" s="0" t="n">
        <f aca="false">F11+F12</f>
        <v>17952.5070206437</v>
      </c>
      <c r="G13" s="0" t="n">
        <f aca="false">G11+G12</f>
        <v>17974.53463662</v>
      </c>
      <c r="H13" s="0" t="n">
        <f aca="false">H11+H12</f>
        <v>18047.5561835813</v>
      </c>
      <c r="I13" s="0" t="n">
        <f aca="false">I11+I12</f>
        <v>18291.6278957783</v>
      </c>
      <c r="J13" s="0" t="n">
        <f aca="false">J11+J12</f>
        <v>18597.8519538418</v>
      </c>
      <c r="K13" s="0" t="n">
        <f aca="false">K11+K12</f>
        <v>18969.8089929186</v>
      </c>
      <c r="L13" s="0" t="n">
        <f aca="false">L11+L12</f>
        <v>19349.205172777</v>
      </c>
    </row>
    <row r="14" customFormat="false" ht="15" hidden="false" customHeight="false" outlineLevel="0" collapsed="false">
      <c r="A14" s="0" t="s">
        <v>103</v>
      </c>
      <c r="C14" s="4" t="n">
        <f aca="false">Assumptions!C19</f>
        <v>19</v>
      </c>
      <c r="D14" s="4" t="n">
        <f aca="false">Assumptions!D19</f>
        <v>20</v>
      </c>
      <c r="E14" s="4" t="n">
        <f aca="false">Assumptions!E19</f>
        <v>21</v>
      </c>
      <c r="F14" s="4" t="n">
        <f aca="false">Assumptions!F19</f>
        <v>21</v>
      </c>
      <c r="G14" s="4" t="n">
        <f aca="false">Assumptions!G19</f>
        <v>21</v>
      </c>
      <c r="H14" s="4" t="n">
        <f aca="false">Assumptions!H19</f>
        <v>21</v>
      </c>
      <c r="I14" s="4" t="n">
        <f aca="false">Assumptions!I19</f>
        <v>21</v>
      </c>
      <c r="J14" s="4" t="n">
        <f aca="false">Assumptions!J19</f>
        <v>21</v>
      </c>
      <c r="K14" s="4" t="n">
        <f aca="false">Assumptions!K19</f>
        <v>21</v>
      </c>
      <c r="L14" s="4" t="n">
        <f aca="false">Assumptions!L19</f>
        <v>21</v>
      </c>
    </row>
    <row r="15" customFormat="false" ht="15" hidden="false" customHeight="false" outlineLevel="0" collapsed="false">
      <c r="A15" s="0" t="s">
        <v>118</v>
      </c>
      <c r="C15" s="0" t="n">
        <f aca="false">C13-MAX(0,C13)*C14/100</f>
        <v>14277.0585825</v>
      </c>
      <c r="D15" s="0" t="n">
        <f aca="false">D13-MAX(0,D13)*D14/100</f>
        <v>14200.490835</v>
      </c>
      <c r="E15" s="0" t="n">
        <f aca="false">E13-MAX(0,E13)*E14/100</f>
        <v>14160.3017604187</v>
      </c>
      <c r="F15" s="0" t="n">
        <f aca="false">F13-MAX(0,F13)*F14/100</f>
        <v>14182.4805463086</v>
      </c>
      <c r="G15" s="0" t="n">
        <f aca="false">G13-MAX(0,G13)*G14/100</f>
        <v>14199.8823629298</v>
      </c>
      <c r="H15" s="0" t="n">
        <f aca="false">H13-MAX(0,H13)*H14/100</f>
        <v>14257.5693850292</v>
      </c>
      <c r="I15" s="0" t="n">
        <f aca="false">I13-MAX(0,I13)*I14/100</f>
        <v>14450.3860376648</v>
      </c>
      <c r="J15" s="0" t="n">
        <f aca="false">J13-MAX(0,J13)*J14/100</f>
        <v>14692.303043535</v>
      </c>
      <c r="K15" s="0" t="n">
        <f aca="false">K13-MAX(0,K13)*K14/100</f>
        <v>14986.1491044057</v>
      </c>
      <c r="L15" s="0" t="n">
        <f aca="false">L13-MAX(0,L13)*L14/100</f>
        <v>15285.8720864938</v>
      </c>
    </row>
    <row r="16" customFormat="false" ht="15" hidden="false" customHeight="false" outlineLevel="0" collapsed="false">
      <c r="A16" s="0" t="s">
        <v>119</v>
      </c>
      <c r="C16" s="0" t="n">
        <f aca="false">-C12</f>
        <v>4419.3465</v>
      </c>
      <c r="D16" s="0" t="n">
        <f aca="false">-D12</f>
        <v>4635.17505</v>
      </c>
      <c r="E16" s="0" t="n">
        <f aca="false">-E12</f>
        <v>4859.0329359375</v>
      </c>
      <c r="F16" s="0" t="n">
        <f aca="false">-F12</f>
        <v>5066.3516745375</v>
      </c>
      <c r="G16" s="0" t="n">
        <f aca="false">-G12</f>
        <v>5280.01954950712</v>
      </c>
      <c r="H16" s="0" t="n">
        <f aca="false">-H12</f>
        <v>5500.20759880572</v>
      </c>
      <c r="I16" s="0" t="n">
        <f aca="false">-I12</f>
        <v>5727.09116225645</v>
      </c>
      <c r="J16" s="0" t="n">
        <f aca="false">-J12</f>
        <v>5960.8499852057</v>
      </c>
      <c r="K16" s="0" t="n">
        <f aca="false">-K12</f>
        <v>6080.06698490981</v>
      </c>
      <c r="L16" s="0" t="n">
        <f aca="false">-L12</f>
        <v>6201.66832460801</v>
      </c>
    </row>
    <row r="17" customFormat="false" ht="15" hidden="false" customHeight="false" outlineLevel="0" collapsed="false">
      <c r="A17" s="0" t="s">
        <v>120</v>
      </c>
      <c r="C17" s="4" t="n">
        <f aca="false">-C6*Assumptions!C18/100</f>
        <v>-9249.795</v>
      </c>
      <c r="D17" s="4" t="n">
        <f aca="false">-D6*Assumptions!D18/100</f>
        <v>-9481.039875</v>
      </c>
      <c r="E17" s="4" t="n">
        <f aca="false">-E6*Assumptions!E18/100</f>
        <v>-9502.1088525</v>
      </c>
      <c r="F17" s="4" t="n">
        <f aca="false">-F6*Assumptions!F18/100</f>
        <v>-9471.8748697875</v>
      </c>
      <c r="G17" s="4" t="n">
        <f aca="false">-G6*Assumptions!G18/100</f>
        <v>-9436.6306842255</v>
      </c>
      <c r="H17" s="4" t="n">
        <f aca="false">-H6*Assumptions!H18/100</f>
        <v>-9396.1879812931</v>
      </c>
      <c r="I17" s="4" t="n">
        <f aca="false">-I6*Assumptions!I18/100</f>
        <v>-9350.35291796972</v>
      </c>
      <c r="J17" s="4" t="n">
        <f aca="false">-J6*Assumptions!J18/100</f>
        <v>-9298.92597692089</v>
      </c>
      <c r="K17" s="4" t="n">
        <f aca="false">-K6*Assumptions!K18/100</f>
        <v>-9241.70181706291</v>
      </c>
      <c r="L17" s="4" t="n">
        <f aca="false">-L6*Assumptions!L18/100</f>
        <v>-9302.50248691201</v>
      </c>
    </row>
    <row r="18" customFormat="false" ht="15" hidden="false" customHeight="false" outlineLevel="0" collapsed="false">
      <c r="A18" s="0" t="s">
        <v>121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122</v>
      </c>
      <c r="C19" s="0" t="n">
        <f aca="false">C15+C16+C17+C18</f>
        <v>9446.6100825</v>
      </c>
      <c r="D19" s="0" t="n">
        <f aca="false">D15+D16+D17+D18</f>
        <v>9354.62601</v>
      </c>
      <c r="E19" s="0" t="n">
        <f aca="false">E15+E16+E17+E18</f>
        <v>9517.22584385625</v>
      </c>
      <c r="F19" s="0" t="n">
        <f aca="false">F15+F16+F17+F18</f>
        <v>9776.95735105856</v>
      </c>
      <c r="G19" s="0" t="n">
        <f aca="false">G15+G16+G17+G18</f>
        <v>10043.2712282114</v>
      </c>
      <c r="H19" s="0" t="n">
        <f aca="false">H15+H16+H17+H18</f>
        <v>10361.5890025418</v>
      </c>
      <c r="I19" s="0" t="n">
        <f aca="false">I15+I16+I17+I18</f>
        <v>10827.1242819516</v>
      </c>
      <c r="J19" s="0" t="n">
        <f aca="false">J15+J16+J17+J18</f>
        <v>11354.2270518198</v>
      </c>
      <c r="K19" s="0" t="n">
        <f aca="false">K15+K16+K17+K18</f>
        <v>11824.5142722526</v>
      </c>
      <c r="L19" s="0" t="n">
        <f aca="false">L15+L16+L17+L18</f>
        <v>12185.0379241898</v>
      </c>
    </row>
    <row r="20" customFormat="false" ht="15" hidden="false" customHeight="false" outlineLevel="0" collapsed="false">
      <c r="A20" s="0" t="s">
        <v>123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124</v>
      </c>
      <c r="C21" s="0" t="n">
        <f aca="false">C19*C20</f>
        <v>8706.55307142857</v>
      </c>
      <c r="D21" s="0" t="n">
        <f aca="false">D19*D20</f>
        <v>7946.33652020642</v>
      </c>
      <c r="E21" s="0" t="n">
        <f aca="false">E19*E20</f>
        <v>7451.11318774929</v>
      </c>
      <c r="F21" s="0" t="n">
        <f aca="false">F19*F20</f>
        <v>7054.80100290838</v>
      </c>
      <c r="G21" s="0" t="n">
        <f aca="false">G19*G20</f>
        <v>6679.23156516643</v>
      </c>
      <c r="H21" s="0" t="n">
        <f aca="false">H19*H20</f>
        <v>6351.08510980297</v>
      </c>
      <c r="I21" s="0" t="n">
        <f aca="false">I19*I20</f>
        <v>6116.5278099658</v>
      </c>
      <c r="J21" s="0" t="n">
        <f aca="false">J19*J20</f>
        <v>5911.79912832228</v>
      </c>
      <c r="K21" s="0" t="n">
        <f aca="false">K19*K20</f>
        <v>5674.34406972653</v>
      </c>
      <c r="L21" s="0" t="n">
        <f aca="false">L19*L20</f>
        <v>5389.2645555406</v>
      </c>
    </row>
    <row r="23" customFormat="false" ht="15" hidden="false" customHeight="false" outlineLevel="0" collapsed="false">
      <c r="A23" s="0" t="s">
        <v>100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Assumptions!$B$20</f>
        <v>8.5</v>
      </c>
    </row>
    <row r="28" customFormat="false" ht="15" hidden="false" customHeight="false" outlineLevel="0" collapsed="false">
      <c r="A28" s="0" t="s">
        <v>105</v>
      </c>
      <c r="B28" s="4" t="n">
        <f aca="false">Assumptions!$B$21</f>
        <v>2</v>
      </c>
    </row>
    <row r="29" customFormat="false" ht="15" hidden="false" customHeight="false" outlineLevel="0" collapsed="false">
      <c r="A29" s="0" t="s">
        <v>106</v>
      </c>
      <c r="B29" s="4" t="n">
        <f aca="false">Assumptions!$B$22</f>
        <v>12</v>
      </c>
    </row>
    <row r="30" customFormat="false" ht="15" hidden="false" customHeight="false" outlineLevel="0" collapsed="false">
      <c r="A30" s="0" t="s">
        <v>127</v>
      </c>
      <c r="B30" s="0" t="n">
        <f aca="false">SUM(C21:L21)</f>
        <v>67281.0560208173</v>
      </c>
    </row>
    <row r="31" customFormat="false" ht="15" hidden="false" customHeight="false" outlineLevel="0" collapsed="false">
      <c r="A31" s="0" t="s">
        <v>128</v>
      </c>
      <c r="B31" s="0" t="n">
        <f aca="false">L19</f>
        <v>12185.0379241898</v>
      </c>
    </row>
    <row r="32" customFormat="false" ht="15" hidden="false" customHeight="false" outlineLevel="0" collapsed="false">
      <c r="A32" s="0" t="s">
        <v>129</v>
      </c>
      <c r="B32" s="0" t="n">
        <f aca="false">IF(B27&gt;B28,B31*(1+B28/100)/((B27-B28)/100),B31*B29)</f>
        <v>191211.364348825</v>
      </c>
    </row>
    <row r="33" customFormat="false" ht="15" hidden="false" customHeight="false" outlineLevel="0" collapsed="false">
      <c r="A33" s="0" t="s">
        <v>130</v>
      </c>
      <c r="B33" s="0" t="n">
        <f aca="false">B31*B29</f>
        <v>146220.455090278</v>
      </c>
    </row>
    <row r="34" customFormat="false" ht="15" hidden="false" customHeight="false" outlineLevel="0" collapsed="false">
      <c r="A34" s="0" t="s">
        <v>131</v>
      </c>
      <c r="B34" s="0" t="n">
        <f aca="false">MAX(0,MIN(B32,B33))</f>
        <v>146220.455090278</v>
      </c>
    </row>
    <row r="35" customFormat="false" ht="15" hidden="false" customHeight="false" outlineLevel="0" collapsed="false">
      <c r="A35" s="0" t="s">
        <v>132</v>
      </c>
      <c r="B35" s="0" t="n">
        <f aca="false">B34/(1+B27/100)^L4</f>
        <v>64671.1746664872</v>
      </c>
    </row>
    <row r="36" customFormat="false" ht="15" hidden="false" customHeight="false" outlineLevel="0" collapsed="false">
      <c r="A36" s="0" t="s">
        <v>133</v>
      </c>
      <c r="B36" s="0" t="n">
        <f aca="false">B30+B35</f>
        <v>131952.230687305</v>
      </c>
    </row>
    <row r="37" customFormat="false" ht="15" hidden="false" customHeight="false" outlineLevel="0" collapsed="false">
      <c r="A37" s="0" t="s">
        <v>134</v>
      </c>
      <c r="B37" s="0" t="n">
        <f aca="false">B36+Assumptions!$B$5-Assumptions!$B$4</f>
        <v>83096.2306873045</v>
      </c>
    </row>
    <row r="38" customFormat="false" ht="15" hidden="false" customHeight="false" outlineLevel="0" collapsed="false">
      <c r="A38" s="0" t="s">
        <v>135</v>
      </c>
      <c r="B38" s="0" t="n">
        <f aca="false">B37/Assumptions!$B$3*Assumptions!$B$10</f>
        <v>47.6742574224352</v>
      </c>
    </row>
    <row r="39" customFormat="false" ht="15" hidden="false" customHeight="false" outlineLevel="0" collapsed="false">
      <c r="A39" s="0" t="s">
        <v>136</v>
      </c>
      <c r="B39" s="4" t="n">
        <f aca="false">B38/Assumptions!$B$2-1</f>
        <v>-0.550878403933724</v>
      </c>
    </row>
    <row r="41" customFormat="false" ht="15" hidden="false" customHeight="false" outlineLevel="0" collapsed="false">
      <c r="A41" s="0" t="s">
        <v>137</v>
      </c>
      <c r="B41" s="0" t="n">
        <f aca="false">SUMPRODUCT(-C10:L10/(1+$B$27/100)^C4:L4)</f>
        <v>10865.8964297062</v>
      </c>
    </row>
    <row r="42" customFormat="false" ht="15" hidden="false" customHeight="false" outlineLevel="0" collapsed="false">
      <c r="A42" s="0" t="s">
        <v>138</v>
      </c>
      <c r="B42" s="0" t="n">
        <f aca="false">IF(B27&gt;B28,-L10*(1+B28/100)/((B27-B28)/100),-L10*20)/(1+B27/100)^L4</f>
        <v>12051.9133445753</v>
      </c>
    </row>
    <row r="43" customFormat="false" ht="15" hidden="false" customHeight="false" outlineLevel="0" collapsed="false">
      <c r="A43" s="0" t="s">
        <v>139</v>
      </c>
      <c r="B43" s="0" t="n">
        <f aca="false">(B37+B41+B42)/Assumptions!$B$3*Assumptions!$B$10</f>
        <v>60.8227426629868</v>
      </c>
    </row>
    <row r="45" customFormat="false" ht="15" hidden="false" customHeight="false" outlineLevel="0" collapsed="false">
      <c r="A45" s="0" t="s">
        <v>79</v>
      </c>
      <c r="B45" s="4" t="n">
        <f aca="false">Assumptions!$B$6</f>
        <v>15</v>
      </c>
    </row>
    <row r="46" customFormat="false" ht="15" hidden="false" customHeight="false" outlineLevel="0" collapsed="false">
      <c r="A46" s="0" t="s">
        <v>140</v>
      </c>
      <c r="B46" s="0" t="n">
        <f aca="false">MAX(0,MIN(IF(B45&gt;B28,B31*(1+B28/100)/((B45-B28)/100),B31*B29),B31*B29))</f>
        <v>95605.6821744124</v>
      </c>
    </row>
    <row r="47" customFormat="false" ht="15" hidden="false" customHeight="false" outlineLevel="0" collapsed="false">
      <c r="A47" s="0" t="s">
        <v>141</v>
      </c>
      <c r="B47" s="0" t="n">
        <f aca="false">(SUMPRODUCT(C19:L19/(1+B45/100)^C4:L4)+B46/(1+B45/100)^L4+Assumptions!$B$5-Assumptions!$B$4)/Assumptions!$B$3*Assumptions!$B$10</f>
        <v>14.65290903327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142</v>
      </c>
    </row>
    <row r="3" customFormat="false" ht="15" hidden="false" customHeight="false" outlineLevel="0" collapsed="false">
      <c r="A3" s="0" t="s">
        <v>112</v>
      </c>
      <c r="B3" s="0" t="s">
        <v>82</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Assumptions!C27</f>
        <v>5.5</v>
      </c>
      <c r="D5" s="4" t="n">
        <f aca="false">Assumptions!D27</f>
        <v>5</v>
      </c>
      <c r="E5" s="4" t="n">
        <f aca="false">Assumptions!E27</f>
        <v>5</v>
      </c>
      <c r="F5" s="4" t="n">
        <f aca="false">Assumptions!F27</f>
        <v>4.5</v>
      </c>
      <c r="G5" s="4" t="n">
        <f aca="false">Assumptions!G27</f>
        <v>4.5</v>
      </c>
      <c r="H5" s="4" t="n">
        <f aca="false">Assumptions!H27</f>
        <v>4</v>
      </c>
      <c r="I5" s="4" t="n">
        <f aca="false">Assumptions!I27</f>
        <v>3.5</v>
      </c>
      <c r="J5" s="4" t="n">
        <f aca="false">Assumptions!J27</f>
        <v>3.5</v>
      </c>
      <c r="K5" s="4" t="n">
        <f aca="false">Assumptions!K27</f>
        <v>3</v>
      </c>
      <c r="L5" s="4" t="n">
        <f aca="false">Assumptions!L27</f>
        <v>3</v>
      </c>
    </row>
    <row r="6" customFormat="false" ht="15" hidden="false" customHeight="false" outlineLevel="0" collapsed="false">
      <c r="A6" s="0" t="s">
        <v>37</v>
      </c>
      <c r="B6" s="3" t="n">
        <v>99300</v>
      </c>
      <c r="C6" s="0" t="n">
        <f aca="false">B6*(1+C5/100)</f>
        <v>104761.5</v>
      </c>
      <c r="D6" s="0" t="n">
        <f aca="false">C6*(1+D5/100)</f>
        <v>109999.575</v>
      </c>
      <c r="E6" s="0" t="n">
        <f aca="false">D6*(1+E5/100)</f>
        <v>115499.55375</v>
      </c>
      <c r="F6" s="0" t="n">
        <f aca="false">E6*(1+F5/100)</f>
        <v>120697.03366875</v>
      </c>
      <c r="G6" s="0" t="n">
        <f aca="false">F6*(1+G5/100)</f>
        <v>126128.400183844</v>
      </c>
      <c r="H6" s="0" t="n">
        <f aca="false">G6*(1+H5/100)</f>
        <v>131173.536191198</v>
      </c>
      <c r="I6" s="0" t="n">
        <f aca="false">H6*(1+I5/100)</f>
        <v>135764.609957889</v>
      </c>
      <c r="J6" s="0" t="n">
        <f aca="false">I6*(1+J5/100)</f>
        <v>140516.371306416</v>
      </c>
      <c r="K6" s="0" t="n">
        <f aca="false">J6*(1+K5/100)</f>
        <v>144731.862445608</v>
      </c>
      <c r="L6" s="0" t="n">
        <f aca="false">K6*(1+L5/100)</f>
        <v>149073.818318976</v>
      </c>
    </row>
    <row r="7" customFormat="false" ht="15" hidden="false" customHeight="false" outlineLevel="0" collapsed="false">
      <c r="A7" s="0" t="s">
        <v>98</v>
      </c>
      <c r="C7" s="4" t="n">
        <f aca="false">Assumptions!C28</f>
        <v>23.6</v>
      </c>
      <c r="D7" s="4" t="n">
        <f aca="false">Assumptions!D28</f>
        <v>24</v>
      </c>
      <c r="E7" s="4" t="n">
        <f aca="false">Assumptions!E28</f>
        <v>24.4</v>
      </c>
      <c r="F7" s="4" t="n">
        <f aca="false">Assumptions!F28</f>
        <v>24.7</v>
      </c>
      <c r="G7" s="4" t="n">
        <f aca="false">Assumptions!G28</f>
        <v>25</v>
      </c>
      <c r="H7" s="4" t="n">
        <f aca="false">Assumptions!H28</f>
        <v>25</v>
      </c>
      <c r="I7" s="4" t="n">
        <f aca="false">Assumptions!I28</f>
        <v>25</v>
      </c>
      <c r="J7" s="4" t="n">
        <f aca="false">Assumptions!J28</f>
        <v>25</v>
      </c>
      <c r="K7" s="4" t="n">
        <f aca="false">Assumptions!K28</f>
        <v>25</v>
      </c>
      <c r="L7" s="4" t="n">
        <f aca="false">Assumptions!L28</f>
        <v>25</v>
      </c>
    </row>
    <row r="8" customFormat="false" ht="15" hidden="false" customHeight="false" outlineLevel="0" collapsed="false">
      <c r="A8" s="0" t="s">
        <v>43</v>
      </c>
      <c r="C8" s="0" t="n">
        <f aca="false">C6*C7/100</f>
        <v>24723.714</v>
      </c>
      <c r="D8" s="0" t="n">
        <f aca="false">D6*D7/100</f>
        <v>26399.898</v>
      </c>
      <c r="E8" s="0" t="n">
        <f aca="false">E6*E7/100</f>
        <v>28181.891115</v>
      </c>
      <c r="F8" s="0" t="n">
        <f aca="false">F6*F7/100</f>
        <v>29812.1673161813</v>
      </c>
      <c r="G8" s="0" t="n">
        <f aca="false">G6*G7/100</f>
        <v>31532.1000459609</v>
      </c>
      <c r="H8" s="0" t="n">
        <f aca="false">H6*H7/100</f>
        <v>32793.3840477994</v>
      </c>
      <c r="I8" s="0" t="n">
        <f aca="false">I6*I7/100</f>
        <v>33941.1524894724</v>
      </c>
      <c r="J8" s="0" t="n">
        <f aca="false">J6*J7/100</f>
        <v>35129.0928266039</v>
      </c>
      <c r="K8" s="0" t="n">
        <f aca="false">K6*K7/100</f>
        <v>36182.965611402</v>
      </c>
      <c r="L8" s="0" t="n">
        <f aca="false">L6*L7/100</f>
        <v>37268.4545797441</v>
      </c>
    </row>
    <row r="9" customFormat="false" ht="15" hidden="false" customHeight="false" outlineLevel="0" collapsed="false">
      <c r="A9" s="0" t="s">
        <v>99</v>
      </c>
      <c r="C9" s="4" t="n">
        <f aca="false">Assumptions!C29</f>
        <v>1.55</v>
      </c>
      <c r="D9" s="4" t="n">
        <f aca="false">Assumptions!D29</f>
        <v>1.55</v>
      </c>
      <c r="E9" s="4" t="n">
        <f aca="false">Assumptions!E29</f>
        <v>1.5</v>
      </c>
      <c r="F9" s="4" t="n">
        <f aca="false">Assumptions!F29</f>
        <v>1.5</v>
      </c>
      <c r="G9" s="4" t="n">
        <f aca="false">Assumptions!G29</f>
        <v>1.5</v>
      </c>
      <c r="H9" s="4" t="n">
        <f aca="false">Assumptions!H29</f>
        <v>1.45</v>
      </c>
      <c r="I9" s="4" t="n">
        <f aca="false">Assumptions!I29</f>
        <v>1.45</v>
      </c>
      <c r="J9" s="4" t="n">
        <f aca="false">Assumptions!J29</f>
        <v>1.4</v>
      </c>
      <c r="K9" s="4" t="n">
        <f aca="false">Assumptions!K29</f>
        <v>1.4</v>
      </c>
      <c r="L9" s="4" t="n">
        <f aca="false">Assumptions!L29</f>
        <v>1.4</v>
      </c>
    </row>
    <row r="10" customFormat="false" ht="15" hidden="false" customHeight="false" outlineLevel="0" collapsed="false">
      <c r="A10" s="0" t="s">
        <v>114</v>
      </c>
      <c r="C10" s="0" t="n">
        <f aca="false">-C6*C9/100</f>
        <v>-1623.80325</v>
      </c>
      <c r="D10" s="0" t="n">
        <f aca="false">-D6*D9/100</f>
        <v>-1704.9934125</v>
      </c>
      <c r="E10" s="0" t="n">
        <f aca="false">-E6*E9/100</f>
        <v>-1732.49330625</v>
      </c>
      <c r="F10" s="0" t="n">
        <f aca="false">-F6*F9/100</f>
        <v>-1810.45550503125</v>
      </c>
      <c r="G10" s="0" t="n">
        <f aca="false">-G6*G9/100</f>
        <v>-1891.92600275766</v>
      </c>
      <c r="H10" s="0" t="n">
        <f aca="false">-H6*H9/100</f>
        <v>-1902.01627477236</v>
      </c>
      <c r="I10" s="0" t="n">
        <f aca="false">-I6*I9/100</f>
        <v>-1968.5868443894</v>
      </c>
      <c r="J10" s="0" t="n">
        <f aca="false">-J6*J9/100</f>
        <v>-1967.22919828982</v>
      </c>
      <c r="K10" s="0" t="n">
        <f aca="false">-K6*K9/100</f>
        <v>-2026.24607423851</v>
      </c>
      <c r="L10" s="0" t="n">
        <f aca="false">-L6*L9/100</f>
        <v>-2087.03345646567</v>
      </c>
    </row>
    <row r="11" customFormat="false" ht="15" hidden="false" customHeight="false" outlineLevel="0" collapsed="false">
      <c r="A11" s="0" t="s">
        <v>115</v>
      </c>
      <c r="C11" s="0" t="n">
        <f aca="false">C8+C10+C24</f>
        <v>23099.91075</v>
      </c>
      <c r="D11" s="0" t="n">
        <f aca="false">D8+D10+D24</f>
        <v>24694.9045875</v>
      </c>
      <c r="E11" s="0" t="n">
        <f aca="false">E8+E10+E24</f>
        <v>26449.39780875</v>
      </c>
      <c r="F11" s="0" t="n">
        <f aca="false">F8+F10+F24</f>
        <v>28001.71181115</v>
      </c>
      <c r="G11" s="0" t="n">
        <f aca="false">G8+G10+G24</f>
        <v>29640.1740432033</v>
      </c>
      <c r="H11" s="0" t="n">
        <f aca="false">H8+H10+H24</f>
        <v>30891.367773027</v>
      </c>
      <c r="I11" s="0" t="n">
        <f aca="false">I8+I10+I24</f>
        <v>31972.565645083</v>
      </c>
      <c r="J11" s="0" t="n">
        <f aca="false">J8+J10+J24</f>
        <v>33161.8636283141</v>
      </c>
      <c r="K11" s="0" t="n">
        <f aca="false">K8+K10+K24</f>
        <v>34156.7195371635</v>
      </c>
      <c r="L11" s="0" t="n">
        <f aca="false">L8+L10+L24</f>
        <v>35181.4211232784</v>
      </c>
    </row>
    <row r="12" customFormat="false" ht="15" hidden="false" customHeight="false" outlineLevel="0" collapsed="false">
      <c r="A12" s="0" t="s">
        <v>116</v>
      </c>
      <c r="C12" s="4" t="n">
        <f aca="false">-C6*Assumptions!C31/100</f>
        <v>-4504.7445</v>
      </c>
      <c r="D12" s="4" t="n">
        <f aca="false">-D6*Assumptions!D31/100</f>
        <v>-4839.9813</v>
      </c>
      <c r="E12" s="4" t="n">
        <f aca="false">-E6*Assumptions!E31/100</f>
        <v>-5197.47991875</v>
      </c>
      <c r="F12" s="4" t="n">
        <f aca="false">-F6*Assumptions!F31/100</f>
        <v>-5552.0635487625</v>
      </c>
      <c r="G12" s="4" t="n">
        <f aca="false">-G6*Assumptions!G31/100</f>
        <v>-5928.03480864066</v>
      </c>
      <c r="H12" s="4" t="n">
        <f aca="false">-H6*Assumptions!H31/100</f>
        <v>-6296.32973717748</v>
      </c>
      <c r="I12" s="4" t="n">
        <f aca="false">-I6*Assumptions!I31/100</f>
        <v>-6652.46588793658</v>
      </c>
      <c r="J12" s="4" t="n">
        <f aca="false">-J6*Assumptions!J31/100</f>
        <v>-7025.81856532078</v>
      </c>
      <c r="K12" s="4" t="n">
        <f aca="false">-K6*Assumptions!K31/100</f>
        <v>-7236.5931222804</v>
      </c>
      <c r="L12" s="4" t="n">
        <f aca="false">-L6*Assumptions!L31/100</f>
        <v>-7453.69091594881</v>
      </c>
    </row>
    <row r="13" customFormat="false" ht="15" hidden="false" customHeight="false" outlineLevel="0" collapsed="false">
      <c r="A13" s="0" t="s">
        <v>117</v>
      </c>
      <c r="C13" s="0" t="n">
        <f aca="false">C11+C12</f>
        <v>18595.16625</v>
      </c>
      <c r="D13" s="0" t="n">
        <f aca="false">D11+D12</f>
        <v>19854.9232875</v>
      </c>
      <c r="E13" s="0" t="n">
        <f aca="false">E11+E12</f>
        <v>21251.91789</v>
      </c>
      <c r="F13" s="0" t="n">
        <f aca="false">F11+F12</f>
        <v>22449.6482623875</v>
      </c>
      <c r="G13" s="0" t="n">
        <f aca="false">G11+G12</f>
        <v>23712.1392345626</v>
      </c>
      <c r="H13" s="0" t="n">
        <f aca="false">H11+H12</f>
        <v>24595.0380358495</v>
      </c>
      <c r="I13" s="0" t="n">
        <f aca="false">I11+I12</f>
        <v>25320.0997571464</v>
      </c>
      <c r="J13" s="0" t="n">
        <f aca="false">J11+J12</f>
        <v>26136.0450629933</v>
      </c>
      <c r="K13" s="0" t="n">
        <f aca="false">K11+K12</f>
        <v>26920.1264148831</v>
      </c>
      <c r="L13" s="0" t="n">
        <f aca="false">L11+L12</f>
        <v>27727.7302073296</v>
      </c>
    </row>
    <row r="14" customFormat="false" ht="15" hidden="false" customHeight="false" outlineLevel="0" collapsed="false">
      <c r="A14" s="0" t="s">
        <v>103</v>
      </c>
      <c r="C14" s="4" t="n">
        <f aca="false">Assumptions!C33</f>
        <v>19</v>
      </c>
      <c r="D14" s="4" t="n">
        <f aca="false">Assumptions!D33</f>
        <v>20</v>
      </c>
      <c r="E14" s="4" t="n">
        <f aca="false">Assumptions!E33</f>
        <v>21</v>
      </c>
      <c r="F14" s="4" t="n">
        <f aca="false">Assumptions!F33</f>
        <v>21</v>
      </c>
      <c r="G14" s="4" t="n">
        <f aca="false">Assumptions!G33</f>
        <v>21</v>
      </c>
      <c r="H14" s="4" t="n">
        <f aca="false">Assumptions!H33</f>
        <v>21</v>
      </c>
      <c r="I14" s="4" t="n">
        <f aca="false">Assumptions!I33</f>
        <v>21</v>
      </c>
      <c r="J14" s="4" t="n">
        <f aca="false">Assumptions!J33</f>
        <v>21</v>
      </c>
      <c r="K14" s="4" t="n">
        <f aca="false">Assumptions!K33</f>
        <v>21</v>
      </c>
      <c r="L14" s="4" t="n">
        <f aca="false">Assumptions!L33</f>
        <v>21</v>
      </c>
    </row>
    <row r="15" customFormat="false" ht="15" hidden="false" customHeight="false" outlineLevel="0" collapsed="false">
      <c r="A15" s="0" t="s">
        <v>118</v>
      </c>
      <c r="C15" s="0" t="n">
        <f aca="false">C13-MAX(0,C13)*C14/100</f>
        <v>15062.0846625</v>
      </c>
      <c r="D15" s="0" t="n">
        <f aca="false">D13-MAX(0,D13)*D14/100</f>
        <v>15883.93863</v>
      </c>
      <c r="E15" s="0" t="n">
        <f aca="false">E13-MAX(0,E13)*E14/100</f>
        <v>16789.0151331</v>
      </c>
      <c r="F15" s="0" t="n">
        <f aca="false">F13-MAX(0,F13)*F14/100</f>
        <v>17735.2221272861</v>
      </c>
      <c r="G15" s="0" t="n">
        <f aca="false">G13-MAX(0,G13)*G14/100</f>
        <v>18732.5899953045</v>
      </c>
      <c r="H15" s="0" t="n">
        <f aca="false">H13-MAX(0,H13)*H14/100</f>
        <v>19430.0800483211</v>
      </c>
      <c r="I15" s="0" t="n">
        <f aca="false">I13-MAX(0,I13)*I14/100</f>
        <v>20002.8788081456</v>
      </c>
      <c r="J15" s="0" t="n">
        <f aca="false">J13-MAX(0,J13)*J14/100</f>
        <v>20647.4755997647</v>
      </c>
      <c r="K15" s="0" t="n">
        <f aca="false">K13-MAX(0,K13)*K14/100</f>
        <v>21266.8998677576</v>
      </c>
      <c r="L15" s="0" t="n">
        <f aca="false">L13-MAX(0,L13)*L14/100</f>
        <v>21904.9068637904</v>
      </c>
    </row>
    <row r="16" customFormat="false" ht="15" hidden="false" customHeight="false" outlineLevel="0" collapsed="false">
      <c r="A16" s="0" t="s">
        <v>119</v>
      </c>
      <c r="C16" s="0" t="n">
        <f aca="false">-C12</f>
        <v>4504.7445</v>
      </c>
      <c r="D16" s="0" t="n">
        <f aca="false">-D12</f>
        <v>4839.9813</v>
      </c>
      <c r="E16" s="0" t="n">
        <f aca="false">-E12</f>
        <v>5197.47991875</v>
      </c>
      <c r="F16" s="0" t="n">
        <f aca="false">-F12</f>
        <v>5552.0635487625</v>
      </c>
      <c r="G16" s="0" t="n">
        <f aca="false">-G12</f>
        <v>5928.03480864066</v>
      </c>
      <c r="H16" s="0" t="n">
        <f aca="false">-H12</f>
        <v>6296.32973717748</v>
      </c>
      <c r="I16" s="0" t="n">
        <f aca="false">-I12</f>
        <v>6652.46588793658</v>
      </c>
      <c r="J16" s="0" t="n">
        <f aca="false">-J12</f>
        <v>7025.81856532078</v>
      </c>
      <c r="K16" s="0" t="n">
        <f aca="false">-K12</f>
        <v>7236.5931222804</v>
      </c>
      <c r="L16" s="0" t="n">
        <f aca="false">-L12</f>
        <v>7453.69091594881</v>
      </c>
    </row>
    <row r="17" customFormat="false" ht="15" hidden="false" customHeight="false" outlineLevel="0" collapsed="false">
      <c r="A17" s="0" t="s">
        <v>120</v>
      </c>
      <c r="C17" s="4" t="n">
        <f aca="false">-C6*Assumptions!C32/100</f>
        <v>-9219.012</v>
      </c>
      <c r="D17" s="4" t="n">
        <f aca="false">-D6*Assumptions!D32/100</f>
        <v>-9679.9626</v>
      </c>
      <c r="E17" s="4" t="n">
        <f aca="false">-E6*Assumptions!E32/100</f>
        <v>-9932.9616225</v>
      </c>
      <c r="F17" s="4" t="n">
        <f aca="false">-F6*Assumptions!F32/100</f>
        <v>-10138.550828175</v>
      </c>
      <c r="G17" s="4" t="n">
        <f aca="false">-G6*Assumptions!G32/100</f>
        <v>-10342.5288150752</v>
      </c>
      <c r="H17" s="4" t="n">
        <f aca="false">-H6*Assumptions!H32/100</f>
        <v>-10493.8828952958</v>
      </c>
      <c r="I17" s="4" t="n">
        <f aca="false">-I6*Assumptions!I32/100</f>
        <v>-10589.6395767154</v>
      </c>
      <c r="J17" s="4" t="n">
        <f aca="false">-J6*Assumptions!J32/100</f>
        <v>-10538.7278479812</v>
      </c>
      <c r="K17" s="4" t="n">
        <f aca="false">-K6*Assumptions!K32/100</f>
        <v>-10420.6940960838</v>
      </c>
      <c r="L17" s="4" t="n">
        <f aca="false">-L6*Assumptions!L32/100</f>
        <v>-10435.1672823283</v>
      </c>
    </row>
    <row r="18" customFormat="false" ht="15" hidden="false" customHeight="false" outlineLevel="0" collapsed="false">
      <c r="A18" s="0" t="s">
        <v>121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122</v>
      </c>
      <c r="C19" s="0" t="n">
        <f aca="false">C15+C16+C17+C18</f>
        <v>10347.8171625</v>
      </c>
      <c r="D19" s="0" t="n">
        <f aca="false">D15+D16+D17+D18</f>
        <v>11043.95733</v>
      </c>
      <c r="E19" s="0" t="n">
        <f aca="false">E15+E16+E17+E18</f>
        <v>12053.53342935</v>
      </c>
      <c r="F19" s="0" t="n">
        <f aca="false">F15+F16+F17+F18</f>
        <v>13148.7348478736</v>
      </c>
      <c r="G19" s="0" t="n">
        <f aca="false">G15+G16+G17+G18</f>
        <v>14318.0959888699</v>
      </c>
      <c r="H19" s="0" t="n">
        <f aca="false">H15+H16+H17+H18</f>
        <v>15232.5268902028</v>
      </c>
      <c r="I19" s="0" t="n">
        <f aca="false">I15+I16+I17+I18</f>
        <v>16065.7051193668</v>
      </c>
      <c r="J19" s="0" t="n">
        <f aca="false">J15+J16+J17+J18</f>
        <v>17134.5663171043</v>
      </c>
      <c r="K19" s="0" t="n">
        <f aca="false">K15+K16+K17+K18</f>
        <v>18082.7988939543</v>
      </c>
      <c r="L19" s="0" t="n">
        <f aca="false">L15+L16+L17+L18</f>
        <v>18923.4304974109</v>
      </c>
    </row>
    <row r="20" customFormat="false" ht="15" hidden="false" customHeight="false" outlineLevel="0" collapsed="false">
      <c r="A20" s="0" t="s">
        <v>123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124</v>
      </c>
      <c r="C21" s="0" t="n">
        <f aca="false">C19*C20</f>
        <v>9537.15867511521</v>
      </c>
      <c r="D21" s="0" t="n">
        <f aca="false">D19*D20</f>
        <v>9381.34794113275</v>
      </c>
      <c r="E21" s="0" t="n">
        <f aca="false">E19*E20</f>
        <v>9436.80893654364</v>
      </c>
      <c r="F21" s="0" t="n">
        <f aca="false">F19*F20</f>
        <v>9487.78893688351</v>
      </c>
      <c r="G21" s="0" t="n">
        <f aca="false">G19*G20</f>
        <v>9522.18420760247</v>
      </c>
      <c r="H21" s="0" t="n">
        <f aca="false">H19*H20</f>
        <v>9336.70257460592</v>
      </c>
      <c r="I21" s="0" t="n">
        <f aca="false">I19*I20</f>
        <v>9075.9401656748</v>
      </c>
      <c r="J21" s="0" t="n">
        <f aca="false">J19*J20</f>
        <v>8921.44518119374</v>
      </c>
      <c r="K21" s="0" t="n">
        <f aca="false">K19*K20</f>
        <v>8677.56766201778</v>
      </c>
      <c r="L21" s="0" t="n">
        <f aca="false">L19*L20</f>
        <v>8369.5573114692</v>
      </c>
    </row>
    <row r="23" customFormat="false" ht="15" hidden="false" customHeight="false" outlineLevel="0" collapsed="false">
      <c r="A23" s="0" t="s">
        <v>100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Assumptions!$B$34</f>
        <v>8.5</v>
      </c>
    </row>
    <row r="28" customFormat="false" ht="15" hidden="false" customHeight="false" outlineLevel="0" collapsed="false">
      <c r="A28" s="0" t="s">
        <v>105</v>
      </c>
      <c r="B28" s="4" t="n">
        <f aca="false">Assumptions!$B$35</f>
        <v>2.5</v>
      </c>
    </row>
    <row r="29" customFormat="false" ht="15" hidden="false" customHeight="false" outlineLevel="0" collapsed="false">
      <c r="A29" s="0" t="s">
        <v>106</v>
      </c>
      <c r="B29" s="4" t="n">
        <f aca="false">Assumptions!$B$36</f>
        <v>15</v>
      </c>
    </row>
    <row r="30" customFormat="false" ht="15" hidden="false" customHeight="false" outlineLevel="0" collapsed="false">
      <c r="A30" s="0" t="s">
        <v>127</v>
      </c>
      <c r="B30" s="0" t="n">
        <f aca="false">SUM(C21:L21)</f>
        <v>91746.501592239</v>
      </c>
    </row>
    <row r="31" customFormat="false" ht="15" hidden="false" customHeight="false" outlineLevel="0" collapsed="false">
      <c r="A31" s="0" t="s">
        <v>128</v>
      </c>
      <c r="B31" s="0" t="n">
        <f aca="false">L19</f>
        <v>18923.4304974109</v>
      </c>
    </row>
    <row r="32" customFormat="false" ht="15" hidden="false" customHeight="false" outlineLevel="0" collapsed="false">
      <c r="A32" s="0" t="s">
        <v>129</v>
      </c>
      <c r="B32" s="0" t="n">
        <f aca="false">IF(B27&gt;B28,B31*(1+B28/100)/((B27-B28)/100),B31*B29)</f>
        <v>323275.270997435</v>
      </c>
    </row>
    <row r="33" customFormat="false" ht="15" hidden="false" customHeight="false" outlineLevel="0" collapsed="false">
      <c r="A33" s="0" t="s">
        <v>130</v>
      </c>
      <c r="B33" s="0" t="n">
        <f aca="false">B31*B29</f>
        <v>283851.457461163</v>
      </c>
    </row>
    <row r="34" customFormat="false" ht="15" hidden="false" customHeight="false" outlineLevel="0" collapsed="false">
      <c r="A34" s="0" t="s">
        <v>131</v>
      </c>
      <c r="B34" s="0" t="n">
        <f aca="false">MAX(0,MIN(B32,B33))</f>
        <v>283851.457461163</v>
      </c>
    </row>
    <row r="35" customFormat="false" ht="15" hidden="false" customHeight="false" outlineLevel="0" collapsed="false">
      <c r="A35" s="0" t="s">
        <v>132</v>
      </c>
      <c r="B35" s="0" t="n">
        <f aca="false">B34/(1+B27/100)^L4</f>
        <v>125543.359672038</v>
      </c>
    </row>
    <row r="36" customFormat="false" ht="15" hidden="false" customHeight="false" outlineLevel="0" collapsed="false">
      <c r="A36" s="0" t="s">
        <v>133</v>
      </c>
      <c r="B36" s="0" t="n">
        <f aca="false">B30+B35</f>
        <v>217289.861264277</v>
      </c>
    </row>
    <row r="37" customFormat="false" ht="15" hidden="false" customHeight="false" outlineLevel="0" collapsed="false">
      <c r="A37" s="0" t="s">
        <v>134</v>
      </c>
      <c r="B37" s="0" t="n">
        <f aca="false">B36+Assumptions!$B$5-Assumptions!$B$4</f>
        <v>168433.861264277</v>
      </c>
    </row>
    <row r="38" customFormat="false" ht="15" hidden="false" customHeight="false" outlineLevel="0" collapsed="false">
      <c r="A38" s="0" t="s">
        <v>135</v>
      </c>
      <c r="B38" s="0" t="n">
        <f aca="false">B37/Assumptions!$B$3*Assumptions!$B$10</f>
        <v>96.6344585566707</v>
      </c>
    </row>
    <row r="39" customFormat="false" ht="15" hidden="false" customHeight="false" outlineLevel="0" collapsed="false">
      <c r="A39" s="0" t="s">
        <v>136</v>
      </c>
      <c r="B39" s="4" t="n">
        <f aca="false">B38/Assumptions!$B$2-1</f>
        <v>-0.0896424064373933</v>
      </c>
    </row>
    <row r="41" customFormat="false" ht="15" hidden="false" customHeight="false" outlineLevel="0" collapsed="false">
      <c r="A41" s="0" t="s">
        <v>137</v>
      </c>
      <c r="B41" s="0" t="n">
        <f aca="false">SUMPRODUCT(-C10:L10/(1+$B$27/100)^C4:L4)</f>
        <v>12063.5194567918</v>
      </c>
    </row>
    <row r="42" customFormat="false" ht="15" hidden="false" customHeight="false" outlineLevel="0" collapsed="false">
      <c r="A42" s="0" t="s">
        <v>138</v>
      </c>
      <c r="B42" s="0" t="n">
        <f aca="false">IF(B27&gt;B28,-L10*(1+B28/100)/((B27-B28)/100),-L10*20)/(1+B27/100)^L4</f>
        <v>15769.0178325171</v>
      </c>
    </row>
    <row r="43" customFormat="false" ht="15" hidden="false" customHeight="false" outlineLevel="0" collapsed="false">
      <c r="A43" s="0" t="s">
        <v>139</v>
      </c>
      <c r="B43" s="0" t="n">
        <f aca="false">(B37+B41+B42)/Assumptions!$B$3*Assumptions!$B$10</f>
        <v>112.602638298099</v>
      </c>
    </row>
    <row r="45" customFormat="false" ht="15" hidden="false" customHeight="false" outlineLevel="0" collapsed="false">
      <c r="A45" s="0" t="s">
        <v>79</v>
      </c>
      <c r="B45" s="4" t="n">
        <f aca="false">Assumptions!$B$6</f>
        <v>15</v>
      </c>
    </row>
    <row r="46" customFormat="false" ht="15" hidden="false" customHeight="false" outlineLevel="0" collapsed="false">
      <c r="A46" s="0" t="s">
        <v>140</v>
      </c>
      <c r="B46" s="0" t="n">
        <f aca="false">MAX(0,MIN(IF(B45&gt;B28,B31*(1+B28/100)/((B45-B28)/100),B31*B29),B31*B29))</f>
        <v>155172.130078769</v>
      </c>
    </row>
    <row r="47" customFormat="false" ht="15" hidden="false" customHeight="false" outlineLevel="0" collapsed="false">
      <c r="A47" s="0" t="s">
        <v>141</v>
      </c>
      <c r="B47" s="0" t="n">
        <f aca="false">(SUMPRODUCT(C19:L19/(1+B45/100)^C4:L4)+B46/(1+B45/100)^L4+Assumptions!$B$5-Assumptions!$B$4)/Assumptions!$B$3*Assumptions!$B$10</f>
        <v>32.96342266081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112</v>
      </c>
      <c r="B3" s="0" t="s">
        <v>82</v>
      </c>
      <c r="C3" s="2" t="s">
        <v>87</v>
      </c>
      <c r="D3" s="2" t="s">
        <v>88</v>
      </c>
      <c r="E3" s="2" t="s">
        <v>89</v>
      </c>
      <c r="F3" s="2" t="s">
        <v>90</v>
      </c>
      <c r="G3" s="2" t="s">
        <v>91</v>
      </c>
      <c r="H3" s="2" t="s">
        <v>92</v>
      </c>
      <c r="I3" s="2" t="s">
        <v>93</v>
      </c>
      <c r="J3" s="2" t="s">
        <v>94</v>
      </c>
      <c r="K3" s="2" t="s">
        <v>95</v>
      </c>
      <c r="L3" s="2" t="s">
        <v>96</v>
      </c>
    </row>
    <row r="4" customFormat="false" ht="15" hidden="false" customHeight="false" outlineLevel="0" collapsed="false">
      <c r="A4" s="0" t="s">
        <v>113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97</v>
      </c>
      <c r="C5" s="4" t="n">
        <f aca="false">Assumptions!C41</f>
        <v>7</v>
      </c>
      <c r="D5" s="4" t="n">
        <f aca="false">Assumptions!D41</f>
        <v>7</v>
      </c>
      <c r="E5" s="4" t="n">
        <f aca="false">Assumptions!E41</f>
        <v>6.5</v>
      </c>
      <c r="F5" s="4" t="n">
        <f aca="false">Assumptions!F41</f>
        <v>6</v>
      </c>
      <c r="G5" s="4" t="n">
        <f aca="false">Assumptions!G41</f>
        <v>5.5</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37</v>
      </c>
      <c r="B6" s="3" t="n">
        <v>99300</v>
      </c>
      <c r="C6" s="0" t="n">
        <f aca="false">B6*(1+C5/100)</f>
        <v>106251</v>
      </c>
      <c r="D6" s="0" t="n">
        <f aca="false">C6*(1+D5/100)</f>
        <v>113688.57</v>
      </c>
      <c r="E6" s="0" t="n">
        <f aca="false">D6*(1+E5/100)</f>
        <v>121078.32705</v>
      </c>
      <c r="F6" s="0" t="n">
        <f aca="false">E6*(1+F5/100)</f>
        <v>128343.026673</v>
      </c>
      <c r="G6" s="0" t="n">
        <f aca="false">F6*(1+G5/100)</f>
        <v>135401.893140015</v>
      </c>
      <c r="H6" s="0" t="n">
        <f aca="false">G6*(1+H5/100)</f>
        <v>142171.987797016</v>
      </c>
      <c r="I6" s="0" t="n">
        <f aca="false">H6*(1+I5/100)</f>
        <v>148569.727247881</v>
      </c>
      <c r="J6" s="0" t="n">
        <f aca="false">I6*(1+J5/100)</f>
        <v>154512.516337797</v>
      </c>
      <c r="K6" s="0" t="n">
        <f aca="false">J6*(1+K5/100)</f>
        <v>159920.45440962</v>
      </c>
      <c r="L6" s="0" t="n">
        <f aca="false">K6*(1+L5/100)</f>
        <v>164718.068041908</v>
      </c>
    </row>
    <row r="7" customFormat="false" ht="15" hidden="false" customHeight="false" outlineLevel="0" collapsed="false">
      <c r="A7" s="0" t="s">
        <v>98</v>
      </c>
      <c r="C7" s="4" t="n">
        <f aca="false">Assumptions!C42</f>
        <v>24</v>
      </c>
      <c r="D7" s="4" t="n">
        <f aca="false">Assumptions!D42</f>
        <v>24.8</v>
      </c>
      <c r="E7" s="4" t="n">
        <f aca="false">Assumptions!E42</f>
        <v>25.6</v>
      </c>
      <c r="F7" s="4" t="n">
        <f aca="false">Assumptions!F42</f>
        <v>26.3</v>
      </c>
      <c r="G7" s="4" t="n">
        <f aca="false">Assumptions!G42</f>
        <v>27</v>
      </c>
      <c r="H7" s="4" t="n">
        <f aca="false">Assumptions!H42</f>
        <v>27.5</v>
      </c>
      <c r="I7" s="4" t="n">
        <f aca="false">Assumptions!I42</f>
        <v>27.5</v>
      </c>
      <c r="J7" s="4" t="n">
        <f aca="false">Assumptions!J42</f>
        <v>27.5</v>
      </c>
      <c r="K7" s="4" t="n">
        <f aca="false">Assumptions!K42</f>
        <v>27.5</v>
      </c>
      <c r="L7" s="4" t="n">
        <f aca="false">Assumptions!L42</f>
        <v>27.5</v>
      </c>
    </row>
    <row r="8" customFormat="false" ht="15" hidden="false" customHeight="false" outlineLevel="0" collapsed="false">
      <c r="A8" s="0" t="s">
        <v>43</v>
      </c>
      <c r="C8" s="0" t="n">
        <f aca="false">C6*C7/100</f>
        <v>25500.24</v>
      </c>
      <c r="D8" s="0" t="n">
        <f aca="false">D6*D7/100</f>
        <v>28194.76536</v>
      </c>
      <c r="E8" s="0" t="n">
        <f aca="false">E6*E7/100</f>
        <v>30996.0517248</v>
      </c>
      <c r="F8" s="0" t="n">
        <f aca="false">F6*F7/100</f>
        <v>33754.216014999</v>
      </c>
      <c r="G8" s="0" t="n">
        <f aca="false">G6*G7/100</f>
        <v>36558.5111478041</v>
      </c>
      <c r="H8" s="0" t="n">
        <f aca="false">H6*H7/100</f>
        <v>39097.2966441793</v>
      </c>
      <c r="I8" s="0" t="n">
        <f aca="false">I6*I7/100</f>
        <v>40856.6749931674</v>
      </c>
      <c r="J8" s="0" t="n">
        <f aca="false">J6*J7/100</f>
        <v>42490.9419928941</v>
      </c>
      <c r="K8" s="0" t="n">
        <f aca="false">K6*K7/100</f>
        <v>43978.1249626454</v>
      </c>
      <c r="L8" s="0" t="n">
        <f aca="false">L6*L7/100</f>
        <v>45297.4687115247</v>
      </c>
    </row>
    <row r="9" customFormat="false" ht="15" hidden="false" customHeight="false" outlineLevel="0" collapsed="false">
      <c r="A9" s="0" t="s">
        <v>99</v>
      </c>
      <c r="C9" s="4" t="n">
        <f aca="false">Assumptions!C43</f>
        <v>1.55</v>
      </c>
      <c r="D9" s="4" t="n">
        <f aca="false">Assumptions!D43</f>
        <v>1.55</v>
      </c>
      <c r="E9" s="4" t="n">
        <f aca="false">Assumptions!E43</f>
        <v>1.5</v>
      </c>
      <c r="F9" s="4" t="n">
        <f aca="false">Assumptions!F43</f>
        <v>1.5</v>
      </c>
      <c r="G9" s="4" t="n">
        <f aca="false">Assumptions!G43</f>
        <v>1.5</v>
      </c>
      <c r="H9" s="4" t="n">
        <f aca="false">Assumptions!H43</f>
        <v>1.45</v>
      </c>
      <c r="I9" s="4" t="n">
        <f aca="false">Assumptions!I43</f>
        <v>1.45</v>
      </c>
      <c r="J9" s="4" t="n">
        <f aca="false">Assumptions!J43</f>
        <v>1.4</v>
      </c>
      <c r="K9" s="4" t="n">
        <f aca="false">Assumptions!K43</f>
        <v>1.4</v>
      </c>
      <c r="L9" s="4" t="n">
        <f aca="false">Assumptions!L43</f>
        <v>1.4</v>
      </c>
    </row>
    <row r="10" customFormat="false" ht="15" hidden="false" customHeight="false" outlineLevel="0" collapsed="false">
      <c r="A10" s="0" t="s">
        <v>114</v>
      </c>
      <c r="C10" s="0" t="n">
        <f aca="false">-C6*C9/100</f>
        <v>-1646.8905</v>
      </c>
      <c r="D10" s="0" t="n">
        <f aca="false">-D6*D9/100</f>
        <v>-1762.172835</v>
      </c>
      <c r="E10" s="0" t="n">
        <f aca="false">-E6*E9/100</f>
        <v>-1816.17490575</v>
      </c>
      <c r="F10" s="0" t="n">
        <f aca="false">-F6*F9/100</f>
        <v>-1925.145400095</v>
      </c>
      <c r="G10" s="0" t="n">
        <f aca="false">-G6*G9/100</f>
        <v>-2031.02839710023</v>
      </c>
      <c r="H10" s="0" t="n">
        <f aca="false">-H6*H9/100</f>
        <v>-2061.49382305673</v>
      </c>
      <c r="I10" s="0" t="n">
        <f aca="false">-I6*I9/100</f>
        <v>-2154.26104509428</v>
      </c>
      <c r="J10" s="0" t="n">
        <f aca="false">-J6*J9/100</f>
        <v>-2163.17522872915</v>
      </c>
      <c r="K10" s="0" t="n">
        <f aca="false">-K6*K9/100</f>
        <v>-2238.88636173467</v>
      </c>
      <c r="L10" s="0" t="n">
        <f aca="false">-L6*L9/100</f>
        <v>-2306.05295258671</v>
      </c>
    </row>
    <row r="11" customFormat="false" ht="15" hidden="false" customHeight="false" outlineLevel="0" collapsed="false">
      <c r="A11" s="0" t="s">
        <v>115</v>
      </c>
      <c r="C11" s="0" t="n">
        <f aca="false">C8+C10+C24</f>
        <v>23853.3495</v>
      </c>
      <c r="D11" s="0" t="n">
        <f aca="false">D8+D10+D24</f>
        <v>26432.592525</v>
      </c>
      <c r="E11" s="0" t="n">
        <f aca="false">E8+E10+E24</f>
        <v>29179.87681905</v>
      </c>
      <c r="F11" s="0" t="n">
        <f aca="false">F8+F10+F24</f>
        <v>31829.070614904</v>
      </c>
      <c r="G11" s="0" t="n">
        <f aca="false">G8+G10+G24</f>
        <v>34527.4827507038</v>
      </c>
      <c r="H11" s="0" t="n">
        <f aca="false">H8+H10+H24</f>
        <v>37035.8028211226</v>
      </c>
      <c r="I11" s="0" t="n">
        <f aca="false">I8+I10+I24</f>
        <v>38702.4139480731</v>
      </c>
      <c r="J11" s="0" t="n">
        <f aca="false">J8+J10+J24</f>
        <v>40327.766764165</v>
      </c>
      <c r="K11" s="0" t="n">
        <f aca="false">K8+K10+K24</f>
        <v>41739.2386009107</v>
      </c>
      <c r="L11" s="0" t="n">
        <f aca="false">L8+L10+L24</f>
        <v>42991.415758938</v>
      </c>
    </row>
    <row r="12" customFormat="false" ht="15" hidden="false" customHeight="false" outlineLevel="0" collapsed="false">
      <c r="A12" s="0" t="s">
        <v>116</v>
      </c>
      <c r="C12" s="4" t="n">
        <f aca="false">-C6*Assumptions!C45/100</f>
        <v>-4568.793</v>
      </c>
      <c r="D12" s="4" t="n">
        <f aca="false">-D6*Assumptions!D45/100</f>
        <v>-5002.29708</v>
      </c>
      <c r="E12" s="4" t="n">
        <f aca="false">-E6*Assumptions!E45/100</f>
        <v>-5448.52471725</v>
      </c>
      <c r="F12" s="4" t="n">
        <f aca="false">-F6*Assumptions!F45/100</f>
        <v>-5903.779226958</v>
      </c>
      <c r="G12" s="4" t="n">
        <f aca="false">-G6*Assumptions!G45/100</f>
        <v>-6363.88897758071</v>
      </c>
      <c r="H12" s="4" t="n">
        <f aca="false">-H6*Assumptions!H45/100</f>
        <v>-6824.25541425676</v>
      </c>
      <c r="I12" s="4" t="n">
        <f aca="false">-I6*Assumptions!I45/100</f>
        <v>-7279.91663514619</v>
      </c>
      <c r="J12" s="4" t="n">
        <f aca="false">-J6*Assumptions!J45/100</f>
        <v>-7725.62581688984</v>
      </c>
      <c r="K12" s="4" t="n">
        <f aca="false">-K6*Assumptions!K45/100</f>
        <v>-7996.02272048098</v>
      </c>
      <c r="L12" s="4" t="n">
        <f aca="false">-L6*Assumptions!L45/100</f>
        <v>-8235.90340209541</v>
      </c>
    </row>
    <row r="13" customFormat="false" ht="15" hidden="false" customHeight="false" outlineLevel="0" collapsed="false">
      <c r="A13" s="0" t="s">
        <v>117</v>
      </c>
      <c r="C13" s="0" t="n">
        <f aca="false">C11+C12</f>
        <v>19284.5565</v>
      </c>
      <c r="D13" s="0" t="n">
        <f aca="false">D11+D12</f>
        <v>21430.295445</v>
      </c>
      <c r="E13" s="0" t="n">
        <f aca="false">E11+E12</f>
        <v>23731.3521018</v>
      </c>
      <c r="F13" s="0" t="n">
        <f aca="false">F11+F12</f>
        <v>25925.291387946</v>
      </c>
      <c r="G13" s="0" t="n">
        <f aca="false">G11+G12</f>
        <v>28163.5937731231</v>
      </c>
      <c r="H13" s="0" t="n">
        <f aca="false">H11+H12</f>
        <v>30211.5474068659</v>
      </c>
      <c r="I13" s="0" t="n">
        <f aca="false">I11+I12</f>
        <v>31422.4973129269</v>
      </c>
      <c r="J13" s="0" t="n">
        <f aca="false">J11+J12</f>
        <v>32602.1409472751</v>
      </c>
      <c r="K13" s="0" t="n">
        <f aca="false">K11+K12</f>
        <v>33743.2158804297</v>
      </c>
      <c r="L13" s="0" t="n">
        <f aca="false">L11+L12</f>
        <v>34755.5123568426</v>
      </c>
    </row>
    <row r="14" customFormat="false" ht="15" hidden="false" customHeight="false" outlineLevel="0" collapsed="false">
      <c r="A14" s="0" t="s">
        <v>103</v>
      </c>
      <c r="C14" s="4" t="n">
        <f aca="false">Assumptions!C47</f>
        <v>19</v>
      </c>
      <c r="D14" s="4" t="n">
        <f aca="false">Assumptions!D47</f>
        <v>20</v>
      </c>
      <c r="E14" s="4" t="n">
        <f aca="false">Assumptions!E47</f>
        <v>21</v>
      </c>
      <c r="F14" s="4" t="n">
        <f aca="false">Assumptions!F47</f>
        <v>21</v>
      </c>
      <c r="G14" s="4" t="n">
        <f aca="false">Assumptions!G47</f>
        <v>21</v>
      </c>
      <c r="H14" s="4" t="n">
        <f aca="false">Assumptions!H47</f>
        <v>21</v>
      </c>
      <c r="I14" s="4" t="n">
        <f aca="false">Assumptions!I47</f>
        <v>21</v>
      </c>
      <c r="J14" s="4" t="n">
        <f aca="false">Assumptions!J47</f>
        <v>21</v>
      </c>
      <c r="K14" s="4" t="n">
        <f aca="false">Assumptions!K47</f>
        <v>21</v>
      </c>
      <c r="L14" s="4" t="n">
        <f aca="false">Assumptions!L47</f>
        <v>21</v>
      </c>
    </row>
    <row r="15" customFormat="false" ht="15" hidden="false" customHeight="false" outlineLevel="0" collapsed="false">
      <c r="A15" s="0" t="s">
        <v>118</v>
      </c>
      <c r="C15" s="0" t="n">
        <f aca="false">C13-MAX(0,C13)*C14/100</f>
        <v>15620.490765</v>
      </c>
      <c r="D15" s="0" t="n">
        <f aca="false">D13-MAX(0,D13)*D14/100</f>
        <v>17144.236356</v>
      </c>
      <c r="E15" s="0" t="n">
        <f aca="false">E13-MAX(0,E13)*E14/100</f>
        <v>18747.768160422</v>
      </c>
      <c r="F15" s="0" t="n">
        <f aca="false">F13-MAX(0,F13)*F14/100</f>
        <v>20480.9801964773</v>
      </c>
      <c r="G15" s="0" t="n">
        <f aca="false">G13-MAX(0,G13)*G14/100</f>
        <v>22249.2390807673</v>
      </c>
      <c r="H15" s="0" t="n">
        <f aca="false">H13-MAX(0,H13)*H14/100</f>
        <v>23867.122451424</v>
      </c>
      <c r="I15" s="0" t="n">
        <f aca="false">I13-MAX(0,I13)*I14/100</f>
        <v>24823.7728772123</v>
      </c>
      <c r="J15" s="0" t="n">
        <f aca="false">J13-MAX(0,J13)*J14/100</f>
        <v>25755.6913483473</v>
      </c>
      <c r="K15" s="0" t="n">
        <f aca="false">K13-MAX(0,K13)*K14/100</f>
        <v>26657.1405455395</v>
      </c>
      <c r="L15" s="0" t="n">
        <f aca="false">L13-MAX(0,L13)*L14/100</f>
        <v>27456.8547619057</v>
      </c>
    </row>
    <row r="16" customFormat="false" ht="15" hidden="false" customHeight="false" outlineLevel="0" collapsed="false">
      <c r="A16" s="0" t="s">
        <v>119</v>
      </c>
      <c r="C16" s="0" t="n">
        <f aca="false">-C12</f>
        <v>4568.793</v>
      </c>
      <c r="D16" s="0" t="n">
        <f aca="false">-D12</f>
        <v>5002.29708</v>
      </c>
      <c r="E16" s="0" t="n">
        <f aca="false">-E12</f>
        <v>5448.52471725</v>
      </c>
      <c r="F16" s="0" t="n">
        <f aca="false">-F12</f>
        <v>5903.779226958</v>
      </c>
      <c r="G16" s="0" t="n">
        <f aca="false">-G12</f>
        <v>6363.88897758071</v>
      </c>
      <c r="H16" s="0" t="n">
        <f aca="false">-H12</f>
        <v>6824.25541425676</v>
      </c>
      <c r="I16" s="0" t="n">
        <f aca="false">-I12</f>
        <v>7279.91663514619</v>
      </c>
      <c r="J16" s="0" t="n">
        <f aca="false">-J12</f>
        <v>7725.62581688984</v>
      </c>
      <c r="K16" s="0" t="n">
        <f aca="false">-K12</f>
        <v>7996.02272048098</v>
      </c>
      <c r="L16" s="0" t="n">
        <f aca="false">-L12</f>
        <v>8235.90340209541</v>
      </c>
    </row>
    <row r="17" customFormat="false" ht="15" hidden="false" customHeight="false" outlineLevel="0" collapsed="false">
      <c r="A17" s="0" t="s">
        <v>120</v>
      </c>
      <c r="C17" s="4" t="n">
        <f aca="false">-C6*Assumptions!C46/100</f>
        <v>-9350.088</v>
      </c>
      <c r="D17" s="4" t="n">
        <f aca="false">-D6*Assumptions!D46/100</f>
        <v>-9777.21702</v>
      </c>
      <c r="E17" s="4" t="n">
        <f aca="false">-E6*Assumptions!E46/100</f>
        <v>-10049.50114515</v>
      </c>
      <c r="F17" s="4" t="n">
        <f aca="false">-F6*Assumptions!F46/100</f>
        <v>-10267.44213384</v>
      </c>
      <c r="G17" s="4" t="n">
        <f aca="false">-G6*Assumptions!G46/100</f>
        <v>-10425.9457717812</v>
      </c>
      <c r="H17" s="4" t="n">
        <f aca="false">-H6*Assumptions!H46/100</f>
        <v>-10520.7270969792</v>
      </c>
      <c r="I17" s="4" t="n">
        <f aca="false">-I6*Assumptions!I46/100</f>
        <v>-10399.8809073517</v>
      </c>
      <c r="J17" s="4" t="n">
        <f aca="false">-J6*Assumptions!J46/100</f>
        <v>-10506.8511109702</v>
      </c>
      <c r="K17" s="4" t="n">
        <f aca="false">-K6*Assumptions!K46/100</f>
        <v>-10394.8295366253</v>
      </c>
      <c r="L17" s="4" t="n">
        <f aca="false">-L6*Assumptions!L46/100</f>
        <v>-10706.674422724</v>
      </c>
    </row>
    <row r="18" customFormat="false" ht="15" hidden="false" customHeight="false" outlineLevel="0" collapsed="false">
      <c r="A18" s="0" t="s">
        <v>121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122</v>
      </c>
      <c r="C19" s="0" t="n">
        <f aca="false">C15+C16+C17+C18</f>
        <v>10839.195765</v>
      </c>
      <c r="D19" s="0" t="n">
        <f aca="false">D15+D16+D17+D18</f>
        <v>12369.316416</v>
      </c>
      <c r="E19" s="0" t="n">
        <f aca="false">E15+E16+E17+E18</f>
        <v>14146.791732522</v>
      </c>
      <c r="F19" s="0" t="n">
        <f aca="false">F15+F16+F17+F18</f>
        <v>16117.3172895953</v>
      </c>
      <c r="G19" s="0" t="n">
        <f aca="false">G15+G16+G17+G18</f>
        <v>18187.1822865668</v>
      </c>
      <c r="H19" s="0" t="n">
        <f aca="false">H15+H16+H17+H18</f>
        <v>20170.6507687016</v>
      </c>
      <c r="I19" s="0" t="n">
        <f aca="false">I15+I16+I17+I18</f>
        <v>21703.8086050068</v>
      </c>
      <c r="J19" s="0" t="n">
        <f aca="false">J15+J16+J17+J18</f>
        <v>22974.466054267</v>
      </c>
      <c r="K19" s="0" t="n">
        <f aca="false">K15+K16+K17+K18</f>
        <v>24258.3337293952</v>
      </c>
      <c r="L19" s="0" t="n">
        <f aca="false">L15+L16+L17+L18</f>
        <v>24986.083741277</v>
      </c>
    </row>
    <row r="20" customFormat="false" ht="15" hidden="false" customHeight="false" outlineLevel="0" collapsed="false">
      <c r="A20" s="0" t="s">
        <v>123</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124</v>
      </c>
      <c r="C21" s="0" t="n">
        <f aca="false">C19*C20</f>
        <v>9990.0421797235</v>
      </c>
      <c r="D21" s="0" t="n">
        <f aca="false">D19*D20</f>
        <v>10507.1812236403</v>
      </c>
      <c r="E21" s="0" t="n">
        <f aca="false">E19*E20</f>
        <v>11075.6378142044</v>
      </c>
      <c r="F21" s="0" t="n">
        <f aca="false">F19*F20</f>
        <v>11629.8416875593</v>
      </c>
      <c r="G21" s="0" t="n">
        <f aca="false">G19*G20</f>
        <v>12095.3023421938</v>
      </c>
      <c r="H21" s="0" t="n">
        <f aca="false">H19*H20</f>
        <v>12363.5013626492</v>
      </c>
      <c r="I21" s="0" t="n">
        <f aca="false">I19*I20</f>
        <v>12261.0533930964</v>
      </c>
      <c r="J21" s="0" t="n">
        <f aca="false">J19*J20</f>
        <v>11962.1025520638</v>
      </c>
      <c r="K21" s="0" t="n">
        <f aca="false">K19*K20</f>
        <v>11641.0813137458</v>
      </c>
      <c r="L21" s="0" t="n">
        <f aca="false">L19*L20</f>
        <v>11050.9804176573</v>
      </c>
    </row>
    <row r="23" customFormat="false" ht="15" hidden="false" customHeight="false" outlineLevel="0" collapsed="false">
      <c r="A23" s="0" t="s">
        <v>100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126</v>
      </c>
    </row>
    <row r="27" customFormat="false" ht="15" hidden="false" customHeight="false" outlineLevel="0" collapsed="false">
      <c r="A27" s="0" t="s">
        <v>104</v>
      </c>
      <c r="B27" s="4" t="n">
        <f aca="false">Assumptions!$B$48</f>
        <v>8.5</v>
      </c>
    </row>
    <row r="28" customFormat="false" ht="15" hidden="false" customHeight="false" outlineLevel="0" collapsed="false">
      <c r="A28" s="0" t="s">
        <v>105</v>
      </c>
      <c r="B28" s="4" t="n">
        <f aca="false">Assumptions!$B$49</f>
        <v>3</v>
      </c>
    </row>
    <row r="29" customFormat="false" ht="15" hidden="false" customHeight="false" outlineLevel="0" collapsed="false">
      <c r="A29" s="0" t="s">
        <v>106</v>
      </c>
      <c r="B29" s="4" t="n">
        <f aca="false">Assumptions!$B$50</f>
        <v>17</v>
      </c>
    </row>
    <row r="30" customFormat="false" ht="15" hidden="false" customHeight="false" outlineLevel="0" collapsed="false">
      <c r="A30" s="0" t="s">
        <v>127</v>
      </c>
      <c r="B30" s="0" t="n">
        <f aca="false">SUM(C21:L21)</f>
        <v>114576.724286534</v>
      </c>
    </row>
    <row r="31" customFormat="false" ht="15" hidden="false" customHeight="false" outlineLevel="0" collapsed="false">
      <c r="A31" s="0" t="s">
        <v>128</v>
      </c>
      <c r="B31" s="0" t="n">
        <f aca="false">L19</f>
        <v>24986.083741277</v>
      </c>
    </row>
    <row r="32" customFormat="false" ht="15" hidden="false" customHeight="false" outlineLevel="0" collapsed="false">
      <c r="A32" s="0" t="s">
        <v>129</v>
      </c>
      <c r="B32" s="0" t="n">
        <f aca="false">IF(B27&gt;B28,B31*(1+B28/100)/((B27-B28)/100),B31*B29)</f>
        <v>467921.20460937</v>
      </c>
    </row>
    <row r="33" customFormat="false" ht="15" hidden="false" customHeight="false" outlineLevel="0" collapsed="false">
      <c r="A33" s="0" t="s">
        <v>130</v>
      </c>
      <c r="B33" s="0" t="n">
        <f aca="false">B31*B29</f>
        <v>424763.42360171</v>
      </c>
    </row>
    <row r="34" customFormat="false" ht="15" hidden="false" customHeight="false" outlineLevel="0" collapsed="false">
      <c r="A34" s="0" t="s">
        <v>131</v>
      </c>
      <c r="B34" s="0" t="n">
        <f aca="false">MAX(0,MIN(B32,B33))</f>
        <v>424763.42360171</v>
      </c>
    </row>
    <row r="35" customFormat="false" ht="15" hidden="false" customHeight="false" outlineLevel="0" collapsed="false">
      <c r="A35" s="0" t="s">
        <v>132</v>
      </c>
      <c r="B35" s="0" t="n">
        <f aca="false">B34/(1+B27/100)^L4</f>
        <v>187866.667100175</v>
      </c>
    </row>
    <row r="36" customFormat="false" ht="15" hidden="false" customHeight="false" outlineLevel="0" collapsed="false">
      <c r="A36" s="0" t="s">
        <v>133</v>
      </c>
      <c r="B36" s="0" t="n">
        <f aca="false">B30+B35</f>
        <v>302443.391386709</v>
      </c>
    </row>
    <row r="37" customFormat="false" ht="15" hidden="false" customHeight="false" outlineLevel="0" collapsed="false">
      <c r="A37" s="0" t="s">
        <v>134</v>
      </c>
      <c r="B37" s="0" t="n">
        <f aca="false">B36+Assumptions!$B$5-Assumptions!$B$4</f>
        <v>253587.391386709</v>
      </c>
    </row>
    <row r="38" customFormat="false" ht="15" hidden="false" customHeight="false" outlineLevel="0" collapsed="false">
      <c r="A38" s="0" t="s">
        <v>135</v>
      </c>
      <c r="B38" s="0" t="n">
        <f aca="false">B37/Assumptions!$B$3*Assumptions!$B$10</f>
        <v>145.489036940166</v>
      </c>
    </row>
    <row r="39" customFormat="false" ht="15" hidden="false" customHeight="false" outlineLevel="0" collapsed="false">
      <c r="A39" s="0" t="s">
        <v>136</v>
      </c>
      <c r="B39" s="4" t="n">
        <f aca="false">B38/Assumptions!$B$2-1</f>
        <v>0.370598558079752</v>
      </c>
    </row>
    <row r="41" customFormat="false" ht="15" hidden="false" customHeight="false" outlineLevel="0" collapsed="false">
      <c r="A41" s="0" t="s">
        <v>137</v>
      </c>
      <c r="B41" s="0" t="n">
        <f aca="false">SUMPRODUCT(-C10:L10/(1+$B$27/100)^C4:L4)</f>
        <v>12877.7283038002</v>
      </c>
    </row>
    <row r="42" customFormat="false" ht="15" hidden="false" customHeight="false" outlineLevel="0" collapsed="false">
      <c r="A42" s="0" t="s">
        <v>138</v>
      </c>
      <c r="B42" s="0" t="n">
        <f aca="false">IF(B27&gt;B28,-L10*(1+B28/100)/((B27-B28)/100),-L10*20)/(1+B27/100)^L4</f>
        <v>19100.5744517969</v>
      </c>
    </row>
    <row r="43" customFormat="false" ht="15" hidden="false" customHeight="false" outlineLevel="0" collapsed="false">
      <c r="A43" s="0" t="s">
        <v>139</v>
      </c>
      <c r="B43" s="0" t="n">
        <f aca="false">(B37+B41+B42)/Assumptions!$B$3*Assumptions!$B$10</f>
        <v>163.835739611191</v>
      </c>
    </row>
    <row r="45" customFormat="false" ht="15" hidden="false" customHeight="false" outlineLevel="0" collapsed="false">
      <c r="A45" s="0" t="s">
        <v>79</v>
      </c>
      <c r="B45" s="4" t="n">
        <f aca="false">Assumptions!$B$6</f>
        <v>15</v>
      </c>
    </row>
    <row r="46" customFormat="false" ht="15" hidden="false" customHeight="false" outlineLevel="0" collapsed="false">
      <c r="A46" s="0" t="s">
        <v>140</v>
      </c>
      <c r="B46" s="0" t="n">
        <f aca="false">MAX(0,MIN(IF(B45&gt;B28,B31*(1+B28/100)/((B45-B28)/100),B31*B29),B31*B29))</f>
        <v>214463.885445961</v>
      </c>
    </row>
    <row r="47" customFormat="false" ht="15" hidden="false" customHeight="false" outlineLevel="0" collapsed="false">
      <c r="A47" s="0" t="s">
        <v>141</v>
      </c>
      <c r="B47" s="0" t="n">
        <f aca="false">(SUMPRODUCT(C19:L19/(1+B45/100)^C4:L4)+B46/(1+B45/100)^L4+Assumptions!$B$5-Assumptions!$B$4)/Assumptions!$B$3*Assumptions!$B$10</f>
        <v>50.4621781004653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144</v>
      </c>
    </row>
    <row r="3" customFormat="false" ht="15" hidden="false" customHeight="false" outlineLevel="0" collapsed="false">
      <c r="A3" s="2" t="s">
        <v>145</v>
      </c>
      <c r="B3" s="2" t="s">
        <v>146</v>
      </c>
      <c r="C3" s="2" t="s">
        <v>136</v>
      </c>
      <c r="D3" s="2" t="s">
        <v>147</v>
      </c>
      <c r="E3" s="2" t="s">
        <v>139</v>
      </c>
      <c r="F3" s="2" t="s">
        <v>148</v>
      </c>
    </row>
    <row r="4" customFormat="false" ht="15" hidden="false" customHeight="false" outlineLevel="0" collapsed="false">
      <c r="A4" s="0" t="s">
        <v>149</v>
      </c>
      <c r="B4" s="4" t="n">
        <f aca="false">DCF_Bear!$B$38</f>
        <v>47.6742574224352</v>
      </c>
      <c r="C4" s="0" t="n">
        <f aca="false">B4/Assumptions!$B$2-1</f>
        <v>-0.550878403933724</v>
      </c>
      <c r="D4" s="4" t="n">
        <f aca="false">Assumptions!$B$24</f>
        <v>0.2</v>
      </c>
      <c r="E4" s="4" t="n">
        <f aca="false">DCF_Bear!$B$43</f>
        <v>60.8227426629868</v>
      </c>
      <c r="F4" s="4" t="n">
        <f aca="false">DCF_Bear!$B$47</f>
        <v>14.65290903327</v>
      </c>
    </row>
    <row r="5" customFormat="false" ht="15" hidden="false" customHeight="false" outlineLevel="0" collapsed="false">
      <c r="A5" s="0" t="s">
        <v>150</v>
      </c>
      <c r="B5" s="4" t="n">
        <f aca="false">DCF_Base!$B$38</f>
        <v>96.6344585566707</v>
      </c>
      <c r="C5" s="0" t="n">
        <f aca="false">B5/Assumptions!$B$2-1</f>
        <v>-0.0896424064373933</v>
      </c>
      <c r="D5" s="4" t="n">
        <f aca="false">Assumptions!$B$38</f>
        <v>0.5</v>
      </c>
      <c r="E5" s="4" t="n">
        <f aca="false">DCF_Base!$B$43</f>
        <v>112.602638298099</v>
      </c>
      <c r="F5" s="4" t="n">
        <f aca="false">DCF_Base!$B$47</f>
        <v>32.96342266081</v>
      </c>
    </row>
    <row r="6" customFormat="false" ht="15" hidden="false" customHeight="false" outlineLevel="0" collapsed="false">
      <c r="A6" s="0" t="s">
        <v>151</v>
      </c>
      <c r="B6" s="4" t="n">
        <f aca="false">DCF_Bull!$B$38</f>
        <v>145.489036940166</v>
      </c>
      <c r="C6" s="0" t="n">
        <f aca="false">B6/Assumptions!$B$2-1</f>
        <v>0.370598558079752</v>
      </c>
      <c r="D6" s="4" t="n">
        <f aca="false">Assumptions!$B$52</f>
        <v>0.3</v>
      </c>
      <c r="E6" s="4" t="n">
        <f aca="false">DCF_Bull!$B$43</f>
        <v>163.835739611191</v>
      </c>
      <c r="F6" s="4" t="n">
        <f aca="false">DCF_Bull!$B$47</f>
        <v>50.4621781004653</v>
      </c>
    </row>
    <row r="8" customFormat="false" ht="15" hidden="false" customHeight="false" outlineLevel="0" collapsed="false">
      <c r="A8" s="0" t="s">
        <v>152</v>
      </c>
      <c r="B8" s="0" t="n">
        <f aca="false">SUMPRODUCT(B4:B6,D4:D6)</f>
        <v>101.498791844872</v>
      </c>
    </row>
    <row r="9" customFormat="false" ht="15" hidden="false" customHeight="false" outlineLevel="0" collapsed="false">
      <c r="A9" s="0" t="s">
        <v>153</v>
      </c>
      <c r="B9" s="0" t="n">
        <f aca="false">SUMPRODUCT(E4:E6,D4:D6)</f>
        <v>117.616589565004</v>
      </c>
    </row>
    <row r="10" customFormat="false" ht="15" hidden="false" customHeight="false" outlineLevel="0" collapsed="false">
      <c r="A10" s="0" t="s">
        <v>154</v>
      </c>
      <c r="B10" s="0" t="n">
        <f aca="false">1-Assumptions!$B$2/B8</f>
        <v>-0.0458252563462698</v>
      </c>
    </row>
    <row r="11" customFormat="false" ht="15" hidden="false" customHeight="false" outlineLevel="0" collapsed="false">
      <c r="A11" s="0" t="s">
        <v>155</v>
      </c>
      <c r="B11" s="0" t="n">
        <f aca="false">IF(ABS(B9-B8)&gt;0.01*ABS(B8),(Assumptions!$B$2-B8)/(B9-B8)*100,"n/a")</f>
        <v>28.8575910672856</v>
      </c>
    </row>
    <row r="12" customFormat="false" ht="15" hidden="false" customHeight="false" outlineLevel="0" collapsed="false">
      <c r="A12" s="0" t="s">
        <v>156</v>
      </c>
      <c r="B12" s="0" t="n">
        <f aca="false">SUMPRODUCT(F4:F6,D4:D6)</f>
        <v>34.5509465671986</v>
      </c>
    </row>
    <row r="14" customFormat="false" ht="15" hidden="false" customHeight="false" outlineLevel="0" collapsed="false">
      <c r="A14" s="2" t="s">
        <v>157</v>
      </c>
      <c r="C14" s="0" t="s">
        <v>158</v>
      </c>
    </row>
    <row r="15" customFormat="false" ht="15" hidden="false" customHeight="false" outlineLevel="0" collapsed="false">
      <c r="A15" s="0" t="s">
        <v>159</v>
      </c>
      <c r="B15" s="0" t="n">
        <f aca="false">(SUMPRODUCT(DCF_Base!$C$19:$L$19/(1+$C$15/100)^DCF_Base!$C$4:$L$4)+MAX(0,MIN(IF($C$15&gt;DCF_Base!$B$28,DCF_Base!$L$19*(1+DCF_Base!$B$28/100)/(($C$15-DCF_Base!$B$28)/100),DCF_Base!$L$19*DCF_Base!$B$29),DCF_Base!$L$19*DCF_Base!$B$29))/(1+$C$15/100)^DCF_Base!$L$4+Assumptions!$B$5-Assumptions!$B$4)/Assumptions!$B$3*Assumptions!$B$10</f>
        <v>96.6344585566707</v>
      </c>
      <c r="C15" s="3" t="n">
        <v>8.5</v>
      </c>
    </row>
    <row r="16" customFormat="false" ht="15" hidden="false" customHeight="false" outlineLevel="0" collapsed="false">
      <c r="A16" s="0" t="s">
        <v>160</v>
      </c>
      <c r="B16" s="0" t="n">
        <f aca="false">(SUMPRODUCT(DCF_Base!$C$19:$L$19/(1+$C$16/100)^DCF_Base!$C$4:$L$4)+MAX(0,MIN(IF($C$16&gt;DCF_Base!$B$28,DCF_Base!$L$19*(1+DCF_Base!$B$28/100)/(($C$16-DCF_Base!$B$28)/100),DCF_Base!$L$19*DCF_Base!$B$29),DCF_Base!$L$19*DCF_Base!$B$29))/(1+$C$16/100)^DCF_Base!$L$4+Assumptions!$B$5-Assumptions!$B$4)/Assumptions!$B$3*Assumptions!$B$10</f>
        <v>92.1128631553076</v>
      </c>
      <c r="C16" s="3" t="n">
        <v>9</v>
      </c>
    </row>
    <row r="17" customFormat="false" ht="15" hidden="false" customHeight="false" outlineLevel="0" collapsed="false">
      <c r="A17" s="0" t="s">
        <v>161</v>
      </c>
      <c r="B17" s="0" t="n">
        <f aca="false">(SUMPRODUCT(DCF_Base!$C$19:$L$19/(1+$C$17/100)^DCF_Base!$C$4:$L$4)+MAX(0,MIN(IF($C$17&gt;DCF_Base!$B$28,DCF_Base!$L$19*(1+DCF_Base!$B$28/100)/(($C$17-DCF_Base!$B$28)/100),DCF_Base!$L$19*DCF_Base!$B$29),DCF_Base!$L$19*DCF_Base!$B$29))/(1+$C$17/100)^DCF_Base!$L$4+Assumptions!$B$5-Assumptions!$B$4)/Assumptions!$B$3*Assumptions!$B$10</f>
        <v>78.0926515330316</v>
      </c>
      <c r="C17" s="3" t="n">
        <v>10</v>
      </c>
    </row>
    <row r="18" customFormat="false" ht="15" hidden="false" customHeight="false" outlineLevel="0" collapsed="false">
      <c r="A18" s="0" t="s">
        <v>162</v>
      </c>
      <c r="B18" s="0" t="n">
        <f aca="false">(SUMPRODUCT(DCF_Base!$C$19:$L$19/(1+$C$18/100)^DCF_Base!$C$4:$L$4)+MAX(0,MIN(IF($C$18&gt;DCF_Base!$B$28,DCF_Base!$L$19*(1+DCF_Base!$B$28/100)/(($C$18-DCF_Base!$B$28)/100),DCF_Base!$L$19*DCF_Base!$B$29),DCF_Base!$L$19*DCF_Base!$B$29))/(1+$C$18/100)^DCF_Base!$L$4+Assumptions!$B$5-Assumptions!$B$4)/Assumptions!$B$3*Assumptions!$B$10</f>
        <v>64.7270192766572</v>
      </c>
      <c r="C18" s="3" t="n">
        <v>11</v>
      </c>
    </row>
    <row r="19" customFormat="false" ht="15" hidden="false" customHeight="false" outlineLevel="0" collapsed="false">
      <c r="A19" s="0" t="s">
        <v>163</v>
      </c>
      <c r="B19" s="0" t="n">
        <f aca="false">(SUMPRODUCT(DCF_Base!$C$19:$L$19/(1+$C$19/100)^DCF_Base!$C$4:$L$4)+MAX(0,MIN(IF($C$19&gt;DCF_Base!$B$28,DCF_Base!$L$19*(1+DCF_Base!$B$28/100)/(($C$19-DCF_Base!$B$28)/100),DCF_Base!$L$19*DCF_Base!$B$29),DCF_Base!$L$19*DCF_Base!$B$29))/(1+$C$19/100)^DCF_Base!$L$4+Assumptions!$B$5-Assumptions!$B$4)/Assumptions!$B$3*Assumptions!$B$10</f>
        <v>54.2195264123962</v>
      </c>
      <c r="C19" s="3" t="n">
        <v>12</v>
      </c>
    </row>
    <row r="20" customFormat="false" ht="15" hidden="false" customHeight="false" outlineLevel="0" collapsed="false">
      <c r="A20" s="0" t="s">
        <v>164</v>
      </c>
      <c r="B20" s="0" t="n">
        <f aca="false">(SUMPRODUCT(DCF_Base!$C$19:$L$19/(1+$C$20/100)^DCF_Base!$C$4:$L$4)+MAX(0,MIN(IF($C$20&gt;DCF_Base!$B$28,DCF_Base!$L$19*(1+DCF_Base!$B$28/100)/(($C$20-DCF_Base!$B$28)/100),DCF_Base!$L$19*DCF_Base!$B$29),DCF_Base!$L$19*DCF_Base!$B$29))/(1+$C$20/100)^DCF_Base!$L$4+Assumptions!$B$5-Assumptions!$B$4)/Assumptions!$B$3*Assumptions!$B$10</f>
        <v>32.96342266081</v>
      </c>
      <c r="C20" s="3" t="n">
        <v>15</v>
      </c>
    </row>
    <row r="22" customFormat="false" ht="15" hidden="false" customHeight="false" outlineLevel="0" collapsed="false">
      <c r="A22" s="2" t="s">
        <v>165</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117.001425367417</v>
      </c>
      <c r="C24" s="0" t="n">
        <f aca="false">(SUMPRODUCT(DCF_Base!$C$19:$L$19/(1+$A$24/100)^DCF_Base!$C$4:$L$4)+MAX(0,MIN(IF($A$24&gt;$C$23,DCF_Base!$L$19*(1+$C$23/100)/(($A$24-$C$23)/100),DCF_Base!$L$19*DCF_Base!$B$29),DCF_Base!$L$19*DCF_Base!$B$29))/(1+$A$24/100)^DCF_Base!$L$4+Assumptions!$B$5-Assumptions!$B$4)/Assumptions!$B$3*Assumptions!$B$10</f>
        <v>117.001425367417</v>
      </c>
      <c r="D24" s="0" t="n">
        <f aca="false">(SUMPRODUCT(DCF_Base!$C$19:$L$19/(1+$A$24/100)^DCF_Base!$C$4:$L$4)+MAX(0,MIN(IF($A$24&gt;$D$23,DCF_Base!$L$19*(1+$D$23/100)/(($A$24-$D$23)/100),DCF_Base!$L$19*DCF_Base!$B$29),DCF_Base!$L$19*DCF_Base!$B$29))/(1+$A$24/100)^DCF_Base!$L$4+Assumptions!$B$5-Assumptions!$B$4)/Assumptions!$B$3*Assumptions!$B$10</f>
        <v>117.001425367417</v>
      </c>
      <c r="E24" s="0" t="n">
        <f aca="false">(SUMPRODUCT(DCF_Base!$C$19:$L$19/(1+$A$24/100)^DCF_Base!$C$4:$L$4)+MAX(0,MIN(IF($A$24&gt;$E$23,DCF_Base!$L$19*(1+$E$23/100)/(($A$24-$E$23)/100),DCF_Base!$L$19*DCF_Base!$B$29),DCF_Base!$L$19*DCF_Base!$B$29))/(1+$A$24/100)^DCF_Base!$L$4+Assumptions!$B$5-Assumptions!$B$4)/Assumptions!$B$3*Assumptions!$B$10</f>
        <v>117.001425367417</v>
      </c>
      <c r="F24" s="0" t="n">
        <f aca="false">(SUMPRODUCT(DCF_Base!$C$19:$L$19/(1+$A$24/100)^DCF_Base!$C$4:$L$4)+MAX(0,MIN(IF($A$24&gt;$F$23,DCF_Base!$L$19*(1+$F$23/100)/(($A$24-$F$23)/100),DCF_Base!$L$19*DCF_Base!$B$29),DCF_Base!$L$19*DCF_Base!$B$29))/(1+$A$24/100)^DCF_Base!$L$4+Assumptions!$B$5-Assumptions!$B$4)/Assumptions!$B$3*Assumptions!$B$10</f>
        <v>117.001425367417</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106.337208645846</v>
      </c>
      <c r="C25" s="0" t="n">
        <f aca="false">(SUMPRODUCT(DCF_Base!$C$19:$L$19/(1+$A$25/100)^DCF_Base!$C$4:$L$4)+MAX(0,MIN(IF($A$25&gt;$C$23,DCF_Base!$L$19*(1+$C$23/100)/(($A$25-$C$23)/100),DCF_Base!$L$19*DCF_Base!$B$29),DCF_Base!$L$19*DCF_Base!$B$29))/(1+$A$25/100)^DCF_Base!$L$4+Assumptions!$B$5-Assumptions!$B$4)/Assumptions!$B$3*Assumptions!$B$10</f>
        <v>106.337208645846</v>
      </c>
      <c r="D25" s="0" t="n">
        <f aca="false">(SUMPRODUCT(DCF_Base!$C$19:$L$19/(1+$A$25/100)^DCF_Base!$C$4:$L$4)+MAX(0,MIN(IF($A$25&gt;$D$23,DCF_Base!$L$19*(1+$D$23/100)/(($A$25-$D$23)/100),DCF_Base!$L$19*DCF_Base!$B$29),DCF_Base!$L$19*DCF_Base!$B$29))/(1+$A$25/100)^DCF_Base!$L$4+Assumptions!$B$5-Assumptions!$B$4)/Assumptions!$B$3*Assumptions!$B$10</f>
        <v>106.337208645846</v>
      </c>
      <c r="E25" s="0" t="n">
        <f aca="false">(SUMPRODUCT(DCF_Base!$C$19:$L$19/(1+$A$25/100)^DCF_Base!$C$4:$L$4)+MAX(0,MIN(IF($A$25&gt;$E$23,DCF_Base!$L$19*(1+$E$23/100)/(($A$25-$E$23)/100),DCF_Base!$L$19*DCF_Base!$B$29),DCF_Base!$L$19*DCF_Base!$B$29))/(1+$A$25/100)^DCF_Base!$L$4+Assumptions!$B$5-Assumptions!$B$4)/Assumptions!$B$3*Assumptions!$B$10</f>
        <v>106.337208645846</v>
      </c>
      <c r="F25" s="0" t="n">
        <f aca="false">(SUMPRODUCT(DCF_Base!$C$19:$L$19/(1+$A$25/100)^DCF_Base!$C$4:$L$4)+MAX(0,MIN(IF($A$25&gt;$F$23,DCF_Base!$L$19*(1+$F$23/100)/(($A$25-$F$23)/100),DCF_Base!$L$19*DCF_Base!$B$29),DCF_Base!$L$19*DCF_Base!$B$29))/(1+$A$25/100)^DCF_Base!$L$4+Assumptions!$B$5-Assumptions!$B$4)/Assumptions!$B$3*Assumptions!$B$10</f>
        <v>106.337208645846</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94.2335528448321</v>
      </c>
      <c r="C26" s="0" t="n">
        <f aca="false">(SUMPRODUCT(DCF_Base!$C$19:$L$19/(1+$A$26/100)^DCF_Base!$C$4:$L$4)+MAX(0,MIN(IF($A$26&gt;$C$23,DCF_Base!$L$19*(1+$C$23/100)/(($A$26-$C$23)/100),DCF_Base!$L$19*DCF_Base!$B$29),DCF_Base!$L$19*DCF_Base!$B$29))/(1+$A$26/100)^DCF_Base!$L$4+Assumptions!$B$5-Assumptions!$B$4)/Assumptions!$B$3*Assumptions!$B$10</f>
        <v>96.6344585566707</v>
      </c>
      <c r="D26" s="0" t="n">
        <f aca="false">(SUMPRODUCT(DCF_Base!$C$19:$L$19/(1+$A$26/100)^DCF_Base!$C$4:$L$4)+MAX(0,MIN(IF($A$26&gt;$D$23,DCF_Base!$L$19*(1+$D$23/100)/(($A$26-$D$23)/100),DCF_Base!$L$19*DCF_Base!$B$29),DCF_Base!$L$19*DCF_Base!$B$29))/(1+$A$26/100)^DCF_Base!$L$4+Assumptions!$B$5-Assumptions!$B$4)/Assumptions!$B$3*Assumptions!$B$10</f>
        <v>96.6344585566707</v>
      </c>
      <c r="E26" s="0" t="n">
        <f aca="false">(SUMPRODUCT(DCF_Base!$C$19:$L$19/(1+$A$26/100)^DCF_Base!$C$4:$L$4)+MAX(0,MIN(IF($A$26&gt;$E$23,DCF_Base!$L$19*(1+$E$23/100)/(($A$26-$E$23)/100),DCF_Base!$L$19*DCF_Base!$B$29),DCF_Base!$L$19*DCF_Base!$B$29))/(1+$A$26/100)^DCF_Base!$L$4+Assumptions!$B$5-Assumptions!$B$4)/Assumptions!$B$3*Assumptions!$B$10</f>
        <v>96.6344585566707</v>
      </c>
      <c r="F26" s="0" t="n">
        <f aca="false">(SUMPRODUCT(DCF_Base!$C$19:$L$19/(1+$A$26/100)^DCF_Base!$C$4:$L$4)+MAX(0,MIN(IF($A$26&gt;$F$23,DCF_Base!$L$19*(1+$F$23/100)/(($A$26-$F$23)/100),DCF_Base!$L$19*DCF_Base!$B$29),DCF_Base!$L$19*DCF_Base!$B$29))/(1+$A$26/100)^DCF_Base!$L$4+Assumptions!$B$5-Assumptions!$B$4)/Assumptions!$B$3*Assumptions!$B$10</f>
        <v>96.6344585566707</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77.6653127716342</v>
      </c>
      <c r="C27" s="0" t="n">
        <f aca="false">(SUMPRODUCT(DCF_Base!$C$19:$L$19/(1+$A$27/100)^DCF_Base!$C$4:$L$4)+MAX(0,MIN(IF($A$27&gt;$C$23,DCF_Base!$L$19*(1+$C$23/100)/(($A$27-$C$23)/100),DCF_Base!$L$19*DCF_Base!$B$29),DCF_Base!$L$19*DCF_Base!$B$29))/(1+$A$27/100)^DCF_Base!$L$4+Assumptions!$B$5-Assumptions!$B$4)/Assumptions!$B$3*Assumptions!$B$10</f>
        <v>81.6628651577951</v>
      </c>
      <c r="D27" s="0" t="n">
        <f aca="false">(SUMPRODUCT(DCF_Base!$C$19:$L$19/(1+$A$27/100)^DCF_Base!$C$4:$L$4)+MAX(0,MIN(IF($A$27&gt;$D$23,DCF_Base!$L$19*(1+$D$23/100)/(($A$27-$D$23)/100),DCF_Base!$L$19*DCF_Base!$B$29),DCF_Base!$L$19*DCF_Base!$B$29))/(1+$A$27/100)^DCF_Base!$L$4+Assumptions!$B$5-Assumptions!$B$4)/Assumptions!$B$3*Assumptions!$B$10</f>
        <v>86.2314964562646</v>
      </c>
      <c r="E27" s="0" t="n">
        <f aca="false">(SUMPRODUCT(DCF_Base!$C$19:$L$19/(1+$A$27/100)^DCF_Base!$C$4:$L$4)+MAX(0,MIN(IF($A$27&gt;$E$23,DCF_Base!$L$19*(1+$E$23/100)/(($A$27-$E$23)/100),DCF_Base!$L$19*DCF_Base!$B$29),DCF_Base!$L$19*DCF_Base!$B$29))/(1+$A$27/100)^DCF_Base!$L$4+Assumptions!$B$5-Assumptions!$B$4)/Assumptions!$B$3*Assumptions!$B$10</f>
        <v>87.7960962160145</v>
      </c>
      <c r="F27" s="0" t="n">
        <f aca="false">(SUMPRODUCT(DCF_Base!$C$19:$L$19/(1+$A$27/100)^DCF_Base!$C$4:$L$4)+MAX(0,MIN(IF($A$27&gt;$F$23,DCF_Base!$L$19*(1+$F$23/100)/(($A$27-$F$23)/100),DCF_Base!$L$19*DCF_Base!$B$29),DCF_Base!$L$19*DCF_Base!$B$29))/(1+$A$27/100)^DCF_Base!$L$4+Assumptions!$B$5-Assumptions!$B$4)/Assumptions!$B$3*Assumptions!$B$10</f>
        <v>87.7960962160145</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64.8461664023609</v>
      </c>
      <c r="C28" s="0" t="n">
        <f aca="false">(SUMPRODUCT(DCF_Base!$C$19:$L$19/(1+$A$28/100)^DCF_Base!$C$4:$L$4)+MAX(0,MIN(IF($A$28&gt;$C$23,DCF_Base!$L$19*(1+$C$23/100)/(($A$28-$C$23)/100),DCF_Base!$L$19*DCF_Base!$B$29),DCF_Base!$L$19*DCF_Base!$B$29))/(1+$A$28/100)^DCF_Base!$L$4+Assumptions!$B$5-Assumptions!$B$4)/Assumptions!$B$3*Assumptions!$B$10</f>
        <v>67.7351864086541</v>
      </c>
      <c r="D28" s="0" t="n">
        <f aca="false">(SUMPRODUCT(DCF_Base!$C$19:$L$19/(1+$A$28/100)^DCF_Base!$C$4:$L$4)+MAX(0,MIN(IF($A$28&gt;$D$23,DCF_Base!$L$19*(1+$D$23/100)/(($A$28-$D$23)/100),DCF_Base!$L$19*DCF_Base!$B$29),DCF_Base!$L$19*DCF_Base!$B$29))/(1+$A$28/100)^DCF_Base!$L$4+Assumptions!$B$5-Assumptions!$B$4)/Assumptions!$B$3*Assumptions!$B$10</f>
        <v>70.985333915734</v>
      </c>
      <c r="E28" s="0" t="n">
        <f aca="false">(SUMPRODUCT(DCF_Base!$C$19:$L$19/(1+$A$28/100)^DCF_Base!$C$4:$L$4)+MAX(0,MIN(IF($A$28&gt;$E$23,DCF_Base!$L$19*(1+$E$23/100)/(($A$28-$E$23)/100),DCF_Base!$L$19*DCF_Base!$B$29),DCF_Base!$L$19*DCF_Base!$B$29))/(1+$A$28/100)^DCF_Base!$L$4+Assumptions!$B$5-Assumptions!$B$4)/Assumptions!$B$3*Assumptions!$B$10</f>
        <v>74.6688344237579</v>
      </c>
      <c r="F28" s="0" t="n">
        <f aca="false">(SUMPRODUCT(DCF_Base!$C$19:$L$19/(1+$A$28/100)^DCF_Base!$C$4:$L$4)+MAX(0,MIN(IF($A$28&gt;$F$23,DCF_Base!$L$19*(1+$F$23/100)/(($A$28-$F$23)/100),DCF_Base!$L$19*DCF_Base!$B$29),DCF_Base!$L$19*DCF_Base!$B$29))/(1+$A$28/100)^DCF_Base!$L$4+Assumptions!$B$5-Assumptions!$B$4)/Assumptions!$B$3*Assumptions!$B$10</f>
        <v>78.8785492900708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2026-09-26T01:31:12Z</dcterms:created>
  <dc:creator>openpyxl</dc:creator>
  <dc:description/>
  <dc:language>en-NZ</dc:language>
  <cp:lastModifiedBy/>
  <dcterms:modified xsi:type="dcterms:W3CDTF">2026-09-26T01:31:12Z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