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<sst xmlns="http://schemas.openxmlformats.org/spreadsheetml/2006/main" count="354" uniqueCount="163">
  <si>
    <t xml:space="preserve">Ticker</t>
  </si>
  <si>
    <t xml:space="preserve">0270.HK</t>
  </si>
  <si>
    <t xml:space="preserve">Company</t>
  </si>
  <si>
    <t xml:space="preserve">Guangdong Investment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</si>
  <si>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</si>
  <si>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</si>
  <si>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</si>
  <si>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</si>
  <si>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regular close (HKEX, Yahoo chart API regularMarketTime; quote currency HKD confirmed, same as reporting currency)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</si>
  <si>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</si>
  <si>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</si>
  <si>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</si>
  <si>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</si>
  <si>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</si>
  <si>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</si>
  <si>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</si>
  <si>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</si>
  <si>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</si>
  <si>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</si>
  <si>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</si>
  <si>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</si>
  <si>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2026-10-10T21:46:47Z</t>
  </si>
  <si>
    <t xml:space="preserve">Drivers file</t>
  </si>
  <si>
    <t xml:space="preserve">0270.HK_Drivers.json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</si>
  <si>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</si>
  <si>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</si>
  <si>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</si>
  <si>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an attributable basis (NCI folded into the leakage rate), SBC-zero, leases as debt, cash and RMB bank deposits netted against borrowings, with associates and the cooperative-arrangement receivable added at book. The decisive judgment is the August-2030 expiry of the Dongshen operating right, which is modelled explicitly as a FY2031 step in each scenario rather than buried in a terminal multiple; the terminal value then assumes the extended concession persists, capped at 11-15x owner FCF.
key_risks_to_valuation: Dongshen operating right ends 18-Aug-2030 unless extended; on expiry assets revert to the Guangdong Provincial Government without compensation - a full reversion would remove roughly half of group profit; Hong Kong Water Supply Agreement 2024-2026 expires; the 2027+ terms (price escalation, pay-for-actual-use) set Dongshen revenue for the rest of the decade; RMB/HKD translation: most assets, cash and ~79% of debt are RMB; a weaker RMB lowers HKD-reported flows; SOE related-party capital allocation (acquisitions from parent Guangdong Holdings, e.g. Shantou/Yangjiang water Dec-2025); NCI leakage calibrated on one clean year (FY2025); a mix shift toward partly-owned mainland water raises it</t>
  </si>
  <si>
    <t xml:space="preserve">Data sources</t>
  </si>
  <si>
    <t xml:space="preserve">price: Yahoo Finance chart API at inputs.price_as_of; 52-week range 6.63-9.03; quote currency HKD
financials: 0270.HK Annual Reports FY2018-FY2025 and Interim Reports H1 FY2024-H1 FY2026 (Extracted/*.txt); FY2025 AR consolidated income statement, cash flow statement, note 4 segments, note 19 service concession arrangements; H1 FY2026 interim balance sheet and note 11; 0270.HK_Metrics.csv
qualitative: 0270.HK_Analysis.json (bull/bear points, HK water agreement renewal risk, RMB mismatch); FY2025 AR MD&amp;A on the Dongshen Water Supply Project</t>
  </si>
  <si>
    <t xml:space="preserve">Scenario narrative: bear</t>
  </si>
  <si>
    <t xml:space="preserve">Hong Kong shifts to pay-for-actual-use in the 2027+ agreement and the 2030 Dongshen renewal hands roughly half the project's economics back to the province: FY2031 revenue -15%, margin ~46%, growth thereafter ~1.5%. Full no-compensation reversion is a further tail not in this case.</t>
  </si>
  <si>
    <t xml:space="preserve">Scenario narrative: base</t>
  </si>
  <si>
    <t xml:space="preserve">Dongshen operating right (expires 18-Aug-2030) is extended by the controlling Guangdong provincial government with a ~10% haircut to project economics; HK water price escalates ~2.4%/yr through the 2027-2029 agreement; mainland water grows through bolt-on and parent-sourced acquisitions; non-water segments stagnate. Attributable owner FCF ~HK$5.7bn in FY2026 growing ~2-3%.</t>
  </si>
  <si>
    <t xml:space="preserve">Scenario narrative: bull</t>
  </si>
  <si>
    <t xml:space="preserve">Extension on unchanged terms, continued 2.4-2.5% price escalation, accretive asset injections from Guangdong Holdings and RMB strength lift growth to 3-4.5% with margin expanding to 55% as department stores fade out of the mix.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</si>
  <si>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</si>
  <si>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</si>
  <si>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</si>
  <si>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</si>
  <si>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</si>
  <si>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</si>
  <si>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</si>
  <si>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</si>
  <si>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</si>
  <si>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</si>
  <si>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</si>
  <si>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</si>
  <si>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</si>
  <si>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</si>
  <si>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</si>
  <si>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</si>
  <si>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</si>
  <si>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</si>
  <si>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</si>
  <si>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</si>
  <si>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</si>
  <si>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</si>
  <si>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</si>
  <si>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</si>
  <si>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</si>
  <si>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</si>
  <si>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</si>
  <si>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</si>
  <si>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</si>
  <si>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</si>
  <si>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</si>
  <si>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</si>
  <si>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</si>
  <si>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</si>
  <si>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</si>
  <si>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</si>
  <si>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</si>
  <si>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</si>
  <si>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</si>
  <si>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</si>
  <si>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</si>
  <si>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</si>
  <si>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</si>
  <si>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</si>
  <si>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</si>
  <si>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</si>
  <si>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</si>
  <si>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</si>
  <si>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</si>
  <si>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</si>
  <si>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</si>
  <si>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</si>
  <si>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</si>
  <si>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</si>
  <si>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</si>
  <si>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</si>
  <si>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</si>
  <si>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</si>
  <si>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</si>
  <si>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</si>
  <si>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</si>
  <si>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</si>
  <si>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</si>
  <si>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</si>
  <si>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</si>
  <si>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</si>
  <si>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</si>
  <si>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</si>
  <si>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</si>
  <si>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</si>
  <si>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</si>
  <si>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</si>
  <si>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0270.HK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</si>
  <si>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</si>
  <si>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</si>
  <si>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</si>
  <si>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</si>
  <si>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</si>
  <si>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</si>
  <si>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</si>
  <si>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</si>
  <si>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</si>
  <si>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</si>
  <si>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</si>
  <si>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</si>
  <si>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</si>
  <si>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</si>
  <si>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</si>
  <si>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</si>
  <si>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</si>
  <si>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</si>
  <si>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</si>
  <si>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</si>
  <si>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</si>
  <si>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</si>
  <si>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</si>
  <si>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</si>
  <si>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</si>
  <si>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</si>
  <si>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</si>
  <si>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</si>
  <si>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</si>
  <si>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</si>
  <si>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0270.HK owner-FCF component DCF: base case (millions, HKD)</t>
  </si>
  <si>
    <t xml:space="preserve">0270.HK owner-FCF component DCF: bull case (millions, HKD)</t>
  </si>
  <si>
    <t xml:space="preserve">0270.HK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</si>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</sst>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8.79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13363.6</v>
      </c>
      <c r="C2" s="0" t="n">
        <v>5696.3</v>
      </c>
      <c r="D2" s="0" t="n">
        <v>7667.3</v>
      </c>
      <c r="E2" s="0" t="n">
        <v>57.4</v>
      </c>
      <c r="F2" s="0" t="n">
        <v>6908</v>
      </c>
      <c r="G2" s="0" t="n">
        <v>51.7</v>
      </c>
      <c r="H2" s="0" t="n">
        <v>8436.9</v>
      </c>
      <c r="I2" s="0" t="n">
        <v>5015.119</v>
      </c>
      <c r="J2" s="0" t="n">
        <v>37.5</v>
      </c>
      <c r="K2" s="0" t="n">
        <v>0.7668</v>
      </c>
      <c r="L2" s="0" t="n">
        <v>6327.346</v>
      </c>
      <c r="M2" s="0" t="n">
        <v>1471.38</v>
      </c>
      <c r="N2" s="0" t="n">
        <v>4855.966</v>
      </c>
      <c r="O2" s="0" t="n">
        <v>40372.255</v>
      </c>
      <c r="P2" s="0" t="n">
        <v>73182.4</v>
      </c>
      <c r="Q2" s="0" t="n">
        <v>23722</v>
      </c>
      <c r="R2" s="0" t="n">
        <v>8857.007</v>
      </c>
      <c r="S2" s="0" t="n">
        <v>7645.121</v>
      </c>
      <c r="T2" s="0" t="n">
        <v>6540.29</v>
      </c>
      <c r="U2" s="0" t="n">
        <v>0.109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16691.209</v>
      </c>
      <c r="C3" s="0" t="n">
        <v>7932.879</v>
      </c>
      <c r="D3" s="0" t="n">
        <v>8758.33</v>
      </c>
      <c r="E3" s="0" t="n">
        <v>52.5</v>
      </c>
      <c r="F3" s="0" t="n">
        <v>7558.2</v>
      </c>
      <c r="G3" s="0" t="n">
        <v>45.3</v>
      </c>
      <c r="H3" s="0" t="n">
        <v>9053.6</v>
      </c>
      <c r="I3" s="0" t="n">
        <v>5044.37</v>
      </c>
      <c r="J3" s="0" t="n">
        <v>30.2</v>
      </c>
      <c r="K3" s="0" t="n">
        <v>0.7716</v>
      </c>
      <c r="L3" s="0" t="n">
        <v>6639.71</v>
      </c>
      <c r="M3" s="0" t="n">
        <v>2375.07</v>
      </c>
      <c r="N3" s="0" t="n">
        <v>4264.64</v>
      </c>
      <c r="O3" s="0" t="n">
        <v>41156.367</v>
      </c>
      <c r="P3" s="0" t="n">
        <v>76424.5</v>
      </c>
      <c r="Q3" s="0" t="n">
        <v>25731.5</v>
      </c>
      <c r="R3" s="0" t="n">
        <v>8137.278</v>
      </c>
      <c r="S3" s="0" t="n">
        <v>12346.768</v>
      </c>
      <c r="T3" s="0" t="n">
        <v>6537.821</v>
      </c>
      <c r="U3" s="0" t="n">
        <v>0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23173.322</v>
      </c>
      <c r="C4" s="0" t="n">
        <v>13789.293</v>
      </c>
      <c r="D4" s="0" t="n">
        <v>9384.029</v>
      </c>
      <c r="E4" s="0" t="n">
        <v>40.5</v>
      </c>
      <c r="F4" s="0" t="n">
        <v>8276.9</v>
      </c>
      <c r="G4" s="0" t="n">
        <v>35.7</v>
      </c>
      <c r="H4" s="0" t="n">
        <v>9855.2</v>
      </c>
      <c r="I4" s="0" t="n">
        <v>4509.944</v>
      </c>
      <c r="J4" s="0" t="n">
        <v>19.5</v>
      </c>
      <c r="K4" s="0" t="n">
        <v>0.6898</v>
      </c>
      <c r="L4" s="0" t="n">
        <v>3412.73</v>
      </c>
      <c r="M4" s="0" t="n">
        <v>3723.164</v>
      </c>
      <c r="N4" s="0" t="n">
        <v>-310.434</v>
      </c>
      <c r="O4" s="0" t="n">
        <v>44227.798</v>
      </c>
      <c r="P4" s="0" t="n">
        <v>89600.5</v>
      </c>
      <c r="Q4" s="0" t="n">
        <v>33644.6</v>
      </c>
      <c r="R4" s="0" t="n">
        <v>11201.845</v>
      </c>
      <c r="S4" s="0" t="n">
        <v>10367.484</v>
      </c>
      <c r="T4" s="0" t="n">
        <v>6537.821</v>
      </c>
      <c r="U4" s="0" t="n">
        <v>0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29715.492</v>
      </c>
      <c r="C5" s="0" t="n">
        <v>18077.696</v>
      </c>
      <c r="D5" s="0" t="n">
        <v>11637.796</v>
      </c>
      <c r="E5" s="0" t="n">
        <v>39.2</v>
      </c>
      <c r="F5" s="0" t="n">
        <v>9040.1</v>
      </c>
      <c r="G5" s="0" t="n">
        <v>30.4</v>
      </c>
      <c r="H5" s="0" t="n">
        <v>10902.7</v>
      </c>
      <c r="I5" s="0" t="n">
        <v>4696.962</v>
      </c>
      <c r="J5" s="0" t="n">
        <v>15.8</v>
      </c>
      <c r="K5" s="0" t="n">
        <v>0.7184</v>
      </c>
      <c r="L5" s="0" t="n">
        <v>-4939.254</v>
      </c>
      <c r="M5" s="0" t="n">
        <v>5099.831</v>
      </c>
      <c r="N5" s="0" t="n">
        <v>-10039.085</v>
      </c>
      <c r="O5" s="0" t="n">
        <v>46210.698</v>
      </c>
      <c r="P5" s="0" t="n">
        <v>130031</v>
      </c>
      <c r="Q5" s="0" t="n">
        <v>68125.9</v>
      </c>
      <c r="R5" s="0" t="n">
        <v>28741.353</v>
      </c>
      <c r="S5" s="0" t="n">
        <v>9595.1</v>
      </c>
      <c r="T5" s="0" t="n">
        <v>6537.821</v>
      </c>
      <c r="U5" s="0" t="n">
        <v>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23196.238</v>
      </c>
      <c r="C6" s="0" t="n">
        <v>13373.075</v>
      </c>
      <c r="D6" s="0" t="n">
        <v>9823.163</v>
      </c>
      <c r="E6" s="0" t="n">
        <v>42.3</v>
      </c>
      <c r="F6" s="0" t="n">
        <v>8059.5</v>
      </c>
      <c r="G6" s="0" t="n">
        <v>34.7</v>
      </c>
      <c r="H6" s="0" t="n">
        <v>10092.4</v>
      </c>
      <c r="I6" s="0" t="n">
        <v>4763.503</v>
      </c>
      <c r="J6" s="0" t="n">
        <v>20.5</v>
      </c>
      <c r="K6" s="0" t="n">
        <v>0.7286</v>
      </c>
      <c r="L6" s="0" t="n">
        <v>-1398.848</v>
      </c>
      <c r="M6" s="0" t="n">
        <v>3612.569</v>
      </c>
      <c r="N6" s="0" t="n">
        <v>-5011.417</v>
      </c>
      <c r="O6" s="0" t="n">
        <v>43328.642</v>
      </c>
      <c r="P6" s="0" t="n">
        <v>133515</v>
      </c>
      <c r="Q6" s="0" t="n">
        <v>75005.3</v>
      </c>
      <c r="R6" s="0" t="n">
        <v>40735.588</v>
      </c>
      <c r="S6" s="0" t="n">
        <v>8938.12</v>
      </c>
      <c r="T6" s="0" t="n">
        <v>6537.821</v>
      </c>
      <c r="U6" s="0" t="n">
        <v>0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24199.894</v>
      </c>
      <c r="C7" s="0" t="n">
        <v>14124.708</v>
      </c>
      <c r="D7" s="0" t="n">
        <v>10075.186</v>
      </c>
      <c r="E7" s="0" t="n">
        <v>41.6</v>
      </c>
      <c r="F7" s="0" t="n">
        <v>5699.9</v>
      </c>
      <c r="G7" s="0" t="n">
        <v>23.6</v>
      </c>
      <c r="H7" s="0" t="n">
        <v>8158.1</v>
      </c>
      <c r="I7" s="0" t="n">
        <v>3122.069</v>
      </c>
      <c r="J7" s="0" t="n">
        <v>12.9</v>
      </c>
      <c r="K7" s="0" t="n">
        <v>0.4775</v>
      </c>
      <c r="L7" s="0" t="n">
        <v>10710.554</v>
      </c>
      <c r="M7" s="0" t="n">
        <v>1771.114</v>
      </c>
      <c r="N7" s="0" t="n">
        <v>8939.44</v>
      </c>
      <c r="O7" s="0" t="n">
        <v>41802.21</v>
      </c>
      <c r="P7" s="0" t="n">
        <v>139966</v>
      </c>
      <c r="Q7" s="0" t="n">
        <v>81936.3</v>
      </c>
      <c r="R7" s="0" t="n">
        <v>42427.676</v>
      </c>
      <c r="S7" s="0" t="n">
        <v>12593.616</v>
      </c>
      <c r="T7" s="0" t="n">
        <v>6537.821</v>
      </c>
      <c r="U7" s="0" t="n">
        <v>0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18505.293</v>
      </c>
      <c r="C8" s="0" t="n">
        <v>8682.832</v>
      </c>
      <c r="D8" s="0" t="n">
        <v>9822.461</v>
      </c>
      <c r="E8" s="0" t="n">
        <v>53.1</v>
      </c>
      <c r="F8" s="0" t="n">
        <v>7241.4</v>
      </c>
      <c r="G8" s="0" t="n">
        <v>39.1</v>
      </c>
      <c r="H8" s="0" t="n">
        <v>9693.5</v>
      </c>
      <c r="I8" s="0" t="n">
        <v>3142.138</v>
      </c>
      <c r="J8" s="0" t="n">
        <v>17</v>
      </c>
      <c r="K8" s="0" t="n">
        <v>0.4806</v>
      </c>
      <c r="L8" s="0" t="n">
        <v>11085.708</v>
      </c>
      <c r="M8" s="0" t="n">
        <v>1550.553</v>
      </c>
      <c r="N8" s="0" t="n">
        <v>9535.155</v>
      </c>
      <c r="O8" s="0" t="n">
        <v>41658.024</v>
      </c>
      <c r="P8" s="0" t="n">
        <v>135595.4</v>
      </c>
      <c r="Q8" s="0" t="n">
        <v>78919.9</v>
      </c>
      <c r="R8" s="0" t="n">
        <v>23862.005</v>
      </c>
      <c r="S8" s="0" t="n">
        <v>12154.029</v>
      </c>
      <c r="T8" s="0" t="n">
        <v>6537.821</v>
      </c>
      <c r="U8" s="0" t="n">
        <v>0</v>
      </c>
      <c r="V8" s="0" t="n">
        <v>0.3124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18824.908</v>
      </c>
      <c r="C9" s="0" t="n">
        <v>8790.6</v>
      </c>
      <c r="D9" s="0" t="n">
        <v>10034.308</v>
      </c>
      <c r="E9" s="0" t="n">
        <v>53.3</v>
      </c>
      <c r="F9" s="0" t="n">
        <v>7768.3</v>
      </c>
      <c r="G9" s="0" t="n">
        <v>41.3</v>
      </c>
      <c r="H9" s="0" t="n">
        <v>10231.4</v>
      </c>
      <c r="I9" s="0" t="n">
        <v>4656.261</v>
      </c>
      <c r="J9" s="0" t="n">
        <v>24.7</v>
      </c>
      <c r="K9" s="0" t="n">
        <v>0.7122</v>
      </c>
      <c r="L9" s="0" t="n">
        <v>8805.423</v>
      </c>
      <c r="M9" s="0" t="n">
        <v>1757.831</v>
      </c>
      <c r="N9" s="0" t="n">
        <v>7047.592</v>
      </c>
      <c r="O9" s="0" t="n">
        <v>42924.328</v>
      </c>
      <c r="P9" s="0" t="n">
        <v>101741.1</v>
      </c>
      <c r="Q9" s="0" t="n">
        <v>43602</v>
      </c>
      <c r="R9" s="0" t="n">
        <v>21611.592</v>
      </c>
      <c r="S9" s="0" t="n">
        <v>14783.332</v>
      </c>
      <c r="T9" s="0" t="n">
        <v>6537.821</v>
      </c>
      <c r="U9" s="0" t="n">
        <v>0</v>
      </c>
      <c r="V9" s="0" t="n">
        <v>0.4629</v>
      </c>
      <c r="AA9" s="0" t="s">
        <v>17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8.79</v>
      </c>
    </row>
    <row r="3" customFormat="false" ht="15" hidden="false" customHeight="false" outlineLevel="0" collapsed="false">
      <c r="A3" s="0" t="s">
        <v>74</v>
      </c>
      <c r="B3" s="3" t="n">
        <v>6537.821</v>
      </c>
    </row>
    <row r="4" customFormat="false" ht="15" hidden="false" customHeight="false" outlineLevel="0" collapsed="false">
      <c r="A4" s="0" t="s">
        <v>75</v>
      </c>
      <c r="B4" s="3" t="n">
        <v>1384</v>
      </c>
    </row>
    <row r="5" customFormat="false" ht="15" hidden="false" customHeight="false" outlineLevel="0" collapsed="false">
      <c r="A5" s="0" t="s">
        <v>76</v>
      </c>
      <c r="B5" s="3" t="n">
        <v>2484.3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18824.9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6</v>
      </c>
      <c r="D13" s="3" t="n">
        <v>2</v>
      </c>
      <c r="E13" s="3" t="n">
        <v>1.5</v>
      </c>
      <c r="F13" s="3" t="n">
        <v>1.5</v>
      </c>
      <c r="G13" s="3" t="n">
        <v>1</v>
      </c>
      <c r="H13" s="3" t="n">
        <v>-15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95</v>
      </c>
      <c r="C14" s="3" t="n">
        <v>53</v>
      </c>
      <c r="D14" s="3" t="n">
        <v>52.5</v>
      </c>
      <c r="E14" s="3" t="n">
        <v>52</v>
      </c>
      <c r="F14" s="3" t="n">
        <v>52</v>
      </c>
      <c r="G14" s="3" t="n">
        <v>51.5</v>
      </c>
      <c r="H14" s="3" t="n">
        <v>46</v>
      </c>
      <c r="I14" s="3" t="n">
        <v>46</v>
      </c>
      <c r="J14" s="3" t="n">
        <v>46</v>
      </c>
      <c r="K14" s="3" t="n">
        <v>46</v>
      </c>
      <c r="L14" s="3" t="n">
        <v>46</v>
      </c>
    </row>
    <row r="15" customFormat="false" ht="15" hidden="false" customHeight="false" outlineLevel="0" collapsed="false">
      <c r="A15" s="0" t="s">
        <v>96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98</v>
      </c>
      <c r="C17" s="3" t="n">
        <v>13</v>
      </c>
      <c r="D17" s="3" t="n">
        <v>13</v>
      </c>
      <c r="E17" s="3" t="n">
        <v>12.8</v>
      </c>
      <c r="F17" s="3" t="n">
        <v>12.6</v>
      </c>
      <c r="G17" s="3" t="n">
        <v>12.4</v>
      </c>
      <c r="H17" s="3" t="n">
        <v>12</v>
      </c>
      <c r="I17" s="3" t="n">
        <v>11.5</v>
      </c>
      <c r="J17" s="3" t="n">
        <v>11</v>
      </c>
      <c r="K17" s="3" t="n">
        <v>10.5</v>
      </c>
      <c r="L17" s="3" t="n">
        <v>10.5</v>
      </c>
    </row>
    <row r="18" customFormat="false" ht="15" hidden="false" customHeight="false" outlineLevel="0" collapsed="false">
      <c r="A18" s="0" t="s">
        <v>99</v>
      </c>
      <c r="C18" s="3" t="n">
        <v>10</v>
      </c>
      <c r="D18" s="3" t="n">
        <v>10</v>
      </c>
      <c r="E18" s="3" t="n">
        <v>10</v>
      </c>
      <c r="F18" s="3" t="n">
        <v>10</v>
      </c>
      <c r="G18" s="3" t="n">
        <v>10</v>
      </c>
      <c r="H18" s="3" t="n">
        <v>10.5</v>
      </c>
      <c r="I18" s="3" t="n">
        <v>11</v>
      </c>
      <c r="J18" s="3" t="n">
        <v>11</v>
      </c>
      <c r="K18" s="3" t="n">
        <v>11</v>
      </c>
      <c r="L18" s="3" t="n">
        <v>11</v>
      </c>
    </row>
    <row r="19" customFormat="false" ht="15" hidden="false" customHeight="false" outlineLevel="0" collapsed="false">
      <c r="A19" s="0" t="s">
        <v>100</v>
      </c>
      <c r="C19" s="3" t="n">
        <v>37</v>
      </c>
      <c r="D19" s="3" t="n">
        <v>37</v>
      </c>
      <c r="E19" s="3" t="n">
        <v>37</v>
      </c>
      <c r="F19" s="3" t="n">
        <v>37</v>
      </c>
      <c r="G19" s="3" t="n">
        <v>37</v>
      </c>
      <c r="H19" s="3" t="n">
        <v>37</v>
      </c>
      <c r="I19" s="3" t="n">
        <v>37</v>
      </c>
      <c r="J19" s="3" t="n">
        <v>37</v>
      </c>
      <c r="K19" s="3" t="n">
        <v>37</v>
      </c>
      <c r="L19" s="3" t="n">
        <v>37</v>
      </c>
    </row>
    <row r="20" customFormat="false" ht="15" hidden="false" customHeight="false" outlineLevel="0" collapsed="false">
      <c r="A20" s="0" t="s">
        <v>101</v>
      </c>
      <c r="B20" s="3" t="n">
        <v>8</v>
      </c>
    </row>
    <row r="21" customFormat="false" ht="15" hidden="false" customHeight="false" outlineLevel="0" collapsed="false">
      <c r="A21" s="0" t="s">
        <v>102</v>
      </c>
      <c r="B21" s="3" t="n">
        <v>1.5</v>
      </c>
    </row>
    <row r="22" customFormat="false" ht="15" hidden="false" customHeight="false" outlineLevel="0" collapsed="false">
      <c r="A22" s="0" t="s">
        <v>103</v>
      </c>
      <c r="B22" s="3" t="n">
        <v>11</v>
      </c>
    </row>
    <row r="23" customFormat="false" ht="15" hidden="false" customHeight="false" outlineLevel="0" collapsed="false">
      <c r="A23" s="0" t="s">
        <v>104</v>
      </c>
      <c r="B23" s="3" t="n">
        <v>-10</v>
      </c>
    </row>
    <row r="24" customFormat="false" ht="15" hidden="false" customHeight="false" outlineLevel="0" collapsed="false">
      <c r="A24" s="0" t="s">
        <v>105</v>
      </c>
      <c r="B24" s="3" t="n">
        <v>0.25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7</v>
      </c>
      <c r="D27" s="3" t="n">
        <v>3.5</v>
      </c>
      <c r="E27" s="3" t="n">
        <v>3</v>
      </c>
      <c r="F27" s="3" t="n">
        <v>3</v>
      </c>
      <c r="G27" s="3" t="n">
        <v>3</v>
      </c>
      <c r="H27" s="3" t="n">
        <v>-3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95</v>
      </c>
      <c r="C28" s="3" t="n">
        <v>53.5</v>
      </c>
      <c r="D28" s="3" t="n">
        <v>53.5</v>
      </c>
      <c r="E28" s="3" t="n">
        <v>53.5</v>
      </c>
      <c r="F28" s="3" t="n">
        <v>53.5</v>
      </c>
      <c r="G28" s="3" t="n">
        <v>53.5</v>
      </c>
      <c r="H28" s="3" t="n">
        <v>52</v>
      </c>
      <c r="I28" s="3" t="n">
        <v>52</v>
      </c>
      <c r="J28" s="3" t="n">
        <v>52</v>
      </c>
      <c r="K28" s="3" t="n">
        <v>52</v>
      </c>
      <c r="L28" s="3" t="n">
        <v>52</v>
      </c>
    </row>
    <row r="29" customFormat="false" ht="15" hidden="false" customHeight="false" outlineLevel="0" collapsed="false">
      <c r="A29" s="0" t="s">
        <v>96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98</v>
      </c>
      <c r="C31" s="3" t="n">
        <v>13</v>
      </c>
      <c r="D31" s="3" t="n">
        <v>13</v>
      </c>
      <c r="E31" s="3" t="n">
        <v>12.8</v>
      </c>
      <c r="F31" s="3" t="n">
        <v>12.6</v>
      </c>
      <c r="G31" s="3" t="n">
        <v>12.4</v>
      </c>
      <c r="H31" s="3" t="n">
        <v>12</v>
      </c>
      <c r="I31" s="3" t="n">
        <v>11.5</v>
      </c>
      <c r="J31" s="3" t="n">
        <v>11</v>
      </c>
      <c r="K31" s="3" t="n">
        <v>10.5</v>
      </c>
      <c r="L31" s="3" t="n">
        <v>10.5</v>
      </c>
    </row>
    <row r="32" customFormat="false" ht="15" hidden="false" customHeight="false" outlineLevel="0" collapsed="false">
      <c r="A32" s="0" t="s">
        <v>99</v>
      </c>
      <c r="C32" s="3" t="n">
        <v>9.5</v>
      </c>
      <c r="D32" s="3" t="n">
        <v>9.5</v>
      </c>
      <c r="E32" s="3" t="n">
        <v>9.5</v>
      </c>
      <c r="F32" s="3" t="n">
        <v>9.5</v>
      </c>
      <c r="G32" s="3" t="n">
        <v>9.5</v>
      </c>
      <c r="H32" s="3" t="n">
        <v>10</v>
      </c>
      <c r="I32" s="3" t="n">
        <v>10.5</v>
      </c>
      <c r="J32" s="3" t="n">
        <v>10.5</v>
      </c>
      <c r="K32" s="3" t="n">
        <v>11</v>
      </c>
      <c r="L32" s="3" t="n">
        <v>11</v>
      </c>
    </row>
    <row r="33" customFormat="false" ht="15" hidden="false" customHeight="false" outlineLevel="0" collapsed="false">
      <c r="A33" s="0" t="s">
        <v>100</v>
      </c>
      <c r="C33" s="3" t="n">
        <v>36</v>
      </c>
      <c r="D33" s="3" t="n">
        <v>36</v>
      </c>
      <c r="E33" s="3" t="n">
        <v>36</v>
      </c>
      <c r="F33" s="3" t="n">
        <v>36</v>
      </c>
      <c r="G33" s="3" t="n">
        <v>36</v>
      </c>
      <c r="H33" s="3" t="n">
        <v>36</v>
      </c>
      <c r="I33" s="3" t="n">
        <v>36</v>
      </c>
      <c r="J33" s="3" t="n">
        <v>36</v>
      </c>
      <c r="K33" s="3" t="n">
        <v>36</v>
      </c>
      <c r="L33" s="3" t="n">
        <v>36</v>
      </c>
    </row>
    <row r="34" customFormat="false" ht="15" hidden="false" customHeight="false" outlineLevel="0" collapsed="false">
      <c r="A34" s="0" t="s">
        <v>101</v>
      </c>
      <c r="B34" s="3" t="n">
        <v>8</v>
      </c>
    </row>
    <row r="35" customFormat="false" ht="15" hidden="false" customHeight="false" outlineLevel="0" collapsed="false">
      <c r="A35" s="0" t="s">
        <v>102</v>
      </c>
      <c r="B35" s="3" t="n">
        <v>2</v>
      </c>
    </row>
    <row r="36" customFormat="false" ht="15" hidden="false" customHeight="false" outlineLevel="0" collapsed="false">
      <c r="A36" s="0" t="s">
        <v>103</v>
      </c>
      <c r="B36" s="3" t="n">
        <v>13</v>
      </c>
    </row>
    <row r="37" customFormat="false" ht="15" hidden="false" customHeight="false" outlineLevel="0" collapsed="false">
      <c r="A37" s="0" t="s">
        <v>104</v>
      </c>
      <c r="B37" s="3" t="n">
        <v>-10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8</v>
      </c>
      <c r="D41" s="3" t="n">
        <v>4.5</v>
      </c>
      <c r="E41" s="3" t="n">
        <v>4.5</v>
      </c>
      <c r="F41" s="3" t="n">
        <v>4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95</v>
      </c>
      <c r="C42" s="3" t="n">
        <v>54</v>
      </c>
      <c r="D42" s="3" t="n">
        <v>54</v>
      </c>
      <c r="E42" s="3" t="n">
        <v>54.5</v>
      </c>
      <c r="F42" s="3" t="n">
        <v>54.5</v>
      </c>
      <c r="G42" s="3" t="n">
        <v>55</v>
      </c>
      <c r="H42" s="3" t="n">
        <v>55</v>
      </c>
      <c r="I42" s="3" t="n">
        <v>55</v>
      </c>
      <c r="J42" s="3" t="n">
        <v>55</v>
      </c>
      <c r="K42" s="3" t="n">
        <v>55</v>
      </c>
      <c r="L42" s="3" t="n">
        <v>55</v>
      </c>
    </row>
    <row r="43" customFormat="false" ht="15" hidden="false" customHeight="false" outlineLevel="0" collapsed="false">
      <c r="A43" s="0" t="s">
        <v>96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98</v>
      </c>
      <c r="C45" s="3" t="n">
        <v>13</v>
      </c>
      <c r="D45" s="3" t="n">
        <v>13</v>
      </c>
      <c r="E45" s="3" t="n">
        <v>12.8</v>
      </c>
      <c r="F45" s="3" t="n">
        <v>12.6</v>
      </c>
      <c r="G45" s="3" t="n">
        <v>12.4</v>
      </c>
      <c r="H45" s="3" t="n">
        <v>12</v>
      </c>
      <c r="I45" s="3" t="n">
        <v>11.5</v>
      </c>
      <c r="J45" s="3" t="n">
        <v>11</v>
      </c>
      <c r="K45" s="3" t="n">
        <v>10.5</v>
      </c>
      <c r="L45" s="3" t="n">
        <v>10.5</v>
      </c>
    </row>
    <row r="46" customFormat="false" ht="15" hidden="false" customHeight="false" outlineLevel="0" collapsed="false">
      <c r="A46" s="0" t="s">
        <v>99</v>
      </c>
      <c r="C46" s="3" t="n">
        <v>9.5</v>
      </c>
      <c r="D46" s="3" t="n">
        <v>9.5</v>
      </c>
      <c r="E46" s="3" t="n">
        <v>9.5</v>
      </c>
      <c r="F46" s="3" t="n">
        <v>9.5</v>
      </c>
      <c r="G46" s="3" t="n">
        <v>9.5</v>
      </c>
      <c r="H46" s="3" t="n">
        <v>10</v>
      </c>
      <c r="I46" s="3" t="n">
        <v>10</v>
      </c>
      <c r="J46" s="3" t="n">
        <v>10</v>
      </c>
      <c r="K46" s="3" t="n">
        <v>10.5</v>
      </c>
      <c r="L46" s="3" t="n">
        <v>10.5</v>
      </c>
    </row>
    <row r="47" customFormat="false" ht="15" hidden="false" customHeight="false" outlineLevel="0" collapsed="false">
      <c r="A47" s="0" t="s">
        <v>100</v>
      </c>
      <c r="C47" s="3" t="n">
        <v>35</v>
      </c>
      <c r="D47" s="3" t="n">
        <v>35</v>
      </c>
      <c r="E47" s="3" t="n">
        <v>35</v>
      </c>
      <c r="F47" s="3" t="n">
        <v>35</v>
      </c>
      <c r="G47" s="3" t="n">
        <v>35</v>
      </c>
      <c r="H47" s="3" t="n">
        <v>35</v>
      </c>
      <c r="I47" s="3" t="n">
        <v>35</v>
      </c>
      <c r="J47" s="3" t="n">
        <v>35</v>
      </c>
      <c r="K47" s="3" t="n">
        <v>35</v>
      </c>
      <c r="L47" s="3" t="n">
        <v>35</v>
      </c>
    </row>
    <row r="48" customFormat="false" ht="15" hidden="false" customHeight="false" outlineLevel="0" collapsed="false">
      <c r="A48" s="0" t="s">
        <v>101</v>
      </c>
      <c r="B48" s="3" t="n">
        <v>8</v>
      </c>
    </row>
    <row r="49" customFormat="false" ht="15" hidden="false" customHeight="false" outlineLevel="0" collapsed="false">
      <c r="A49" s="0" t="s">
        <v>102</v>
      </c>
      <c r="B49" s="3" t="n">
        <v>2.5</v>
      </c>
    </row>
    <row r="50" customFormat="false" ht="15" hidden="false" customHeight="false" outlineLevel="0" collapsed="false">
      <c r="A50" s="0" t="s">
        <v>103</v>
      </c>
      <c r="B50" s="3" t="n">
        <v>15</v>
      </c>
    </row>
    <row r="51" customFormat="false" ht="15" hidden="false" customHeight="false" outlineLevel="0" collapsed="false">
      <c r="A51" s="0" t="s">
        <v>104</v>
      </c>
      <c r="B51" s="3" t="n">
        <v>-10</v>
      </c>
    </row>
    <row r="52" customFormat="false" ht="15" hidden="false" customHeight="false" outlineLevel="0" collapsed="false">
      <c r="A52" s="0" t="s">
        <v>105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6</v>
      </c>
      <c r="D5" s="4" t="n">
        <f aca="false">Assumptions!D13</f>
        <v>2</v>
      </c>
      <c r="E5" s="4" t="n">
        <f aca="false">Assumptions!E13</f>
        <v>1.5</v>
      </c>
      <c r="F5" s="4" t="n">
        <f aca="false">Assumptions!F13</f>
        <v>1.5</v>
      </c>
      <c r="G5" s="4" t="n">
        <f aca="false">Assumptions!G13</f>
        <v>1</v>
      </c>
      <c r="H5" s="4" t="n">
        <f aca="false">Assumptions!H13</f>
        <v>-15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18824.9</v>
      </c>
      <c r="C6" s="0" t="n">
        <f aca="false">B6*(1+C5/100)</f>
        <v>19954.394</v>
      </c>
      <c r="D6" s="0" t="n">
        <f aca="false">C6*(1+D5/100)</f>
        <v>20353.48188</v>
      </c>
      <c r="E6" s="0" t="n">
        <f aca="false">D6*(1+E5/100)</f>
        <v>20658.7841082</v>
      </c>
      <c r="F6" s="0" t="n">
        <f aca="false">E6*(1+F5/100)</f>
        <v>20968.665869823</v>
      </c>
      <c r="G6" s="0" t="n">
        <f aca="false">F6*(1+G5/100)</f>
        <v>21178.3525285212</v>
      </c>
      <c r="H6" s="0" t="n">
        <f aca="false">G6*(1+H5/100)</f>
        <v>18001.599649243</v>
      </c>
      <c r="I6" s="0" t="n">
        <f aca="false">H6*(1+I5/100)</f>
        <v>18271.6236439817</v>
      </c>
      <c r="J6" s="0" t="n">
        <f aca="false">I6*(1+J5/100)</f>
        <v>18545.6979986414</v>
      </c>
      <c r="K6" s="0" t="n">
        <f aca="false">J6*(1+K5/100)</f>
        <v>18823.883468621</v>
      </c>
      <c r="L6" s="0" t="n">
        <f aca="false">K6*(1+L5/100)</f>
        <v>19106.2417206503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53</v>
      </c>
      <c r="D7" s="4" t="n">
        <f aca="false">Assumptions!D14</f>
        <v>52.5</v>
      </c>
      <c r="E7" s="4" t="n">
        <f aca="false">Assumptions!E14</f>
        <v>52</v>
      </c>
      <c r="F7" s="4" t="n">
        <f aca="false">Assumptions!F14</f>
        <v>52</v>
      </c>
      <c r="G7" s="4" t="n">
        <f aca="false">Assumptions!G14</f>
        <v>51.5</v>
      </c>
      <c r="H7" s="4" t="n">
        <f aca="false">Assumptions!H14</f>
        <v>46</v>
      </c>
      <c r="I7" s="4" t="n">
        <f aca="false">Assumptions!I14</f>
        <v>46</v>
      </c>
      <c r="J7" s="4" t="n">
        <f aca="false">Assumptions!J14</f>
        <v>46</v>
      </c>
      <c r="K7" s="4" t="n">
        <f aca="false">Assumptions!K14</f>
        <v>46</v>
      </c>
      <c r="L7" s="4" t="n">
        <f aca="false">Assumptions!L14</f>
        <v>46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10575.82882</v>
      </c>
      <c r="D8" s="0" t="n">
        <f aca="false">D6*D7/100</f>
        <v>10685.577987</v>
      </c>
      <c r="E8" s="0" t="n">
        <f aca="false">E6*E7/100</f>
        <v>10742.567736264</v>
      </c>
      <c r="F8" s="0" t="n">
        <f aca="false">F6*F7/100</f>
        <v>10903.706252308</v>
      </c>
      <c r="G8" s="0" t="n">
        <f aca="false">G6*G7/100</f>
        <v>10906.8515521884</v>
      </c>
      <c r="H8" s="0" t="n">
        <f aca="false">H6*H7/100</f>
        <v>8280.7358386518</v>
      </c>
      <c r="I8" s="0" t="n">
        <f aca="false">I6*I7/100</f>
        <v>8404.94687623158</v>
      </c>
      <c r="J8" s="0" t="n">
        <f aca="false">J6*J7/100</f>
        <v>8531.02107937505</v>
      </c>
      <c r="K8" s="0" t="n">
        <f aca="false">K6*K7/100</f>
        <v>8658.98639556567</v>
      </c>
      <c r="L8" s="0" t="n">
        <f aca="false">L6*L7/100</f>
        <v>8788.87119149916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10575.82882</v>
      </c>
      <c r="D11" s="0" t="n">
        <f aca="false">D8+D10+D24</f>
        <v>10685.577987</v>
      </c>
      <c r="E11" s="0" t="n">
        <f aca="false">E8+E10+E24</f>
        <v>10742.567736264</v>
      </c>
      <c r="F11" s="0" t="n">
        <f aca="false">F8+F10+F24</f>
        <v>10903.706252308</v>
      </c>
      <c r="G11" s="0" t="n">
        <f aca="false">G8+G10+G24</f>
        <v>10906.8515521884</v>
      </c>
      <c r="H11" s="0" t="n">
        <f aca="false">H8+H10+H24</f>
        <v>8280.7358386518</v>
      </c>
      <c r="I11" s="0" t="n">
        <f aca="false">I8+I10+I24</f>
        <v>8404.94687623158</v>
      </c>
      <c r="J11" s="0" t="n">
        <f aca="false">J8+J10+J24</f>
        <v>8531.02107937505</v>
      </c>
      <c r="K11" s="0" t="n">
        <f aca="false">K8+K10+K24</f>
        <v>8658.98639556567</v>
      </c>
      <c r="L11" s="0" t="n">
        <f aca="false">L8+L10+L24</f>
        <v>8788.87119149916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-2594.07122</v>
      </c>
      <c r="D12" s="4" t="n">
        <f aca="false">-D6*Assumptions!D17/100</f>
        <v>-2645.9526444</v>
      </c>
      <c r="E12" s="4" t="n">
        <f aca="false">-E6*Assumptions!E17/100</f>
        <v>-2644.3243658496</v>
      </c>
      <c r="F12" s="4" t="n">
        <f aca="false">-F6*Assumptions!F17/100</f>
        <v>-2642.0518995977</v>
      </c>
      <c r="G12" s="4" t="n">
        <f aca="false">-G6*Assumptions!G17/100</f>
        <v>-2626.11571353663</v>
      </c>
      <c r="H12" s="4" t="n">
        <f aca="false">-H6*Assumptions!H17/100</f>
        <v>-2160.19195790917</v>
      </c>
      <c r="I12" s="4" t="n">
        <f aca="false">-I6*Assumptions!I17/100</f>
        <v>-2101.23671905789</v>
      </c>
      <c r="J12" s="4" t="n">
        <f aca="false">-J6*Assumptions!J17/100</f>
        <v>-2040.02677985056</v>
      </c>
      <c r="K12" s="4" t="n">
        <f aca="false">-K6*Assumptions!K17/100</f>
        <v>-1976.50776420521</v>
      </c>
      <c r="L12" s="4" t="n">
        <f aca="false">-L6*Assumptions!L17/100</f>
        <v>-2006.15538066829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7981.7576</v>
      </c>
      <c r="D13" s="0" t="n">
        <f aca="false">D11+D12</f>
        <v>8039.6253426</v>
      </c>
      <c r="E13" s="0" t="n">
        <f aca="false">E11+E12</f>
        <v>8098.2433704144</v>
      </c>
      <c r="F13" s="0" t="n">
        <f aca="false">F11+F12</f>
        <v>8261.65435271026</v>
      </c>
      <c r="G13" s="0" t="n">
        <f aca="false">G11+G12</f>
        <v>8280.7358386518</v>
      </c>
      <c r="H13" s="0" t="n">
        <f aca="false">H11+H12</f>
        <v>6120.54388074263</v>
      </c>
      <c r="I13" s="0" t="n">
        <f aca="false">I11+I12</f>
        <v>6303.71015717368</v>
      </c>
      <c r="J13" s="0" t="n">
        <f aca="false">J11+J12</f>
        <v>6490.99429952449</v>
      </c>
      <c r="K13" s="0" t="n">
        <f aca="false">K11+K12</f>
        <v>6682.47863136047</v>
      </c>
      <c r="L13" s="0" t="n">
        <f aca="false">L11+L12</f>
        <v>6782.71581083087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37</v>
      </c>
      <c r="D14" s="4" t="n">
        <f aca="false">Assumptions!D19</f>
        <v>37</v>
      </c>
      <c r="E14" s="4" t="n">
        <f aca="false">Assumptions!E19</f>
        <v>37</v>
      </c>
      <c r="F14" s="4" t="n">
        <f aca="false">Assumptions!F19</f>
        <v>37</v>
      </c>
      <c r="G14" s="4" t="n">
        <f aca="false">Assumptions!G19</f>
        <v>37</v>
      </c>
      <c r="H14" s="4" t="n">
        <f aca="false">Assumptions!H19</f>
        <v>37</v>
      </c>
      <c r="I14" s="4" t="n">
        <f aca="false">Assumptions!I19</f>
        <v>37</v>
      </c>
      <c r="J14" s="4" t="n">
        <f aca="false">Assumptions!J19</f>
        <v>37</v>
      </c>
      <c r="K14" s="4" t="n">
        <f aca="false">Assumptions!K19</f>
        <v>37</v>
      </c>
      <c r="L14" s="4" t="n">
        <f aca="false">Assumptions!L19</f>
        <v>37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5028.507288</v>
      </c>
      <c r="D15" s="0" t="n">
        <f aca="false">D13-MAX(0,D13)*D14/100</f>
        <v>5064.963965838</v>
      </c>
      <c r="E15" s="0" t="n">
        <f aca="false">E13-MAX(0,E13)*E14/100</f>
        <v>5101.89332336107</v>
      </c>
      <c r="F15" s="0" t="n">
        <f aca="false">F13-MAX(0,F13)*F14/100</f>
        <v>5204.84224220746</v>
      </c>
      <c r="G15" s="0" t="n">
        <f aca="false">G13-MAX(0,G13)*G14/100</f>
        <v>5216.86357835063</v>
      </c>
      <c r="H15" s="0" t="n">
        <f aca="false">H13-MAX(0,H13)*H14/100</f>
        <v>3855.94264486786</v>
      </c>
      <c r="I15" s="0" t="n">
        <f aca="false">I13-MAX(0,I13)*I14/100</f>
        <v>3971.33739901942</v>
      </c>
      <c r="J15" s="0" t="n">
        <f aca="false">J13-MAX(0,J13)*J14/100</f>
        <v>4089.32640870043</v>
      </c>
      <c r="K15" s="0" t="n">
        <f aca="false">K13-MAX(0,K13)*K14/100</f>
        <v>4209.96153775709</v>
      </c>
      <c r="L15" s="0" t="n">
        <f aca="false">L13-MAX(0,L13)*L14/100</f>
        <v>4273.11096082345</v>
      </c>
    </row>
    <row r="16" customFormat="false" ht="15" hidden="false" customHeight="false" outlineLevel="0" collapsed="false">
      <c r="A16" s="0" t="s">
        <v>116</v>
      </c>
      <c r="C16" s="0" t="n">
        <f aca="false">-C12</f>
        <v>2594.07122</v>
      </c>
      <c r="D16" s="0" t="n">
        <f aca="false">-D12</f>
        <v>2645.9526444</v>
      </c>
      <c r="E16" s="0" t="n">
        <f aca="false">-E12</f>
        <v>2644.3243658496</v>
      </c>
      <c r="F16" s="0" t="n">
        <f aca="false">-F12</f>
        <v>2642.0518995977</v>
      </c>
      <c r="G16" s="0" t="n">
        <f aca="false">-G12</f>
        <v>2626.11571353663</v>
      </c>
      <c r="H16" s="0" t="n">
        <f aca="false">-H12</f>
        <v>2160.19195790917</v>
      </c>
      <c r="I16" s="0" t="n">
        <f aca="false">-I12</f>
        <v>2101.23671905789</v>
      </c>
      <c r="J16" s="0" t="n">
        <f aca="false">-J12</f>
        <v>2040.02677985056</v>
      </c>
      <c r="K16" s="0" t="n">
        <f aca="false">-K12</f>
        <v>1976.50776420521</v>
      </c>
      <c r="L16" s="0" t="n">
        <f aca="false">-L12</f>
        <v>2006.15538066829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-1995.4394</v>
      </c>
      <c r="D17" s="4" t="n">
        <f aca="false">-D6*Assumptions!D18/100</f>
        <v>-2035.348188</v>
      </c>
      <c r="E17" s="4" t="n">
        <f aca="false">-E6*Assumptions!E18/100</f>
        <v>-2065.87841082</v>
      </c>
      <c r="F17" s="4" t="n">
        <f aca="false">-F6*Assumptions!F18/100</f>
        <v>-2096.8665869823</v>
      </c>
      <c r="G17" s="4" t="n">
        <f aca="false">-G6*Assumptions!G18/100</f>
        <v>-2117.83525285212</v>
      </c>
      <c r="H17" s="4" t="n">
        <f aca="false">-H6*Assumptions!H18/100</f>
        <v>-1890.16796317052</v>
      </c>
      <c r="I17" s="4" t="n">
        <f aca="false">-I6*Assumptions!I18/100</f>
        <v>-2009.87860083799</v>
      </c>
      <c r="J17" s="4" t="n">
        <f aca="false">-J6*Assumptions!J18/100</f>
        <v>-2040.02677985056</v>
      </c>
      <c r="K17" s="4" t="n">
        <f aca="false">-K6*Assumptions!K18/100</f>
        <v>-2070.62718154831</v>
      </c>
      <c r="L17" s="4" t="n">
        <f aca="false">-L6*Assumptions!L18/100</f>
        <v>-2101.68658927154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-112.9494</v>
      </c>
      <c r="D18" s="4" t="n">
        <f aca="false">(D6-C6)*Assumptions!$B$23/100</f>
        <v>-39.9087879999999</v>
      </c>
      <c r="E18" s="4" t="n">
        <f aca="false">(E6-D6)*Assumptions!$B$23/100</f>
        <v>-30.5302228199998</v>
      </c>
      <c r="F18" s="4" t="n">
        <f aca="false">(F6-E6)*Assumptions!$B$23/100</f>
        <v>-30.9881761622997</v>
      </c>
      <c r="G18" s="4" t="n">
        <f aca="false">(G6-F6)*Assumptions!$B$23/100</f>
        <v>-20.9686658698229</v>
      </c>
      <c r="H18" s="4" t="n">
        <f aca="false">(H6-G6)*Assumptions!$B$23/100</f>
        <v>317.675287927819</v>
      </c>
      <c r="I18" s="4" t="n">
        <f aca="false">(I6-H6)*Assumptions!$B$23/100</f>
        <v>-27.0023994738644</v>
      </c>
      <c r="J18" s="4" t="n">
        <f aca="false">(J6-I6)*Assumptions!$B$23/100</f>
        <v>-27.4074354659722</v>
      </c>
      <c r="K18" s="4" t="n">
        <f aca="false">(K6-J6)*Assumptions!$B$23/100</f>
        <v>-27.818546997962</v>
      </c>
      <c r="L18" s="4" t="n">
        <f aca="false">(L6-K6)*Assumptions!$B$23/100</f>
        <v>-28.2358252029313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5514.189708</v>
      </c>
      <c r="D19" s="0" t="n">
        <f aca="false">D15+D16+D17+D18</f>
        <v>5635.659634238</v>
      </c>
      <c r="E19" s="0" t="n">
        <f aca="false">E15+E16+E17+E18</f>
        <v>5649.80905557067</v>
      </c>
      <c r="F19" s="0" t="n">
        <f aca="false">F15+F16+F17+F18</f>
        <v>5719.03937866056</v>
      </c>
      <c r="G19" s="0" t="n">
        <f aca="false">G15+G16+G17+G18</f>
        <v>5704.17537316532</v>
      </c>
      <c r="H19" s="0" t="n">
        <f aca="false">H15+H16+H17+H18</f>
        <v>4443.64192753432</v>
      </c>
      <c r="I19" s="0" t="n">
        <f aca="false">I15+I16+I17+I18</f>
        <v>4035.69311776546</v>
      </c>
      <c r="J19" s="0" t="n">
        <f aca="false">J15+J16+J17+J18</f>
        <v>4061.91897323446</v>
      </c>
      <c r="K19" s="0" t="n">
        <f aca="false">K15+K16+K17+K18</f>
        <v>4088.02357341603</v>
      </c>
      <c r="L19" s="0" t="n">
        <f aca="false">L15+L16+L17+L18</f>
        <v>4149.34392701727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5105.73121111111</v>
      </c>
      <c r="D21" s="0" t="n">
        <f aca="false">D19*D20</f>
        <v>4831.66978243999</v>
      </c>
      <c r="E21" s="0" t="n">
        <f aca="false">E19*E20</f>
        <v>4485.00058391972</v>
      </c>
      <c r="F21" s="0" t="n">
        <f aca="false">F19*F20</f>
        <v>4203.66467263399</v>
      </c>
      <c r="G21" s="0" t="n">
        <f aca="false">G19*G20</f>
        <v>3882.16591191005</v>
      </c>
      <c r="H21" s="0" t="n">
        <f aca="false">H19*H20</f>
        <v>2800.24817547642</v>
      </c>
      <c r="I21" s="0" t="n">
        <f aca="false">I19*I20</f>
        <v>2354.78817244164</v>
      </c>
      <c r="J21" s="0" t="n">
        <f aca="false">J19*J20</f>
        <v>2194.52843260679</v>
      </c>
      <c r="K21" s="0" t="n">
        <f aca="false">K19*K20</f>
        <v>2045.02957021042</v>
      </c>
      <c r="L21" s="0" t="n">
        <f aca="false">L19*L20</f>
        <v>1921.94908681813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33824.7755995683</v>
      </c>
    </row>
    <row r="31" customFormat="false" ht="15" hidden="false" customHeight="false" outlineLevel="0" collapsed="false">
      <c r="A31" s="0" t="s">
        <v>125</v>
      </c>
      <c r="B31" s="0" t="n">
        <f aca="false">L19</f>
        <v>4149.34392701727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64793.601321885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45642.7831971899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45642.7831971899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21141.4399549994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54966.2155545677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56066.5155545677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8.57571896730848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-0.0243778194188306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8.57571896730848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31196.9191549817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5.29879463871133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7</v>
      </c>
      <c r="D5" s="4" t="n">
        <f aca="false">Assumptions!D27</f>
        <v>3.5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-3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18824.9</v>
      </c>
      <c r="C6" s="0" t="n">
        <f aca="false">B6*(1+C5/100)</f>
        <v>20142.643</v>
      </c>
      <c r="D6" s="0" t="n">
        <f aca="false">C6*(1+D5/100)</f>
        <v>20847.635505</v>
      </c>
      <c r="E6" s="0" t="n">
        <f aca="false">D6*(1+E5/100)</f>
        <v>21473.06457015</v>
      </c>
      <c r="F6" s="0" t="n">
        <f aca="false">E6*(1+F5/100)</f>
        <v>22117.2565072545</v>
      </c>
      <c r="G6" s="0" t="n">
        <f aca="false">F6*(1+G5/100)</f>
        <v>22780.7742024721</v>
      </c>
      <c r="H6" s="0" t="n">
        <f aca="false">G6*(1+H5/100)</f>
        <v>22097.350976398</v>
      </c>
      <c r="I6" s="0" t="n">
        <f aca="false">H6*(1+I5/100)</f>
        <v>22649.7847508079</v>
      </c>
      <c r="J6" s="0" t="n">
        <f aca="false">I6*(1+J5/100)</f>
        <v>23216.0293695781</v>
      </c>
      <c r="K6" s="0" t="n">
        <f aca="false">J6*(1+K5/100)</f>
        <v>23796.4301038176</v>
      </c>
      <c r="L6" s="0" t="n">
        <f aca="false">K6*(1+L5/100)</f>
        <v>24391.340856413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53.5</v>
      </c>
      <c r="D7" s="4" t="n">
        <f aca="false">Assumptions!D28</f>
        <v>53.5</v>
      </c>
      <c r="E7" s="4" t="n">
        <f aca="false">Assumptions!E28</f>
        <v>53.5</v>
      </c>
      <c r="F7" s="4" t="n">
        <f aca="false">Assumptions!F28</f>
        <v>53.5</v>
      </c>
      <c r="G7" s="4" t="n">
        <f aca="false">Assumptions!G28</f>
        <v>53.5</v>
      </c>
      <c r="H7" s="4" t="n">
        <f aca="false">Assumptions!H28</f>
        <v>52</v>
      </c>
      <c r="I7" s="4" t="n">
        <f aca="false">Assumptions!I28</f>
        <v>52</v>
      </c>
      <c r="J7" s="4" t="n">
        <f aca="false">Assumptions!J28</f>
        <v>52</v>
      </c>
      <c r="K7" s="4" t="n">
        <f aca="false">Assumptions!K28</f>
        <v>52</v>
      </c>
      <c r="L7" s="4" t="n">
        <f aca="false">Assumptions!L28</f>
        <v>52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10776.314005</v>
      </c>
      <c r="D8" s="0" t="n">
        <f aca="false">D6*D7/100</f>
        <v>11153.484995175</v>
      </c>
      <c r="E8" s="0" t="n">
        <f aca="false">E6*E7/100</f>
        <v>11488.0895450303</v>
      </c>
      <c r="F8" s="0" t="n">
        <f aca="false">F6*F7/100</f>
        <v>11832.7322313812</v>
      </c>
      <c r="G8" s="0" t="n">
        <f aca="false">G6*G7/100</f>
        <v>12187.7141983226</v>
      </c>
      <c r="H8" s="0" t="n">
        <f aca="false">H6*H7/100</f>
        <v>11490.6225077269</v>
      </c>
      <c r="I8" s="0" t="n">
        <f aca="false">I6*I7/100</f>
        <v>11777.8880704201</v>
      </c>
      <c r="J8" s="0" t="n">
        <f aca="false">J6*J7/100</f>
        <v>12072.3352721806</v>
      </c>
      <c r="K8" s="0" t="n">
        <f aca="false">K6*K7/100</f>
        <v>12374.1436539851</v>
      </c>
      <c r="L8" s="0" t="n">
        <f aca="false">L6*L7/100</f>
        <v>12683.4972453348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10776.314005</v>
      </c>
      <c r="D11" s="0" t="n">
        <f aca="false">D8+D10+D24</f>
        <v>11153.484995175</v>
      </c>
      <c r="E11" s="0" t="n">
        <f aca="false">E8+E10+E24</f>
        <v>11488.0895450303</v>
      </c>
      <c r="F11" s="0" t="n">
        <f aca="false">F8+F10+F24</f>
        <v>11832.7322313812</v>
      </c>
      <c r="G11" s="0" t="n">
        <f aca="false">G8+G10+G24</f>
        <v>12187.7141983226</v>
      </c>
      <c r="H11" s="0" t="n">
        <f aca="false">H8+H10+H24</f>
        <v>11490.6225077269</v>
      </c>
      <c r="I11" s="0" t="n">
        <f aca="false">I8+I10+I24</f>
        <v>11777.8880704201</v>
      </c>
      <c r="J11" s="0" t="n">
        <f aca="false">J8+J10+J24</f>
        <v>12072.3352721806</v>
      </c>
      <c r="K11" s="0" t="n">
        <f aca="false">K8+K10+K24</f>
        <v>12374.1436539851</v>
      </c>
      <c r="L11" s="0" t="n">
        <f aca="false">L8+L10+L24</f>
        <v>12683.4972453348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-2618.54359</v>
      </c>
      <c r="D12" s="4" t="n">
        <f aca="false">-D6*Assumptions!D31/100</f>
        <v>-2710.19261565</v>
      </c>
      <c r="E12" s="4" t="n">
        <f aca="false">-E6*Assumptions!E31/100</f>
        <v>-2748.5522649792</v>
      </c>
      <c r="F12" s="4" t="n">
        <f aca="false">-F6*Assumptions!F31/100</f>
        <v>-2786.77431991407</v>
      </c>
      <c r="G12" s="4" t="n">
        <f aca="false">-G6*Assumptions!G31/100</f>
        <v>-2824.81600110655</v>
      </c>
      <c r="H12" s="4" t="n">
        <f aca="false">-H6*Assumptions!H31/100</f>
        <v>-2651.68211716776</v>
      </c>
      <c r="I12" s="4" t="n">
        <f aca="false">-I6*Assumptions!I31/100</f>
        <v>-2604.72524634291</v>
      </c>
      <c r="J12" s="4" t="n">
        <f aca="false">-J6*Assumptions!J31/100</f>
        <v>-2553.76323065359</v>
      </c>
      <c r="K12" s="4" t="n">
        <f aca="false">-K6*Assumptions!K31/100</f>
        <v>-2498.62516090085</v>
      </c>
      <c r="L12" s="4" t="n">
        <f aca="false">-L6*Assumptions!L31/100</f>
        <v>-2561.09078992337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8157.770415</v>
      </c>
      <c r="D13" s="0" t="n">
        <f aca="false">D11+D12</f>
        <v>8443.292379525</v>
      </c>
      <c r="E13" s="0" t="n">
        <f aca="false">E11+E12</f>
        <v>8739.53728005105</v>
      </c>
      <c r="F13" s="0" t="n">
        <f aca="false">F11+F12</f>
        <v>9045.95791146709</v>
      </c>
      <c r="G13" s="0" t="n">
        <f aca="false">G11+G12</f>
        <v>9362.89819721605</v>
      </c>
      <c r="H13" s="0" t="n">
        <f aca="false">H11+H12</f>
        <v>8838.94039055919</v>
      </c>
      <c r="I13" s="0" t="n">
        <f aca="false">I11+I12</f>
        <v>9173.16282407721</v>
      </c>
      <c r="J13" s="0" t="n">
        <f aca="false">J11+J12</f>
        <v>9518.57204152703</v>
      </c>
      <c r="K13" s="0" t="n">
        <f aca="false">K11+K12</f>
        <v>9875.51849308429</v>
      </c>
      <c r="L13" s="0" t="n">
        <f aca="false">L11+L12</f>
        <v>10122.4064554114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36</v>
      </c>
      <c r="D14" s="4" t="n">
        <f aca="false">Assumptions!D33</f>
        <v>36</v>
      </c>
      <c r="E14" s="4" t="n">
        <f aca="false">Assumptions!E33</f>
        <v>36</v>
      </c>
      <c r="F14" s="4" t="n">
        <f aca="false">Assumptions!F33</f>
        <v>36</v>
      </c>
      <c r="G14" s="4" t="n">
        <f aca="false">Assumptions!G33</f>
        <v>36</v>
      </c>
      <c r="H14" s="4" t="n">
        <f aca="false">Assumptions!H33</f>
        <v>36</v>
      </c>
      <c r="I14" s="4" t="n">
        <f aca="false">Assumptions!I33</f>
        <v>36</v>
      </c>
      <c r="J14" s="4" t="n">
        <f aca="false">Assumptions!J33</f>
        <v>36</v>
      </c>
      <c r="K14" s="4" t="n">
        <f aca="false">Assumptions!K33</f>
        <v>36</v>
      </c>
      <c r="L14" s="4" t="n">
        <f aca="false">Assumptions!L33</f>
        <v>36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5220.9730656</v>
      </c>
      <c r="D15" s="0" t="n">
        <f aca="false">D13-MAX(0,D13)*D14/100</f>
        <v>5403.707122896</v>
      </c>
      <c r="E15" s="0" t="n">
        <f aca="false">E13-MAX(0,E13)*E14/100</f>
        <v>5593.30385923267</v>
      </c>
      <c r="F15" s="0" t="n">
        <f aca="false">F13-MAX(0,F13)*F14/100</f>
        <v>5789.41306333894</v>
      </c>
      <c r="G15" s="0" t="n">
        <f aca="false">G13-MAX(0,G13)*G14/100</f>
        <v>5992.25484621827</v>
      </c>
      <c r="H15" s="0" t="n">
        <f aca="false">H13-MAX(0,H13)*H14/100</f>
        <v>5656.92184995788</v>
      </c>
      <c r="I15" s="0" t="n">
        <f aca="false">I13-MAX(0,I13)*I14/100</f>
        <v>5870.82420740941</v>
      </c>
      <c r="J15" s="0" t="n">
        <f aca="false">J13-MAX(0,J13)*J14/100</f>
        <v>6091.8861065773</v>
      </c>
      <c r="K15" s="0" t="n">
        <f aca="false">K13-MAX(0,K13)*K14/100</f>
        <v>6320.33183557395</v>
      </c>
      <c r="L15" s="0" t="n">
        <f aca="false">L13-MAX(0,L13)*L14/100</f>
        <v>6478.34013146329</v>
      </c>
    </row>
    <row r="16" customFormat="false" ht="15" hidden="false" customHeight="false" outlineLevel="0" collapsed="false">
      <c r="A16" s="0" t="s">
        <v>116</v>
      </c>
      <c r="C16" s="0" t="n">
        <f aca="false">-C12</f>
        <v>2618.54359</v>
      </c>
      <c r="D16" s="0" t="n">
        <f aca="false">-D12</f>
        <v>2710.19261565</v>
      </c>
      <c r="E16" s="0" t="n">
        <f aca="false">-E12</f>
        <v>2748.5522649792</v>
      </c>
      <c r="F16" s="0" t="n">
        <f aca="false">-F12</f>
        <v>2786.77431991407</v>
      </c>
      <c r="G16" s="0" t="n">
        <f aca="false">-G12</f>
        <v>2824.81600110655</v>
      </c>
      <c r="H16" s="0" t="n">
        <f aca="false">-H12</f>
        <v>2651.68211716776</v>
      </c>
      <c r="I16" s="0" t="n">
        <f aca="false">-I12</f>
        <v>2604.72524634291</v>
      </c>
      <c r="J16" s="0" t="n">
        <f aca="false">-J12</f>
        <v>2553.76323065359</v>
      </c>
      <c r="K16" s="0" t="n">
        <f aca="false">-K12</f>
        <v>2498.62516090085</v>
      </c>
      <c r="L16" s="0" t="n">
        <f aca="false">-L12</f>
        <v>2561.09078992337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-1913.551085</v>
      </c>
      <c r="D17" s="4" t="n">
        <f aca="false">-D6*Assumptions!D32/100</f>
        <v>-1980.525372975</v>
      </c>
      <c r="E17" s="4" t="n">
        <f aca="false">-E6*Assumptions!E32/100</f>
        <v>-2039.94113416425</v>
      </c>
      <c r="F17" s="4" t="n">
        <f aca="false">-F6*Assumptions!F32/100</f>
        <v>-2101.13936818918</v>
      </c>
      <c r="G17" s="4" t="n">
        <f aca="false">-G6*Assumptions!G32/100</f>
        <v>-2164.17354923485</v>
      </c>
      <c r="H17" s="4" t="n">
        <f aca="false">-H6*Assumptions!H32/100</f>
        <v>-2209.7350976398</v>
      </c>
      <c r="I17" s="4" t="n">
        <f aca="false">-I6*Assumptions!I32/100</f>
        <v>-2378.22739883483</v>
      </c>
      <c r="J17" s="4" t="n">
        <f aca="false">-J6*Assumptions!J32/100</f>
        <v>-2437.6830838057</v>
      </c>
      <c r="K17" s="4" t="n">
        <f aca="false">-K6*Assumptions!K32/100</f>
        <v>-2617.60731141993</v>
      </c>
      <c r="L17" s="4" t="n">
        <f aca="false">-L6*Assumptions!L32/100</f>
        <v>-2683.04749420543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-131.7743</v>
      </c>
      <c r="D18" s="4" t="n">
        <f aca="false">(D6-C6)*Assumptions!$B$37/100</f>
        <v>-70.4992504999998</v>
      </c>
      <c r="E18" s="4" t="n">
        <f aca="false">(E6-D6)*Assumptions!$B$37/100</f>
        <v>-62.5429065150001</v>
      </c>
      <c r="F18" s="4" t="n">
        <f aca="false">(F6-E6)*Assumptions!$B$37/100</f>
        <v>-64.4191937104501</v>
      </c>
      <c r="G18" s="4" t="n">
        <f aca="false">(G6-F6)*Assumptions!$B$37/100</f>
        <v>-66.3517695217637</v>
      </c>
      <c r="H18" s="4" t="n">
        <f aca="false">(H6-G6)*Assumptions!$B$37/100</f>
        <v>68.3423226074167</v>
      </c>
      <c r="I18" s="4" t="n">
        <f aca="false">(I6-H6)*Assumptions!$B$37/100</f>
        <v>-55.2433774409947</v>
      </c>
      <c r="J18" s="4" t="n">
        <f aca="false">(J6-I6)*Assumptions!$B$37/100</f>
        <v>-56.6244618770197</v>
      </c>
      <c r="K18" s="4" t="n">
        <f aca="false">(K6-J6)*Assumptions!$B$37/100</f>
        <v>-58.0400734239451</v>
      </c>
      <c r="L18" s="4" t="n">
        <f aca="false">(L6-K6)*Assumptions!$B$37/100</f>
        <v>-59.4910752595439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5794.1912706</v>
      </c>
      <c r="D19" s="0" t="n">
        <f aca="false">D15+D16+D17+D18</f>
        <v>6062.875115071</v>
      </c>
      <c r="E19" s="0" t="n">
        <f aca="false">E15+E16+E17+E18</f>
        <v>6239.37208353262</v>
      </c>
      <c r="F19" s="0" t="n">
        <f aca="false">F15+F16+F17+F18</f>
        <v>6410.62882135338</v>
      </c>
      <c r="G19" s="0" t="n">
        <f aca="false">G15+G16+G17+G18</f>
        <v>6586.5455285682</v>
      </c>
      <c r="H19" s="0" t="n">
        <f aca="false">H15+H16+H17+H18</f>
        <v>6167.21119209326</v>
      </c>
      <c r="I19" s="0" t="n">
        <f aca="false">I15+I16+I17+I18</f>
        <v>6042.0786774765</v>
      </c>
      <c r="J19" s="0" t="n">
        <f aca="false">J15+J16+J17+J18</f>
        <v>6151.34179154817</v>
      </c>
      <c r="K19" s="0" t="n">
        <f aca="false">K15+K16+K17+K18</f>
        <v>6143.30961163091</v>
      </c>
      <c r="L19" s="0" t="n">
        <f aca="false">L15+L16+L17+L18</f>
        <v>6296.89235192169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5364.99191722222</v>
      </c>
      <c r="D21" s="0" t="n">
        <f aca="false">D19*D20</f>
        <v>5197.93819879201</v>
      </c>
      <c r="E21" s="0" t="n">
        <f aca="false">E19*E20</f>
        <v>4953.01472362939</v>
      </c>
      <c r="F21" s="0" t="n">
        <f aca="false">F19*F20</f>
        <v>4712.00355889208</v>
      </c>
      <c r="G21" s="0" t="n">
        <f aca="false">G19*G20</f>
        <v>4482.69221324132</v>
      </c>
      <c r="H21" s="0" t="n">
        <f aca="false">H19*H20</f>
        <v>3886.38917583071</v>
      </c>
      <c r="I21" s="0" t="n">
        <f aca="false">I19*I20</f>
        <v>3525.49487572567</v>
      </c>
      <c r="J21" s="0" t="n">
        <f aca="false">J19*J20</f>
        <v>3323.37856791012</v>
      </c>
      <c r="K21" s="0" t="n">
        <f aca="false">K19*K20</f>
        <v>3073.18428798713</v>
      </c>
      <c r="L21" s="0" t="n">
        <f aca="false">L19*L20</f>
        <v>2916.67953258038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41435.767051811</v>
      </c>
    </row>
    <row r="31" customFormat="false" ht="15" hidden="false" customHeight="false" outlineLevel="0" collapsed="false">
      <c r="A31" s="0" t="s">
        <v>125</v>
      </c>
      <c r="B31" s="0" t="n">
        <f aca="false">L19</f>
        <v>6296.89235192169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107047.169982669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81859.6005749819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81859.6005749819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37916.8339235449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79352.6009753559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80452.9009753559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12.3057668564734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0.39997347627684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12.3057668564734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49406.3861458471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6.76517254241739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8</v>
      </c>
      <c r="D5" s="4" t="n">
        <f aca="false">Assumptions!D41</f>
        <v>4.5</v>
      </c>
      <c r="E5" s="4" t="n">
        <f aca="false">Assumptions!E41</f>
        <v>4.5</v>
      </c>
      <c r="F5" s="4" t="n">
        <f aca="false">Assumptions!F41</f>
        <v>4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18824.9</v>
      </c>
      <c r="C6" s="0" t="n">
        <f aca="false">B6*(1+C5/100)</f>
        <v>20330.892</v>
      </c>
      <c r="D6" s="0" t="n">
        <f aca="false">C6*(1+D5/100)</f>
        <v>21245.78214</v>
      </c>
      <c r="E6" s="0" t="n">
        <f aca="false">D6*(1+E5/100)</f>
        <v>22201.8423363</v>
      </c>
      <c r="F6" s="0" t="n">
        <f aca="false">E6*(1+F5/100)</f>
        <v>23089.916029752</v>
      </c>
      <c r="G6" s="0" t="n">
        <f aca="false">F6*(1+G5/100)</f>
        <v>24013.5126709421</v>
      </c>
      <c r="H6" s="0" t="n">
        <f aca="false">G6*(1+H5/100)</f>
        <v>24853.9856144251</v>
      </c>
      <c r="I6" s="0" t="n">
        <f aca="false">H6*(1+I5/100)</f>
        <v>25599.6051828578</v>
      </c>
      <c r="J6" s="0" t="n">
        <f aca="false">I6*(1+J5/100)</f>
        <v>26367.5933383435</v>
      </c>
      <c r="K6" s="0" t="n">
        <f aca="false">J6*(1+K5/100)</f>
        <v>27158.6211384938</v>
      </c>
      <c r="L6" s="0" t="n">
        <f aca="false">K6*(1+L5/100)</f>
        <v>27973.3797726487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54</v>
      </c>
      <c r="D7" s="4" t="n">
        <f aca="false">Assumptions!D42</f>
        <v>54</v>
      </c>
      <c r="E7" s="4" t="n">
        <f aca="false">Assumptions!E42</f>
        <v>54.5</v>
      </c>
      <c r="F7" s="4" t="n">
        <f aca="false">Assumptions!F42</f>
        <v>54.5</v>
      </c>
      <c r="G7" s="4" t="n">
        <f aca="false">Assumptions!G42</f>
        <v>55</v>
      </c>
      <c r="H7" s="4" t="n">
        <f aca="false">Assumptions!H42</f>
        <v>55</v>
      </c>
      <c r="I7" s="4" t="n">
        <f aca="false">Assumptions!I42</f>
        <v>55</v>
      </c>
      <c r="J7" s="4" t="n">
        <f aca="false">Assumptions!J42</f>
        <v>55</v>
      </c>
      <c r="K7" s="4" t="n">
        <f aca="false">Assumptions!K42</f>
        <v>55</v>
      </c>
      <c r="L7" s="4" t="n">
        <f aca="false">Assumptions!L42</f>
        <v>55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10978.68168</v>
      </c>
      <c r="D8" s="0" t="n">
        <f aca="false">D6*D7/100</f>
        <v>11472.7223556</v>
      </c>
      <c r="E8" s="0" t="n">
        <f aca="false">E6*E7/100</f>
        <v>12100.0040732835</v>
      </c>
      <c r="F8" s="0" t="n">
        <f aca="false">F6*F7/100</f>
        <v>12584.0042362148</v>
      </c>
      <c r="G8" s="0" t="n">
        <f aca="false">G6*G7/100</f>
        <v>13207.4319690181</v>
      </c>
      <c r="H8" s="0" t="n">
        <f aca="false">H6*H7/100</f>
        <v>13669.6920879338</v>
      </c>
      <c r="I8" s="0" t="n">
        <f aca="false">I6*I7/100</f>
        <v>14079.7828505718</v>
      </c>
      <c r="J8" s="0" t="n">
        <f aca="false">J6*J7/100</f>
        <v>14502.1763360889</v>
      </c>
      <c r="K8" s="0" t="n">
        <f aca="false">K6*K7/100</f>
        <v>14937.2416261716</v>
      </c>
      <c r="L8" s="0" t="n">
        <f aca="false">L6*L7/100</f>
        <v>15385.3588749568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10978.68168</v>
      </c>
      <c r="D11" s="0" t="n">
        <f aca="false">D8+D10+D24</f>
        <v>11472.7223556</v>
      </c>
      <c r="E11" s="0" t="n">
        <f aca="false">E8+E10+E24</f>
        <v>12100.0040732835</v>
      </c>
      <c r="F11" s="0" t="n">
        <f aca="false">F8+F10+F24</f>
        <v>12584.0042362148</v>
      </c>
      <c r="G11" s="0" t="n">
        <f aca="false">G8+G10+G24</f>
        <v>13207.4319690181</v>
      </c>
      <c r="H11" s="0" t="n">
        <f aca="false">H8+H10+H24</f>
        <v>13669.6920879338</v>
      </c>
      <c r="I11" s="0" t="n">
        <f aca="false">I8+I10+I24</f>
        <v>14079.7828505718</v>
      </c>
      <c r="J11" s="0" t="n">
        <f aca="false">J8+J10+J24</f>
        <v>14502.1763360889</v>
      </c>
      <c r="K11" s="0" t="n">
        <f aca="false">K8+K10+K24</f>
        <v>14937.2416261716</v>
      </c>
      <c r="L11" s="0" t="n">
        <f aca="false">L8+L10+L24</f>
        <v>15385.3588749568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-2643.01596</v>
      </c>
      <c r="D12" s="4" t="n">
        <f aca="false">-D6*Assumptions!D45/100</f>
        <v>-2761.9516782</v>
      </c>
      <c r="E12" s="4" t="n">
        <f aca="false">-E6*Assumptions!E45/100</f>
        <v>-2841.8358190464</v>
      </c>
      <c r="F12" s="4" t="n">
        <f aca="false">-F6*Assumptions!F45/100</f>
        <v>-2909.32941974875</v>
      </c>
      <c r="G12" s="4" t="n">
        <f aca="false">-G6*Assumptions!G45/100</f>
        <v>-2977.67557119682</v>
      </c>
      <c r="H12" s="4" t="n">
        <f aca="false">-H6*Assumptions!H45/100</f>
        <v>-2982.47827373101</v>
      </c>
      <c r="I12" s="4" t="n">
        <f aca="false">-I6*Assumptions!I45/100</f>
        <v>-2943.95459602865</v>
      </c>
      <c r="J12" s="4" t="n">
        <f aca="false">-J6*Assumptions!J45/100</f>
        <v>-2900.43526721779</v>
      </c>
      <c r="K12" s="4" t="n">
        <f aca="false">-K6*Assumptions!K45/100</f>
        <v>-2851.65521954185</v>
      </c>
      <c r="L12" s="4" t="n">
        <f aca="false">-L6*Assumptions!L45/100</f>
        <v>-2937.20487612811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8335.66572</v>
      </c>
      <c r="D13" s="0" t="n">
        <f aca="false">D11+D12</f>
        <v>8710.7706774</v>
      </c>
      <c r="E13" s="0" t="n">
        <f aca="false">E11+E12</f>
        <v>9258.1682542371</v>
      </c>
      <c r="F13" s="0" t="n">
        <f aca="false">F11+F12</f>
        <v>9674.67481646609</v>
      </c>
      <c r="G13" s="0" t="n">
        <f aca="false">G11+G12</f>
        <v>10229.7563978213</v>
      </c>
      <c r="H13" s="0" t="n">
        <f aca="false">H11+H12</f>
        <v>10687.2138142028</v>
      </c>
      <c r="I13" s="0" t="n">
        <f aca="false">I11+I12</f>
        <v>11135.8282545431</v>
      </c>
      <c r="J13" s="0" t="n">
        <f aca="false">J11+J12</f>
        <v>11601.7410688712</v>
      </c>
      <c r="K13" s="0" t="n">
        <f aca="false">K11+K12</f>
        <v>12085.5864066298</v>
      </c>
      <c r="L13" s="0" t="n">
        <f aca="false">L11+L12</f>
        <v>12448.1539988287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35</v>
      </c>
      <c r="D14" s="4" t="n">
        <f aca="false">Assumptions!D47</f>
        <v>35</v>
      </c>
      <c r="E14" s="4" t="n">
        <f aca="false">Assumptions!E47</f>
        <v>35</v>
      </c>
      <c r="F14" s="4" t="n">
        <f aca="false">Assumptions!F47</f>
        <v>35</v>
      </c>
      <c r="G14" s="4" t="n">
        <f aca="false">Assumptions!G47</f>
        <v>35</v>
      </c>
      <c r="H14" s="4" t="n">
        <f aca="false">Assumptions!H47</f>
        <v>35</v>
      </c>
      <c r="I14" s="4" t="n">
        <f aca="false">Assumptions!I47</f>
        <v>35</v>
      </c>
      <c r="J14" s="4" t="n">
        <f aca="false">Assumptions!J47</f>
        <v>35</v>
      </c>
      <c r="K14" s="4" t="n">
        <f aca="false">Assumptions!K47</f>
        <v>35</v>
      </c>
      <c r="L14" s="4" t="n">
        <f aca="false">Assumptions!L47</f>
        <v>35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5418.182718</v>
      </c>
      <c r="D15" s="0" t="n">
        <f aca="false">D13-MAX(0,D13)*D14/100</f>
        <v>5662.00094031</v>
      </c>
      <c r="E15" s="0" t="n">
        <f aca="false">E13-MAX(0,E13)*E14/100</f>
        <v>6017.80936525412</v>
      </c>
      <c r="F15" s="0" t="n">
        <f aca="false">F13-MAX(0,F13)*F14/100</f>
        <v>6288.53863070296</v>
      </c>
      <c r="G15" s="0" t="n">
        <f aca="false">G13-MAX(0,G13)*G14/100</f>
        <v>6649.34165858386</v>
      </c>
      <c r="H15" s="0" t="n">
        <f aca="false">H13-MAX(0,H13)*H14/100</f>
        <v>6946.6889792318</v>
      </c>
      <c r="I15" s="0" t="n">
        <f aca="false">I13-MAX(0,I13)*I14/100</f>
        <v>7238.28836545305</v>
      </c>
      <c r="J15" s="0" t="n">
        <f aca="false">J13-MAX(0,J13)*J14/100</f>
        <v>7541.13169476625</v>
      </c>
      <c r="K15" s="0" t="n">
        <f aca="false">K13-MAX(0,K13)*K14/100</f>
        <v>7855.63116430935</v>
      </c>
      <c r="L15" s="0" t="n">
        <f aca="false">L13-MAX(0,L13)*L14/100</f>
        <v>8091.30009923863</v>
      </c>
    </row>
    <row r="16" customFormat="false" ht="15" hidden="false" customHeight="false" outlineLevel="0" collapsed="false">
      <c r="A16" s="0" t="s">
        <v>116</v>
      </c>
      <c r="C16" s="0" t="n">
        <f aca="false">-C12</f>
        <v>2643.01596</v>
      </c>
      <c r="D16" s="0" t="n">
        <f aca="false">-D12</f>
        <v>2761.9516782</v>
      </c>
      <c r="E16" s="0" t="n">
        <f aca="false">-E12</f>
        <v>2841.8358190464</v>
      </c>
      <c r="F16" s="0" t="n">
        <f aca="false">-F12</f>
        <v>2909.32941974875</v>
      </c>
      <c r="G16" s="0" t="n">
        <f aca="false">-G12</f>
        <v>2977.67557119682</v>
      </c>
      <c r="H16" s="0" t="n">
        <f aca="false">-H12</f>
        <v>2982.47827373101</v>
      </c>
      <c r="I16" s="0" t="n">
        <f aca="false">-I12</f>
        <v>2943.95459602865</v>
      </c>
      <c r="J16" s="0" t="n">
        <f aca="false">-J12</f>
        <v>2900.43526721779</v>
      </c>
      <c r="K16" s="0" t="n">
        <f aca="false">-K12</f>
        <v>2851.65521954185</v>
      </c>
      <c r="L16" s="0" t="n">
        <f aca="false">-L12</f>
        <v>2937.20487612811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-1931.43474</v>
      </c>
      <c r="D17" s="4" t="n">
        <f aca="false">-D6*Assumptions!D46/100</f>
        <v>-2018.3493033</v>
      </c>
      <c r="E17" s="4" t="n">
        <f aca="false">-E6*Assumptions!E46/100</f>
        <v>-2109.1750219485</v>
      </c>
      <c r="F17" s="4" t="n">
        <f aca="false">-F6*Assumptions!F46/100</f>
        <v>-2193.54202282644</v>
      </c>
      <c r="G17" s="4" t="n">
        <f aca="false">-G6*Assumptions!G46/100</f>
        <v>-2281.2837037395</v>
      </c>
      <c r="H17" s="4" t="n">
        <f aca="false">-H6*Assumptions!H46/100</f>
        <v>-2485.39856144251</v>
      </c>
      <c r="I17" s="4" t="n">
        <f aca="false">-I6*Assumptions!I46/100</f>
        <v>-2559.96051828578</v>
      </c>
      <c r="J17" s="4" t="n">
        <f aca="false">-J6*Assumptions!J46/100</f>
        <v>-2636.75933383435</v>
      </c>
      <c r="K17" s="4" t="n">
        <f aca="false">-K6*Assumptions!K46/100</f>
        <v>-2851.65521954185</v>
      </c>
      <c r="L17" s="4" t="n">
        <f aca="false">-L6*Assumptions!L46/100</f>
        <v>-2937.20487612811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-150.5992</v>
      </c>
      <c r="D18" s="4" t="n">
        <f aca="false">(D6-C6)*Assumptions!$B$51/100</f>
        <v>-91.489014</v>
      </c>
      <c r="E18" s="4" t="n">
        <f aca="false">(E6-D6)*Assumptions!$B$51/100</f>
        <v>-95.6060196299997</v>
      </c>
      <c r="F18" s="4" t="n">
        <f aca="false">(F6-E6)*Assumptions!$B$51/100</f>
        <v>-88.8073693451999</v>
      </c>
      <c r="G18" s="4" t="n">
        <f aca="false">(G6-F6)*Assumptions!$B$51/100</f>
        <v>-92.3596641190081</v>
      </c>
      <c r="H18" s="4" t="n">
        <f aca="false">(H6-G6)*Assumptions!$B$51/100</f>
        <v>-84.0472943482971</v>
      </c>
      <c r="I18" s="4" t="n">
        <f aca="false">(I6-H6)*Assumptions!$B$51/100</f>
        <v>-74.5619568432754</v>
      </c>
      <c r="J18" s="4" t="n">
        <f aca="false">(J6-I6)*Assumptions!$B$51/100</f>
        <v>-76.7988155485735</v>
      </c>
      <c r="K18" s="4" t="n">
        <f aca="false">(K6-J6)*Assumptions!$B$51/100</f>
        <v>-79.1027800150307</v>
      </c>
      <c r="L18" s="4" t="n">
        <f aca="false">(L6-K6)*Assumptions!$B$51/100</f>
        <v>-81.4758634154816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5979.164738</v>
      </c>
      <c r="D19" s="0" t="n">
        <f aca="false">D15+D16+D17+D18</f>
        <v>6314.11430121</v>
      </c>
      <c r="E19" s="0" t="n">
        <f aca="false">E15+E16+E17+E18</f>
        <v>6654.86414272202</v>
      </c>
      <c r="F19" s="0" t="n">
        <f aca="false">F15+F16+F17+F18</f>
        <v>6915.51865828007</v>
      </c>
      <c r="G19" s="0" t="n">
        <f aca="false">G15+G16+G17+G18</f>
        <v>7253.37386192218</v>
      </c>
      <c r="H19" s="0" t="n">
        <f aca="false">H15+H16+H17+H18</f>
        <v>7359.72139717201</v>
      </c>
      <c r="I19" s="0" t="n">
        <f aca="false">I15+I16+I17+I18</f>
        <v>7547.72048635264</v>
      </c>
      <c r="J19" s="0" t="n">
        <f aca="false">J15+J16+J17+J18</f>
        <v>7728.00881260112</v>
      </c>
      <c r="K19" s="0" t="n">
        <f aca="false">K15+K16+K17+K18</f>
        <v>7776.52838429432</v>
      </c>
      <c r="L19" s="0" t="n">
        <f aca="false">L15+L16+L17+L18</f>
        <v>8009.82423582315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5536.2636462963</v>
      </c>
      <c r="D21" s="0" t="n">
        <f aca="false">D19*D20</f>
        <v>5413.33530625</v>
      </c>
      <c r="E21" s="0" t="n">
        <f aca="false">E19*E20</f>
        <v>5282.84571610179</v>
      </c>
      <c r="F21" s="0" t="n">
        <f aca="false">F19*F20</f>
        <v>5083.11266140673</v>
      </c>
      <c r="G21" s="0" t="n">
        <f aca="false">G19*G20</f>
        <v>4936.52437222805</v>
      </c>
      <c r="H21" s="0" t="n">
        <f aca="false">H19*H20</f>
        <v>4637.87288681948</v>
      </c>
      <c r="I21" s="0" t="n">
        <f aca="false">I19*I20</f>
        <v>4404.02240991</v>
      </c>
      <c r="J21" s="0" t="n">
        <f aca="false">J19*J20</f>
        <v>4175.20270060544</v>
      </c>
      <c r="K21" s="0" t="n">
        <f aca="false">K19*K20</f>
        <v>3890.20029211171</v>
      </c>
      <c r="L21" s="0" t="n">
        <f aca="false">L19*L20</f>
        <v>3710.09842673616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47069.4784184657</v>
      </c>
    </row>
    <row r="31" customFormat="false" ht="15" hidden="false" customHeight="false" outlineLevel="0" collapsed="false">
      <c r="A31" s="0" t="s">
        <v>125</v>
      </c>
      <c r="B31" s="0" t="n">
        <f aca="false">L19</f>
        <v>8009.82423582315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149273.997122159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120147.363537347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120147.363537347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55651.4764010424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102720.954819508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103821.254819508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15.8801005441275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0.806609845748292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15.8801005441275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65680.5587337498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7.95082947680219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8.57571896730848</v>
      </c>
      <c r="C4" s="0" t="n">
        <f aca="false">B4/Assumptions!$B$2-1</f>
        <v>-0.0243778194188306</v>
      </c>
      <c r="D4" s="4" t="n">
        <f aca="false">Assumptions!$B$24</f>
        <v>0.25</v>
      </c>
      <c r="E4" s="4" t="n">
        <f aca="false">DCF_Bear!$B$43</f>
        <v>8.57571896730848</v>
      </c>
      <c r="F4" s="4" t="n">
        <f aca="false">DCF_Bear!$B$47</f>
        <v>5.29879463871133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12.3057668564734</v>
      </c>
      <c r="C5" s="0" t="n">
        <f aca="false">B5/Assumptions!$B$2-1</f>
        <v>0.39997347627684</v>
      </c>
      <c r="D5" s="4" t="n">
        <f aca="false">Assumptions!$B$38</f>
        <v>0.5</v>
      </c>
      <c r="E5" s="4" t="n">
        <f aca="false">DCF_Base!$B$43</f>
        <v>12.3057668564734</v>
      </c>
      <c r="F5" s="4" t="n">
        <f aca="false">DCF_Base!$B$47</f>
        <v>6.76517254241739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15.8801005441275</v>
      </c>
      <c r="C6" s="0" t="n">
        <f aca="false">B6/Assumptions!$B$2-1</f>
        <v>0.806609845748292</v>
      </c>
      <c r="D6" s="4" t="n">
        <f aca="false">Assumptions!$B$52</f>
        <v>0.25</v>
      </c>
      <c r="E6" s="4" t="n">
        <f aca="false">DCF_Bull!$B$43</f>
        <v>15.8801005441275</v>
      </c>
      <c r="F6" s="4" t="n">
        <f aca="false">DCF_Bull!$B$47</f>
        <v>7.95082947680219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12.2668383060957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12.2668383060957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0.283433939482839</v>
      </c>
    </row>
    <row r="11" customFormat="false" ht="15" hidden="false" customHeight="false" outlineLevel="0" collapsed="false">
      <c r="A11" s="0" t="s">
        <v>152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6.69499230008707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12.3057668564734</v>
      </c>
      <c r="C15" s="3" t="n">
        <v>8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11.5169493776233</v>
      </c>
      <c r="C16" s="3" t="n">
        <v>9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10.7027075541173</v>
      </c>
      <c r="C17" s="3" t="n">
        <v>10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9.5696112350114</v>
      </c>
      <c r="C18" s="3" t="n">
        <v>11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8.66100581321362</v>
      </c>
      <c r="C19" s="3" t="n">
        <v>12</v>
      </c>
    </row>
    <row r="20" customFormat="false" ht="15" hidden="false" customHeight="false" outlineLevel="0" collapsed="false">
      <c r="A20" s="0" t="s">
        <v>161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6.76517254241739</v>
      </c>
      <c r="C20" s="3" t="n">
        <v>15</v>
      </c>
    </row>
    <row r="22" customFormat="false" ht="15" hidden="false" customHeight="false" outlineLevel="0" collapsed="false">
      <c r="A22" s="2" t="s">
        <v>162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14.1161034556147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14.1161034556147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14.1161034556147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14.1161034556147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14.1161034556147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13.1693846253697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13.1693846253697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13.1693846253697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13.1693846253697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13.1693846253697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12.3057668564734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12.3057668564734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12.3057668564734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12.3057668564734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12.3057668564734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11.3643827553126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11.5169493776233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11.5169493776233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11.5169493776233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11.5169493776233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10.1353895317981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10.4023627187719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10.7027075541173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10.795541412315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10.795541412315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2026-10-10T21:46:47Z</dcterms:created>
  <dc:creator>openpyxl</dc:creator>
  <dc:description/>
  <dc:language>en-NZ</dc:language>
  <cp:lastModifiedBy/>
  <dcterms:modified xsi:type="dcterms:W3CDTF">2026-10-10T21:46:47Z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