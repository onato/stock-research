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<sst xmlns="http://schemas.openxmlformats.org/spreadsheetml/2006/main" count="370" uniqueCount="173">
  <si>
    <t xml:space="preserve">Ticker</t>
  </si>
  <si>
    <t xml:space="preserve">O5RU.SI</t>
  </si>
  <si>
    <t xml:space="preserve">Company</t>
  </si>
  <si>
    <t xml:space="preserve">AIMS APAC REIT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</si>
  <si>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</si>
  <si>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</si>
  <si>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</si>
  <si>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</si>
  <si>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2026-10-23T09:04:17Z (17:04 SGT, after the SGX 17:00 close -- the regular close of 23 Oct 2026)</t>
  </si>
  <si>
    <t xml:space="preserve">Balance sheet date</t>
  </si>
  <si>
    <t xml:space="preserve">2026-03-31</t>
  </si>
  <si>
    <t xml:space="preserve">Model</t>
  </si>
  <si>
    <t xml:space="preserve">REIT AFFO capitalisation at cost of equity (engine route)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</si>
  <si>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</si>
  <si>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</si>
  <si>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</si>
  <si>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</si>
  <si>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</si>
  <si>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</si>
  <si>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</si>
  <si>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</si>
  <si>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2026-10-24T06:14:19Z</t>
  </si>
  <si>
    <t xml:space="preserve">Drivers file</t>
  </si>
  <si>
    <t xml:space="preserve">O5RU.SI_Drivers.json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</si>
  <si>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</si>
  <si>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</si>
  <si>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</si>
  <si>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REIT is worth the AFFO it can distribute per unit, capitalised at what unitholders demand. For AA REIT that means distributions after interest and after perpetual-securities distributions, less the Manager fees it pays in new units (a real dilution cost the headline DPU excludes) and less a recurring maintenance capex charge distributable income never deducts. Net debt is not subtracted because the flow is already after financing. NAV/unit (S$1.28) is the cross-check; fair value should land within a modest band of it for a REIT earning near its cost of equity.
key_risks_to_valuation: Tenant concentration: Woolworths (12.4% of GRI) and Optus (9.7%); Optus has partly vacated Building A at Macquarie Park.; Perpetual securities (~S$375m after the Sep 2026 redemption) rank ahead of Unitholders and reset in 2030-31; a reset at higher rates comes straight out of AFFO.; Short 2.2-year weighted debt maturity and ~20% floating-rate debt: every 25bp is ~0.06c of DPU.; Singapore industrial supply rising to ~1.15m sqm (2026) and ~1.88m sqm (2027) against a maturing rental upcycle.; Leadership transition: CEO changed 1 Oct 2026, new CFO due end-December 2026, just as deployment accelerates.; Leasehold JTC land amortises; terminal growth above inflation would overstate a wasting-asset portfolio.; Unit count may be ~0.6% higher than the 31 Mar 2026 figure used (1Q FY2027 distribution implies ~826m units).</t>
  </si>
  <si>
    <t xml:space="preserve">Data sources</t>
  </si>
  <si>
    <t xml:space="preserve">price: Yahoo Finance chart API at inputs.price_as_of (regular close, SGX); 52-week range 1.36-1.67.
financials: AIMS APAC REIT Annual Reports FY2016-FY2026 (Distribution Statements, Note A tax adjustments, note 17 units in issue, perpetual securities note) and half-year/quarterly updates through H1 FY2026, via O5RU.SI_Metrics.csv and the kpis table (DistributableIncome, NAVPerShare, Gearing, Occupancy, WALE, InterestCoverageRatio).
qualitative: O5RU.SI_Analysis.json (2026-10-24), including 1Q FY2027 results (Aug 2026), Hazelmere acquisition, perpetual refinancing guidance and the October 2026 management change.</t>
  </si>
  <si>
    <t xml:space="preserve">Scenario narrative: bear</t>
  </si>
  <si>
    <t xml:space="preserve">Anchor and supply risk together. Optus vacates more of Building A and Woolworths' HQ lease becomes a renewal question late in the decade; the 1.15m sqm 2026 and 1.88m sqm 2027 Singapore supply wave turns reversions flat-to-negative; occupancy slips back to ~93%. With a 2.2-year debt maturity and perpetual resets in 2030-31, refinancing at higher rates squeezes the AFFO margin to 40.5%, while ageing leasehold Singapore stock needs more capex (4.5%). The CEO/CFO transition coincides with a deal or two bought at thin spreads. Revenue is flat to +1.5%, and the market prices the trust at a sub-scale, externally managed discount (9% cost of equity).</t>
  </si>
  <si>
    <t xml:space="preserve">Scenario narrative: base</t>
  </si>
  <si>
    <t xml:space="preserve">Income growth intact, capital discipline holds. Occupancy recovers toward 96% as the 1Q FY2027 print suggests, the perpetual refinancing delivers its ~S$3m saving, and 2-3.25% fixed escalations plus moderating Singapore reversions grow gross revenue 2.5-3% a year before fading to 2% as the 2026-27 industrial supply wave lands. The Optus partial vacancy at Macquarie Park is backfilled slowly. No transformational deals; small bolt-ons funded by capital recycling at roughly neutral accretion. AFFO per unit grows ~2.5% a year, close to the 1.9% DPU record, and the trust is worth a modest premium to NAV.</t>
  </si>
  <si>
    <t xml:space="preserve">Scenario narrative: bull</t>
  </si>
  <si>
    <t xml:space="preserve">The low-gearing balance sheet (24.9%) is put to work accretively: Hazelmere-style Australian industrial and Singapore logistics acquisitions plus the ~600k sqft Singapore / ~1.5m sqft Australian plot-ratio redevelopment pipeline lift revenue 4-4.5% a year, the NSW-endorsed data-centre optionality at Macquarie Park / Bella Vista starts to crystallise, reversions stay high-single-digit through the cycle, and scale earns a lower cost of equity (7.5%). AFFO margin widens to 44.5% as fixed-rate debt and cheaper perpetuals roll through.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</si>
  <si>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</si>
  <si>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</si>
  <si>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</si>
  <si>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</si>
  <si>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</si>
  <si>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</si>
  <si>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</si>
  <si>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</si>
  <si>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</si>
  <si>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</si>
  <si>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</si>
  <si>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</si>
  <si>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</si>
  <si>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</si>
  <si>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</si>
  <si>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</si>
  <si>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</si>
  <si>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</si>
  <si>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</si>
  <si>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</si>
  <si>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</si>
  <si>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</si>
  <si>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</si>
  <si>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</si>
  <si>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</si>
  <si>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</si>
  <si>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</si>
  <si>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DistributableIncome</t>
  </si>
  <si>
    <t xml:space="preserve">Gearing</t>
  </si>
  <si>
    <t xml:space="preserve">InterestCoverageRatio</t>
  </si>
  <si>
    <t xml:space="preserve">NAVPerShare</t>
  </si>
  <si>
    <t xml:space="preserve">Occupancy</t>
  </si>
  <si>
    <t xml:space="preserve">TotalEquityInclHybridNCI</t>
  </si>
  <si>
    <t xml:space="preserve">WALE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</si>
  <si>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</si>
  <si>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</si>
  <si>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</si>
  <si>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</si>
  <si>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</si>
  <si>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</si>
  <si>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</si>
  <si>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</si>
  <si>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</si>
  <si>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</si>
  <si>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</si>
  <si>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</si>
  <si>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</si>
  <si>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</si>
  <si>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</si>
  <si>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</si>
  <si>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</si>
  <si>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</si>
  <si>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</si>
  <si>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</si>
  <si>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</si>
  <si>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</si>
  <si>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</si>
  <si>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</si>
  <si>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</si>
  <si>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</si>
  <si>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</si>
  <si>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</si>
  <si>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</si>
  <si>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</si>
  <si>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</si>
  <si>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</si>
  <si>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</si>
  <si>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</si>
  <si>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</si>
  <si>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</si>
  <si>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</si>
  <si>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</si>
  <si>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</si>
  <si>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</si>
  <si>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</si>
  <si>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</si>
  <si>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</si>
  <si>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</si>
  <si>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</si>
  <si>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</si>
  <si>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</si>
  <si>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</si>
  <si>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O5RU.SI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</si>
  <si>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</si>
  <si>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</si>
  <si>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</si>
  <si>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</si>
  <si>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</si>
  <si>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</si>
  <si>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</si>
  <si>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</si>
  <si>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</si>
  <si>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</si>
  <si>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</si>
  <si>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</si>
  <si>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</si>
  <si>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</si>
  <si>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</si>
  <si>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</si>
  <si>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</si>
  <si>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</si>
  <si>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</si>
  <si>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</si>
  <si>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</si>
  <si>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</si>
  <si>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</si>
  <si>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</si>
  <si>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</si>
  <si>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</si>
  <si>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</si>
  <si>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</si>
  <si>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</si>
  <si>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</si>
  <si>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O5RU.SI owner-FCF component DCF: base case (millions, SGD)</t>
  </si>
  <si>
    <t xml:space="preserve">O5RU.SI owner-FCF component DCF: bull case (millions, SGD)</t>
  </si>
  <si>
    <t xml:space="preserve">O5RU.SI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</si>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</sst>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</row>
    <row r="2" customFormat="false" ht="15" hidden="false" customHeight="false" outlineLevel="0" collapsed="false">
      <c r="A2" s="0" t="s">
        <v>70</v>
      </c>
      <c r="B2" s="0" t="n">
        <v>124.389</v>
      </c>
      <c r="D2" s="0" t="n">
        <v>82.329</v>
      </c>
      <c r="E2" s="0" t="n">
        <v>66.2</v>
      </c>
      <c r="I2" s="0" t="n">
        <v>40.809</v>
      </c>
      <c r="J2" s="0" t="n">
        <v>32.8</v>
      </c>
      <c r="K2" s="0" t="n">
        <v>0.0644</v>
      </c>
      <c r="L2" s="0" t="n">
        <v>74.628</v>
      </c>
      <c r="M2" s="0" t="n">
        <v>22.699</v>
      </c>
      <c r="N2" s="0" t="n">
        <v>51.929</v>
      </c>
      <c r="O2" s="0" t="n">
        <v>940.721</v>
      </c>
      <c r="P2" s="0" t="n">
        <v>1459.453</v>
      </c>
      <c r="Q2" s="0" t="n">
        <v>518.732</v>
      </c>
      <c r="R2" s="0" t="n">
        <v>471.484</v>
      </c>
      <c r="S2" s="0" t="n">
        <v>7.49</v>
      </c>
      <c r="T2" s="0" t="n">
        <v>635.366</v>
      </c>
      <c r="U2" s="0" t="n">
        <v>0</v>
      </c>
      <c r="V2" s="0" t="n">
        <v>0.1135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71</v>
      </c>
      <c r="B3" s="0" t="n">
        <v>120.119</v>
      </c>
      <c r="D3" s="0" t="n">
        <v>79.433</v>
      </c>
      <c r="E3" s="0" t="n">
        <v>66.1</v>
      </c>
      <c r="I3" s="0" t="n">
        <v>13.479</v>
      </c>
      <c r="J3" s="0" t="n">
        <v>11.2</v>
      </c>
      <c r="K3" s="0" t="n">
        <v>0.0212</v>
      </c>
      <c r="L3" s="0" t="n">
        <v>78.07</v>
      </c>
      <c r="M3" s="0" t="n">
        <v>47.99</v>
      </c>
      <c r="N3" s="0" t="n">
        <v>30.08</v>
      </c>
      <c r="O3" s="0" t="n">
        <v>888.447</v>
      </c>
      <c r="P3" s="0" t="n">
        <v>1465.475</v>
      </c>
      <c r="Q3" s="0" t="n">
        <v>577.028</v>
      </c>
      <c r="R3" s="0" t="n">
        <v>527.506</v>
      </c>
      <c r="S3" s="0" t="n">
        <v>11.727</v>
      </c>
      <c r="T3" s="0" t="n">
        <v>638.658</v>
      </c>
      <c r="U3" s="0" t="n">
        <v>0</v>
      </c>
      <c r="V3" s="0" t="n">
        <v>0.1105</v>
      </c>
      <c r="AA3" s="0" t="s">
        <v>17</v>
      </c>
      <c r="AB3" s="0" t="s">
        <v>14</v>
      </c>
      <c r="AC3" s="0" t="n">
        <v>70.5</v>
      </c>
      <c r="AD3" s="0" t="n">
        <v>36.1</v>
      </c>
      <c r="AF3" s="0" t="n">
        <v>1.39</v>
      </c>
    </row>
    <row r="4" customFormat="false" ht="15" hidden="false" customHeight="false" outlineLevel="0" collapsed="false">
      <c r="A4" s="0" t="s">
        <v>72</v>
      </c>
      <c r="B4" s="0" t="n">
        <v>116.916</v>
      </c>
      <c r="D4" s="0" t="n">
        <v>76.417</v>
      </c>
      <c r="E4" s="0" t="n">
        <v>65.4</v>
      </c>
      <c r="I4" s="0" t="n">
        <v>61.192</v>
      </c>
      <c r="J4" s="0" t="n">
        <v>52.3</v>
      </c>
      <c r="K4" s="0" t="n">
        <v>0.0936</v>
      </c>
      <c r="L4" s="0" t="n">
        <v>73.338</v>
      </c>
      <c r="M4" s="0" t="n">
        <v>33.181</v>
      </c>
      <c r="N4" s="0" t="n">
        <v>40.157</v>
      </c>
      <c r="O4" s="0" t="n">
        <v>938.959</v>
      </c>
      <c r="P4" s="0" t="n">
        <v>1477.619</v>
      </c>
      <c r="Q4" s="0" t="n">
        <v>538.66</v>
      </c>
      <c r="R4" s="0" t="n">
        <v>493.207</v>
      </c>
      <c r="S4" s="0" t="n">
        <v>17.55</v>
      </c>
      <c r="T4" s="0" t="n">
        <v>683.452</v>
      </c>
      <c r="U4" s="0" t="n">
        <v>0</v>
      </c>
      <c r="V4" s="0" t="n">
        <v>0.103</v>
      </c>
      <c r="AA4" s="0" t="s">
        <v>17</v>
      </c>
      <c r="AB4" s="0" t="s">
        <v>14</v>
      </c>
      <c r="AC4" s="0" t="n">
        <v>67.4</v>
      </c>
      <c r="AD4" s="0" t="n">
        <v>33.5</v>
      </c>
      <c r="AF4" s="0" t="n">
        <v>1.37</v>
      </c>
    </row>
    <row r="5" customFormat="false" ht="15" hidden="false" customHeight="false" outlineLevel="0" collapsed="false">
      <c r="A5" s="0" t="s">
        <v>73</v>
      </c>
      <c r="B5" s="0" t="n">
        <v>118.078</v>
      </c>
      <c r="D5" s="0" t="n">
        <v>78.493</v>
      </c>
      <c r="E5" s="0" t="n">
        <v>66.5</v>
      </c>
      <c r="I5" s="0" t="n">
        <v>50.049</v>
      </c>
      <c r="J5" s="0" t="n">
        <v>42.4</v>
      </c>
      <c r="K5" s="0" t="n">
        <v>0.073</v>
      </c>
      <c r="L5" s="0" t="n">
        <v>72.388</v>
      </c>
      <c r="M5" s="0" t="n">
        <v>14.332</v>
      </c>
      <c r="N5" s="0" t="n">
        <v>58.056</v>
      </c>
      <c r="O5" s="0" t="n">
        <v>928.452</v>
      </c>
      <c r="P5" s="0" t="n">
        <v>1484.801</v>
      </c>
      <c r="Q5" s="0" t="n">
        <v>556.349</v>
      </c>
      <c r="R5" s="0" t="n">
        <v>497.416</v>
      </c>
      <c r="S5" s="0" t="n">
        <v>18.091</v>
      </c>
      <c r="T5" s="0" t="n">
        <v>690.913</v>
      </c>
      <c r="U5" s="0" t="n">
        <v>0</v>
      </c>
      <c r="V5" s="0" t="n">
        <v>0.1025</v>
      </c>
      <c r="AA5" s="0" t="s">
        <v>17</v>
      </c>
      <c r="AB5" s="0" t="s">
        <v>14</v>
      </c>
      <c r="AC5" s="0" t="n">
        <v>70.5</v>
      </c>
      <c r="AD5" s="0" t="n">
        <v>33.7</v>
      </c>
      <c r="AF5" s="0" t="n">
        <v>1.34</v>
      </c>
    </row>
    <row r="6" customFormat="false" ht="15" hidden="false" customHeight="false" outlineLevel="0" collapsed="false">
      <c r="A6" s="0" t="s">
        <v>74</v>
      </c>
      <c r="B6" s="0" t="n">
        <v>118.86</v>
      </c>
      <c r="D6" s="0" t="n">
        <v>89.054</v>
      </c>
      <c r="E6" s="0" t="n">
        <v>74.9</v>
      </c>
      <c r="I6" s="0" t="n">
        <v>85.519</v>
      </c>
      <c r="J6" s="0" t="n">
        <v>71.9</v>
      </c>
      <c r="K6" s="0" t="n">
        <v>0.1227</v>
      </c>
      <c r="L6" s="0" t="n">
        <v>82.404</v>
      </c>
      <c r="M6" s="0" t="n">
        <v>28.588</v>
      </c>
      <c r="N6" s="0" t="n">
        <v>53.816</v>
      </c>
      <c r="O6" s="0" t="n">
        <v>954.955</v>
      </c>
      <c r="P6" s="0" t="n">
        <v>1648.932</v>
      </c>
      <c r="Q6" s="0" t="n">
        <v>693.977</v>
      </c>
      <c r="R6" s="0" t="n">
        <v>539.325</v>
      </c>
      <c r="S6" s="0" t="n">
        <v>20.449</v>
      </c>
      <c r="T6" s="0" t="n">
        <v>706.663</v>
      </c>
      <c r="U6" s="0" t="n">
        <v>0</v>
      </c>
      <c r="V6" s="0" t="n">
        <v>0.095</v>
      </c>
      <c r="AA6" s="0" t="s">
        <v>17</v>
      </c>
      <c r="AB6" s="0" t="s">
        <v>14</v>
      </c>
      <c r="AC6" s="0" t="n">
        <v>66.5</v>
      </c>
      <c r="AD6" s="0" t="n">
        <v>34.8</v>
      </c>
      <c r="AE6" s="0" t="n">
        <v>4</v>
      </c>
      <c r="AF6" s="0" t="n">
        <v>1.35</v>
      </c>
    </row>
    <row r="7" customFormat="false" ht="15" hidden="false" customHeight="false" outlineLevel="0" collapsed="false">
      <c r="A7" s="0" t="s">
        <v>75</v>
      </c>
      <c r="B7" s="0" t="n">
        <v>122.633</v>
      </c>
      <c r="D7" s="0" t="n">
        <v>87.532</v>
      </c>
      <c r="E7" s="0" t="n">
        <v>71.4</v>
      </c>
      <c r="I7" s="0" t="n">
        <v>47.571</v>
      </c>
      <c r="J7" s="0" t="n">
        <v>38.8</v>
      </c>
      <c r="K7" s="0" t="n">
        <v>0.0673</v>
      </c>
      <c r="L7" s="0" t="n">
        <v>77.856</v>
      </c>
      <c r="M7" s="0" t="n">
        <v>3.195</v>
      </c>
      <c r="N7" s="0" t="n">
        <v>74.661</v>
      </c>
      <c r="O7" s="0" t="n">
        <v>962.758</v>
      </c>
      <c r="P7" s="0" t="n">
        <v>1846.581</v>
      </c>
      <c r="Q7" s="0" t="n">
        <v>759.21</v>
      </c>
      <c r="R7" s="0" t="n">
        <v>591.456</v>
      </c>
      <c r="S7" s="0" t="n">
        <v>11.159</v>
      </c>
      <c r="T7" s="0" t="n">
        <v>706.663</v>
      </c>
      <c r="U7" s="0" t="n">
        <v>0</v>
      </c>
      <c r="V7" s="0" t="n">
        <v>0.0895</v>
      </c>
      <c r="AA7" s="0" t="s">
        <v>17</v>
      </c>
      <c r="AB7" s="0" t="s">
        <v>14</v>
      </c>
      <c r="AC7" s="0" t="n">
        <v>63.2</v>
      </c>
      <c r="AD7" s="0" t="n">
        <v>33.9</v>
      </c>
      <c r="AE7" s="0" t="n">
        <v>4</v>
      </c>
      <c r="AF7" s="0" t="n">
        <v>1.36</v>
      </c>
      <c r="AG7" s="0" t="n">
        <v>95.4</v>
      </c>
      <c r="AH7" s="0" t="n">
        <v>1087.371</v>
      </c>
    </row>
    <row r="8" customFormat="false" ht="15" hidden="false" customHeight="false" outlineLevel="0" collapsed="false">
      <c r="A8" s="0" t="s">
        <v>76</v>
      </c>
      <c r="B8" s="0" t="n">
        <v>142.39</v>
      </c>
      <c r="D8" s="0" t="n">
        <v>103.185</v>
      </c>
      <c r="E8" s="0" t="n">
        <v>72.5</v>
      </c>
      <c r="I8" s="0" t="n">
        <v>89.241</v>
      </c>
      <c r="J8" s="0" t="n">
        <v>62.7</v>
      </c>
      <c r="K8" s="0" t="n">
        <v>0.1259</v>
      </c>
      <c r="L8" s="0" t="n">
        <v>97.008</v>
      </c>
      <c r="M8" s="0" t="n">
        <v>7.418</v>
      </c>
      <c r="N8" s="0" t="n">
        <v>89.59</v>
      </c>
      <c r="O8" s="0" t="n">
        <v>1000.196</v>
      </c>
      <c r="P8" s="0" t="n">
        <v>2403.661</v>
      </c>
      <c r="Q8" s="0" t="n">
        <v>1029.919</v>
      </c>
      <c r="R8" s="0" t="n">
        <v>852.988</v>
      </c>
      <c r="S8" s="0" t="n">
        <v>21.395</v>
      </c>
      <c r="T8" s="0" t="n">
        <v>716.583</v>
      </c>
      <c r="U8" s="0" t="n">
        <v>0</v>
      </c>
      <c r="V8" s="0" t="n">
        <v>0.0946</v>
      </c>
      <c r="AA8" s="0" t="s">
        <v>17</v>
      </c>
      <c r="AB8" s="0" t="s">
        <v>14</v>
      </c>
      <c r="AC8" s="0" t="n">
        <v>67.2</v>
      </c>
      <c r="AD8" s="0" t="n">
        <v>37.5</v>
      </c>
      <c r="AE8" s="0" t="n">
        <v>2.9</v>
      </c>
      <c r="AF8" s="0" t="n">
        <v>1.4</v>
      </c>
      <c r="AG8" s="0" t="n">
        <v>97.6</v>
      </c>
      <c r="AH8" s="0" t="n">
        <v>1373.742</v>
      </c>
    </row>
    <row r="9" customFormat="false" ht="15" hidden="false" customHeight="false" outlineLevel="0" collapsed="false">
      <c r="A9" s="0" t="s">
        <v>77</v>
      </c>
      <c r="B9" s="0" t="n">
        <v>167.382</v>
      </c>
      <c r="D9" s="0" t="n">
        <v>122.51</v>
      </c>
      <c r="E9" s="0" t="n">
        <v>73.2</v>
      </c>
      <c r="I9" s="0" t="n">
        <v>93.361</v>
      </c>
      <c r="J9" s="0" t="n">
        <v>55.8</v>
      </c>
      <c r="K9" s="0" t="n">
        <v>0.1301</v>
      </c>
      <c r="L9" s="0" t="n">
        <v>109.673</v>
      </c>
      <c r="M9" s="0" t="n">
        <v>3.049</v>
      </c>
      <c r="N9" s="0" t="n">
        <v>106.624</v>
      </c>
      <c r="O9" s="0" t="n">
        <v>993.849</v>
      </c>
      <c r="P9" s="0" t="n">
        <v>2336.422</v>
      </c>
      <c r="Q9" s="0" t="n">
        <v>969.027</v>
      </c>
      <c r="R9" s="0" t="n">
        <v>790.988</v>
      </c>
      <c r="S9" s="0" t="n">
        <v>13.223</v>
      </c>
      <c r="T9" s="0" t="n">
        <v>725.039</v>
      </c>
      <c r="U9" s="0" t="n">
        <v>0</v>
      </c>
      <c r="V9" s="0" t="n">
        <v>0.09944</v>
      </c>
      <c r="AA9" s="0" t="s">
        <v>17</v>
      </c>
      <c r="AB9" s="0" t="s">
        <v>14</v>
      </c>
      <c r="AC9" s="0" t="n">
        <v>71.623</v>
      </c>
      <c r="AD9" s="0" t="n">
        <v>36.1</v>
      </c>
      <c r="AE9" s="0" t="n">
        <v>2.3</v>
      </c>
      <c r="AF9" s="0" t="n">
        <v>1.37</v>
      </c>
      <c r="AG9" s="0" t="n">
        <v>98</v>
      </c>
      <c r="AH9" s="0" t="n">
        <v>1367.395</v>
      </c>
      <c r="AI9" s="0" t="n">
        <v>4.4</v>
      </c>
    </row>
    <row r="10" customFormat="false" ht="15" hidden="false" customHeight="false" outlineLevel="0" collapsed="false">
      <c r="A10" s="0" t="s">
        <v>78</v>
      </c>
      <c r="B10" s="0" t="n">
        <v>177.281</v>
      </c>
      <c r="D10" s="0" t="n">
        <v>130.979</v>
      </c>
      <c r="E10" s="0" t="n">
        <v>73.9</v>
      </c>
      <c r="I10" s="0" t="n">
        <v>42.35</v>
      </c>
      <c r="J10" s="0" t="n">
        <v>23.9</v>
      </c>
      <c r="K10" s="0" t="n">
        <v>0.0535</v>
      </c>
      <c r="L10" s="0" t="n">
        <v>117.282</v>
      </c>
      <c r="M10" s="0" t="n">
        <v>4.268</v>
      </c>
      <c r="N10" s="0" t="n">
        <v>113.014</v>
      </c>
      <c r="O10" s="0" t="n">
        <v>1060.709</v>
      </c>
      <c r="P10" s="0" t="n">
        <v>2316.62</v>
      </c>
      <c r="Q10" s="0" t="n">
        <v>882.346</v>
      </c>
      <c r="R10" s="0" t="n">
        <v>687.414</v>
      </c>
      <c r="S10" s="0" t="n">
        <v>17.816</v>
      </c>
      <c r="T10" s="0" t="n">
        <v>810.955</v>
      </c>
      <c r="U10" s="0" t="n">
        <v>0</v>
      </c>
      <c r="V10" s="0" t="n">
        <v>0.0936</v>
      </c>
      <c r="AA10" s="0" t="s">
        <v>17</v>
      </c>
      <c r="AB10" s="0" t="s">
        <v>14</v>
      </c>
      <c r="AC10" s="0" t="n">
        <v>74.321</v>
      </c>
      <c r="AD10" s="0" t="n">
        <v>32.6</v>
      </c>
      <c r="AE10" s="0" t="n">
        <v>2.4</v>
      </c>
      <c r="AF10" s="0" t="n">
        <v>1.31</v>
      </c>
      <c r="AG10" s="0" t="n">
        <v>97.8</v>
      </c>
      <c r="AH10" s="0" t="n">
        <v>1434.274</v>
      </c>
      <c r="AI10" s="0" t="n">
        <v>5.1</v>
      </c>
    </row>
    <row r="11" customFormat="false" ht="15" hidden="false" customHeight="false" outlineLevel="0" collapsed="false">
      <c r="A11" s="0" t="s">
        <v>79</v>
      </c>
      <c r="B11" s="0" t="n">
        <v>186.626</v>
      </c>
      <c r="D11" s="0" t="n">
        <v>133.742</v>
      </c>
      <c r="E11" s="0" t="n">
        <v>71.7</v>
      </c>
      <c r="I11" s="0" t="n">
        <v>32.729</v>
      </c>
      <c r="J11" s="0" t="n">
        <v>17.5</v>
      </c>
      <c r="K11" s="0" t="n">
        <v>0.0403</v>
      </c>
      <c r="L11" s="0" t="n">
        <v>126.523</v>
      </c>
      <c r="M11" s="0" t="n">
        <v>25.425</v>
      </c>
      <c r="N11" s="0" t="n">
        <v>101.098</v>
      </c>
      <c r="O11" s="0" t="n">
        <v>1005.891</v>
      </c>
      <c r="P11" s="0" t="n">
        <v>2290.62</v>
      </c>
      <c r="Q11" s="0" t="n">
        <v>787.316</v>
      </c>
      <c r="R11" s="0" t="n">
        <v>578.743</v>
      </c>
      <c r="S11" s="0" t="n">
        <v>14.456</v>
      </c>
      <c r="T11" s="0" t="n">
        <v>816.616</v>
      </c>
      <c r="U11" s="0" t="n">
        <v>0</v>
      </c>
      <c r="V11" s="0" t="n">
        <v>0.096</v>
      </c>
      <c r="AA11" s="0" t="s">
        <v>17</v>
      </c>
      <c r="AB11" s="0" t="s">
        <v>14</v>
      </c>
      <c r="AC11" s="0" t="n">
        <v>78.154</v>
      </c>
      <c r="AD11" s="0" t="n">
        <v>28.9</v>
      </c>
      <c r="AE11" s="0" t="n">
        <v>2.4</v>
      </c>
      <c r="AF11" s="0" t="n">
        <v>1.23</v>
      </c>
      <c r="AG11" s="0" t="n">
        <v>93.6</v>
      </c>
      <c r="AH11" s="0" t="n">
        <v>1503.304</v>
      </c>
      <c r="AI11" s="0" t="n">
        <v>4.4</v>
      </c>
    </row>
    <row r="12" customFormat="false" ht="15" hidden="false" customHeight="false" outlineLevel="0" collapsed="false">
      <c r="A12" s="0" t="s">
        <v>80</v>
      </c>
      <c r="B12" s="0" t="n">
        <v>190.665</v>
      </c>
      <c r="D12" s="0" t="n">
        <v>141.349</v>
      </c>
      <c r="E12" s="0" t="n">
        <v>74.1</v>
      </c>
      <c r="I12" s="0" t="n">
        <v>107.824</v>
      </c>
      <c r="J12" s="0" t="n">
        <v>56.6</v>
      </c>
      <c r="K12" s="0" t="n">
        <v>0.132</v>
      </c>
      <c r="L12" s="0" t="n">
        <v>123.483</v>
      </c>
      <c r="M12" s="0" t="n">
        <v>14.348</v>
      </c>
      <c r="N12" s="0" t="n">
        <v>109.135</v>
      </c>
      <c r="O12" s="0" t="n">
        <v>1046.231</v>
      </c>
      <c r="P12" s="0" t="n">
        <v>2464.016</v>
      </c>
      <c r="Q12" s="0" t="n">
        <v>796.558</v>
      </c>
      <c r="R12" s="0" t="n">
        <v>567.758</v>
      </c>
      <c r="S12" s="0" t="n">
        <v>53.215</v>
      </c>
      <c r="T12" s="0" t="n">
        <v>820.561</v>
      </c>
      <c r="U12" s="0" t="n">
        <v>0</v>
      </c>
      <c r="V12" s="0" t="n">
        <v>0.0985</v>
      </c>
      <c r="AA12" s="0" t="s">
        <v>17</v>
      </c>
      <c r="AB12" s="0" t="s">
        <v>14</v>
      </c>
      <c r="AC12" s="0" t="n">
        <v>80.6</v>
      </c>
      <c r="AD12" s="0" t="n">
        <v>26.8</v>
      </c>
      <c r="AE12" s="0" t="n">
        <v>2.7</v>
      </c>
      <c r="AF12" s="0" t="n">
        <v>1.28</v>
      </c>
      <c r="AG12" s="0" t="n">
        <v>93.6</v>
      </c>
      <c r="AH12" s="0" t="n">
        <v>1667.458</v>
      </c>
      <c r="AI12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1.4</v>
      </c>
    </row>
    <row r="3" customFormat="false" ht="15" hidden="false" customHeight="false" outlineLevel="0" collapsed="false">
      <c r="A3" s="0" t="s">
        <v>84</v>
      </c>
      <c r="B3" s="3" t="n">
        <v>820.561</v>
      </c>
    </row>
    <row r="4" customFormat="false" ht="15" hidden="false" customHeight="false" outlineLevel="0" collapsed="false">
      <c r="A4" s="0" t="s">
        <v>85</v>
      </c>
      <c r="B4" s="3" t="n">
        <v>0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190.665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1</v>
      </c>
      <c r="D13" s="3" t="n">
        <v>0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105</v>
      </c>
      <c r="C14" s="3" t="n">
        <v>42.5</v>
      </c>
      <c r="D14" s="3" t="n">
        <v>41.5</v>
      </c>
      <c r="E14" s="3" t="n">
        <v>41</v>
      </c>
      <c r="F14" s="3" t="n">
        <v>41</v>
      </c>
      <c r="G14" s="3" t="n">
        <v>40.5</v>
      </c>
      <c r="H14" s="3" t="n">
        <v>40.5</v>
      </c>
      <c r="I14" s="3" t="n">
        <v>40.5</v>
      </c>
      <c r="J14" s="3" t="n">
        <v>40.5</v>
      </c>
      <c r="K14" s="3" t="n">
        <v>40.5</v>
      </c>
      <c r="L14" s="3" t="n">
        <v>40.5</v>
      </c>
    </row>
    <row r="15" customFormat="false" ht="15" hidden="false" customHeight="false" outlineLevel="0" collapsed="false">
      <c r="A15" s="0" t="s">
        <v>106</v>
      </c>
      <c r="C15" s="3" t="n">
        <v>2.9</v>
      </c>
      <c r="D15" s="3" t="n">
        <v>2.9</v>
      </c>
      <c r="E15" s="3" t="n">
        <v>2.9</v>
      </c>
      <c r="F15" s="3" t="n">
        <v>2.9</v>
      </c>
      <c r="G15" s="3" t="n">
        <v>2.9</v>
      </c>
      <c r="H15" s="3" t="n">
        <v>2.9</v>
      </c>
      <c r="I15" s="3" t="n">
        <v>2.9</v>
      </c>
      <c r="J15" s="3" t="n">
        <v>2.9</v>
      </c>
      <c r="K15" s="3" t="n">
        <v>2.9</v>
      </c>
      <c r="L15" s="3" t="n">
        <v>2.9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109</v>
      </c>
      <c r="C18" s="3" t="n">
        <v>4.5</v>
      </c>
      <c r="D18" s="3" t="n">
        <v>4.5</v>
      </c>
      <c r="E18" s="3" t="n">
        <v>4.5</v>
      </c>
      <c r="F18" s="3" t="n">
        <v>4.5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111</v>
      </c>
      <c r="B20" s="3" t="n">
        <v>9</v>
      </c>
    </row>
    <row r="21" customFormat="false" ht="15" hidden="false" customHeight="false" outlineLevel="0" collapsed="false">
      <c r="A21" s="0" t="s">
        <v>112</v>
      </c>
      <c r="B21" s="3" t="n">
        <v>0.5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3</v>
      </c>
      <c r="D27" s="3" t="n">
        <v>3</v>
      </c>
      <c r="E27" s="3" t="n">
        <v>2.5</v>
      </c>
      <c r="F27" s="3" t="n">
        <v>2.5</v>
      </c>
      <c r="G27" s="3" t="n">
        <v>2.5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105</v>
      </c>
      <c r="C28" s="3" t="n">
        <v>43</v>
      </c>
      <c r="D28" s="3" t="n">
        <v>43.5</v>
      </c>
      <c r="E28" s="3" t="n">
        <v>43.5</v>
      </c>
      <c r="F28" s="3" t="n">
        <v>43.5</v>
      </c>
      <c r="G28" s="3" t="n">
        <v>43</v>
      </c>
      <c r="H28" s="3" t="n">
        <v>43</v>
      </c>
      <c r="I28" s="3" t="n">
        <v>43</v>
      </c>
      <c r="J28" s="3" t="n">
        <v>43</v>
      </c>
      <c r="K28" s="3" t="n">
        <v>43</v>
      </c>
      <c r="L28" s="3" t="n">
        <v>43</v>
      </c>
    </row>
    <row r="29" customFormat="false" ht="15" hidden="false" customHeight="false" outlineLevel="0" collapsed="false">
      <c r="A29" s="0" t="s">
        <v>106</v>
      </c>
      <c r="C29" s="3" t="n">
        <v>2.9</v>
      </c>
      <c r="D29" s="3" t="n">
        <v>2.9</v>
      </c>
      <c r="E29" s="3" t="n">
        <v>2.9</v>
      </c>
      <c r="F29" s="3" t="n">
        <v>2.9</v>
      </c>
      <c r="G29" s="3" t="n">
        <v>2.9</v>
      </c>
      <c r="H29" s="3" t="n">
        <v>2.9</v>
      </c>
      <c r="I29" s="3" t="n">
        <v>2.9</v>
      </c>
      <c r="J29" s="3" t="n">
        <v>2.9</v>
      </c>
      <c r="K29" s="3" t="n">
        <v>2.9</v>
      </c>
      <c r="L29" s="3" t="n">
        <v>2.9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109</v>
      </c>
      <c r="C32" s="3" t="n">
        <v>3.5</v>
      </c>
      <c r="D32" s="3" t="n">
        <v>3.5</v>
      </c>
      <c r="E32" s="3" t="n">
        <v>3.5</v>
      </c>
      <c r="F32" s="3" t="n">
        <v>3.5</v>
      </c>
      <c r="G32" s="3" t="n">
        <v>3.5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110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111</v>
      </c>
      <c r="B34" s="3" t="n">
        <v>8</v>
      </c>
    </row>
    <row r="35" customFormat="false" ht="15" hidden="false" customHeight="false" outlineLevel="0" collapsed="false">
      <c r="A35" s="0" t="s">
        <v>112</v>
      </c>
      <c r="B35" s="3" t="n">
        <v>1.5</v>
      </c>
    </row>
    <row r="36" customFormat="false" ht="15" hidden="false" customHeight="false" outlineLevel="0" collapsed="false">
      <c r="A36" s="0" t="s">
        <v>113</v>
      </c>
      <c r="B36" s="3" t="n">
        <v>16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4</v>
      </c>
      <c r="D41" s="3" t="n">
        <v>4.5</v>
      </c>
      <c r="E41" s="3" t="n">
        <v>4.5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105</v>
      </c>
      <c r="C42" s="3" t="n">
        <v>43.5</v>
      </c>
      <c r="D42" s="3" t="n">
        <v>44</v>
      </c>
      <c r="E42" s="3" t="n">
        <v>44.5</v>
      </c>
      <c r="F42" s="3" t="n">
        <v>44.5</v>
      </c>
      <c r="G42" s="3" t="n">
        <v>44.5</v>
      </c>
      <c r="H42" s="3" t="n">
        <v>44.5</v>
      </c>
      <c r="I42" s="3" t="n">
        <v>44.5</v>
      </c>
      <c r="J42" s="3" t="n">
        <v>44.5</v>
      </c>
      <c r="K42" s="3" t="n">
        <v>44.5</v>
      </c>
      <c r="L42" s="3" t="n">
        <v>44.5</v>
      </c>
    </row>
    <row r="43" customFormat="false" ht="15" hidden="false" customHeight="false" outlineLevel="0" collapsed="false">
      <c r="A43" s="0" t="s">
        <v>106</v>
      </c>
      <c r="C43" s="3" t="n">
        <v>2.9</v>
      </c>
      <c r="D43" s="3" t="n">
        <v>2.9</v>
      </c>
      <c r="E43" s="3" t="n">
        <v>2.9</v>
      </c>
      <c r="F43" s="3" t="n">
        <v>2.9</v>
      </c>
      <c r="G43" s="3" t="n">
        <v>2.9</v>
      </c>
      <c r="H43" s="3" t="n">
        <v>2.9</v>
      </c>
      <c r="I43" s="3" t="n">
        <v>2.9</v>
      </c>
      <c r="J43" s="3" t="n">
        <v>2.9</v>
      </c>
      <c r="K43" s="3" t="n">
        <v>2.9</v>
      </c>
      <c r="L43" s="3" t="n">
        <v>2.9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109</v>
      </c>
      <c r="C46" s="3" t="n">
        <v>3</v>
      </c>
      <c r="D46" s="3" t="n">
        <v>3</v>
      </c>
      <c r="E46" s="3" t="n">
        <v>3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111</v>
      </c>
      <c r="B48" s="3" t="n">
        <v>7.5</v>
      </c>
    </row>
    <row r="49" customFormat="false" ht="15" hidden="false" customHeight="false" outlineLevel="0" collapsed="false">
      <c r="A49" s="0" t="s">
        <v>112</v>
      </c>
      <c r="B49" s="3" t="n">
        <v>2</v>
      </c>
    </row>
    <row r="50" customFormat="false" ht="15" hidden="false" customHeight="false" outlineLevel="0" collapsed="false">
      <c r="A50" s="0" t="s">
        <v>113</v>
      </c>
      <c r="B50" s="3" t="n">
        <v>18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1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190.665</v>
      </c>
      <c r="C6" s="0" t="n">
        <f aca="false">B6*(1+C5/100)</f>
        <v>192.57165</v>
      </c>
      <c r="D6" s="0" t="n">
        <f aca="false">C6*(1+D5/100)</f>
        <v>192.57165</v>
      </c>
      <c r="E6" s="0" t="n">
        <f aca="false">D6*(1+E5/100)</f>
        <v>194.4973665</v>
      </c>
      <c r="F6" s="0" t="n">
        <f aca="false">E6*(1+F5/100)</f>
        <v>197.4148269975</v>
      </c>
      <c r="G6" s="0" t="n">
        <f aca="false">F6*(1+G5/100)</f>
        <v>200.376049402462</v>
      </c>
      <c r="H6" s="0" t="n">
        <f aca="false">G6*(1+H5/100)</f>
        <v>203.381690143499</v>
      </c>
      <c r="I6" s="0" t="n">
        <f aca="false">H6*(1+I5/100)</f>
        <v>205.415507044934</v>
      </c>
      <c r="J6" s="0" t="n">
        <f aca="false">I6*(1+J5/100)</f>
        <v>207.469662115384</v>
      </c>
      <c r="K6" s="0" t="n">
        <f aca="false">J6*(1+K5/100)</f>
        <v>209.544358736538</v>
      </c>
      <c r="L6" s="0" t="n">
        <f aca="false">K6*(1+L5/100)</f>
        <v>211.639802323903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42.5</v>
      </c>
      <c r="D7" s="4" t="n">
        <f aca="false">Assumptions!D14</f>
        <v>41.5</v>
      </c>
      <c r="E7" s="4" t="n">
        <f aca="false">Assumptions!E14</f>
        <v>41</v>
      </c>
      <c r="F7" s="4" t="n">
        <f aca="false">Assumptions!F14</f>
        <v>41</v>
      </c>
      <c r="G7" s="4" t="n">
        <f aca="false">Assumptions!G14</f>
        <v>40.5</v>
      </c>
      <c r="H7" s="4" t="n">
        <f aca="false">Assumptions!H14</f>
        <v>40.5</v>
      </c>
      <c r="I7" s="4" t="n">
        <f aca="false">Assumptions!I14</f>
        <v>40.5</v>
      </c>
      <c r="J7" s="4" t="n">
        <f aca="false">Assumptions!J14</f>
        <v>40.5</v>
      </c>
      <c r="K7" s="4" t="n">
        <f aca="false">Assumptions!K14</f>
        <v>40.5</v>
      </c>
      <c r="L7" s="4" t="n">
        <f aca="false">Assumptions!L14</f>
        <v>40.5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81.84295125</v>
      </c>
      <c r="D8" s="0" t="n">
        <f aca="false">D6*D7/100</f>
        <v>79.91723475</v>
      </c>
      <c r="E8" s="0" t="n">
        <f aca="false">E6*E7/100</f>
        <v>79.743920265</v>
      </c>
      <c r="F8" s="0" t="n">
        <f aca="false">F6*F7/100</f>
        <v>80.940079068975</v>
      </c>
      <c r="G8" s="0" t="n">
        <f aca="false">G6*G7/100</f>
        <v>81.1523000079973</v>
      </c>
      <c r="H8" s="0" t="n">
        <f aca="false">H6*H7/100</f>
        <v>82.3695845081173</v>
      </c>
      <c r="I8" s="0" t="n">
        <f aca="false">I6*I7/100</f>
        <v>83.1932803531984</v>
      </c>
      <c r="J8" s="0" t="n">
        <f aca="false">J6*J7/100</f>
        <v>84.0252131567304</v>
      </c>
      <c r="K8" s="0" t="n">
        <f aca="false">K6*K7/100</f>
        <v>84.8654652882977</v>
      </c>
      <c r="L8" s="0" t="n">
        <f aca="false">L6*L7/100</f>
        <v>85.7141199411807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2.9</v>
      </c>
      <c r="D9" s="4" t="n">
        <f aca="false">Assumptions!D15</f>
        <v>2.9</v>
      </c>
      <c r="E9" s="4" t="n">
        <f aca="false">Assumptions!E15</f>
        <v>2.9</v>
      </c>
      <c r="F9" s="4" t="n">
        <f aca="false">Assumptions!F15</f>
        <v>2.9</v>
      </c>
      <c r="G9" s="4" t="n">
        <f aca="false">Assumptions!G15</f>
        <v>2.9</v>
      </c>
      <c r="H9" s="4" t="n">
        <f aca="false">Assumptions!H15</f>
        <v>2.9</v>
      </c>
      <c r="I9" s="4" t="n">
        <f aca="false">Assumptions!I15</f>
        <v>2.9</v>
      </c>
      <c r="J9" s="4" t="n">
        <f aca="false">Assumptions!J15</f>
        <v>2.9</v>
      </c>
      <c r="K9" s="4" t="n">
        <f aca="false">Assumptions!K15</f>
        <v>2.9</v>
      </c>
      <c r="L9" s="4" t="n">
        <f aca="false">Assumptions!L15</f>
        <v>2.9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-5.58457785</v>
      </c>
      <c r="D10" s="0" t="n">
        <f aca="false">-D6*D9/100</f>
        <v>-5.58457785</v>
      </c>
      <c r="E10" s="0" t="n">
        <f aca="false">-E6*E9/100</f>
        <v>-5.6404236285</v>
      </c>
      <c r="F10" s="0" t="n">
        <f aca="false">-F6*F9/100</f>
        <v>-5.7250299829275</v>
      </c>
      <c r="G10" s="0" t="n">
        <f aca="false">-G6*G9/100</f>
        <v>-5.81090543267141</v>
      </c>
      <c r="H10" s="0" t="n">
        <f aca="false">-H6*H9/100</f>
        <v>-5.89806901416148</v>
      </c>
      <c r="I10" s="0" t="n">
        <f aca="false">-I6*I9/100</f>
        <v>-5.9570497043031</v>
      </c>
      <c r="J10" s="0" t="n">
        <f aca="false">-J6*J9/100</f>
        <v>-6.01662020134613</v>
      </c>
      <c r="K10" s="0" t="n">
        <f aca="false">-K6*K9/100</f>
        <v>-6.07678640335959</v>
      </c>
      <c r="L10" s="0" t="n">
        <f aca="false">-L6*L9/100</f>
        <v>-6.13755426739319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76.2583734</v>
      </c>
      <c r="D11" s="0" t="n">
        <f aca="false">D8+D10+D24</f>
        <v>74.3326569</v>
      </c>
      <c r="E11" s="0" t="n">
        <f aca="false">E8+E10+E24</f>
        <v>74.1034966365</v>
      </c>
      <c r="F11" s="0" t="n">
        <f aca="false">F8+F10+F24</f>
        <v>75.2150490860475</v>
      </c>
      <c r="G11" s="0" t="n">
        <f aca="false">G8+G10+G24</f>
        <v>75.3413945753259</v>
      </c>
      <c r="H11" s="0" t="n">
        <f aca="false">H8+H10+H24</f>
        <v>76.4715154939558</v>
      </c>
      <c r="I11" s="0" t="n">
        <f aca="false">I8+I10+I24</f>
        <v>77.2362306488953</v>
      </c>
      <c r="J11" s="0" t="n">
        <f aca="false">J8+J10+J24</f>
        <v>78.0085929553843</v>
      </c>
      <c r="K11" s="0" t="n">
        <f aca="false">K8+K10+K24</f>
        <v>78.7886788849381</v>
      </c>
      <c r="L11" s="0" t="n">
        <f aca="false">L8+L10+L24</f>
        <v>79.5765656737875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76.2583734</v>
      </c>
      <c r="D13" s="0" t="n">
        <f aca="false">D11+D12</f>
        <v>74.3326569</v>
      </c>
      <c r="E13" s="0" t="n">
        <f aca="false">E11+E12</f>
        <v>74.1034966365</v>
      </c>
      <c r="F13" s="0" t="n">
        <f aca="false">F11+F12</f>
        <v>75.2150490860475</v>
      </c>
      <c r="G13" s="0" t="n">
        <f aca="false">G11+G12</f>
        <v>75.3413945753259</v>
      </c>
      <c r="H13" s="0" t="n">
        <f aca="false">H11+H12</f>
        <v>76.4715154939558</v>
      </c>
      <c r="I13" s="0" t="n">
        <f aca="false">I11+I12</f>
        <v>77.2362306488953</v>
      </c>
      <c r="J13" s="0" t="n">
        <f aca="false">J11+J12</f>
        <v>78.0085929553843</v>
      </c>
      <c r="K13" s="0" t="n">
        <f aca="false">K11+K12</f>
        <v>78.7886788849381</v>
      </c>
      <c r="L13" s="0" t="n">
        <f aca="false">L11+L12</f>
        <v>79.5765656737875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76.2583734</v>
      </c>
      <c r="D15" s="0" t="n">
        <f aca="false">D13-MAX(0,D13)*D14/100</f>
        <v>74.3326569</v>
      </c>
      <c r="E15" s="0" t="n">
        <f aca="false">E13-MAX(0,E13)*E14/100</f>
        <v>74.1034966365</v>
      </c>
      <c r="F15" s="0" t="n">
        <f aca="false">F13-MAX(0,F13)*F14/100</f>
        <v>75.2150490860475</v>
      </c>
      <c r="G15" s="0" t="n">
        <f aca="false">G13-MAX(0,G13)*G14/100</f>
        <v>75.3413945753259</v>
      </c>
      <c r="H15" s="0" t="n">
        <f aca="false">H13-MAX(0,H13)*H14/100</f>
        <v>76.4715154939558</v>
      </c>
      <c r="I15" s="0" t="n">
        <f aca="false">I13-MAX(0,I13)*I14/100</f>
        <v>77.2362306488953</v>
      </c>
      <c r="J15" s="0" t="n">
        <f aca="false">J13-MAX(0,J13)*J14/100</f>
        <v>78.0085929553843</v>
      </c>
      <c r="K15" s="0" t="n">
        <f aca="false">K13-MAX(0,K13)*K14/100</f>
        <v>78.7886788849381</v>
      </c>
      <c r="L15" s="0" t="n">
        <f aca="false">L13-MAX(0,L13)*L14/100</f>
        <v>79.5765656737875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-8.66572425</v>
      </c>
      <c r="D17" s="4" t="n">
        <f aca="false">-D6*Assumptions!D18/100</f>
        <v>-8.66572425</v>
      </c>
      <c r="E17" s="4" t="n">
        <f aca="false">-E6*Assumptions!E18/100</f>
        <v>-8.7523814925</v>
      </c>
      <c r="F17" s="4" t="n">
        <f aca="false">-F6*Assumptions!F18/100</f>
        <v>-8.8836672148875</v>
      </c>
      <c r="G17" s="4" t="n">
        <f aca="false">-G6*Assumptions!G18/100</f>
        <v>-9.01692222311081</v>
      </c>
      <c r="H17" s="4" t="n">
        <f aca="false">-H6*Assumptions!H18/100</f>
        <v>-9.15217605645747</v>
      </c>
      <c r="I17" s="4" t="n">
        <f aca="false">-I6*Assumptions!I18/100</f>
        <v>-9.24369781702205</v>
      </c>
      <c r="J17" s="4" t="n">
        <f aca="false">-J6*Assumptions!J18/100</f>
        <v>-9.33613479519227</v>
      </c>
      <c r="K17" s="4" t="n">
        <f aca="false">-K6*Assumptions!K18/100</f>
        <v>-9.42949614314419</v>
      </c>
      <c r="L17" s="4" t="n">
        <f aca="false">-L6*Assumptions!L18/100</f>
        <v>-9.52379110457563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67.59264915</v>
      </c>
      <c r="D19" s="0" t="n">
        <f aca="false">D15+D16+D17+D18</f>
        <v>65.66693265</v>
      </c>
      <c r="E19" s="0" t="n">
        <f aca="false">E15+E16+E17+E18</f>
        <v>65.351115144</v>
      </c>
      <c r="F19" s="0" t="n">
        <f aca="false">F15+F16+F17+F18</f>
        <v>66.33138187116</v>
      </c>
      <c r="G19" s="0" t="n">
        <f aca="false">G15+G16+G17+G18</f>
        <v>66.3244723522151</v>
      </c>
      <c r="H19" s="0" t="n">
        <f aca="false">H15+H16+H17+H18</f>
        <v>67.3193394374983</v>
      </c>
      <c r="I19" s="0" t="n">
        <f aca="false">I15+I16+I17+I18</f>
        <v>67.9925328318733</v>
      </c>
      <c r="J19" s="0" t="n">
        <f aca="false">J15+J16+J17+J18</f>
        <v>68.672458160192</v>
      </c>
      <c r="K19" s="0" t="n">
        <f aca="false">K15+K16+K17+K18</f>
        <v>69.3591827417939</v>
      </c>
      <c r="L19" s="0" t="n">
        <f aca="false">L15+L16+L17+L18</f>
        <v>70.0527745692119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62.0116047247706</v>
      </c>
      <c r="D21" s="0" t="n">
        <f aca="false">D19*D20</f>
        <v>55.2705434306876</v>
      </c>
      <c r="E21" s="0" t="n">
        <f aca="false">E19*E20</f>
        <v>50.4630515177652</v>
      </c>
      <c r="F21" s="0" t="n">
        <f aca="false">F19*F20</f>
        <v>46.9908232023227</v>
      </c>
      <c r="G21" s="0" t="n">
        <f aca="false">G19*G20</f>
        <v>43.1063562613814</v>
      </c>
      <c r="H21" s="0" t="n">
        <f aca="false">H19*H20</f>
        <v>40.1403225736717</v>
      </c>
      <c r="I21" s="0" t="n">
        <f aca="false">I19*I20</f>
        <v>37.1942438526682</v>
      </c>
      <c r="J21" s="0" t="n">
        <f aca="false">J19*J20</f>
        <v>34.4643910928394</v>
      </c>
      <c r="K21" s="0" t="n">
        <f aca="false">K19*K20</f>
        <v>31.9348944988695</v>
      </c>
      <c r="L21" s="0" t="n">
        <f aca="false">L19*L20</f>
        <v>29.5910490310626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431.167280186039</v>
      </c>
    </row>
    <row r="31" customFormat="false" ht="15" hidden="false" customHeight="false" outlineLevel="0" collapsed="false">
      <c r="A31" s="0" t="s">
        <v>135</v>
      </c>
      <c r="B31" s="0" t="n">
        <f aca="false">L19</f>
        <v>70.0527745692119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828.271040494799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840.633294830542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828.271040494799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349.87063854374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781.037918729779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781.037918729779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0.951834072944947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-0.320118519325038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37.197346057318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30.653318784799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1.03452221537691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485.538196152124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0.55628198993613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3</v>
      </c>
      <c r="D5" s="4" t="n">
        <f aca="false">Assumptions!D27</f>
        <v>3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190.665</v>
      </c>
      <c r="C6" s="0" t="n">
        <f aca="false">B6*(1+C5/100)</f>
        <v>196.38495</v>
      </c>
      <c r="D6" s="0" t="n">
        <f aca="false">C6*(1+D5/100)</f>
        <v>202.2764985</v>
      </c>
      <c r="E6" s="0" t="n">
        <f aca="false">D6*(1+E5/100)</f>
        <v>207.3334109625</v>
      </c>
      <c r="F6" s="0" t="n">
        <f aca="false">E6*(1+F5/100)</f>
        <v>212.516746236562</v>
      </c>
      <c r="G6" s="0" t="n">
        <f aca="false">F6*(1+G5/100)</f>
        <v>217.829664892477</v>
      </c>
      <c r="H6" s="0" t="n">
        <f aca="false">G6*(1+H5/100)</f>
        <v>222.186258190326</v>
      </c>
      <c r="I6" s="0" t="n">
        <f aca="false">H6*(1+I5/100)</f>
        <v>226.629983354133</v>
      </c>
      <c r="J6" s="0" t="n">
        <f aca="false">I6*(1+J5/100)</f>
        <v>231.162583021215</v>
      </c>
      <c r="K6" s="0" t="n">
        <f aca="false">J6*(1+K5/100)</f>
        <v>235.78583468164</v>
      </c>
      <c r="L6" s="0" t="n">
        <f aca="false">K6*(1+L5/100)</f>
        <v>240.501551375272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43</v>
      </c>
      <c r="D7" s="4" t="n">
        <f aca="false">Assumptions!D28</f>
        <v>43.5</v>
      </c>
      <c r="E7" s="4" t="n">
        <f aca="false">Assumptions!E28</f>
        <v>43.5</v>
      </c>
      <c r="F7" s="4" t="n">
        <f aca="false">Assumptions!F28</f>
        <v>43.5</v>
      </c>
      <c r="G7" s="4" t="n">
        <f aca="false">Assumptions!G28</f>
        <v>43</v>
      </c>
      <c r="H7" s="4" t="n">
        <f aca="false">Assumptions!H28</f>
        <v>43</v>
      </c>
      <c r="I7" s="4" t="n">
        <f aca="false">Assumptions!I28</f>
        <v>43</v>
      </c>
      <c r="J7" s="4" t="n">
        <f aca="false">Assumptions!J28</f>
        <v>43</v>
      </c>
      <c r="K7" s="4" t="n">
        <f aca="false">Assumptions!K28</f>
        <v>43</v>
      </c>
      <c r="L7" s="4" t="n">
        <f aca="false">Assumptions!L28</f>
        <v>43</v>
      </c>
    </row>
    <row r="8" customFormat="false" ht="15" hidden="false" customHeight="false" outlineLevel="0" collapsed="false">
      <c r="A8" s="0" t="s">
        <v>43</v>
      </c>
      <c r="C8" s="0" t="n">
        <f aca="false">C6*C7/100</f>
        <v>84.4455285</v>
      </c>
      <c r="D8" s="0" t="n">
        <f aca="false">D6*D7/100</f>
        <v>87.9902768475</v>
      </c>
      <c r="E8" s="0" t="n">
        <f aca="false">E6*E7/100</f>
        <v>90.1900337686875</v>
      </c>
      <c r="F8" s="0" t="n">
        <f aca="false">F6*F7/100</f>
        <v>92.4447846129047</v>
      </c>
      <c r="G8" s="0" t="n">
        <f aca="false">G6*G7/100</f>
        <v>93.6667559037649</v>
      </c>
      <c r="H8" s="0" t="n">
        <f aca="false">H6*H7/100</f>
        <v>95.5400910218402</v>
      </c>
      <c r="I8" s="0" t="n">
        <f aca="false">I6*I7/100</f>
        <v>97.450892842277</v>
      </c>
      <c r="J8" s="0" t="n">
        <f aca="false">J6*J7/100</f>
        <v>99.3999106991226</v>
      </c>
      <c r="K8" s="0" t="n">
        <f aca="false">K6*K7/100</f>
        <v>101.387908913105</v>
      </c>
      <c r="L8" s="0" t="n">
        <f aca="false">L6*L7/100</f>
        <v>103.415667091367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2.9</v>
      </c>
      <c r="D9" s="4" t="n">
        <f aca="false">Assumptions!D29</f>
        <v>2.9</v>
      </c>
      <c r="E9" s="4" t="n">
        <f aca="false">Assumptions!E29</f>
        <v>2.9</v>
      </c>
      <c r="F9" s="4" t="n">
        <f aca="false">Assumptions!F29</f>
        <v>2.9</v>
      </c>
      <c r="G9" s="4" t="n">
        <f aca="false">Assumptions!G29</f>
        <v>2.9</v>
      </c>
      <c r="H9" s="4" t="n">
        <f aca="false">Assumptions!H29</f>
        <v>2.9</v>
      </c>
      <c r="I9" s="4" t="n">
        <f aca="false">Assumptions!I29</f>
        <v>2.9</v>
      </c>
      <c r="J9" s="4" t="n">
        <f aca="false">Assumptions!J29</f>
        <v>2.9</v>
      </c>
      <c r="K9" s="4" t="n">
        <f aca="false">Assumptions!K29</f>
        <v>2.9</v>
      </c>
      <c r="L9" s="4" t="n">
        <f aca="false">Assumptions!L29</f>
        <v>2.9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-5.69516355</v>
      </c>
      <c r="D10" s="0" t="n">
        <f aca="false">-D6*D9/100</f>
        <v>-5.8660184565</v>
      </c>
      <c r="E10" s="0" t="n">
        <f aca="false">-E6*E9/100</f>
        <v>-6.0126689179125</v>
      </c>
      <c r="F10" s="0" t="n">
        <f aca="false">-F6*F9/100</f>
        <v>-6.16298564086031</v>
      </c>
      <c r="G10" s="0" t="n">
        <f aca="false">-G6*G9/100</f>
        <v>-6.31706028188182</v>
      </c>
      <c r="H10" s="0" t="n">
        <f aca="false">-H6*H9/100</f>
        <v>-6.44340148751946</v>
      </c>
      <c r="I10" s="0" t="n">
        <f aca="false">-I6*I9/100</f>
        <v>-6.57226951726984</v>
      </c>
      <c r="J10" s="0" t="n">
        <f aca="false">-J6*J9/100</f>
        <v>-6.70371490761524</v>
      </c>
      <c r="K10" s="0" t="n">
        <f aca="false">-K6*K9/100</f>
        <v>-6.83778920576755</v>
      </c>
      <c r="L10" s="0" t="n">
        <f aca="false">-L6*L9/100</f>
        <v>-6.9745449898829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78.75036495</v>
      </c>
      <c r="D11" s="0" t="n">
        <f aca="false">D8+D10+D24</f>
        <v>82.124258391</v>
      </c>
      <c r="E11" s="0" t="n">
        <f aca="false">E8+E10+E24</f>
        <v>84.177364850775</v>
      </c>
      <c r="F11" s="0" t="n">
        <f aca="false">F8+F10+F24</f>
        <v>86.2817989720443</v>
      </c>
      <c r="G11" s="0" t="n">
        <f aca="false">G8+G10+G24</f>
        <v>87.3496956218831</v>
      </c>
      <c r="H11" s="0" t="n">
        <f aca="false">H8+H10+H24</f>
        <v>89.0966895343208</v>
      </c>
      <c r="I11" s="0" t="n">
        <f aca="false">I8+I10+I24</f>
        <v>90.8786233250072</v>
      </c>
      <c r="J11" s="0" t="n">
        <f aca="false">J8+J10+J24</f>
        <v>92.6961957915073</v>
      </c>
      <c r="K11" s="0" t="n">
        <f aca="false">K8+K10+K24</f>
        <v>94.5501197073375</v>
      </c>
      <c r="L11" s="0" t="n">
        <f aca="false">L8+L10+L24</f>
        <v>96.4411221014842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78.75036495</v>
      </c>
      <c r="D13" s="0" t="n">
        <f aca="false">D11+D12</f>
        <v>82.124258391</v>
      </c>
      <c r="E13" s="0" t="n">
        <f aca="false">E11+E12</f>
        <v>84.177364850775</v>
      </c>
      <c r="F13" s="0" t="n">
        <f aca="false">F11+F12</f>
        <v>86.2817989720443</v>
      </c>
      <c r="G13" s="0" t="n">
        <f aca="false">G11+G12</f>
        <v>87.3496956218831</v>
      </c>
      <c r="H13" s="0" t="n">
        <f aca="false">H11+H12</f>
        <v>89.0966895343208</v>
      </c>
      <c r="I13" s="0" t="n">
        <f aca="false">I11+I12</f>
        <v>90.8786233250072</v>
      </c>
      <c r="J13" s="0" t="n">
        <f aca="false">J11+J12</f>
        <v>92.6961957915073</v>
      </c>
      <c r="K13" s="0" t="n">
        <f aca="false">K11+K12</f>
        <v>94.5501197073375</v>
      </c>
      <c r="L13" s="0" t="n">
        <f aca="false">L11+L12</f>
        <v>96.4411221014842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78.75036495</v>
      </c>
      <c r="D15" s="0" t="n">
        <f aca="false">D13-MAX(0,D13)*D14/100</f>
        <v>82.124258391</v>
      </c>
      <c r="E15" s="0" t="n">
        <f aca="false">E13-MAX(0,E13)*E14/100</f>
        <v>84.177364850775</v>
      </c>
      <c r="F15" s="0" t="n">
        <f aca="false">F13-MAX(0,F13)*F14/100</f>
        <v>86.2817989720443</v>
      </c>
      <c r="G15" s="0" t="n">
        <f aca="false">G13-MAX(0,G13)*G14/100</f>
        <v>87.3496956218831</v>
      </c>
      <c r="H15" s="0" t="n">
        <f aca="false">H13-MAX(0,H13)*H14/100</f>
        <v>89.0966895343208</v>
      </c>
      <c r="I15" s="0" t="n">
        <f aca="false">I13-MAX(0,I13)*I14/100</f>
        <v>90.8786233250072</v>
      </c>
      <c r="J15" s="0" t="n">
        <f aca="false">J13-MAX(0,J13)*J14/100</f>
        <v>92.6961957915073</v>
      </c>
      <c r="K15" s="0" t="n">
        <f aca="false">K13-MAX(0,K13)*K14/100</f>
        <v>94.5501197073375</v>
      </c>
      <c r="L15" s="0" t="n">
        <f aca="false">L13-MAX(0,L13)*L14/100</f>
        <v>96.4411221014842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-6.87347325</v>
      </c>
      <c r="D17" s="4" t="n">
        <f aca="false">-D6*Assumptions!D32/100</f>
        <v>-7.0796774475</v>
      </c>
      <c r="E17" s="4" t="n">
        <f aca="false">-E6*Assumptions!E32/100</f>
        <v>-7.2566693836875</v>
      </c>
      <c r="F17" s="4" t="n">
        <f aca="false">-F6*Assumptions!F32/100</f>
        <v>-7.43808611827969</v>
      </c>
      <c r="G17" s="4" t="n">
        <f aca="false">-G6*Assumptions!G32/100</f>
        <v>-7.62403827123668</v>
      </c>
      <c r="H17" s="4" t="n">
        <f aca="false">-H6*Assumptions!H32/100</f>
        <v>-7.77651903666141</v>
      </c>
      <c r="I17" s="4" t="n">
        <f aca="false">-I6*Assumptions!I32/100</f>
        <v>-7.93204941739464</v>
      </c>
      <c r="J17" s="4" t="n">
        <f aca="false">-J6*Assumptions!J32/100</f>
        <v>-8.09069040574253</v>
      </c>
      <c r="K17" s="4" t="n">
        <f aca="false">-K6*Assumptions!K32/100</f>
        <v>-8.25250421385738</v>
      </c>
      <c r="L17" s="4" t="n">
        <f aca="false">-L6*Assumptions!L32/100</f>
        <v>-8.41755429813453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71.8768917</v>
      </c>
      <c r="D19" s="0" t="n">
        <f aca="false">D15+D16+D17+D18</f>
        <v>75.0445809435</v>
      </c>
      <c r="E19" s="0" t="n">
        <f aca="false">E15+E16+E17+E18</f>
        <v>76.9206954670875</v>
      </c>
      <c r="F19" s="0" t="n">
        <f aca="false">F15+F16+F17+F18</f>
        <v>78.8437128537647</v>
      </c>
      <c r="G19" s="0" t="n">
        <f aca="false">G15+G16+G17+G18</f>
        <v>79.7256573506464</v>
      </c>
      <c r="H19" s="0" t="n">
        <f aca="false">H15+H16+H17+H18</f>
        <v>81.3201704976593</v>
      </c>
      <c r="I19" s="0" t="n">
        <f aca="false">I15+I16+I17+I18</f>
        <v>82.9465739076125</v>
      </c>
      <c r="J19" s="0" t="n">
        <f aca="false">J15+J16+J17+J18</f>
        <v>84.6055053857648</v>
      </c>
      <c r="K19" s="0" t="n">
        <f aca="false">K15+K16+K17+K18</f>
        <v>86.2976154934801</v>
      </c>
      <c r="L19" s="0" t="n">
        <f aca="false">L15+L16+L17+L18</f>
        <v>88.0235678033497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66.5526775</v>
      </c>
      <c r="D21" s="0" t="n">
        <f aca="false">D19*D20</f>
        <v>64.338632496142</v>
      </c>
      <c r="E21" s="0" t="n">
        <f aca="false">E19*E20</f>
        <v>61.0621280634681</v>
      </c>
      <c r="F21" s="0" t="n">
        <f aca="false">F19*F20</f>
        <v>57.9524826528285</v>
      </c>
      <c r="G21" s="0" t="n">
        <f aca="false">G19*G20</f>
        <v>54.2599427653205</v>
      </c>
      <c r="H21" s="0" t="n">
        <f aca="false">H19*H20</f>
        <v>51.2455015005804</v>
      </c>
      <c r="I21" s="0" t="n">
        <f aca="false">I19*I20</f>
        <v>48.3985291949926</v>
      </c>
      <c r="J21" s="0" t="n">
        <f aca="false">J19*J20</f>
        <v>45.709722017493</v>
      </c>
      <c r="K21" s="0" t="n">
        <f aca="false">K19*K20</f>
        <v>43.1702930165212</v>
      </c>
      <c r="L21" s="0" t="n">
        <f aca="false">L19*L20</f>
        <v>40.7719434044922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533.461852611839</v>
      </c>
    </row>
    <row r="31" customFormat="false" ht="15" hidden="false" customHeight="false" outlineLevel="0" collapsed="false">
      <c r="A31" s="0" t="s">
        <v>135</v>
      </c>
      <c r="B31" s="0" t="n">
        <f aca="false">L19</f>
        <v>88.0235678033497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1374.52186646769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1408.37708485359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1374.52186646769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636.66957777784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1170.13143038968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1170.13143038968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1.42601394703097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0.0185813907364061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42.0730403133237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50.4464965998835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1.53876551201298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661.806824595555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0.680527995878287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4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190.665</v>
      </c>
      <c r="C6" s="0" t="n">
        <f aca="false">B6*(1+C5/100)</f>
        <v>198.2916</v>
      </c>
      <c r="D6" s="0" t="n">
        <f aca="false">C6*(1+D5/100)</f>
        <v>207.214722</v>
      </c>
      <c r="E6" s="0" t="n">
        <f aca="false">D6*(1+E5/100)</f>
        <v>216.53938449</v>
      </c>
      <c r="F6" s="0" t="n">
        <f aca="false">E6*(1+F5/100)</f>
        <v>225.2009598696</v>
      </c>
      <c r="G6" s="0" t="n">
        <f aca="false">F6*(1+G5/100)</f>
        <v>233.082993465036</v>
      </c>
      <c r="H6" s="0" t="n">
        <f aca="false">G6*(1+H5/100)</f>
        <v>240.075483268987</v>
      </c>
      <c r="I6" s="0" t="n">
        <f aca="false">H6*(1+I5/100)</f>
        <v>247.277747767057</v>
      </c>
      <c r="J6" s="0" t="n">
        <f aca="false">I6*(1+J5/100)</f>
        <v>253.459691461233</v>
      </c>
      <c r="K6" s="0" t="n">
        <f aca="false">J6*(1+K5/100)</f>
        <v>259.796183747764</v>
      </c>
      <c r="L6" s="0" t="n">
        <f aca="false">K6*(1+L5/100)</f>
        <v>266.291088341458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43.5</v>
      </c>
      <c r="D7" s="4" t="n">
        <f aca="false">Assumptions!D42</f>
        <v>44</v>
      </c>
      <c r="E7" s="4" t="n">
        <f aca="false">Assumptions!E42</f>
        <v>44.5</v>
      </c>
      <c r="F7" s="4" t="n">
        <f aca="false">Assumptions!F42</f>
        <v>44.5</v>
      </c>
      <c r="G7" s="4" t="n">
        <f aca="false">Assumptions!G42</f>
        <v>44.5</v>
      </c>
      <c r="H7" s="4" t="n">
        <f aca="false">Assumptions!H42</f>
        <v>44.5</v>
      </c>
      <c r="I7" s="4" t="n">
        <f aca="false">Assumptions!I42</f>
        <v>44.5</v>
      </c>
      <c r="J7" s="4" t="n">
        <f aca="false">Assumptions!J42</f>
        <v>44.5</v>
      </c>
      <c r="K7" s="4" t="n">
        <f aca="false">Assumptions!K42</f>
        <v>44.5</v>
      </c>
      <c r="L7" s="4" t="n">
        <f aca="false">Assumptions!L42</f>
        <v>44.5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86.256846</v>
      </c>
      <c r="D8" s="0" t="n">
        <f aca="false">D6*D7/100</f>
        <v>91.17447768</v>
      </c>
      <c r="E8" s="0" t="n">
        <f aca="false">E6*E7/100</f>
        <v>96.36002609805</v>
      </c>
      <c r="F8" s="0" t="n">
        <f aca="false">F6*F7/100</f>
        <v>100.214427141972</v>
      </c>
      <c r="G8" s="0" t="n">
        <f aca="false">G6*G7/100</f>
        <v>103.721932091941</v>
      </c>
      <c r="H8" s="0" t="n">
        <f aca="false">H6*H7/100</f>
        <v>106.833590054699</v>
      </c>
      <c r="I8" s="0" t="n">
        <f aca="false">I6*I7/100</f>
        <v>110.03859775634</v>
      </c>
      <c r="J8" s="0" t="n">
        <f aca="false">J6*J7/100</f>
        <v>112.789562700249</v>
      </c>
      <c r="K8" s="0" t="n">
        <f aca="false">K6*K7/100</f>
        <v>115.609301767755</v>
      </c>
      <c r="L8" s="0" t="n">
        <f aca="false">L6*L7/100</f>
        <v>118.499534311949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2.9</v>
      </c>
      <c r="D9" s="4" t="n">
        <f aca="false">Assumptions!D43</f>
        <v>2.9</v>
      </c>
      <c r="E9" s="4" t="n">
        <f aca="false">Assumptions!E43</f>
        <v>2.9</v>
      </c>
      <c r="F9" s="4" t="n">
        <f aca="false">Assumptions!F43</f>
        <v>2.9</v>
      </c>
      <c r="G9" s="4" t="n">
        <f aca="false">Assumptions!G43</f>
        <v>2.9</v>
      </c>
      <c r="H9" s="4" t="n">
        <f aca="false">Assumptions!H43</f>
        <v>2.9</v>
      </c>
      <c r="I9" s="4" t="n">
        <f aca="false">Assumptions!I43</f>
        <v>2.9</v>
      </c>
      <c r="J9" s="4" t="n">
        <f aca="false">Assumptions!J43</f>
        <v>2.9</v>
      </c>
      <c r="K9" s="4" t="n">
        <f aca="false">Assumptions!K43</f>
        <v>2.9</v>
      </c>
      <c r="L9" s="4" t="n">
        <f aca="false">Assumptions!L43</f>
        <v>2.9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-5.7504564</v>
      </c>
      <c r="D10" s="0" t="n">
        <f aca="false">-D6*D9/100</f>
        <v>-6.009226938</v>
      </c>
      <c r="E10" s="0" t="n">
        <f aca="false">-E6*E9/100</f>
        <v>-6.27964215021</v>
      </c>
      <c r="F10" s="0" t="n">
        <f aca="false">-F6*F9/100</f>
        <v>-6.5308278362184</v>
      </c>
      <c r="G10" s="0" t="n">
        <f aca="false">-G6*G9/100</f>
        <v>-6.75940681048604</v>
      </c>
      <c r="H10" s="0" t="n">
        <f aca="false">-H6*H9/100</f>
        <v>-6.96218901480062</v>
      </c>
      <c r="I10" s="0" t="n">
        <f aca="false">-I6*I9/100</f>
        <v>-7.17105468524464</v>
      </c>
      <c r="J10" s="0" t="n">
        <f aca="false">-J6*J9/100</f>
        <v>-7.35033105237576</v>
      </c>
      <c r="K10" s="0" t="n">
        <f aca="false">-K6*K9/100</f>
        <v>-7.53408932868515</v>
      </c>
      <c r="L10" s="0" t="n">
        <f aca="false">-L6*L9/100</f>
        <v>-7.72244156190228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80.5063896</v>
      </c>
      <c r="D11" s="0" t="n">
        <f aca="false">D8+D10+D24</f>
        <v>85.165250742</v>
      </c>
      <c r="E11" s="0" t="n">
        <f aca="false">E8+E10+E24</f>
        <v>90.08038394784</v>
      </c>
      <c r="F11" s="0" t="n">
        <f aca="false">F8+F10+F24</f>
        <v>93.6835993057536</v>
      </c>
      <c r="G11" s="0" t="n">
        <f aca="false">G8+G10+G24</f>
        <v>96.962525281455</v>
      </c>
      <c r="H11" s="0" t="n">
        <f aca="false">H8+H10+H24</f>
        <v>99.8714010398986</v>
      </c>
      <c r="I11" s="0" t="n">
        <f aca="false">I8+I10+I24</f>
        <v>102.867543071096</v>
      </c>
      <c r="J11" s="0" t="n">
        <f aca="false">J8+J10+J24</f>
        <v>105.439231647873</v>
      </c>
      <c r="K11" s="0" t="n">
        <f aca="false">K8+K10+K24</f>
        <v>108.07521243907</v>
      </c>
      <c r="L11" s="0" t="n">
        <f aca="false">L8+L10+L24</f>
        <v>110.777092750047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80.5063896</v>
      </c>
      <c r="D13" s="0" t="n">
        <f aca="false">D11+D12</f>
        <v>85.165250742</v>
      </c>
      <c r="E13" s="0" t="n">
        <f aca="false">E11+E12</f>
        <v>90.08038394784</v>
      </c>
      <c r="F13" s="0" t="n">
        <f aca="false">F11+F12</f>
        <v>93.6835993057536</v>
      </c>
      <c r="G13" s="0" t="n">
        <f aca="false">G11+G12</f>
        <v>96.962525281455</v>
      </c>
      <c r="H13" s="0" t="n">
        <f aca="false">H11+H12</f>
        <v>99.8714010398986</v>
      </c>
      <c r="I13" s="0" t="n">
        <f aca="false">I11+I12</f>
        <v>102.867543071096</v>
      </c>
      <c r="J13" s="0" t="n">
        <f aca="false">J11+J12</f>
        <v>105.439231647873</v>
      </c>
      <c r="K13" s="0" t="n">
        <f aca="false">K11+K12</f>
        <v>108.07521243907</v>
      </c>
      <c r="L13" s="0" t="n">
        <f aca="false">L11+L12</f>
        <v>110.777092750047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80.5063896</v>
      </c>
      <c r="D15" s="0" t="n">
        <f aca="false">D13-MAX(0,D13)*D14/100</f>
        <v>85.165250742</v>
      </c>
      <c r="E15" s="0" t="n">
        <f aca="false">E13-MAX(0,E13)*E14/100</f>
        <v>90.08038394784</v>
      </c>
      <c r="F15" s="0" t="n">
        <f aca="false">F13-MAX(0,F13)*F14/100</f>
        <v>93.6835993057536</v>
      </c>
      <c r="G15" s="0" t="n">
        <f aca="false">G13-MAX(0,G13)*G14/100</f>
        <v>96.962525281455</v>
      </c>
      <c r="H15" s="0" t="n">
        <f aca="false">H13-MAX(0,H13)*H14/100</f>
        <v>99.8714010398986</v>
      </c>
      <c r="I15" s="0" t="n">
        <f aca="false">I13-MAX(0,I13)*I14/100</f>
        <v>102.867543071096</v>
      </c>
      <c r="J15" s="0" t="n">
        <f aca="false">J13-MAX(0,J13)*J14/100</f>
        <v>105.439231647873</v>
      </c>
      <c r="K15" s="0" t="n">
        <f aca="false">K13-MAX(0,K13)*K14/100</f>
        <v>108.07521243907</v>
      </c>
      <c r="L15" s="0" t="n">
        <f aca="false">L13-MAX(0,L13)*L14/100</f>
        <v>110.777092750047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-5.948748</v>
      </c>
      <c r="D17" s="4" t="n">
        <f aca="false">-D6*Assumptions!D46/100</f>
        <v>-6.21644166</v>
      </c>
      <c r="E17" s="4" t="n">
        <f aca="false">-E6*Assumptions!E46/100</f>
        <v>-6.4961815347</v>
      </c>
      <c r="F17" s="4" t="n">
        <f aca="false">-F6*Assumptions!F46/100</f>
        <v>-6.756028796088</v>
      </c>
      <c r="G17" s="4" t="n">
        <f aca="false">-G6*Assumptions!G46/100</f>
        <v>-6.99248980395108</v>
      </c>
      <c r="H17" s="4" t="n">
        <f aca="false">-H6*Assumptions!H46/100</f>
        <v>-7.20226449806961</v>
      </c>
      <c r="I17" s="4" t="n">
        <f aca="false">-I6*Assumptions!I46/100</f>
        <v>-7.4183324330117</v>
      </c>
      <c r="J17" s="4" t="n">
        <f aca="false">-J6*Assumptions!J46/100</f>
        <v>-7.60379074383699</v>
      </c>
      <c r="K17" s="4" t="n">
        <f aca="false">-K6*Assumptions!K46/100</f>
        <v>-7.79388551243292</v>
      </c>
      <c r="L17" s="4" t="n">
        <f aca="false">-L6*Assumptions!L46/100</f>
        <v>-7.98873265024374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74.5576416</v>
      </c>
      <c r="D19" s="0" t="n">
        <f aca="false">D15+D16+D17+D18</f>
        <v>78.948809082</v>
      </c>
      <c r="E19" s="0" t="n">
        <f aca="false">E15+E16+E17+E18</f>
        <v>83.58420241314</v>
      </c>
      <c r="F19" s="0" t="n">
        <f aca="false">F15+F16+F17+F18</f>
        <v>86.9275705096656</v>
      </c>
      <c r="G19" s="0" t="n">
        <f aca="false">G15+G16+G17+G18</f>
        <v>89.9700354775039</v>
      </c>
      <c r="H19" s="0" t="n">
        <f aca="false">H15+H16+H17+H18</f>
        <v>92.669136541829</v>
      </c>
      <c r="I19" s="0" t="n">
        <f aca="false">I15+I16+I17+I18</f>
        <v>95.4492106380839</v>
      </c>
      <c r="J19" s="0" t="n">
        <f aca="false">J15+J16+J17+J18</f>
        <v>97.8354409040359</v>
      </c>
      <c r="K19" s="0" t="n">
        <f aca="false">K15+K16+K17+K18</f>
        <v>100.281326926637</v>
      </c>
      <c r="L19" s="0" t="n">
        <f aca="false">L15+L16+L17+L18</f>
        <v>102.788360099803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69.3559456744186</v>
      </c>
      <c r="D21" s="0" t="n">
        <f aca="false">D19*D20</f>
        <v>68.316979194808</v>
      </c>
      <c r="E21" s="0" t="n">
        <f aca="false">E19*E20</f>
        <v>67.2819871764871</v>
      </c>
      <c r="F21" s="0" t="n">
        <f aca="false">F19*F20</f>
        <v>65.0914108498108</v>
      </c>
      <c r="G21" s="0" t="n">
        <f aca="false">G19*G20</f>
        <v>62.6694048647016</v>
      </c>
      <c r="H21" s="0" t="n">
        <f aca="false">H19*H20</f>
        <v>60.0460344285047</v>
      </c>
      <c r="I21" s="0" t="n">
        <f aca="false">I19*I20</f>
        <v>57.5324794989394</v>
      </c>
      <c r="J21" s="0" t="n">
        <f aca="false">J19*J20</f>
        <v>54.856550219919</v>
      </c>
      <c r="K21" s="0" t="n">
        <f aca="false">K19*K20</f>
        <v>52.3050827678297</v>
      </c>
      <c r="L21" s="0" t="n">
        <f aca="false">L19*L20</f>
        <v>49.8722882204888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607.328162895908</v>
      </c>
    </row>
    <row r="31" customFormat="false" ht="15" hidden="false" customHeight="false" outlineLevel="0" collapsed="false">
      <c r="A31" s="0" t="s">
        <v>135</v>
      </c>
      <c r="B31" s="0" t="n">
        <f aca="false">L19</f>
        <v>102.788360099803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1906.25686003271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1850.19048179645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1850.19048179645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897.701187968799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1505.02935086471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1505.02935086471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1.83414682255762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0.310104873255445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45.8342208338711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69.4876253208695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1.97468707021105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806.493286936914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0.774001078874168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0.951834072944947</v>
      </c>
      <c r="C4" s="0" t="n">
        <f aca="false">B4/Assumptions!$B$2-1</f>
        <v>-0.320118519325038</v>
      </c>
      <c r="D4" s="4" t="n">
        <f aca="false">Assumptions!$B$24</f>
        <v>0.25</v>
      </c>
      <c r="E4" s="4" t="n">
        <f aca="false">DCF_Bear!$B$43</f>
        <v>1.03452221537691</v>
      </c>
      <c r="F4" s="4" t="n">
        <f aca="false">DCF_Bear!$B$47</f>
        <v>0.55628198993613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1.42601394703097</v>
      </c>
      <c r="C5" s="0" t="n">
        <f aca="false">B5/Assumptions!$B$2-1</f>
        <v>0.0185813907364061</v>
      </c>
      <c r="D5" s="4" t="n">
        <f aca="false">Assumptions!$B$38</f>
        <v>0.5</v>
      </c>
      <c r="E5" s="4" t="n">
        <f aca="false">DCF_Base!$B$43</f>
        <v>1.53876551201298</v>
      </c>
      <c r="F5" s="4" t="n">
        <f aca="false">DCF_Base!$B$47</f>
        <v>0.680527995878287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1.83414682255762</v>
      </c>
      <c r="C6" s="0" t="n">
        <f aca="false">B6/Assumptions!$B$2-1</f>
        <v>0.310104873255445</v>
      </c>
      <c r="D6" s="4" t="n">
        <f aca="false">Assumptions!$B$52</f>
        <v>0.25</v>
      </c>
      <c r="E6" s="4" t="n">
        <f aca="false">DCF_Bull!$B$43</f>
        <v>1.97468707021105</v>
      </c>
      <c r="F6" s="4" t="n">
        <f aca="false">DCF_Bull!$B$47</f>
        <v>0.774001078874168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1.40950219739113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1.52168507740348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0.00674152719216381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-8.47027406506269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0.672834765141718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1.42601394703097</v>
      </c>
      <c r="C15" s="3" t="n">
        <v>8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1.23404742344327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1.08733923053874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0.971591239702342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0.877952711026996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0.680527995878287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1.67378799090237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1.67378799090237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1.67378799090237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1.67378799090237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1.67378799090237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1.5247223516709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1.55408566143356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1.55408566143356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1.55408566143356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1.55408566143356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1.31593616346869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1.36704370583689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1.42601394703097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1.44512467334386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1.44512467334386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1.15657102477608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1.19288808665133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1.23404742344327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1.2810866654912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1.33536271400805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1.03099993680855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1.05760460329225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1.08733923053874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1.12079068619104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1.15870233593031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2026-10-24T06:14:19Z</dcterms:created>
  <dc:creator>openpyxl</dc:creator>
  <dc:description/>
  <dc:language>en-NZ</dc:language>
  <cp:lastModifiedBy/>
  <dcterms:modified xsi:type="dcterms:W3CDTF">2026-10-24T06:14:19Z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