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 Model" sheetId="1" r:id="rId1"/>
    <sheet name="Sensitivity" sheetId="2" r:id="rId2"/>
    <sheet name="Historical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<sst xmlns="http://schemas.openxmlformats.org/spreadsheetml/2006/main" count="98" uniqueCount="94">
  <si>
    <t>AFC.NZ Asset/Scenario Valuation Model</t>
  </si>
  <si>
    <t>NOT a growth DCF - AFC is a distressed NZX shell. Gray cells are INPUTS.</t>
  </si>
  <si>
    <t>See Model_Info tab for full methodology rationale and required refresh steps.</t>
  </si>
  <si>
    <t>KEY INPUTS</t>
  </si>
  <si>
    <t>Current Stock Price (NZ$)</t>
  </si>
  <si>
    <t>Shares Outstanding (millions)</t>
  </si>
  <si>
    <t>FY2026 Shareholders Equity (NZ$)</t>
  </si>
  <si>
    <t>Total Debt (NZ$)</t>
  </si>
  <si>
    <t>Cash &amp; Equivalents (NZ$)</t>
  </si>
  <si>
    <t>Net Debt (NZ$) [check: already inside equity]</t>
  </si>
  <si>
    <t>Reported FCF FY2026 (NZ$)</t>
  </si>
  <si>
    <t>Owner FCF FY2026 (NZ$, SBC=0 so same)</t>
  </si>
  <si>
    <t>SCENARIO ASSUMPTIONS (INPUTS - adjust freely)</t>
  </si>
  <si>
    <t>Bear</t>
  </si>
  <si>
    <t>Base</t>
  </si>
  <si>
    <t>Bull</t>
  </si>
  <si>
    <t>Tangible equity credited (NZ$)</t>
  </si>
  <si>
    <t>Shell scarcity / RTO value (NZ$)</t>
  </si>
  <si>
    <t>Equity Value (NZ$)</t>
  </si>
  <si>
    <t>Intrinsic Value per Share (NZ$)</t>
  </si>
  <si>
    <t>Upside/(Downside) vs Current Price</t>
  </si>
  <si>
    <t>PROBABILITY WEIGHTING</t>
  </si>
  <si>
    <t>Scenario weight (must sum to 100%)</t>
  </si>
  <si>
    <t>Weight check (should = 100%)</t>
  </si>
  <si>
    <t>WEIGHTED INTRINSIC VALUE / SHARE</t>
  </si>
  <si>
    <t>Weighted Upside/(Downside)</t>
  </si>
  <si>
    <t>SANITY CHECK</t>
  </si>
  <si>
    <t>Implied P/B at current price</t>
  </si>
  <si>
    <t>Market cap at current price (NZ$)</t>
  </si>
  <si>
    <t>Conclusion</t>
  </si>
  <si>
    <t>FAIL - all scenarios below current price</t>
  </si>
  <si>
    <t>Entry price note</t>
  </si>
  <si>
    <t>A standard 15%-IRR entry price formula does not apply to a non-cash-flowing shell (no distributable interim cash flow, no compounding exit value). Per the DCF JSON (entry_price.recommended_entry_price), the more decision-useful entry price IS the probability-weighted intrinsic value in B28 above - i.e. the maximum a rational buyer should pay given the scenario mix. Both the formal 15%-hurdle calc (in the JSON, NZ$0.0000958) and this weighted IV (NZ$0.000136) land far below the NZ$0.001 tradeable tick.</t>
  </si>
  <si>
    <t>Sensitivity Analysis - Base Case</t>
  </si>
  <si>
    <t>Rows = % haircut applied to FY2026 book equity | Columns = shell scarcity value assumption (NZ$)</t>
  </si>
  <si>
    <t>Equity Haircut \ Shell Value</t>
  </si>
  <si>
    <t>Reference: Current price NZ$0.001 requires implied equity value of ~NZ$3,664,253 to be fair at the tick floor.</t>
  </si>
  <si>
    <t>Historical Growth Rates (context only - not used to drive valuation)</t>
  </si>
  <si>
    <t>Metric</t>
  </si>
  <si>
    <t>3-Year CAGR</t>
  </si>
  <si>
    <t>5-Year CAGR</t>
  </si>
  <si>
    <t>Revenue</t>
  </si>
  <si>
    <t>Shareholders Equity</t>
  </si>
  <si>
    <t>EPS CAGR</t>
  </si>
  <si>
    <t>n/m</t>
  </si>
  <si>
    <t>FCF CAGR</t>
  </si>
  <si>
    <t>Note:</t>
  </si>
  <si>
    <t>Reported FCF has been positive in exactly one year since FY2020 (FY2023: +NZ$18,709, immaterial and driven by working-capital timing, not repeatable earnings power). Every other year FY2020-FY2026 shows negative FCF, with FY2026 the worst on record at -NZ$631,437 despite revenue also collapsing to a seven-year low. There is no meaningful FCF history to extrapolate a growth DCF from. Stock-based compensation is nil throughout the disclosed history, so no SBC/dilution adjustment is needed - the entire valuation problem here is going-concern risk and revenue collapse, not share-based dilution.</t>
  </si>
  <si>
    <t>Growth rate source:</t>
  </si>
  <si>
    <t>not_applicable_asset_scenario_model</t>
  </si>
  <si>
    <t>FCF Quality - Reported FCF History (SBC = NIL throughout, no adjustment needed)</t>
  </si>
  <si>
    <t>FY2020</t>
  </si>
  <si>
    <t>FY2021</t>
  </si>
  <si>
    <t>FY2022</t>
  </si>
  <si>
    <t>FY2023</t>
  </si>
  <si>
    <t>FY2024</t>
  </si>
  <si>
    <t>FY2025</t>
  </si>
  <si>
    <t>FY2026</t>
  </si>
  <si>
    <t>Revenue (NZ$)</t>
  </si>
  <si>
    <t>Reported FCF (NZ$)</t>
  </si>
  <si>
    <t>Less: SBC incl. equity taxes</t>
  </si>
  <si>
    <t>Less: Interest income</t>
  </si>
  <si>
    <t>Owner FCF (NZ$)</t>
  </si>
  <si>
    <t>Shareholders Equity (NZ$)</t>
  </si>
  <si>
    <t>Owner FCF Margin</t>
  </si>
  <si>
    <t>Memo: FY2023 +NZ$18,709 FCF is an isolated working-capital blip, not repeatable operating cash generation.</t>
  </si>
  <si>
    <t>Memo: FY2026 FCF of -NZ$631,437 is the worst on record despite revenue also collapsing to a 7-year low (cost base did not shrink proportionately).</t>
  </si>
  <si>
    <t>Memo: No SBC in AFC history (StockBasedComp = 0 every period in Metrics.csv). No deferred-revenue/working-capital tailwind exists in this business (unlike SaaS/subscription names) - FCF swings here reflect operating losses and related-party funding timing, not bookings growth.</t>
  </si>
  <si>
    <t>Memo: Cash tax rate is not meaningful - the Group has never had taxable profits in the post-2020 period and carries NZ$1.7m of unrecognized deferred tax assets (loss carryforwards) with no near-term utility.</t>
  </si>
  <si>
    <t>Model Provenance &amp; Methodology</t>
  </si>
  <si>
    <t>Ticker</t>
  </si>
  <si>
    <t>AFC.NZ (AFC Group Holdings Limited, NZX)</t>
  </si>
  <si>
    <t>Model built by</t>
  </si>
  <si>
    <t>Claude agent (dcf-analyst workflow, with ticker-specific override instructions for a distressed shell)</t>
  </si>
  <si>
    <t>Valuation date</t>
  </si>
  <si>
    <t>2026-08-01</t>
  </si>
  <si>
    <t>Data vintage</t>
  </si>
  <si>
    <t>FY2026 audited Annual Report (year ended 31-Mar-2026), released 30-Jun-2026. Share price verified live via Yahoo Finance chart API on 2026-08-01: NZ$0.001 (NZX minimum tick). Monthly price history (AFC.NZ_MonthlyPrices.txt) confirms the price has been pinned at or near this tick continuously since 2017.</t>
  </si>
  <si>
    <t>Methodology</t>
  </si>
  <si>
    <t>This is NOT a growth DCF. AFC is a distressed NZX shell: FY2026 revenue collapsed 78% YoY to NZ$161,285, net loss NZ$818,093, owner FCF negative in 6 of the last 7 fiscal years, SBC nil throughout. Per ticker-specific override rules, valuation uses a probability-weighted ASSET/SCENARIO approach: Bear = insolvency/wind-up ($0.0000/share); Base = FY2026 tangible equity (NZ$206,390) + NZ$500,000 shell-listing scarcity value ($0.000193/share); Bull = completed reverse-takeover valuing the shell at the top of NZX precedent, NZ$2,500,000 ($0.000682/share). Weights 55%/35%/10% (bear/base/bull), weighted IV = NZ$0.000136/share.</t>
  </si>
  <si>
    <t>Why not a standard DCF</t>
  </si>
  <si>
    <t>No repeatable positive owner FCF exists to project (FY2023 +NZ$18,709 is an immaterial one-off working-capital blip; every other year FY2020-2026 is negative, worst in FY2026 at -NZ$631,437). SBC is nil so no SBC adjustment is needed - the valuation problem here is going-concern risk and revenue collapse, not dilution.</t>
  </si>
  <si>
    <t>Key going-concern facts</t>
  </si>
  <si>
    <t>FY2026 auditor (Grant Thornton) issued a FULL DISCLAIMER OF OPINION - the second consecutive year (William Buck also disclaimed FY2025) - a more severe finding than a going-concern emphasis of matter. Working-capital deficit NZ$1.3M. H1-2026 (unaudited, 30-Sep-2025) equity was already negative (-NZ$120,066) before a NZ$780,908 related-party debt/interest forgiveness from NZ Silveray Group (NZSG) restored full-year equity to +NZ$206,390. Five related parties = 97% of FY2026 revenue; one related party = 99.7% of receivables. NZSG advanced a further NZ$200,000 post year-end (Apr/May 2026).</t>
  </si>
  <si>
    <t>RTO status</t>
  </si>
  <si>
    <t>Fast Track Group discussions are PRE-MOU as of the FY2026 Annual Report - management states AFC and FTG are "preparing to enter into a Memorandum of Understanding." No signed MOU, no transaction terms, no exchange ratio, no timeline disclosed. Treated as speculative option value in the Bull case only.</t>
  </si>
  <si>
    <t>Entry price treatment</t>
  </si>
  <si>
    <t>The standard 15%-IRR entry-price formula does not apply (no distributable interim cash flow, no compounding exit value in any scenario). Per the ticker override, entry price is reported as the probability-weighted intrinsic value (NZ$0.000136/share) with the formal 15%-hurdle calc (NZ$0.0000958/share) shown for reference in the DCF JSON. Both sit below the NZX minimum tradeable tick.</t>
  </si>
  <si>
    <t>What to refresh after next filing</t>
  </si>
  <si>
    <t>(1) Re-pull FY2027 half-year (H1-2027, to 30-Sep-2026) and/or full FY2027 Annual Report figures into Metrics.csv once released - watch particularly whether NZSG continues funding/forgiveness or withdraws support. (2) Check NZX company announcements for any signed MOU or binding RTO agreement with Fast Track Group - a signed MOU would justify re-weighting the bull scenario upward and/or modelling actual (rather than precedent-based) transaction terms. (3) Re-verify live share price (should remain pinned at NZ$0.001 tick absent a corporate action). (4) Check for a THIRD consecutive year of audit disclaimer/qualification, which would further support increasing the bear weight. (5) Confirm shares outstanding (3,664,253,194) has not changed via placement, RTO consideration shares, or consolidation.</t>
  </si>
  <si>
    <t>Cell colour conventions</t>
  </si>
  <si>
    <t>Gray-filled cells (light blue-gray, #dfe6e9) are INPUTS - safe to edit; all other cells are FORMULAS that recalculate automatically. Green-filled cells are headline RESULTS. Red-filled cells flag a FAILED sanity check / warning.</t>
  </si>
  <si>
    <t>Staleness warning</t>
  </si>
  <si>
    <t>All figures in this model reflect data as of the 2026-08-01 valuation date and the FY2026 (Mar-2026 year-end) Annual Report. They WILL go stale as new NZX announcements, half-year results, or RTO developments are released. Do not treat this file as current without re-checking the valuation_date field and the underlying Metrics.csv / Analysis.json refresh dates.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</si>
</sst>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&quot;$&quot;#,##0.000000"/>
    <numFmt numFmtId="166" formatCode="0.0%"/>
    <numFmt numFmtId="167" formatCode="0.0&quot;x&quot;"/>
    <numFmt numFmtId="168" formatCode="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0" fontId="4" fillId="3" borderId="2" xfId="0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6" fontId="0" fillId="2" borderId="2" xfId="0" applyNumberFormat="1" applyFill="1" applyBorder="1"/>
    <xf numFmtId="0" fontId="5" fillId="0" borderId="0" xfId="0" applyFont="1"/>
    <xf numFmtId="165" fontId="4" fillId="4" borderId="2" xfId="0" applyNumberFormat="1" applyFont="1" applyFill="1" applyBorder="1"/>
    <xf numFmtId="167" fontId="0" fillId="0" borderId="2" xfId="0" applyNumberFormat="1" applyBorder="1"/>
    <xf numFmtId="0" fontId="4" fillId="5" borderId="2" xfId="0" applyFont="1" applyFill="1" applyBorder="1"/>
    <xf numFmtId="0" fontId="0" fillId="0" borderId="0" xfId="0" applyAlignment="1">
      <alignment vertical="top" wrapText="1"/>
    </xf>
    <xf numFmtId="168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32.7109375" customWidth="1"/>
    <col min="2" max="6" width="16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</row>
    <row r="6" spans="1:2">
      <c r="A6" t="s">
        <v>4</v>
      </c>
      <c r="B6" s="4">
        <v>0.001</v>
      </c>
    </row>
    <row r="7" spans="1:2">
      <c r="A7" t="s">
        <v>5</v>
      </c>
      <c r="B7" s="4">
        <v>3664.253194</v>
      </c>
    </row>
    <row r="8" spans="1:2">
      <c r="A8" t="s">
        <v>6</v>
      </c>
      <c r="B8" s="4">
        <v>206390</v>
      </c>
    </row>
    <row r="9" spans="1:2">
      <c r="A9" t="s">
        <v>7</v>
      </c>
      <c r="B9" s="4">
        <v>169364</v>
      </c>
    </row>
    <row r="10" spans="1:2">
      <c r="A10" t="s">
        <v>8</v>
      </c>
      <c r="B10" s="4">
        <v>39437</v>
      </c>
    </row>
    <row r="11" spans="1:2">
      <c r="A11" t="s">
        <v>9</v>
      </c>
      <c r="B11" s="5">
        <f>B9-B10</f>
        <v>0</v>
      </c>
    </row>
    <row r="13" spans="1:2">
      <c r="A13" t="s">
        <v>10</v>
      </c>
      <c r="B13" s="4">
        <v>-631437</v>
      </c>
    </row>
    <row r="14" spans="1:2">
      <c r="A14" t="s">
        <v>11</v>
      </c>
      <c r="B14" s="5">
        <f>B13</f>
        <v>0</v>
      </c>
    </row>
    <row r="16" spans="1:2">
      <c r="A16" s="3" t="s">
        <v>12</v>
      </c>
    </row>
    <row r="17" spans="1:4">
      <c r="B17" s="6" t="s">
        <v>13</v>
      </c>
      <c r="C17" s="6" t="s">
        <v>14</v>
      </c>
      <c r="D17" s="6" t="s">
        <v>15</v>
      </c>
    </row>
    <row r="18" spans="1:4">
      <c r="A18" t="s">
        <v>16</v>
      </c>
      <c r="B18" s="4">
        <v>0</v>
      </c>
      <c r="C18" s="4">
        <v>206390</v>
      </c>
      <c r="D18" s="4">
        <v>0</v>
      </c>
    </row>
    <row r="19" spans="1:4">
      <c r="A19" t="s">
        <v>17</v>
      </c>
      <c r="B19" s="4">
        <v>0</v>
      </c>
      <c r="C19" s="4">
        <v>500000</v>
      </c>
      <c r="D19" s="4">
        <v>2500000</v>
      </c>
    </row>
    <row r="20" spans="1:4">
      <c r="A20" t="s">
        <v>18</v>
      </c>
      <c r="B20" s="5">
        <f>B18+B19</f>
        <v>0</v>
      </c>
      <c r="C20" s="5">
        <f>C18+C19</f>
        <v>0</v>
      </c>
      <c r="D20" s="5">
        <f>D18+D19</f>
        <v>0</v>
      </c>
    </row>
    <row r="21" spans="1:4">
      <c r="A21" t="s">
        <v>19</v>
      </c>
      <c r="B21" s="7">
        <f>B20/($B$7*1000000)</f>
        <v>0</v>
      </c>
      <c r="C21" s="7">
        <f>C20/($B$7*1000000)</f>
        <v>0</v>
      </c>
      <c r="D21" s="7">
        <f>D20/($B$7*1000000)</f>
        <v>0</v>
      </c>
    </row>
    <row r="22" spans="1:4">
      <c r="A22" t="s">
        <v>20</v>
      </c>
      <c r="B22" s="8">
        <f>(B21-$B$6)/$B$6</f>
        <v>0</v>
      </c>
      <c r="C22" s="8">
        <f>(C21-$B$6)/$B$6</f>
        <v>0</v>
      </c>
      <c r="D22" s="8">
        <f>(D21-$B$6)/$B$6</f>
        <v>0</v>
      </c>
    </row>
    <row r="24" spans="1:4">
      <c r="A24" s="3" t="s">
        <v>21</v>
      </c>
    </row>
    <row r="25" spans="1:4">
      <c r="A25" t="s">
        <v>22</v>
      </c>
      <c r="B25" s="9">
        <v>0.55</v>
      </c>
      <c r="C25" s="9">
        <v>0.35</v>
      </c>
      <c r="D25" s="9">
        <v>0.1</v>
      </c>
    </row>
    <row r="26" spans="1:4">
      <c r="A26" t="s">
        <v>23</v>
      </c>
      <c r="B26" s="8">
        <f>SUM(B25:D25)</f>
        <v>0</v>
      </c>
    </row>
    <row r="28" spans="1:4">
      <c r="A28" s="10" t="s">
        <v>24</v>
      </c>
      <c r="B28" s="11">
        <f>B21*B25+C21*C25+D21*D25</f>
        <v>0</v>
      </c>
    </row>
    <row r="29" spans="1:4">
      <c r="A29" t="s">
        <v>25</v>
      </c>
      <c r="B29" s="8">
        <f>(B28-$B$6)/$B$6</f>
        <v>0</v>
      </c>
    </row>
    <row r="31" spans="1:4">
      <c r="A31" s="3" t="s">
        <v>26</v>
      </c>
    </row>
    <row r="32" spans="1:4">
      <c r="A32" t="s">
        <v>27</v>
      </c>
      <c r="B32" s="12">
        <f>($B$6*$B$7*1000000)/$B$8</f>
        <v>0</v>
      </c>
    </row>
    <row r="33" spans="1:6">
      <c r="A33" t="s">
        <v>28</v>
      </c>
      <c r="B33" s="5">
        <f>$B$6*$B$7*1000000</f>
        <v>0</v>
      </c>
    </row>
    <row r="34" spans="1:6">
      <c r="A34" t="s">
        <v>29</v>
      </c>
      <c r="B34" s="13" t="s">
        <v>30</v>
      </c>
    </row>
    <row r="36" spans="1:6">
      <c r="A36" s="10" t="s">
        <v>31</v>
      </c>
    </row>
    <row r="37" spans="1:6">
      <c r="A37" s="14" t="s">
        <v>32</v>
      </c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</sheetData>
  <mergeCells count="1">
    <mergeCell ref="A37: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2.7109375" customWidth="1"/>
    <col min="2" max="6" width="14.7109375" customWidth="1"/>
  </cols>
  <sheetData>
    <row r="1" spans="1:6">
      <c r="A1" s="1" t="s">
        <v>33</v>
      </c>
    </row>
    <row r="2" spans="1:6">
      <c r="A2" t="s">
        <v>34</v>
      </c>
    </row>
    <row r="4" spans="1:6">
      <c r="A4" s="6" t="s">
        <v>35</v>
      </c>
      <c r="B4" s="6">
        <v>0</v>
      </c>
      <c r="C4" s="6">
        <v>250000</v>
      </c>
      <c r="D4" s="6">
        <v>500000</v>
      </c>
      <c r="E4" s="6">
        <v>750000</v>
      </c>
      <c r="F4" s="6">
        <v>1000000</v>
      </c>
    </row>
    <row r="5" spans="1:6">
      <c r="A5" s="15">
        <v>0</v>
      </c>
      <c r="B5" s="7">
        <f>(('Scenario Model'!$B$8*(1-0.0))+0)/('Scenario Model'!$B$7*1000000)</f>
        <v>0</v>
      </c>
      <c r="C5" s="7">
        <f>(('Scenario Model'!$B$8*(1-0.0))+250000)/('Scenario Model'!$B$7*1000000)</f>
        <v>0</v>
      </c>
      <c r="D5" s="7">
        <f>(('Scenario Model'!$B$8*(1-0.0))+500000)/('Scenario Model'!$B$7*1000000)</f>
        <v>0</v>
      </c>
      <c r="E5" s="7">
        <f>(('Scenario Model'!$B$8*(1-0.0))+750000)/('Scenario Model'!$B$7*1000000)</f>
        <v>0</v>
      </c>
      <c r="F5" s="7">
        <f>(('Scenario Model'!$B$8*(1-0.0))+1000000)/('Scenario Model'!$B$7*1000000)</f>
        <v>0</v>
      </c>
    </row>
    <row r="6" spans="1:6">
      <c r="A6" s="15">
        <v>0.25</v>
      </c>
      <c r="B6" s="7">
        <f>(('Scenario Model'!$B$8*(1-0.25))+0)/('Scenario Model'!$B$7*1000000)</f>
        <v>0</v>
      </c>
      <c r="C6" s="7">
        <f>(('Scenario Model'!$B$8*(1-0.25))+250000)/('Scenario Model'!$B$7*1000000)</f>
        <v>0</v>
      </c>
      <c r="D6" s="7">
        <f>(('Scenario Model'!$B$8*(1-0.25))+500000)/('Scenario Model'!$B$7*1000000)</f>
        <v>0</v>
      </c>
      <c r="E6" s="7">
        <f>(('Scenario Model'!$B$8*(1-0.25))+750000)/('Scenario Model'!$B$7*1000000)</f>
        <v>0</v>
      </c>
      <c r="F6" s="7">
        <f>(('Scenario Model'!$B$8*(1-0.25))+1000000)/('Scenario Model'!$B$7*1000000)</f>
        <v>0</v>
      </c>
    </row>
    <row r="7" spans="1:6">
      <c r="A7" s="15">
        <v>0.5</v>
      </c>
      <c r="B7" s="7">
        <f>(('Scenario Model'!$B$8*(1-0.5))+0)/('Scenario Model'!$B$7*1000000)</f>
        <v>0</v>
      </c>
      <c r="C7" s="7">
        <f>(('Scenario Model'!$B$8*(1-0.5))+250000)/('Scenario Model'!$B$7*1000000)</f>
        <v>0</v>
      </c>
      <c r="D7" s="7">
        <f>(('Scenario Model'!$B$8*(1-0.5))+500000)/('Scenario Model'!$B$7*1000000)</f>
        <v>0</v>
      </c>
      <c r="E7" s="7">
        <f>(('Scenario Model'!$B$8*(1-0.5))+750000)/('Scenario Model'!$B$7*1000000)</f>
        <v>0</v>
      </c>
      <c r="F7" s="7">
        <f>(('Scenario Model'!$B$8*(1-0.5))+1000000)/('Scenario Model'!$B$7*1000000)</f>
        <v>0</v>
      </c>
    </row>
    <row r="8" spans="1:6">
      <c r="A8" s="15">
        <v>0.75</v>
      </c>
      <c r="B8" s="7">
        <f>(('Scenario Model'!$B$8*(1-0.75))+0)/('Scenario Model'!$B$7*1000000)</f>
        <v>0</v>
      </c>
      <c r="C8" s="7">
        <f>(('Scenario Model'!$B$8*(1-0.75))+250000)/('Scenario Model'!$B$7*1000000)</f>
        <v>0</v>
      </c>
      <c r="D8" s="7">
        <f>(('Scenario Model'!$B$8*(1-0.75))+500000)/('Scenario Model'!$B$7*1000000)</f>
        <v>0</v>
      </c>
      <c r="E8" s="7">
        <f>(('Scenario Model'!$B$8*(1-0.75))+750000)/('Scenario Model'!$B$7*1000000)</f>
        <v>0</v>
      </c>
      <c r="F8" s="7">
        <f>(('Scenario Model'!$B$8*(1-0.75))+1000000)/('Scenario Model'!$B$7*1000000)</f>
        <v>0</v>
      </c>
    </row>
    <row r="9" spans="1:6">
      <c r="A9" s="15">
        <v>1</v>
      </c>
      <c r="B9" s="7">
        <f>(('Scenario Model'!$B$8*(1-1.0))+0)/('Scenario Model'!$B$7*1000000)</f>
        <v>0</v>
      </c>
      <c r="C9" s="7">
        <f>(('Scenario Model'!$B$8*(1-1.0))+250000)/('Scenario Model'!$B$7*1000000)</f>
        <v>0</v>
      </c>
      <c r="D9" s="7">
        <f>(('Scenario Model'!$B$8*(1-1.0))+500000)/('Scenario Model'!$B$7*1000000)</f>
        <v>0</v>
      </c>
      <c r="E9" s="7">
        <f>(('Scenario Model'!$B$8*(1-1.0))+750000)/('Scenario Model'!$B$7*1000000)</f>
        <v>0</v>
      </c>
      <c r="F9" s="7">
        <f>(('Scenario Model'!$B$8*(1-1.0))+1000000)/('Scenario Model'!$B$7*1000000)</f>
        <v>0</v>
      </c>
    </row>
    <row r="11" spans="1:6">
      <c r="A11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4">
      <c r="A1" s="1" t="s">
        <v>37</v>
      </c>
    </row>
    <row r="3" spans="1:4">
      <c r="A3" s="6" t="s">
        <v>38</v>
      </c>
      <c r="B3" s="6" t="s">
        <v>39</v>
      </c>
      <c r="C3" s="6" t="s">
        <v>40</v>
      </c>
    </row>
    <row r="4" spans="1:4">
      <c r="A4" t="s">
        <v>41</v>
      </c>
      <c r="B4" s="8">
        <v>-0.4686999999999999</v>
      </c>
      <c r="C4" s="8">
        <v>-0.2426</v>
      </c>
    </row>
    <row r="5" spans="1:4">
      <c r="A5" t="s">
        <v>42</v>
      </c>
      <c r="B5" s="8">
        <v>-0.1801</v>
      </c>
      <c r="C5" s="8">
        <v>-0.307</v>
      </c>
    </row>
    <row r="6" spans="1:4">
      <c r="A6" t="s">
        <v>43</v>
      </c>
      <c r="B6" s="2" t="s">
        <v>44</v>
      </c>
      <c r="C6" s="2" t="s">
        <v>44</v>
      </c>
    </row>
    <row r="7" spans="1:4">
      <c r="A7" t="s">
        <v>45</v>
      </c>
      <c r="B7" s="2" t="s">
        <v>44</v>
      </c>
      <c r="C7" s="2" t="s">
        <v>44</v>
      </c>
    </row>
    <row r="9" spans="1:4">
      <c r="A9" s="10" t="s">
        <v>46</v>
      </c>
    </row>
    <row r="10" spans="1:4">
      <c r="A10" s="14" t="s">
        <v>47</v>
      </c>
      <c r="B10" s="14"/>
      <c r="C10" s="14"/>
      <c r="D10" s="14"/>
    </row>
    <row r="11" spans="1:4">
      <c r="A11" s="14"/>
      <c r="B11" s="14"/>
      <c r="C11" s="14"/>
      <c r="D11" s="14"/>
    </row>
    <row r="12" spans="1:4">
      <c r="A12" s="14"/>
      <c r="B12" s="14"/>
      <c r="C12" s="14"/>
      <c r="D12" s="14"/>
    </row>
    <row r="13" spans="1:4">
      <c r="A13" s="14"/>
      <c r="B13" s="14"/>
      <c r="C13" s="14"/>
      <c r="D13" s="14"/>
    </row>
    <row r="15" spans="1:4">
      <c r="A15" s="10" t="s">
        <v>48</v>
      </c>
      <c r="B15" t="s">
        <v>49</v>
      </c>
    </row>
  </sheetData>
  <mergeCells count="1">
    <mergeCell ref="A10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0" width="12.7109375" customWidth="1"/>
  </cols>
  <sheetData>
    <row r="1" spans="1:8">
      <c r="A1" s="1" t="s">
        <v>50</v>
      </c>
    </row>
    <row r="3" spans="1:8">
      <c r="A3" s="6" t="s">
        <v>38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</row>
    <row r="4" spans="1:8">
      <c r="A4" t="s">
        <v>58</v>
      </c>
      <c r="B4" s="5">
        <v>1234931</v>
      </c>
      <c r="C4" s="5">
        <v>646910</v>
      </c>
      <c r="D4" s="5">
        <v>415023</v>
      </c>
      <c r="E4" s="5">
        <v>1075442</v>
      </c>
      <c r="F4" s="5">
        <v>1324402</v>
      </c>
      <c r="G4" s="5">
        <v>741088</v>
      </c>
      <c r="H4" s="5">
        <v>161285</v>
      </c>
    </row>
    <row r="5" spans="1:8">
      <c r="A5" t="s">
        <v>59</v>
      </c>
      <c r="B5" s="5">
        <v>-290903</v>
      </c>
      <c r="C5" s="5">
        <v>-380450</v>
      </c>
      <c r="D5" s="5">
        <v>-294999</v>
      </c>
      <c r="E5" s="5">
        <v>18709</v>
      </c>
      <c r="F5" s="5">
        <v>-140788</v>
      </c>
      <c r="G5" s="5">
        <v>-324569</v>
      </c>
      <c r="H5" s="5">
        <v>-631437</v>
      </c>
    </row>
    <row r="6" spans="1:8">
      <c r="A6" t="s">
        <v>60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>
      <c r="A7" t="s">
        <v>61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1:8">
      <c r="A8" t="s">
        <v>62</v>
      </c>
      <c r="B8" s="5">
        <f>B5</f>
        <v>0</v>
      </c>
      <c r="C8" s="5">
        <f>C5</f>
        <v>0</v>
      </c>
      <c r="D8" s="5">
        <f>D5</f>
        <v>0</v>
      </c>
      <c r="E8" s="5">
        <f>E5</f>
        <v>0</v>
      </c>
      <c r="F8" s="5">
        <f>F5</f>
        <v>0</v>
      </c>
      <c r="G8" s="5">
        <f>G5</f>
        <v>0</v>
      </c>
      <c r="H8" s="5">
        <f>H5</f>
        <v>0</v>
      </c>
    </row>
    <row r="9" spans="1:8">
      <c r="A9" t="s">
        <v>63</v>
      </c>
      <c r="B9" s="5">
        <v>2563166</v>
      </c>
      <c r="C9" s="5">
        <v>1291315</v>
      </c>
      <c r="D9" s="5">
        <v>552890</v>
      </c>
      <c r="E9" s="5">
        <v>374469</v>
      </c>
      <c r="F9" s="5">
        <v>428380</v>
      </c>
      <c r="G9" s="5">
        <v>243574</v>
      </c>
      <c r="H9" s="5">
        <v>206390</v>
      </c>
    </row>
    <row r="10" spans="1:8">
      <c r="A10" t="s">
        <v>64</v>
      </c>
      <c r="B10" s="8">
        <f>B8/B4</f>
        <v>0</v>
      </c>
      <c r="C10" s="8">
        <f>C8/C4</f>
        <v>0</v>
      </c>
      <c r="D10" s="8">
        <f>D8/D4</f>
        <v>0</v>
      </c>
      <c r="E10" s="8">
        <f>E8/E4</f>
        <v>0</v>
      </c>
      <c r="F10" s="8">
        <f>F8/F4</f>
        <v>0</v>
      </c>
      <c r="G10" s="8">
        <f>G8/G4</f>
        <v>0</v>
      </c>
      <c r="H10" s="8">
        <f>H8/H4</f>
        <v>0</v>
      </c>
    </row>
    <row r="12" spans="1:8">
      <c r="A12" s="2" t="s">
        <v>65</v>
      </c>
    </row>
    <row r="13" spans="1:8">
      <c r="A13" s="2" t="s">
        <v>66</v>
      </c>
    </row>
    <row r="14" spans="1:8">
      <c r="A14" s="2" t="s">
        <v>67</v>
      </c>
    </row>
    <row r="15" spans="1:8">
      <c r="A15" s="2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69</v>
      </c>
    </row>
    <row r="3" spans="1:2" ht="60" customHeight="1">
      <c r="A3" s="10" t="s">
        <v>70</v>
      </c>
      <c r="B3" s="14" t="s">
        <v>71</v>
      </c>
    </row>
    <row r="4" spans="1:2" ht="60" customHeight="1">
      <c r="A4" s="10" t="s">
        <v>72</v>
      </c>
      <c r="B4" s="14" t="s">
        <v>73</v>
      </c>
    </row>
    <row r="5" spans="1:2" ht="60" customHeight="1">
      <c r="A5" s="10" t="s">
        <v>74</v>
      </c>
      <c r="B5" s="14" t="s">
        <v>75</v>
      </c>
    </row>
    <row r="6" spans="1:2" ht="60" customHeight="1">
      <c r="A6" s="10" t="s">
        <v>76</v>
      </c>
      <c r="B6" s="14" t="s">
        <v>77</v>
      </c>
    </row>
    <row r="7" spans="1:2" ht="60" customHeight="1">
      <c r="A7" s="10" t="s">
        <v>78</v>
      </c>
      <c r="B7" s="14" t="s">
        <v>79</v>
      </c>
    </row>
    <row r="8" spans="1:2" ht="60" customHeight="1">
      <c r="A8" s="10" t="s">
        <v>80</v>
      </c>
      <c r="B8" s="14" t="s">
        <v>81</v>
      </c>
    </row>
    <row r="9" spans="1:2" ht="60" customHeight="1">
      <c r="A9" s="10" t="s">
        <v>82</v>
      </c>
      <c r="B9" s="14" t="s">
        <v>83</v>
      </c>
    </row>
    <row r="10" spans="1:2" ht="60" customHeight="1">
      <c r="A10" s="10" t="s">
        <v>84</v>
      </c>
      <c r="B10" s="14" t="s">
        <v>85</v>
      </c>
    </row>
    <row r="11" spans="1:2" ht="60" customHeight="1">
      <c r="A11" s="10" t="s">
        <v>86</v>
      </c>
      <c r="B11" s="14" t="s">
        <v>87</v>
      </c>
    </row>
    <row r="12" spans="1:2" ht="60" customHeight="1">
      <c r="A12" s="10" t="s">
        <v>88</v>
      </c>
      <c r="B12" s="14" t="s">
        <v>89</v>
      </c>
    </row>
    <row r="13" spans="1:2" ht="60" customHeight="1">
      <c r="A13" s="10" t="s">
        <v>90</v>
      </c>
      <c r="B13" s="14" t="s">
        <v>91</v>
      </c>
    </row>
    <row r="14" spans="1:2" ht="60" customHeight="1">
      <c r="A14" s="10" t="s">
        <v>92</v>
      </c>
      <c r="B14" s="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Model</vt:lpstr>
      <vt:lpstr>Sensitivity</vt:lpstr>
      <vt:lpstr>Historical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2026-07-31T23:20:55Z</dcterms:created>
  <dcterms:modified xsi:type="dcterms:W3CDTF">2026-07-31T23:20:55Z</dcterms:modified>
</cp:coreProperties>
</file>