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<sst xmlns="http://schemas.openxmlformats.org/spreadsheetml/2006/main" count="357" uniqueCount="167">
  <si>
    <t xml:space="preserve">Ticker</t>
  </si>
  <si>
    <t xml:space="preserve">2607.HK</t>
  </si>
  <si>
    <t xml:space="preserve">Company</t>
  </si>
  <si>
    <t xml:space="preserve">Shanghai Pharmaceuticals Holding Co., Ltd.</t>
  </si>
  <si>
    <t xml:space="preserve">Valuation date</t>
  </si>
  <si>
    <t xml:space="preserve">2026-10-22</t>
  </si>
  <si>
    <t xml:space="preserve">Current price</t>
  </si>
  <si>
    <t xml:space="preserve">Price as of</t>
  </si>
  <si>
    <t xml:space="preserve">2026-10-22T02:05:51Z (10:05 HKT, intraday regular session on HKEX; replace at the regular close). 52-week range HKD 10.70-12.41.</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</si>
  <si>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</si>
  <si>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</si>
  <si>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</si>
  <si>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</si>
  <si>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</si>
  <si>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</si>
  <si>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</si>
  <si>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</si>
  <si>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</si>
  <si>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</si>
  <si>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</si>
  <si>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</si>
  <si>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</si>
  <si>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2026-10-22T02:30:15Z</t>
  </si>
  <si>
    <t xml:space="preserve">Drivers file</t>
  </si>
  <si>
    <t xml:space="preserve">2607.HK_Drivers.json</t>
  </si>
  <si>
    <t xml:space="preserve">Convention</t>
  </si>
  <si>
    <t xml:space="preserve">Percents stored as percents; formulas divide by 100. Blue = input, green = link, black = formula.</t>
  </si>
  <si>
    <t xml:space="preserve">Methodology</t>
  </si>
  <si>
    <t xml:space="preserve">summary: Shanghai Pharmaceuticals is valued as what it is: a working-capital-intensive wholesaler with a small high-margin manufacturing arm, where a 10bp move in the consolidated EBITDA margin is worth about RMB0.3bn of EBIT on RMB284bn of revenue. The model strips the FY2025 Hutchison remeasurement gain, charges leases as an operating cost, makes the flows attributable through a 45% combined tax-and-minority leakage, and models the receivables/inventory drain on the change in revenue rather than assuming it away. The terminal value is capped at 12x year-10 attributable FCF -- the house Gordon value at a 7% CNY WACC would be ~20x and no buyer of a Chinese SOE distributor pays that. The H-share trades at a ~42% discount to the A-share; the value here is per ordinary share in HKD at the H-share quote, and the discount is a market feature, not a valuation input.
key_risks_to_valuation: EBITDA margin anchor: FY2025 underlying profit is ambiguous (company's own one-off deduction gives 4,721 attributable; CSRC non-recurring basis gives 2,981); the 3.95% anchor sits between, and each 10bp is ~RMB0.25/share; Working-capital capture of -25% of revenue growth: at -46% (FY2025 actual) the base FCF roughly halves; at -15% (FY2023) it rises ~40%; VBP/DRG pricing: a further 50bp of distribution gross-margin erosion wipes out the whole modelled margin expansion; Impairments: FY2025 asset + credit impairments 1,594 vs 840 in FY2024; if the higher level is the new normal, the base margin is ~25bp too high; Discount-rate and terminal cap: the 12x cap binds in base and bull; the valuation is effectively 12x FCF, so the result scales linearly with the cap; NCI leakage 22% of NOPAT assumes Hutchison and the JV-structured distribution subsidiaries stay at current ownership; buy-ins would raise attributable share but cost cash; FX: a 5% CNY move against the HKD moves every HKD figure 5%; fx_rate is not refreshed by refresh_price.py</t>
  </si>
  <si>
    <t xml:space="preserve">Data sources</t>
  </si>
  <si>
    <t xml:space="preserve">price: Yahoo Finance chart API for 2607.HK at inputs.price_as_of (intraday HKEX session); 52-week range HKD 10.70-12.41. FX: Yahoo CNYHKD=X same morning. A-share parity: Yahoo 601607.SS.
financials: research/2607.HK/Reports/2607.HK_Metrics.csv (FY2019-FY2025 annual, H1 2023-H1 2026, Q1 and 9M); 2607.HK_Annual_FY2025.txt (income statement, cash flow statement, OCF reconciliation note (IV)65, investment income note (IV)57, lease cash note (IV)65, non-recurring summary); 2607.HK_Annual_FY2024.txt (non-recurring summary); 2607.HK_HalfYear_H1-2026.txt (30-Jun-2026 balance sheet, restricted cash note, non-recurring table, cash flow statement).
qualitative: research/2607.HK/Reports/2607.HK_Analysis.json (2026-10-22): VBP/NHSA policy, Hutchison consolidation, segment mix, bull/bear axes.</t>
  </si>
  <si>
    <t xml:space="preserve">Scenario narrative: bear</t>
  </si>
  <si>
    <t xml:space="preserve">VBP/DRG deflation compounds through the 91% distribution book, impairments recur, receivable days stretch; margin 3.5%, growth 1.5%, 10x exit. Still cash-generative -- no scenario hits the zero floor.</t>
  </si>
  <si>
    <t xml:space="preserve">Scenario narrative: base</t>
  </si>
  <si>
    <t xml:space="preserve">A policy-tendered, thin-margin distributor growing a little slower than China's drug-spend volume, with the manufacturing mix nudging margins up 15bp over five years and a working-capital drain that keeps attributable owner FCF at roughly 1-1.3% of revenue. Value is a 12x multiple on year-10 FCF, not a perpetuity.</t>
  </si>
  <si>
    <t xml:space="preserve">Scenario narrative: bull</t>
  </si>
  <si>
    <t xml:space="preserve">Manufacturing (Hutchison TCM brands, Shexiang Baoxin), CSO and innovative-drug commercialisation outgrow the base for a decade, VBP deflation moderates, impairments normalise; margin 4.7%, growth 6% fading to 3%, 13x exit.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</si>
  <si>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</si>
  <si>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</si>
  <si>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</si>
  <si>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</si>
  <si>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</si>
  <si>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</si>
  <si>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</si>
  <si>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</si>
  <si>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</si>
  <si>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</si>
  <si>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</si>
  <si>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</si>
  <si>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</si>
  <si>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</si>
  <si>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</si>
  <si>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</si>
  <si>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</si>
  <si>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</si>
  <si>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</si>
  <si>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</si>
  <si>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</si>
  <si>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</si>
  <si>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</si>
  <si>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</si>
  <si>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</si>
  <si>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</si>
  <si>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</si>
  <si>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MinorityInterestProfit</t>
  </si>
  <si>
    <t xml:space="preserve">RnDExpense</t>
  </si>
  <si>
    <t xml:space="preserve">SegmentRevenueDistribution</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</si>
  <si>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</si>
  <si>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</si>
  <si>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</si>
  <si>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</si>
  <si>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</si>
  <si>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</si>
  <si>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</si>
  <si>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</si>
  <si>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</si>
  <si>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</si>
  <si>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</si>
  <si>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</si>
  <si>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</si>
  <si>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</si>
  <si>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</si>
  <si>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</si>
  <si>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</si>
  <si>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</si>
  <si>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</si>
  <si>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</si>
  <si>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</si>
  <si>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</si>
  <si>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</si>
  <si>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</si>
  <si>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</si>
  <si>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</si>
  <si>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</si>
  <si>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</si>
  <si>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</si>
  <si>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</si>
  <si>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</si>
  <si>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</si>
  <si>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</si>
  <si>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</si>
  <si>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</si>
  <si>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</si>
  <si>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</si>
  <si>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</si>
  <si>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</si>
  <si>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</si>
  <si>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</si>
  <si>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</si>
  <si>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</si>
  <si>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</si>
  <si>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</si>
  <si>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2607.HK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</si>
  <si>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</si>
  <si>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</si>
  <si>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</si>
  <si>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</si>
  <si>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</si>
  <si>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</si>
  <si>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</si>
  <si>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</si>
  <si>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</si>
  <si>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</si>
  <si>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</si>
  <si>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</si>
  <si>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</si>
  <si>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</si>
  <si>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</si>
  <si>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</si>
  <si>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</si>
  <si>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</si>
  <si>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</si>
  <si>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</si>
  <si>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</si>
  <si>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</si>
  <si>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</si>
  <si>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</si>
  <si>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</si>
  <si>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</si>
  <si>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</si>
  <si>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</si>
  <si>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</si>
  <si>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</si>
  <si>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2607.HK owner-FCF component DCF: base case (millions, CNY)</t>
  </si>
  <si>
    <t xml:space="preserve">2607.HK owner-FCF component DCF: bull case (millions, CNY)</t>
  </si>
  <si>
    <t xml:space="preserve">2607.HK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</si>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</sst>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11.03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159084.397</v>
      </c>
      <c r="C2" s="0" t="n">
        <v>137390.362</v>
      </c>
      <c r="D2" s="0" t="n">
        <v>21694.035</v>
      </c>
      <c r="E2" s="0" t="n">
        <v>13.637</v>
      </c>
      <c r="F2" s="0" t="n">
        <v>5505.082</v>
      </c>
      <c r="G2" s="0" t="n">
        <v>3.46</v>
      </c>
      <c r="I2" s="0" t="n">
        <v>3881.063</v>
      </c>
      <c r="J2" s="0" t="n">
        <v>2.44</v>
      </c>
      <c r="K2" s="0" t="n">
        <v>1.37</v>
      </c>
      <c r="L2" s="0" t="n">
        <v>1596.079</v>
      </c>
      <c r="M2" s="0" t="n">
        <v>1943.044</v>
      </c>
      <c r="N2" s="0" t="n">
        <v>-346.965</v>
      </c>
      <c r="O2" s="0" t="n">
        <v>39013.575</v>
      </c>
      <c r="P2" s="0" t="n">
        <v>126879.332</v>
      </c>
      <c r="Q2" s="0" t="n">
        <v>80446.061</v>
      </c>
      <c r="R2" s="0" t="n">
        <v>31651.659</v>
      </c>
      <c r="S2" s="0" t="n">
        <v>18694.669</v>
      </c>
      <c r="T2" s="0" t="n">
        <v>2842.089</v>
      </c>
      <c r="AA2" s="0" t="s">
        <v>18</v>
      </c>
      <c r="AB2" s="0" t="s">
        <v>14</v>
      </c>
      <c r="AC2" s="0" t="n">
        <v>575.198</v>
      </c>
    </row>
    <row r="3" customFormat="false" ht="15" hidden="false" customHeight="false" outlineLevel="0" collapsed="false">
      <c r="A3" s="0" t="s">
        <v>68</v>
      </c>
      <c r="B3" s="0" t="n">
        <v>186565.796</v>
      </c>
      <c r="C3" s="0" t="n">
        <v>159751.67</v>
      </c>
      <c r="D3" s="0" t="n">
        <v>26814.126</v>
      </c>
      <c r="E3" s="0" t="n">
        <v>14.372</v>
      </c>
      <c r="F3" s="0" t="n">
        <v>6213.947</v>
      </c>
      <c r="G3" s="0" t="n">
        <v>3.331</v>
      </c>
      <c r="I3" s="0" t="n">
        <v>4080.994</v>
      </c>
      <c r="J3" s="0" t="n">
        <v>2.187</v>
      </c>
      <c r="K3" s="0" t="n">
        <v>1.44</v>
      </c>
      <c r="L3" s="0" t="n">
        <v>6022.386</v>
      </c>
      <c r="M3" s="0" t="n">
        <v>2753.125</v>
      </c>
      <c r="N3" s="0" t="n">
        <v>3269.261</v>
      </c>
      <c r="O3" s="0" t="n">
        <v>41659.055</v>
      </c>
      <c r="P3" s="0" t="n">
        <v>137026.396</v>
      </c>
      <c r="Q3" s="0" t="n">
        <v>87640.468</v>
      </c>
      <c r="R3" s="0" t="n">
        <v>33461.511</v>
      </c>
      <c r="S3" s="0" t="n">
        <v>18152.818</v>
      </c>
      <c r="T3" s="0" t="n">
        <v>2842.089</v>
      </c>
      <c r="AA3" s="0" t="s">
        <v>18</v>
      </c>
      <c r="AB3" s="0" t="s">
        <v>14</v>
      </c>
      <c r="AC3" s="0" t="n">
        <v>749.748</v>
      </c>
    </row>
    <row r="4" customFormat="false" ht="15" hidden="false" customHeight="false" outlineLevel="0" collapsed="false">
      <c r="A4" s="0" t="s">
        <v>69</v>
      </c>
      <c r="B4" s="0" t="n">
        <v>191909.156</v>
      </c>
      <c r="C4" s="0" t="n">
        <v>165180.104</v>
      </c>
      <c r="D4" s="0" t="n">
        <v>26729.052</v>
      </c>
      <c r="E4" s="0" t="n">
        <v>13.928</v>
      </c>
      <c r="F4" s="0" t="n">
        <v>7184.388</v>
      </c>
      <c r="G4" s="0" t="n">
        <v>3.744</v>
      </c>
      <c r="H4" s="0" t="n">
        <v>10597.502</v>
      </c>
      <c r="I4" s="0" t="n">
        <v>4496.217</v>
      </c>
      <c r="J4" s="0" t="n">
        <v>2.343</v>
      </c>
      <c r="K4" s="0" t="n">
        <v>1.58</v>
      </c>
      <c r="L4" s="0" t="n">
        <v>6844.721</v>
      </c>
      <c r="M4" s="0" t="n">
        <v>3009.971</v>
      </c>
      <c r="N4" s="0" t="n">
        <v>3834.75</v>
      </c>
      <c r="O4" s="0" t="n">
        <v>45354.678</v>
      </c>
      <c r="P4" s="0" t="n">
        <v>149185.655</v>
      </c>
      <c r="Q4" s="0" t="n">
        <v>94444.926</v>
      </c>
      <c r="R4" s="0" t="n">
        <v>35309.918</v>
      </c>
      <c r="S4" s="0" t="n">
        <v>22296.233</v>
      </c>
      <c r="T4" s="0" t="n">
        <v>2842.089</v>
      </c>
      <c r="AA4" s="0" t="s">
        <v>18</v>
      </c>
      <c r="AB4" s="0" t="s">
        <v>14</v>
      </c>
      <c r="AC4" s="0" t="n">
        <v>1109.047</v>
      </c>
    </row>
    <row r="5" customFormat="false" ht="15" hidden="false" customHeight="false" outlineLevel="0" collapsed="false">
      <c r="A5" s="0" t="s">
        <v>70</v>
      </c>
      <c r="B5" s="0" t="n">
        <v>215824.259</v>
      </c>
      <c r="C5" s="0" t="n">
        <v>187281.149</v>
      </c>
      <c r="D5" s="0" t="n">
        <v>28543.11</v>
      </c>
      <c r="E5" s="0" t="n">
        <v>13.225</v>
      </c>
      <c r="F5" s="0" t="n">
        <v>8205.486</v>
      </c>
      <c r="G5" s="0" t="n">
        <v>3.802</v>
      </c>
      <c r="H5" s="0" t="n">
        <v>11650.56</v>
      </c>
      <c r="I5" s="0" t="n">
        <v>5093.467</v>
      </c>
      <c r="J5" s="0" t="n">
        <v>2.36</v>
      </c>
      <c r="K5" s="0" t="n">
        <v>1.79</v>
      </c>
      <c r="L5" s="0" t="n">
        <v>5061.326</v>
      </c>
      <c r="M5" s="0" t="n">
        <v>4118.771</v>
      </c>
      <c r="N5" s="0" t="n">
        <v>942.555</v>
      </c>
      <c r="O5" s="0" t="n">
        <v>49359.48</v>
      </c>
      <c r="P5" s="0" t="n">
        <v>163435.509</v>
      </c>
      <c r="Q5" s="0" t="n">
        <v>104369.299</v>
      </c>
      <c r="R5" s="0" t="n">
        <v>39486.751</v>
      </c>
      <c r="S5" s="0" t="n">
        <v>22390.386</v>
      </c>
      <c r="T5" s="0" t="n">
        <v>2842.089</v>
      </c>
      <c r="AA5" s="0" t="s">
        <v>18</v>
      </c>
      <c r="AB5" s="0" t="s">
        <v>14</v>
      </c>
      <c r="AC5" s="0" t="n">
        <v>1181.102</v>
      </c>
    </row>
    <row r="6" customFormat="false" ht="15" hidden="false" customHeight="false" outlineLevel="0" collapsed="false">
      <c r="A6" s="0" t="s">
        <v>71</v>
      </c>
      <c r="B6" s="0" t="n">
        <v>231981.3</v>
      </c>
      <c r="C6" s="0" t="n">
        <v>201494.923</v>
      </c>
      <c r="D6" s="0" t="n">
        <v>30486.377</v>
      </c>
      <c r="E6" s="0" t="n">
        <v>13.142</v>
      </c>
      <c r="F6" s="0" t="n">
        <v>9014.65</v>
      </c>
      <c r="G6" s="0" t="n">
        <v>3.886</v>
      </c>
      <c r="H6" s="0" t="n">
        <v>12476.96</v>
      </c>
      <c r="I6" s="0" t="n">
        <v>5617.152</v>
      </c>
      <c r="J6" s="0" t="n">
        <v>2.421</v>
      </c>
      <c r="K6" s="0" t="n">
        <v>1.61</v>
      </c>
      <c r="L6" s="0" t="n">
        <v>4743.361</v>
      </c>
      <c r="M6" s="0" t="n">
        <v>2684.864</v>
      </c>
      <c r="N6" s="0" t="n">
        <v>2058.497</v>
      </c>
      <c r="O6" s="0" t="n">
        <v>67063.006</v>
      </c>
      <c r="P6" s="0" t="n">
        <v>198134.901</v>
      </c>
      <c r="Q6" s="0" t="n">
        <v>120132.45</v>
      </c>
      <c r="R6" s="0" t="n">
        <v>43644.756</v>
      </c>
      <c r="S6" s="0" t="n">
        <v>27401.396</v>
      </c>
      <c r="T6" s="0" t="n">
        <v>3697.546</v>
      </c>
      <c r="AA6" s="0" t="s">
        <v>18</v>
      </c>
      <c r="AB6" s="0" t="s">
        <v>14</v>
      </c>
      <c r="AC6" s="0" t="n">
        <v>1374.863</v>
      </c>
      <c r="AD6" s="0" t="n">
        <v>2112.198</v>
      </c>
    </row>
    <row r="7" customFormat="false" ht="15" hidden="false" customHeight="false" outlineLevel="0" collapsed="false">
      <c r="A7" s="0" t="s">
        <v>72</v>
      </c>
      <c r="B7" s="0" t="n">
        <v>260295.089</v>
      </c>
      <c r="C7" s="0" t="n">
        <v>228966.947</v>
      </c>
      <c r="D7" s="0" t="n">
        <v>31328.142</v>
      </c>
      <c r="E7" s="0" t="n">
        <v>12.036</v>
      </c>
      <c r="F7" s="0" t="n">
        <v>7667.235</v>
      </c>
      <c r="G7" s="0" t="n">
        <v>2.946</v>
      </c>
      <c r="H7" s="0" t="n">
        <v>10856.908</v>
      </c>
      <c r="I7" s="0" t="n">
        <v>3768</v>
      </c>
      <c r="J7" s="0" t="n">
        <v>1.448</v>
      </c>
      <c r="K7" s="0" t="n">
        <v>1.02</v>
      </c>
      <c r="L7" s="0" t="n">
        <v>5231.52</v>
      </c>
      <c r="M7" s="0" t="n">
        <v>2970.61</v>
      </c>
      <c r="N7" s="0" t="n">
        <v>2260.91</v>
      </c>
      <c r="O7" s="0" t="n">
        <v>68524.143</v>
      </c>
      <c r="P7" s="0" t="n">
        <v>211972.534</v>
      </c>
      <c r="Q7" s="0" t="n">
        <v>131646.441</v>
      </c>
      <c r="R7" s="0" t="n">
        <v>50602.068</v>
      </c>
      <c r="S7" s="0" t="n">
        <v>30517.706</v>
      </c>
      <c r="T7" s="0" t="n">
        <v>3703.301</v>
      </c>
      <c r="AA7" s="0" t="s">
        <v>18</v>
      </c>
      <c r="AB7" s="0" t="s">
        <v>14</v>
      </c>
      <c r="AC7" s="0" t="n">
        <v>1398.571</v>
      </c>
      <c r="AD7" s="0" t="n">
        <v>2204.034</v>
      </c>
    </row>
    <row r="8" customFormat="false" ht="15" hidden="false" customHeight="false" outlineLevel="0" collapsed="false">
      <c r="A8" s="0" t="s">
        <v>73</v>
      </c>
      <c r="B8" s="0" t="n">
        <v>275250.935</v>
      </c>
      <c r="C8" s="0" t="n">
        <v>244619.261</v>
      </c>
      <c r="D8" s="0" t="n">
        <v>30631.674</v>
      </c>
      <c r="E8" s="0" t="n">
        <v>11.129</v>
      </c>
      <c r="F8" s="0" t="n">
        <v>8140.713</v>
      </c>
      <c r="G8" s="0" t="n">
        <v>2.958</v>
      </c>
      <c r="H8" s="0" t="n">
        <v>11964.256</v>
      </c>
      <c r="I8" s="0" t="n">
        <v>4552.528</v>
      </c>
      <c r="J8" s="0" t="n">
        <v>1.654</v>
      </c>
      <c r="K8" s="0" t="n">
        <v>1.23</v>
      </c>
      <c r="L8" s="0" t="n">
        <v>5827.258</v>
      </c>
      <c r="M8" s="0" t="n">
        <v>2400.875</v>
      </c>
      <c r="N8" s="0" t="n">
        <v>3426.383</v>
      </c>
      <c r="O8" s="0" t="n">
        <v>71675.62</v>
      </c>
      <c r="P8" s="0" t="n">
        <v>221209.43</v>
      </c>
      <c r="Q8" s="0" t="n">
        <v>137467.066</v>
      </c>
      <c r="R8" s="0" t="n">
        <v>53465.443</v>
      </c>
      <c r="S8" s="0" t="n">
        <v>35744.328</v>
      </c>
      <c r="T8" s="0" t="n">
        <v>3707.972</v>
      </c>
      <c r="AA8" s="0" t="s">
        <v>18</v>
      </c>
      <c r="AB8" s="0" t="s">
        <v>14</v>
      </c>
      <c r="AC8" s="0" t="n">
        <v>1317.483</v>
      </c>
      <c r="AD8" s="0" t="n">
        <v>2394.434</v>
      </c>
    </row>
    <row r="9" customFormat="false" ht="15" hidden="false" customHeight="false" outlineLevel="0" collapsed="false">
      <c r="A9" s="0" t="s">
        <v>74</v>
      </c>
      <c r="B9" s="0" t="n">
        <v>283579.601</v>
      </c>
      <c r="C9" s="0" t="n">
        <v>253163.121</v>
      </c>
      <c r="D9" s="0" t="n">
        <v>30416.48</v>
      </c>
      <c r="E9" s="0" t="n">
        <v>10.726</v>
      </c>
      <c r="F9" s="0" t="n">
        <v>9942.086</v>
      </c>
      <c r="G9" s="0" t="n">
        <v>3.506</v>
      </c>
      <c r="H9" s="0" t="n">
        <v>14161.339</v>
      </c>
      <c r="I9" s="0" t="n">
        <v>5724.558</v>
      </c>
      <c r="J9" s="0" t="n">
        <v>2.019</v>
      </c>
      <c r="K9" s="0" t="n">
        <v>1.54</v>
      </c>
      <c r="L9" s="0" t="n">
        <v>6154.201</v>
      </c>
      <c r="M9" s="0" t="n">
        <v>2325.879</v>
      </c>
      <c r="N9" s="0" t="n">
        <v>3828.322</v>
      </c>
      <c r="O9" s="0" t="n">
        <v>75891.328</v>
      </c>
      <c r="P9" s="0" t="n">
        <v>233148.767</v>
      </c>
      <c r="Q9" s="0" t="n">
        <v>143361.473</v>
      </c>
      <c r="R9" s="0" t="n">
        <v>56371.486</v>
      </c>
      <c r="S9" s="0" t="n">
        <v>32721.763</v>
      </c>
      <c r="T9" s="0" t="n">
        <v>3708.362</v>
      </c>
      <c r="AA9" s="0" t="s">
        <v>18</v>
      </c>
      <c r="AB9" s="0" t="s">
        <v>14</v>
      </c>
      <c r="AC9" s="0" t="n">
        <v>1249.16</v>
      </c>
      <c r="AD9" s="0" t="n">
        <v>2340.009</v>
      </c>
      <c r="AE9" s="0" t="n">
        <v>258828.144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11.03</v>
      </c>
    </row>
    <row r="3" customFormat="false" ht="15" hidden="false" customHeight="false" outlineLevel="0" collapsed="false">
      <c r="A3" s="0" t="s">
        <v>78</v>
      </c>
      <c r="B3" s="3" t="n">
        <v>3708.362</v>
      </c>
    </row>
    <row r="4" customFormat="false" ht="15" hidden="false" customHeight="false" outlineLevel="0" collapsed="false">
      <c r="A4" s="0" t="s">
        <v>79</v>
      </c>
      <c r="B4" s="3" t="n">
        <v>13723.4</v>
      </c>
    </row>
    <row r="5" customFormat="false" ht="15" hidden="false" customHeight="false" outlineLevel="0" collapsed="false">
      <c r="A5" s="0" t="s">
        <v>80</v>
      </c>
      <c r="B5" s="3" t="n">
        <v>4836.5</v>
      </c>
    </row>
    <row r="6" customFormat="false" ht="15" hidden="false" customHeight="false" outlineLevel="0" collapsed="false">
      <c r="A6" s="0" t="s">
        <v>81</v>
      </c>
      <c r="B6" s="3" t="n">
        <v>15</v>
      </c>
    </row>
    <row r="7" customFormat="false" ht="15" hidden="false" customHeight="false" outlineLevel="0" collapsed="false">
      <c r="A7" s="0" t="s">
        <v>82</v>
      </c>
      <c r="B7" s="3" t="n">
        <v>283579.6</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1.175</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2.5</v>
      </c>
      <c r="D13" s="3" t="n">
        <v>2</v>
      </c>
      <c r="E13" s="3" t="n">
        <v>2</v>
      </c>
      <c r="F13" s="3" t="n">
        <v>1.5</v>
      </c>
      <c r="G13" s="3" t="n">
        <v>1.5</v>
      </c>
      <c r="H13" s="3" t="n">
        <v>1.5</v>
      </c>
      <c r="I13" s="3" t="n">
        <v>1.5</v>
      </c>
      <c r="J13" s="3" t="n">
        <v>1.5</v>
      </c>
      <c r="K13" s="3" t="n">
        <v>1.5</v>
      </c>
      <c r="L13" s="3" t="n">
        <v>1.5</v>
      </c>
    </row>
    <row r="14" customFormat="false" ht="15" hidden="false" customHeight="false" outlineLevel="0" collapsed="false">
      <c r="A14" s="0" t="s">
        <v>99</v>
      </c>
      <c r="C14" s="3" t="n">
        <v>3.8</v>
      </c>
      <c r="D14" s="3" t="n">
        <v>3.7</v>
      </c>
      <c r="E14" s="3" t="n">
        <v>3.6</v>
      </c>
      <c r="F14" s="3" t="n">
        <v>3.5</v>
      </c>
      <c r="G14" s="3" t="n">
        <v>3.5</v>
      </c>
      <c r="H14" s="3" t="n">
        <v>3.5</v>
      </c>
      <c r="I14" s="3" t="n">
        <v>3.5</v>
      </c>
      <c r="J14" s="3" t="n">
        <v>3.5</v>
      </c>
      <c r="K14" s="3" t="n">
        <v>3.5</v>
      </c>
      <c r="L14" s="3" t="n">
        <v>3.5</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0.31</v>
      </c>
      <c r="D16" s="3" t="n">
        <v>0.31</v>
      </c>
      <c r="E16" s="3" t="n">
        <v>0.31</v>
      </c>
      <c r="F16" s="3" t="n">
        <v>0.31</v>
      </c>
      <c r="G16" s="3" t="n">
        <v>0.31</v>
      </c>
      <c r="H16" s="3" t="n">
        <v>0.31</v>
      </c>
      <c r="I16" s="3" t="n">
        <v>0.31</v>
      </c>
      <c r="J16" s="3" t="n">
        <v>0.31</v>
      </c>
      <c r="K16" s="3" t="n">
        <v>0.31</v>
      </c>
      <c r="L16" s="3" t="n">
        <v>0.31</v>
      </c>
    </row>
    <row r="17" customFormat="false" ht="15" hidden="false" customHeight="false" outlineLevel="0" collapsed="false">
      <c r="A17" s="0" t="s">
        <v>102</v>
      </c>
      <c r="C17" s="3" t="n">
        <v>0.8</v>
      </c>
      <c r="D17" s="3" t="n">
        <v>0.8</v>
      </c>
      <c r="E17" s="3" t="n">
        <v>0.8</v>
      </c>
      <c r="F17" s="3" t="n">
        <v>0.8</v>
      </c>
      <c r="G17" s="3" t="n">
        <v>0.8</v>
      </c>
      <c r="H17" s="3" t="n">
        <v>0.8</v>
      </c>
      <c r="I17" s="3" t="n">
        <v>0.8</v>
      </c>
      <c r="J17" s="3" t="n">
        <v>0.8</v>
      </c>
      <c r="K17" s="3" t="n">
        <v>0.8</v>
      </c>
      <c r="L17" s="3" t="n">
        <v>0.8</v>
      </c>
    </row>
    <row r="18" customFormat="false" ht="15" hidden="false" customHeight="false" outlineLevel="0" collapsed="false">
      <c r="A18" s="0" t="s">
        <v>103</v>
      </c>
      <c r="C18" s="3" t="n">
        <v>0.9</v>
      </c>
      <c r="D18" s="3" t="n">
        <v>0.9</v>
      </c>
      <c r="E18" s="3" t="n">
        <v>0.9</v>
      </c>
      <c r="F18" s="3" t="n">
        <v>0.9</v>
      </c>
      <c r="G18" s="3" t="n">
        <v>0.9</v>
      </c>
      <c r="H18" s="3" t="n">
        <v>0.9</v>
      </c>
      <c r="I18" s="3" t="n">
        <v>0.9</v>
      </c>
      <c r="J18" s="3" t="n">
        <v>0.9</v>
      </c>
      <c r="K18" s="3" t="n">
        <v>0.9</v>
      </c>
      <c r="L18" s="3" t="n">
        <v>0.9</v>
      </c>
    </row>
    <row r="19" customFormat="false" ht="15" hidden="false" customHeight="false" outlineLevel="0" collapsed="false">
      <c r="A19" s="0" t="s">
        <v>104</v>
      </c>
      <c r="C19" s="3" t="n">
        <v>45</v>
      </c>
      <c r="D19" s="3" t="n">
        <v>45</v>
      </c>
      <c r="E19" s="3" t="n">
        <v>45</v>
      </c>
      <c r="F19" s="3" t="n">
        <v>45</v>
      </c>
      <c r="G19" s="3" t="n">
        <v>45</v>
      </c>
      <c r="H19" s="3" t="n">
        <v>45</v>
      </c>
      <c r="I19" s="3" t="n">
        <v>45</v>
      </c>
      <c r="J19" s="3" t="n">
        <v>45</v>
      </c>
      <c r="K19" s="3" t="n">
        <v>45</v>
      </c>
      <c r="L19" s="3" t="n">
        <v>45</v>
      </c>
    </row>
    <row r="20" customFormat="false" ht="15" hidden="false" customHeight="false" outlineLevel="0" collapsed="false">
      <c r="A20" s="0" t="s">
        <v>105</v>
      </c>
      <c r="B20" s="3" t="n">
        <v>7</v>
      </c>
    </row>
    <row r="21" customFormat="false" ht="15" hidden="false" customHeight="false" outlineLevel="0" collapsed="false">
      <c r="A21" s="0" t="s">
        <v>106</v>
      </c>
      <c r="B21" s="3" t="n">
        <v>1</v>
      </c>
    </row>
    <row r="22" customFormat="false" ht="15" hidden="false" customHeight="false" outlineLevel="0" collapsed="false">
      <c r="A22" s="0" t="s">
        <v>107</v>
      </c>
      <c r="B22" s="3" t="n">
        <v>10</v>
      </c>
    </row>
    <row r="23" customFormat="false" ht="15" hidden="false" customHeight="false" outlineLevel="0" collapsed="false">
      <c r="A23" s="0" t="s">
        <v>108</v>
      </c>
      <c r="B23" s="3" t="n">
        <v>-35</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4.5</v>
      </c>
      <c r="D27" s="3" t="n">
        <v>4</v>
      </c>
      <c r="E27" s="3" t="n">
        <v>4</v>
      </c>
      <c r="F27" s="3" t="n">
        <v>3.5</v>
      </c>
      <c r="G27" s="3" t="n">
        <v>3.5</v>
      </c>
      <c r="H27" s="3" t="n">
        <v>3</v>
      </c>
      <c r="I27" s="3" t="n">
        <v>3</v>
      </c>
      <c r="J27" s="3" t="n">
        <v>2.5</v>
      </c>
      <c r="K27" s="3" t="n">
        <v>2.5</v>
      </c>
      <c r="L27" s="3" t="n">
        <v>2.5</v>
      </c>
    </row>
    <row r="28" customFormat="false" ht="15" hidden="false" customHeight="false" outlineLevel="0" collapsed="false">
      <c r="A28" s="0" t="s">
        <v>99</v>
      </c>
      <c r="C28" s="3" t="n">
        <v>3.95</v>
      </c>
      <c r="D28" s="3" t="n">
        <v>4</v>
      </c>
      <c r="E28" s="3" t="n">
        <v>4.05</v>
      </c>
      <c r="F28" s="3" t="n">
        <v>4.1</v>
      </c>
      <c r="G28" s="3" t="n">
        <v>4.1</v>
      </c>
      <c r="H28" s="3" t="n">
        <v>4.1</v>
      </c>
      <c r="I28" s="3" t="n">
        <v>4.1</v>
      </c>
      <c r="J28" s="3" t="n">
        <v>4.1</v>
      </c>
      <c r="K28" s="3" t="n">
        <v>4.1</v>
      </c>
      <c r="L28" s="3" t="n">
        <v>4.1</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0.31</v>
      </c>
      <c r="D30" s="3" t="n">
        <v>0.31</v>
      </c>
      <c r="E30" s="3" t="n">
        <v>0.31</v>
      </c>
      <c r="F30" s="3" t="n">
        <v>0.31</v>
      </c>
      <c r="G30" s="3" t="n">
        <v>0.31</v>
      </c>
      <c r="H30" s="3" t="n">
        <v>0.31</v>
      </c>
      <c r="I30" s="3" t="n">
        <v>0.31</v>
      </c>
      <c r="J30" s="3" t="n">
        <v>0.31</v>
      </c>
      <c r="K30" s="3" t="n">
        <v>0.31</v>
      </c>
      <c r="L30" s="3" t="n">
        <v>0.31</v>
      </c>
    </row>
    <row r="31" customFormat="false" ht="15" hidden="false" customHeight="false" outlineLevel="0" collapsed="false">
      <c r="A31" s="0" t="s">
        <v>102</v>
      </c>
      <c r="C31" s="3" t="n">
        <v>0.8</v>
      </c>
      <c r="D31" s="3" t="n">
        <v>0.8</v>
      </c>
      <c r="E31" s="3" t="n">
        <v>0.8</v>
      </c>
      <c r="F31" s="3" t="n">
        <v>0.8</v>
      </c>
      <c r="G31" s="3" t="n">
        <v>0.8</v>
      </c>
      <c r="H31" s="3" t="n">
        <v>0.8</v>
      </c>
      <c r="I31" s="3" t="n">
        <v>0.8</v>
      </c>
      <c r="J31" s="3" t="n">
        <v>0.8</v>
      </c>
      <c r="K31" s="3" t="n">
        <v>0.8</v>
      </c>
      <c r="L31" s="3" t="n">
        <v>0.8</v>
      </c>
    </row>
    <row r="32" customFormat="false" ht="15" hidden="false" customHeight="false" outlineLevel="0" collapsed="false">
      <c r="A32" s="0" t="s">
        <v>103</v>
      </c>
      <c r="C32" s="3" t="n">
        <v>0.85</v>
      </c>
      <c r="D32" s="3" t="n">
        <v>0.85</v>
      </c>
      <c r="E32" s="3" t="n">
        <v>0.85</v>
      </c>
      <c r="F32" s="3" t="n">
        <v>0.85</v>
      </c>
      <c r="G32" s="3" t="n">
        <v>0.85</v>
      </c>
      <c r="H32" s="3" t="n">
        <v>0.85</v>
      </c>
      <c r="I32" s="3" t="n">
        <v>0.85</v>
      </c>
      <c r="J32" s="3" t="n">
        <v>0.85</v>
      </c>
      <c r="K32" s="3" t="n">
        <v>0.85</v>
      </c>
      <c r="L32" s="3" t="n">
        <v>0.85</v>
      </c>
    </row>
    <row r="33" customFormat="false" ht="15" hidden="false" customHeight="false" outlineLevel="0" collapsed="false">
      <c r="A33" s="0" t="s">
        <v>104</v>
      </c>
      <c r="C33" s="3" t="n">
        <v>45</v>
      </c>
      <c r="D33" s="3" t="n">
        <v>45</v>
      </c>
      <c r="E33" s="3" t="n">
        <v>45</v>
      </c>
      <c r="F33" s="3" t="n">
        <v>45</v>
      </c>
      <c r="G33" s="3" t="n">
        <v>45</v>
      </c>
      <c r="H33" s="3" t="n">
        <v>45</v>
      </c>
      <c r="I33" s="3" t="n">
        <v>45</v>
      </c>
      <c r="J33" s="3" t="n">
        <v>45</v>
      </c>
      <c r="K33" s="3" t="n">
        <v>45</v>
      </c>
      <c r="L33" s="3" t="n">
        <v>45</v>
      </c>
    </row>
    <row r="34" customFormat="false" ht="15" hidden="false" customHeight="false" outlineLevel="0" collapsed="false">
      <c r="A34" s="0" t="s">
        <v>105</v>
      </c>
      <c r="B34" s="3" t="n">
        <v>7</v>
      </c>
    </row>
    <row r="35" customFormat="false" ht="15" hidden="false" customHeight="false" outlineLevel="0" collapsed="false">
      <c r="A35" s="0" t="s">
        <v>106</v>
      </c>
      <c r="B35" s="3" t="n">
        <v>2</v>
      </c>
    </row>
    <row r="36" customFormat="false" ht="15" hidden="false" customHeight="false" outlineLevel="0" collapsed="false">
      <c r="A36" s="0" t="s">
        <v>107</v>
      </c>
      <c r="B36" s="3" t="n">
        <v>12</v>
      </c>
    </row>
    <row r="37" customFormat="false" ht="15" hidden="false" customHeight="false" outlineLevel="0" collapsed="false">
      <c r="A37" s="0" t="s">
        <v>108</v>
      </c>
      <c r="B37" s="3" t="n">
        <v>-25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6</v>
      </c>
      <c r="D41" s="3" t="n">
        <v>6</v>
      </c>
      <c r="E41" s="3" t="n">
        <v>5.5</v>
      </c>
      <c r="F41" s="3" t="n">
        <v>5</v>
      </c>
      <c r="G41" s="3" t="n">
        <v>5</v>
      </c>
      <c r="H41" s="3" t="n">
        <v>4.5</v>
      </c>
      <c r="I41" s="3" t="n">
        <v>4</v>
      </c>
      <c r="J41" s="3" t="n">
        <v>3.5</v>
      </c>
      <c r="K41" s="3" t="n">
        <v>3</v>
      </c>
      <c r="L41" s="3" t="n">
        <v>3</v>
      </c>
    </row>
    <row r="42" customFormat="false" ht="15" hidden="false" customHeight="false" outlineLevel="0" collapsed="false">
      <c r="A42" s="0" t="s">
        <v>99</v>
      </c>
      <c r="C42" s="3" t="n">
        <v>4.05</v>
      </c>
      <c r="D42" s="3" t="n">
        <v>4.2</v>
      </c>
      <c r="E42" s="3" t="n">
        <v>4.35</v>
      </c>
      <c r="F42" s="3" t="n">
        <v>4.5</v>
      </c>
      <c r="G42" s="3" t="n">
        <v>4.6</v>
      </c>
      <c r="H42" s="3" t="n">
        <v>4.7</v>
      </c>
      <c r="I42" s="3" t="n">
        <v>4.7</v>
      </c>
      <c r="J42" s="3" t="n">
        <v>4.7</v>
      </c>
      <c r="K42" s="3" t="n">
        <v>4.7</v>
      </c>
      <c r="L42" s="3" t="n">
        <v>4.7</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0.31</v>
      </c>
      <c r="D44" s="3" t="n">
        <v>0.31</v>
      </c>
      <c r="E44" s="3" t="n">
        <v>0.31</v>
      </c>
      <c r="F44" s="3" t="n">
        <v>0.31</v>
      </c>
      <c r="G44" s="3" t="n">
        <v>0.31</v>
      </c>
      <c r="H44" s="3" t="n">
        <v>0.31</v>
      </c>
      <c r="I44" s="3" t="n">
        <v>0.31</v>
      </c>
      <c r="J44" s="3" t="n">
        <v>0.31</v>
      </c>
      <c r="K44" s="3" t="n">
        <v>0.31</v>
      </c>
      <c r="L44" s="3" t="n">
        <v>0.31</v>
      </c>
    </row>
    <row r="45" customFormat="false" ht="15" hidden="false" customHeight="false" outlineLevel="0" collapsed="false">
      <c r="A45" s="0" t="s">
        <v>102</v>
      </c>
      <c r="C45" s="3" t="n">
        <v>0.8</v>
      </c>
      <c r="D45" s="3" t="n">
        <v>0.8</v>
      </c>
      <c r="E45" s="3" t="n">
        <v>0.8</v>
      </c>
      <c r="F45" s="3" t="n">
        <v>0.8</v>
      </c>
      <c r="G45" s="3" t="n">
        <v>0.8</v>
      </c>
      <c r="H45" s="3" t="n">
        <v>0.8</v>
      </c>
      <c r="I45" s="3" t="n">
        <v>0.8</v>
      </c>
      <c r="J45" s="3" t="n">
        <v>0.8</v>
      </c>
      <c r="K45" s="3" t="n">
        <v>0.8</v>
      </c>
      <c r="L45" s="3" t="n">
        <v>0.8</v>
      </c>
    </row>
    <row r="46" customFormat="false" ht="15" hidden="false" customHeight="false" outlineLevel="0" collapsed="false">
      <c r="A46" s="0" t="s">
        <v>103</v>
      </c>
      <c r="C46" s="3" t="n">
        <v>0.85</v>
      </c>
      <c r="D46" s="3" t="n">
        <v>0.85</v>
      </c>
      <c r="E46" s="3" t="n">
        <v>0.85</v>
      </c>
      <c r="F46" s="3" t="n">
        <v>0.85</v>
      </c>
      <c r="G46" s="3" t="n">
        <v>0.85</v>
      </c>
      <c r="H46" s="3" t="n">
        <v>0.85</v>
      </c>
      <c r="I46" s="3" t="n">
        <v>0.85</v>
      </c>
      <c r="J46" s="3" t="n">
        <v>0.85</v>
      </c>
      <c r="K46" s="3" t="n">
        <v>0.85</v>
      </c>
      <c r="L46" s="3" t="n">
        <v>0.85</v>
      </c>
    </row>
    <row r="47" customFormat="false" ht="15" hidden="false" customHeight="false" outlineLevel="0" collapsed="false">
      <c r="A47" s="0" t="s">
        <v>104</v>
      </c>
      <c r="C47" s="3" t="n">
        <v>45</v>
      </c>
      <c r="D47" s="3" t="n">
        <v>45</v>
      </c>
      <c r="E47" s="3" t="n">
        <v>45</v>
      </c>
      <c r="F47" s="3" t="n">
        <v>45</v>
      </c>
      <c r="G47" s="3" t="n">
        <v>45</v>
      </c>
      <c r="H47" s="3" t="n">
        <v>45</v>
      </c>
      <c r="I47" s="3" t="n">
        <v>45</v>
      </c>
      <c r="J47" s="3" t="n">
        <v>45</v>
      </c>
      <c r="K47" s="3" t="n">
        <v>45</v>
      </c>
      <c r="L47" s="3" t="n">
        <v>45</v>
      </c>
    </row>
    <row r="48" customFormat="false" ht="15" hidden="false" customHeight="false" outlineLevel="0" collapsed="false">
      <c r="A48" s="0" t="s">
        <v>105</v>
      </c>
      <c r="B48" s="3" t="n">
        <v>7</v>
      </c>
    </row>
    <row r="49" customFormat="false" ht="15" hidden="false" customHeight="false" outlineLevel="0" collapsed="false">
      <c r="A49" s="0" t="s">
        <v>106</v>
      </c>
      <c r="B49" s="3" t="n">
        <v>2.5</v>
      </c>
    </row>
    <row r="50" customFormat="false" ht="15" hidden="false" customHeight="false" outlineLevel="0" collapsed="false">
      <c r="A50" s="0" t="s">
        <v>107</v>
      </c>
      <c r="B50" s="3" t="n">
        <v>13</v>
      </c>
    </row>
    <row r="51" customFormat="false" ht="15" hidden="false" customHeight="false" outlineLevel="0" collapsed="false">
      <c r="A51" s="0" t="s">
        <v>108</v>
      </c>
      <c r="B51" s="3" t="n">
        <v>-20</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2.5</v>
      </c>
      <c r="D5" s="4" t="n">
        <f aca="false">Assumptions!D13</f>
        <v>2</v>
      </c>
      <c r="E5" s="4" t="n">
        <f aca="false">Assumptions!E13</f>
        <v>2</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283579.6</v>
      </c>
      <c r="C6" s="0" t="n">
        <f aca="false">B6*(1+C5/100)</f>
        <v>290669.09</v>
      </c>
      <c r="D6" s="0" t="n">
        <f aca="false">C6*(1+D5/100)</f>
        <v>296482.4718</v>
      </c>
      <c r="E6" s="0" t="n">
        <f aca="false">D6*(1+E5/100)</f>
        <v>302412.121236</v>
      </c>
      <c r="F6" s="0" t="n">
        <f aca="false">E6*(1+F5/100)</f>
        <v>306948.30305454</v>
      </c>
      <c r="G6" s="0" t="n">
        <f aca="false">F6*(1+G5/100)</f>
        <v>311552.527600358</v>
      </c>
      <c r="H6" s="0" t="n">
        <f aca="false">G6*(1+H5/100)</f>
        <v>316225.815514363</v>
      </c>
      <c r="I6" s="0" t="n">
        <f aca="false">H6*(1+I5/100)</f>
        <v>320969.202747079</v>
      </c>
      <c r="J6" s="0" t="n">
        <f aca="false">I6*(1+J5/100)</f>
        <v>325783.740788285</v>
      </c>
      <c r="K6" s="0" t="n">
        <f aca="false">J6*(1+K5/100)</f>
        <v>330670.496900109</v>
      </c>
      <c r="L6" s="0" t="n">
        <f aca="false">K6*(1+L5/100)</f>
        <v>335630.554353611</v>
      </c>
    </row>
    <row r="7" customFormat="false" ht="15" hidden="false" customHeight="false" outlineLevel="0" collapsed="false">
      <c r="A7" s="0" t="s">
        <v>99</v>
      </c>
      <c r="C7" s="4" t="n">
        <f aca="false">Assumptions!C14</f>
        <v>3.8</v>
      </c>
      <c r="D7" s="4" t="n">
        <f aca="false">Assumptions!D14</f>
        <v>3.7</v>
      </c>
      <c r="E7" s="4" t="n">
        <f aca="false">Assumptions!E14</f>
        <v>3.6</v>
      </c>
      <c r="F7" s="4" t="n">
        <f aca="false">Assumptions!F14</f>
        <v>3.5</v>
      </c>
      <c r="G7" s="4" t="n">
        <f aca="false">Assumptions!G14</f>
        <v>3.5</v>
      </c>
      <c r="H7" s="4" t="n">
        <f aca="false">Assumptions!H14</f>
        <v>3.5</v>
      </c>
      <c r="I7" s="4" t="n">
        <f aca="false">Assumptions!I14</f>
        <v>3.5</v>
      </c>
      <c r="J7" s="4" t="n">
        <f aca="false">Assumptions!J14</f>
        <v>3.5</v>
      </c>
      <c r="K7" s="4" t="n">
        <f aca="false">Assumptions!K14</f>
        <v>3.5</v>
      </c>
      <c r="L7" s="4" t="n">
        <f aca="false">Assumptions!L14</f>
        <v>3.5</v>
      </c>
    </row>
    <row r="8" customFormat="false" ht="15" hidden="false" customHeight="false" outlineLevel="0" collapsed="false">
      <c r="A8" s="0" t="s">
        <v>44</v>
      </c>
      <c r="C8" s="0" t="n">
        <f aca="false">C6*C7/100</f>
        <v>11045.42542</v>
      </c>
      <c r="D8" s="0" t="n">
        <f aca="false">D6*D7/100</f>
        <v>10969.8514566</v>
      </c>
      <c r="E8" s="0" t="n">
        <f aca="false">E6*E7/100</f>
        <v>10886.836364496</v>
      </c>
      <c r="F8" s="0" t="n">
        <f aca="false">F6*F7/100</f>
        <v>10743.1906069089</v>
      </c>
      <c r="G8" s="0" t="n">
        <f aca="false">G6*G7/100</f>
        <v>10904.3384660125</v>
      </c>
      <c r="H8" s="0" t="n">
        <f aca="false">H6*H7/100</f>
        <v>11067.9035430027</v>
      </c>
      <c r="I8" s="0" t="n">
        <f aca="false">I6*I7/100</f>
        <v>11233.9220961478</v>
      </c>
      <c r="J8" s="0" t="n">
        <f aca="false">J6*J7/100</f>
        <v>11402.43092759</v>
      </c>
      <c r="K8" s="0" t="n">
        <f aca="false">K6*K7/100</f>
        <v>11573.4673915038</v>
      </c>
      <c r="L8" s="0" t="n">
        <f aca="false">L6*L7/100</f>
        <v>11747.0694023764</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10144.351241</v>
      </c>
      <c r="D11" s="0" t="n">
        <f aca="false">D8+D10+D24</f>
        <v>10050.75579402</v>
      </c>
      <c r="E11" s="0" t="n">
        <f aca="false">E8+E10+E24</f>
        <v>9949.3587886644</v>
      </c>
      <c r="F11" s="0" t="n">
        <f aca="false">F8+F10+F24</f>
        <v>9791.65086743983</v>
      </c>
      <c r="G11" s="0" t="n">
        <f aca="false">G8+G10+G24</f>
        <v>9938.52563045142</v>
      </c>
      <c r="H11" s="0" t="n">
        <f aca="false">H8+H10+H24</f>
        <v>10087.6035149082</v>
      </c>
      <c r="I11" s="0" t="n">
        <f aca="false">I8+I10+I24</f>
        <v>10238.9175676318</v>
      </c>
      <c r="J11" s="0" t="n">
        <f aca="false">J8+J10+J24</f>
        <v>10392.5013311463</v>
      </c>
      <c r="K11" s="0" t="n">
        <f aca="false">K8+K10+K24</f>
        <v>10548.3888511135</v>
      </c>
      <c r="L11" s="0" t="n">
        <f aca="false">L8+L10+L24</f>
        <v>10706.6146838802</v>
      </c>
    </row>
    <row r="12" customFormat="false" ht="15" hidden="false" customHeight="false" outlineLevel="0" collapsed="false">
      <c r="A12" s="0" t="s">
        <v>117</v>
      </c>
      <c r="C12" s="4" t="n">
        <f aca="false">-C6*Assumptions!C17/100</f>
        <v>-2325.35272</v>
      </c>
      <c r="D12" s="4" t="n">
        <f aca="false">-D6*Assumptions!D17/100</f>
        <v>-2371.8597744</v>
      </c>
      <c r="E12" s="4" t="n">
        <f aca="false">-E6*Assumptions!E17/100</f>
        <v>-2419.296969888</v>
      </c>
      <c r="F12" s="4" t="n">
        <f aca="false">-F6*Assumptions!F17/100</f>
        <v>-2455.58642443632</v>
      </c>
      <c r="G12" s="4" t="n">
        <f aca="false">-G6*Assumptions!G17/100</f>
        <v>-2492.42022080286</v>
      </c>
      <c r="H12" s="4" t="n">
        <f aca="false">-H6*Assumptions!H17/100</f>
        <v>-2529.80652411491</v>
      </c>
      <c r="I12" s="4" t="n">
        <f aca="false">-I6*Assumptions!I17/100</f>
        <v>-2567.75362197663</v>
      </c>
      <c r="J12" s="4" t="n">
        <f aca="false">-J6*Assumptions!J17/100</f>
        <v>-2606.26992630628</v>
      </c>
      <c r="K12" s="4" t="n">
        <f aca="false">-K6*Assumptions!K17/100</f>
        <v>-2645.36397520087</v>
      </c>
      <c r="L12" s="4" t="n">
        <f aca="false">-L6*Assumptions!L17/100</f>
        <v>-2685.04443482889</v>
      </c>
    </row>
    <row r="13" customFormat="false" ht="15" hidden="false" customHeight="false" outlineLevel="0" collapsed="false">
      <c r="A13" s="0" t="s">
        <v>118</v>
      </c>
      <c r="C13" s="0" t="n">
        <f aca="false">C11+C12</f>
        <v>7818.998521</v>
      </c>
      <c r="D13" s="0" t="n">
        <f aca="false">D11+D12</f>
        <v>7678.89601962</v>
      </c>
      <c r="E13" s="0" t="n">
        <f aca="false">E11+E12</f>
        <v>7530.0618187764</v>
      </c>
      <c r="F13" s="0" t="n">
        <f aca="false">F11+F12</f>
        <v>7336.0644430035</v>
      </c>
      <c r="G13" s="0" t="n">
        <f aca="false">G11+G12</f>
        <v>7446.10540964856</v>
      </c>
      <c r="H13" s="0" t="n">
        <f aca="false">H11+H12</f>
        <v>7557.79699079328</v>
      </c>
      <c r="I13" s="0" t="n">
        <f aca="false">I11+I12</f>
        <v>7671.16394565518</v>
      </c>
      <c r="J13" s="0" t="n">
        <f aca="false">J11+J12</f>
        <v>7786.23140484001</v>
      </c>
      <c r="K13" s="0" t="n">
        <f aca="false">K11+K12</f>
        <v>7903.02487591261</v>
      </c>
      <c r="L13" s="0" t="n">
        <f aca="false">L11+L12</f>
        <v>8021.5702490513</v>
      </c>
    </row>
    <row r="14" customFormat="false" ht="15" hidden="false" customHeight="false" outlineLevel="0" collapsed="false">
      <c r="A14" s="0" t="s">
        <v>104</v>
      </c>
      <c r="C14" s="4" t="n">
        <f aca="false">Assumptions!C19</f>
        <v>45</v>
      </c>
      <c r="D14" s="4" t="n">
        <f aca="false">Assumptions!D19</f>
        <v>45</v>
      </c>
      <c r="E14" s="4" t="n">
        <f aca="false">Assumptions!E19</f>
        <v>45</v>
      </c>
      <c r="F14" s="4" t="n">
        <f aca="false">Assumptions!F19</f>
        <v>45</v>
      </c>
      <c r="G14" s="4" t="n">
        <f aca="false">Assumptions!G19</f>
        <v>45</v>
      </c>
      <c r="H14" s="4" t="n">
        <f aca="false">Assumptions!H19</f>
        <v>45</v>
      </c>
      <c r="I14" s="4" t="n">
        <f aca="false">Assumptions!I19</f>
        <v>45</v>
      </c>
      <c r="J14" s="4" t="n">
        <f aca="false">Assumptions!J19</f>
        <v>45</v>
      </c>
      <c r="K14" s="4" t="n">
        <f aca="false">Assumptions!K19</f>
        <v>45</v>
      </c>
      <c r="L14" s="4" t="n">
        <f aca="false">Assumptions!L19</f>
        <v>45</v>
      </c>
    </row>
    <row r="15" customFormat="false" ht="15" hidden="false" customHeight="false" outlineLevel="0" collapsed="false">
      <c r="A15" s="0" t="s">
        <v>119</v>
      </c>
      <c r="C15" s="0" t="n">
        <f aca="false">C13-MAX(0,C13)*C14/100</f>
        <v>4300.44918655</v>
      </c>
      <c r="D15" s="0" t="n">
        <f aca="false">D13-MAX(0,D13)*D14/100</f>
        <v>4223.392810791</v>
      </c>
      <c r="E15" s="0" t="n">
        <f aca="false">E13-MAX(0,E13)*E14/100</f>
        <v>4141.53400032702</v>
      </c>
      <c r="F15" s="0" t="n">
        <f aca="false">F13-MAX(0,F13)*F14/100</f>
        <v>4034.83544365193</v>
      </c>
      <c r="G15" s="0" t="n">
        <f aca="false">G13-MAX(0,G13)*G14/100</f>
        <v>4095.35797530671</v>
      </c>
      <c r="H15" s="0" t="n">
        <f aca="false">H13-MAX(0,H13)*H14/100</f>
        <v>4156.78834493631</v>
      </c>
      <c r="I15" s="0" t="n">
        <f aca="false">I13-MAX(0,I13)*I14/100</f>
        <v>4219.14017011035</v>
      </c>
      <c r="J15" s="0" t="n">
        <f aca="false">J13-MAX(0,J13)*J14/100</f>
        <v>4282.42727266201</v>
      </c>
      <c r="K15" s="0" t="n">
        <f aca="false">K13-MAX(0,K13)*K14/100</f>
        <v>4346.66368175194</v>
      </c>
      <c r="L15" s="0" t="n">
        <f aca="false">L13-MAX(0,L13)*L14/100</f>
        <v>4411.86363697821</v>
      </c>
    </row>
    <row r="16" customFormat="false" ht="15" hidden="false" customHeight="false" outlineLevel="0" collapsed="false">
      <c r="A16" s="0" t="s">
        <v>120</v>
      </c>
      <c r="C16" s="0" t="n">
        <f aca="false">-C12</f>
        <v>2325.35272</v>
      </c>
      <c r="D16" s="0" t="n">
        <f aca="false">-D12</f>
        <v>2371.8597744</v>
      </c>
      <c r="E16" s="0" t="n">
        <f aca="false">-E12</f>
        <v>2419.296969888</v>
      </c>
      <c r="F16" s="0" t="n">
        <f aca="false">-F12</f>
        <v>2455.58642443632</v>
      </c>
      <c r="G16" s="0" t="n">
        <f aca="false">-G12</f>
        <v>2492.42022080286</v>
      </c>
      <c r="H16" s="0" t="n">
        <f aca="false">-H12</f>
        <v>2529.80652411491</v>
      </c>
      <c r="I16" s="0" t="n">
        <f aca="false">-I12</f>
        <v>2567.75362197663</v>
      </c>
      <c r="J16" s="0" t="n">
        <f aca="false">-J12</f>
        <v>2606.26992630628</v>
      </c>
      <c r="K16" s="0" t="n">
        <f aca="false">-K12</f>
        <v>2645.36397520087</v>
      </c>
      <c r="L16" s="0" t="n">
        <f aca="false">-L12</f>
        <v>2685.04443482889</v>
      </c>
    </row>
    <row r="17" customFormat="false" ht="15" hidden="false" customHeight="false" outlineLevel="0" collapsed="false">
      <c r="A17" s="0" t="s">
        <v>121</v>
      </c>
      <c r="C17" s="4" t="n">
        <f aca="false">-C6*Assumptions!C18/100</f>
        <v>-2616.02181</v>
      </c>
      <c r="D17" s="4" t="n">
        <f aca="false">-D6*Assumptions!D18/100</f>
        <v>-2668.3422462</v>
      </c>
      <c r="E17" s="4" t="n">
        <f aca="false">-E6*Assumptions!E18/100</f>
        <v>-2721.709091124</v>
      </c>
      <c r="F17" s="4" t="n">
        <f aca="false">-F6*Assumptions!F18/100</f>
        <v>-2762.53472749086</v>
      </c>
      <c r="G17" s="4" t="n">
        <f aca="false">-G6*Assumptions!G18/100</f>
        <v>-2803.97274840322</v>
      </c>
      <c r="H17" s="4" t="n">
        <f aca="false">-H6*Assumptions!H18/100</f>
        <v>-2846.03233962927</v>
      </c>
      <c r="I17" s="4" t="n">
        <f aca="false">-I6*Assumptions!I18/100</f>
        <v>-2888.72282472371</v>
      </c>
      <c r="J17" s="4" t="n">
        <f aca="false">-J6*Assumptions!J18/100</f>
        <v>-2932.05366709456</v>
      </c>
      <c r="K17" s="4" t="n">
        <f aca="false">-K6*Assumptions!K18/100</f>
        <v>-2976.03447210098</v>
      </c>
      <c r="L17" s="4" t="n">
        <f aca="false">-L6*Assumptions!L18/100</f>
        <v>-3020.6749891825</v>
      </c>
    </row>
    <row r="18" customFormat="false" ht="15" hidden="false" customHeight="false" outlineLevel="0" collapsed="false">
      <c r="A18" s="0" t="s">
        <v>122</v>
      </c>
      <c r="C18" s="4" t="n">
        <f aca="false">(C6-B6)*Assumptions!$B$23/100</f>
        <v>-2481.3215</v>
      </c>
      <c r="D18" s="4" t="n">
        <f aca="false">(D6-C6)*Assumptions!$B$23/100</f>
        <v>-2034.68363000001</v>
      </c>
      <c r="E18" s="4" t="n">
        <f aca="false">(E6-D6)*Assumptions!$B$23/100</f>
        <v>-2075.37730259999</v>
      </c>
      <c r="F18" s="4" t="n">
        <f aca="false">(F6-E6)*Assumptions!$B$23/100</f>
        <v>-1587.66363648899</v>
      </c>
      <c r="G18" s="4" t="n">
        <f aca="false">(G6-F6)*Assumptions!$B$23/100</f>
        <v>-1611.47859103632</v>
      </c>
      <c r="H18" s="4" t="n">
        <f aca="false">(H6-G6)*Assumptions!$B$23/100</f>
        <v>-1635.65076990187</v>
      </c>
      <c r="I18" s="4" t="n">
        <f aca="false">(I6-H6)*Assumptions!$B$23/100</f>
        <v>-1660.1855314504</v>
      </c>
      <c r="J18" s="4" t="n">
        <f aca="false">(J6-I6)*Assumptions!$B$23/100</f>
        <v>-1685.08831442215</v>
      </c>
      <c r="K18" s="4" t="n">
        <f aca="false">(K6-J6)*Assumptions!$B$23/100</f>
        <v>-1710.36463913849</v>
      </c>
      <c r="L18" s="4" t="n">
        <f aca="false">(L6-K6)*Assumptions!$B$23/100</f>
        <v>-1736.02010872557</v>
      </c>
    </row>
    <row r="19" customFormat="false" ht="15" hidden="false" customHeight="false" outlineLevel="0" collapsed="false">
      <c r="A19" s="0" t="s">
        <v>123</v>
      </c>
      <c r="C19" s="0" t="n">
        <f aca="false">C15+C16+C17+C18</f>
        <v>1528.45859655</v>
      </c>
      <c r="D19" s="0" t="n">
        <f aca="false">D15+D16+D17+D18</f>
        <v>1892.22670899099</v>
      </c>
      <c r="E19" s="0" t="n">
        <f aca="false">E15+E16+E17+E18</f>
        <v>1763.74457649103</v>
      </c>
      <c r="F19" s="0" t="n">
        <f aca="false">F15+F16+F17+F18</f>
        <v>2140.2235041084</v>
      </c>
      <c r="G19" s="0" t="n">
        <f aca="false">G15+G16+G17+G18</f>
        <v>2172.32685667003</v>
      </c>
      <c r="H19" s="0" t="n">
        <f aca="false">H15+H16+H17+H18</f>
        <v>2204.91175952007</v>
      </c>
      <c r="I19" s="0" t="n">
        <f aca="false">I15+I16+I17+I18</f>
        <v>2237.98543591287</v>
      </c>
      <c r="J19" s="0" t="n">
        <f aca="false">J15+J16+J17+J18</f>
        <v>2271.55521745157</v>
      </c>
      <c r="K19" s="0" t="n">
        <f aca="false">K15+K16+K17+K18</f>
        <v>2305.62854571334</v>
      </c>
      <c r="L19" s="0" t="n">
        <f aca="false">L15+L16+L17+L18</f>
        <v>2340.21297389904</v>
      </c>
    </row>
    <row r="20" customFormat="false" ht="15" hidden="false" customHeight="false" outlineLevel="0" collapsed="false">
      <c r="A20" s="0" t="s">
        <v>124</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125</v>
      </c>
      <c r="C21" s="0" t="n">
        <f aca="false">C19*C20</f>
        <v>1428.46597808412</v>
      </c>
      <c r="D21" s="0" t="n">
        <f aca="false">D19*D20</f>
        <v>1652.74409030569</v>
      </c>
      <c r="E21" s="0" t="n">
        <f aca="false">E19*E20</f>
        <v>1439.74095316738</v>
      </c>
      <c r="F21" s="0" t="n">
        <f aca="false">F19*F20</f>
        <v>1632.76626399587</v>
      </c>
      <c r="G21" s="0" t="n">
        <f aca="false">G19*G20</f>
        <v>1548.83902612693</v>
      </c>
      <c r="H21" s="0" t="n">
        <f aca="false">H19*H20</f>
        <v>1469.22580515778</v>
      </c>
      <c r="I21" s="0" t="n">
        <f aca="false">I19*I20</f>
        <v>1393.70485255621</v>
      </c>
      <c r="J21" s="0" t="n">
        <f aca="false">J19*J20</f>
        <v>1322.06581807903</v>
      </c>
      <c r="K21" s="0" t="n">
        <f aca="false">K19*K20</f>
        <v>1254.1091638787</v>
      </c>
      <c r="L21" s="0" t="n">
        <f aca="false">L19*L20</f>
        <v>1189.64560872606</v>
      </c>
    </row>
    <row r="23" customFormat="false" ht="15" hidden="false" customHeight="false" outlineLevel="0" collapsed="false">
      <c r="A23" s="0" t="s">
        <v>101</v>
      </c>
      <c r="C23" s="4" t="n">
        <f aca="false">Assumptions!C16</f>
        <v>0.31</v>
      </c>
      <c r="D23" s="4" t="n">
        <f aca="false">Assumptions!D16</f>
        <v>0.31</v>
      </c>
      <c r="E23" s="4" t="n">
        <f aca="false">Assumptions!E16</f>
        <v>0.31</v>
      </c>
      <c r="F23" s="4" t="n">
        <f aca="false">Assumptions!F16</f>
        <v>0.31</v>
      </c>
      <c r="G23" s="4" t="n">
        <f aca="false">Assumptions!G16</f>
        <v>0.31</v>
      </c>
      <c r="H23" s="4" t="n">
        <f aca="false">Assumptions!H16</f>
        <v>0.31</v>
      </c>
      <c r="I23" s="4" t="n">
        <f aca="false">Assumptions!I16</f>
        <v>0.31</v>
      </c>
      <c r="J23" s="4" t="n">
        <f aca="false">Assumptions!J16</f>
        <v>0.31</v>
      </c>
      <c r="K23" s="4" t="n">
        <f aca="false">Assumptions!K16</f>
        <v>0.31</v>
      </c>
      <c r="L23" s="4" t="n">
        <f aca="false">Assumptions!L16</f>
        <v>0.31</v>
      </c>
    </row>
    <row r="24" customFormat="false" ht="15" hidden="false" customHeight="false" outlineLevel="0" collapsed="false">
      <c r="A24" s="0" t="s">
        <v>126</v>
      </c>
      <c r="C24" s="0" t="n">
        <f aca="false">-C6*C23/100</f>
        <v>-901.074179</v>
      </c>
      <c r="D24" s="0" t="n">
        <f aca="false">-D6*D23/100</f>
        <v>-919.09566258</v>
      </c>
      <c r="E24" s="0" t="n">
        <f aca="false">-E6*E23/100</f>
        <v>-937.4775758316</v>
      </c>
      <c r="F24" s="0" t="n">
        <f aca="false">-F6*F23/100</f>
        <v>-951.539739469074</v>
      </c>
      <c r="G24" s="0" t="n">
        <f aca="false">-G6*G23/100</f>
        <v>-965.81283556111</v>
      </c>
      <c r="H24" s="0" t="n">
        <f aca="false">-H6*H23/100</f>
        <v>-980.300028094526</v>
      </c>
      <c r="I24" s="0" t="n">
        <f aca="false">-I6*I23/100</f>
        <v>-995.004528515944</v>
      </c>
      <c r="J24" s="0" t="n">
        <f aca="false">-J6*J23/100</f>
        <v>-1009.92959644368</v>
      </c>
      <c r="K24" s="0" t="n">
        <f aca="false">-K6*K23/100</f>
        <v>-1025.07854039034</v>
      </c>
      <c r="L24" s="0" t="n">
        <f aca="false">-L6*L23/100</f>
        <v>-1040.45471849619</v>
      </c>
    </row>
    <row r="26" customFormat="false" ht="15" hidden="false" customHeight="false" outlineLevel="0" collapsed="false">
      <c r="A26" s="2" t="s">
        <v>127</v>
      </c>
    </row>
    <row r="27" customFormat="false" ht="15" hidden="false" customHeight="false" outlineLevel="0" collapsed="false">
      <c r="A27" s="0" t="s">
        <v>105</v>
      </c>
      <c r="B27" s="4" t="n">
        <f aca="false">Assumptions!$B$20</f>
        <v>7</v>
      </c>
    </row>
    <row r="28" customFormat="false" ht="15" hidden="false" customHeight="false" outlineLevel="0" collapsed="false">
      <c r="A28" s="0" t="s">
        <v>106</v>
      </c>
      <c r="B28" s="4" t="n">
        <f aca="false">Assumptions!$B$21</f>
        <v>1</v>
      </c>
    </row>
    <row r="29" customFormat="false" ht="15" hidden="false" customHeight="false" outlineLevel="0" collapsed="false">
      <c r="A29" s="0" t="s">
        <v>107</v>
      </c>
      <c r="B29" s="4" t="n">
        <f aca="false">Assumptions!$B$22</f>
        <v>10</v>
      </c>
    </row>
    <row r="30" customFormat="false" ht="15" hidden="false" customHeight="false" outlineLevel="0" collapsed="false">
      <c r="A30" s="0" t="s">
        <v>128</v>
      </c>
      <c r="B30" s="0" t="n">
        <f aca="false">SUM(C21:L21)</f>
        <v>14331.3075600778</v>
      </c>
    </row>
    <row r="31" customFormat="false" ht="15" hidden="false" customHeight="false" outlineLevel="0" collapsed="false">
      <c r="A31" s="0" t="s">
        <v>129</v>
      </c>
      <c r="B31" s="0" t="n">
        <f aca="false">L19</f>
        <v>2340.21297389904</v>
      </c>
    </row>
    <row r="32" customFormat="false" ht="15" hidden="false" customHeight="false" outlineLevel="0" collapsed="false">
      <c r="A32" s="0" t="s">
        <v>130</v>
      </c>
      <c r="B32" s="0" t="n">
        <f aca="false">IF(B27&gt;B28,B31*(1+B28/100)/((B27-B28)/100),B31*B29)</f>
        <v>39393.5850606338</v>
      </c>
    </row>
    <row r="33" customFormat="false" ht="15" hidden="false" customHeight="false" outlineLevel="0" collapsed="false">
      <c r="A33" s="0" t="s">
        <v>131</v>
      </c>
      <c r="B33" s="0" t="n">
        <f aca="false">B31*B29</f>
        <v>23402.1297389904</v>
      </c>
    </row>
    <row r="34" customFormat="false" ht="15" hidden="false" customHeight="false" outlineLevel="0" collapsed="false">
      <c r="A34" s="0" t="s">
        <v>132</v>
      </c>
      <c r="B34" s="0" t="n">
        <f aca="false">MAX(0,MIN(B32,B33))</f>
        <v>23402.1297389904</v>
      </c>
    </row>
    <row r="35" customFormat="false" ht="15" hidden="false" customHeight="false" outlineLevel="0" collapsed="false">
      <c r="A35" s="0" t="s">
        <v>133</v>
      </c>
      <c r="B35" s="0" t="n">
        <f aca="false">B34/(1+B27/100)^L4</f>
        <v>11896.4560872606</v>
      </c>
    </row>
    <row r="36" customFormat="false" ht="15" hidden="false" customHeight="false" outlineLevel="0" collapsed="false">
      <c r="A36" s="0" t="s">
        <v>134</v>
      </c>
      <c r="B36" s="0" t="n">
        <f aca="false">B30+B35</f>
        <v>26227.7636473383</v>
      </c>
    </row>
    <row r="37" customFormat="false" ht="15" hidden="false" customHeight="false" outlineLevel="0" collapsed="false">
      <c r="A37" s="0" t="s">
        <v>135</v>
      </c>
      <c r="B37" s="0" t="n">
        <f aca="false">B36+Assumptions!$B$5-Assumptions!$B$4</f>
        <v>17340.8636473383</v>
      </c>
    </row>
    <row r="38" customFormat="false" ht="15" hidden="false" customHeight="false" outlineLevel="0" collapsed="false">
      <c r="A38" s="0" t="s">
        <v>136</v>
      </c>
      <c r="B38" s="0" t="n">
        <f aca="false">B37/Assumptions!$B$3*Assumptions!$B$10</f>
        <v>5.49447836689691</v>
      </c>
    </row>
    <row r="39" customFormat="false" ht="15" hidden="false" customHeight="false" outlineLevel="0" collapsed="false">
      <c r="A39" s="0" t="s">
        <v>137</v>
      </c>
      <c r="B39" s="4" t="n">
        <f aca="false">B38/Assumptions!$B$2-1</f>
        <v>-0.501860528839809</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5.49447836689691</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16882.9650259859</v>
      </c>
    </row>
    <row r="47" customFormat="false" ht="15" hidden="false" customHeight="false" outlineLevel="0" collapsed="false">
      <c r="A47" s="0" t="s">
        <v>142</v>
      </c>
      <c r="B47" s="0" t="n">
        <f aca="false">(SUMPRODUCT(C19:L19/(1+B45/100)^C4:L4)+B46/(1+B45/100)^L4+Assumptions!$B$5-Assumptions!$B$4)/Assumptions!$B$3*Assumptions!$B$10</f>
        <v>1.67317572023709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4.5</v>
      </c>
      <c r="D5" s="4" t="n">
        <f aca="false">Assumptions!D27</f>
        <v>4</v>
      </c>
      <c r="E5" s="4" t="n">
        <f aca="false">Assumptions!E27</f>
        <v>4</v>
      </c>
      <c r="F5" s="4" t="n">
        <f aca="false">Assumptions!F27</f>
        <v>3.5</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283579.6</v>
      </c>
      <c r="C6" s="0" t="n">
        <f aca="false">B6*(1+C5/100)</f>
        <v>296340.682</v>
      </c>
      <c r="D6" s="0" t="n">
        <f aca="false">C6*(1+D5/100)</f>
        <v>308194.30928</v>
      </c>
      <c r="E6" s="0" t="n">
        <f aca="false">D6*(1+E5/100)</f>
        <v>320522.0816512</v>
      </c>
      <c r="F6" s="0" t="n">
        <f aca="false">E6*(1+F5/100)</f>
        <v>331740.354508992</v>
      </c>
      <c r="G6" s="0" t="n">
        <f aca="false">F6*(1+G5/100)</f>
        <v>343351.266916807</v>
      </c>
      <c r="H6" s="0" t="n">
        <f aca="false">G6*(1+H5/100)</f>
        <v>353651.804924311</v>
      </c>
      <c r="I6" s="0" t="n">
        <f aca="false">H6*(1+I5/100)</f>
        <v>364261.35907204</v>
      </c>
      <c r="J6" s="0" t="n">
        <f aca="false">I6*(1+J5/100)</f>
        <v>373367.893048841</v>
      </c>
      <c r="K6" s="0" t="n">
        <f aca="false">J6*(1+K5/100)</f>
        <v>382702.090375062</v>
      </c>
      <c r="L6" s="0" t="n">
        <f aca="false">K6*(1+L5/100)</f>
        <v>392269.642634439</v>
      </c>
    </row>
    <row r="7" customFormat="false" ht="15" hidden="false" customHeight="false" outlineLevel="0" collapsed="false">
      <c r="A7" s="0" t="s">
        <v>99</v>
      </c>
      <c r="C7" s="4" t="n">
        <f aca="false">Assumptions!C28</f>
        <v>3.95</v>
      </c>
      <c r="D7" s="4" t="n">
        <f aca="false">Assumptions!D28</f>
        <v>4</v>
      </c>
      <c r="E7" s="4" t="n">
        <f aca="false">Assumptions!E28</f>
        <v>4.05</v>
      </c>
      <c r="F7" s="4" t="n">
        <f aca="false">Assumptions!F28</f>
        <v>4.1</v>
      </c>
      <c r="G7" s="4" t="n">
        <f aca="false">Assumptions!G28</f>
        <v>4.1</v>
      </c>
      <c r="H7" s="4" t="n">
        <f aca="false">Assumptions!H28</f>
        <v>4.1</v>
      </c>
      <c r="I7" s="4" t="n">
        <f aca="false">Assumptions!I28</f>
        <v>4.1</v>
      </c>
      <c r="J7" s="4" t="n">
        <f aca="false">Assumptions!J28</f>
        <v>4.1</v>
      </c>
      <c r="K7" s="4" t="n">
        <f aca="false">Assumptions!K28</f>
        <v>4.1</v>
      </c>
      <c r="L7" s="4" t="n">
        <f aca="false">Assumptions!L28</f>
        <v>4.1</v>
      </c>
    </row>
    <row r="8" customFormat="false" ht="15" hidden="false" customHeight="false" outlineLevel="0" collapsed="false">
      <c r="A8" s="0" t="s">
        <v>44</v>
      </c>
      <c r="C8" s="0" t="n">
        <f aca="false">C6*C7/100</f>
        <v>11705.456939</v>
      </c>
      <c r="D8" s="0" t="n">
        <f aca="false">D6*D7/100</f>
        <v>12327.7723712</v>
      </c>
      <c r="E8" s="0" t="n">
        <f aca="false">E6*E7/100</f>
        <v>12981.1443068736</v>
      </c>
      <c r="F8" s="0" t="n">
        <f aca="false">F6*F7/100</f>
        <v>13601.3545348687</v>
      </c>
      <c r="G8" s="0" t="n">
        <f aca="false">G6*G7/100</f>
        <v>14077.4019435891</v>
      </c>
      <c r="H8" s="0" t="n">
        <f aca="false">H6*H7/100</f>
        <v>14499.7240018967</v>
      </c>
      <c r="I8" s="0" t="n">
        <f aca="false">I6*I7/100</f>
        <v>14934.7157219537</v>
      </c>
      <c r="J8" s="0" t="n">
        <f aca="false">J6*J7/100</f>
        <v>15308.0836150025</v>
      </c>
      <c r="K8" s="0" t="n">
        <f aca="false">K6*K7/100</f>
        <v>15690.7857053775</v>
      </c>
      <c r="L8" s="0" t="n">
        <f aca="false">L6*L7/100</f>
        <v>16083.055348012</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10786.8008248</v>
      </c>
      <c r="D11" s="0" t="n">
        <f aca="false">D8+D10+D24</f>
        <v>11372.370012432</v>
      </c>
      <c r="E11" s="0" t="n">
        <f aca="false">E8+E10+E24</f>
        <v>11987.5258537549</v>
      </c>
      <c r="F11" s="0" t="n">
        <f aca="false">F8+F10+F24</f>
        <v>12572.9594358908</v>
      </c>
      <c r="G11" s="0" t="n">
        <f aca="false">G8+G10+G24</f>
        <v>13013.013016147</v>
      </c>
      <c r="H11" s="0" t="n">
        <f aca="false">H8+H10+H24</f>
        <v>13403.4034066314</v>
      </c>
      <c r="I11" s="0" t="n">
        <f aca="false">I8+I10+I24</f>
        <v>13805.5055088303</v>
      </c>
      <c r="J11" s="0" t="n">
        <f aca="false">J8+J10+J24</f>
        <v>14150.6431465511</v>
      </c>
      <c r="K11" s="0" t="n">
        <f aca="false">K8+K10+K24</f>
        <v>14504.4092252149</v>
      </c>
      <c r="L11" s="0" t="n">
        <f aca="false">L8+L10+L24</f>
        <v>14867.0194558452</v>
      </c>
    </row>
    <row r="12" customFormat="false" ht="15" hidden="false" customHeight="false" outlineLevel="0" collapsed="false">
      <c r="A12" s="0" t="s">
        <v>117</v>
      </c>
      <c r="C12" s="4" t="n">
        <f aca="false">-C6*Assumptions!C31/100</f>
        <v>-2370.725456</v>
      </c>
      <c r="D12" s="4" t="n">
        <f aca="false">-D6*Assumptions!D31/100</f>
        <v>-2465.55447424</v>
      </c>
      <c r="E12" s="4" t="n">
        <f aca="false">-E6*Assumptions!E31/100</f>
        <v>-2564.1766532096</v>
      </c>
      <c r="F12" s="4" t="n">
        <f aca="false">-F6*Assumptions!F31/100</f>
        <v>-2653.92283607194</v>
      </c>
      <c r="G12" s="4" t="n">
        <f aca="false">-G6*Assumptions!G31/100</f>
        <v>-2746.81013533445</v>
      </c>
      <c r="H12" s="4" t="n">
        <f aca="false">-H6*Assumptions!H31/100</f>
        <v>-2829.21443939449</v>
      </c>
      <c r="I12" s="4" t="n">
        <f aca="false">-I6*Assumptions!I31/100</f>
        <v>-2914.09087257632</v>
      </c>
      <c r="J12" s="4" t="n">
        <f aca="false">-J6*Assumptions!J31/100</f>
        <v>-2986.94314439073</v>
      </c>
      <c r="K12" s="4" t="n">
        <f aca="false">-K6*Assumptions!K31/100</f>
        <v>-3061.6167230005</v>
      </c>
      <c r="L12" s="4" t="n">
        <f aca="false">-L6*Assumptions!L31/100</f>
        <v>-3138.15714107551</v>
      </c>
    </row>
    <row r="13" customFormat="false" ht="15" hidden="false" customHeight="false" outlineLevel="0" collapsed="false">
      <c r="A13" s="0" t="s">
        <v>118</v>
      </c>
      <c r="C13" s="0" t="n">
        <f aca="false">C11+C12</f>
        <v>8416.0753688</v>
      </c>
      <c r="D13" s="0" t="n">
        <f aca="false">D11+D12</f>
        <v>8906.815538192</v>
      </c>
      <c r="E13" s="0" t="n">
        <f aca="false">E11+E12</f>
        <v>9423.34920054528</v>
      </c>
      <c r="F13" s="0" t="n">
        <f aca="false">F11+F12</f>
        <v>9919.03659981886</v>
      </c>
      <c r="G13" s="0" t="n">
        <f aca="false">G11+G12</f>
        <v>10266.2028808125</v>
      </c>
      <c r="H13" s="0" t="n">
        <f aca="false">H11+H12</f>
        <v>10574.1889672369</v>
      </c>
      <c r="I13" s="0" t="n">
        <f aca="false">I11+I12</f>
        <v>10891.414636254</v>
      </c>
      <c r="J13" s="0" t="n">
        <f aca="false">J11+J12</f>
        <v>11163.7000021603</v>
      </c>
      <c r="K13" s="0" t="n">
        <f aca="false">K11+K12</f>
        <v>11442.7925022144</v>
      </c>
      <c r="L13" s="0" t="n">
        <f aca="false">L11+L12</f>
        <v>11728.8623147697</v>
      </c>
    </row>
    <row r="14" customFormat="false" ht="15" hidden="false" customHeight="false" outlineLevel="0" collapsed="false">
      <c r="A14" s="0" t="s">
        <v>104</v>
      </c>
      <c r="C14" s="4" t="n">
        <f aca="false">Assumptions!C33</f>
        <v>45</v>
      </c>
      <c r="D14" s="4" t="n">
        <f aca="false">Assumptions!D33</f>
        <v>45</v>
      </c>
      <c r="E14" s="4" t="n">
        <f aca="false">Assumptions!E33</f>
        <v>45</v>
      </c>
      <c r="F14" s="4" t="n">
        <f aca="false">Assumptions!F33</f>
        <v>45</v>
      </c>
      <c r="G14" s="4" t="n">
        <f aca="false">Assumptions!G33</f>
        <v>45</v>
      </c>
      <c r="H14" s="4" t="n">
        <f aca="false">Assumptions!H33</f>
        <v>45</v>
      </c>
      <c r="I14" s="4" t="n">
        <f aca="false">Assumptions!I33</f>
        <v>45</v>
      </c>
      <c r="J14" s="4" t="n">
        <f aca="false">Assumptions!J33</f>
        <v>45</v>
      </c>
      <c r="K14" s="4" t="n">
        <f aca="false">Assumptions!K33</f>
        <v>45</v>
      </c>
      <c r="L14" s="4" t="n">
        <f aca="false">Assumptions!L33</f>
        <v>45</v>
      </c>
    </row>
    <row r="15" customFormat="false" ht="15" hidden="false" customHeight="false" outlineLevel="0" collapsed="false">
      <c r="A15" s="0" t="s">
        <v>119</v>
      </c>
      <c r="C15" s="0" t="n">
        <f aca="false">C13-MAX(0,C13)*C14/100</f>
        <v>4628.84145284</v>
      </c>
      <c r="D15" s="0" t="n">
        <f aca="false">D13-MAX(0,D13)*D14/100</f>
        <v>4898.7485460056</v>
      </c>
      <c r="E15" s="0" t="n">
        <f aca="false">E13-MAX(0,E13)*E14/100</f>
        <v>5182.8420602999</v>
      </c>
      <c r="F15" s="0" t="n">
        <f aca="false">F13-MAX(0,F13)*F14/100</f>
        <v>5455.47012990037</v>
      </c>
      <c r="G15" s="0" t="n">
        <f aca="false">G13-MAX(0,G13)*G14/100</f>
        <v>5646.41158444689</v>
      </c>
      <c r="H15" s="0" t="n">
        <f aca="false">H13-MAX(0,H13)*H14/100</f>
        <v>5815.80393198029</v>
      </c>
      <c r="I15" s="0" t="n">
        <f aca="false">I13-MAX(0,I13)*I14/100</f>
        <v>5990.2780499397</v>
      </c>
      <c r="J15" s="0" t="n">
        <f aca="false">J13-MAX(0,J13)*J14/100</f>
        <v>6140.03500118819</v>
      </c>
      <c r="K15" s="0" t="n">
        <f aca="false">K13-MAX(0,K13)*K14/100</f>
        <v>6293.5358762179</v>
      </c>
      <c r="L15" s="0" t="n">
        <f aca="false">L13-MAX(0,L13)*L14/100</f>
        <v>6450.87427312334</v>
      </c>
    </row>
    <row r="16" customFormat="false" ht="15" hidden="false" customHeight="false" outlineLevel="0" collapsed="false">
      <c r="A16" s="0" t="s">
        <v>120</v>
      </c>
      <c r="C16" s="0" t="n">
        <f aca="false">-C12</f>
        <v>2370.725456</v>
      </c>
      <c r="D16" s="0" t="n">
        <f aca="false">-D12</f>
        <v>2465.55447424</v>
      </c>
      <c r="E16" s="0" t="n">
        <f aca="false">-E12</f>
        <v>2564.1766532096</v>
      </c>
      <c r="F16" s="0" t="n">
        <f aca="false">-F12</f>
        <v>2653.92283607194</v>
      </c>
      <c r="G16" s="0" t="n">
        <f aca="false">-G12</f>
        <v>2746.81013533445</v>
      </c>
      <c r="H16" s="0" t="n">
        <f aca="false">-H12</f>
        <v>2829.21443939449</v>
      </c>
      <c r="I16" s="0" t="n">
        <f aca="false">-I12</f>
        <v>2914.09087257632</v>
      </c>
      <c r="J16" s="0" t="n">
        <f aca="false">-J12</f>
        <v>2986.94314439073</v>
      </c>
      <c r="K16" s="0" t="n">
        <f aca="false">-K12</f>
        <v>3061.6167230005</v>
      </c>
      <c r="L16" s="0" t="n">
        <f aca="false">-L12</f>
        <v>3138.15714107551</v>
      </c>
    </row>
    <row r="17" customFormat="false" ht="15" hidden="false" customHeight="false" outlineLevel="0" collapsed="false">
      <c r="A17" s="0" t="s">
        <v>121</v>
      </c>
      <c r="C17" s="4" t="n">
        <f aca="false">-C6*Assumptions!C32/100</f>
        <v>-2518.895797</v>
      </c>
      <c r="D17" s="4" t="n">
        <f aca="false">-D6*Assumptions!D32/100</f>
        <v>-2619.65162888</v>
      </c>
      <c r="E17" s="4" t="n">
        <f aca="false">-E6*Assumptions!E32/100</f>
        <v>-2724.4376940352</v>
      </c>
      <c r="F17" s="4" t="n">
        <f aca="false">-F6*Assumptions!F32/100</f>
        <v>-2819.79301332643</v>
      </c>
      <c r="G17" s="4" t="n">
        <f aca="false">-G6*Assumptions!G32/100</f>
        <v>-2918.48576879286</v>
      </c>
      <c r="H17" s="4" t="n">
        <f aca="false">-H6*Assumptions!H32/100</f>
        <v>-3006.04034185664</v>
      </c>
      <c r="I17" s="4" t="n">
        <f aca="false">-I6*Assumptions!I32/100</f>
        <v>-3096.22155211234</v>
      </c>
      <c r="J17" s="4" t="n">
        <f aca="false">-J6*Assumptions!J32/100</f>
        <v>-3173.62709091515</v>
      </c>
      <c r="K17" s="4" t="n">
        <f aca="false">-K6*Assumptions!K32/100</f>
        <v>-3252.96776818803</v>
      </c>
      <c r="L17" s="4" t="n">
        <f aca="false">-L6*Assumptions!L32/100</f>
        <v>-3334.29196239273</v>
      </c>
    </row>
    <row r="18" customFormat="false" ht="15" hidden="false" customHeight="false" outlineLevel="0" collapsed="false">
      <c r="A18" s="0" t="s">
        <v>122</v>
      </c>
      <c r="C18" s="4" t="n">
        <f aca="false">(C6-B6)*Assumptions!$B$37/100</f>
        <v>-3190.2705</v>
      </c>
      <c r="D18" s="4" t="n">
        <f aca="false">(D6-C6)*Assumptions!$B$37/100</f>
        <v>-2963.40682</v>
      </c>
      <c r="E18" s="4" t="n">
        <f aca="false">(E6-D6)*Assumptions!$B$37/100</f>
        <v>-3081.94309280001</v>
      </c>
      <c r="F18" s="4" t="n">
        <f aca="false">(F6-E6)*Assumptions!$B$37/100</f>
        <v>-2804.56821444799</v>
      </c>
      <c r="G18" s="4" t="n">
        <f aca="false">(G6-F6)*Assumptions!$B$37/100</f>
        <v>-2902.72810195368</v>
      </c>
      <c r="H18" s="4" t="n">
        <f aca="false">(H6-G6)*Assumptions!$B$37/100</f>
        <v>-2575.13450187605</v>
      </c>
      <c r="I18" s="4" t="n">
        <f aca="false">(I6-H6)*Assumptions!$B$37/100</f>
        <v>-2652.38853693234</v>
      </c>
      <c r="J18" s="4" t="n">
        <f aca="false">(J6-I6)*Assumptions!$B$37/100</f>
        <v>-2276.63349420024</v>
      </c>
      <c r="K18" s="4" t="n">
        <f aca="false">(K6-J6)*Assumptions!$B$37/100</f>
        <v>-2333.54933155525</v>
      </c>
      <c r="L18" s="4" t="n">
        <f aca="false">(L6-K6)*Assumptions!$B$37/100</f>
        <v>-2391.88806484413</v>
      </c>
    </row>
    <row r="19" customFormat="false" ht="15" hidden="false" customHeight="false" outlineLevel="0" collapsed="false">
      <c r="A19" s="0" t="s">
        <v>123</v>
      </c>
      <c r="C19" s="0" t="n">
        <f aca="false">C15+C16+C17+C18</f>
        <v>1290.40061184</v>
      </c>
      <c r="D19" s="0" t="n">
        <f aca="false">D15+D16+D17+D18</f>
        <v>1781.2445713656</v>
      </c>
      <c r="E19" s="0" t="n">
        <f aca="false">E15+E16+E17+E18</f>
        <v>1940.6379266743</v>
      </c>
      <c r="F19" s="0" t="n">
        <f aca="false">F15+F16+F17+F18</f>
        <v>2485.03173819788</v>
      </c>
      <c r="G19" s="0" t="n">
        <f aca="false">G15+G16+G17+G18</f>
        <v>2572.00784903481</v>
      </c>
      <c r="H19" s="0" t="n">
        <f aca="false">H15+H16+H17+H18</f>
        <v>3063.84352764209</v>
      </c>
      <c r="I19" s="0" t="n">
        <f aca="false">I15+I16+I17+I18</f>
        <v>3155.75883347134</v>
      </c>
      <c r="J19" s="0" t="n">
        <f aca="false">J15+J16+J17+J18</f>
        <v>3676.71756046353</v>
      </c>
      <c r="K19" s="0" t="n">
        <f aca="false">K15+K16+K17+K18</f>
        <v>3768.63549947512</v>
      </c>
      <c r="L19" s="0" t="n">
        <f aca="false">L15+L16+L17+L18</f>
        <v>3862.851386962</v>
      </c>
    </row>
    <row r="20" customFormat="false" ht="15" hidden="false" customHeight="false" outlineLevel="0" collapsed="false">
      <c r="A20" s="0" t="s">
        <v>124</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125</v>
      </c>
      <c r="C21" s="0" t="n">
        <f aca="false">C19*C20</f>
        <v>1205.9818802243</v>
      </c>
      <c r="D21" s="0" t="n">
        <f aca="false">D19*D20</f>
        <v>1555.80799315713</v>
      </c>
      <c r="E21" s="0" t="n">
        <f aca="false">E19*E20</f>
        <v>1584.13861935809</v>
      </c>
      <c r="F21" s="0" t="n">
        <f aca="false">F19*F20</f>
        <v>1895.8188148573</v>
      </c>
      <c r="G21" s="0" t="n">
        <f aca="false">G19*G20</f>
        <v>1833.80604988533</v>
      </c>
      <c r="H21" s="0" t="n">
        <f aca="false">H19*H20</f>
        <v>2041.56830963486</v>
      </c>
      <c r="I21" s="0" t="n">
        <f aca="false">I19*I20</f>
        <v>1965.2479989943</v>
      </c>
      <c r="J21" s="0" t="n">
        <f aca="false">J19*J20</f>
        <v>2139.88309510393</v>
      </c>
      <c r="K21" s="0" t="n">
        <f aca="false">K19*K20</f>
        <v>2049.88801166498</v>
      </c>
      <c r="L21" s="0" t="n">
        <f aca="false">L19*L20</f>
        <v>1963.67776818374</v>
      </c>
    </row>
    <row r="23" customFormat="false" ht="15" hidden="false" customHeight="false" outlineLevel="0" collapsed="false">
      <c r="A23" s="0" t="s">
        <v>101</v>
      </c>
      <c r="C23" s="4" t="n">
        <f aca="false">Assumptions!C30</f>
        <v>0.31</v>
      </c>
      <c r="D23" s="4" t="n">
        <f aca="false">Assumptions!D30</f>
        <v>0.31</v>
      </c>
      <c r="E23" s="4" t="n">
        <f aca="false">Assumptions!E30</f>
        <v>0.31</v>
      </c>
      <c r="F23" s="4" t="n">
        <f aca="false">Assumptions!F30</f>
        <v>0.31</v>
      </c>
      <c r="G23" s="4" t="n">
        <f aca="false">Assumptions!G30</f>
        <v>0.31</v>
      </c>
      <c r="H23" s="4" t="n">
        <f aca="false">Assumptions!H30</f>
        <v>0.31</v>
      </c>
      <c r="I23" s="4" t="n">
        <f aca="false">Assumptions!I30</f>
        <v>0.31</v>
      </c>
      <c r="J23" s="4" t="n">
        <f aca="false">Assumptions!J30</f>
        <v>0.31</v>
      </c>
      <c r="K23" s="4" t="n">
        <f aca="false">Assumptions!K30</f>
        <v>0.31</v>
      </c>
      <c r="L23" s="4" t="n">
        <f aca="false">Assumptions!L30</f>
        <v>0.31</v>
      </c>
    </row>
    <row r="24" customFormat="false" ht="15" hidden="false" customHeight="false" outlineLevel="0" collapsed="false">
      <c r="A24" s="0" t="s">
        <v>126</v>
      </c>
      <c r="C24" s="0" t="n">
        <f aca="false">-C6*C23/100</f>
        <v>-918.6561142</v>
      </c>
      <c r="D24" s="0" t="n">
        <f aca="false">-D6*D23/100</f>
        <v>-955.402358768</v>
      </c>
      <c r="E24" s="0" t="n">
        <f aca="false">-E6*E23/100</f>
        <v>-993.61845311872</v>
      </c>
      <c r="F24" s="0" t="n">
        <f aca="false">-F6*F23/100</f>
        <v>-1028.39509897788</v>
      </c>
      <c r="G24" s="0" t="n">
        <f aca="false">-G6*G23/100</f>
        <v>-1064.3889274421</v>
      </c>
      <c r="H24" s="0" t="n">
        <f aca="false">-H6*H23/100</f>
        <v>-1096.32059526536</v>
      </c>
      <c r="I24" s="0" t="n">
        <f aca="false">-I6*I23/100</f>
        <v>-1129.21021312332</v>
      </c>
      <c r="J24" s="0" t="n">
        <f aca="false">-J6*J23/100</f>
        <v>-1157.44046845141</v>
      </c>
      <c r="K24" s="0" t="n">
        <f aca="false">-K6*K23/100</f>
        <v>-1186.37648016269</v>
      </c>
      <c r="L24" s="0" t="n">
        <f aca="false">-L6*L23/100</f>
        <v>-1216.03589216676</v>
      </c>
    </row>
    <row r="26" customFormat="false" ht="15" hidden="false" customHeight="false" outlineLevel="0" collapsed="false">
      <c r="A26" s="2" t="s">
        <v>127</v>
      </c>
    </row>
    <row r="27" customFormat="false" ht="15" hidden="false" customHeight="false" outlineLevel="0" collapsed="false">
      <c r="A27" s="0" t="s">
        <v>105</v>
      </c>
      <c r="B27" s="4" t="n">
        <f aca="false">Assumptions!$B$34</f>
        <v>7</v>
      </c>
    </row>
    <row r="28" customFormat="false" ht="15" hidden="false" customHeight="false" outlineLevel="0" collapsed="false">
      <c r="A28" s="0" t="s">
        <v>106</v>
      </c>
      <c r="B28" s="4" t="n">
        <f aca="false">Assumptions!$B$35</f>
        <v>2</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18235.818541064</v>
      </c>
    </row>
    <row r="31" customFormat="false" ht="15" hidden="false" customHeight="false" outlineLevel="0" collapsed="false">
      <c r="A31" s="0" t="s">
        <v>129</v>
      </c>
      <c r="B31" s="0" t="n">
        <f aca="false">L19</f>
        <v>3862.851386962</v>
      </c>
    </row>
    <row r="32" customFormat="false" ht="15" hidden="false" customHeight="false" outlineLevel="0" collapsed="false">
      <c r="A32" s="0" t="s">
        <v>130</v>
      </c>
      <c r="B32" s="0" t="n">
        <f aca="false">IF(B27&gt;B28,B31*(1+B28/100)/((B27-B28)/100),B31*B29)</f>
        <v>78802.1682940248</v>
      </c>
    </row>
    <row r="33" customFormat="false" ht="15" hidden="false" customHeight="false" outlineLevel="0" collapsed="false">
      <c r="A33" s="0" t="s">
        <v>131</v>
      </c>
      <c r="B33" s="0" t="n">
        <f aca="false">B31*B29</f>
        <v>46354.216643544</v>
      </c>
    </row>
    <row r="34" customFormat="false" ht="15" hidden="false" customHeight="false" outlineLevel="0" collapsed="false">
      <c r="A34" s="0" t="s">
        <v>132</v>
      </c>
      <c r="B34" s="0" t="n">
        <f aca="false">MAX(0,MIN(B32,B33))</f>
        <v>46354.216643544</v>
      </c>
    </row>
    <row r="35" customFormat="false" ht="15" hidden="false" customHeight="false" outlineLevel="0" collapsed="false">
      <c r="A35" s="0" t="s">
        <v>133</v>
      </c>
      <c r="B35" s="0" t="n">
        <f aca="false">B34/(1+B27/100)^L4</f>
        <v>23564.1332182049</v>
      </c>
    </row>
    <row r="36" customFormat="false" ht="15" hidden="false" customHeight="false" outlineLevel="0" collapsed="false">
      <c r="A36" s="0" t="s">
        <v>134</v>
      </c>
      <c r="B36" s="0" t="n">
        <f aca="false">B30+B35</f>
        <v>41799.9517592689</v>
      </c>
    </row>
    <row r="37" customFormat="false" ht="15" hidden="false" customHeight="false" outlineLevel="0" collapsed="false">
      <c r="A37" s="0" t="s">
        <v>135</v>
      </c>
      <c r="B37" s="0" t="n">
        <f aca="false">B36+Assumptions!$B$5-Assumptions!$B$4</f>
        <v>32913.0517592689</v>
      </c>
    </row>
    <row r="38" customFormat="false" ht="15" hidden="false" customHeight="false" outlineLevel="0" collapsed="false">
      <c r="A38" s="0" t="s">
        <v>136</v>
      </c>
      <c r="B38" s="0" t="n">
        <f aca="false">B37/Assumptions!$B$3*Assumptions!$B$10</f>
        <v>10.4285492670729</v>
      </c>
    </row>
    <row r="39" customFormat="false" ht="15" hidden="false" customHeight="false" outlineLevel="0" collapsed="false">
      <c r="A39" s="0" t="s">
        <v>137</v>
      </c>
      <c r="B39" s="4" t="n">
        <f aca="false">B38/Assumptions!$B$2-1</f>
        <v>-0.0545286249253953</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10.4285492670729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30308.5262669326</v>
      </c>
    </row>
    <row r="47" customFormat="false" ht="15" hidden="false" customHeight="false" outlineLevel="0" collapsed="false">
      <c r="A47" s="0" t="s">
        <v>142</v>
      </c>
      <c r="B47" s="0" t="n">
        <f aca="false">(SUMPRODUCT(C19:L19/(1+B45/100)^C4:L4)+B46/(1+B45/100)^L4+Assumptions!$B$5-Assumptions!$B$4)/Assumptions!$B$3*Assumptions!$B$10</f>
        <v>3.41833076008701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6</v>
      </c>
      <c r="D5" s="4" t="n">
        <f aca="false">Assumptions!D41</f>
        <v>6</v>
      </c>
      <c r="E5" s="4" t="n">
        <f aca="false">Assumptions!E41</f>
        <v>5.5</v>
      </c>
      <c r="F5" s="4" t="n">
        <f aca="false">Assumptions!F41</f>
        <v>5</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283579.6</v>
      </c>
      <c r="C6" s="0" t="n">
        <f aca="false">B6*(1+C5/100)</f>
        <v>300594.376</v>
      </c>
      <c r="D6" s="0" t="n">
        <f aca="false">C6*(1+D5/100)</f>
        <v>318630.03856</v>
      </c>
      <c r="E6" s="0" t="n">
        <f aca="false">D6*(1+E5/100)</f>
        <v>336154.6906808</v>
      </c>
      <c r="F6" s="0" t="n">
        <f aca="false">E6*(1+F5/100)</f>
        <v>352962.42521484</v>
      </c>
      <c r="G6" s="0" t="n">
        <f aca="false">F6*(1+G5/100)</f>
        <v>370610.546475582</v>
      </c>
      <c r="H6" s="0" t="n">
        <f aca="false">G6*(1+H5/100)</f>
        <v>387288.021066983</v>
      </c>
      <c r="I6" s="0" t="n">
        <f aca="false">H6*(1+I5/100)</f>
        <v>402779.541909663</v>
      </c>
      <c r="J6" s="0" t="n">
        <f aca="false">I6*(1+J5/100)</f>
        <v>416876.825876501</v>
      </c>
      <c r="K6" s="0" t="n">
        <f aca="false">J6*(1+K5/100)</f>
        <v>429383.130652796</v>
      </c>
      <c r="L6" s="0" t="n">
        <f aca="false">K6*(1+L5/100)</f>
        <v>442264.62457238</v>
      </c>
    </row>
    <row r="7" customFormat="false" ht="15" hidden="false" customHeight="false" outlineLevel="0" collapsed="false">
      <c r="A7" s="0" t="s">
        <v>99</v>
      </c>
      <c r="C7" s="4" t="n">
        <f aca="false">Assumptions!C42</f>
        <v>4.05</v>
      </c>
      <c r="D7" s="4" t="n">
        <f aca="false">Assumptions!D42</f>
        <v>4.2</v>
      </c>
      <c r="E7" s="4" t="n">
        <f aca="false">Assumptions!E42</f>
        <v>4.35</v>
      </c>
      <c r="F7" s="4" t="n">
        <f aca="false">Assumptions!F42</f>
        <v>4.5</v>
      </c>
      <c r="G7" s="4" t="n">
        <f aca="false">Assumptions!G42</f>
        <v>4.6</v>
      </c>
      <c r="H7" s="4" t="n">
        <f aca="false">Assumptions!H42</f>
        <v>4.7</v>
      </c>
      <c r="I7" s="4" t="n">
        <f aca="false">Assumptions!I42</f>
        <v>4.7</v>
      </c>
      <c r="J7" s="4" t="n">
        <f aca="false">Assumptions!J42</f>
        <v>4.7</v>
      </c>
      <c r="K7" s="4" t="n">
        <f aca="false">Assumptions!K42</f>
        <v>4.7</v>
      </c>
      <c r="L7" s="4" t="n">
        <f aca="false">Assumptions!L42</f>
        <v>4.7</v>
      </c>
    </row>
    <row r="8" customFormat="false" ht="15" hidden="false" customHeight="false" outlineLevel="0" collapsed="false">
      <c r="A8" s="0" t="s">
        <v>44</v>
      </c>
      <c r="C8" s="0" t="n">
        <f aca="false">C6*C7/100</f>
        <v>12174.072228</v>
      </c>
      <c r="D8" s="0" t="n">
        <f aca="false">D6*D7/100</f>
        <v>13382.46161952</v>
      </c>
      <c r="E8" s="0" t="n">
        <f aca="false">E6*E7/100</f>
        <v>14622.7290446148</v>
      </c>
      <c r="F8" s="0" t="n">
        <f aca="false">F6*F7/100</f>
        <v>15883.3091346678</v>
      </c>
      <c r="G8" s="0" t="n">
        <f aca="false">G6*G7/100</f>
        <v>17048.0851378768</v>
      </c>
      <c r="H8" s="0" t="n">
        <f aca="false">H6*H7/100</f>
        <v>18202.5369901482</v>
      </c>
      <c r="I8" s="0" t="n">
        <f aca="false">I6*I7/100</f>
        <v>18930.6384697541</v>
      </c>
      <c r="J8" s="0" t="n">
        <f aca="false">J6*J7/100</f>
        <v>19593.2108161955</v>
      </c>
      <c r="K8" s="0" t="n">
        <f aca="false">K6*K7/100</f>
        <v>20181.0071406814</v>
      </c>
      <c r="L8" s="0" t="n">
        <f aca="false">L6*L7/100</f>
        <v>20786.4373549018</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11242.2296624</v>
      </c>
      <c r="D11" s="0" t="n">
        <f aca="false">D8+D10+D24</f>
        <v>12394.708499984</v>
      </c>
      <c r="E11" s="0" t="n">
        <f aca="false">E8+E10+E24</f>
        <v>13580.6495035043</v>
      </c>
      <c r="F11" s="0" t="n">
        <f aca="false">F8+F10+F24</f>
        <v>14789.1256165018</v>
      </c>
      <c r="G11" s="0" t="n">
        <f aca="false">G8+G10+G24</f>
        <v>15899.1924438025</v>
      </c>
      <c r="H11" s="0" t="n">
        <f aca="false">H8+H10+H24</f>
        <v>17001.9441248406</v>
      </c>
      <c r="I11" s="0" t="n">
        <f aca="false">I8+I10+I24</f>
        <v>17682.0218898342</v>
      </c>
      <c r="J11" s="0" t="n">
        <f aca="false">J8+J10+J24</f>
        <v>18300.8926559784</v>
      </c>
      <c r="K11" s="0" t="n">
        <f aca="false">K8+K10+K24</f>
        <v>18849.9194356577</v>
      </c>
      <c r="L11" s="0" t="n">
        <f aca="false">L8+L10+L24</f>
        <v>19415.4170187275</v>
      </c>
    </row>
    <row r="12" customFormat="false" ht="15" hidden="false" customHeight="false" outlineLevel="0" collapsed="false">
      <c r="A12" s="0" t="s">
        <v>117</v>
      </c>
      <c r="C12" s="4" t="n">
        <f aca="false">-C6*Assumptions!C45/100</f>
        <v>-2404.755008</v>
      </c>
      <c r="D12" s="4" t="n">
        <f aca="false">-D6*Assumptions!D45/100</f>
        <v>-2549.04030848</v>
      </c>
      <c r="E12" s="4" t="n">
        <f aca="false">-E6*Assumptions!E45/100</f>
        <v>-2689.2375254464</v>
      </c>
      <c r="F12" s="4" t="n">
        <f aca="false">-F6*Assumptions!F45/100</f>
        <v>-2823.69940171872</v>
      </c>
      <c r="G12" s="4" t="n">
        <f aca="false">-G6*Assumptions!G45/100</f>
        <v>-2964.88437180466</v>
      </c>
      <c r="H12" s="4" t="n">
        <f aca="false">-H6*Assumptions!H45/100</f>
        <v>-3098.30416853587</v>
      </c>
      <c r="I12" s="4" t="n">
        <f aca="false">-I6*Assumptions!I45/100</f>
        <v>-3222.2363352773</v>
      </c>
      <c r="J12" s="4" t="n">
        <f aca="false">-J6*Assumptions!J45/100</f>
        <v>-3335.01460701201</v>
      </c>
      <c r="K12" s="4" t="n">
        <f aca="false">-K6*Assumptions!K45/100</f>
        <v>-3435.06504522237</v>
      </c>
      <c r="L12" s="4" t="n">
        <f aca="false">-L6*Assumptions!L45/100</f>
        <v>-3538.11699657904</v>
      </c>
    </row>
    <row r="13" customFormat="false" ht="15" hidden="false" customHeight="false" outlineLevel="0" collapsed="false">
      <c r="A13" s="0" t="s">
        <v>118</v>
      </c>
      <c r="C13" s="0" t="n">
        <f aca="false">C11+C12</f>
        <v>8837.4746544</v>
      </c>
      <c r="D13" s="0" t="n">
        <f aca="false">D11+D12</f>
        <v>9845.668191504</v>
      </c>
      <c r="E13" s="0" t="n">
        <f aca="false">E11+E12</f>
        <v>10891.4119780579</v>
      </c>
      <c r="F13" s="0" t="n">
        <f aca="false">F11+F12</f>
        <v>11965.4262147831</v>
      </c>
      <c r="G13" s="0" t="n">
        <f aca="false">G11+G12</f>
        <v>12934.3080719978</v>
      </c>
      <c r="H13" s="0" t="n">
        <f aca="false">H11+H12</f>
        <v>13903.6399563047</v>
      </c>
      <c r="I13" s="0" t="n">
        <f aca="false">I11+I12</f>
        <v>14459.7855545569</v>
      </c>
      <c r="J13" s="0" t="n">
        <f aca="false">J11+J12</f>
        <v>14965.8780489664</v>
      </c>
      <c r="K13" s="0" t="n">
        <f aca="false">K11+K12</f>
        <v>15414.8543904354</v>
      </c>
      <c r="L13" s="0" t="n">
        <f aca="false">L11+L12</f>
        <v>15877.3000221484</v>
      </c>
    </row>
    <row r="14" customFormat="false" ht="15" hidden="false" customHeight="false" outlineLevel="0" collapsed="false">
      <c r="A14" s="0" t="s">
        <v>104</v>
      </c>
      <c r="C14" s="4" t="n">
        <f aca="false">Assumptions!C47</f>
        <v>45</v>
      </c>
      <c r="D14" s="4" t="n">
        <f aca="false">Assumptions!D47</f>
        <v>45</v>
      </c>
      <c r="E14" s="4" t="n">
        <f aca="false">Assumptions!E47</f>
        <v>45</v>
      </c>
      <c r="F14" s="4" t="n">
        <f aca="false">Assumptions!F47</f>
        <v>45</v>
      </c>
      <c r="G14" s="4" t="n">
        <f aca="false">Assumptions!G47</f>
        <v>45</v>
      </c>
      <c r="H14" s="4" t="n">
        <f aca="false">Assumptions!H47</f>
        <v>45</v>
      </c>
      <c r="I14" s="4" t="n">
        <f aca="false">Assumptions!I47</f>
        <v>45</v>
      </c>
      <c r="J14" s="4" t="n">
        <f aca="false">Assumptions!J47</f>
        <v>45</v>
      </c>
      <c r="K14" s="4" t="n">
        <f aca="false">Assumptions!K47</f>
        <v>45</v>
      </c>
      <c r="L14" s="4" t="n">
        <f aca="false">Assumptions!L47</f>
        <v>45</v>
      </c>
    </row>
    <row r="15" customFormat="false" ht="15" hidden="false" customHeight="false" outlineLevel="0" collapsed="false">
      <c r="A15" s="0" t="s">
        <v>119</v>
      </c>
      <c r="C15" s="0" t="n">
        <f aca="false">C13-MAX(0,C13)*C14/100</f>
        <v>4860.61105992</v>
      </c>
      <c r="D15" s="0" t="n">
        <f aca="false">D13-MAX(0,D13)*D14/100</f>
        <v>5415.1175053272</v>
      </c>
      <c r="E15" s="0" t="n">
        <f aca="false">E13-MAX(0,E13)*E14/100</f>
        <v>5990.27658793186</v>
      </c>
      <c r="F15" s="0" t="n">
        <f aca="false">F13-MAX(0,F13)*F14/100</f>
        <v>6580.98441813069</v>
      </c>
      <c r="G15" s="0" t="n">
        <f aca="false">G13-MAX(0,G13)*G14/100</f>
        <v>7113.8694395988</v>
      </c>
      <c r="H15" s="0" t="n">
        <f aca="false">H13-MAX(0,H13)*H14/100</f>
        <v>7647.00197596758</v>
      </c>
      <c r="I15" s="0" t="n">
        <f aca="false">I13-MAX(0,I13)*I14/100</f>
        <v>7952.88205500629</v>
      </c>
      <c r="J15" s="0" t="n">
        <f aca="false">J13-MAX(0,J13)*J14/100</f>
        <v>8231.23292693151</v>
      </c>
      <c r="K15" s="0" t="n">
        <f aca="false">K13-MAX(0,K13)*K14/100</f>
        <v>8478.16991473945</v>
      </c>
      <c r="L15" s="0" t="n">
        <f aca="false">L13-MAX(0,L13)*L14/100</f>
        <v>8732.51501218164</v>
      </c>
    </row>
    <row r="16" customFormat="false" ht="15" hidden="false" customHeight="false" outlineLevel="0" collapsed="false">
      <c r="A16" s="0" t="s">
        <v>120</v>
      </c>
      <c r="C16" s="0" t="n">
        <f aca="false">-C12</f>
        <v>2404.755008</v>
      </c>
      <c r="D16" s="0" t="n">
        <f aca="false">-D12</f>
        <v>2549.04030848</v>
      </c>
      <c r="E16" s="0" t="n">
        <f aca="false">-E12</f>
        <v>2689.2375254464</v>
      </c>
      <c r="F16" s="0" t="n">
        <f aca="false">-F12</f>
        <v>2823.69940171872</v>
      </c>
      <c r="G16" s="0" t="n">
        <f aca="false">-G12</f>
        <v>2964.88437180466</v>
      </c>
      <c r="H16" s="0" t="n">
        <f aca="false">-H12</f>
        <v>3098.30416853587</v>
      </c>
      <c r="I16" s="0" t="n">
        <f aca="false">-I12</f>
        <v>3222.2363352773</v>
      </c>
      <c r="J16" s="0" t="n">
        <f aca="false">-J12</f>
        <v>3335.01460701201</v>
      </c>
      <c r="K16" s="0" t="n">
        <f aca="false">-K12</f>
        <v>3435.06504522237</v>
      </c>
      <c r="L16" s="0" t="n">
        <f aca="false">-L12</f>
        <v>3538.11699657904</v>
      </c>
    </row>
    <row r="17" customFormat="false" ht="15" hidden="false" customHeight="false" outlineLevel="0" collapsed="false">
      <c r="A17" s="0" t="s">
        <v>121</v>
      </c>
      <c r="C17" s="4" t="n">
        <f aca="false">-C6*Assumptions!C46/100</f>
        <v>-2555.052196</v>
      </c>
      <c r="D17" s="4" t="n">
        <f aca="false">-D6*Assumptions!D46/100</f>
        <v>-2708.35532776</v>
      </c>
      <c r="E17" s="4" t="n">
        <f aca="false">-E6*Assumptions!E46/100</f>
        <v>-2857.3148707868</v>
      </c>
      <c r="F17" s="4" t="n">
        <f aca="false">-F6*Assumptions!F46/100</f>
        <v>-3000.18061432614</v>
      </c>
      <c r="G17" s="4" t="n">
        <f aca="false">-G6*Assumptions!G46/100</f>
        <v>-3150.18964504245</v>
      </c>
      <c r="H17" s="4" t="n">
        <f aca="false">-H6*Assumptions!H46/100</f>
        <v>-3291.94817906936</v>
      </c>
      <c r="I17" s="4" t="n">
        <f aca="false">-I6*Assumptions!I46/100</f>
        <v>-3423.62610623213</v>
      </c>
      <c r="J17" s="4" t="n">
        <f aca="false">-J6*Assumptions!J46/100</f>
        <v>-3543.45301995026</v>
      </c>
      <c r="K17" s="4" t="n">
        <f aca="false">-K6*Assumptions!K46/100</f>
        <v>-3649.75661054876</v>
      </c>
      <c r="L17" s="4" t="n">
        <f aca="false">-L6*Assumptions!L46/100</f>
        <v>-3759.24930886523</v>
      </c>
    </row>
    <row r="18" customFormat="false" ht="15" hidden="false" customHeight="false" outlineLevel="0" collapsed="false">
      <c r="A18" s="0" t="s">
        <v>122</v>
      </c>
      <c r="C18" s="4" t="n">
        <f aca="false">(C6-B6)*Assumptions!$B$51/100</f>
        <v>-3402.9552</v>
      </c>
      <c r="D18" s="4" t="n">
        <f aca="false">(D6-C6)*Assumptions!$B$51/100</f>
        <v>-3607.13251200001</v>
      </c>
      <c r="E18" s="4" t="n">
        <f aca="false">(E6-D6)*Assumptions!$B$51/100</f>
        <v>-3504.93042416</v>
      </c>
      <c r="F18" s="4" t="n">
        <f aca="false">(F6-E6)*Assumptions!$B$51/100</f>
        <v>-3361.54690680801</v>
      </c>
      <c r="G18" s="4" t="n">
        <f aca="false">(G6-F6)*Assumptions!$B$51/100</f>
        <v>-3529.6242521484</v>
      </c>
      <c r="H18" s="4" t="n">
        <f aca="false">(H6-G6)*Assumptions!$B$51/100</f>
        <v>-3335.49491828023</v>
      </c>
      <c r="I18" s="4" t="n">
        <f aca="false">(I6-H6)*Assumptions!$B$51/100</f>
        <v>-3098.30416853587</v>
      </c>
      <c r="J18" s="4" t="n">
        <f aca="false">(J6-I6)*Assumptions!$B$51/100</f>
        <v>-2819.45679336763</v>
      </c>
      <c r="K18" s="4" t="n">
        <f aca="false">(K6-J6)*Assumptions!$B$51/100</f>
        <v>-2501.26095525901</v>
      </c>
      <c r="L18" s="4" t="n">
        <f aca="false">(L6-K6)*Assumptions!$B$51/100</f>
        <v>-2576.29878391678</v>
      </c>
    </row>
    <row r="19" customFormat="false" ht="15" hidden="false" customHeight="false" outlineLevel="0" collapsed="false">
      <c r="A19" s="0" t="s">
        <v>123</v>
      </c>
      <c r="C19" s="0" t="n">
        <f aca="false">C15+C16+C17+C18</f>
        <v>1307.35867192</v>
      </c>
      <c r="D19" s="0" t="n">
        <f aca="false">D15+D16+D17+D18</f>
        <v>1648.66997404719</v>
      </c>
      <c r="E19" s="0" t="n">
        <f aca="false">E15+E16+E17+E18</f>
        <v>2317.26881843146</v>
      </c>
      <c r="F19" s="0" t="n">
        <f aca="false">F15+F16+F17+F18</f>
        <v>3042.95629871527</v>
      </c>
      <c r="G19" s="0" t="n">
        <f aca="false">G15+G16+G17+G18</f>
        <v>3398.9399142126</v>
      </c>
      <c r="H19" s="0" t="n">
        <f aca="false">H15+H16+H17+H18</f>
        <v>4117.86304715386</v>
      </c>
      <c r="I19" s="0" t="n">
        <f aca="false">I15+I16+I17+I18</f>
        <v>4653.18811551558</v>
      </c>
      <c r="J19" s="0" t="n">
        <f aca="false">J15+J16+J17+J18</f>
        <v>5203.33772062563</v>
      </c>
      <c r="K19" s="0" t="n">
        <f aca="false">K15+K16+K17+K18</f>
        <v>5762.21739415405</v>
      </c>
      <c r="L19" s="0" t="n">
        <f aca="false">L15+L16+L17+L18</f>
        <v>5935.08391597867</v>
      </c>
    </row>
    <row r="20" customFormat="false" ht="15" hidden="false" customHeight="false" outlineLevel="0" collapsed="false">
      <c r="A20" s="0" t="s">
        <v>124</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125</v>
      </c>
      <c r="C21" s="0" t="n">
        <f aca="false">C19*C20</f>
        <v>1221.83053450467</v>
      </c>
      <c r="D21" s="0" t="n">
        <f aca="false">D19*D20</f>
        <v>1440.01220547401</v>
      </c>
      <c r="E21" s="0" t="n">
        <f aca="false">E19*E20</f>
        <v>1891.58161667097</v>
      </c>
      <c r="F21" s="0" t="n">
        <f aca="false">F19*F20</f>
        <v>2321.45679075974</v>
      </c>
      <c r="G21" s="0" t="n">
        <f aca="false">G19*G20</f>
        <v>2423.39718372899</v>
      </c>
      <c r="H21" s="0" t="n">
        <f aca="false">H19*H20</f>
        <v>2743.90602021234</v>
      </c>
      <c r="I21" s="0" t="n">
        <f aca="false">I19*I20</f>
        <v>2897.77169787778</v>
      </c>
      <c r="J21" s="0" t="n">
        <f aca="false">J19*J20</f>
        <v>3028.38992753081</v>
      </c>
      <c r="K21" s="0" t="n">
        <f aca="false">K19*K20</f>
        <v>3134.26447278569</v>
      </c>
      <c r="L21" s="0" t="n">
        <f aca="false">L19*L20</f>
        <v>3017.0957074479</v>
      </c>
    </row>
    <row r="23" customFormat="false" ht="15" hidden="false" customHeight="false" outlineLevel="0" collapsed="false">
      <c r="A23" s="0" t="s">
        <v>101</v>
      </c>
      <c r="C23" s="4" t="n">
        <f aca="false">Assumptions!C44</f>
        <v>0.31</v>
      </c>
      <c r="D23" s="4" t="n">
        <f aca="false">Assumptions!D44</f>
        <v>0.31</v>
      </c>
      <c r="E23" s="4" t="n">
        <f aca="false">Assumptions!E44</f>
        <v>0.31</v>
      </c>
      <c r="F23" s="4" t="n">
        <f aca="false">Assumptions!F44</f>
        <v>0.31</v>
      </c>
      <c r="G23" s="4" t="n">
        <f aca="false">Assumptions!G44</f>
        <v>0.31</v>
      </c>
      <c r="H23" s="4" t="n">
        <f aca="false">Assumptions!H44</f>
        <v>0.31</v>
      </c>
      <c r="I23" s="4" t="n">
        <f aca="false">Assumptions!I44</f>
        <v>0.31</v>
      </c>
      <c r="J23" s="4" t="n">
        <f aca="false">Assumptions!J44</f>
        <v>0.31</v>
      </c>
      <c r="K23" s="4" t="n">
        <f aca="false">Assumptions!K44</f>
        <v>0.31</v>
      </c>
      <c r="L23" s="4" t="n">
        <f aca="false">Assumptions!L44</f>
        <v>0.31</v>
      </c>
    </row>
    <row r="24" customFormat="false" ht="15" hidden="false" customHeight="false" outlineLevel="0" collapsed="false">
      <c r="A24" s="0" t="s">
        <v>126</v>
      </c>
      <c r="C24" s="0" t="n">
        <f aca="false">-C6*C23/100</f>
        <v>-931.8425656</v>
      </c>
      <c r="D24" s="0" t="n">
        <f aca="false">-D6*D23/100</f>
        <v>-987.753119536</v>
      </c>
      <c r="E24" s="0" t="n">
        <f aca="false">-E6*E23/100</f>
        <v>-1042.07954111048</v>
      </c>
      <c r="F24" s="0" t="n">
        <f aca="false">-F6*F23/100</f>
        <v>-1094.183518166</v>
      </c>
      <c r="G24" s="0" t="n">
        <f aca="false">-G6*G23/100</f>
        <v>-1148.8926940743</v>
      </c>
      <c r="H24" s="0" t="n">
        <f aca="false">-H6*H23/100</f>
        <v>-1200.59286530765</v>
      </c>
      <c r="I24" s="0" t="n">
        <f aca="false">-I6*I23/100</f>
        <v>-1248.61657991995</v>
      </c>
      <c r="J24" s="0" t="n">
        <f aca="false">-J6*J23/100</f>
        <v>-1292.31816021715</v>
      </c>
      <c r="K24" s="0" t="n">
        <f aca="false">-K6*K23/100</f>
        <v>-1331.08770502367</v>
      </c>
      <c r="L24" s="0" t="n">
        <f aca="false">-L6*L23/100</f>
        <v>-1371.02033617438</v>
      </c>
    </row>
    <row r="26" customFormat="false" ht="15" hidden="false" customHeight="false" outlineLevel="0" collapsed="false">
      <c r="A26" s="2" t="s">
        <v>127</v>
      </c>
    </row>
    <row r="27" customFormat="false" ht="15" hidden="false" customHeight="false" outlineLevel="0" collapsed="false">
      <c r="A27" s="0" t="s">
        <v>105</v>
      </c>
      <c r="B27" s="4" t="n">
        <f aca="false">Assumptions!$B$48</f>
        <v>7</v>
      </c>
    </row>
    <row r="28" customFormat="false" ht="15" hidden="false" customHeight="false" outlineLevel="0" collapsed="false">
      <c r="A28" s="0" t="s">
        <v>106</v>
      </c>
      <c r="B28" s="4" t="n">
        <f aca="false">Assumptions!$B$49</f>
        <v>2.5</v>
      </c>
    </row>
    <row r="29" customFormat="false" ht="15" hidden="false" customHeight="false" outlineLevel="0" collapsed="false">
      <c r="A29" s="0" t="s">
        <v>107</v>
      </c>
      <c r="B29" s="4" t="n">
        <f aca="false">Assumptions!$B$50</f>
        <v>13</v>
      </c>
    </row>
    <row r="30" customFormat="false" ht="15" hidden="false" customHeight="false" outlineLevel="0" collapsed="false">
      <c r="A30" s="0" t="s">
        <v>128</v>
      </c>
      <c r="B30" s="0" t="n">
        <f aca="false">SUM(C21:L21)</f>
        <v>24119.7061569929</v>
      </c>
    </row>
    <row r="31" customFormat="false" ht="15" hidden="false" customHeight="false" outlineLevel="0" collapsed="false">
      <c r="A31" s="0" t="s">
        <v>129</v>
      </c>
      <c r="B31" s="0" t="n">
        <f aca="false">L19</f>
        <v>5935.08391597867</v>
      </c>
    </row>
    <row r="32" customFormat="false" ht="15" hidden="false" customHeight="false" outlineLevel="0" collapsed="false">
      <c r="A32" s="0" t="s">
        <v>130</v>
      </c>
      <c r="B32" s="0" t="n">
        <f aca="false">IF(B27&gt;B28,B31*(1+B28/100)/((B27-B28)/100),B31*B29)</f>
        <v>135188.022530625</v>
      </c>
    </row>
    <row r="33" customFormat="false" ht="15" hidden="false" customHeight="false" outlineLevel="0" collapsed="false">
      <c r="A33" s="0" t="s">
        <v>131</v>
      </c>
      <c r="B33" s="0" t="n">
        <f aca="false">B31*B29</f>
        <v>77156.0909077226</v>
      </c>
    </row>
    <row r="34" customFormat="false" ht="15" hidden="false" customHeight="false" outlineLevel="0" collapsed="false">
      <c r="A34" s="0" t="s">
        <v>132</v>
      </c>
      <c r="B34" s="0" t="n">
        <f aca="false">MAX(0,MIN(B32,B33))</f>
        <v>77156.0909077226</v>
      </c>
    </row>
    <row r="35" customFormat="false" ht="15" hidden="false" customHeight="false" outlineLevel="0" collapsed="false">
      <c r="A35" s="0" t="s">
        <v>133</v>
      </c>
      <c r="B35" s="0" t="n">
        <f aca="false">B34/(1+B27/100)^L4</f>
        <v>39222.2441968227</v>
      </c>
    </row>
    <row r="36" customFormat="false" ht="15" hidden="false" customHeight="false" outlineLevel="0" collapsed="false">
      <c r="A36" s="0" t="s">
        <v>134</v>
      </c>
      <c r="B36" s="0" t="n">
        <f aca="false">B30+B35</f>
        <v>63341.9503538156</v>
      </c>
    </row>
    <row r="37" customFormat="false" ht="15" hidden="false" customHeight="false" outlineLevel="0" collapsed="false">
      <c r="A37" s="0" t="s">
        <v>135</v>
      </c>
      <c r="B37" s="0" t="n">
        <f aca="false">B36+Assumptions!$B$5-Assumptions!$B$4</f>
        <v>54455.0503538156</v>
      </c>
    </row>
    <row r="38" customFormat="false" ht="15" hidden="false" customHeight="false" outlineLevel="0" collapsed="false">
      <c r="A38" s="0" t="s">
        <v>136</v>
      </c>
      <c r="B38" s="0" t="n">
        <f aca="false">B37/Assumptions!$B$3*Assumptions!$B$10</f>
        <v>17.2541634731812</v>
      </c>
    </row>
    <row r="39" customFormat="false" ht="15" hidden="false" customHeight="false" outlineLevel="0" collapsed="false">
      <c r="A39" s="0" t="s">
        <v>137</v>
      </c>
      <c r="B39" s="4" t="n">
        <f aca="false">B38/Assumptions!$B$2-1</f>
        <v>0.564294059218608</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17.2541634731812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48667.6881110251</v>
      </c>
    </row>
    <row r="47" customFormat="false" ht="15" hidden="false" customHeight="false" outlineLevel="0" collapsed="false">
      <c r="A47" s="0" t="s">
        <v>142</v>
      </c>
      <c r="B47" s="0" t="n">
        <f aca="false">(SUMPRODUCT(C19:L19/(1+B45/100)^C4:L4)+B46/(1+B45/100)^L4+Assumptions!$B$5-Assumptions!$B$4)/Assumptions!$B$3*Assumptions!$B$10</f>
        <v>5.9616888997532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5.49447836689691</v>
      </c>
      <c r="C4" s="0" t="n">
        <f aca="false">B4/Assumptions!$B$2-1</f>
        <v>-0.501860528839809</v>
      </c>
      <c r="D4" s="4" t="n">
        <f aca="false">Assumptions!$B$24</f>
        <v>0.3</v>
      </c>
      <c r="E4" s="4" t="n">
        <f aca="false">DCF_Bear!$B$43</f>
        <v>5.49447836689691</v>
      </c>
      <c r="F4" s="4" t="n">
        <f aca="false">DCF_Bear!$B$47</f>
        <v>1.67317572023709</v>
      </c>
    </row>
    <row r="5" customFormat="false" ht="15" hidden="false" customHeight="false" outlineLevel="0" collapsed="false">
      <c r="A5" s="0" t="s">
        <v>151</v>
      </c>
      <c r="B5" s="4" t="n">
        <f aca="false">DCF_Base!$B$38</f>
        <v>10.4285492670729</v>
      </c>
      <c r="C5" s="0" t="n">
        <f aca="false">B5/Assumptions!$B$2-1</f>
        <v>-0.0545286249253953</v>
      </c>
      <c r="D5" s="4" t="n">
        <f aca="false">Assumptions!$B$38</f>
        <v>0.5</v>
      </c>
      <c r="E5" s="4" t="n">
        <f aca="false">DCF_Base!$B$43</f>
        <v>10.4285492670729</v>
      </c>
      <c r="F5" s="4" t="n">
        <f aca="false">DCF_Base!$B$47</f>
        <v>3.41833076008701</v>
      </c>
    </row>
    <row r="6" customFormat="false" ht="15" hidden="false" customHeight="false" outlineLevel="0" collapsed="false">
      <c r="A6" s="0" t="s">
        <v>152</v>
      </c>
      <c r="B6" s="4" t="n">
        <f aca="false">DCF_Bull!$B$38</f>
        <v>17.2541634731812</v>
      </c>
      <c r="C6" s="0" t="n">
        <f aca="false">B6/Assumptions!$B$2-1</f>
        <v>0.564294059218608</v>
      </c>
      <c r="D6" s="4" t="n">
        <f aca="false">Assumptions!$B$52</f>
        <v>0.2</v>
      </c>
      <c r="E6" s="4" t="n">
        <f aca="false">DCF_Bull!$B$43</f>
        <v>17.2541634731812</v>
      </c>
      <c r="F6" s="4" t="n">
        <f aca="false">DCF_Bull!$B$47</f>
        <v>5.9616888997532</v>
      </c>
    </row>
    <row r="8" customFormat="false" ht="15" hidden="false" customHeight="false" outlineLevel="0" collapsed="false">
      <c r="A8" s="0" t="s">
        <v>153</v>
      </c>
      <c r="B8" s="0" t="n">
        <f aca="false">SUMPRODUCT(B4:B6,D4:D6)</f>
        <v>10.3134508382418</v>
      </c>
    </row>
    <row r="9" customFormat="false" ht="15" hidden="false" customHeight="false" outlineLevel="0" collapsed="false">
      <c r="A9" s="0" t="s">
        <v>154</v>
      </c>
      <c r="B9" s="0" t="n">
        <f aca="false">SUMPRODUCT(E4:E6,D4:D6)</f>
        <v>10.3134508382418</v>
      </c>
    </row>
    <row r="10" customFormat="false" ht="15" hidden="false" customHeight="false" outlineLevel="0" collapsed="false">
      <c r="A10" s="0" t="s">
        <v>155</v>
      </c>
      <c r="B10" s="0" t="n">
        <f aca="false">1-Assumptions!$B$2/B8</f>
        <v>-0.0694771491130113</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3.40345587606527</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10.4285492670729</v>
      </c>
      <c r="C15" s="3" t="n">
        <v>7</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8.57800081705095</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7.77358705220295</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6.75181166798673</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5.65858806047074</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3.41833076008701</v>
      </c>
      <c r="C20" s="3" t="n">
        <v>15</v>
      </c>
    </row>
    <row r="22" customFormat="false" ht="15" hidden="false" customHeight="false" outlineLevel="0" collapsed="false">
      <c r="A22" s="2" t="s">
        <v>166</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12.6644145104124</v>
      </c>
      <c r="C24" s="0" t="n">
        <f aca="false">(SUMPRODUCT(DCF_Base!$C$19:$L$19/(1+$A$24/100)^DCF_Base!$C$4:$L$4)+MAX(0,MIN(IF($A$24&gt;$C$23,DCF_Base!$L$19*(1+$C$23/100)/(($A$24-$C$23)/100),DCF_Base!$L$19*DCF_Base!$B$29),DCF_Base!$L$19*DCF_Base!$B$29))/(1+$A$24/100)^DCF_Base!$L$4+Assumptions!$B$5-Assumptions!$B$4)/Assumptions!$B$3*Assumptions!$B$10</f>
        <v>12.6644145104124</v>
      </c>
      <c r="D24" s="0" t="n">
        <f aca="false">(SUMPRODUCT(DCF_Base!$C$19:$L$19/(1+$A$24/100)^DCF_Base!$C$4:$L$4)+MAX(0,MIN(IF($A$24&gt;$D$23,DCF_Base!$L$19*(1+$D$23/100)/(($A$24-$D$23)/100),DCF_Base!$L$19*DCF_Base!$B$29),DCF_Base!$L$19*DCF_Base!$B$29))/(1+$A$24/100)^DCF_Base!$L$4+Assumptions!$B$5-Assumptions!$B$4)/Assumptions!$B$3*Assumptions!$B$10</f>
        <v>12.6644145104124</v>
      </c>
      <c r="E24" s="0" t="n">
        <f aca="false">(SUMPRODUCT(DCF_Base!$C$19:$L$19/(1+$A$24/100)^DCF_Base!$C$4:$L$4)+MAX(0,MIN(IF($A$24&gt;$E$23,DCF_Base!$L$19*(1+$E$23/100)/(($A$24-$E$23)/100),DCF_Base!$L$19*DCF_Base!$B$29),DCF_Base!$L$19*DCF_Base!$B$29))/(1+$A$24/100)^DCF_Base!$L$4+Assumptions!$B$5-Assumptions!$B$4)/Assumptions!$B$3*Assumptions!$B$10</f>
        <v>12.6644145104124</v>
      </c>
      <c r="F24" s="0" t="n">
        <f aca="false">(SUMPRODUCT(DCF_Base!$C$19:$L$19/(1+$A$24/100)^DCF_Base!$C$4:$L$4)+MAX(0,MIN(IF($A$24&gt;$F$23,DCF_Base!$L$19*(1+$F$23/100)/(($A$24-$F$23)/100),DCF_Base!$L$19*DCF_Base!$B$29),DCF_Base!$L$19*DCF_Base!$B$29))/(1+$A$24/100)^DCF_Base!$L$4+Assumptions!$B$5-Assumptions!$B$4)/Assumptions!$B$3*Assumptions!$B$10</f>
        <v>12.6644145104124</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11.4930125329569</v>
      </c>
      <c r="C25" s="0" t="n">
        <f aca="false">(SUMPRODUCT(DCF_Base!$C$19:$L$19/(1+$A$25/100)^DCF_Base!$C$4:$L$4)+MAX(0,MIN(IF($A$25&gt;$C$23,DCF_Base!$L$19*(1+$C$23/100)/(($A$25-$C$23)/100),DCF_Base!$L$19*DCF_Base!$B$29),DCF_Base!$L$19*DCF_Base!$B$29))/(1+$A$25/100)^DCF_Base!$L$4+Assumptions!$B$5-Assumptions!$B$4)/Assumptions!$B$3*Assumptions!$B$10</f>
        <v>11.4930125329569</v>
      </c>
      <c r="D25" s="0" t="n">
        <f aca="false">(SUMPRODUCT(DCF_Base!$C$19:$L$19/(1+$A$25/100)^DCF_Base!$C$4:$L$4)+MAX(0,MIN(IF($A$25&gt;$D$23,DCF_Base!$L$19*(1+$D$23/100)/(($A$25-$D$23)/100),DCF_Base!$L$19*DCF_Base!$B$29),DCF_Base!$L$19*DCF_Base!$B$29))/(1+$A$25/100)^DCF_Base!$L$4+Assumptions!$B$5-Assumptions!$B$4)/Assumptions!$B$3*Assumptions!$B$10</f>
        <v>11.4930125329569</v>
      </c>
      <c r="E25" s="0" t="n">
        <f aca="false">(SUMPRODUCT(DCF_Base!$C$19:$L$19/(1+$A$25/100)^DCF_Base!$C$4:$L$4)+MAX(0,MIN(IF($A$25&gt;$E$23,DCF_Base!$L$19*(1+$E$23/100)/(($A$25-$E$23)/100),DCF_Base!$L$19*DCF_Base!$B$29),DCF_Base!$L$19*DCF_Base!$B$29))/(1+$A$25/100)^DCF_Base!$L$4+Assumptions!$B$5-Assumptions!$B$4)/Assumptions!$B$3*Assumptions!$B$10</f>
        <v>11.4930125329569</v>
      </c>
      <c r="F25" s="0" t="n">
        <f aca="false">(SUMPRODUCT(DCF_Base!$C$19:$L$19/(1+$A$25/100)^DCF_Base!$C$4:$L$4)+MAX(0,MIN(IF($A$25&gt;$F$23,DCF_Base!$L$19*(1+$F$23/100)/(($A$25-$F$23)/100),DCF_Base!$L$19*DCF_Base!$B$29),DCF_Base!$L$19*DCF_Base!$B$29))/(1+$A$25/100)^DCF_Base!$L$4+Assumptions!$B$5-Assumptions!$B$4)/Assumptions!$B$3*Assumptions!$B$10</f>
        <v>11.4930125329569</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10.4285492670729</v>
      </c>
      <c r="C26" s="0" t="n">
        <f aca="false">(SUMPRODUCT(DCF_Base!$C$19:$L$19/(1+$A$26/100)^DCF_Base!$C$4:$L$4)+MAX(0,MIN(IF($A$26&gt;$C$23,DCF_Base!$L$19*(1+$C$23/100)/(($A$26-$C$23)/100),DCF_Base!$L$19*DCF_Base!$B$29),DCF_Base!$L$19*DCF_Base!$B$29))/(1+$A$26/100)^DCF_Base!$L$4+Assumptions!$B$5-Assumptions!$B$4)/Assumptions!$B$3*Assumptions!$B$10</f>
        <v>10.4285492670729</v>
      </c>
      <c r="D26" s="0" t="n">
        <f aca="false">(SUMPRODUCT(DCF_Base!$C$19:$L$19/(1+$A$26/100)^DCF_Base!$C$4:$L$4)+MAX(0,MIN(IF($A$26&gt;$D$23,DCF_Base!$L$19*(1+$D$23/100)/(($A$26-$D$23)/100),DCF_Base!$L$19*DCF_Base!$B$29),DCF_Base!$L$19*DCF_Base!$B$29))/(1+$A$26/100)^DCF_Base!$L$4+Assumptions!$B$5-Assumptions!$B$4)/Assumptions!$B$3*Assumptions!$B$10</f>
        <v>10.4285492670729</v>
      </c>
      <c r="E26" s="0" t="n">
        <f aca="false">(SUMPRODUCT(DCF_Base!$C$19:$L$19/(1+$A$26/100)^DCF_Base!$C$4:$L$4)+MAX(0,MIN(IF($A$26&gt;$E$23,DCF_Base!$L$19*(1+$E$23/100)/(($A$26-$E$23)/100),DCF_Base!$L$19*DCF_Base!$B$29),DCF_Base!$L$19*DCF_Base!$B$29))/(1+$A$26/100)^DCF_Base!$L$4+Assumptions!$B$5-Assumptions!$B$4)/Assumptions!$B$3*Assumptions!$B$10</f>
        <v>10.4285492670729</v>
      </c>
      <c r="F26" s="0" t="n">
        <f aca="false">(SUMPRODUCT(DCF_Base!$C$19:$L$19/(1+$A$26/100)^DCF_Base!$C$4:$L$4)+MAX(0,MIN(IF($A$26&gt;$F$23,DCF_Base!$L$19*(1+$F$23/100)/(($A$26-$F$23)/100),DCF_Base!$L$19*DCF_Base!$B$29),DCF_Base!$L$19*DCF_Base!$B$29))/(1+$A$26/100)^DCF_Base!$L$4+Assumptions!$B$5-Assumptions!$B$4)/Assumptions!$B$3*Assumptions!$B$10</f>
        <v>10.4285492670729</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9.46011160837306</v>
      </c>
      <c r="C27" s="0" t="n">
        <f aca="false">(SUMPRODUCT(DCF_Base!$C$19:$L$19/(1+$A$27/100)^DCF_Base!$C$4:$L$4)+MAX(0,MIN(IF($A$27&gt;$C$23,DCF_Base!$L$19*(1+$C$23/100)/(($A$27-$C$23)/100),DCF_Base!$L$19*DCF_Base!$B$29),DCF_Base!$L$19*DCF_Base!$B$29))/(1+$A$27/100)^DCF_Base!$L$4+Assumptions!$B$5-Assumptions!$B$4)/Assumptions!$B$3*Assumptions!$B$10</f>
        <v>9.46011160837306</v>
      </c>
      <c r="D27" s="0" t="n">
        <f aca="false">(SUMPRODUCT(DCF_Base!$C$19:$L$19/(1+$A$27/100)^DCF_Base!$C$4:$L$4)+MAX(0,MIN(IF($A$27&gt;$D$23,DCF_Base!$L$19*(1+$D$23/100)/(($A$27-$D$23)/100),DCF_Base!$L$19*DCF_Base!$B$29),DCF_Base!$L$19*DCF_Base!$B$29))/(1+$A$27/100)^DCF_Base!$L$4+Assumptions!$B$5-Assumptions!$B$4)/Assumptions!$B$3*Assumptions!$B$10</f>
        <v>9.46011160837306</v>
      </c>
      <c r="E27" s="0" t="n">
        <f aca="false">(SUMPRODUCT(DCF_Base!$C$19:$L$19/(1+$A$27/100)^DCF_Base!$C$4:$L$4)+MAX(0,MIN(IF($A$27&gt;$E$23,DCF_Base!$L$19*(1+$E$23/100)/(($A$27-$E$23)/100),DCF_Base!$L$19*DCF_Base!$B$29),DCF_Base!$L$19*DCF_Base!$B$29))/(1+$A$27/100)^DCF_Base!$L$4+Assumptions!$B$5-Assumptions!$B$4)/Assumptions!$B$3*Assumptions!$B$10</f>
        <v>9.46011160837306</v>
      </c>
      <c r="F27" s="0" t="n">
        <f aca="false">(SUMPRODUCT(DCF_Base!$C$19:$L$19/(1+$A$27/100)^DCF_Base!$C$4:$L$4)+MAX(0,MIN(IF($A$27&gt;$F$23,DCF_Base!$L$19*(1+$F$23/100)/(($A$27-$F$23)/100),DCF_Base!$L$19*DCF_Base!$B$29),DCF_Base!$L$19*DCF_Base!$B$29))/(1+$A$27/100)^DCF_Base!$L$4+Assumptions!$B$5-Assumptions!$B$4)/Assumptions!$B$3*Assumptions!$B$10</f>
        <v>9.46011160837306</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8.57800081705095</v>
      </c>
      <c r="C28" s="0" t="n">
        <f aca="false">(SUMPRODUCT(DCF_Base!$C$19:$L$19/(1+$A$28/100)^DCF_Base!$C$4:$L$4)+MAX(0,MIN(IF($A$28&gt;$C$23,DCF_Base!$L$19*(1+$C$23/100)/(($A$28-$C$23)/100),DCF_Base!$L$19*DCF_Base!$B$29),DCF_Base!$L$19*DCF_Base!$B$29))/(1+$A$28/100)^DCF_Base!$L$4+Assumptions!$B$5-Assumptions!$B$4)/Assumptions!$B$3*Assumptions!$B$10</f>
        <v>8.57800081705095</v>
      </c>
      <c r="D28" s="0" t="n">
        <f aca="false">(SUMPRODUCT(DCF_Base!$C$19:$L$19/(1+$A$28/100)^DCF_Base!$C$4:$L$4)+MAX(0,MIN(IF($A$28&gt;$D$23,DCF_Base!$L$19*(1+$D$23/100)/(($A$28-$D$23)/100),DCF_Base!$L$19*DCF_Base!$B$29),DCF_Base!$L$19*DCF_Base!$B$29))/(1+$A$28/100)^DCF_Base!$L$4+Assumptions!$B$5-Assumptions!$B$4)/Assumptions!$B$3*Assumptions!$B$10</f>
        <v>8.57800081705095</v>
      </c>
      <c r="E28" s="0" t="n">
        <f aca="false">(SUMPRODUCT(DCF_Base!$C$19:$L$19/(1+$A$28/100)^DCF_Base!$C$4:$L$4)+MAX(0,MIN(IF($A$28&gt;$E$23,DCF_Base!$L$19*(1+$E$23/100)/(($A$28-$E$23)/100),DCF_Base!$L$19*DCF_Base!$B$29),DCF_Base!$L$19*DCF_Base!$B$29))/(1+$A$28/100)^DCF_Base!$L$4+Assumptions!$B$5-Assumptions!$B$4)/Assumptions!$B$3*Assumptions!$B$10</f>
        <v>8.57800081705095</v>
      </c>
      <c r="F28" s="0" t="n">
        <f aca="false">(SUMPRODUCT(DCF_Base!$C$19:$L$19/(1+$A$28/100)^DCF_Base!$C$4:$L$4)+MAX(0,MIN(IF($A$28&gt;$F$23,DCF_Base!$L$19*(1+$F$23/100)/(($A$28-$F$23)/100),DCF_Base!$L$19*DCF_Base!$B$29),DCF_Base!$L$19*DCF_Base!$B$29))/(1+$A$28/100)^DCF_Base!$L$4+Assumptions!$B$5-Assumptions!$B$4)/Assumptions!$B$3*Assumptions!$B$10</f>
        <v>8.57800081705095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2026-10-22T02:30:15Z</dcterms:created>
  <dc:creator>openpyxl</dc:creator>
  <dc:description/>
  <dc:language>en-NZ</dc:language>
  <cp:lastModifiedBy/>
  <dcterms:modified xsi:type="dcterms:W3CDTF">2026-10-22T02:30:15Z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