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<sst xmlns="http://schemas.openxmlformats.org/spreadsheetml/2006/main" count="354" uniqueCount="166">
  <si>
    <t xml:space="preserve">Ticker</t>
  </si>
  <si>
    <t xml:space="preserve">ULVR.L</t>
  </si>
  <si>
    <t xml:space="preserve">Company</t>
  </si>
  <si>
    <t xml:space="preserve">Unilever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</si>
  <si>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</si>
  <si>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</si>
  <si>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</si>
  <si>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</si>
  <si>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2026-10-09T16:15:00Z regular close (LSE); 52-week range 3,644-5,542p</t>
  </si>
  <si>
    <t xml:space="preserve">Balance sheet date</t>
  </si>
  <si>
    <t xml:space="preserve">2025-12-31</t>
  </si>
  <si>
    <t xml:space="preserve">Model</t>
  </si>
  <si>
    <t xml:space="preserve">owner_fcf_dcf_component</t>
  </si>
  <si>
    <t xml:space="preserve">Currency (model)</t>
  </si>
  <si>
    <t xml:space="preserve">EUR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</si>
  <si>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</si>
  <si>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</si>
  <si>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</si>
  <si>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</si>
  <si>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</si>
  <si>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</si>
  <si>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</si>
  <si>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2026-10-10T01:43:51Z</t>
  </si>
  <si>
    <t xml:space="preserve">Drivers file</t>
  </si>
  <si>
    <t xml:space="preserve">ULVR.L_Drivers.json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</si>
  <si>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</si>
  <si>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</si>
  <si>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</si>
  <si>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Unilever is valued as a mature, defensive compounder of owner free cash flow: statutory (not 'underlying') margins so that the EUR 1bn/yr of chronic restructuring is charged, SBC expensed with a flat share count, leases charged as operating cost, NCI leakage charged in the flows rather than deducted at book, and non-operating assets (TMICC stake, JV portfolio) added once in the bridge with the pension surplus conservatively ignored. Flows are EUR and discounted at a EUR WACC of 7%; per-share values are converted to pence at a dated, parity-checked rate. Terminal value is capped at 20x owner FCF in every scenario, so the valuation does not lean on a Gordon multiple above what a buyer pays for staples. The 15% hurdle entry price sits far below intrinsic value, as it must for a 7%-WACC asset growing 3%: the gap is the price of demanding 15% from a staple, not a model fault.
key_risks_to_valuation: EUR translation: 59% of turnover is emerging-market; each 1pp of sustained FX drag on reported growth is worth roughly 3-4% of value. The bear/base/bull growth spread is mostly FX, not USG.; Foods/McCormick RMT (close mid-2027): treated as value-neutral. Antitrust delay, a worse exchange ratio, stranded costs or a dis-synergy from losing Foods' scale in distribution would make it value-destructive; a successful pure-play re-rating is upside not in the flows.; Restructuring treated as permanent (~2pp of turnover). If Unilever genuinely stops restructuring after the Foods separation, pre-SBC EBITDA is ~1.5-2pp higher than base - roughly the bull margin.; Anchor vintage: net debt and share count are 2025-12-31; H1 2026 net debt was EUR 26.0bn (seasonal peak, buyback, M&amp;A). Refresh both anchors together when the interim is extracted (~2.5% each way).; Terminal value is ~63-65% of EV at the 20x cap; a 15x exit (where Unilever has traded in weak years) would take ~20% off every scenario.; NCI leakage held at 8.5% of profit; HUL/Indonesia outgrowing the group raises leakage, bolt-ons in the US lower it.; Pension surplus (EUR 4.5bn gross, ~EUR 3.5bn net) excluded from the bridge: up to ~EUR 1.6/share of conservatism.</t>
  </si>
  <si>
    <t xml:space="preserve">Data sources</t>
  </si>
  <si>
    <t xml:space="preserve">price: Yahoo Finance chart API (ULVR.L) at inputs.price_as_of; 52-week range 3,644-5,542p. FX from Yahoo EURGBP=X on the same date; parity checked against UNA.AS (EUR) and UL (USD) closes.
financials: research/ULVR.L/Reports/ULVR.L_Metrics.csv (FY2019-FY2025, EUR millions; FY2025 continuing operations) derived from core_metrics; component lines read from research/ULVR.L/Extracted/ULVR.L_Annual_FY2025.txt: income statement (l.9345-9377), cash flow statement (l.9585-9636), balance sheet (l.9516-9557), net debt reconciliation (l.2950-2968), note 7 share counts (l.10998-11004), note 10B leased assets (l.11350-11399), share capital (l.4455-4471).
qualitative: research/ULVR.L/Reports/ULVR.L_Analysis.json (2026-10-10): business model, Power Brands, FY2026 guidance as raised at H1 2026, McCormick RMT terms, TMICC demerger, bull/bear cases.</t>
  </si>
  <si>
    <t xml:space="preserve">Scenario narrative: bear</t>
  </si>
  <si>
    <t xml:space="preserve">Subdued EM markets, 3-4pp EUR drag, private-label pressure, restructuring and separation costs persist, RMT delays, TMICC sold below carrying value; reported growth 0-2%, pre-SBC EBITDA 20.5%. Not a solvency case.</t>
  </si>
  <si>
    <t xml:space="preserve">Scenario narrative: base</t>
  </si>
  <si>
    <t xml:space="preserve">Volume-led 4% USG at the bottom of the range, ~1pp of structural EUR translation drag, UOM edging up from 20.0% with ~EUR 1bn/yr of restructuring treated as a real cost, Foods/McCormick RMT value-neutral. Pre-SBC EBITDA 21.1% -&gt; 22.0% by FY2030; owner-FCF margin ~11% of turnover.</t>
  </si>
  <si>
    <t xml:space="preserve">Scenario narrative: bull</t>
  </si>
  <si>
    <t xml:space="preserve">US/India and premium Beauty bolt-ons lift USG to 5-6% with neutral FX; gross margin to 48-49% and restructuring fades post-separation; pre-SBC EBITDA 23.5%; focused HPC/Beauty Unilever earns a peer multiple (the re-rating is outside the flows).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</si>
  <si>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</si>
  <si>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</si>
  <si>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</si>
  <si>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</si>
  <si>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</si>
  <si>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</si>
  <si>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</si>
  <si>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</si>
  <si>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</si>
  <si>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</si>
  <si>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</si>
  <si>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</si>
  <si>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</si>
  <si>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</si>
  <si>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</si>
  <si>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</si>
  <si>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</si>
  <si>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</si>
  <si>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</si>
  <si>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</si>
  <si>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</si>
  <si>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</si>
  <si>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</si>
  <si>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</si>
  <si>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</si>
  <si>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</si>
  <si>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</si>
  <si>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NetIncomeContinuing</t>
  </si>
  <si>
    <t xml:space="preserve">NonControllingInterestProfit</t>
  </si>
  <si>
    <t xml:space="preserve">PurchaseOfIntangibles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</si>
  <si>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</si>
  <si>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</si>
  <si>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</si>
  <si>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</si>
  <si>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</si>
  <si>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</si>
  <si>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</si>
  <si>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</si>
  <si>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</si>
  <si>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</si>
  <si>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</si>
  <si>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</si>
  <si>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</si>
  <si>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</si>
  <si>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</si>
  <si>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</si>
  <si>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</si>
  <si>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EUR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</si>
  <si>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</si>
  <si>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</si>
  <si>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</si>
  <si>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</si>
  <si>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</si>
  <si>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</si>
  <si>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</si>
  <si>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</si>
  <si>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</si>
  <si>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</si>
  <si>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</si>
  <si>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</si>
  <si>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</si>
  <si>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</si>
  <si>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</si>
  <si>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</si>
  <si>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</si>
  <si>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</si>
  <si>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</si>
  <si>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</si>
  <si>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</si>
  <si>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</si>
  <si>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</si>
  <si>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</si>
  <si>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</si>
  <si>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</si>
  <si>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ULVR.L owner-FCF component DCF: bear case (millions, EUR)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</si>
  <si>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</si>
  <si>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</si>
  <si>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</si>
  <si>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</si>
  <si>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</si>
  <si>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</si>
  <si>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</si>
  <si>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</si>
  <si>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</si>
  <si>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</si>
  <si>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</si>
  <si>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</si>
  <si>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</si>
  <si>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</si>
  <si>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</si>
  <si>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</si>
  <si>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</si>
  <si>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</si>
  <si>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</si>
  <si>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</si>
  <si>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</si>
  <si>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</si>
  <si>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</si>
  <si>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</si>
  <si>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</si>
  <si>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</si>
  <si>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</si>
  <si>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</si>
  <si>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</si>
  <si>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</si>
  <si>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ULVR.L owner-FCF component DCF: base case (millions, EUR)</t>
  </si>
  <si>
    <t xml:space="preserve">ULVR.L owner-FCF component DCF: bull case (millions, EUR)</t>
  </si>
  <si>
    <t xml:space="preserve">ULVR.L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</si>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</sst>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4673.5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</row>
    <row r="2" customFormat="false" ht="15" hidden="false" customHeight="false" outlineLevel="0" collapsed="false">
      <c r="A2" s="0" t="s">
        <v>67</v>
      </c>
      <c r="B2" s="0" t="n">
        <v>51980</v>
      </c>
      <c r="C2" s="0" t="n">
        <v>29102</v>
      </c>
      <c r="D2" s="0" t="n">
        <v>22878</v>
      </c>
      <c r="E2" s="0" t="n">
        <v>44</v>
      </c>
      <c r="F2" s="0" t="n">
        <v>8708</v>
      </c>
      <c r="G2" s="0" t="n">
        <v>16.8</v>
      </c>
      <c r="H2" s="0" t="n">
        <v>10690</v>
      </c>
      <c r="I2" s="0" t="n">
        <v>5625</v>
      </c>
      <c r="J2" s="0" t="n">
        <v>10.8</v>
      </c>
      <c r="K2" s="0" t="n">
        <v>2.41</v>
      </c>
      <c r="L2" s="0" t="n">
        <v>8109</v>
      </c>
      <c r="M2" s="0" t="n">
        <v>1526</v>
      </c>
      <c r="N2" s="0" t="n">
        <v>6583</v>
      </c>
      <c r="O2" s="0" t="n">
        <v>13192</v>
      </c>
      <c r="P2" s="0" t="n">
        <v>64806</v>
      </c>
      <c r="Q2" s="0" t="n">
        <v>50920</v>
      </c>
      <c r="R2" s="0" t="n">
        <v>28257</v>
      </c>
      <c r="S2" s="0" t="n">
        <v>4185</v>
      </c>
      <c r="T2" s="0" t="n">
        <v>2334.8</v>
      </c>
      <c r="U2" s="0" t="n">
        <v>151</v>
      </c>
      <c r="AA2" s="0" t="s">
        <v>18</v>
      </c>
      <c r="AB2" s="0" t="s">
        <v>14</v>
      </c>
      <c r="AD2" s="0" t="n">
        <v>401</v>
      </c>
      <c r="AE2" s="0" t="n">
        <v>210</v>
      </c>
    </row>
    <row r="3" customFormat="false" ht="15" hidden="false" customHeight="false" outlineLevel="0" collapsed="false">
      <c r="A3" s="0" t="s">
        <v>68</v>
      </c>
      <c r="B3" s="0" t="n">
        <v>50724</v>
      </c>
      <c r="C3" s="0" t="n">
        <v>28684</v>
      </c>
      <c r="D3" s="0" t="n">
        <v>22040</v>
      </c>
      <c r="E3" s="0" t="n">
        <v>43.5</v>
      </c>
      <c r="F3" s="0" t="n">
        <v>8303</v>
      </c>
      <c r="G3" s="0" t="n">
        <v>16.4</v>
      </c>
      <c r="H3" s="0" t="n">
        <v>10321</v>
      </c>
      <c r="I3" s="0" t="n">
        <v>5581</v>
      </c>
      <c r="J3" s="0" t="n">
        <v>11</v>
      </c>
      <c r="K3" s="0" t="n">
        <v>2.39</v>
      </c>
      <c r="L3" s="0" t="n">
        <v>9058</v>
      </c>
      <c r="M3" s="0" t="n">
        <v>1021</v>
      </c>
      <c r="N3" s="0" t="n">
        <v>8037</v>
      </c>
      <c r="O3" s="0" t="n">
        <v>15266</v>
      </c>
      <c r="P3" s="0" t="n">
        <v>67659</v>
      </c>
      <c r="Q3" s="0" t="n">
        <v>50004</v>
      </c>
      <c r="R3" s="0" t="n">
        <v>27305</v>
      </c>
      <c r="S3" s="0" t="n">
        <v>5548</v>
      </c>
      <c r="T3" s="0" t="n">
        <v>2337.6</v>
      </c>
      <c r="U3" s="0" t="n">
        <v>108</v>
      </c>
      <c r="AA3" s="0" t="s">
        <v>18</v>
      </c>
      <c r="AB3" s="0" t="s">
        <v>14</v>
      </c>
      <c r="AD3" s="0" t="n">
        <v>492</v>
      </c>
      <c r="AE3" s="0" t="n">
        <v>158</v>
      </c>
    </row>
    <row r="4" customFormat="false" ht="15" hidden="false" customHeight="false" outlineLevel="0" collapsed="false">
      <c r="A4" s="0" t="s">
        <v>69</v>
      </c>
      <c r="B4" s="0" t="n">
        <v>52444</v>
      </c>
      <c r="C4" s="0" t="n">
        <v>30259</v>
      </c>
      <c r="D4" s="0" t="n">
        <v>22185</v>
      </c>
      <c r="E4" s="0" t="n">
        <v>42.3</v>
      </c>
      <c r="F4" s="0" t="n">
        <v>8702</v>
      </c>
      <c r="G4" s="0" t="n">
        <v>16.6</v>
      </c>
      <c r="H4" s="0" t="n">
        <v>10465</v>
      </c>
      <c r="I4" s="0" t="n">
        <v>6049</v>
      </c>
      <c r="J4" s="0" t="n">
        <v>11.5</v>
      </c>
      <c r="K4" s="0" t="n">
        <v>2.61</v>
      </c>
      <c r="L4" s="0" t="n">
        <v>7972</v>
      </c>
      <c r="M4" s="0" t="n">
        <v>1340</v>
      </c>
      <c r="N4" s="0" t="n">
        <v>6632</v>
      </c>
      <c r="O4" s="0" t="n">
        <v>17107</v>
      </c>
      <c r="P4" s="0" t="n">
        <v>75095</v>
      </c>
      <c r="Q4" s="0" t="n">
        <v>55349</v>
      </c>
      <c r="R4" s="0" t="n">
        <v>30133</v>
      </c>
      <c r="S4" s="0" t="n">
        <v>3415</v>
      </c>
      <c r="T4" s="0" t="n">
        <v>2319.6</v>
      </c>
      <c r="U4" s="0" t="n">
        <v>161</v>
      </c>
      <c r="AA4" s="0" t="s">
        <v>18</v>
      </c>
      <c r="AB4" s="0" t="s">
        <v>14</v>
      </c>
      <c r="AD4" s="0" t="n">
        <v>572</v>
      </c>
      <c r="AE4" s="0" t="n">
        <v>232</v>
      </c>
    </row>
    <row r="5" customFormat="false" ht="15" hidden="false" customHeight="false" outlineLevel="0" collapsed="false">
      <c r="A5" s="0" t="s">
        <v>70</v>
      </c>
      <c r="B5" s="0" t="n">
        <v>60073</v>
      </c>
      <c r="C5" s="0" t="n">
        <v>35906</v>
      </c>
      <c r="D5" s="0" t="n">
        <v>24167</v>
      </c>
      <c r="E5" s="0" t="n">
        <v>40.2</v>
      </c>
      <c r="F5" s="0" t="n">
        <v>10755</v>
      </c>
      <c r="G5" s="0" t="n">
        <v>17.9</v>
      </c>
      <c r="H5" s="0" t="n">
        <v>12701</v>
      </c>
      <c r="I5" s="0" t="n">
        <v>7642</v>
      </c>
      <c r="J5" s="0" t="n">
        <v>12.7</v>
      </c>
      <c r="K5" s="0" t="n">
        <v>3.36</v>
      </c>
      <c r="L5" s="0" t="n">
        <v>7282</v>
      </c>
      <c r="M5" s="0" t="n">
        <v>1709</v>
      </c>
      <c r="N5" s="0" t="n">
        <v>5573</v>
      </c>
      <c r="O5" s="0" t="n">
        <v>19021</v>
      </c>
      <c r="P5" s="0" t="n">
        <v>77821</v>
      </c>
      <c r="Q5" s="0" t="n">
        <v>56120</v>
      </c>
      <c r="R5" s="0" t="n">
        <v>29488</v>
      </c>
      <c r="S5" s="0" t="n">
        <v>4326</v>
      </c>
      <c r="T5" s="0" t="n">
        <v>2275.4</v>
      </c>
      <c r="U5" s="0" t="n">
        <v>177</v>
      </c>
      <c r="AA5" s="0" t="s">
        <v>18</v>
      </c>
      <c r="AB5" s="0" t="s">
        <v>14</v>
      </c>
      <c r="AD5" s="0" t="n">
        <v>627</v>
      </c>
      <c r="AE5" s="0" t="n">
        <v>253</v>
      </c>
    </row>
    <row r="6" customFormat="false" ht="15" hidden="false" customHeight="false" outlineLevel="0" collapsed="false">
      <c r="A6" s="0" t="s">
        <v>71</v>
      </c>
      <c r="B6" s="0" t="n">
        <v>59604</v>
      </c>
      <c r="C6" s="0" t="n">
        <v>34429</v>
      </c>
      <c r="D6" s="0" t="n">
        <v>25175</v>
      </c>
      <c r="E6" s="0" t="n">
        <v>42.2</v>
      </c>
      <c r="F6" s="0" t="n">
        <v>9758</v>
      </c>
      <c r="G6" s="0" t="n">
        <v>16.4</v>
      </c>
      <c r="H6" s="0" t="n">
        <v>11337</v>
      </c>
      <c r="I6" s="0" t="n">
        <v>6487</v>
      </c>
      <c r="J6" s="0" t="n">
        <v>10.9</v>
      </c>
      <c r="K6" s="0" t="n">
        <v>2.88</v>
      </c>
      <c r="L6" s="0" t="n">
        <v>9426</v>
      </c>
      <c r="M6" s="0" t="n">
        <v>1745</v>
      </c>
      <c r="N6" s="0" t="n">
        <v>7681</v>
      </c>
      <c r="O6" s="0" t="n">
        <v>18102</v>
      </c>
      <c r="P6" s="0" t="n">
        <v>75266</v>
      </c>
      <c r="Q6" s="0" t="n">
        <v>54502</v>
      </c>
      <c r="R6" s="0" t="n">
        <v>29622</v>
      </c>
      <c r="S6" s="0" t="n">
        <v>4159</v>
      </c>
      <c r="T6" s="0" t="n">
        <v>2251</v>
      </c>
      <c r="U6" s="0" t="n">
        <v>212</v>
      </c>
      <c r="AA6" s="0" t="s">
        <v>18</v>
      </c>
      <c r="AB6" s="0" t="s">
        <v>14</v>
      </c>
      <c r="AC6" s="0" t="n">
        <v>6002</v>
      </c>
      <c r="AD6" s="0" t="n">
        <v>653</v>
      </c>
      <c r="AE6" s="0" t="n">
        <v>243</v>
      </c>
    </row>
    <row r="7" customFormat="false" ht="15" hidden="false" customHeight="false" outlineLevel="0" collapsed="false">
      <c r="A7" s="0" t="s">
        <v>72</v>
      </c>
      <c r="B7" s="0" t="n">
        <v>60761</v>
      </c>
      <c r="C7" s="0" t="n">
        <v>33391</v>
      </c>
      <c r="D7" s="0" t="n">
        <v>27370</v>
      </c>
      <c r="E7" s="0" t="n">
        <v>45</v>
      </c>
      <c r="F7" s="0" t="n">
        <v>9400</v>
      </c>
      <c r="G7" s="0" t="n">
        <v>15.5</v>
      </c>
      <c r="H7" s="0" t="n">
        <v>11157</v>
      </c>
      <c r="I7" s="0" t="n">
        <v>5744</v>
      </c>
      <c r="J7" s="0" t="n">
        <v>9.5</v>
      </c>
      <c r="K7" s="0" t="n">
        <v>2.58</v>
      </c>
      <c r="L7" s="0" t="n">
        <v>9519</v>
      </c>
      <c r="M7" s="0" t="n">
        <v>1971</v>
      </c>
      <c r="N7" s="0" t="n">
        <v>7548</v>
      </c>
      <c r="O7" s="0" t="n">
        <v>19990</v>
      </c>
      <c r="P7" s="0" t="n">
        <v>79750</v>
      </c>
      <c r="Q7" s="0" t="n">
        <v>57195</v>
      </c>
      <c r="R7" s="0" t="n">
        <v>32053</v>
      </c>
      <c r="S7" s="0" t="n">
        <v>6136</v>
      </c>
      <c r="T7" s="0" t="n">
        <v>2228.5</v>
      </c>
      <c r="U7" s="0" t="n">
        <v>324</v>
      </c>
      <c r="AA7" s="0" t="s">
        <v>18</v>
      </c>
      <c r="AB7" s="0" t="s">
        <v>14</v>
      </c>
      <c r="AC7" s="0" t="n">
        <v>5430</v>
      </c>
      <c r="AD7" s="0" t="n">
        <v>625</v>
      </c>
      <c r="AE7" s="0" t="n">
        <v>233</v>
      </c>
    </row>
    <row r="8" customFormat="false" ht="15" hidden="false" customHeight="false" outlineLevel="0" collapsed="false">
      <c r="A8" s="0" t="s">
        <v>73</v>
      </c>
      <c r="B8" s="0" t="n">
        <v>50503</v>
      </c>
      <c r="C8" s="0" t="n">
        <v>26794</v>
      </c>
      <c r="D8" s="0" t="n">
        <v>23709</v>
      </c>
      <c r="E8" s="0" t="n">
        <v>46.9</v>
      </c>
      <c r="F8" s="0" t="n">
        <v>9037</v>
      </c>
      <c r="G8" s="0" t="n">
        <v>17.9</v>
      </c>
      <c r="H8" s="0" t="n">
        <v>10390</v>
      </c>
      <c r="I8" s="0" t="n">
        <v>9469</v>
      </c>
      <c r="J8" s="0" t="n">
        <v>18.7</v>
      </c>
      <c r="K8" s="0" t="n">
        <v>4.32</v>
      </c>
      <c r="L8" s="0" t="n">
        <v>8052</v>
      </c>
      <c r="M8" s="0" t="n">
        <v>1591</v>
      </c>
      <c r="N8" s="0" t="n">
        <v>6461</v>
      </c>
      <c r="O8" s="0" t="n">
        <v>15530</v>
      </c>
      <c r="P8" s="0" t="n">
        <v>70471</v>
      </c>
      <c r="Q8" s="0" t="n">
        <v>52884</v>
      </c>
      <c r="R8" s="0" t="n">
        <v>28278</v>
      </c>
      <c r="S8" s="0" t="n">
        <v>3941</v>
      </c>
      <c r="T8" s="0" t="n">
        <v>2195.3</v>
      </c>
      <c r="U8" s="0" t="n">
        <v>255</v>
      </c>
      <c r="X8" s="0" t="n">
        <v>50503</v>
      </c>
      <c r="AA8" s="0" t="s">
        <v>18</v>
      </c>
      <c r="AB8" s="0" t="s">
        <v>14</v>
      </c>
      <c r="AC8" s="0" t="n">
        <v>5682</v>
      </c>
      <c r="AD8" s="0" t="n">
        <v>542</v>
      </c>
      <c r="AE8" s="0" t="n">
        <v>174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4673.5</v>
      </c>
    </row>
    <row r="3" customFormat="false" ht="15" hidden="false" customHeight="false" outlineLevel="0" collapsed="false">
      <c r="A3" s="0" t="s">
        <v>77</v>
      </c>
      <c r="B3" s="3" t="n">
        <v>2192.3</v>
      </c>
    </row>
    <row r="4" customFormat="false" ht="15" hidden="false" customHeight="false" outlineLevel="0" collapsed="false">
      <c r="A4" s="0" t="s">
        <v>78</v>
      </c>
      <c r="B4" s="3" t="n">
        <v>21750</v>
      </c>
    </row>
    <row r="5" customFormat="false" ht="15" hidden="false" customHeight="false" outlineLevel="0" collapsed="false">
      <c r="A5" s="0" t="s">
        <v>79</v>
      </c>
      <c r="B5" s="3" t="n">
        <v>5825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50503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84.61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0.5</v>
      </c>
      <c r="D13" s="3" t="n">
        <v>1.5</v>
      </c>
      <c r="E13" s="3" t="n">
        <v>2</v>
      </c>
      <c r="F13" s="3" t="n">
        <v>2</v>
      </c>
      <c r="G13" s="3" t="n">
        <v>2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98</v>
      </c>
      <c r="C14" s="3" t="n">
        <v>21</v>
      </c>
      <c r="D14" s="3" t="n">
        <v>20.8</v>
      </c>
      <c r="E14" s="3" t="n">
        <v>20.6</v>
      </c>
      <c r="F14" s="3" t="n">
        <v>20.5</v>
      </c>
      <c r="G14" s="3" t="n">
        <v>20.5</v>
      </c>
      <c r="H14" s="3" t="n">
        <v>20.5</v>
      </c>
      <c r="I14" s="3" t="n">
        <v>20.5</v>
      </c>
      <c r="J14" s="3" t="n">
        <v>20.5</v>
      </c>
      <c r="K14" s="3" t="n">
        <v>20.5</v>
      </c>
      <c r="L14" s="3" t="n">
        <v>20.5</v>
      </c>
    </row>
    <row r="15" customFormat="false" ht="15" hidden="false" customHeight="false" outlineLevel="0" collapsed="false">
      <c r="A15" s="0" t="s">
        <v>99</v>
      </c>
      <c r="C15" s="3" t="n">
        <v>0.5</v>
      </c>
      <c r="D15" s="3" t="n">
        <v>0.5</v>
      </c>
      <c r="E15" s="3" t="n">
        <v>0.5</v>
      </c>
      <c r="F15" s="3" t="n">
        <v>0.5</v>
      </c>
      <c r="G15" s="3" t="n">
        <v>0.5</v>
      </c>
      <c r="H15" s="3" t="n">
        <v>0.5</v>
      </c>
      <c r="I15" s="3" t="n">
        <v>0.5</v>
      </c>
      <c r="J15" s="3" t="n">
        <v>0.5</v>
      </c>
      <c r="K15" s="3" t="n">
        <v>0.5</v>
      </c>
      <c r="L15" s="3" t="n">
        <v>0.5</v>
      </c>
    </row>
    <row r="16" customFormat="false" ht="15" hidden="false" customHeight="false" outlineLevel="0" collapsed="false">
      <c r="A16" s="0" t="s">
        <v>100</v>
      </c>
      <c r="C16" s="3" t="n">
        <v>0.75</v>
      </c>
      <c r="D16" s="3" t="n">
        <v>0.75</v>
      </c>
      <c r="E16" s="3" t="n">
        <v>0.75</v>
      </c>
      <c r="F16" s="3" t="n">
        <v>0.75</v>
      </c>
      <c r="G16" s="3" t="n">
        <v>0.75</v>
      </c>
      <c r="H16" s="3" t="n">
        <v>0.75</v>
      </c>
      <c r="I16" s="3" t="n">
        <v>0.75</v>
      </c>
      <c r="J16" s="3" t="n">
        <v>0.75</v>
      </c>
      <c r="K16" s="3" t="n">
        <v>0.75</v>
      </c>
      <c r="L16" s="3" t="n">
        <v>0.75</v>
      </c>
    </row>
    <row r="17" customFormat="false" ht="15" hidden="false" customHeight="false" outlineLevel="0" collapsed="false">
      <c r="A17" s="0" t="s">
        <v>101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102</v>
      </c>
      <c r="C18" s="3" t="n">
        <v>3.2</v>
      </c>
      <c r="D18" s="3" t="n">
        <v>3.2</v>
      </c>
      <c r="E18" s="3" t="n">
        <v>3.2</v>
      </c>
      <c r="F18" s="3" t="n">
        <v>3.1</v>
      </c>
      <c r="G18" s="3" t="n">
        <v>3.1</v>
      </c>
      <c r="H18" s="3" t="n">
        <v>3.1</v>
      </c>
      <c r="I18" s="3" t="n">
        <v>3.1</v>
      </c>
      <c r="J18" s="3" t="n">
        <v>3.1</v>
      </c>
      <c r="K18" s="3" t="n">
        <v>3.1</v>
      </c>
      <c r="L18" s="3" t="n">
        <v>3.1</v>
      </c>
    </row>
    <row r="19" customFormat="false" ht="15" hidden="false" customHeight="false" outlineLevel="0" collapsed="false">
      <c r="A19" s="0" t="s">
        <v>103</v>
      </c>
      <c r="C19" s="3" t="n">
        <v>33</v>
      </c>
      <c r="D19" s="3" t="n">
        <v>33</v>
      </c>
      <c r="E19" s="3" t="n">
        <v>33</v>
      </c>
      <c r="F19" s="3" t="n">
        <v>33</v>
      </c>
      <c r="G19" s="3" t="n">
        <v>33</v>
      </c>
      <c r="H19" s="3" t="n">
        <v>33</v>
      </c>
      <c r="I19" s="3" t="n">
        <v>33</v>
      </c>
      <c r="J19" s="3" t="n">
        <v>33</v>
      </c>
      <c r="K19" s="3" t="n">
        <v>33</v>
      </c>
      <c r="L19" s="3" t="n">
        <v>33</v>
      </c>
    </row>
    <row r="20" customFormat="false" ht="15" hidden="false" customHeight="false" outlineLevel="0" collapsed="false">
      <c r="A20" s="0" t="s">
        <v>104</v>
      </c>
      <c r="B20" s="3" t="n">
        <v>7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20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2.5</v>
      </c>
      <c r="D27" s="3" t="n">
        <v>3.5</v>
      </c>
      <c r="E27" s="3" t="n">
        <v>3.5</v>
      </c>
      <c r="F27" s="3" t="n">
        <v>3.5</v>
      </c>
      <c r="G27" s="3" t="n">
        <v>3.5</v>
      </c>
      <c r="H27" s="3" t="n">
        <v>3</v>
      </c>
      <c r="I27" s="3" t="n">
        <v>3</v>
      </c>
      <c r="J27" s="3" t="n">
        <v>2.75</v>
      </c>
      <c r="K27" s="3" t="n">
        <v>2.5</v>
      </c>
      <c r="L27" s="3" t="n">
        <v>2.5</v>
      </c>
    </row>
    <row r="28" customFormat="false" ht="15" hidden="false" customHeight="false" outlineLevel="0" collapsed="false">
      <c r="A28" s="0" t="s">
        <v>98</v>
      </c>
      <c r="C28" s="3" t="n">
        <v>21.3</v>
      </c>
      <c r="D28" s="3" t="n">
        <v>21.5</v>
      </c>
      <c r="E28" s="3" t="n">
        <v>21.7</v>
      </c>
      <c r="F28" s="3" t="n">
        <v>21.9</v>
      </c>
      <c r="G28" s="3" t="n">
        <v>22</v>
      </c>
      <c r="H28" s="3" t="n">
        <v>22</v>
      </c>
      <c r="I28" s="3" t="n">
        <v>22</v>
      </c>
      <c r="J28" s="3" t="n">
        <v>22</v>
      </c>
      <c r="K28" s="3" t="n">
        <v>22</v>
      </c>
      <c r="L28" s="3" t="n">
        <v>22</v>
      </c>
    </row>
    <row r="29" customFormat="false" ht="15" hidden="false" customHeight="false" outlineLevel="0" collapsed="false">
      <c r="A29" s="0" t="s">
        <v>99</v>
      </c>
      <c r="C29" s="3" t="n">
        <v>0.5</v>
      </c>
      <c r="D29" s="3" t="n">
        <v>0.5</v>
      </c>
      <c r="E29" s="3" t="n">
        <v>0.5</v>
      </c>
      <c r="F29" s="3" t="n">
        <v>0.5</v>
      </c>
      <c r="G29" s="3" t="n">
        <v>0.5</v>
      </c>
      <c r="H29" s="3" t="n">
        <v>0.5</v>
      </c>
      <c r="I29" s="3" t="n">
        <v>0.5</v>
      </c>
      <c r="J29" s="3" t="n">
        <v>0.5</v>
      </c>
      <c r="K29" s="3" t="n">
        <v>0.5</v>
      </c>
      <c r="L29" s="3" t="n">
        <v>0.5</v>
      </c>
    </row>
    <row r="30" customFormat="false" ht="15" hidden="false" customHeight="false" outlineLevel="0" collapsed="false">
      <c r="A30" s="0" t="s">
        <v>100</v>
      </c>
      <c r="C30" s="3" t="n">
        <v>0.75</v>
      </c>
      <c r="D30" s="3" t="n">
        <v>0.75</v>
      </c>
      <c r="E30" s="3" t="n">
        <v>0.75</v>
      </c>
      <c r="F30" s="3" t="n">
        <v>0.75</v>
      </c>
      <c r="G30" s="3" t="n">
        <v>0.75</v>
      </c>
      <c r="H30" s="3" t="n">
        <v>0.75</v>
      </c>
      <c r="I30" s="3" t="n">
        <v>0.75</v>
      </c>
      <c r="J30" s="3" t="n">
        <v>0.75</v>
      </c>
      <c r="K30" s="3" t="n">
        <v>0.75</v>
      </c>
      <c r="L30" s="3" t="n">
        <v>0.75</v>
      </c>
    </row>
    <row r="31" customFormat="false" ht="15" hidden="false" customHeight="false" outlineLevel="0" collapsed="false">
      <c r="A31" s="0" t="s">
        <v>101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102</v>
      </c>
      <c r="C32" s="3" t="n">
        <v>3.1</v>
      </c>
      <c r="D32" s="3" t="n">
        <v>3.1</v>
      </c>
      <c r="E32" s="3" t="n">
        <v>3.1</v>
      </c>
      <c r="F32" s="3" t="n">
        <v>3.1</v>
      </c>
      <c r="G32" s="3" t="n">
        <v>3.1</v>
      </c>
      <c r="H32" s="3" t="n">
        <v>3</v>
      </c>
      <c r="I32" s="3" t="n">
        <v>3</v>
      </c>
      <c r="J32" s="3" t="n">
        <v>3</v>
      </c>
      <c r="K32" s="3" t="n">
        <v>3</v>
      </c>
      <c r="L32" s="3" t="n">
        <v>3</v>
      </c>
    </row>
    <row r="33" customFormat="false" ht="15" hidden="false" customHeight="false" outlineLevel="0" collapsed="false">
      <c r="A33" s="0" t="s">
        <v>103</v>
      </c>
      <c r="C33" s="3" t="n">
        <v>33</v>
      </c>
      <c r="D33" s="3" t="n">
        <v>33</v>
      </c>
      <c r="E33" s="3" t="n">
        <v>33</v>
      </c>
      <c r="F33" s="3" t="n">
        <v>33</v>
      </c>
      <c r="G33" s="3" t="n">
        <v>33</v>
      </c>
      <c r="H33" s="3" t="n">
        <v>33</v>
      </c>
      <c r="I33" s="3" t="n">
        <v>33</v>
      </c>
      <c r="J33" s="3" t="n">
        <v>33</v>
      </c>
      <c r="K33" s="3" t="n">
        <v>33</v>
      </c>
      <c r="L33" s="3" t="n">
        <v>33</v>
      </c>
    </row>
    <row r="34" customFormat="false" ht="15" hidden="false" customHeight="false" outlineLevel="0" collapsed="false">
      <c r="A34" s="0" t="s">
        <v>104</v>
      </c>
      <c r="B34" s="3" t="n">
        <v>7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20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3.5</v>
      </c>
      <c r="D41" s="3" t="n">
        <v>5</v>
      </c>
      <c r="E41" s="3" t="n">
        <v>5</v>
      </c>
      <c r="F41" s="3" t="n">
        <v>5</v>
      </c>
      <c r="G41" s="3" t="n">
        <v>4.5</v>
      </c>
      <c r="H41" s="3" t="n">
        <v>4</v>
      </c>
      <c r="I41" s="3" t="n">
        <v>3.5</v>
      </c>
      <c r="J41" s="3" t="n">
        <v>3</v>
      </c>
      <c r="K41" s="3" t="n">
        <v>3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21.5</v>
      </c>
      <c r="D42" s="3" t="n">
        <v>22</v>
      </c>
      <c r="E42" s="3" t="n">
        <v>22.5</v>
      </c>
      <c r="F42" s="3" t="n">
        <v>23</v>
      </c>
      <c r="G42" s="3" t="n">
        <v>23.5</v>
      </c>
      <c r="H42" s="3" t="n">
        <v>23.5</v>
      </c>
      <c r="I42" s="3" t="n">
        <v>23.5</v>
      </c>
      <c r="J42" s="3" t="n">
        <v>23.5</v>
      </c>
      <c r="K42" s="3" t="n">
        <v>23.5</v>
      </c>
      <c r="L42" s="3" t="n">
        <v>23.5</v>
      </c>
    </row>
    <row r="43" customFormat="false" ht="15" hidden="false" customHeight="false" outlineLevel="0" collapsed="false">
      <c r="A43" s="0" t="s">
        <v>99</v>
      </c>
      <c r="C43" s="3" t="n">
        <v>0.5</v>
      </c>
      <c r="D43" s="3" t="n">
        <v>0.5</v>
      </c>
      <c r="E43" s="3" t="n">
        <v>0.5</v>
      </c>
      <c r="F43" s="3" t="n">
        <v>0.5</v>
      </c>
      <c r="G43" s="3" t="n">
        <v>0.5</v>
      </c>
      <c r="H43" s="3" t="n">
        <v>0.5</v>
      </c>
      <c r="I43" s="3" t="n">
        <v>0.5</v>
      </c>
      <c r="J43" s="3" t="n">
        <v>0.5</v>
      </c>
      <c r="K43" s="3" t="n">
        <v>0.5</v>
      </c>
      <c r="L43" s="3" t="n">
        <v>0.5</v>
      </c>
    </row>
    <row r="44" customFormat="false" ht="15" hidden="false" customHeight="false" outlineLevel="0" collapsed="false">
      <c r="A44" s="0" t="s">
        <v>100</v>
      </c>
      <c r="C44" s="3" t="n">
        <v>0.75</v>
      </c>
      <c r="D44" s="3" t="n">
        <v>0.75</v>
      </c>
      <c r="E44" s="3" t="n">
        <v>0.75</v>
      </c>
      <c r="F44" s="3" t="n">
        <v>0.75</v>
      </c>
      <c r="G44" s="3" t="n">
        <v>0.75</v>
      </c>
      <c r="H44" s="3" t="n">
        <v>0.75</v>
      </c>
      <c r="I44" s="3" t="n">
        <v>0.75</v>
      </c>
      <c r="J44" s="3" t="n">
        <v>0.75</v>
      </c>
      <c r="K44" s="3" t="n">
        <v>0.75</v>
      </c>
      <c r="L44" s="3" t="n">
        <v>0.75</v>
      </c>
    </row>
    <row r="45" customFormat="false" ht="15" hidden="false" customHeight="false" outlineLevel="0" collapsed="false">
      <c r="A45" s="0" t="s">
        <v>101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102</v>
      </c>
      <c r="C46" s="3" t="n">
        <v>3.1</v>
      </c>
      <c r="D46" s="3" t="n">
        <v>3.1</v>
      </c>
      <c r="E46" s="3" t="n">
        <v>3</v>
      </c>
      <c r="F46" s="3" t="n">
        <v>3</v>
      </c>
      <c r="G46" s="3" t="n">
        <v>3</v>
      </c>
      <c r="H46" s="3" t="n">
        <v>3</v>
      </c>
      <c r="I46" s="3" t="n">
        <v>3</v>
      </c>
      <c r="J46" s="3" t="n">
        <v>3</v>
      </c>
      <c r="K46" s="3" t="n">
        <v>3</v>
      </c>
      <c r="L46" s="3" t="n">
        <v>3</v>
      </c>
    </row>
    <row r="47" customFormat="false" ht="15" hidden="false" customHeight="false" outlineLevel="0" collapsed="false">
      <c r="A47" s="0" t="s">
        <v>103</v>
      </c>
      <c r="C47" s="3" t="n">
        <v>33</v>
      </c>
      <c r="D47" s="3" t="n">
        <v>33</v>
      </c>
      <c r="E47" s="3" t="n">
        <v>33</v>
      </c>
      <c r="F47" s="3" t="n">
        <v>33</v>
      </c>
      <c r="G47" s="3" t="n">
        <v>33</v>
      </c>
      <c r="H47" s="3" t="n">
        <v>33</v>
      </c>
      <c r="I47" s="3" t="n">
        <v>33</v>
      </c>
      <c r="J47" s="3" t="n">
        <v>33</v>
      </c>
      <c r="K47" s="3" t="n">
        <v>33</v>
      </c>
      <c r="L47" s="3" t="n">
        <v>33</v>
      </c>
    </row>
    <row r="48" customFormat="false" ht="15" hidden="false" customHeight="false" outlineLevel="0" collapsed="false">
      <c r="A48" s="0" t="s">
        <v>104</v>
      </c>
      <c r="B48" s="3" t="n">
        <v>7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0.5</v>
      </c>
      <c r="D5" s="4" t="n">
        <f aca="false">Assumptions!D13</f>
        <v>1.5</v>
      </c>
      <c r="E5" s="4" t="n">
        <f aca="false">Assumptions!E13</f>
        <v>2</v>
      </c>
      <c r="F5" s="4" t="n">
        <f aca="false">Assumptions!F13</f>
        <v>2</v>
      </c>
      <c r="G5" s="4" t="n">
        <f aca="false">Assumptions!G13</f>
        <v>2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50755.515</v>
      </c>
      <c r="D6" s="0" t="n">
        <f aca="false">C6*(1+D5/100)</f>
        <v>51516.847725</v>
      </c>
      <c r="E6" s="0" t="n">
        <f aca="false">D6*(1+E5/100)</f>
        <v>52547.1846795</v>
      </c>
      <c r="F6" s="0" t="n">
        <f aca="false">E6*(1+F5/100)</f>
        <v>53598.12837309</v>
      </c>
      <c r="G6" s="0" t="n">
        <f aca="false">F6*(1+G5/100)</f>
        <v>54670.0909405518</v>
      </c>
      <c r="H6" s="0" t="n">
        <f aca="false">G6*(1+H5/100)</f>
        <v>55763.4927593628</v>
      </c>
      <c r="I6" s="0" t="n">
        <f aca="false">H6*(1+I5/100)</f>
        <v>56878.7626145501</v>
      </c>
      <c r="J6" s="0" t="n">
        <f aca="false">I6*(1+J5/100)</f>
        <v>58016.3378668411</v>
      </c>
      <c r="K6" s="0" t="n">
        <f aca="false">J6*(1+K5/100)</f>
        <v>59176.6646241779</v>
      </c>
      <c r="L6" s="0" t="n">
        <f aca="false">K6*(1+L5/100)</f>
        <v>60360.1979166615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21</v>
      </c>
      <c r="D7" s="4" t="n">
        <f aca="false">Assumptions!D14</f>
        <v>20.8</v>
      </c>
      <c r="E7" s="4" t="n">
        <f aca="false">Assumptions!E14</f>
        <v>20.6</v>
      </c>
      <c r="F7" s="4" t="n">
        <f aca="false">Assumptions!F14</f>
        <v>20.5</v>
      </c>
      <c r="G7" s="4" t="n">
        <f aca="false">Assumptions!G14</f>
        <v>20.5</v>
      </c>
      <c r="H7" s="4" t="n">
        <f aca="false">Assumptions!H14</f>
        <v>20.5</v>
      </c>
      <c r="I7" s="4" t="n">
        <f aca="false">Assumptions!I14</f>
        <v>20.5</v>
      </c>
      <c r="J7" s="4" t="n">
        <f aca="false">Assumptions!J14</f>
        <v>20.5</v>
      </c>
      <c r="K7" s="4" t="n">
        <f aca="false">Assumptions!K14</f>
        <v>20.5</v>
      </c>
      <c r="L7" s="4" t="n">
        <f aca="false">Assumptions!L14</f>
        <v>20.5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10658.65815</v>
      </c>
      <c r="D8" s="0" t="n">
        <f aca="false">D6*D7/100</f>
        <v>10715.5043268</v>
      </c>
      <c r="E8" s="0" t="n">
        <f aca="false">E6*E7/100</f>
        <v>10824.720043977</v>
      </c>
      <c r="F8" s="0" t="n">
        <f aca="false">F6*F7/100</f>
        <v>10987.6163164834</v>
      </c>
      <c r="G8" s="0" t="n">
        <f aca="false">G6*G7/100</f>
        <v>11207.3686428131</v>
      </c>
      <c r="H8" s="0" t="n">
        <f aca="false">H6*H7/100</f>
        <v>11431.5160156694</v>
      </c>
      <c r="I8" s="0" t="n">
        <f aca="false">I6*I7/100</f>
        <v>11660.1463359828</v>
      </c>
      <c r="J8" s="0" t="n">
        <f aca="false">J6*J7/100</f>
        <v>11893.3492627024</v>
      </c>
      <c r="K8" s="0" t="n">
        <f aca="false">K6*K7/100</f>
        <v>12131.2162479565</v>
      </c>
      <c r="L8" s="0" t="n">
        <f aca="false">L6*L7/100</f>
        <v>12373.8405729156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0.5</v>
      </c>
      <c r="D9" s="4" t="n">
        <f aca="false">Assumptions!D15</f>
        <v>0.5</v>
      </c>
      <c r="E9" s="4" t="n">
        <f aca="false">Assumptions!E15</f>
        <v>0.5</v>
      </c>
      <c r="F9" s="4" t="n">
        <f aca="false">Assumptions!F15</f>
        <v>0.5</v>
      </c>
      <c r="G9" s="4" t="n">
        <f aca="false">Assumptions!G15</f>
        <v>0.5</v>
      </c>
      <c r="H9" s="4" t="n">
        <f aca="false">Assumptions!H15</f>
        <v>0.5</v>
      </c>
      <c r="I9" s="4" t="n">
        <f aca="false">Assumptions!I15</f>
        <v>0.5</v>
      </c>
      <c r="J9" s="4" t="n">
        <f aca="false">Assumptions!J15</f>
        <v>0.5</v>
      </c>
      <c r="K9" s="4" t="n">
        <f aca="false">Assumptions!K15</f>
        <v>0.5</v>
      </c>
      <c r="L9" s="4" t="n">
        <f aca="false">Assumptions!L15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-253.777575</v>
      </c>
      <c r="D10" s="0" t="n">
        <f aca="false">-D6*D9/100</f>
        <v>-257.584238625</v>
      </c>
      <c r="E10" s="0" t="n">
        <f aca="false">-E6*E9/100</f>
        <v>-262.7359233975</v>
      </c>
      <c r="F10" s="0" t="n">
        <f aca="false">-F6*F9/100</f>
        <v>-267.99064186545</v>
      </c>
      <c r="G10" s="0" t="n">
        <f aca="false">-G6*G9/100</f>
        <v>-273.350454702759</v>
      </c>
      <c r="H10" s="0" t="n">
        <f aca="false">-H6*H9/100</f>
        <v>-278.817463796814</v>
      </c>
      <c r="I10" s="0" t="n">
        <f aca="false">-I6*I9/100</f>
        <v>-284.39381307275</v>
      </c>
      <c r="J10" s="0" t="n">
        <f aca="false">-J6*J9/100</f>
        <v>-290.081689334205</v>
      </c>
      <c r="K10" s="0" t="n">
        <f aca="false">-K6*K9/100</f>
        <v>-295.88332312089</v>
      </c>
      <c r="L10" s="0" t="n">
        <f aca="false">-L6*L9/100</f>
        <v>-301.800989583307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10024.2142125</v>
      </c>
      <c r="D11" s="0" t="n">
        <f aca="false">D8+D10+D24</f>
        <v>10071.5437302375</v>
      </c>
      <c r="E11" s="0" t="n">
        <f aca="false">E8+E10+E24</f>
        <v>10167.8802354832</v>
      </c>
      <c r="F11" s="0" t="n">
        <f aca="false">F8+F10+F24</f>
        <v>10317.6397118198</v>
      </c>
      <c r="G11" s="0" t="n">
        <f aca="false">G8+G10+G24</f>
        <v>10523.9925060562</v>
      </c>
      <c r="H11" s="0" t="n">
        <f aca="false">H8+H10+H24</f>
        <v>10734.4723561773</v>
      </c>
      <c r="I11" s="0" t="n">
        <f aca="false">I8+I10+I24</f>
        <v>10949.1618033009</v>
      </c>
      <c r="J11" s="0" t="n">
        <f aca="false">J8+J10+J24</f>
        <v>11168.1450393669</v>
      </c>
      <c r="K11" s="0" t="n">
        <f aca="false">K8+K10+K24</f>
        <v>11391.5079401542</v>
      </c>
      <c r="L11" s="0" t="n">
        <f aca="false">L8+L10+L24</f>
        <v>11619.3380989573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-1015.1103</v>
      </c>
      <c r="D12" s="4" t="n">
        <f aca="false">-D6*Assumptions!D17/100</f>
        <v>-1030.3369545</v>
      </c>
      <c r="E12" s="4" t="n">
        <f aca="false">-E6*Assumptions!E17/100</f>
        <v>-1050.94369359</v>
      </c>
      <c r="F12" s="4" t="n">
        <f aca="false">-F6*Assumptions!F17/100</f>
        <v>-1071.9625674618</v>
      </c>
      <c r="G12" s="4" t="n">
        <f aca="false">-G6*Assumptions!G17/100</f>
        <v>-1093.40181881104</v>
      </c>
      <c r="H12" s="4" t="n">
        <f aca="false">-H6*Assumptions!H17/100</f>
        <v>-1115.26985518726</v>
      </c>
      <c r="I12" s="4" t="n">
        <f aca="false">-I6*Assumptions!I17/100</f>
        <v>-1137.575252291</v>
      </c>
      <c r="J12" s="4" t="n">
        <f aca="false">-J6*Assumptions!J17/100</f>
        <v>-1160.32675733682</v>
      </c>
      <c r="K12" s="4" t="n">
        <f aca="false">-K6*Assumptions!K17/100</f>
        <v>-1183.53329248356</v>
      </c>
      <c r="L12" s="4" t="n">
        <f aca="false">-L6*Assumptions!L17/100</f>
        <v>-1207.20395833323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9009.1039125</v>
      </c>
      <c r="D13" s="0" t="n">
        <f aca="false">D11+D12</f>
        <v>9041.2067757375</v>
      </c>
      <c r="E13" s="0" t="n">
        <f aca="false">E11+E12</f>
        <v>9116.93654189325</v>
      </c>
      <c r="F13" s="0" t="n">
        <f aca="false">F11+F12</f>
        <v>9245.67714435802</v>
      </c>
      <c r="G13" s="0" t="n">
        <f aca="false">G11+G12</f>
        <v>9430.59068724519</v>
      </c>
      <c r="H13" s="0" t="n">
        <f aca="false">H11+H12</f>
        <v>9619.20250099009</v>
      </c>
      <c r="I13" s="0" t="n">
        <f aca="false">I11+I12</f>
        <v>9811.58655100989</v>
      </c>
      <c r="J13" s="0" t="n">
        <f aca="false">J11+J12</f>
        <v>10007.8182820301</v>
      </c>
      <c r="K13" s="0" t="n">
        <f aca="false">K11+K12</f>
        <v>10207.9746476707</v>
      </c>
      <c r="L13" s="0" t="n">
        <f aca="false">L11+L12</f>
        <v>10412.1341406241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33</v>
      </c>
      <c r="D14" s="4" t="n">
        <f aca="false">Assumptions!D19</f>
        <v>33</v>
      </c>
      <c r="E14" s="4" t="n">
        <f aca="false">Assumptions!E19</f>
        <v>33</v>
      </c>
      <c r="F14" s="4" t="n">
        <f aca="false">Assumptions!F19</f>
        <v>33</v>
      </c>
      <c r="G14" s="4" t="n">
        <f aca="false">Assumptions!G19</f>
        <v>33</v>
      </c>
      <c r="H14" s="4" t="n">
        <f aca="false">Assumptions!H19</f>
        <v>33</v>
      </c>
      <c r="I14" s="4" t="n">
        <f aca="false">Assumptions!I19</f>
        <v>33</v>
      </c>
      <c r="J14" s="4" t="n">
        <f aca="false">Assumptions!J19</f>
        <v>33</v>
      </c>
      <c r="K14" s="4" t="n">
        <f aca="false">Assumptions!K19</f>
        <v>33</v>
      </c>
      <c r="L14" s="4" t="n">
        <f aca="false">Assumptions!L19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6036.099621375</v>
      </c>
      <c r="D15" s="0" t="n">
        <f aca="false">D13-MAX(0,D13)*D14/100</f>
        <v>6057.60853974412</v>
      </c>
      <c r="E15" s="0" t="n">
        <f aca="false">E13-MAX(0,E13)*E14/100</f>
        <v>6108.34748306848</v>
      </c>
      <c r="F15" s="0" t="n">
        <f aca="false">F13-MAX(0,F13)*F14/100</f>
        <v>6194.60368671987</v>
      </c>
      <c r="G15" s="0" t="n">
        <f aca="false">G13-MAX(0,G13)*G14/100</f>
        <v>6318.49576045427</v>
      </c>
      <c r="H15" s="0" t="n">
        <f aca="false">H13-MAX(0,H13)*H14/100</f>
        <v>6444.86567566336</v>
      </c>
      <c r="I15" s="0" t="n">
        <f aca="false">I13-MAX(0,I13)*I14/100</f>
        <v>6573.76298917663</v>
      </c>
      <c r="J15" s="0" t="n">
        <f aca="false">J13-MAX(0,J13)*J14/100</f>
        <v>6705.23824896016</v>
      </c>
      <c r="K15" s="0" t="n">
        <f aca="false">K13-MAX(0,K13)*K14/100</f>
        <v>6839.34301393936</v>
      </c>
      <c r="L15" s="0" t="n">
        <f aca="false">L13-MAX(0,L13)*L14/100</f>
        <v>6976.12987421815</v>
      </c>
    </row>
    <row r="16" customFormat="false" ht="15" hidden="false" customHeight="false" outlineLevel="0" collapsed="false">
      <c r="A16" s="0" t="s">
        <v>119</v>
      </c>
      <c r="C16" s="0" t="n">
        <f aca="false">-C12</f>
        <v>1015.1103</v>
      </c>
      <c r="D16" s="0" t="n">
        <f aca="false">-D12</f>
        <v>1030.3369545</v>
      </c>
      <c r="E16" s="0" t="n">
        <f aca="false">-E12</f>
        <v>1050.94369359</v>
      </c>
      <c r="F16" s="0" t="n">
        <f aca="false">-F12</f>
        <v>1071.9625674618</v>
      </c>
      <c r="G16" s="0" t="n">
        <f aca="false">-G12</f>
        <v>1093.40181881104</v>
      </c>
      <c r="H16" s="0" t="n">
        <f aca="false">-H12</f>
        <v>1115.26985518726</v>
      </c>
      <c r="I16" s="0" t="n">
        <f aca="false">-I12</f>
        <v>1137.575252291</v>
      </c>
      <c r="J16" s="0" t="n">
        <f aca="false">-J12</f>
        <v>1160.32675733682</v>
      </c>
      <c r="K16" s="0" t="n">
        <f aca="false">-K12</f>
        <v>1183.53329248356</v>
      </c>
      <c r="L16" s="0" t="n">
        <f aca="false">-L12</f>
        <v>1207.20395833323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-1624.17648</v>
      </c>
      <c r="D17" s="4" t="n">
        <f aca="false">-D6*Assumptions!D18/100</f>
        <v>-1648.5391272</v>
      </c>
      <c r="E17" s="4" t="n">
        <f aca="false">-E6*Assumptions!E18/100</f>
        <v>-1681.509909744</v>
      </c>
      <c r="F17" s="4" t="n">
        <f aca="false">-F6*Assumptions!F18/100</f>
        <v>-1661.54197956579</v>
      </c>
      <c r="G17" s="4" t="n">
        <f aca="false">-G6*Assumptions!G18/100</f>
        <v>-1694.77281915711</v>
      </c>
      <c r="H17" s="4" t="n">
        <f aca="false">-H6*Assumptions!H18/100</f>
        <v>-1728.66827554025</v>
      </c>
      <c r="I17" s="4" t="n">
        <f aca="false">-I6*Assumptions!I18/100</f>
        <v>-1763.24164105105</v>
      </c>
      <c r="J17" s="4" t="n">
        <f aca="false">-J6*Assumptions!J18/100</f>
        <v>-1798.50647387207</v>
      </c>
      <c r="K17" s="4" t="n">
        <f aca="false">-K6*Assumptions!K18/100</f>
        <v>-1834.47660334952</v>
      </c>
      <c r="L17" s="4" t="n">
        <f aca="false">-L6*Assumptions!L18/100</f>
        <v>-1871.16613541651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5427.033441375</v>
      </c>
      <c r="D19" s="0" t="n">
        <f aca="false">D15+D16+D17+D18</f>
        <v>5439.40636704412</v>
      </c>
      <c r="E19" s="0" t="n">
        <f aca="false">E15+E16+E17+E18</f>
        <v>5477.78126691448</v>
      </c>
      <c r="F19" s="0" t="n">
        <f aca="false">F15+F16+F17+F18</f>
        <v>5605.02427461589</v>
      </c>
      <c r="G19" s="0" t="n">
        <f aca="false">G15+G16+G17+G18</f>
        <v>5717.12476010821</v>
      </c>
      <c r="H19" s="0" t="n">
        <f aca="false">H15+H16+H17+H18</f>
        <v>5831.46725531037</v>
      </c>
      <c r="I19" s="0" t="n">
        <f aca="false">I15+I16+I17+I18</f>
        <v>5948.09660041657</v>
      </c>
      <c r="J19" s="0" t="n">
        <f aca="false">J15+J16+J17+J18</f>
        <v>6067.05853242491</v>
      </c>
      <c r="K19" s="0" t="n">
        <f aca="false">K15+K16+K17+K18</f>
        <v>6188.3997030734</v>
      </c>
      <c r="L19" s="0" t="n">
        <f aca="false">L15+L16+L17+L18</f>
        <v>6312.16769713487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5071.99387044392</v>
      </c>
      <c r="D21" s="0" t="n">
        <f aca="false">D19*D20</f>
        <v>4750.98817979223</v>
      </c>
      <c r="E21" s="0" t="n">
        <f aca="false">E19*E20</f>
        <v>4471.50121825477</v>
      </c>
      <c r="F21" s="0" t="n">
        <f aca="false">F19*F20</f>
        <v>4276.04618251461</v>
      </c>
      <c r="G21" s="0" t="n">
        <f aca="false">G19*G20</f>
        <v>4076.23094034103</v>
      </c>
      <c r="H21" s="0" t="n">
        <f aca="false">H19*H20</f>
        <v>3885.75285901668</v>
      </c>
      <c r="I21" s="0" t="n">
        <f aca="false">I19*I20</f>
        <v>3704.17562261403</v>
      </c>
      <c r="J21" s="0" t="n">
        <f aca="false">J19*J20</f>
        <v>3531.08330380029</v>
      </c>
      <c r="K21" s="0" t="n">
        <f aca="false">K19*K20</f>
        <v>3366.07941109935</v>
      </c>
      <c r="L21" s="0" t="n">
        <f aca="false">L19*L20</f>
        <v>3208.78598067414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0.75</v>
      </c>
      <c r="D23" s="4" t="n">
        <f aca="false">Assumptions!D16</f>
        <v>0.75</v>
      </c>
      <c r="E23" s="4" t="n">
        <f aca="false">Assumptions!E16</f>
        <v>0.75</v>
      </c>
      <c r="F23" s="4" t="n">
        <f aca="false">Assumptions!F16</f>
        <v>0.75</v>
      </c>
      <c r="G23" s="4" t="n">
        <f aca="false">Assumptions!G16</f>
        <v>0.75</v>
      </c>
      <c r="H23" s="4" t="n">
        <f aca="false">Assumptions!H16</f>
        <v>0.75</v>
      </c>
      <c r="I23" s="4" t="n">
        <f aca="false">Assumptions!I16</f>
        <v>0.75</v>
      </c>
      <c r="J23" s="4" t="n">
        <f aca="false">Assumptions!J16</f>
        <v>0.75</v>
      </c>
      <c r="K23" s="4" t="n">
        <f aca="false">Assumptions!K16</f>
        <v>0.75</v>
      </c>
      <c r="L23" s="4" t="n">
        <f aca="false">Assumptions!L16</f>
        <v>0.75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-380.6663625</v>
      </c>
      <c r="D24" s="0" t="n">
        <f aca="false">-D6*D23/100</f>
        <v>-386.3763579375</v>
      </c>
      <c r="E24" s="0" t="n">
        <f aca="false">-E6*E23/100</f>
        <v>-394.10388509625</v>
      </c>
      <c r="F24" s="0" t="n">
        <f aca="false">-F6*F23/100</f>
        <v>-401.985962798175</v>
      </c>
      <c r="G24" s="0" t="n">
        <f aca="false">-G6*G23/100</f>
        <v>-410.025682054138</v>
      </c>
      <c r="H24" s="0" t="n">
        <f aca="false">-H6*H23/100</f>
        <v>-418.226195695221</v>
      </c>
      <c r="I24" s="0" t="n">
        <f aca="false">-I6*I23/100</f>
        <v>-426.590719609126</v>
      </c>
      <c r="J24" s="0" t="n">
        <f aca="false">-J6*J23/100</f>
        <v>-435.122534001308</v>
      </c>
      <c r="K24" s="0" t="n">
        <f aca="false">-K6*K23/100</f>
        <v>-443.824984681334</v>
      </c>
      <c r="L24" s="0" t="n">
        <f aca="false">-L6*L23/100</f>
        <v>-452.701484374961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40342.6375685511</v>
      </c>
    </row>
    <row r="31" customFormat="false" ht="15" hidden="false" customHeight="false" outlineLevel="0" collapsed="false">
      <c r="A31" s="0" t="s">
        <v>128</v>
      </c>
      <c r="B31" s="0" t="n">
        <f aca="false">L19</f>
        <v>6312.16769713487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128768.221021551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126243.353942697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126243.353942697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64175.7196134829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104518.357182034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88593.3571820339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3419.1871327701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-0.268388331492436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1922.05945345344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3129.77451617272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3614.15847436115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49526.2388544429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959.375832569563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2.5</v>
      </c>
      <c r="D5" s="4" t="n">
        <f aca="false">Assumptions!D27</f>
        <v>3.5</v>
      </c>
      <c r="E5" s="4" t="n">
        <f aca="false">Assumptions!E27</f>
        <v>3.5</v>
      </c>
      <c r="F5" s="4" t="n">
        <f aca="false">Assumptions!F27</f>
        <v>3.5</v>
      </c>
      <c r="G5" s="4" t="n">
        <f aca="false">Assumptions!G27</f>
        <v>3.5</v>
      </c>
      <c r="H5" s="4" t="n">
        <f aca="false">Assumptions!H27</f>
        <v>3</v>
      </c>
      <c r="I5" s="4" t="n">
        <f aca="false">Assumptions!I27</f>
        <v>3</v>
      </c>
      <c r="J5" s="4" t="n">
        <f aca="false">Assumptions!J27</f>
        <v>2.75</v>
      </c>
      <c r="K5" s="4" t="n">
        <f aca="false">Assumptions!K27</f>
        <v>2.5</v>
      </c>
      <c r="L5" s="4" t="n">
        <f aca="false">Assumptions!L27</f>
        <v>2.5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51765.575</v>
      </c>
      <c r="D6" s="0" t="n">
        <f aca="false">C6*(1+D5/100)</f>
        <v>53577.370125</v>
      </c>
      <c r="E6" s="0" t="n">
        <f aca="false">D6*(1+E5/100)</f>
        <v>55452.578079375</v>
      </c>
      <c r="F6" s="0" t="n">
        <f aca="false">E6*(1+F5/100)</f>
        <v>57393.4183121531</v>
      </c>
      <c r="G6" s="0" t="n">
        <f aca="false">F6*(1+G5/100)</f>
        <v>59402.1879530785</v>
      </c>
      <c r="H6" s="0" t="n">
        <f aca="false">G6*(1+H5/100)</f>
        <v>61184.2535916708</v>
      </c>
      <c r="I6" s="0" t="n">
        <f aca="false">H6*(1+I5/100)</f>
        <v>63019.781199421</v>
      </c>
      <c r="J6" s="0" t="n">
        <f aca="false">I6*(1+J5/100)</f>
        <v>64752.825182405</v>
      </c>
      <c r="K6" s="0" t="n">
        <f aca="false">J6*(1+K5/100)</f>
        <v>66371.6458119652</v>
      </c>
      <c r="L6" s="0" t="n">
        <f aca="false">K6*(1+L5/100)</f>
        <v>68030.9369572643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21.3</v>
      </c>
      <c r="D7" s="4" t="n">
        <f aca="false">Assumptions!D28</f>
        <v>21.5</v>
      </c>
      <c r="E7" s="4" t="n">
        <f aca="false">Assumptions!E28</f>
        <v>21.7</v>
      </c>
      <c r="F7" s="4" t="n">
        <f aca="false">Assumptions!F28</f>
        <v>21.9</v>
      </c>
      <c r="G7" s="4" t="n">
        <f aca="false">Assumptions!G28</f>
        <v>22</v>
      </c>
      <c r="H7" s="4" t="n">
        <f aca="false">Assumptions!H28</f>
        <v>22</v>
      </c>
      <c r="I7" s="4" t="n">
        <f aca="false">Assumptions!I28</f>
        <v>22</v>
      </c>
      <c r="J7" s="4" t="n">
        <f aca="false">Assumptions!J28</f>
        <v>22</v>
      </c>
      <c r="K7" s="4" t="n">
        <f aca="false">Assumptions!K28</f>
        <v>22</v>
      </c>
      <c r="L7" s="4" t="n">
        <f aca="false">Assumptions!L28</f>
        <v>22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11026.067475</v>
      </c>
      <c r="D8" s="0" t="n">
        <f aca="false">D6*D7/100</f>
        <v>11519.134576875</v>
      </c>
      <c r="E8" s="0" t="n">
        <f aca="false">E6*E7/100</f>
        <v>12033.2094432244</v>
      </c>
      <c r="F8" s="0" t="n">
        <f aca="false">F6*F7/100</f>
        <v>12569.1586103615</v>
      </c>
      <c r="G8" s="0" t="n">
        <f aca="false">G6*G7/100</f>
        <v>13068.4813496773</v>
      </c>
      <c r="H8" s="0" t="n">
        <f aca="false">H6*H7/100</f>
        <v>13460.5357901676</v>
      </c>
      <c r="I8" s="0" t="n">
        <f aca="false">I6*I7/100</f>
        <v>13864.3518638726</v>
      </c>
      <c r="J8" s="0" t="n">
        <f aca="false">J6*J7/100</f>
        <v>14245.6215401291</v>
      </c>
      <c r="K8" s="0" t="n">
        <f aca="false">K6*K7/100</f>
        <v>14601.7620786323</v>
      </c>
      <c r="L8" s="0" t="n">
        <f aca="false">L6*L7/100</f>
        <v>14966.8061305981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0.5</v>
      </c>
      <c r="D9" s="4" t="n">
        <f aca="false">Assumptions!D29</f>
        <v>0.5</v>
      </c>
      <c r="E9" s="4" t="n">
        <f aca="false">Assumptions!E29</f>
        <v>0.5</v>
      </c>
      <c r="F9" s="4" t="n">
        <f aca="false">Assumptions!F29</f>
        <v>0.5</v>
      </c>
      <c r="G9" s="4" t="n">
        <f aca="false">Assumptions!G29</f>
        <v>0.5</v>
      </c>
      <c r="H9" s="4" t="n">
        <f aca="false">Assumptions!H29</f>
        <v>0.5</v>
      </c>
      <c r="I9" s="4" t="n">
        <f aca="false">Assumptions!I29</f>
        <v>0.5</v>
      </c>
      <c r="J9" s="4" t="n">
        <f aca="false">Assumptions!J29</f>
        <v>0.5</v>
      </c>
      <c r="K9" s="4" t="n">
        <f aca="false">Assumptions!K29</f>
        <v>0.5</v>
      </c>
      <c r="L9" s="4" t="n">
        <f aca="false">Assumptions!L29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-258.827875</v>
      </c>
      <c r="D10" s="0" t="n">
        <f aca="false">-D6*D9/100</f>
        <v>-267.886850625</v>
      </c>
      <c r="E10" s="0" t="n">
        <f aca="false">-E6*E9/100</f>
        <v>-277.262890396875</v>
      </c>
      <c r="F10" s="0" t="n">
        <f aca="false">-F6*F9/100</f>
        <v>-286.967091560766</v>
      </c>
      <c r="G10" s="0" t="n">
        <f aca="false">-G6*G9/100</f>
        <v>-297.010939765392</v>
      </c>
      <c r="H10" s="0" t="n">
        <f aca="false">-H6*H9/100</f>
        <v>-305.921267958354</v>
      </c>
      <c r="I10" s="0" t="n">
        <f aca="false">-I6*I9/100</f>
        <v>-315.098905997105</v>
      </c>
      <c r="J10" s="0" t="n">
        <f aca="false">-J6*J9/100</f>
        <v>-323.764125912025</v>
      </c>
      <c r="K10" s="0" t="n">
        <f aca="false">-K6*K9/100</f>
        <v>-331.858229059826</v>
      </c>
      <c r="L10" s="0" t="n">
        <f aca="false">-L6*L9/100</f>
        <v>-340.154684786321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10378.9977875</v>
      </c>
      <c r="D11" s="0" t="n">
        <f aca="false">D8+D10+D24</f>
        <v>10849.4174503125</v>
      </c>
      <c r="E11" s="0" t="n">
        <f aca="false">E8+E10+E24</f>
        <v>11340.0522172322</v>
      </c>
      <c r="F11" s="0" t="n">
        <f aca="false">F8+F10+F24</f>
        <v>11851.7408814596</v>
      </c>
      <c r="G11" s="0" t="n">
        <f aca="false">G8+G10+G24</f>
        <v>12325.9540002638</v>
      </c>
      <c r="H11" s="0" t="n">
        <f aca="false">H8+H10+H24</f>
        <v>12695.7326202717</v>
      </c>
      <c r="I11" s="0" t="n">
        <f aca="false">I8+I10+I24</f>
        <v>13076.6045988798</v>
      </c>
      <c r="J11" s="0" t="n">
        <f aca="false">J8+J10+J24</f>
        <v>13436.211225349</v>
      </c>
      <c r="K11" s="0" t="n">
        <f aca="false">K8+K10+K24</f>
        <v>13772.1165059828</v>
      </c>
      <c r="L11" s="0" t="n">
        <f aca="false">L8+L10+L24</f>
        <v>14116.4194186323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-1035.3115</v>
      </c>
      <c r="D12" s="4" t="n">
        <f aca="false">-D6*Assumptions!D31/100</f>
        <v>-1071.5474025</v>
      </c>
      <c r="E12" s="4" t="n">
        <f aca="false">-E6*Assumptions!E31/100</f>
        <v>-1109.0515615875</v>
      </c>
      <c r="F12" s="4" t="n">
        <f aca="false">-F6*Assumptions!F31/100</f>
        <v>-1147.86836624306</v>
      </c>
      <c r="G12" s="4" t="n">
        <f aca="false">-G6*Assumptions!G31/100</f>
        <v>-1188.04375906157</v>
      </c>
      <c r="H12" s="4" t="n">
        <f aca="false">-H6*Assumptions!H31/100</f>
        <v>-1223.68507183342</v>
      </c>
      <c r="I12" s="4" t="n">
        <f aca="false">-I6*Assumptions!I31/100</f>
        <v>-1260.39562398842</v>
      </c>
      <c r="J12" s="4" t="n">
        <f aca="false">-J6*Assumptions!J31/100</f>
        <v>-1295.0565036481</v>
      </c>
      <c r="K12" s="4" t="n">
        <f aca="false">-K6*Assumptions!K31/100</f>
        <v>-1327.4329162393</v>
      </c>
      <c r="L12" s="4" t="n">
        <f aca="false">-L6*Assumptions!L31/100</f>
        <v>-1360.61873914529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9343.6862875</v>
      </c>
      <c r="D13" s="0" t="n">
        <f aca="false">D11+D12</f>
        <v>9777.8700478125</v>
      </c>
      <c r="E13" s="0" t="n">
        <f aca="false">E11+E12</f>
        <v>10231.0006556447</v>
      </c>
      <c r="F13" s="0" t="n">
        <f aca="false">F11+F12</f>
        <v>10703.8725152166</v>
      </c>
      <c r="G13" s="0" t="n">
        <f aca="false">G11+G12</f>
        <v>11137.9102412022</v>
      </c>
      <c r="H13" s="0" t="n">
        <f aca="false">H11+H12</f>
        <v>11472.0475484383</v>
      </c>
      <c r="I13" s="0" t="n">
        <f aca="false">I11+I12</f>
        <v>11816.2089748914</v>
      </c>
      <c r="J13" s="0" t="n">
        <f aca="false">J11+J12</f>
        <v>12141.1547217009</v>
      </c>
      <c r="K13" s="0" t="n">
        <f aca="false">K11+K12</f>
        <v>12444.6835897435</v>
      </c>
      <c r="L13" s="0" t="n">
        <f aca="false">L11+L12</f>
        <v>12755.8006794871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33</v>
      </c>
      <c r="D14" s="4" t="n">
        <f aca="false">Assumptions!D33</f>
        <v>33</v>
      </c>
      <c r="E14" s="4" t="n">
        <f aca="false">Assumptions!E33</f>
        <v>33</v>
      </c>
      <c r="F14" s="4" t="n">
        <f aca="false">Assumptions!F33</f>
        <v>33</v>
      </c>
      <c r="G14" s="4" t="n">
        <f aca="false">Assumptions!G33</f>
        <v>33</v>
      </c>
      <c r="H14" s="4" t="n">
        <f aca="false">Assumptions!H33</f>
        <v>33</v>
      </c>
      <c r="I14" s="4" t="n">
        <f aca="false">Assumptions!I33</f>
        <v>33</v>
      </c>
      <c r="J14" s="4" t="n">
        <f aca="false">Assumptions!J33</f>
        <v>33</v>
      </c>
      <c r="K14" s="4" t="n">
        <f aca="false">Assumptions!K33</f>
        <v>33</v>
      </c>
      <c r="L14" s="4" t="n">
        <f aca="false">Assumptions!L33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6260.269812625</v>
      </c>
      <c r="D15" s="0" t="n">
        <f aca="false">D13-MAX(0,D13)*D14/100</f>
        <v>6551.17293203438</v>
      </c>
      <c r="E15" s="0" t="n">
        <f aca="false">E13-MAX(0,E13)*E14/100</f>
        <v>6854.77043928194</v>
      </c>
      <c r="F15" s="0" t="n">
        <f aca="false">F13-MAX(0,F13)*F14/100</f>
        <v>7171.59458519509</v>
      </c>
      <c r="G15" s="0" t="n">
        <f aca="false">G13-MAX(0,G13)*G14/100</f>
        <v>7462.39986160548</v>
      </c>
      <c r="H15" s="0" t="n">
        <f aca="false">H13-MAX(0,H13)*H14/100</f>
        <v>7686.27185745365</v>
      </c>
      <c r="I15" s="0" t="n">
        <f aca="false">I13-MAX(0,I13)*I14/100</f>
        <v>7916.86001317726</v>
      </c>
      <c r="J15" s="0" t="n">
        <f aca="false">J13-MAX(0,J13)*J14/100</f>
        <v>8134.57366353963</v>
      </c>
      <c r="K15" s="0" t="n">
        <f aca="false">K13-MAX(0,K13)*K14/100</f>
        <v>8337.93800512812</v>
      </c>
      <c r="L15" s="0" t="n">
        <f aca="false">L13-MAX(0,L13)*L14/100</f>
        <v>8546.38645525633</v>
      </c>
    </row>
    <row r="16" customFormat="false" ht="15" hidden="false" customHeight="false" outlineLevel="0" collapsed="false">
      <c r="A16" s="0" t="s">
        <v>119</v>
      </c>
      <c r="C16" s="0" t="n">
        <f aca="false">-C12</f>
        <v>1035.3115</v>
      </c>
      <c r="D16" s="0" t="n">
        <f aca="false">-D12</f>
        <v>1071.5474025</v>
      </c>
      <c r="E16" s="0" t="n">
        <f aca="false">-E12</f>
        <v>1109.0515615875</v>
      </c>
      <c r="F16" s="0" t="n">
        <f aca="false">-F12</f>
        <v>1147.86836624306</v>
      </c>
      <c r="G16" s="0" t="n">
        <f aca="false">-G12</f>
        <v>1188.04375906157</v>
      </c>
      <c r="H16" s="0" t="n">
        <f aca="false">-H12</f>
        <v>1223.68507183342</v>
      </c>
      <c r="I16" s="0" t="n">
        <f aca="false">-I12</f>
        <v>1260.39562398842</v>
      </c>
      <c r="J16" s="0" t="n">
        <f aca="false">-J12</f>
        <v>1295.0565036481</v>
      </c>
      <c r="K16" s="0" t="n">
        <f aca="false">-K12</f>
        <v>1327.4329162393</v>
      </c>
      <c r="L16" s="0" t="n">
        <f aca="false">-L12</f>
        <v>1360.61873914529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-1604.732825</v>
      </c>
      <c r="D17" s="4" t="n">
        <f aca="false">-D6*Assumptions!D32/100</f>
        <v>-1660.898473875</v>
      </c>
      <c r="E17" s="4" t="n">
        <f aca="false">-E6*Assumptions!E32/100</f>
        <v>-1719.02992046062</v>
      </c>
      <c r="F17" s="4" t="n">
        <f aca="false">-F6*Assumptions!F32/100</f>
        <v>-1779.19596767675</v>
      </c>
      <c r="G17" s="4" t="n">
        <f aca="false">-G6*Assumptions!G32/100</f>
        <v>-1841.46782654543</v>
      </c>
      <c r="H17" s="4" t="n">
        <f aca="false">-H6*Assumptions!H32/100</f>
        <v>-1835.52760775012</v>
      </c>
      <c r="I17" s="4" t="n">
        <f aca="false">-I6*Assumptions!I32/100</f>
        <v>-1890.59343598263</v>
      </c>
      <c r="J17" s="4" t="n">
        <f aca="false">-J6*Assumptions!J32/100</f>
        <v>-1942.58475547215</v>
      </c>
      <c r="K17" s="4" t="n">
        <f aca="false">-K6*Assumptions!K32/100</f>
        <v>-1991.14937435895</v>
      </c>
      <c r="L17" s="4" t="n">
        <f aca="false">-L6*Assumptions!L32/100</f>
        <v>-2040.92810871793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5690.848487625</v>
      </c>
      <c r="D19" s="0" t="n">
        <f aca="false">D15+D16+D17+D18</f>
        <v>5961.82186065938</v>
      </c>
      <c r="E19" s="0" t="n">
        <f aca="false">E15+E16+E17+E18</f>
        <v>6244.79208040881</v>
      </c>
      <c r="F19" s="0" t="n">
        <f aca="false">F15+F16+F17+F18</f>
        <v>6540.26698376141</v>
      </c>
      <c r="G19" s="0" t="n">
        <f aca="false">G15+G16+G17+G18</f>
        <v>6808.97579412162</v>
      </c>
      <c r="H19" s="0" t="n">
        <f aca="false">H15+H16+H17+H18</f>
        <v>7074.42932153694</v>
      </c>
      <c r="I19" s="0" t="n">
        <f aca="false">I15+I16+I17+I18</f>
        <v>7286.66220118305</v>
      </c>
      <c r="J19" s="0" t="n">
        <f aca="false">J15+J16+J17+J18</f>
        <v>7487.04541171558</v>
      </c>
      <c r="K19" s="0" t="n">
        <f aca="false">K15+K16+K17+K18</f>
        <v>7674.22154700847</v>
      </c>
      <c r="L19" s="0" t="n">
        <f aca="false">L15+L16+L17+L18</f>
        <v>7866.07708568368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5318.54998843458</v>
      </c>
      <c r="D21" s="0" t="n">
        <f aca="false">D19*D20</f>
        <v>5207.28610416576</v>
      </c>
      <c r="E21" s="0" t="n">
        <f aca="false">E19*E20</f>
        <v>5097.61051686252</v>
      </c>
      <c r="F21" s="0" t="n">
        <f aca="false">F19*F20</f>
        <v>4989.53836742409</v>
      </c>
      <c r="G21" s="0" t="n">
        <f aca="false">G19*G20</f>
        <v>4854.70563764755</v>
      </c>
      <c r="H21" s="0" t="n">
        <f aca="false">H19*H20</f>
        <v>4713.99096634567</v>
      </c>
      <c r="I21" s="0" t="n">
        <f aca="false">I19*I20</f>
        <v>4537.76700498695</v>
      </c>
      <c r="J21" s="0" t="n">
        <f aca="false">J19*J20</f>
        <v>4357.52859591037</v>
      </c>
      <c r="K21" s="0" t="n">
        <f aca="false">K19*K20</f>
        <v>4174.26804748423</v>
      </c>
      <c r="L21" s="0" t="n">
        <f aca="false">L19*L20</f>
        <v>3998.71471838442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0.75</v>
      </c>
      <c r="D23" s="4" t="n">
        <f aca="false">Assumptions!D30</f>
        <v>0.75</v>
      </c>
      <c r="E23" s="4" t="n">
        <f aca="false">Assumptions!E30</f>
        <v>0.75</v>
      </c>
      <c r="F23" s="4" t="n">
        <f aca="false">Assumptions!F30</f>
        <v>0.75</v>
      </c>
      <c r="G23" s="4" t="n">
        <f aca="false">Assumptions!G30</f>
        <v>0.75</v>
      </c>
      <c r="H23" s="4" t="n">
        <f aca="false">Assumptions!H30</f>
        <v>0.75</v>
      </c>
      <c r="I23" s="4" t="n">
        <f aca="false">Assumptions!I30</f>
        <v>0.75</v>
      </c>
      <c r="J23" s="4" t="n">
        <f aca="false">Assumptions!J30</f>
        <v>0.75</v>
      </c>
      <c r="K23" s="4" t="n">
        <f aca="false">Assumptions!K30</f>
        <v>0.75</v>
      </c>
      <c r="L23" s="4" t="n">
        <f aca="false">Assumptions!L30</f>
        <v>0.75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-388.2418125</v>
      </c>
      <c r="D24" s="0" t="n">
        <f aca="false">-D6*D23/100</f>
        <v>-401.8302759375</v>
      </c>
      <c r="E24" s="0" t="n">
        <f aca="false">-E6*E23/100</f>
        <v>-415.894335595312</v>
      </c>
      <c r="F24" s="0" t="n">
        <f aca="false">-F6*F23/100</f>
        <v>-430.450637341148</v>
      </c>
      <c r="G24" s="0" t="n">
        <f aca="false">-G6*G23/100</f>
        <v>-445.516409648088</v>
      </c>
      <c r="H24" s="0" t="n">
        <f aca="false">-H6*H23/100</f>
        <v>-458.881901937531</v>
      </c>
      <c r="I24" s="0" t="n">
        <f aca="false">-I6*I23/100</f>
        <v>-472.648358995657</v>
      </c>
      <c r="J24" s="0" t="n">
        <f aca="false">-J6*J23/100</f>
        <v>-485.646188868038</v>
      </c>
      <c r="K24" s="0" t="n">
        <f aca="false">-K6*K23/100</f>
        <v>-497.787343589739</v>
      </c>
      <c r="L24" s="0" t="n">
        <f aca="false">-L6*L23/100</f>
        <v>-510.232027179482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47249.9599476461</v>
      </c>
    </row>
    <row r="31" customFormat="false" ht="15" hidden="false" customHeight="false" outlineLevel="0" collapsed="false">
      <c r="A31" s="0" t="s">
        <v>128</v>
      </c>
      <c r="B31" s="0" t="n">
        <f aca="false">L19</f>
        <v>7866.07708568368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179171.755840573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157321.541713674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157321.541713674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79974.2943676885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127224.254315335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111299.254315335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4295.50239822125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-0.0808810531247985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2074.83355571966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3938.67395684712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4527.58873249954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64501.8321026062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1276.59295905385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3.5</v>
      </c>
      <c r="D5" s="4" t="n">
        <f aca="false">Assumptions!D41</f>
        <v>5</v>
      </c>
      <c r="E5" s="4" t="n">
        <f aca="false">Assumptions!E41</f>
        <v>5</v>
      </c>
      <c r="F5" s="4" t="n">
        <f aca="false">Assumptions!F41</f>
        <v>5</v>
      </c>
      <c r="G5" s="4" t="n">
        <f aca="false">Assumptions!G41</f>
        <v>4.5</v>
      </c>
      <c r="H5" s="4" t="n">
        <f aca="false">Assumptions!H41</f>
        <v>4</v>
      </c>
      <c r="I5" s="4" t="n">
        <f aca="false">Assumptions!I41</f>
        <v>3.5</v>
      </c>
      <c r="J5" s="4" t="n">
        <f aca="false">Assumptions!J41</f>
        <v>3</v>
      </c>
      <c r="K5" s="4" t="n">
        <f aca="false">Assumptions!K41</f>
        <v>3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38</v>
      </c>
      <c r="B6" s="3" t="n">
        <v>50503</v>
      </c>
      <c r="C6" s="0" t="n">
        <f aca="false">B6*(1+C5/100)</f>
        <v>52270.605</v>
      </c>
      <c r="D6" s="0" t="n">
        <f aca="false">C6*(1+D5/100)</f>
        <v>54884.13525</v>
      </c>
      <c r="E6" s="0" t="n">
        <f aca="false">D6*(1+E5/100)</f>
        <v>57628.3420125</v>
      </c>
      <c r="F6" s="0" t="n">
        <f aca="false">E6*(1+F5/100)</f>
        <v>60509.759113125</v>
      </c>
      <c r="G6" s="0" t="n">
        <f aca="false">F6*(1+G5/100)</f>
        <v>63232.6982732156</v>
      </c>
      <c r="H6" s="0" t="n">
        <f aca="false">G6*(1+H5/100)</f>
        <v>65762.0062041443</v>
      </c>
      <c r="I6" s="0" t="n">
        <f aca="false">H6*(1+I5/100)</f>
        <v>68063.6764212893</v>
      </c>
      <c r="J6" s="0" t="n">
        <f aca="false">I6*(1+J5/100)</f>
        <v>70105.586713928</v>
      </c>
      <c r="K6" s="0" t="n">
        <f aca="false">J6*(1+K5/100)</f>
        <v>72208.7543153458</v>
      </c>
      <c r="L6" s="0" t="n">
        <f aca="false">K6*(1+L5/100)</f>
        <v>74375.0169448062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21.5</v>
      </c>
      <c r="D7" s="4" t="n">
        <f aca="false">Assumptions!D42</f>
        <v>22</v>
      </c>
      <c r="E7" s="4" t="n">
        <f aca="false">Assumptions!E42</f>
        <v>22.5</v>
      </c>
      <c r="F7" s="4" t="n">
        <f aca="false">Assumptions!F42</f>
        <v>23</v>
      </c>
      <c r="G7" s="4" t="n">
        <f aca="false">Assumptions!G42</f>
        <v>23.5</v>
      </c>
      <c r="H7" s="4" t="n">
        <f aca="false">Assumptions!H42</f>
        <v>23.5</v>
      </c>
      <c r="I7" s="4" t="n">
        <f aca="false">Assumptions!I42</f>
        <v>23.5</v>
      </c>
      <c r="J7" s="4" t="n">
        <f aca="false">Assumptions!J42</f>
        <v>23.5</v>
      </c>
      <c r="K7" s="4" t="n">
        <f aca="false">Assumptions!K42</f>
        <v>23.5</v>
      </c>
      <c r="L7" s="4" t="n">
        <f aca="false">Assumptions!L42</f>
        <v>23.5</v>
      </c>
    </row>
    <row r="8" customFormat="false" ht="15" hidden="false" customHeight="false" outlineLevel="0" collapsed="false">
      <c r="A8" s="0" t="s">
        <v>44</v>
      </c>
      <c r="C8" s="0" t="n">
        <f aca="false">C6*C7/100</f>
        <v>11238.180075</v>
      </c>
      <c r="D8" s="0" t="n">
        <f aca="false">D6*D7/100</f>
        <v>12074.509755</v>
      </c>
      <c r="E8" s="0" t="n">
        <f aca="false">E6*E7/100</f>
        <v>12966.3769528125</v>
      </c>
      <c r="F8" s="0" t="n">
        <f aca="false">F6*F7/100</f>
        <v>13917.2445960188</v>
      </c>
      <c r="G8" s="0" t="n">
        <f aca="false">G6*G7/100</f>
        <v>14859.6840942057</v>
      </c>
      <c r="H8" s="0" t="n">
        <f aca="false">H6*H7/100</f>
        <v>15454.0714579739</v>
      </c>
      <c r="I8" s="0" t="n">
        <f aca="false">I6*I7/100</f>
        <v>15994.963959003</v>
      </c>
      <c r="J8" s="0" t="n">
        <f aca="false">J6*J7/100</f>
        <v>16474.8128777731</v>
      </c>
      <c r="K8" s="0" t="n">
        <f aca="false">K6*K7/100</f>
        <v>16969.0572641063</v>
      </c>
      <c r="L8" s="0" t="n">
        <f aca="false">L6*L7/100</f>
        <v>17478.1289820295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0.5</v>
      </c>
      <c r="D9" s="4" t="n">
        <f aca="false">Assumptions!D43</f>
        <v>0.5</v>
      </c>
      <c r="E9" s="4" t="n">
        <f aca="false">Assumptions!E43</f>
        <v>0.5</v>
      </c>
      <c r="F9" s="4" t="n">
        <f aca="false">Assumptions!F43</f>
        <v>0.5</v>
      </c>
      <c r="G9" s="4" t="n">
        <f aca="false">Assumptions!G43</f>
        <v>0.5</v>
      </c>
      <c r="H9" s="4" t="n">
        <f aca="false">Assumptions!H43</f>
        <v>0.5</v>
      </c>
      <c r="I9" s="4" t="n">
        <f aca="false">Assumptions!I43</f>
        <v>0.5</v>
      </c>
      <c r="J9" s="4" t="n">
        <f aca="false">Assumptions!J43</f>
        <v>0.5</v>
      </c>
      <c r="K9" s="4" t="n">
        <f aca="false">Assumptions!K43</f>
        <v>0.5</v>
      </c>
      <c r="L9" s="4" t="n">
        <f aca="false">Assumptions!L43</f>
        <v>0.5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-261.353025</v>
      </c>
      <c r="D10" s="0" t="n">
        <f aca="false">-D6*D9/100</f>
        <v>-274.42067625</v>
      </c>
      <c r="E10" s="0" t="n">
        <f aca="false">-E6*E9/100</f>
        <v>-288.1417100625</v>
      </c>
      <c r="F10" s="0" t="n">
        <f aca="false">-F6*F9/100</f>
        <v>-302.548795565625</v>
      </c>
      <c r="G10" s="0" t="n">
        <f aca="false">-G6*G9/100</f>
        <v>-316.163491366078</v>
      </c>
      <c r="H10" s="0" t="n">
        <f aca="false">-H6*H9/100</f>
        <v>-328.810031020721</v>
      </c>
      <c r="I10" s="0" t="n">
        <f aca="false">-I6*I9/100</f>
        <v>-340.318382106447</v>
      </c>
      <c r="J10" s="0" t="n">
        <f aca="false">-J6*J9/100</f>
        <v>-350.52793356964</v>
      </c>
      <c r="K10" s="0" t="n">
        <f aca="false">-K6*K9/100</f>
        <v>-361.043771576729</v>
      </c>
      <c r="L10" s="0" t="n">
        <f aca="false">-L6*L9/100</f>
        <v>-371.875084724031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10584.7975125</v>
      </c>
      <c r="D11" s="0" t="n">
        <f aca="false">D8+D10+D24</f>
        <v>11388.458064375</v>
      </c>
      <c r="E11" s="0" t="n">
        <f aca="false">E8+E10+E24</f>
        <v>12246.0226776563</v>
      </c>
      <c r="F11" s="0" t="n">
        <f aca="false">F8+F10+F24</f>
        <v>13160.8726071047</v>
      </c>
      <c r="G11" s="0" t="n">
        <f aca="false">G8+G10+G24</f>
        <v>14069.2753657905</v>
      </c>
      <c r="H11" s="0" t="n">
        <f aca="false">H8+H10+H24</f>
        <v>14632.0463804221</v>
      </c>
      <c r="I11" s="0" t="n">
        <f aca="false">I8+I10+I24</f>
        <v>15144.1680037369</v>
      </c>
      <c r="J11" s="0" t="n">
        <f aca="false">J8+J10+J24</f>
        <v>15598.493043849</v>
      </c>
      <c r="K11" s="0" t="n">
        <f aca="false">K8+K10+K24</f>
        <v>16066.4478351644</v>
      </c>
      <c r="L11" s="0" t="n">
        <f aca="false">L8+L10+L24</f>
        <v>16548.4412702194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-1045.4121</v>
      </c>
      <c r="D12" s="4" t="n">
        <f aca="false">-D6*Assumptions!D45/100</f>
        <v>-1097.682705</v>
      </c>
      <c r="E12" s="4" t="n">
        <f aca="false">-E6*Assumptions!E45/100</f>
        <v>-1152.56684025</v>
      </c>
      <c r="F12" s="4" t="n">
        <f aca="false">-F6*Assumptions!F45/100</f>
        <v>-1210.1951822625</v>
      </c>
      <c r="G12" s="4" t="n">
        <f aca="false">-G6*Assumptions!G45/100</f>
        <v>-1264.65396546431</v>
      </c>
      <c r="H12" s="4" t="n">
        <f aca="false">-H6*Assumptions!H45/100</f>
        <v>-1315.24012408289</v>
      </c>
      <c r="I12" s="4" t="n">
        <f aca="false">-I6*Assumptions!I45/100</f>
        <v>-1361.27352842579</v>
      </c>
      <c r="J12" s="4" t="n">
        <f aca="false">-J6*Assumptions!J45/100</f>
        <v>-1402.11173427856</v>
      </c>
      <c r="K12" s="4" t="n">
        <f aca="false">-K6*Assumptions!K45/100</f>
        <v>-1444.17508630692</v>
      </c>
      <c r="L12" s="4" t="n">
        <f aca="false">-L6*Assumptions!L45/100</f>
        <v>-1487.50033889612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9539.3854125</v>
      </c>
      <c r="D13" s="0" t="n">
        <f aca="false">D11+D12</f>
        <v>10290.775359375</v>
      </c>
      <c r="E13" s="0" t="n">
        <f aca="false">E11+E12</f>
        <v>11093.4558374063</v>
      </c>
      <c r="F13" s="0" t="n">
        <f aca="false">F11+F12</f>
        <v>11950.6774248422</v>
      </c>
      <c r="G13" s="0" t="n">
        <f aca="false">G11+G12</f>
        <v>12804.6214003262</v>
      </c>
      <c r="H13" s="0" t="n">
        <f aca="false">H11+H12</f>
        <v>13316.8062563392</v>
      </c>
      <c r="I13" s="0" t="n">
        <f aca="false">I11+I12</f>
        <v>13782.8944753111</v>
      </c>
      <c r="J13" s="0" t="n">
        <f aca="false">J11+J12</f>
        <v>14196.3813095704</v>
      </c>
      <c r="K13" s="0" t="n">
        <f aca="false">K11+K12</f>
        <v>14622.2727488575</v>
      </c>
      <c r="L13" s="0" t="n">
        <f aca="false">L11+L12</f>
        <v>15060.9409313233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33</v>
      </c>
      <c r="D14" s="4" t="n">
        <f aca="false">Assumptions!D47</f>
        <v>33</v>
      </c>
      <c r="E14" s="4" t="n">
        <f aca="false">Assumptions!E47</f>
        <v>33</v>
      </c>
      <c r="F14" s="4" t="n">
        <f aca="false">Assumptions!F47</f>
        <v>33</v>
      </c>
      <c r="G14" s="4" t="n">
        <f aca="false">Assumptions!G47</f>
        <v>33</v>
      </c>
      <c r="H14" s="4" t="n">
        <f aca="false">Assumptions!H47</f>
        <v>33</v>
      </c>
      <c r="I14" s="4" t="n">
        <f aca="false">Assumptions!I47</f>
        <v>33</v>
      </c>
      <c r="J14" s="4" t="n">
        <f aca="false">Assumptions!J47</f>
        <v>33</v>
      </c>
      <c r="K14" s="4" t="n">
        <f aca="false">Assumptions!K47</f>
        <v>33</v>
      </c>
      <c r="L14" s="4" t="n">
        <f aca="false">Assumptions!L47</f>
        <v>33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6391.388226375</v>
      </c>
      <c r="D15" s="0" t="n">
        <f aca="false">D13-MAX(0,D13)*D14/100</f>
        <v>6894.81949078125</v>
      </c>
      <c r="E15" s="0" t="n">
        <f aca="false">E13-MAX(0,E13)*E14/100</f>
        <v>7432.61541106219</v>
      </c>
      <c r="F15" s="0" t="n">
        <f aca="false">F13-MAX(0,F13)*F14/100</f>
        <v>8006.95387464427</v>
      </c>
      <c r="G15" s="0" t="n">
        <f aca="false">G13-MAX(0,G13)*G14/100</f>
        <v>8579.09633821853</v>
      </c>
      <c r="H15" s="0" t="n">
        <f aca="false">H13-MAX(0,H13)*H14/100</f>
        <v>8922.26019174727</v>
      </c>
      <c r="I15" s="0" t="n">
        <f aca="false">I13-MAX(0,I13)*I14/100</f>
        <v>9234.53929845843</v>
      </c>
      <c r="J15" s="0" t="n">
        <f aca="false">J13-MAX(0,J13)*J14/100</f>
        <v>9511.57547741218</v>
      </c>
      <c r="K15" s="0" t="n">
        <f aca="false">K13-MAX(0,K13)*K14/100</f>
        <v>9796.92274173455</v>
      </c>
      <c r="L15" s="0" t="n">
        <f aca="false">L13-MAX(0,L13)*L14/100</f>
        <v>10090.8304239866</v>
      </c>
    </row>
    <row r="16" customFormat="false" ht="15" hidden="false" customHeight="false" outlineLevel="0" collapsed="false">
      <c r="A16" s="0" t="s">
        <v>119</v>
      </c>
      <c r="C16" s="0" t="n">
        <f aca="false">-C12</f>
        <v>1045.4121</v>
      </c>
      <c r="D16" s="0" t="n">
        <f aca="false">-D12</f>
        <v>1097.682705</v>
      </c>
      <c r="E16" s="0" t="n">
        <f aca="false">-E12</f>
        <v>1152.56684025</v>
      </c>
      <c r="F16" s="0" t="n">
        <f aca="false">-F12</f>
        <v>1210.1951822625</v>
      </c>
      <c r="G16" s="0" t="n">
        <f aca="false">-G12</f>
        <v>1264.65396546431</v>
      </c>
      <c r="H16" s="0" t="n">
        <f aca="false">-H12</f>
        <v>1315.24012408289</v>
      </c>
      <c r="I16" s="0" t="n">
        <f aca="false">-I12</f>
        <v>1361.27352842579</v>
      </c>
      <c r="J16" s="0" t="n">
        <f aca="false">-J12</f>
        <v>1402.11173427856</v>
      </c>
      <c r="K16" s="0" t="n">
        <f aca="false">-K12</f>
        <v>1444.17508630692</v>
      </c>
      <c r="L16" s="0" t="n">
        <f aca="false">-L12</f>
        <v>1487.50033889612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-1620.388755</v>
      </c>
      <c r="D17" s="4" t="n">
        <f aca="false">-D6*Assumptions!D46/100</f>
        <v>-1701.40819275</v>
      </c>
      <c r="E17" s="4" t="n">
        <f aca="false">-E6*Assumptions!E46/100</f>
        <v>-1728.850260375</v>
      </c>
      <c r="F17" s="4" t="n">
        <f aca="false">-F6*Assumptions!F46/100</f>
        <v>-1815.29277339375</v>
      </c>
      <c r="G17" s="4" t="n">
        <f aca="false">-G6*Assumptions!G46/100</f>
        <v>-1896.98094819647</v>
      </c>
      <c r="H17" s="4" t="n">
        <f aca="false">-H6*Assumptions!H46/100</f>
        <v>-1972.86018612433</v>
      </c>
      <c r="I17" s="4" t="n">
        <f aca="false">-I6*Assumptions!I46/100</f>
        <v>-2041.91029263868</v>
      </c>
      <c r="J17" s="4" t="n">
        <f aca="false">-J6*Assumptions!J46/100</f>
        <v>-2103.16760141784</v>
      </c>
      <c r="K17" s="4" t="n">
        <f aca="false">-K6*Assumptions!K46/100</f>
        <v>-2166.26262946037</v>
      </c>
      <c r="L17" s="4" t="n">
        <f aca="false">-L6*Assumptions!L46/100</f>
        <v>-2231.25050834419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5816.411571375</v>
      </c>
      <c r="D19" s="0" t="n">
        <f aca="false">D15+D16+D17+D18</f>
        <v>6291.09400303125</v>
      </c>
      <c r="E19" s="0" t="n">
        <f aca="false">E15+E16+E17+E18</f>
        <v>6856.33199093719</v>
      </c>
      <c r="F19" s="0" t="n">
        <f aca="false">F15+F16+F17+F18</f>
        <v>7401.85628351302</v>
      </c>
      <c r="G19" s="0" t="n">
        <f aca="false">G15+G16+G17+G18</f>
        <v>7946.76935548637</v>
      </c>
      <c r="H19" s="0" t="n">
        <f aca="false">H15+H16+H17+H18</f>
        <v>8264.64012970583</v>
      </c>
      <c r="I19" s="0" t="n">
        <f aca="false">I15+I16+I17+I18</f>
        <v>8553.90253424553</v>
      </c>
      <c r="J19" s="0" t="n">
        <f aca="false">J15+J16+J17+J18</f>
        <v>8810.5196102729</v>
      </c>
      <c r="K19" s="0" t="n">
        <f aca="false">K15+K16+K17+K18</f>
        <v>9074.83519858109</v>
      </c>
      <c r="L19" s="0" t="n">
        <f aca="false">L15+L16+L17+L18</f>
        <v>9347.08025453852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5435.89866483645</v>
      </c>
      <c r="D21" s="0" t="n">
        <f aca="false">D19*D20</f>
        <v>5494.88514545484</v>
      </c>
      <c r="E21" s="0" t="n">
        <f aca="false">E19*E20</f>
        <v>5596.80924746085</v>
      </c>
      <c r="F21" s="0" t="n">
        <f aca="false">F19*F20</f>
        <v>5646.84071895597</v>
      </c>
      <c r="G21" s="0" t="n">
        <f aca="false">G19*G20</f>
        <v>5665.93672200612</v>
      </c>
      <c r="H21" s="0" t="n">
        <f aca="false">H19*H20</f>
        <v>5507.07868307137</v>
      </c>
      <c r="I21" s="0" t="n">
        <f aca="false">I19*I20</f>
        <v>5326.94059530736</v>
      </c>
      <c r="J21" s="0" t="n">
        <f aca="false">J19*J20</f>
        <v>5127.80262912764</v>
      </c>
      <c r="K21" s="0" t="n">
        <f aca="false">K19*K20</f>
        <v>4936.10907289857</v>
      </c>
      <c r="L21" s="0" t="n">
        <f aca="false">L19*L20</f>
        <v>4751.58163092105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0.75</v>
      </c>
      <c r="D23" s="4" t="n">
        <f aca="false">Assumptions!D44</f>
        <v>0.75</v>
      </c>
      <c r="E23" s="4" t="n">
        <f aca="false">Assumptions!E44</f>
        <v>0.75</v>
      </c>
      <c r="F23" s="4" t="n">
        <f aca="false">Assumptions!F44</f>
        <v>0.75</v>
      </c>
      <c r="G23" s="4" t="n">
        <f aca="false">Assumptions!G44</f>
        <v>0.75</v>
      </c>
      <c r="H23" s="4" t="n">
        <f aca="false">Assumptions!H44</f>
        <v>0.75</v>
      </c>
      <c r="I23" s="4" t="n">
        <f aca="false">Assumptions!I44</f>
        <v>0.75</v>
      </c>
      <c r="J23" s="4" t="n">
        <f aca="false">Assumptions!J44</f>
        <v>0.75</v>
      </c>
      <c r="K23" s="4" t="n">
        <f aca="false">Assumptions!K44</f>
        <v>0.75</v>
      </c>
      <c r="L23" s="4" t="n">
        <f aca="false">Assumptions!L44</f>
        <v>0.75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-392.0295375</v>
      </c>
      <c r="D24" s="0" t="n">
        <f aca="false">-D6*D23/100</f>
        <v>-411.631014375</v>
      </c>
      <c r="E24" s="0" t="n">
        <f aca="false">-E6*E23/100</f>
        <v>-432.21256509375</v>
      </c>
      <c r="F24" s="0" t="n">
        <f aca="false">-F6*F23/100</f>
        <v>-453.823193348438</v>
      </c>
      <c r="G24" s="0" t="n">
        <f aca="false">-G6*G23/100</f>
        <v>-474.245237049117</v>
      </c>
      <c r="H24" s="0" t="n">
        <f aca="false">-H6*H23/100</f>
        <v>-493.215046531082</v>
      </c>
      <c r="I24" s="0" t="n">
        <f aca="false">-I6*I23/100</f>
        <v>-510.47757315967</v>
      </c>
      <c r="J24" s="0" t="n">
        <f aca="false">-J6*J23/100</f>
        <v>-525.79190035446</v>
      </c>
      <c r="K24" s="0" t="n">
        <f aca="false">-K6*K23/100</f>
        <v>-541.565657365094</v>
      </c>
      <c r="L24" s="0" t="n">
        <f aca="false">-L6*L23/100</f>
        <v>-557.812627086047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53489.8831100402</v>
      </c>
    </row>
    <row r="31" customFormat="false" ht="15" hidden="false" customHeight="false" outlineLevel="0" collapsed="false">
      <c r="A31" s="0" t="s">
        <v>128</v>
      </c>
      <c r="B31" s="0" t="n">
        <f aca="false">L19</f>
        <v>9347.08025453852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240687.316554367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186941.60509077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186941.60509077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95031.6326184211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148521.515728461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132596.515728461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5117.45253650737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0.0949935886396427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2195.85747017709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4867.84272911148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5390.070186401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80229.1055181223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1581.25283030975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3419.1871327701</v>
      </c>
      <c r="C4" s="0" t="n">
        <f aca="false">B4/Assumptions!$B$2-1</f>
        <v>-0.268388331492436</v>
      </c>
      <c r="D4" s="4" t="n">
        <f aca="false">Assumptions!$B$24</f>
        <v>0.25</v>
      </c>
      <c r="E4" s="4" t="n">
        <f aca="false">DCF_Bear!$B$43</f>
        <v>3614.15847436115</v>
      </c>
      <c r="F4" s="4" t="n">
        <f aca="false">DCF_Bear!$B$47</f>
        <v>959.375832569563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4295.50239822125</v>
      </c>
      <c r="C5" s="0" t="n">
        <f aca="false">B5/Assumptions!$B$2-1</f>
        <v>-0.0808810531247985</v>
      </c>
      <c r="D5" s="4" t="n">
        <f aca="false">Assumptions!$B$38</f>
        <v>0.5</v>
      </c>
      <c r="E5" s="4" t="n">
        <f aca="false">DCF_Base!$B$43</f>
        <v>4527.58873249954</v>
      </c>
      <c r="F5" s="4" t="n">
        <f aca="false">DCF_Base!$B$47</f>
        <v>1276.59295905385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5117.45253650737</v>
      </c>
      <c r="C6" s="0" t="n">
        <f aca="false">B6/Assumptions!$B$2-1</f>
        <v>0.0949935886396427</v>
      </c>
      <c r="D6" s="4" t="n">
        <f aca="false">Assumptions!$B$52</f>
        <v>0.25</v>
      </c>
      <c r="E6" s="4" t="n">
        <f aca="false">DCF_Bull!$B$43</f>
        <v>5390.070186401</v>
      </c>
      <c r="F6" s="4" t="n">
        <f aca="false">DCF_Bull!$B$47</f>
        <v>1581.25283030975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4281.91111643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4514.85153144031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-0.0914518944747478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168.106888430104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1273.45364524675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4295.50239822125</v>
      </c>
      <c r="C15" s="3" t="n">
        <v>7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3064.73631736449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2567.36424211658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2187.27342321158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1887.41525219406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1276.59295905385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5128.98790642354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5128.98790642354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5128.98790642354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5128.98790642354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5128.98790642354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4692.06730522615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4692.06730522615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4692.06730522615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4692.06730522615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4692.06730522615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4056.99691458711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4295.50239822125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4295.50239822125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4295.50239822125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4295.50239822125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3318.57880592487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3513.28129662426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3743.38424017807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3935.13669313959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3935.13669313959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2778.01049450692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2911.13319797651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3064.73631736449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3243.93995665048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3455.72607580664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2026-10-10T01:43:51Z</dcterms:created>
  <dc:creator>openpyxl</dc:creator>
  <dc:description/>
  <dc:language>en-NZ</dc:language>
  <cp:lastModifiedBy/>
  <dcterms:modified xsi:type="dcterms:W3CDTF">2026-10-10T01:43:51Z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