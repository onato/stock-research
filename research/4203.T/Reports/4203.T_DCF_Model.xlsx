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<sst xmlns="http://schemas.openxmlformats.org/spreadsheetml/2006/main" count="374" uniqueCount="171">
  <si>
    <t xml:space="preserve">Ticker</t>
  </si>
  <si>
    <t xml:space="preserve">4203.T</t>
  </si>
  <si>
    <t xml:space="preserve">Company</t>
  </si>
  <si>
    <t xml:space="preserve">Sumitomo Bakelite Co., Ltd.</t>
  </si>
  <si>
    <t xml:space="preserve">Valuation date</t>
  </si>
  <si>
    <t xml:space="preserve">2026-10-31</t>
  </si>
  <si>
    <t xml:space="preserve">Current price</t>
  </si>
  <si>
    <t xml:space="preserve">Price as of</t>
  </si>
  <si>
    <t xml:space="preserve">2026-10-30T06:30:00Z (TSE regular close)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</si>
  <si>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</si>
  <si>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</si>
  <si>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</si>
  <si>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</si>
  <si>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</si>
  <si>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</si>
  <si>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</si>
  <si>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</si>
  <si>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</si>
  <si>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</si>
  <si>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</si>
  <si>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</si>
  <si>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2026-10-31T01:25:14Z</t>
  </si>
  <si>
    <t xml:space="preserve">Drivers file</t>
  </si>
  <si>
    <t xml:space="preserve">4203.T_Drivers.json</t>
  </si>
  <si>
    <t xml:space="preserve">Convention</t>
  </si>
  <si>
    <t xml:space="preserve">Percents stored as percents; formulas divide by 100. Blue = input, green = link, black = formula.</t>
  </si>
  <si>
    <t xml:space="preserve">Methodology</t>
  </si>
  <si>
    <t xml:space="preserve">summary: Owner-FCF DCF on consolidated flows with no SBC (SBC-zero market), interest and dividend income stripped and the JPY100bn net cash plus the ~JPY52bn cross-shareholding portfolio added back in the bridge, leases charged as an operating cost, NCI and the pending JPY30bn Kyocera consideration deducted. The valuation is a judgment on how much of the Q1 FY2027 AI-driven step-up in semiconductor-materials demand is durable: the base case assumes the margin settles at ~17% EBITDA (vs 15.2% FY2026 and 18.9% in Q1), the bull assumes it is a new plateau, the bear assumes it is a cycle peak.
key_risks_to_valuation: Semiconductor cycle: half of business profit now comes from encapsulation materials, bonding pastes and substrates sold into AI servers, power devices and memory; a capex pause takes the group back to the FY2020-FY2021 margin band in the bear case; Guidance gap: FY2027 guidance (business profit 38bn) is far below the Q1 annualised rate (~54bn); the H1 results in early November 2026 will either upgrade and validate year 1 or confirm H2 normalisation; FX: ~64% overseas sales, yen weakness flattered FY2026 and Q1 FY2027; each JPY10 of yen strength against USD is a meaningful revenue and margin headwind; Kyocera chemical business integration (~JPY30bn, close Oct-2026): revenue and margin of the acquired business are assumed, not disclosed; deducted in the bridge at the full consideration; High-performance plastics has needed repeated North American impairments; the model's margin paths assume no further write-downs leak into cash; Cross-shareholdings taken at fair value in the bridge without netting the deferred tax on unrealised gains (~JPY590/share gross); a 30% haircut would remove ~JPY170/share; Terminal-cap dependence: the 15x cap binds in base and bull; the implied exit multiple on year-10 FCF is what a cyclical materials company has only intermittently commanded</t>
  </si>
  <si>
    <t xml:space="preserve">Data sources</t>
  </si>
  <si>
    <t xml:space="preserve">price: Yahoo Finance chart API at inputs.price_as_of (TSE regular close); 52-week range 4,696-9,471
financials: 4203.T_Metrics.csv (core_metrics, IFRS from FY2018), FY2026 annual tanshin (4203.T_Annual_FY2025_Tanshin.txt: income statement, balance sheet, cash flow, share count, FY2027 forecast), Q1 FY2027 tanshin (4203.T_Quarterly_Q1-2026.txt: June-2026 balance sheet, segment commentary), Integrated Report 2025 (medium-term plan and Vision 2030 targets)
qualitative: 4203.T_Analysis.json (2026-10-31): Kyocera acquisition, capacity expansions, competitive position, bull/bear axes</t>
  </si>
  <si>
    <t xml:space="preserve">Scenario narrative: bear</t>
  </si>
  <si>
    <t xml:space="preserve">FY2027 still finishes modestly ahead of guidance on the Q1 strength, but the AI-capex and memory cycle turns in FY2028: semiconductor materials volumes fall, Chinese domestic encapsulation suppliers and Resonac take share on price, the yen strengthens back toward 140 and reverses the translation tailwind, and North American automotive stays weak for high-performance plastics. Revenue falls 8% then 2% before recovering at 2-3%; the EBITDA margin drops to 13% (business profit ~9%, roughly FY2020-FY2021 levels) and recovers only to 14.5%. The Kyocera consideration is spent before its revenue is earned, and the capital programme runs through the downturn. Terminal growth 1.5% and a 13x cap reflect a company the market again treats as a cyclical chemicals supplier rather than an AI-materials compounder.</t>
  </si>
  <si>
    <t xml:space="preserve">Scenario narrative: base</t>
  </si>
  <si>
    <t xml:space="preserve">The AI/power-device packaging cycle carries semiconductor materials through FY2028 but at a cooling rate: H2 FY2027 runs below the Q1 pace, the FY2027 guidance (revenue JPY337bn, business profit 38bn) is beaten but not by the Q1 annualised margin, and the Kyocera encapsulation business (~JPY30bn, ~20bn revenue) closes in October 2026 and is integrated without a profit hole. Group revenue reaches ~JPY448bn by FY2031, in line with Vision 2030 plus the acquisition, with the EBITDA margin settling at ~17% (business-profit margin ~12.5-13%, the Vision 2030 target) as the semiconductor mix offsets a structurally mediocre high-performance plastics segment. Capex stays above D&amp;A through FY2030 for the China/Singapore capacity programme and working capital absorbs ~20% of each year's revenue gain. Terminal value is capped at 15x FCF (Gordon at 8%/2% would be 17x).</t>
  </si>
  <si>
    <t xml:space="preserve">Scenario narrative: bull</t>
  </si>
  <si>
    <t xml:space="preserve">The AI-server, HBM and power-semiconductor packaging supercycle persists for several years and Sumitomo Bakelite's ~40% share in epoxy molding compounds, the new MUF/compression-granule lines and the Kyocera assets convert it into revenue growth of 17%/12%/8% in FY2027-FY2029; semiconductor materials' business-profit margin holds above 20% (19.5% FY2026, 23.4% Q1 FY2027) and lifts the group EBITDA margin to 19-19.5%. The medical-device and pharma-packaging businesses keep compounding mid-single digits, high-performance plastics restructuring stops absorbing cash, and Vision 2030 (JPY420bn, 13% business-profit margin) is reached two years early. Terminal growth 2.5%, cap 15x.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</si>
  <si>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</si>
  <si>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</si>
  <si>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</si>
  <si>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</si>
  <si>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</si>
  <si>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</si>
  <si>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</si>
  <si>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</si>
  <si>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</si>
  <si>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</si>
  <si>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</si>
  <si>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</si>
  <si>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</si>
  <si>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</si>
  <si>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</si>
  <si>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</si>
  <si>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</si>
  <si>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</si>
  <si>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</si>
  <si>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</si>
  <si>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</si>
  <si>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</si>
  <si>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</si>
  <si>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</si>
  <si>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</si>
  <si>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</si>
  <si>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</si>
  <si>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BusinessProfit</t>
  </si>
  <si>
    <t xml:space="preserve">TotalEquityInclNCI</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</si>
  <si>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</si>
  <si>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</si>
  <si>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</si>
  <si>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</si>
  <si>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</si>
  <si>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</si>
  <si>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</si>
  <si>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</si>
  <si>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</si>
  <si>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</si>
  <si>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</si>
  <si>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</si>
  <si>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</si>
  <si>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</si>
  <si>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</si>
  <si>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</si>
  <si>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</si>
  <si>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</si>
  <si>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</si>
  <si>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</si>
  <si>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</si>
  <si>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</si>
  <si>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</si>
  <si>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</si>
  <si>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</si>
  <si>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</si>
  <si>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</si>
  <si>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</si>
  <si>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</si>
  <si>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</si>
  <si>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</si>
  <si>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</si>
  <si>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</si>
  <si>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</si>
  <si>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</si>
  <si>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</si>
  <si>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</si>
  <si>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</si>
  <si>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</si>
  <si>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</si>
  <si>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</si>
  <si>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</si>
  <si>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</si>
  <si>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</si>
  <si>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</si>
  <si>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</si>
  <si>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</si>
  <si>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</si>
  <si>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</si>
  <si>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</si>
  <si>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</si>
  <si>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4203.T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</si>
  <si>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</si>
  <si>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</si>
  <si>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</si>
  <si>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</si>
  <si>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</si>
  <si>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</si>
  <si>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</si>
  <si>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</si>
  <si>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</si>
  <si>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</si>
  <si>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</si>
  <si>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</si>
  <si>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</si>
  <si>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</si>
  <si>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</si>
  <si>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</si>
  <si>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</si>
  <si>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</si>
  <si>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</si>
  <si>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</si>
  <si>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</si>
  <si>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</si>
  <si>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</si>
  <si>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</si>
  <si>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</si>
  <si>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</si>
  <si>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</si>
  <si>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</si>
  <si>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</si>
  <si>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</si>
  <si>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4203.T owner-FCF component DCF: base case (millions, JPY)</t>
  </si>
  <si>
    <t xml:space="preserve">4203.T owner-FCF component DCF: bull case (millions, JPY)</t>
  </si>
  <si>
    <t xml:space="preserve">4203.T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</si>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</sst>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8109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183362</v>
      </c>
      <c r="C2" s="0" t="n">
        <v>131528</v>
      </c>
      <c r="D2" s="0" t="n">
        <v>51834</v>
      </c>
      <c r="E2" s="0" t="n">
        <v>28.2687</v>
      </c>
      <c r="F2" s="0" t="n">
        <v>7956</v>
      </c>
      <c r="G2" s="0" t="n">
        <v>4.339</v>
      </c>
      <c r="H2" s="0" t="n">
        <v>18349</v>
      </c>
      <c r="I2" s="0" t="n">
        <v>3443</v>
      </c>
      <c r="J2" s="0" t="n">
        <v>1.8777</v>
      </c>
      <c r="K2" s="0" t="n">
        <v>14.29</v>
      </c>
      <c r="L2" s="0" t="n">
        <v>16644</v>
      </c>
      <c r="O2" s="0" t="n">
        <v>130045</v>
      </c>
      <c r="P2" s="0" t="n">
        <v>213826</v>
      </c>
      <c r="Q2" s="0" t="n">
        <v>82515</v>
      </c>
      <c r="R2" s="0" t="n">
        <v>29553</v>
      </c>
      <c r="S2" s="0" t="n">
        <v>31778</v>
      </c>
      <c r="T2" s="0" t="n">
        <v>240.938</v>
      </c>
      <c r="AA2" s="0" t="s">
        <v>17</v>
      </c>
      <c r="AB2" s="0" t="s">
        <v>14</v>
      </c>
    </row>
    <row r="3" customFormat="false" ht="15" hidden="false" customHeight="false" outlineLevel="0" collapsed="false">
      <c r="A3" s="0" t="s">
        <v>66</v>
      </c>
      <c r="B3" s="0" t="n">
        <v>206047</v>
      </c>
      <c r="C3" s="0" t="n">
        <v>150330</v>
      </c>
      <c r="D3" s="0" t="n">
        <v>55717</v>
      </c>
      <c r="E3" s="0" t="n">
        <v>27.0409</v>
      </c>
      <c r="F3" s="0" t="n">
        <v>10702</v>
      </c>
      <c r="G3" s="0" t="n">
        <v>5.194</v>
      </c>
      <c r="H3" s="0" t="n">
        <v>21671</v>
      </c>
      <c r="I3" s="0" t="n">
        <v>6493</v>
      </c>
      <c r="J3" s="0" t="n">
        <v>3.1512</v>
      </c>
      <c r="K3" s="0" t="n">
        <v>26.96</v>
      </c>
      <c r="L3" s="0" t="n">
        <v>17852</v>
      </c>
      <c r="O3" s="0" t="n">
        <v>148936</v>
      </c>
      <c r="P3" s="0" t="n">
        <v>236825</v>
      </c>
      <c r="Q3" s="0" t="n">
        <v>86481</v>
      </c>
      <c r="R3" s="0" t="n">
        <v>35063</v>
      </c>
      <c r="T3" s="0" t="n">
        <v>240.838</v>
      </c>
      <c r="AA3" s="0" t="s">
        <v>17</v>
      </c>
      <c r="AB3" s="0" t="s">
        <v>14</v>
      </c>
    </row>
    <row r="4" customFormat="false" ht="15" hidden="false" customHeight="false" outlineLevel="0" collapsed="false">
      <c r="A4" s="0" t="s">
        <v>67</v>
      </c>
      <c r="B4" s="0" t="n">
        <v>209659</v>
      </c>
      <c r="C4" s="0" t="n">
        <v>150301</v>
      </c>
      <c r="D4" s="0" t="n">
        <v>59358</v>
      </c>
      <c r="E4" s="0" t="n">
        <v>28.3117</v>
      </c>
      <c r="F4" s="0" t="n">
        <v>10904</v>
      </c>
      <c r="G4" s="0" t="n">
        <v>5.2008</v>
      </c>
      <c r="H4" s="0" t="n">
        <v>20160</v>
      </c>
      <c r="I4" s="0" t="n">
        <v>7113</v>
      </c>
      <c r="J4" s="0" t="n">
        <v>3.3927</v>
      </c>
      <c r="K4" s="0" t="n">
        <v>29.53</v>
      </c>
      <c r="L4" s="0" t="n">
        <v>15672</v>
      </c>
      <c r="M4" s="0" t="n">
        <v>9810</v>
      </c>
      <c r="N4" s="0" t="n">
        <v>5862</v>
      </c>
      <c r="O4" s="0" t="n">
        <v>169215</v>
      </c>
      <c r="P4" s="0" t="n">
        <v>285927</v>
      </c>
      <c r="Q4" s="0" t="n">
        <v>114978</v>
      </c>
      <c r="R4" s="0" t="n">
        <v>61065</v>
      </c>
      <c r="S4" s="0" t="n">
        <v>49966</v>
      </c>
      <c r="T4" s="0" t="n">
        <v>240.874</v>
      </c>
      <c r="AA4" s="0" t="s">
        <v>17</v>
      </c>
      <c r="AB4" s="0" t="s">
        <v>14</v>
      </c>
    </row>
    <row r="5" customFormat="false" ht="15" hidden="false" customHeight="false" outlineLevel="0" collapsed="false">
      <c r="A5" s="0" t="s">
        <v>68</v>
      </c>
      <c r="B5" s="0" t="n">
        <v>206956</v>
      </c>
      <c r="C5" s="0" t="n">
        <v>146084</v>
      </c>
      <c r="D5" s="0" t="n">
        <v>60872</v>
      </c>
      <c r="E5" s="0" t="n">
        <v>29.413</v>
      </c>
      <c r="F5" s="0" t="n">
        <v>10241</v>
      </c>
      <c r="G5" s="0" t="n">
        <v>4.9484</v>
      </c>
      <c r="H5" s="0" t="n">
        <v>21084</v>
      </c>
      <c r="I5" s="0" t="n">
        <v>3828</v>
      </c>
      <c r="J5" s="0" t="n">
        <v>1.8497</v>
      </c>
      <c r="K5" s="0" t="n">
        <v>16.01</v>
      </c>
      <c r="L5" s="0" t="n">
        <v>19233</v>
      </c>
      <c r="M5" s="0" t="n">
        <v>9437</v>
      </c>
      <c r="N5" s="0" t="n">
        <v>9796</v>
      </c>
      <c r="O5" s="0" t="n">
        <v>157319</v>
      </c>
      <c r="P5" s="0" t="n">
        <v>260122</v>
      </c>
      <c r="Q5" s="0" t="n">
        <v>101214</v>
      </c>
      <c r="R5" s="0" t="n">
        <v>50897</v>
      </c>
      <c r="S5" s="0" t="n">
        <v>44868</v>
      </c>
      <c r="T5" s="0" t="n">
        <v>239.101</v>
      </c>
      <c r="AA5" s="0" t="s">
        <v>17</v>
      </c>
      <c r="AB5" s="0" t="s">
        <v>14</v>
      </c>
    </row>
    <row r="6" customFormat="false" ht="15" hidden="false" customHeight="false" outlineLevel="0" collapsed="false">
      <c r="A6" s="0" t="s">
        <v>69</v>
      </c>
      <c r="B6" s="0" t="n">
        <v>198199</v>
      </c>
      <c r="C6" s="0" t="n">
        <v>135241</v>
      </c>
      <c r="D6" s="0" t="n">
        <v>62958</v>
      </c>
      <c r="E6" s="0" t="n">
        <v>31.765</v>
      </c>
      <c r="F6" s="0" t="n">
        <v>16879</v>
      </c>
      <c r="G6" s="0" t="n">
        <v>8.5162</v>
      </c>
      <c r="H6" s="0" t="n">
        <v>26882</v>
      </c>
      <c r="I6" s="0" t="n">
        <v>10622</v>
      </c>
      <c r="J6" s="0" t="n">
        <v>5.3593</v>
      </c>
      <c r="K6" s="0" t="n">
        <v>45.14</v>
      </c>
      <c r="L6" s="0" t="n">
        <v>23427</v>
      </c>
      <c r="M6" s="0" t="n">
        <v>8954</v>
      </c>
      <c r="N6" s="0" t="n">
        <v>14473</v>
      </c>
      <c r="O6" s="0" t="n">
        <v>165353</v>
      </c>
      <c r="P6" s="0" t="n">
        <v>263742</v>
      </c>
      <c r="Q6" s="0" t="n">
        <v>96574</v>
      </c>
      <c r="R6" s="0" t="n">
        <v>42132</v>
      </c>
      <c r="S6" s="0" t="n">
        <v>49497</v>
      </c>
      <c r="T6" s="0" t="n">
        <v>235.312</v>
      </c>
      <c r="AA6" s="0" t="s">
        <v>17</v>
      </c>
      <c r="AB6" s="0" t="s">
        <v>14</v>
      </c>
      <c r="AD6" s="0" t="n">
        <v>167167</v>
      </c>
    </row>
    <row r="7" customFormat="false" ht="15" hidden="false" customHeight="false" outlineLevel="0" collapsed="false">
      <c r="A7" s="0" t="s">
        <v>70</v>
      </c>
      <c r="B7" s="0" t="n">
        <v>211819</v>
      </c>
      <c r="C7" s="0" t="n">
        <v>145961</v>
      </c>
      <c r="D7" s="0" t="n">
        <v>65857</v>
      </c>
      <c r="E7" s="0" t="n">
        <v>31.0912</v>
      </c>
      <c r="F7" s="0" t="n">
        <v>18598</v>
      </c>
      <c r="G7" s="0" t="n">
        <v>8.7801</v>
      </c>
      <c r="H7" s="0" t="n">
        <v>28391</v>
      </c>
      <c r="I7" s="0" t="n">
        <v>15078</v>
      </c>
      <c r="J7" s="0" t="n">
        <v>7.1183</v>
      </c>
      <c r="K7" s="0" t="n">
        <v>64.07</v>
      </c>
      <c r="L7" s="0" t="n">
        <v>22054</v>
      </c>
      <c r="M7" s="0" t="n">
        <v>10618</v>
      </c>
      <c r="N7" s="0" t="n">
        <v>11436</v>
      </c>
      <c r="O7" s="0" t="n">
        <v>168450</v>
      </c>
      <c r="P7" s="0" t="n">
        <v>272247</v>
      </c>
      <c r="Q7" s="0" t="n">
        <v>101985</v>
      </c>
      <c r="R7" s="0" t="n">
        <v>43694</v>
      </c>
      <c r="S7" s="0" t="n">
        <v>56559</v>
      </c>
      <c r="T7" s="0" t="n">
        <v>235.3455</v>
      </c>
      <c r="AA7" s="0" t="s">
        <v>17</v>
      </c>
      <c r="AB7" s="0" t="s">
        <v>14</v>
      </c>
      <c r="AC7" s="0" t="n">
        <v>19251</v>
      </c>
      <c r="AD7" s="0" t="n">
        <v>170262</v>
      </c>
    </row>
    <row r="8" customFormat="false" ht="15" hidden="false" customHeight="false" outlineLevel="0" collapsed="false">
      <c r="A8" s="0" t="s">
        <v>71</v>
      </c>
      <c r="B8" s="0" t="n">
        <v>212952</v>
      </c>
      <c r="C8" s="0" t="n">
        <v>149273</v>
      </c>
      <c r="D8" s="0" t="n">
        <v>63679</v>
      </c>
      <c r="E8" s="0" t="n">
        <v>29.903</v>
      </c>
      <c r="F8" s="0" t="n">
        <v>13587</v>
      </c>
      <c r="G8" s="0" t="n">
        <v>6.3803</v>
      </c>
      <c r="H8" s="0" t="n">
        <v>23739</v>
      </c>
      <c r="I8" s="0" t="n">
        <v>15084</v>
      </c>
      <c r="J8" s="0" t="n">
        <v>7.0833</v>
      </c>
      <c r="K8" s="0" t="n">
        <v>320.51</v>
      </c>
      <c r="L8" s="0" t="n">
        <v>20191</v>
      </c>
      <c r="M8" s="0" t="n">
        <v>10755</v>
      </c>
      <c r="N8" s="0" t="n">
        <v>9436</v>
      </c>
      <c r="O8" s="0" t="n">
        <v>178818</v>
      </c>
      <c r="P8" s="0" t="n">
        <v>284898</v>
      </c>
      <c r="Q8" s="0" t="n">
        <v>104263</v>
      </c>
      <c r="R8" s="0" t="n">
        <v>45401</v>
      </c>
      <c r="S8" s="0" t="n">
        <v>59640</v>
      </c>
      <c r="T8" s="0" t="n">
        <v>47.0658</v>
      </c>
      <c r="AA8" s="0" t="s">
        <v>17</v>
      </c>
      <c r="AB8" s="0" t="s">
        <v>14</v>
      </c>
      <c r="AC8" s="0" t="n">
        <v>17293</v>
      </c>
      <c r="AD8" s="0" t="n">
        <v>180635</v>
      </c>
    </row>
    <row r="9" customFormat="false" ht="15" hidden="false" customHeight="false" outlineLevel="0" collapsed="false">
      <c r="A9" s="0" t="s">
        <v>72</v>
      </c>
      <c r="B9" s="0" t="n">
        <v>206620</v>
      </c>
      <c r="C9" s="0" t="n">
        <v>145984</v>
      </c>
      <c r="D9" s="0" t="n">
        <v>60636</v>
      </c>
      <c r="E9" s="0" t="n">
        <v>29.3466</v>
      </c>
      <c r="F9" s="0" t="n">
        <v>10285</v>
      </c>
      <c r="G9" s="0" t="n">
        <v>4.9777</v>
      </c>
      <c r="H9" s="0" t="n">
        <v>21563</v>
      </c>
      <c r="I9" s="0" t="n">
        <v>8986</v>
      </c>
      <c r="J9" s="0" t="n">
        <v>4.349</v>
      </c>
      <c r="K9" s="0" t="n">
        <v>190.96</v>
      </c>
      <c r="L9" s="0" t="n">
        <v>22206</v>
      </c>
      <c r="M9" s="0" t="n">
        <v>9916</v>
      </c>
      <c r="N9" s="0" t="n">
        <v>12290</v>
      </c>
      <c r="O9" s="0" t="n">
        <v>177138</v>
      </c>
      <c r="P9" s="0" t="n">
        <v>283322</v>
      </c>
      <c r="Q9" s="0" t="n">
        <v>104168</v>
      </c>
      <c r="R9" s="0" t="n">
        <v>45624</v>
      </c>
      <c r="S9" s="0" t="n">
        <v>65771</v>
      </c>
      <c r="T9" s="0" t="n">
        <v>47.0618</v>
      </c>
      <c r="AA9" s="0" t="s">
        <v>17</v>
      </c>
      <c r="AB9" s="0" t="s">
        <v>14</v>
      </c>
      <c r="AC9" s="0" t="n">
        <v>14346</v>
      </c>
      <c r="AD9" s="0" t="n">
        <v>179154</v>
      </c>
    </row>
    <row r="10" customFormat="false" ht="15" hidden="false" customHeight="false" outlineLevel="0" collapsed="false">
      <c r="A10" s="0" t="s">
        <v>73</v>
      </c>
      <c r="B10" s="0" t="n">
        <v>209002</v>
      </c>
      <c r="C10" s="0" t="n">
        <v>145639</v>
      </c>
      <c r="D10" s="0" t="n">
        <v>63363</v>
      </c>
      <c r="E10" s="0" t="n">
        <v>30.3169</v>
      </c>
      <c r="F10" s="0" t="n">
        <v>19914</v>
      </c>
      <c r="G10" s="0" t="n">
        <v>9.5281</v>
      </c>
      <c r="H10" s="0" t="n">
        <v>32173</v>
      </c>
      <c r="I10" s="0" t="n">
        <v>13198</v>
      </c>
      <c r="J10" s="0" t="n">
        <v>6.3148</v>
      </c>
      <c r="K10" s="0" t="n">
        <v>280.46</v>
      </c>
      <c r="L10" s="0" t="n">
        <v>27405</v>
      </c>
      <c r="M10" s="0" t="n">
        <v>8956</v>
      </c>
      <c r="N10" s="0" t="n">
        <v>18449</v>
      </c>
      <c r="O10" s="0" t="n">
        <v>200205</v>
      </c>
      <c r="P10" s="0" t="n">
        <v>345763</v>
      </c>
      <c r="Q10" s="0" t="n">
        <v>143622</v>
      </c>
      <c r="R10" s="0" t="n">
        <v>71865</v>
      </c>
      <c r="S10" s="0" t="n">
        <v>103175</v>
      </c>
      <c r="T10" s="0" t="n">
        <v>47.0596</v>
      </c>
      <c r="AA10" s="0" t="s">
        <v>17</v>
      </c>
      <c r="AB10" s="0" t="s">
        <v>14</v>
      </c>
      <c r="AC10" s="0" t="n">
        <v>16642</v>
      </c>
      <c r="AD10" s="0" t="n">
        <v>202141</v>
      </c>
    </row>
    <row r="11" customFormat="false" ht="15" hidden="false" customHeight="false" outlineLevel="0" collapsed="false">
      <c r="A11" s="0" t="s">
        <v>74</v>
      </c>
      <c r="B11" s="0" t="n">
        <v>263114</v>
      </c>
      <c r="C11" s="0" t="n">
        <v>182708</v>
      </c>
      <c r="D11" s="0" t="n">
        <v>80406</v>
      </c>
      <c r="E11" s="0" t="n">
        <v>30.5594</v>
      </c>
      <c r="F11" s="0" t="n">
        <v>24887</v>
      </c>
      <c r="G11" s="0" t="n">
        <v>9.4586</v>
      </c>
      <c r="H11" s="0" t="n">
        <v>38108</v>
      </c>
      <c r="I11" s="0" t="n">
        <v>18299</v>
      </c>
      <c r="J11" s="0" t="n">
        <v>6.9548</v>
      </c>
      <c r="K11" s="0" t="n">
        <v>388.86</v>
      </c>
      <c r="L11" s="0" t="n">
        <v>27920</v>
      </c>
      <c r="M11" s="0" t="n">
        <v>12409</v>
      </c>
      <c r="N11" s="0" t="n">
        <v>15511</v>
      </c>
      <c r="O11" s="0" t="n">
        <v>229784</v>
      </c>
      <c r="P11" s="0" t="n">
        <v>370836</v>
      </c>
      <c r="Q11" s="0" t="n">
        <v>138701</v>
      </c>
      <c r="R11" s="0" t="n">
        <v>58622</v>
      </c>
      <c r="S11" s="0" t="n">
        <v>109217</v>
      </c>
      <c r="T11" s="0" t="n">
        <v>47.0583</v>
      </c>
      <c r="AA11" s="0" t="s">
        <v>17</v>
      </c>
      <c r="AB11" s="0" t="s">
        <v>14</v>
      </c>
      <c r="AC11" s="0" t="n">
        <v>26489</v>
      </c>
      <c r="AD11" s="0" t="n">
        <v>232136</v>
      </c>
    </row>
    <row r="12" customFormat="false" ht="15" hidden="false" customHeight="false" outlineLevel="0" collapsed="false">
      <c r="A12" s="0" t="s">
        <v>75</v>
      </c>
      <c r="B12" s="0" t="n">
        <v>284939</v>
      </c>
      <c r="C12" s="0" t="n">
        <v>203587</v>
      </c>
      <c r="D12" s="0" t="n">
        <v>81353</v>
      </c>
      <c r="E12" s="0" t="n">
        <v>28.551</v>
      </c>
      <c r="F12" s="0" t="n">
        <v>24823</v>
      </c>
      <c r="G12" s="0" t="n">
        <v>8.7117</v>
      </c>
      <c r="H12" s="0" t="n">
        <v>38597</v>
      </c>
      <c r="I12" s="0" t="n">
        <v>20289</v>
      </c>
      <c r="J12" s="0" t="n">
        <v>7.1205</v>
      </c>
      <c r="K12" s="0" t="n">
        <v>431.19</v>
      </c>
      <c r="L12" s="0" t="n">
        <v>23618</v>
      </c>
      <c r="M12" s="0" t="n">
        <v>14971</v>
      </c>
      <c r="N12" s="0" t="n">
        <v>8647</v>
      </c>
      <c r="O12" s="0" t="n">
        <v>255358</v>
      </c>
      <c r="P12" s="0" t="n">
        <v>378457</v>
      </c>
      <c r="Q12" s="0" t="n">
        <v>120766</v>
      </c>
      <c r="R12" s="0" t="n">
        <v>43231</v>
      </c>
      <c r="S12" s="0" t="n">
        <v>99620</v>
      </c>
      <c r="T12" s="0" t="n">
        <v>47.0567</v>
      </c>
      <c r="AA12" s="0" t="s">
        <v>17</v>
      </c>
      <c r="AB12" s="0" t="s">
        <v>14</v>
      </c>
      <c r="AC12" s="0" t="n">
        <v>25448</v>
      </c>
      <c r="AD12" s="0" t="n">
        <v>257692</v>
      </c>
    </row>
    <row r="13" customFormat="false" ht="15" hidden="false" customHeight="false" outlineLevel="0" collapsed="false">
      <c r="A13" s="0" t="s">
        <v>76</v>
      </c>
      <c r="B13" s="0" t="n">
        <v>287267</v>
      </c>
      <c r="C13" s="0" t="n">
        <v>201557</v>
      </c>
      <c r="D13" s="0" t="n">
        <v>85710</v>
      </c>
      <c r="E13" s="0" t="n">
        <v>29.8364</v>
      </c>
      <c r="F13" s="0" t="n">
        <v>27200</v>
      </c>
      <c r="G13" s="0" t="n">
        <v>9.4685</v>
      </c>
      <c r="H13" s="0" t="n">
        <v>40840</v>
      </c>
      <c r="I13" s="0" t="n">
        <v>21831</v>
      </c>
      <c r="J13" s="0" t="n">
        <v>7.5996</v>
      </c>
      <c r="K13" s="0" t="n">
        <v>233.66</v>
      </c>
      <c r="L13" s="0" t="n">
        <v>40217</v>
      </c>
      <c r="M13" s="0" t="n">
        <v>21947</v>
      </c>
      <c r="N13" s="0" t="n">
        <v>18270</v>
      </c>
      <c r="O13" s="0" t="n">
        <v>301161</v>
      </c>
      <c r="P13" s="0" t="n">
        <v>441162</v>
      </c>
      <c r="Q13" s="0" t="n">
        <v>137435</v>
      </c>
      <c r="R13" s="0" t="n">
        <v>48526</v>
      </c>
      <c r="S13" s="0" t="n">
        <v>121635</v>
      </c>
      <c r="T13" s="0" t="n">
        <v>94.1103</v>
      </c>
      <c r="AA13" s="0" t="s">
        <v>17</v>
      </c>
      <c r="AB13" s="0" t="s">
        <v>14</v>
      </c>
      <c r="AC13" s="0" t="n">
        <v>27458</v>
      </c>
      <c r="AD13" s="0" t="n">
        <v>303727</v>
      </c>
    </row>
    <row r="14" customFormat="false" ht="15" hidden="false" customHeight="false" outlineLevel="0" collapsed="false">
      <c r="A14" s="0" t="s">
        <v>77</v>
      </c>
      <c r="B14" s="0" t="n">
        <v>304773</v>
      </c>
      <c r="C14" s="0" t="n">
        <v>211223</v>
      </c>
      <c r="D14" s="0" t="n">
        <v>93550</v>
      </c>
      <c r="E14" s="0" t="n">
        <v>30.695</v>
      </c>
      <c r="F14" s="0" t="n">
        <v>24792</v>
      </c>
      <c r="G14" s="0" t="n">
        <v>8.1346</v>
      </c>
      <c r="H14" s="0" t="n">
        <v>38760</v>
      </c>
      <c r="I14" s="0" t="n">
        <v>19281</v>
      </c>
      <c r="J14" s="0" t="n">
        <v>6.3263</v>
      </c>
      <c r="K14" s="0" t="n">
        <v>208.91</v>
      </c>
      <c r="L14" s="0" t="n">
        <v>43711</v>
      </c>
      <c r="M14" s="0" t="n">
        <v>15646</v>
      </c>
      <c r="N14" s="0" t="n">
        <v>28065</v>
      </c>
      <c r="O14" s="0" t="n">
        <v>290672</v>
      </c>
      <c r="P14" s="0" t="n">
        <v>417778</v>
      </c>
      <c r="Q14" s="0" t="n">
        <v>124210</v>
      </c>
      <c r="R14" s="0" t="n">
        <v>30680</v>
      </c>
      <c r="S14" s="0" t="n">
        <v>103533</v>
      </c>
      <c r="T14" s="0" t="n">
        <v>93.4313</v>
      </c>
      <c r="AA14" s="0" t="s">
        <v>17</v>
      </c>
      <c r="AB14" s="0" t="s">
        <v>14</v>
      </c>
      <c r="AC14" s="0" t="n">
        <v>30837</v>
      </c>
      <c r="AD14" s="0" t="n">
        <v>293568</v>
      </c>
    </row>
    <row r="15" customFormat="false" ht="15" hidden="false" customHeight="false" outlineLevel="0" collapsed="false">
      <c r="A15" s="0" t="s">
        <v>78</v>
      </c>
      <c r="B15" s="0" t="n">
        <v>319867</v>
      </c>
      <c r="C15" s="0" t="n">
        <v>219759</v>
      </c>
      <c r="D15" s="0" t="n">
        <v>100108</v>
      </c>
      <c r="E15" s="0" t="n">
        <v>31.2968</v>
      </c>
      <c r="F15" s="0" t="n">
        <v>35478</v>
      </c>
      <c r="G15" s="0" t="n">
        <v>11.0915</v>
      </c>
      <c r="H15" s="0" t="n">
        <v>49735</v>
      </c>
      <c r="I15" s="0" t="n">
        <v>28014</v>
      </c>
      <c r="J15" s="0" t="n">
        <v>8.758</v>
      </c>
      <c r="K15" s="0" t="n">
        <v>319.52</v>
      </c>
      <c r="L15" s="0" t="n">
        <v>35003</v>
      </c>
      <c r="M15" s="0" t="n">
        <v>15446</v>
      </c>
      <c r="N15" s="0" t="n">
        <v>19557</v>
      </c>
      <c r="O15" s="0" t="n">
        <v>347186</v>
      </c>
      <c r="P15" s="0" t="n">
        <v>484167</v>
      </c>
      <c r="Q15" s="0" t="n">
        <v>133521</v>
      </c>
      <c r="R15" s="0" t="n">
        <v>27358</v>
      </c>
      <c r="S15" s="0" t="n">
        <v>124752</v>
      </c>
      <c r="T15" s="0" t="n">
        <v>92.2921</v>
      </c>
      <c r="AA15" s="0" t="s">
        <v>17</v>
      </c>
      <c r="AB15" s="0" t="s">
        <v>14</v>
      </c>
      <c r="AC15" s="0" t="n">
        <v>34490</v>
      </c>
      <c r="AD15" s="0" t="n">
        <v>350646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8109</v>
      </c>
    </row>
    <row r="3" customFormat="false" ht="15" hidden="false" customHeight="false" outlineLevel="0" collapsed="false">
      <c r="A3" s="0" t="s">
        <v>82</v>
      </c>
      <c r="B3" s="3" t="n">
        <v>87.735</v>
      </c>
    </row>
    <row r="4" customFormat="false" ht="15" hidden="false" customHeight="false" outlineLevel="0" collapsed="false">
      <c r="A4" s="0" t="s">
        <v>83</v>
      </c>
      <c r="B4" s="3" t="n">
        <v>-100082</v>
      </c>
    </row>
    <row r="5" customFormat="false" ht="15" hidden="false" customHeight="false" outlineLevel="0" collapsed="false">
      <c r="A5" s="0" t="s">
        <v>84</v>
      </c>
      <c r="B5" s="3" t="n">
        <v>18367</v>
      </c>
    </row>
    <row r="6" customFormat="false" ht="15" hidden="false" customHeight="false" outlineLevel="0" collapsed="false">
      <c r="A6" s="0" t="s">
        <v>85</v>
      </c>
      <c r="B6" s="3" t="n">
        <v>15</v>
      </c>
    </row>
    <row r="7" customFormat="false" ht="15" hidden="false" customHeight="false" outlineLevel="0" collapsed="false">
      <c r="A7" s="0" t="s">
        <v>86</v>
      </c>
      <c r="B7" s="3" t="n">
        <v>319867</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6</v>
      </c>
      <c r="D13" s="3" t="n">
        <v>-8</v>
      </c>
      <c r="E13" s="3" t="n">
        <v>-2</v>
      </c>
      <c r="F13" s="3" t="n">
        <v>3</v>
      </c>
      <c r="G13" s="3" t="n">
        <v>3</v>
      </c>
      <c r="H13" s="3" t="n">
        <v>3</v>
      </c>
      <c r="I13" s="3" t="n">
        <v>2.5</v>
      </c>
      <c r="J13" s="3" t="n">
        <v>2</v>
      </c>
      <c r="K13" s="3" t="n">
        <v>2</v>
      </c>
      <c r="L13" s="3" t="n">
        <v>2</v>
      </c>
    </row>
    <row r="14" customFormat="false" ht="15" hidden="false" customHeight="false" outlineLevel="0" collapsed="false">
      <c r="A14" s="0" t="s">
        <v>103</v>
      </c>
      <c r="C14" s="3" t="n">
        <v>15.5</v>
      </c>
      <c r="D14" s="3" t="n">
        <v>13</v>
      </c>
      <c r="E14" s="3" t="n">
        <v>13</v>
      </c>
      <c r="F14" s="3" t="n">
        <v>13.5</v>
      </c>
      <c r="G14" s="3" t="n">
        <v>14</v>
      </c>
      <c r="H14" s="3" t="n">
        <v>14.5</v>
      </c>
      <c r="I14" s="3" t="n">
        <v>14.5</v>
      </c>
      <c r="J14" s="3" t="n">
        <v>14.5</v>
      </c>
      <c r="K14" s="3" t="n">
        <v>14.5</v>
      </c>
      <c r="L14" s="3" t="n">
        <v>14.5</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0.4</v>
      </c>
      <c r="D16" s="3" t="n">
        <v>0.4</v>
      </c>
      <c r="E16" s="3" t="n">
        <v>0.4</v>
      </c>
      <c r="F16" s="3" t="n">
        <v>0.4</v>
      </c>
      <c r="G16" s="3" t="n">
        <v>0.4</v>
      </c>
      <c r="H16" s="3" t="n">
        <v>0.4</v>
      </c>
      <c r="I16" s="3" t="n">
        <v>0.4</v>
      </c>
      <c r="J16" s="3" t="n">
        <v>0.4</v>
      </c>
      <c r="K16" s="3" t="n">
        <v>0.4</v>
      </c>
      <c r="L16" s="3" t="n">
        <v>0.4</v>
      </c>
    </row>
    <row r="17" customFormat="false" ht="15" hidden="false" customHeight="false" outlineLevel="0" collapsed="false">
      <c r="A17" s="0" t="s">
        <v>106</v>
      </c>
      <c r="C17" s="3" t="n">
        <v>4.1</v>
      </c>
      <c r="D17" s="3" t="n">
        <v>4.1</v>
      </c>
      <c r="E17" s="3" t="n">
        <v>4.2</v>
      </c>
      <c r="F17" s="3" t="n">
        <v>4.2</v>
      </c>
      <c r="G17" s="3" t="n">
        <v>4.3</v>
      </c>
      <c r="H17" s="3" t="n">
        <v>4.3</v>
      </c>
      <c r="I17" s="3" t="n">
        <v>4.3</v>
      </c>
      <c r="J17" s="3" t="n">
        <v>4.3</v>
      </c>
      <c r="K17" s="3" t="n">
        <v>4.3</v>
      </c>
      <c r="L17" s="3" t="n">
        <v>4.3</v>
      </c>
    </row>
    <row r="18" customFormat="false" ht="15" hidden="false" customHeight="false" outlineLevel="0" collapsed="false">
      <c r="A18" s="0" t="s">
        <v>107</v>
      </c>
      <c r="C18" s="3" t="n">
        <v>5.2</v>
      </c>
      <c r="D18" s="3" t="n">
        <v>5</v>
      </c>
      <c r="E18" s="3" t="n">
        <v>4.8</v>
      </c>
      <c r="F18" s="3" t="n">
        <v>4.8</v>
      </c>
      <c r="G18" s="3" t="n">
        <v>4.8</v>
      </c>
      <c r="H18" s="3" t="n">
        <v>4.8</v>
      </c>
      <c r="I18" s="3" t="n">
        <v>4.6</v>
      </c>
      <c r="J18" s="3" t="n">
        <v>4.6</v>
      </c>
      <c r="K18" s="3" t="n">
        <v>4.5</v>
      </c>
      <c r="L18" s="3" t="n">
        <v>4.5</v>
      </c>
    </row>
    <row r="19" customFormat="false" ht="15" hidden="false" customHeight="false" outlineLevel="0" collapsed="false">
      <c r="A19" s="0" t="s">
        <v>108</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109</v>
      </c>
      <c r="B20" s="3" t="n">
        <v>8</v>
      </c>
    </row>
    <row r="21" customFormat="false" ht="15" hidden="false" customHeight="false" outlineLevel="0" collapsed="false">
      <c r="A21" s="0" t="s">
        <v>110</v>
      </c>
      <c r="B21" s="3" t="n">
        <v>1.5</v>
      </c>
    </row>
    <row r="22" customFormat="false" ht="15" hidden="false" customHeight="false" outlineLevel="0" collapsed="false">
      <c r="A22" s="0" t="s">
        <v>111</v>
      </c>
      <c r="B22" s="3" t="n">
        <v>13</v>
      </c>
    </row>
    <row r="23" customFormat="false" ht="15" hidden="false" customHeight="false" outlineLevel="0" collapsed="false">
      <c r="A23" s="0" t="s">
        <v>112</v>
      </c>
      <c r="B23" s="3" t="n">
        <v>-20</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13</v>
      </c>
      <c r="D27" s="3" t="n">
        <v>9</v>
      </c>
      <c r="E27" s="3" t="n">
        <v>5</v>
      </c>
      <c r="F27" s="3" t="n">
        <v>4</v>
      </c>
      <c r="G27" s="3" t="n">
        <v>4</v>
      </c>
      <c r="H27" s="3" t="n">
        <v>3.5</v>
      </c>
      <c r="I27" s="3" t="n">
        <v>3</v>
      </c>
      <c r="J27" s="3" t="n">
        <v>2.5</v>
      </c>
      <c r="K27" s="3" t="n">
        <v>2.5</v>
      </c>
      <c r="L27" s="3" t="n">
        <v>2</v>
      </c>
    </row>
    <row r="28" customFormat="false" ht="15" hidden="false" customHeight="false" outlineLevel="0" collapsed="false">
      <c r="A28" s="0" t="s">
        <v>103</v>
      </c>
      <c r="C28" s="3" t="n">
        <v>17</v>
      </c>
      <c r="D28" s="3" t="n">
        <v>16.8</v>
      </c>
      <c r="E28" s="3" t="n">
        <v>16.8</v>
      </c>
      <c r="F28" s="3" t="n">
        <v>16.8</v>
      </c>
      <c r="G28" s="3" t="n">
        <v>17</v>
      </c>
      <c r="H28" s="3" t="n">
        <v>17</v>
      </c>
      <c r="I28" s="3" t="n">
        <v>17</v>
      </c>
      <c r="J28" s="3" t="n">
        <v>17</v>
      </c>
      <c r="K28" s="3" t="n">
        <v>17</v>
      </c>
      <c r="L28" s="3" t="n">
        <v>17</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0.4</v>
      </c>
      <c r="D30" s="3" t="n">
        <v>0.4</v>
      </c>
      <c r="E30" s="3" t="n">
        <v>0.4</v>
      </c>
      <c r="F30" s="3" t="n">
        <v>0.4</v>
      </c>
      <c r="G30" s="3" t="n">
        <v>0.4</v>
      </c>
      <c r="H30" s="3" t="n">
        <v>0.4</v>
      </c>
      <c r="I30" s="3" t="n">
        <v>0.4</v>
      </c>
      <c r="J30" s="3" t="n">
        <v>0.4</v>
      </c>
      <c r="K30" s="3" t="n">
        <v>0.4</v>
      </c>
      <c r="L30" s="3" t="n">
        <v>0.4</v>
      </c>
    </row>
    <row r="31" customFormat="false" ht="15" hidden="false" customHeight="false" outlineLevel="0" collapsed="false">
      <c r="A31" s="0" t="s">
        <v>106</v>
      </c>
      <c r="C31" s="3" t="n">
        <v>4.1</v>
      </c>
      <c r="D31" s="3" t="n">
        <v>4.1</v>
      </c>
      <c r="E31" s="3" t="n">
        <v>4.2</v>
      </c>
      <c r="F31" s="3" t="n">
        <v>4.2</v>
      </c>
      <c r="G31" s="3" t="n">
        <v>4.3</v>
      </c>
      <c r="H31" s="3" t="n">
        <v>4.3</v>
      </c>
      <c r="I31" s="3" t="n">
        <v>4.3</v>
      </c>
      <c r="J31" s="3" t="n">
        <v>4.3</v>
      </c>
      <c r="K31" s="3" t="n">
        <v>4.3</v>
      </c>
      <c r="L31" s="3" t="n">
        <v>4.3</v>
      </c>
    </row>
    <row r="32" customFormat="false" ht="15" hidden="false" customHeight="false" outlineLevel="0" collapsed="false">
      <c r="A32" s="0" t="s">
        <v>107</v>
      </c>
      <c r="C32" s="3" t="n">
        <v>5.2</v>
      </c>
      <c r="D32" s="3" t="n">
        <v>5.2</v>
      </c>
      <c r="E32" s="3" t="n">
        <v>5</v>
      </c>
      <c r="F32" s="3" t="n">
        <v>5</v>
      </c>
      <c r="G32" s="3" t="n">
        <v>4.8</v>
      </c>
      <c r="H32" s="3" t="n">
        <v>4.8</v>
      </c>
      <c r="I32" s="3" t="n">
        <v>4.6</v>
      </c>
      <c r="J32" s="3" t="n">
        <v>4.6</v>
      </c>
      <c r="K32" s="3" t="n">
        <v>4.5</v>
      </c>
      <c r="L32" s="3" t="n">
        <v>4.5</v>
      </c>
    </row>
    <row r="33" customFormat="false" ht="15" hidden="false" customHeight="false" outlineLevel="0" collapsed="false">
      <c r="A33" s="0" t="s">
        <v>108</v>
      </c>
      <c r="C33" s="3" t="n">
        <v>29</v>
      </c>
      <c r="D33" s="3" t="n">
        <v>29</v>
      </c>
      <c r="E33" s="3" t="n">
        <v>29</v>
      </c>
      <c r="F33" s="3" t="n">
        <v>29</v>
      </c>
      <c r="G33" s="3" t="n">
        <v>29</v>
      </c>
      <c r="H33" s="3" t="n">
        <v>29</v>
      </c>
      <c r="I33" s="3" t="n">
        <v>29</v>
      </c>
      <c r="J33" s="3" t="n">
        <v>29</v>
      </c>
      <c r="K33" s="3" t="n">
        <v>29</v>
      </c>
      <c r="L33" s="3" t="n">
        <v>29</v>
      </c>
    </row>
    <row r="34" customFormat="false" ht="15" hidden="false" customHeight="false" outlineLevel="0" collapsed="false">
      <c r="A34" s="0" t="s">
        <v>109</v>
      </c>
      <c r="B34" s="3" t="n">
        <v>8</v>
      </c>
    </row>
    <row r="35" customFormat="false" ht="15" hidden="false" customHeight="false" outlineLevel="0" collapsed="false">
      <c r="A35" s="0" t="s">
        <v>110</v>
      </c>
      <c r="B35" s="3" t="n">
        <v>2</v>
      </c>
    </row>
    <row r="36" customFormat="false" ht="15" hidden="false" customHeight="false" outlineLevel="0" collapsed="false">
      <c r="A36" s="0" t="s">
        <v>111</v>
      </c>
      <c r="B36" s="3" t="n">
        <v>15</v>
      </c>
    </row>
    <row r="37" customFormat="false" ht="15" hidden="false" customHeight="false" outlineLevel="0" collapsed="false">
      <c r="A37" s="0" t="s">
        <v>112</v>
      </c>
      <c r="B37" s="3" t="n">
        <v>-20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17</v>
      </c>
      <c r="D41" s="3" t="n">
        <v>12</v>
      </c>
      <c r="E41" s="3" t="n">
        <v>8</v>
      </c>
      <c r="F41" s="3" t="n">
        <v>7</v>
      </c>
      <c r="G41" s="3" t="n">
        <v>6</v>
      </c>
      <c r="H41" s="3" t="n">
        <v>5</v>
      </c>
      <c r="I41" s="3" t="n">
        <v>4</v>
      </c>
      <c r="J41" s="3" t="n">
        <v>3</v>
      </c>
      <c r="K41" s="3" t="n">
        <v>3</v>
      </c>
      <c r="L41" s="3" t="n">
        <v>2.5</v>
      </c>
    </row>
    <row r="42" customFormat="false" ht="15" hidden="false" customHeight="false" outlineLevel="0" collapsed="false">
      <c r="A42" s="0" t="s">
        <v>103</v>
      </c>
      <c r="C42" s="3" t="n">
        <v>18.5</v>
      </c>
      <c r="D42" s="3" t="n">
        <v>19</v>
      </c>
      <c r="E42" s="3" t="n">
        <v>19</v>
      </c>
      <c r="F42" s="3" t="n">
        <v>19.5</v>
      </c>
      <c r="G42" s="3" t="n">
        <v>19.5</v>
      </c>
      <c r="H42" s="3" t="n">
        <v>19.5</v>
      </c>
      <c r="I42" s="3" t="n">
        <v>19.5</v>
      </c>
      <c r="J42" s="3" t="n">
        <v>19.5</v>
      </c>
      <c r="K42" s="3" t="n">
        <v>19.5</v>
      </c>
      <c r="L42" s="3" t="n">
        <v>19.5</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0.4</v>
      </c>
      <c r="D44" s="3" t="n">
        <v>0.4</v>
      </c>
      <c r="E44" s="3" t="n">
        <v>0.4</v>
      </c>
      <c r="F44" s="3" t="n">
        <v>0.4</v>
      </c>
      <c r="G44" s="3" t="n">
        <v>0.4</v>
      </c>
      <c r="H44" s="3" t="n">
        <v>0.4</v>
      </c>
      <c r="I44" s="3" t="n">
        <v>0.4</v>
      </c>
      <c r="J44" s="3" t="n">
        <v>0.4</v>
      </c>
      <c r="K44" s="3" t="n">
        <v>0.4</v>
      </c>
      <c r="L44" s="3" t="n">
        <v>0.4</v>
      </c>
    </row>
    <row r="45" customFormat="false" ht="15" hidden="false" customHeight="false" outlineLevel="0" collapsed="false">
      <c r="A45" s="0" t="s">
        <v>106</v>
      </c>
      <c r="C45" s="3" t="n">
        <v>4.1</v>
      </c>
      <c r="D45" s="3" t="n">
        <v>4.1</v>
      </c>
      <c r="E45" s="3" t="n">
        <v>4.2</v>
      </c>
      <c r="F45" s="3" t="n">
        <v>4.2</v>
      </c>
      <c r="G45" s="3" t="n">
        <v>4.3</v>
      </c>
      <c r="H45" s="3" t="n">
        <v>4.3</v>
      </c>
      <c r="I45" s="3" t="n">
        <v>4.3</v>
      </c>
      <c r="J45" s="3" t="n">
        <v>4.3</v>
      </c>
      <c r="K45" s="3" t="n">
        <v>4.3</v>
      </c>
      <c r="L45" s="3" t="n">
        <v>4.3</v>
      </c>
    </row>
    <row r="46" customFormat="false" ht="15" hidden="false" customHeight="false" outlineLevel="0" collapsed="false">
      <c r="A46" s="0" t="s">
        <v>107</v>
      </c>
      <c r="C46" s="3" t="n">
        <v>5.5</v>
      </c>
      <c r="D46" s="3" t="n">
        <v>5.5</v>
      </c>
      <c r="E46" s="3" t="n">
        <v>5.2</v>
      </c>
      <c r="F46" s="3" t="n">
        <v>5</v>
      </c>
      <c r="G46" s="3" t="n">
        <v>5</v>
      </c>
      <c r="H46" s="3" t="n">
        <v>4.8</v>
      </c>
      <c r="I46" s="3" t="n">
        <v>4.8</v>
      </c>
      <c r="J46" s="3" t="n">
        <v>4.6</v>
      </c>
      <c r="K46" s="3" t="n">
        <v>4.5</v>
      </c>
      <c r="L46" s="3" t="n">
        <v>4.5</v>
      </c>
    </row>
    <row r="47" customFormat="false" ht="15" hidden="false" customHeight="false" outlineLevel="0" collapsed="false">
      <c r="A47" s="0" t="s">
        <v>108</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109</v>
      </c>
      <c r="B48" s="3" t="n">
        <v>8</v>
      </c>
    </row>
    <row r="49" customFormat="false" ht="15" hidden="false" customHeight="false" outlineLevel="0" collapsed="false">
      <c r="A49" s="0" t="s">
        <v>110</v>
      </c>
      <c r="B49" s="3" t="n">
        <v>2.5</v>
      </c>
    </row>
    <row r="50" customFormat="false" ht="15" hidden="false" customHeight="false" outlineLevel="0" collapsed="false">
      <c r="A50" s="0" t="s">
        <v>111</v>
      </c>
      <c r="B50" s="3" t="n">
        <v>15</v>
      </c>
    </row>
    <row r="51" customFormat="false" ht="15" hidden="false" customHeight="false" outlineLevel="0" collapsed="false">
      <c r="A51" s="0" t="s">
        <v>112</v>
      </c>
      <c r="B51" s="3" t="n">
        <v>-20</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6</v>
      </c>
      <c r="D5" s="4" t="n">
        <f aca="false">Assumptions!D13</f>
        <v>-8</v>
      </c>
      <c r="E5" s="4" t="n">
        <f aca="false">Assumptions!E13</f>
        <v>-2</v>
      </c>
      <c r="F5" s="4" t="n">
        <f aca="false">Assumptions!F13</f>
        <v>3</v>
      </c>
      <c r="G5" s="4" t="n">
        <f aca="false">Assumptions!G13</f>
        <v>3</v>
      </c>
      <c r="H5" s="4" t="n">
        <f aca="false">Assumptions!H13</f>
        <v>3</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37</v>
      </c>
      <c r="B6" s="3" t="n">
        <v>319867</v>
      </c>
      <c r="C6" s="0" t="n">
        <f aca="false">B6*(1+C5/100)</f>
        <v>339059.02</v>
      </c>
      <c r="D6" s="0" t="n">
        <f aca="false">C6*(1+D5/100)</f>
        <v>311934.2984</v>
      </c>
      <c r="E6" s="0" t="n">
        <f aca="false">D6*(1+E5/100)</f>
        <v>305695.612432</v>
      </c>
      <c r="F6" s="0" t="n">
        <f aca="false">E6*(1+F5/100)</f>
        <v>314866.48080496</v>
      </c>
      <c r="G6" s="0" t="n">
        <f aca="false">F6*(1+G5/100)</f>
        <v>324312.475229109</v>
      </c>
      <c r="H6" s="0" t="n">
        <f aca="false">G6*(1+H5/100)</f>
        <v>334041.849485982</v>
      </c>
      <c r="I6" s="0" t="n">
        <f aca="false">H6*(1+I5/100)</f>
        <v>342392.895723132</v>
      </c>
      <c r="J6" s="0" t="n">
        <f aca="false">I6*(1+J5/100)</f>
        <v>349240.753637594</v>
      </c>
      <c r="K6" s="0" t="n">
        <f aca="false">J6*(1+K5/100)</f>
        <v>356225.568710346</v>
      </c>
      <c r="L6" s="0" t="n">
        <f aca="false">K6*(1+L5/100)</f>
        <v>363350.080084553</v>
      </c>
    </row>
    <row r="7" customFormat="false" ht="15" hidden="false" customHeight="false" outlineLevel="0" collapsed="false">
      <c r="A7" s="0" t="s">
        <v>103</v>
      </c>
      <c r="C7" s="4" t="n">
        <f aca="false">Assumptions!C14</f>
        <v>15.5</v>
      </c>
      <c r="D7" s="4" t="n">
        <f aca="false">Assumptions!D14</f>
        <v>13</v>
      </c>
      <c r="E7" s="4" t="n">
        <f aca="false">Assumptions!E14</f>
        <v>13</v>
      </c>
      <c r="F7" s="4" t="n">
        <f aca="false">Assumptions!F14</f>
        <v>13.5</v>
      </c>
      <c r="G7" s="4" t="n">
        <f aca="false">Assumptions!G14</f>
        <v>14</v>
      </c>
      <c r="H7" s="4" t="n">
        <f aca="false">Assumptions!H14</f>
        <v>14.5</v>
      </c>
      <c r="I7" s="4" t="n">
        <f aca="false">Assumptions!I14</f>
        <v>14.5</v>
      </c>
      <c r="J7" s="4" t="n">
        <f aca="false">Assumptions!J14</f>
        <v>14.5</v>
      </c>
      <c r="K7" s="4" t="n">
        <f aca="false">Assumptions!K14</f>
        <v>14.5</v>
      </c>
      <c r="L7" s="4" t="n">
        <f aca="false">Assumptions!L14</f>
        <v>14.5</v>
      </c>
    </row>
    <row r="8" customFormat="false" ht="15" hidden="false" customHeight="false" outlineLevel="0" collapsed="false">
      <c r="A8" s="0" t="s">
        <v>43</v>
      </c>
      <c r="C8" s="0" t="n">
        <f aca="false">C6*C7/100</f>
        <v>52554.1481</v>
      </c>
      <c r="D8" s="0" t="n">
        <f aca="false">D6*D7/100</f>
        <v>40551.458792</v>
      </c>
      <c r="E8" s="0" t="n">
        <f aca="false">E6*E7/100</f>
        <v>39740.42961616</v>
      </c>
      <c r="F8" s="0" t="n">
        <f aca="false">F6*F7/100</f>
        <v>42506.9749086696</v>
      </c>
      <c r="G8" s="0" t="n">
        <f aca="false">G6*G7/100</f>
        <v>45403.7465320752</v>
      </c>
      <c r="H8" s="0" t="n">
        <f aca="false">H6*H7/100</f>
        <v>48436.0681754674</v>
      </c>
      <c r="I8" s="0" t="n">
        <f aca="false">I6*I7/100</f>
        <v>49646.9698798541</v>
      </c>
      <c r="J8" s="0" t="n">
        <f aca="false">J6*J7/100</f>
        <v>50639.9092774512</v>
      </c>
      <c r="K8" s="0" t="n">
        <f aca="false">K6*K7/100</f>
        <v>51652.7074630002</v>
      </c>
      <c r="L8" s="0" t="n">
        <f aca="false">L6*L7/100</f>
        <v>52685.7616122602</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51197.91202</v>
      </c>
      <c r="D11" s="0" t="n">
        <f aca="false">D8+D10+D24</f>
        <v>39303.7215984</v>
      </c>
      <c r="E11" s="0" t="n">
        <f aca="false">E8+E10+E24</f>
        <v>38517.647166432</v>
      </c>
      <c r="F11" s="0" t="n">
        <f aca="false">F8+F10+F24</f>
        <v>41247.5089854498</v>
      </c>
      <c r="G11" s="0" t="n">
        <f aca="false">G8+G10+G24</f>
        <v>44106.4966311588</v>
      </c>
      <c r="H11" s="0" t="n">
        <f aca="false">H8+H10+H24</f>
        <v>47099.9007775235</v>
      </c>
      <c r="I11" s="0" t="n">
        <f aca="false">I8+I10+I24</f>
        <v>48277.3982969616</v>
      </c>
      <c r="J11" s="0" t="n">
        <f aca="false">J8+J10+J24</f>
        <v>49242.9462629008</v>
      </c>
      <c r="K11" s="0" t="n">
        <f aca="false">K8+K10+K24</f>
        <v>50227.8051881588</v>
      </c>
      <c r="L11" s="0" t="n">
        <f aca="false">L8+L10+L24</f>
        <v>51232.361291922</v>
      </c>
    </row>
    <row r="12" customFormat="false" ht="15" hidden="false" customHeight="false" outlineLevel="0" collapsed="false">
      <c r="A12" s="0" t="s">
        <v>121</v>
      </c>
      <c r="C12" s="4" t="n">
        <f aca="false">-C6*Assumptions!C17/100</f>
        <v>-13901.41982</v>
      </c>
      <c r="D12" s="4" t="n">
        <f aca="false">-D6*Assumptions!D17/100</f>
        <v>-12789.3062344</v>
      </c>
      <c r="E12" s="4" t="n">
        <f aca="false">-E6*Assumptions!E17/100</f>
        <v>-12839.215722144</v>
      </c>
      <c r="F12" s="4" t="n">
        <f aca="false">-F6*Assumptions!F17/100</f>
        <v>-13224.3921938083</v>
      </c>
      <c r="G12" s="4" t="n">
        <f aca="false">-G6*Assumptions!G17/100</f>
        <v>-13945.4364348517</v>
      </c>
      <c r="H12" s="4" t="n">
        <f aca="false">-H6*Assumptions!H17/100</f>
        <v>-14363.7995278972</v>
      </c>
      <c r="I12" s="4" t="n">
        <f aca="false">-I6*Assumptions!I17/100</f>
        <v>-14722.8945160947</v>
      </c>
      <c r="J12" s="4" t="n">
        <f aca="false">-J6*Assumptions!J17/100</f>
        <v>-15017.3524064166</v>
      </c>
      <c r="K12" s="4" t="n">
        <f aca="false">-K6*Assumptions!K17/100</f>
        <v>-15317.6994545449</v>
      </c>
      <c r="L12" s="4" t="n">
        <f aca="false">-L6*Assumptions!L17/100</f>
        <v>-15624.0534436358</v>
      </c>
    </row>
    <row r="13" customFormat="false" ht="15" hidden="false" customHeight="false" outlineLevel="0" collapsed="false">
      <c r="A13" s="0" t="s">
        <v>122</v>
      </c>
      <c r="C13" s="0" t="n">
        <f aca="false">C11+C12</f>
        <v>37296.4922</v>
      </c>
      <c r="D13" s="0" t="n">
        <f aca="false">D11+D12</f>
        <v>26514.415364</v>
      </c>
      <c r="E13" s="0" t="n">
        <f aca="false">E11+E12</f>
        <v>25678.431444288</v>
      </c>
      <c r="F13" s="0" t="n">
        <f aca="false">F11+F12</f>
        <v>28023.1167916414</v>
      </c>
      <c r="G13" s="0" t="n">
        <f aca="false">G11+G12</f>
        <v>30161.0601963071</v>
      </c>
      <c r="H13" s="0" t="n">
        <f aca="false">H11+H12</f>
        <v>32736.1012496262</v>
      </c>
      <c r="I13" s="0" t="n">
        <f aca="false">I11+I12</f>
        <v>33554.5037808669</v>
      </c>
      <c r="J13" s="0" t="n">
        <f aca="false">J11+J12</f>
        <v>34225.5938564842</v>
      </c>
      <c r="K13" s="0" t="n">
        <f aca="false">K11+K12</f>
        <v>34910.1057336139</v>
      </c>
      <c r="L13" s="0" t="n">
        <f aca="false">L11+L12</f>
        <v>35608.3078482862</v>
      </c>
    </row>
    <row r="14" customFormat="false" ht="15" hidden="false" customHeight="false" outlineLevel="0" collapsed="false">
      <c r="A14" s="0" t="s">
        <v>108</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123</v>
      </c>
      <c r="C15" s="0" t="n">
        <f aca="false">C13-MAX(0,C13)*C14/100</f>
        <v>26480.509462</v>
      </c>
      <c r="D15" s="0" t="n">
        <f aca="false">D13-MAX(0,D13)*D14/100</f>
        <v>18825.23490844</v>
      </c>
      <c r="E15" s="0" t="n">
        <f aca="false">E13-MAX(0,E13)*E14/100</f>
        <v>18231.6863254445</v>
      </c>
      <c r="F15" s="0" t="n">
        <f aca="false">F13-MAX(0,F13)*F14/100</f>
        <v>19896.4129220654</v>
      </c>
      <c r="G15" s="0" t="n">
        <f aca="false">G13-MAX(0,G13)*G14/100</f>
        <v>21414.3527393781</v>
      </c>
      <c r="H15" s="0" t="n">
        <f aca="false">H13-MAX(0,H13)*H14/100</f>
        <v>23242.6318872346</v>
      </c>
      <c r="I15" s="0" t="n">
        <f aca="false">I13-MAX(0,I13)*I14/100</f>
        <v>23823.6976844155</v>
      </c>
      <c r="J15" s="0" t="n">
        <f aca="false">J13-MAX(0,J13)*J14/100</f>
        <v>24300.1716381038</v>
      </c>
      <c r="K15" s="0" t="n">
        <f aca="false">K13-MAX(0,K13)*K14/100</f>
        <v>24786.1750708659</v>
      </c>
      <c r="L15" s="0" t="n">
        <f aca="false">L13-MAX(0,L13)*L14/100</f>
        <v>25281.8985722832</v>
      </c>
    </row>
    <row r="16" customFormat="false" ht="15" hidden="false" customHeight="false" outlineLevel="0" collapsed="false">
      <c r="A16" s="0" t="s">
        <v>124</v>
      </c>
      <c r="C16" s="0" t="n">
        <f aca="false">-C12</f>
        <v>13901.41982</v>
      </c>
      <c r="D16" s="0" t="n">
        <f aca="false">-D12</f>
        <v>12789.3062344</v>
      </c>
      <c r="E16" s="0" t="n">
        <f aca="false">-E12</f>
        <v>12839.215722144</v>
      </c>
      <c r="F16" s="0" t="n">
        <f aca="false">-F12</f>
        <v>13224.3921938083</v>
      </c>
      <c r="G16" s="0" t="n">
        <f aca="false">-G12</f>
        <v>13945.4364348517</v>
      </c>
      <c r="H16" s="0" t="n">
        <f aca="false">-H12</f>
        <v>14363.7995278972</v>
      </c>
      <c r="I16" s="0" t="n">
        <f aca="false">-I12</f>
        <v>14722.8945160947</v>
      </c>
      <c r="J16" s="0" t="n">
        <f aca="false">-J12</f>
        <v>15017.3524064166</v>
      </c>
      <c r="K16" s="0" t="n">
        <f aca="false">-K12</f>
        <v>15317.6994545449</v>
      </c>
      <c r="L16" s="0" t="n">
        <f aca="false">-L12</f>
        <v>15624.0534436358</v>
      </c>
    </row>
    <row r="17" customFormat="false" ht="15" hidden="false" customHeight="false" outlineLevel="0" collapsed="false">
      <c r="A17" s="0" t="s">
        <v>125</v>
      </c>
      <c r="C17" s="4" t="n">
        <f aca="false">-C6*Assumptions!C18/100</f>
        <v>-17631.06904</v>
      </c>
      <c r="D17" s="4" t="n">
        <f aca="false">-D6*Assumptions!D18/100</f>
        <v>-15596.71492</v>
      </c>
      <c r="E17" s="4" t="n">
        <f aca="false">-E6*Assumptions!E18/100</f>
        <v>-14673.389396736</v>
      </c>
      <c r="F17" s="4" t="n">
        <f aca="false">-F6*Assumptions!F18/100</f>
        <v>-15113.5910786381</v>
      </c>
      <c r="G17" s="4" t="n">
        <f aca="false">-G6*Assumptions!G18/100</f>
        <v>-15566.9988109972</v>
      </c>
      <c r="H17" s="4" t="n">
        <f aca="false">-H6*Assumptions!H18/100</f>
        <v>-16034.0087753271</v>
      </c>
      <c r="I17" s="4" t="n">
        <f aca="false">-I6*Assumptions!I18/100</f>
        <v>-15750.0732032641</v>
      </c>
      <c r="J17" s="4" t="n">
        <f aca="false">-J6*Assumptions!J18/100</f>
        <v>-16065.0746673293</v>
      </c>
      <c r="K17" s="4" t="n">
        <f aca="false">-K6*Assumptions!K18/100</f>
        <v>-16030.1505919656</v>
      </c>
      <c r="L17" s="4" t="n">
        <f aca="false">-L6*Assumptions!L18/100</f>
        <v>-16350.7536038049</v>
      </c>
    </row>
    <row r="18" customFormat="false" ht="15" hidden="false" customHeight="false" outlineLevel="0" collapsed="false">
      <c r="A18" s="0" t="s">
        <v>126</v>
      </c>
      <c r="C18" s="4" t="n">
        <f aca="false">(C6-B6)*Assumptions!$B$23/100</f>
        <v>-3838.404</v>
      </c>
      <c r="D18" s="4" t="n">
        <f aca="false">(D6-C6)*Assumptions!$B$23/100</f>
        <v>5424.94432</v>
      </c>
      <c r="E18" s="4" t="n">
        <f aca="false">(E6-D6)*Assumptions!$B$23/100</f>
        <v>1247.73719360001</v>
      </c>
      <c r="F18" s="4" t="n">
        <f aca="false">(F6-E6)*Assumptions!$B$23/100</f>
        <v>-1834.173674592</v>
      </c>
      <c r="G18" s="4" t="n">
        <f aca="false">(G6-F6)*Assumptions!$B$23/100</f>
        <v>-1889.19888482976</v>
      </c>
      <c r="H18" s="4" t="n">
        <f aca="false">(H6-G6)*Assumptions!$B$23/100</f>
        <v>-1945.87485137465</v>
      </c>
      <c r="I18" s="4" t="n">
        <f aca="false">(I6-H6)*Assumptions!$B$23/100</f>
        <v>-1670.2092474299</v>
      </c>
      <c r="J18" s="4" t="n">
        <f aca="false">(J6-I6)*Assumptions!$B$23/100</f>
        <v>-1369.57158289253</v>
      </c>
      <c r="K18" s="4" t="n">
        <f aca="false">(K6-J6)*Assumptions!$B$23/100</f>
        <v>-1396.96301455038</v>
      </c>
      <c r="L18" s="4" t="n">
        <f aca="false">(L6-K6)*Assumptions!$B$23/100</f>
        <v>-1424.90227484138</v>
      </c>
    </row>
    <row r="19" customFormat="false" ht="15" hidden="false" customHeight="false" outlineLevel="0" collapsed="false">
      <c r="A19" s="0" t="s">
        <v>127</v>
      </c>
      <c r="C19" s="0" t="n">
        <f aca="false">C15+C16+C17+C18</f>
        <v>18912.456242</v>
      </c>
      <c r="D19" s="0" t="n">
        <f aca="false">D15+D16+D17+D18</f>
        <v>21442.77054284</v>
      </c>
      <c r="E19" s="0" t="n">
        <f aca="false">E15+E16+E17+E18</f>
        <v>17645.2498444525</v>
      </c>
      <c r="F19" s="0" t="n">
        <f aca="false">F15+F16+F17+F18</f>
        <v>16173.0403626437</v>
      </c>
      <c r="G19" s="0" t="n">
        <f aca="false">G15+G16+G17+G18</f>
        <v>17903.5914784027</v>
      </c>
      <c r="H19" s="0" t="n">
        <f aca="false">H15+H16+H17+H18</f>
        <v>19626.5477884301</v>
      </c>
      <c r="I19" s="0" t="n">
        <f aca="false">I15+I16+I17+I18</f>
        <v>21126.3097498162</v>
      </c>
      <c r="J19" s="0" t="n">
        <f aca="false">J15+J16+J17+J18</f>
        <v>21882.8777942985</v>
      </c>
      <c r="K19" s="0" t="n">
        <f aca="false">K15+K16+K17+K18</f>
        <v>22676.7609188948</v>
      </c>
      <c r="L19" s="0" t="n">
        <f aca="false">L15+L16+L17+L18</f>
        <v>23130.2961372727</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17511.5335574074</v>
      </c>
      <c r="D21" s="0" t="n">
        <f aca="false">D19*D20</f>
        <v>18383.7196012003</v>
      </c>
      <c r="E21" s="0" t="n">
        <f aca="false">E19*E20</f>
        <v>14007.3682273825</v>
      </c>
      <c r="F21" s="0" t="n">
        <f aca="false">F19*F20</f>
        <v>11887.6674770251</v>
      </c>
      <c r="G21" s="0" t="n">
        <f aca="false">G19*G20</f>
        <v>12184.8835267576</v>
      </c>
      <c r="H21" s="0" t="n">
        <f aca="false">H19*H20</f>
        <v>12368.0542968384</v>
      </c>
      <c r="I21" s="0" t="n">
        <f aca="false">I19*I20</f>
        <v>12326.9988263505</v>
      </c>
      <c r="J21" s="0" t="n">
        <f aca="false">J19*J20</f>
        <v>11822.6379756187</v>
      </c>
      <c r="K21" s="0" t="n">
        <f aca="false">K19*K20</f>
        <v>11344.0262275642</v>
      </c>
      <c r="L21" s="0" t="n">
        <f aca="false">L19*L20</f>
        <v>10713.802548255</v>
      </c>
    </row>
    <row r="23" customFormat="false" ht="15" hidden="false" customHeight="false" outlineLevel="0" collapsed="false">
      <c r="A23" s="0" t="s">
        <v>105</v>
      </c>
      <c r="C23" s="4" t="n">
        <f aca="false">Assumptions!C16</f>
        <v>0.4</v>
      </c>
      <c r="D23" s="4" t="n">
        <f aca="false">Assumptions!D16</f>
        <v>0.4</v>
      </c>
      <c r="E23" s="4" t="n">
        <f aca="false">Assumptions!E16</f>
        <v>0.4</v>
      </c>
      <c r="F23" s="4" t="n">
        <f aca="false">Assumptions!F16</f>
        <v>0.4</v>
      </c>
      <c r="G23" s="4" t="n">
        <f aca="false">Assumptions!G16</f>
        <v>0.4</v>
      </c>
      <c r="H23" s="4" t="n">
        <f aca="false">Assumptions!H16</f>
        <v>0.4</v>
      </c>
      <c r="I23" s="4" t="n">
        <f aca="false">Assumptions!I16</f>
        <v>0.4</v>
      </c>
      <c r="J23" s="4" t="n">
        <f aca="false">Assumptions!J16</f>
        <v>0.4</v>
      </c>
      <c r="K23" s="4" t="n">
        <f aca="false">Assumptions!K16</f>
        <v>0.4</v>
      </c>
      <c r="L23" s="4" t="n">
        <f aca="false">Assumptions!L16</f>
        <v>0.4</v>
      </c>
    </row>
    <row r="24" customFormat="false" ht="15" hidden="false" customHeight="false" outlineLevel="0" collapsed="false">
      <c r="A24" s="0" t="s">
        <v>130</v>
      </c>
      <c r="C24" s="0" t="n">
        <f aca="false">-C6*C23/100</f>
        <v>-1356.23608</v>
      </c>
      <c r="D24" s="0" t="n">
        <f aca="false">-D6*D23/100</f>
        <v>-1247.7371936</v>
      </c>
      <c r="E24" s="0" t="n">
        <f aca="false">-E6*E23/100</f>
        <v>-1222.782449728</v>
      </c>
      <c r="F24" s="0" t="n">
        <f aca="false">-F6*F23/100</f>
        <v>-1259.46592321984</v>
      </c>
      <c r="G24" s="0" t="n">
        <f aca="false">-G6*G23/100</f>
        <v>-1297.24990091644</v>
      </c>
      <c r="H24" s="0" t="n">
        <f aca="false">-H6*H23/100</f>
        <v>-1336.16739794393</v>
      </c>
      <c r="I24" s="0" t="n">
        <f aca="false">-I6*I23/100</f>
        <v>-1369.57158289253</v>
      </c>
      <c r="J24" s="0" t="n">
        <f aca="false">-J6*J23/100</f>
        <v>-1396.96301455038</v>
      </c>
      <c r="K24" s="0" t="n">
        <f aca="false">-K6*K23/100</f>
        <v>-1424.90227484138</v>
      </c>
      <c r="L24" s="0" t="n">
        <f aca="false">-L6*L23/100</f>
        <v>-1453.40032033821</v>
      </c>
    </row>
    <row r="26" customFormat="false" ht="15" hidden="false" customHeight="false" outlineLevel="0" collapsed="false">
      <c r="A26" s="2" t="s">
        <v>131</v>
      </c>
    </row>
    <row r="27" customFormat="false" ht="15" hidden="false" customHeight="false" outlineLevel="0" collapsed="false">
      <c r="A27" s="0" t="s">
        <v>109</v>
      </c>
      <c r="B27" s="4" t="n">
        <f aca="false">Assumptions!$B$20</f>
        <v>8</v>
      </c>
    </row>
    <row r="28" customFormat="false" ht="15" hidden="false" customHeight="false" outlineLevel="0" collapsed="false">
      <c r="A28" s="0" t="s">
        <v>110</v>
      </c>
      <c r="B28" s="4" t="n">
        <f aca="false">Assumptions!$B$21</f>
        <v>1.5</v>
      </c>
    </row>
    <row r="29" customFormat="false" ht="15" hidden="false" customHeight="false" outlineLevel="0" collapsed="false">
      <c r="A29" s="0" t="s">
        <v>111</v>
      </c>
      <c r="B29" s="4" t="n">
        <f aca="false">Assumptions!$B$22</f>
        <v>13</v>
      </c>
    </row>
    <row r="30" customFormat="false" ht="15" hidden="false" customHeight="false" outlineLevel="0" collapsed="false">
      <c r="A30" s="0" t="s">
        <v>132</v>
      </c>
      <c r="B30" s="0" t="n">
        <f aca="false">SUM(C21:L21)</f>
        <v>132550.6922644</v>
      </c>
    </row>
    <row r="31" customFormat="false" ht="15" hidden="false" customHeight="false" outlineLevel="0" collapsed="false">
      <c r="A31" s="0" t="s">
        <v>133</v>
      </c>
      <c r="B31" s="0" t="n">
        <f aca="false">L19</f>
        <v>23130.2961372727</v>
      </c>
    </row>
    <row r="32" customFormat="false" ht="15" hidden="false" customHeight="false" outlineLevel="0" collapsed="false">
      <c r="A32" s="0" t="s">
        <v>134</v>
      </c>
      <c r="B32" s="0" t="n">
        <f aca="false">IF(B27&gt;B28,B31*(1+B28/100)/((B27-B28)/100),B31*B29)</f>
        <v>361188.470451259</v>
      </c>
    </row>
    <row r="33" customFormat="false" ht="15" hidden="false" customHeight="false" outlineLevel="0" collapsed="false">
      <c r="A33" s="0" t="s">
        <v>135</v>
      </c>
      <c r="B33" s="0" t="n">
        <f aca="false">B31*B29</f>
        <v>300693.849784545</v>
      </c>
    </row>
    <row r="34" customFormat="false" ht="15" hidden="false" customHeight="false" outlineLevel="0" collapsed="false">
      <c r="A34" s="0" t="s">
        <v>136</v>
      </c>
      <c r="B34" s="0" t="n">
        <f aca="false">MAX(0,MIN(B32,B33))</f>
        <v>300693.849784545</v>
      </c>
    </row>
    <row r="35" customFormat="false" ht="15" hidden="false" customHeight="false" outlineLevel="0" collapsed="false">
      <c r="A35" s="0" t="s">
        <v>137</v>
      </c>
      <c r="B35" s="0" t="n">
        <f aca="false">B34/(1+B27/100)^L4</f>
        <v>139279.433127316</v>
      </c>
    </row>
    <row r="36" customFormat="false" ht="15" hidden="false" customHeight="false" outlineLevel="0" collapsed="false">
      <c r="A36" s="0" t="s">
        <v>138</v>
      </c>
      <c r="B36" s="0" t="n">
        <f aca="false">B30+B35</f>
        <v>271830.125391715</v>
      </c>
    </row>
    <row r="37" customFormat="false" ht="15" hidden="false" customHeight="false" outlineLevel="0" collapsed="false">
      <c r="A37" s="0" t="s">
        <v>139</v>
      </c>
      <c r="B37" s="0" t="n">
        <f aca="false">B36+Assumptions!$B$5-Assumptions!$B$4</f>
        <v>390279.125391715</v>
      </c>
    </row>
    <row r="38" customFormat="false" ht="15" hidden="false" customHeight="false" outlineLevel="0" collapsed="false">
      <c r="A38" s="0" t="s">
        <v>140</v>
      </c>
      <c r="B38" s="0" t="n">
        <f aca="false">B37/Assumptions!$B$3*Assumptions!$B$10</f>
        <v>4448.38576841301</v>
      </c>
    </row>
    <row r="39" customFormat="false" ht="15" hidden="false" customHeight="false" outlineLevel="0" collapsed="false">
      <c r="A39" s="0" t="s">
        <v>141</v>
      </c>
      <c r="B39" s="4" t="n">
        <f aca="false">B38/Assumptions!$B$2-1</f>
        <v>-0.451426098358243</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4448.38576841301</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173905.559846902</v>
      </c>
    </row>
    <row r="47" customFormat="false" ht="15" hidden="false" customHeight="false" outlineLevel="0" collapsed="false">
      <c r="A47" s="0" t="s">
        <v>146</v>
      </c>
      <c r="B47" s="0" t="n">
        <f aca="false">(SUMPRODUCT(C19:L19/(1+B45/100)^C4:L4)+B46/(1+B45/100)^L4+Assumptions!$B$5-Assumptions!$B$4)/Assumptions!$B$3*Assumptions!$B$10</f>
        <v>2958.79544093739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13</v>
      </c>
      <c r="D5" s="4" t="n">
        <f aca="false">Assumptions!D27</f>
        <v>9</v>
      </c>
      <c r="E5" s="4" t="n">
        <f aca="false">Assumptions!E27</f>
        <v>5</v>
      </c>
      <c r="F5" s="4" t="n">
        <f aca="false">Assumptions!F27</f>
        <v>4</v>
      </c>
      <c r="G5" s="4" t="n">
        <f aca="false">Assumptions!G27</f>
        <v>4</v>
      </c>
      <c r="H5" s="4" t="n">
        <f aca="false">Assumptions!H27</f>
        <v>3.5</v>
      </c>
      <c r="I5" s="4" t="n">
        <f aca="false">Assumptions!I27</f>
        <v>3</v>
      </c>
      <c r="J5" s="4" t="n">
        <f aca="false">Assumptions!J27</f>
        <v>2.5</v>
      </c>
      <c r="K5" s="4" t="n">
        <f aca="false">Assumptions!K27</f>
        <v>2.5</v>
      </c>
      <c r="L5" s="4" t="n">
        <f aca="false">Assumptions!L27</f>
        <v>2</v>
      </c>
    </row>
    <row r="6" customFormat="false" ht="15" hidden="false" customHeight="false" outlineLevel="0" collapsed="false">
      <c r="A6" s="0" t="s">
        <v>37</v>
      </c>
      <c r="B6" s="3" t="n">
        <v>319867</v>
      </c>
      <c r="C6" s="0" t="n">
        <f aca="false">B6*(1+C5/100)</f>
        <v>361449.71</v>
      </c>
      <c r="D6" s="0" t="n">
        <f aca="false">C6*(1+D5/100)</f>
        <v>393980.1839</v>
      </c>
      <c r="E6" s="0" t="n">
        <f aca="false">D6*(1+E5/100)</f>
        <v>413679.193095</v>
      </c>
      <c r="F6" s="0" t="n">
        <f aca="false">E6*(1+F5/100)</f>
        <v>430226.3608188</v>
      </c>
      <c r="G6" s="0" t="n">
        <f aca="false">F6*(1+G5/100)</f>
        <v>447435.415251552</v>
      </c>
      <c r="H6" s="0" t="n">
        <f aca="false">G6*(1+H5/100)</f>
        <v>463095.654785356</v>
      </c>
      <c r="I6" s="0" t="n">
        <f aca="false">H6*(1+I5/100)</f>
        <v>476988.524428917</v>
      </c>
      <c r="J6" s="0" t="n">
        <f aca="false">I6*(1+J5/100)</f>
        <v>488913.23753964</v>
      </c>
      <c r="K6" s="0" t="n">
        <f aca="false">J6*(1+K5/100)</f>
        <v>501136.068478131</v>
      </c>
      <c r="L6" s="0" t="n">
        <f aca="false">K6*(1+L5/100)</f>
        <v>511158.789847694</v>
      </c>
    </row>
    <row r="7" customFormat="false" ht="15" hidden="false" customHeight="false" outlineLevel="0" collapsed="false">
      <c r="A7" s="0" t="s">
        <v>103</v>
      </c>
      <c r="C7" s="4" t="n">
        <f aca="false">Assumptions!C28</f>
        <v>17</v>
      </c>
      <c r="D7" s="4" t="n">
        <f aca="false">Assumptions!D28</f>
        <v>16.8</v>
      </c>
      <c r="E7" s="4" t="n">
        <f aca="false">Assumptions!E28</f>
        <v>16.8</v>
      </c>
      <c r="F7" s="4" t="n">
        <f aca="false">Assumptions!F28</f>
        <v>16.8</v>
      </c>
      <c r="G7" s="4" t="n">
        <f aca="false">Assumptions!G28</f>
        <v>17</v>
      </c>
      <c r="H7" s="4" t="n">
        <f aca="false">Assumptions!H28</f>
        <v>17</v>
      </c>
      <c r="I7" s="4" t="n">
        <f aca="false">Assumptions!I28</f>
        <v>17</v>
      </c>
      <c r="J7" s="4" t="n">
        <f aca="false">Assumptions!J28</f>
        <v>17</v>
      </c>
      <c r="K7" s="4" t="n">
        <f aca="false">Assumptions!K28</f>
        <v>17</v>
      </c>
      <c r="L7" s="4" t="n">
        <f aca="false">Assumptions!L28</f>
        <v>17</v>
      </c>
    </row>
    <row r="8" customFormat="false" ht="15" hidden="false" customHeight="false" outlineLevel="0" collapsed="false">
      <c r="A8" s="0" t="s">
        <v>43</v>
      </c>
      <c r="C8" s="0" t="n">
        <f aca="false">C6*C7/100</f>
        <v>61446.4507</v>
      </c>
      <c r="D8" s="0" t="n">
        <f aca="false">D6*D7/100</f>
        <v>66188.6708952</v>
      </c>
      <c r="E8" s="0" t="n">
        <f aca="false">E6*E7/100</f>
        <v>69498.10443996</v>
      </c>
      <c r="F8" s="0" t="n">
        <f aca="false">F6*F7/100</f>
        <v>72278.0286175584</v>
      </c>
      <c r="G8" s="0" t="n">
        <f aca="false">G6*G7/100</f>
        <v>76064.0205927639</v>
      </c>
      <c r="H8" s="0" t="n">
        <f aca="false">H6*H7/100</f>
        <v>78726.2613135106</v>
      </c>
      <c r="I8" s="0" t="n">
        <f aca="false">I6*I7/100</f>
        <v>81088.0491529159</v>
      </c>
      <c r="J8" s="0" t="n">
        <f aca="false">J6*J7/100</f>
        <v>83115.2503817388</v>
      </c>
      <c r="K8" s="0" t="n">
        <f aca="false">K6*K7/100</f>
        <v>85193.1316412823</v>
      </c>
      <c r="L8" s="0" t="n">
        <f aca="false">L6*L7/100</f>
        <v>86896.9942741079</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60000.65186</v>
      </c>
      <c r="D11" s="0" t="n">
        <f aca="false">D8+D10+D24</f>
        <v>64612.7501596</v>
      </c>
      <c r="E11" s="0" t="n">
        <f aca="false">E8+E10+E24</f>
        <v>67843.38766758</v>
      </c>
      <c r="F11" s="0" t="n">
        <f aca="false">F8+F10+F24</f>
        <v>70557.1231742832</v>
      </c>
      <c r="G11" s="0" t="n">
        <f aca="false">G8+G10+G24</f>
        <v>74274.2789317576</v>
      </c>
      <c r="H11" s="0" t="n">
        <f aca="false">H8+H10+H24</f>
        <v>76873.8786943692</v>
      </c>
      <c r="I11" s="0" t="n">
        <f aca="false">I8+I10+I24</f>
        <v>79180.0950552002</v>
      </c>
      <c r="J11" s="0" t="n">
        <f aca="false">J8+J10+J24</f>
        <v>81159.5974315802</v>
      </c>
      <c r="K11" s="0" t="n">
        <f aca="false">K8+K10+K24</f>
        <v>83188.5873673697</v>
      </c>
      <c r="L11" s="0" t="n">
        <f aca="false">L8+L10+L24</f>
        <v>84852.3591147171</v>
      </c>
    </row>
    <row r="12" customFormat="false" ht="15" hidden="false" customHeight="false" outlineLevel="0" collapsed="false">
      <c r="A12" s="0" t="s">
        <v>121</v>
      </c>
      <c r="C12" s="4" t="n">
        <f aca="false">-C6*Assumptions!C31/100</f>
        <v>-14819.43811</v>
      </c>
      <c r="D12" s="4" t="n">
        <f aca="false">-D6*Assumptions!D31/100</f>
        <v>-16153.1875399</v>
      </c>
      <c r="E12" s="4" t="n">
        <f aca="false">-E6*Assumptions!E31/100</f>
        <v>-17374.52610999</v>
      </c>
      <c r="F12" s="4" t="n">
        <f aca="false">-F6*Assumptions!F31/100</f>
        <v>-18069.5071543896</v>
      </c>
      <c r="G12" s="4" t="n">
        <f aca="false">-G6*Assumptions!G31/100</f>
        <v>-19239.7228558167</v>
      </c>
      <c r="H12" s="4" t="n">
        <f aca="false">-H6*Assumptions!H31/100</f>
        <v>-19913.1131557703</v>
      </c>
      <c r="I12" s="4" t="n">
        <f aca="false">-I6*Assumptions!I31/100</f>
        <v>-20510.5065504434</v>
      </c>
      <c r="J12" s="4" t="n">
        <f aca="false">-J6*Assumptions!J31/100</f>
        <v>-21023.2692142045</v>
      </c>
      <c r="K12" s="4" t="n">
        <f aca="false">-K6*Assumptions!K31/100</f>
        <v>-21548.8509445596</v>
      </c>
      <c r="L12" s="4" t="n">
        <f aca="false">-L6*Assumptions!L31/100</f>
        <v>-21979.8279634508</v>
      </c>
    </row>
    <row r="13" customFormat="false" ht="15" hidden="false" customHeight="false" outlineLevel="0" collapsed="false">
      <c r="A13" s="0" t="s">
        <v>122</v>
      </c>
      <c r="C13" s="0" t="n">
        <f aca="false">C11+C12</f>
        <v>45181.21375</v>
      </c>
      <c r="D13" s="0" t="n">
        <f aca="false">D11+D12</f>
        <v>48459.5626197</v>
      </c>
      <c r="E13" s="0" t="n">
        <f aca="false">E11+E12</f>
        <v>50468.86155759</v>
      </c>
      <c r="F13" s="0" t="n">
        <f aca="false">F11+F12</f>
        <v>52487.6160198936</v>
      </c>
      <c r="G13" s="0" t="n">
        <f aca="false">G11+G12</f>
        <v>55034.5560759409</v>
      </c>
      <c r="H13" s="0" t="n">
        <f aca="false">H11+H12</f>
        <v>56960.7655385988</v>
      </c>
      <c r="I13" s="0" t="n">
        <f aca="false">I11+I12</f>
        <v>58669.5885047568</v>
      </c>
      <c r="J13" s="0" t="n">
        <f aca="false">J11+J12</f>
        <v>60136.3282173757</v>
      </c>
      <c r="K13" s="0" t="n">
        <f aca="false">K11+K12</f>
        <v>61639.7364228101</v>
      </c>
      <c r="L13" s="0" t="n">
        <f aca="false">L11+L12</f>
        <v>62872.5311512663</v>
      </c>
    </row>
    <row r="14" customFormat="false" ht="15" hidden="false" customHeight="false" outlineLevel="0" collapsed="false">
      <c r="A14" s="0" t="s">
        <v>108</v>
      </c>
      <c r="C14" s="4" t="n">
        <f aca="false">Assumptions!C33</f>
        <v>29</v>
      </c>
      <c r="D14" s="4" t="n">
        <f aca="false">Assumptions!D33</f>
        <v>29</v>
      </c>
      <c r="E14" s="4" t="n">
        <f aca="false">Assumptions!E33</f>
        <v>29</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123</v>
      </c>
      <c r="C15" s="0" t="n">
        <f aca="false">C13-MAX(0,C13)*C14/100</f>
        <v>32078.6617625</v>
      </c>
      <c r="D15" s="0" t="n">
        <f aca="false">D13-MAX(0,D13)*D14/100</f>
        <v>34406.289459987</v>
      </c>
      <c r="E15" s="0" t="n">
        <f aca="false">E13-MAX(0,E13)*E14/100</f>
        <v>35832.8917058889</v>
      </c>
      <c r="F15" s="0" t="n">
        <f aca="false">F13-MAX(0,F13)*F14/100</f>
        <v>37266.2073741245</v>
      </c>
      <c r="G15" s="0" t="n">
        <f aca="false">G13-MAX(0,G13)*G14/100</f>
        <v>39074.534813918</v>
      </c>
      <c r="H15" s="0" t="n">
        <f aca="false">H13-MAX(0,H13)*H14/100</f>
        <v>40442.1435324052</v>
      </c>
      <c r="I15" s="0" t="n">
        <f aca="false">I13-MAX(0,I13)*I14/100</f>
        <v>41655.4078383773</v>
      </c>
      <c r="J15" s="0" t="n">
        <f aca="false">J13-MAX(0,J13)*J14/100</f>
        <v>42696.7930343368</v>
      </c>
      <c r="K15" s="0" t="n">
        <f aca="false">K13-MAX(0,K13)*K14/100</f>
        <v>43764.2128601952</v>
      </c>
      <c r="L15" s="0" t="n">
        <f aca="false">L13-MAX(0,L13)*L14/100</f>
        <v>44639.4971173991</v>
      </c>
    </row>
    <row r="16" customFormat="false" ht="15" hidden="false" customHeight="false" outlineLevel="0" collapsed="false">
      <c r="A16" s="0" t="s">
        <v>124</v>
      </c>
      <c r="C16" s="0" t="n">
        <f aca="false">-C12</f>
        <v>14819.43811</v>
      </c>
      <c r="D16" s="0" t="n">
        <f aca="false">-D12</f>
        <v>16153.1875399</v>
      </c>
      <c r="E16" s="0" t="n">
        <f aca="false">-E12</f>
        <v>17374.52610999</v>
      </c>
      <c r="F16" s="0" t="n">
        <f aca="false">-F12</f>
        <v>18069.5071543896</v>
      </c>
      <c r="G16" s="0" t="n">
        <f aca="false">-G12</f>
        <v>19239.7228558167</v>
      </c>
      <c r="H16" s="0" t="n">
        <f aca="false">-H12</f>
        <v>19913.1131557703</v>
      </c>
      <c r="I16" s="0" t="n">
        <f aca="false">-I12</f>
        <v>20510.5065504434</v>
      </c>
      <c r="J16" s="0" t="n">
        <f aca="false">-J12</f>
        <v>21023.2692142045</v>
      </c>
      <c r="K16" s="0" t="n">
        <f aca="false">-K12</f>
        <v>21548.8509445596</v>
      </c>
      <c r="L16" s="0" t="n">
        <f aca="false">-L12</f>
        <v>21979.8279634508</v>
      </c>
    </row>
    <row r="17" customFormat="false" ht="15" hidden="false" customHeight="false" outlineLevel="0" collapsed="false">
      <c r="A17" s="0" t="s">
        <v>125</v>
      </c>
      <c r="C17" s="4" t="n">
        <f aca="false">-C6*Assumptions!C32/100</f>
        <v>-18795.38492</v>
      </c>
      <c r="D17" s="4" t="n">
        <f aca="false">-D6*Assumptions!D32/100</f>
        <v>-20486.9695628</v>
      </c>
      <c r="E17" s="4" t="n">
        <f aca="false">-E6*Assumptions!E32/100</f>
        <v>-20683.95965475</v>
      </c>
      <c r="F17" s="4" t="n">
        <f aca="false">-F6*Assumptions!F32/100</f>
        <v>-21511.31804094</v>
      </c>
      <c r="G17" s="4" t="n">
        <f aca="false">-G6*Assumptions!G32/100</f>
        <v>-21476.8999320745</v>
      </c>
      <c r="H17" s="4" t="n">
        <f aca="false">-H6*Assumptions!H32/100</f>
        <v>-22228.5914296971</v>
      </c>
      <c r="I17" s="4" t="n">
        <f aca="false">-I6*Assumptions!I32/100</f>
        <v>-21941.4721237302</v>
      </c>
      <c r="J17" s="4" t="n">
        <f aca="false">-J6*Assumptions!J32/100</f>
        <v>-22490.0089268234</v>
      </c>
      <c r="K17" s="4" t="n">
        <f aca="false">-K6*Assumptions!K32/100</f>
        <v>-22551.1230815159</v>
      </c>
      <c r="L17" s="4" t="n">
        <f aca="false">-L6*Assumptions!L32/100</f>
        <v>-23002.1455431462</v>
      </c>
    </row>
    <row r="18" customFormat="false" ht="15" hidden="false" customHeight="false" outlineLevel="0" collapsed="false">
      <c r="A18" s="0" t="s">
        <v>126</v>
      </c>
      <c r="C18" s="4" t="n">
        <f aca="false">(C6-B6)*Assumptions!$B$37/100</f>
        <v>-8316.54199999999</v>
      </c>
      <c r="D18" s="4" t="n">
        <f aca="false">(D6-C6)*Assumptions!$B$37/100</f>
        <v>-6506.09478000001</v>
      </c>
      <c r="E18" s="4" t="n">
        <f aca="false">(E6-D6)*Assumptions!$B$37/100</f>
        <v>-3939.801839</v>
      </c>
      <c r="F18" s="4" t="n">
        <f aca="false">(F6-E6)*Assumptions!$B$37/100</f>
        <v>-3309.43354476</v>
      </c>
      <c r="G18" s="4" t="n">
        <f aca="false">(G6-F6)*Assumptions!$B$37/100</f>
        <v>-3441.8108865504</v>
      </c>
      <c r="H18" s="4" t="n">
        <f aca="false">(H6-G6)*Assumptions!$B$37/100</f>
        <v>-3132.04790676086</v>
      </c>
      <c r="I18" s="4" t="n">
        <f aca="false">(I6-H6)*Assumptions!$B$37/100</f>
        <v>-2778.57392871215</v>
      </c>
      <c r="J18" s="4" t="n">
        <f aca="false">(J6-I6)*Assumptions!$B$37/100</f>
        <v>-2384.94262214458</v>
      </c>
      <c r="K18" s="4" t="n">
        <f aca="false">(K6-J6)*Assumptions!$B$37/100</f>
        <v>-2444.5661876982</v>
      </c>
      <c r="L18" s="4" t="n">
        <f aca="false">(L6-K6)*Assumptions!$B$37/100</f>
        <v>-2004.54427391252</v>
      </c>
    </row>
    <row r="19" customFormat="false" ht="15" hidden="false" customHeight="false" outlineLevel="0" collapsed="false">
      <c r="A19" s="0" t="s">
        <v>127</v>
      </c>
      <c r="C19" s="0" t="n">
        <f aca="false">C15+C16+C17+C18</f>
        <v>19786.1729525</v>
      </c>
      <c r="D19" s="0" t="n">
        <f aca="false">D15+D16+D17+D18</f>
        <v>23566.412657087</v>
      </c>
      <c r="E19" s="0" t="n">
        <f aca="false">E15+E16+E17+E18</f>
        <v>28583.6563221289</v>
      </c>
      <c r="F19" s="0" t="n">
        <f aca="false">F15+F16+F17+F18</f>
        <v>30514.9629428141</v>
      </c>
      <c r="G19" s="0" t="n">
        <f aca="false">G15+G16+G17+G18</f>
        <v>33395.5468511099</v>
      </c>
      <c r="H19" s="0" t="n">
        <f aca="false">H15+H16+H17+H18</f>
        <v>34994.6173517175</v>
      </c>
      <c r="I19" s="0" t="n">
        <f aca="false">I15+I16+I17+I18</f>
        <v>37445.8683363784</v>
      </c>
      <c r="J19" s="0" t="n">
        <f aca="false">J15+J16+J17+J18</f>
        <v>38845.1106995733</v>
      </c>
      <c r="K19" s="0" t="n">
        <f aca="false">K15+K16+K17+K18</f>
        <v>40317.3745355407</v>
      </c>
      <c r="L19" s="0" t="n">
        <f aca="false">L15+L16+L17+L18</f>
        <v>41612.6352637912</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18320.5305115741</v>
      </c>
      <c r="D21" s="0" t="n">
        <f aca="false">D19*D20</f>
        <v>20204.400426172</v>
      </c>
      <c r="E21" s="0" t="n">
        <f aca="false">E19*E20</f>
        <v>22690.6279547459</v>
      </c>
      <c r="F21" s="0" t="n">
        <f aca="false">F19*F20</f>
        <v>22429.4087199458</v>
      </c>
      <c r="G21" s="0" t="n">
        <f aca="false">G19*G20</f>
        <v>22728.4480426188</v>
      </c>
      <c r="H21" s="0" t="n">
        <f aca="false">H19*H20</f>
        <v>22052.5449594489</v>
      </c>
      <c r="I21" s="0" t="n">
        <f aca="false">I19*I20</f>
        <v>21849.3045165273</v>
      </c>
      <c r="J21" s="0" t="n">
        <f aca="false">J19*J20</f>
        <v>20986.8046260142</v>
      </c>
      <c r="K21" s="0" t="n">
        <f aca="false">K19*K20</f>
        <v>20168.7249688564</v>
      </c>
      <c r="L21" s="0" t="n">
        <f aca="false">L19*L20</f>
        <v>19274.7016762312</v>
      </c>
    </row>
    <row r="23" customFormat="false" ht="15" hidden="false" customHeight="false" outlineLevel="0" collapsed="false">
      <c r="A23" s="0" t="s">
        <v>105</v>
      </c>
      <c r="C23" s="4" t="n">
        <f aca="false">Assumptions!C30</f>
        <v>0.4</v>
      </c>
      <c r="D23" s="4" t="n">
        <f aca="false">Assumptions!D30</f>
        <v>0.4</v>
      </c>
      <c r="E23" s="4" t="n">
        <f aca="false">Assumptions!E30</f>
        <v>0.4</v>
      </c>
      <c r="F23" s="4" t="n">
        <f aca="false">Assumptions!F30</f>
        <v>0.4</v>
      </c>
      <c r="G23" s="4" t="n">
        <f aca="false">Assumptions!G30</f>
        <v>0.4</v>
      </c>
      <c r="H23" s="4" t="n">
        <f aca="false">Assumptions!H30</f>
        <v>0.4</v>
      </c>
      <c r="I23" s="4" t="n">
        <f aca="false">Assumptions!I30</f>
        <v>0.4</v>
      </c>
      <c r="J23" s="4" t="n">
        <f aca="false">Assumptions!J30</f>
        <v>0.4</v>
      </c>
      <c r="K23" s="4" t="n">
        <f aca="false">Assumptions!K30</f>
        <v>0.4</v>
      </c>
      <c r="L23" s="4" t="n">
        <f aca="false">Assumptions!L30</f>
        <v>0.4</v>
      </c>
    </row>
    <row r="24" customFormat="false" ht="15" hidden="false" customHeight="false" outlineLevel="0" collapsed="false">
      <c r="A24" s="0" t="s">
        <v>130</v>
      </c>
      <c r="C24" s="0" t="n">
        <f aca="false">-C6*C23/100</f>
        <v>-1445.79884</v>
      </c>
      <c r="D24" s="0" t="n">
        <f aca="false">-D6*D23/100</f>
        <v>-1575.9207356</v>
      </c>
      <c r="E24" s="0" t="n">
        <f aca="false">-E6*E23/100</f>
        <v>-1654.71677238</v>
      </c>
      <c r="F24" s="0" t="n">
        <f aca="false">-F6*F23/100</f>
        <v>-1720.9054432752</v>
      </c>
      <c r="G24" s="0" t="n">
        <f aca="false">-G6*G23/100</f>
        <v>-1789.74166100621</v>
      </c>
      <c r="H24" s="0" t="n">
        <f aca="false">-H6*H23/100</f>
        <v>-1852.38261914143</v>
      </c>
      <c r="I24" s="0" t="n">
        <f aca="false">-I6*I23/100</f>
        <v>-1907.95409771567</v>
      </c>
      <c r="J24" s="0" t="n">
        <f aca="false">-J6*J23/100</f>
        <v>-1955.65295015856</v>
      </c>
      <c r="K24" s="0" t="n">
        <f aca="false">-K6*K23/100</f>
        <v>-2004.54427391252</v>
      </c>
      <c r="L24" s="0" t="n">
        <f aca="false">-L6*L23/100</f>
        <v>-2044.63515939077</v>
      </c>
    </row>
    <row r="26" customFormat="false" ht="15" hidden="false" customHeight="false" outlineLevel="0" collapsed="false">
      <c r="A26" s="2" t="s">
        <v>131</v>
      </c>
    </row>
    <row r="27" customFormat="false" ht="15" hidden="false" customHeight="false" outlineLevel="0" collapsed="false">
      <c r="A27" s="0" t="s">
        <v>109</v>
      </c>
      <c r="B27" s="4" t="n">
        <f aca="false">Assumptions!$B$34</f>
        <v>8</v>
      </c>
    </row>
    <row r="28" customFormat="false" ht="15" hidden="false" customHeight="false" outlineLevel="0" collapsed="false">
      <c r="A28" s="0" t="s">
        <v>110</v>
      </c>
      <c r="B28" s="4" t="n">
        <f aca="false">Assumptions!$B$35</f>
        <v>2</v>
      </c>
    </row>
    <row r="29" customFormat="false" ht="15" hidden="false" customHeight="false" outlineLevel="0" collapsed="false">
      <c r="A29" s="0" t="s">
        <v>111</v>
      </c>
      <c r="B29" s="4" t="n">
        <f aca="false">Assumptions!$B$36</f>
        <v>15</v>
      </c>
    </row>
    <row r="30" customFormat="false" ht="15" hidden="false" customHeight="false" outlineLevel="0" collapsed="false">
      <c r="A30" s="0" t="s">
        <v>132</v>
      </c>
      <c r="B30" s="0" t="n">
        <f aca="false">SUM(C21:L21)</f>
        <v>210705.496402135</v>
      </c>
    </row>
    <row r="31" customFormat="false" ht="15" hidden="false" customHeight="false" outlineLevel="0" collapsed="false">
      <c r="A31" s="0" t="s">
        <v>133</v>
      </c>
      <c r="B31" s="0" t="n">
        <f aca="false">L19</f>
        <v>41612.6352637912</v>
      </c>
    </row>
    <row r="32" customFormat="false" ht="15" hidden="false" customHeight="false" outlineLevel="0" collapsed="false">
      <c r="A32" s="0" t="s">
        <v>134</v>
      </c>
      <c r="B32" s="0" t="n">
        <f aca="false">IF(B27&gt;B28,B31*(1+B28/100)/((B27-B28)/100),B31*B29)</f>
        <v>707414.79948445</v>
      </c>
    </row>
    <row r="33" customFormat="false" ht="15" hidden="false" customHeight="false" outlineLevel="0" collapsed="false">
      <c r="A33" s="0" t="s">
        <v>135</v>
      </c>
      <c r="B33" s="0" t="n">
        <f aca="false">B31*B29</f>
        <v>624189.528956868</v>
      </c>
    </row>
    <row r="34" customFormat="false" ht="15" hidden="false" customHeight="false" outlineLevel="0" collapsed="false">
      <c r="A34" s="0" t="s">
        <v>136</v>
      </c>
      <c r="B34" s="0" t="n">
        <f aca="false">MAX(0,MIN(B32,B33))</f>
        <v>624189.528956868</v>
      </c>
    </row>
    <row r="35" customFormat="false" ht="15" hidden="false" customHeight="false" outlineLevel="0" collapsed="false">
      <c r="A35" s="0" t="s">
        <v>137</v>
      </c>
      <c r="B35" s="0" t="n">
        <f aca="false">B34/(1+B27/100)^L4</f>
        <v>289120.525143467</v>
      </c>
    </row>
    <row r="36" customFormat="false" ht="15" hidden="false" customHeight="false" outlineLevel="0" collapsed="false">
      <c r="A36" s="0" t="s">
        <v>138</v>
      </c>
      <c r="B36" s="0" t="n">
        <f aca="false">B30+B35</f>
        <v>499826.021545602</v>
      </c>
    </row>
    <row r="37" customFormat="false" ht="15" hidden="false" customHeight="false" outlineLevel="0" collapsed="false">
      <c r="A37" s="0" t="s">
        <v>139</v>
      </c>
      <c r="B37" s="0" t="n">
        <f aca="false">B36+Assumptions!$B$5-Assumptions!$B$4</f>
        <v>618275.021545602</v>
      </c>
    </row>
    <row r="38" customFormat="false" ht="15" hidden="false" customHeight="false" outlineLevel="0" collapsed="false">
      <c r="A38" s="0" t="s">
        <v>140</v>
      </c>
      <c r="B38" s="0" t="n">
        <f aca="false">B37/Assumptions!$B$3*Assumptions!$B$10</f>
        <v>7047.07381940619</v>
      </c>
    </row>
    <row r="39" customFormat="false" ht="15" hidden="false" customHeight="false" outlineLevel="0" collapsed="false">
      <c r="A39" s="0" t="s">
        <v>141</v>
      </c>
      <c r="B39" s="4" t="n">
        <f aca="false">B38/Assumptions!$B$2-1</f>
        <v>-0.130956490392627</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7047.07381940619</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326499.138223592</v>
      </c>
    </row>
    <row r="47" customFormat="false" ht="15" hidden="false" customHeight="false" outlineLevel="0" collapsed="false">
      <c r="A47" s="0" t="s">
        <v>146</v>
      </c>
      <c r="B47" s="0" t="n">
        <f aca="false">(SUMPRODUCT(C19:L19/(1+B45/100)^C4:L4)+B46/(1+B45/100)^L4+Assumptions!$B$5-Assumptions!$B$4)/Assumptions!$B$3*Assumptions!$B$10</f>
        <v>3996.99065952355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17</v>
      </c>
      <c r="D5" s="4" t="n">
        <f aca="false">Assumptions!D41</f>
        <v>12</v>
      </c>
      <c r="E5" s="4" t="n">
        <f aca="false">Assumptions!E41</f>
        <v>8</v>
      </c>
      <c r="F5" s="4" t="n">
        <f aca="false">Assumptions!F41</f>
        <v>7</v>
      </c>
      <c r="G5" s="4" t="n">
        <f aca="false">Assumptions!G41</f>
        <v>6</v>
      </c>
      <c r="H5" s="4" t="n">
        <f aca="false">Assumptions!H41</f>
        <v>5</v>
      </c>
      <c r="I5" s="4" t="n">
        <f aca="false">Assumptions!I41</f>
        <v>4</v>
      </c>
      <c r="J5" s="4" t="n">
        <f aca="false">Assumptions!J41</f>
        <v>3</v>
      </c>
      <c r="K5" s="4" t="n">
        <f aca="false">Assumptions!K41</f>
        <v>3</v>
      </c>
      <c r="L5" s="4" t="n">
        <f aca="false">Assumptions!L41</f>
        <v>2.5</v>
      </c>
    </row>
    <row r="6" customFormat="false" ht="15" hidden="false" customHeight="false" outlineLevel="0" collapsed="false">
      <c r="A6" s="0" t="s">
        <v>37</v>
      </c>
      <c r="B6" s="3" t="n">
        <v>319867</v>
      </c>
      <c r="C6" s="0" t="n">
        <f aca="false">B6*(1+C5/100)</f>
        <v>374244.39</v>
      </c>
      <c r="D6" s="0" t="n">
        <f aca="false">C6*(1+D5/100)</f>
        <v>419153.7168</v>
      </c>
      <c r="E6" s="0" t="n">
        <f aca="false">D6*(1+E5/100)</f>
        <v>452686.014144</v>
      </c>
      <c r="F6" s="0" t="n">
        <f aca="false">E6*(1+F5/100)</f>
        <v>484374.03513408</v>
      </c>
      <c r="G6" s="0" t="n">
        <f aca="false">F6*(1+G5/100)</f>
        <v>513436.477242125</v>
      </c>
      <c r="H6" s="0" t="n">
        <f aca="false">G6*(1+H5/100)</f>
        <v>539108.301104231</v>
      </c>
      <c r="I6" s="0" t="n">
        <f aca="false">H6*(1+I5/100)</f>
        <v>560672.633148401</v>
      </c>
      <c r="J6" s="0" t="n">
        <f aca="false">I6*(1+J5/100)</f>
        <v>577492.812142853</v>
      </c>
      <c r="K6" s="0" t="n">
        <f aca="false">J6*(1+K5/100)</f>
        <v>594817.596507138</v>
      </c>
      <c r="L6" s="0" t="n">
        <f aca="false">K6*(1+L5/100)</f>
        <v>609688.036419817</v>
      </c>
    </row>
    <row r="7" customFormat="false" ht="15" hidden="false" customHeight="false" outlineLevel="0" collapsed="false">
      <c r="A7" s="0" t="s">
        <v>103</v>
      </c>
      <c r="C7" s="4" t="n">
        <f aca="false">Assumptions!C42</f>
        <v>18.5</v>
      </c>
      <c r="D7" s="4" t="n">
        <f aca="false">Assumptions!D42</f>
        <v>19</v>
      </c>
      <c r="E7" s="4" t="n">
        <f aca="false">Assumptions!E42</f>
        <v>19</v>
      </c>
      <c r="F7" s="4" t="n">
        <f aca="false">Assumptions!F42</f>
        <v>19.5</v>
      </c>
      <c r="G7" s="4" t="n">
        <f aca="false">Assumptions!G42</f>
        <v>19.5</v>
      </c>
      <c r="H7" s="4" t="n">
        <f aca="false">Assumptions!H42</f>
        <v>19.5</v>
      </c>
      <c r="I7" s="4" t="n">
        <f aca="false">Assumptions!I42</f>
        <v>19.5</v>
      </c>
      <c r="J7" s="4" t="n">
        <f aca="false">Assumptions!J42</f>
        <v>19.5</v>
      </c>
      <c r="K7" s="4" t="n">
        <f aca="false">Assumptions!K42</f>
        <v>19.5</v>
      </c>
      <c r="L7" s="4" t="n">
        <f aca="false">Assumptions!L42</f>
        <v>19.5</v>
      </c>
    </row>
    <row r="8" customFormat="false" ht="15" hidden="false" customHeight="false" outlineLevel="0" collapsed="false">
      <c r="A8" s="0" t="s">
        <v>43</v>
      </c>
      <c r="C8" s="0" t="n">
        <f aca="false">C6*C7/100</f>
        <v>69235.21215</v>
      </c>
      <c r="D8" s="0" t="n">
        <f aca="false">D6*D7/100</f>
        <v>79639.206192</v>
      </c>
      <c r="E8" s="0" t="n">
        <f aca="false">E6*E7/100</f>
        <v>86010.34268736</v>
      </c>
      <c r="F8" s="0" t="n">
        <f aca="false">F6*F7/100</f>
        <v>94452.9368511456</v>
      </c>
      <c r="G8" s="0" t="n">
        <f aca="false">G6*G7/100</f>
        <v>100120.113062214</v>
      </c>
      <c r="H8" s="0" t="n">
        <f aca="false">H6*H7/100</f>
        <v>105126.118715325</v>
      </c>
      <c r="I8" s="0" t="n">
        <f aca="false">I6*I7/100</f>
        <v>109331.163463938</v>
      </c>
      <c r="J8" s="0" t="n">
        <f aca="false">J6*J7/100</f>
        <v>112611.098367856</v>
      </c>
      <c r="K8" s="0" t="n">
        <f aca="false">K6*K7/100</f>
        <v>115989.431318892</v>
      </c>
      <c r="L8" s="0" t="n">
        <f aca="false">L6*L7/100</f>
        <v>118889.167101864</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67738.23459</v>
      </c>
      <c r="D11" s="0" t="n">
        <f aca="false">D8+D10+D24</f>
        <v>77962.5913248</v>
      </c>
      <c r="E11" s="0" t="n">
        <f aca="false">E8+E10+E24</f>
        <v>84199.598630784</v>
      </c>
      <c r="F11" s="0" t="n">
        <f aca="false">F8+F10+F24</f>
        <v>92515.4407106093</v>
      </c>
      <c r="G11" s="0" t="n">
        <f aca="false">G8+G10+G24</f>
        <v>98066.3671532459</v>
      </c>
      <c r="H11" s="0" t="n">
        <f aca="false">H8+H10+H24</f>
        <v>102969.685510908</v>
      </c>
      <c r="I11" s="0" t="n">
        <f aca="false">I8+I10+I24</f>
        <v>107088.472931345</v>
      </c>
      <c r="J11" s="0" t="n">
        <f aca="false">J8+J10+J24</f>
        <v>110301.127119285</v>
      </c>
      <c r="K11" s="0" t="n">
        <f aca="false">K8+K10+K24</f>
        <v>113610.160932863</v>
      </c>
      <c r="L11" s="0" t="n">
        <f aca="false">L8+L10+L24</f>
        <v>116450.414956185</v>
      </c>
    </row>
    <row r="12" customFormat="false" ht="15" hidden="false" customHeight="false" outlineLevel="0" collapsed="false">
      <c r="A12" s="0" t="s">
        <v>121</v>
      </c>
      <c r="C12" s="4" t="n">
        <f aca="false">-C6*Assumptions!C45/100</f>
        <v>-15344.01999</v>
      </c>
      <c r="D12" s="4" t="n">
        <f aca="false">-D6*Assumptions!D45/100</f>
        <v>-17185.3023888</v>
      </c>
      <c r="E12" s="4" t="n">
        <f aca="false">-E6*Assumptions!E45/100</f>
        <v>-19012.812594048</v>
      </c>
      <c r="F12" s="4" t="n">
        <f aca="false">-F6*Assumptions!F45/100</f>
        <v>-20343.7094756314</v>
      </c>
      <c r="G12" s="4" t="n">
        <f aca="false">-G6*Assumptions!G45/100</f>
        <v>-22077.7685214114</v>
      </c>
      <c r="H12" s="4" t="n">
        <f aca="false">-H6*Assumptions!H45/100</f>
        <v>-23181.6569474819</v>
      </c>
      <c r="I12" s="4" t="n">
        <f aca="false">-I6*Assumptions!I45/100</f>
        <v>-24108.9232253812</v>
      </c>
      <c r="J12" s="4" t="n">
        <f aca="false">-J6*Assumptions!J45/100</f>
        <v>-24832.1909221427</v>
      </c>
      <c r="K12" s="4" t="n">
        <f aca="false">-K6*Assumptions!K45/100</f>
        <v>-25577.1566498069</v>
      </c>
      <c r="L12" s="4" t="n">
        <f aca="false">-L6*Assumptions!L45/100</f>
        <v>-26216.5855660521</v>
      </c>
    </row>
    <row r="13" customFormat="false" ht="15" hidden="false" customHeight="false" outlineLevel="0" collapsed="false">
      <c r="A13" s="0" t="s">
        <v>122</v>
      </c>
      <c r="C13" s="0" t="n">
        <f aca="false">C11+C12</f>
        <v>52394.2146</v>
      </c>
      <c r="D13" s="0" t="n">
        <f aca="false">D11+D12</f>
        <v>60777.288936</v>
      </c>
      <c r="E13" s="0" t="n">
        <f aca="false">E11+E12</f>
        <v>65186.786036736</v>
      </c>
      <c r="F13" s="0" t="n">
        <f aca="false">F11+F12</f>
        <v>72171.7312349779</v>
      </c>
      <c r="G13" s="0" t="n">
        <f aca="false">G11+G12</f>
        <v>75988.5986318345</v>
      </c>
      <c r="H13" s="0" t="n">
        <f aca="false">H11+H12</f>
        <v>79788.0285634262</v>
      </c>
      <c r="I13" s="0" t="n">
        <f aca="false">I11+I12</f>
        <v>82979.5497059633</v>
      </c>
      <c r="J13" s="0" t="n">
        <f aca="false">J11+J12</f>
        <v>85468.9361971422</v>
      </c>
      <c r="K13" s="0" t="n">
        <f aca="false">K11+K12</f>
        <v>88033.0042830564</v>
      </c>
      <c r="L13" s="0" t="n">
        <f aca="false">L11+L12</f>
        <v>90233.8293901329</v>
      </c>
    </row>
    <row r="14" customFormat="false" ht="15" hidden="false" customHeight="false" outlineLevel="0" collapsed="false">
      <c r="A14" s="0" t="s">
        <v>108</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123</v>
      </c>
      <c r="C15" s="0" t="n">
        <f aca="false">C13-MAX(0,C13)*C14/100</f>
        <v>37199.892366</v>
      </c>
      <c r="D15" s="0" t="n">
        <f aca="false">D13-MAX(0,D13)*D14/100</f>
        <v>43151.87514456</v>
      </c>
      <c r="E15" s="0" t="n">
        <f aca="false">E13-MAX(0,E13)*E14/100</f>
        <v>46282.6180860826</v>
      </c>
      <c r="F15" s="0" t="n">
        <f aca="false">F13-MAX(0,F13)*F14/100</f>
        <v>51241.9291768343</v>
      </c>
      <c r="G15" s="0" t="n">
        <f aca="false">G13-MAX(0,G13)*G14/100</f>
        <v>53951.9050286025</v>
      </c>
      <c r="H15" s="0" t="n">
        <f aca="false">H13-MAX(0,H13)*H14/100</f>
        <v>56649.5002800326</v>
      </c>
      <c r="I15" s="0" t="n">
        <f aca="false">I13-MAX(0,I13)*I14/100</f>
        <v>58915.4802912339</v>
      </c>
      <c r="J15" s="0" t="n">
        <f aca="false">J13-MAX(0,J13)*J14/100</f>
        <v>60682.944699971</v>
      </c>
      <c r="K15" s="0" t="n">
        <f aca="false">K13-MAX(0,K13)*K14/100</f>
        <v>62503.4330409701</v>
      </c>
      <c r="L15" s="0" t="n">
        <f aca="false">L13-MAX(0,L13)*L14/100</f>
        <v>64066.0188669943</v>
      </c>
    </row>
    <row r="16" customFormat="false" ht="15" hidden="false" customHeight="false" outlineLevel="0" collapsed="false">
      <c r="A16" s="0" t="s">
        <v>124</v>
      </c>
      <c r="C16" s="0" t="n">
        <f aca="false">-C12</f>
        <v>15344.01999</v>
      </c>
      <c r="D16" s="0" t="n">
        <f aca="false">-D12</f>
        <v>17185.3023888</v>
      </c>
      <c r="E16" s="0" t="n">
        <f aca="false">-E12</f>
        <v>19012.812594048</v>
      </c>
      <c r="F16" s="0" t="n">
        <f aca="false">-F12</f>
        <v>20343.7094756314</v>
      </c>
      <c r="G16" s="0" t="n">
        <f aca="false">-G12</f>
        <v>22077.7685214114</v>
      </c>
      <c r="H16" s="0" t="n">
        <f aca="false">-H12</f>
        <v>23181.6569474819</v>
      </c>
      <c r="I16" s="0" t="n">
        <f aca="false">-I12</f>
        <v>24108.9232253812</v>
      </c>
      <c r="J16" s="0" t="n">
        <f aca="false">-J12</f>
        <v>24832.1909221427</v>
      </c>
      <c r="K16" s="0" t="n">
        <f aca="false">-K12</f>
        <v>25577.1566498069</v>
      </c>
      <c r="L16" s="0" t="n">
        <f aca="false">-L12</f>
        <v>26216.5855660521</v>
      </c>
    </row>
    <row r="17" customFormat="false" ht="15" hidden="false" customHeight="false" outlineLevel="0" collapsed="false">
      <c r="A17" s="0" t="s">
        <v>125</v>
      </c>
      <c r="C17" s="4" t="n">
        <f aca="false">-C6*Assumptions!C46/100</f>
        <v>-20583.44145</v>
      </c>
      <c r="D17" s="4" t="n">
        <f aca="false">-D6*Assumptions!D46/100</f>
        <v>-23053.454424</v>
      </c>
      <c r="E17" s="4" t="n">
        <f aca="false">-E6*Assumptions!E46/100</f>
        <v>-23539.672735488</v>
      </c>
      <c r="F17" s="4" t="n">
        <f aca="false">-F6*Assumptions!F46/100</f>
        <v>-24218.701756704</v>
      </c>
      <c r="G17" s="4" t="n">
        <f aca="false">-G6*Assumptions!G46/100</f>
        <v>-25671.8238621062</v>
      </c>
      <c r="H17" s="4" t="n">
        <f aca="false">-H6*Assumptions!H46/100</f>
        <v>-25877.1984530031</v>
      </c>
      <c r="I17" s="4" t="n">
        <f aca="false">-I6*Assumptions!I46/100</f>
        <v>-26912.2863911232</v>
      </c>
      <c r="J17" s="4" t="n">
        <f aca="false">-J6*Assumptions!J46/100</f>
        <v>-26564.6693585712</v>
      </c>
      <c r="K17" s="4" t="n">
        <f aca="false">-K6*Assumptions!K46/100</f>
        <v>-26766.7918428212</v>
      </c>
      <c r="L17" s="4" t="n">
        <f aca="false">-L6*Assumptions!L46/100</f>
        <v>-27435.9616388917</v>
      </c>
    </row>
    <row r="18" customFormat="false" ht="15" hidden="false" customHeight="false" outlineLevel="0" collapsed="false">
      <c r="A18" s="0" t="s">
        <v>126</v>
      </c>
      <c r="C18" s="4" t="n">
        <f aca="false">(C6-B6)*Assumptions!$B$51/100</f>
        <v>-10875.478</v>
      </c>
      <c r="D18" s="4" t="n">
        <f aca="false">(D6-C6)*Assumptions!$B$51/100</f>
        <v>-8981.86536000001</v>
      </c>
      <c r="E18" s="4" t="n">
        <f aca="false">(E6-D6)*Assumptions!$B$51/100</f>
        <v>-6706.4594688</v>
      </c>
      <c r="F18" s="4" t="n">
        <f aca="false">(F6-E6)*Assumptions!$B$51/100</f>
        <v>-6337.60419801601</v>
      </c>
      <c r="G18" s="4" t="n">
        <f aca="false">(G6-F6)*Assumptions!$B$51/100</f>
        <v>-5812.48842160896</v>
      </c>
      <c r="H18" s="4" t="n">
        <f aca="false">(H6-G6)*Assumptions!$B$51/100</f>
        <v>-5134.36477242126</v>
      </c>
      <c r="I18" s="4" t="n">
        <f aca="false">(I6-H6)*Assumptions!$B$51/100</f>
        <v>-4312.86640883386</v>
      </c>
      <c r="J18" s="4" t="n">
        <f aca="false">(J6-I6)*Assumptions!$B$51/100</f>
        <v>-3364.0357988904</v>
      </c>
      <c r="K18" s="4" t="n">
        <f aca="false">(K6-J6)*Assumptions!$B$51/100</f>
        <v>-3464.95687285713</v>
      </c>
      <c r="L18" s="4" t="n">
        <f aca="false">(L6-K6)*Assumptions!$B$51/100</f>
        <v>-2974.08798253569</v>
      </c>
    </row>
    <row r="19" customFormat="false" ht="15" hidden="false" customHeight="false" outlineLevel="0" collapsed="false">
      <c r="A19" s="0" t="s">
        <v>127</v>
      </c>
      <c r="C19" s="0" t="n">
        <f aca="false">C15+C16+C17+C18</f>
        <v>21084.992906</v>
      </c>
      <c r="D19" s="0" t="n">
        <f aca="false">D15+D16+D17+D18</f>
        <v>28301.85774936</v>
      </c>
      <c r="E19" s="0" t="n">
        <f aca="false">E15+E16+E17+E18</f>
        <v>35049.2984758426</v>
      </c>
      <c r="F19" s="0" t="n">
        <f aca="false">F15+F16+F17+F18</f>
        <v>41029.3326977457</v>
      </c>
      <c r="G19" s="0" t="n">
        <f aca="false">G15+G16+G17+G18</f>
        <v>44545.3612662987</v>
      </c>
      <c r="H19" s="0" t="n">
        <f aca="false">H15+H16+H17+H18</f>
        <v>48819.5940020902</v>
      </c>
      <c r="I19" s="0" t="n">
        <f aca="false">I15+I16+I17+I18</f>
        <v>51799.2507166581</v>
      </c>
      <c r="J19" s="0" t="n">
        <f aca="false">J15+J16+J17+J18</f>
        <v>55586.430464652</v>
      </c>
      <c r="K19" s="0" t="n">
        <f aca="false">K15+K16+K17+K18</f>
        <v>57848.8409750987</v>
      </c>
      <c r="L19" s="0" t="n">
        <f aca="false">L15+L16+L17+L18</f>
        <v>59872.554811619</v>
      </c>
    </row>
    <row r="20" customFormat="false" ht="15" hidden="false" customHeight="false" outlineLevel="0" collapsed="false">
      <c r="A20" s="0" t="s">
        <v>128</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129</v>
      </c>
      <c r="C21" s="0" t="n">
        <f aca="false">C19*C20</f>
        <v>19523.1415796296</v>
      </c>
      <c r="D21" s="0" t="n">
        <f aca="false">D19*D20</f>
        <v>24264.2813351852</v>
      </c>
      <c r="E21" s="0" t="n">
        <f aca="false">E19*E20</f>
        <v>27823.2631552629</v>
      </c>
      <c r="F21" s="0" t="n">
        <f aca="false">F19*F20</f>
        <v>30157.7843731607</v>
      </c>
      <c r="G21" s="0" t="n">
        <f aca="false">G19*G20</f>
        <v>30316.824383641</v>
      </c>
      <c r="H21" s="0" t="n">
        <f aca="false">H19*H20</f>
        <v>30764.6253368818</v>
      </c>
      <c r="I21" s="0" t="n">
        <f aca="false">I19*I20</f>
        <v>30224.3652749452</v>
      </c>
      <c r="J21" s="0" t="n">
        <f aca="false">J19*J20</f>
        <v>30031.6187805842</v>
      </c>
      <c r="K21" s="0" t="n">
        <f aca="false">K19*K20</f>
        <v>28938.8229475451</v>
      </c>
      <c r="L21" s="0" t="n">
        <f aca="false">L19*L20</f>
        <v>27732.5775037352</v>
      </c>
    </row>
    <row r="23" customFormat="false" ht="15" hidden="false" customHeight="false" outlineLevel="0" collapsed="false">
      <c r="A23" s="0" t="s">
        <v>105</v>
      </c>
      <c r="C23" s="4" t="n">
        <f aca="false">Assumptions!C44</f>
        <v>0.4</v>
      </c>
      <c r="D23" s="4" t="n">
        <f aca="false">Assumptions!D44</f>
        <v>0.4</v>
      </c>
      <c r="E23" s="4" t="n">
        <f aca="false">Assumptions!E44</f>
        <v>0.4</v>
      </c>
      <c r="F23" s="4" t="n">
        <f aca="false">Assumptions!F44</f>
        <v>0.4</v>
      </c>
      <c r="G23" s="4" t="n">
        <f aca="false">Assumptions!G44</f>
        <v>0.4</v>
      </c>
      <c r="H23" s="4" t="n">
        <f aca="false">Assumptions!H44</f>
        <v>0.4</v>
      </c>
      <c r="I23" s="4" t="n">
        <f aca="false">Assumptions!I44</f>
        <v>0.4</v>
      </c>
      <c r="J23" s="4" t="n">
        <f aca="false">Assumptions!J44</f>
        <v>0.4</v>
      </c>
      <c r="K23" s="4" t="n">
        <f aca="false">Assumptions!K44</f>
        <v>0.4</v>
      </c>
      <c r="L23" s="4" t="n">
        <f aca="false">Assumptions!L44</f>
        <v>0.4</v>
      </c>
    </row>
    <row r="24" customFormat="false" ht="15" hidden="false" customHeight="false" outlineLevel="0" collapsed="false">
      <c r="A24" s="0" t="s">
        <v>130</v>
      </c>
      <c r="C24" s="0" t="n">
        <f aca="false">-C6*C23/100</f>
        <v>-1496.97756</v>
      </c>
      <c r="D24" s="0" t="n">
        <f aca="false">-D6*D23/100</f>
        <v>-1676.6148672</v>
      </c>
      <c r="E24" s="0" t="n">
        <f aca="false">-E6*E23/100</f>
        <v>-1810.744056576</v>
      </c>
      <c r="F24" s="0" t="n">
        <f aca="false">-F6*F23/100</f>
        <v>-1937.49614053632</v>
      </c>
      <c r="G24" s="0" t="n">
        <f aca="false">-G6*G23/100</f>
        <v>-2053.7459089685</v>
      </c>
      <c r="H24" s="0" t="n">
        <f aca="false">-H6*H23/100</f>
        <v>-2156.43320441693</v>
      </c>
      <c r="I24" s="0" t="n">
        <f aca="false">-I6*I23/100</f>
        <v>-2242.6905325936</v>
      </c>
      <c r="J24" s="0" t="n">
        <f aca="false">-J6*J23/100</f>
        <v>-2309.97124857141</v>
      </c>
      <c r="K24" s="0" t="n">
        <f aca="false">-K6*K23/100</f>
        <v>-2379.27038602855</v>
      </c>
      <c r="L24" s="0" t="n">
        <f aca="false">-L6*L23/100</f>
        <v>-2438.75214567927</v>
      </c>
    </row>
    <row r="26" customFormat="false" ht="15" hidden="false" customHeight="false" outlineLevel="0" collapsed="false">
      <c r="A26" s="2" t="s">
        <v>131</v>
      </c>
    </row>
    <row r="27" customFormat="false" ht="15" hidden="false" customHeight="false" outlineLevel="0" collapsed="false">
      <c r="A27" s="0" t="s">
        <v>109</v>
      </c>
      <c r="B27" s="4" t="n">
        <f aca="false">Assumptions!$B$48</f>
        <v>8</v>
      </c>
    </row>
    <row r="28" customFormat="false" ht="15" hidden="false" customHeight="false" outlineLevel="0" collapsed="false">
      <c r="A28" s="0" t="s">
        <v>110</v>
      </c>
      <c r="B28" s="4" t="n">
        <f aca="false">Assumptions!$B$49</f>
        <v>2.5</v>
      </c>
    </row>
    <row r="29" customFormat="false" ht="15" hidden="false" customHeight="false" outlineLevel="0" collapsed="false">
      <c r="A29" s="0" t="s">
        <v>111</v>
      </c>
      <c r="B29" s="4" t="n">
        <f aca="false">Assumptions!$B$50</f>
        <v>15</v>
      </c>
    </row>
    <row r="30" customFormat="false" ht="15" hidden="false" customHeight="false" outlineLevel="0" collapsed="false">
      <c r="A30" s="0" t="s">
        <v>132</v>
      </c>
      <c r="B30" s="0" t="n">
        <f aca="false">SUM(C21:L21)</f>
        <v>279777.304670571</v>
      </c>
    </row>
    <row r="31" customFormat="false" ht="15" hidden="false" customHeight="false" outlineLevel="0" collapsed="false">
      <c r="A31" s="0" t="s">
        <v>133</v>
      </c>
      <c r="B31" s="0" t="n">
        <f aca="false">L19</f>
        <v>59872.554811619</v>
      </c>
    </row>
    <row r="32" customFormat="false" ht="15" hidden="false" customHeight="false" outlineLevel="0" collapsed="false">
      <c r="A32" s="0" t="s">
        <v>134</v>
      </c>
      <c r="B32" s="0" t="n">
        <f aca="false">IF(B27&gt;B28,B31*(1+B28/100)/((B27-B28)/100),B31*B29)</f>
        <v>1115806.70330745</v>
      </c>
    </row>
    <row r="33" customFormat="false" ht="15" hidden="false" customHeight="false" outlineLevel="0" collapsed="false">
      <c r="A33" s="0" t="s">
        <v>135</v>
      </c>
      <c r="B33" s="0" t="n">
        <f aca="false">B31*B29</f>
        <v>898088.322174285</v>
      </c>
    </row>
    <row r="34" customFormat="false" ht="15" hidden="false" customHeight="false" outlineLevel="0" collapsed="false">
      <c r="A34" s="0" t="s">
        <v>136</v>
      </c>
      <c r="B34" s="0" t="n">
        <f aca="false">MAX(0,MIN(B32,B33))</f>
        <v>898088.322174285</v>
      </c>
    </row>
    <row r="35" customFormat="false" ht="15" hidden="false" customHeight="false" outlineLevel="0" collapsed="false">
      <c r="A35" s="0" t="s">
        <v>137</v>
      </c>
      <c r="B35" s="0" t="n">
        <f aca="false">B34/(1+B27/100)^L4</f>
        <v>415988.662556029</v>
      </c>
    </row>
    <row r="36" customFormat="false" ht="15" hidden="false" customHeight="false" outlineLevel="0" collapsed="false">
      <c r="A36" s="0" t="s">
        <v>138</v>
      </c>
      <c r="B36" s="0" t="n">
        <f aca="false">B30+B35</f>
        <v>695765.9672266</v>
      </c>
    </row>
    <row r="37" customFormat="false" ht="15" hidden="false" customHeight="false" outlineLevel="0" collapsed="false">
      <c r="A37" s="0" t="s">
        <v>139</v>
      </c>
      <c r="B37" s="0" t="n">
        <f aca="false">B36+Assumptions!$B$5-Assumptions!$B$4</f>
        <v>814214.9672266</v>
      </c>
    </row>
    <row r="38" customFormat="false" ht="15" hidden="false" customHeight="false" outlineLevel="0" collapsed="false">
      <c r="A38" s="0" t="s">
        <v>140</v>
      </c>
      <c r="B38" s="0" t="n">
        <f aca="false">B37/Assumptions!$B$3*Assumptions!$B$10</f>
        <v>9280.38943667407</v>
      </c>
    </row>
    <row r="39" customFormat="false" ht="15" hidden="false" customHeight="false" outlineLevel="0" collapsed="false">
      <c r="A39" s="0" t="s">
        <v>141</v>
      </c>
      <c r="B39" s="4" t="n">
        <f aca="false">B38/Assumptions!$B$2-1</f>
        <v>0.144455473754356</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9280.38943667407</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490954.949455276</v>
      </c>
    </row>
    <row r="47" customFormat="false" ht="15" hidden="false" customHeight="false" outlineLevel="0" collapsed="false">
      <c r="A47" s="0" t="s">
        <v>146</v>
      </c>
      <c r="B47" s="0" t="n">
        <f aca="false">(SUMPRODUCT(C19:L19/(1+B45/100)^C4:L4)+B46/(1+B45/100)^L4+Assumptions!$B$5-Assumptions!$B$4)/Assumptions!$B$3*Assumptions!$B$10</f>
        <v>4994.42758652347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4448.38576841301</v>
      </c>
      <c r="C4" s="0" t="n">
        <f aca="false">B4/Assumptions!$B$2-1</f>
        <v>-0.451426098358243</v>
      </c>
      <c r="D4" s="4" t="n">
        <f aca="false">Assumptions!$B$24</f>
        <v>0.25</v>
      </c>
      <c r="E4" s="4" t="n">
        <f aca="false">DCF_Bear!$B$43</f>
        <v>4448.38576841301</v>
      </c>
      <c r="F4" s="4" t="n">
        <f aca="false">DCF_Bear!$B$47</f>
        <v>2958.79544093739</v>
      </c>
    </row>
    <row r="5" customFormat="false" ht="15" hidden="false" customHeight="false" outlineLevel="0" collapsed="false">
      <c r="A5" s="0" t="s">
        <v>155</v>
      </c>
      <c r="B5" s="4" t="n">
        <f aca="false">DCF_Base!$B$38</f>
        <v>7047.07381940619</v>
      </c>
      <c r="C5" s="0" t="n">
        <f aca="false">B5/Assumptions!$B$2-1</f>
        <v>-0.130956490392627</v>
      </c>
      <c r="D5" s="4" t="n">
        <f aca="false">Assumptions!$B$38</f>
        <v>0.5</v>
      </c>
      <c r="E5" s="4" t="n">
        <f aca="false">DCF_Base!$B$43</f>
        <v>7047.07381940619</v>
      </c>
      <c r="F5" s="4" t="n">
        <f aca="false">DCF_Base!$B$47</f>
        <v>3996.99065952355</v>
      </c>
    </row>
    <row r="6" customFormat="false" ht="15" hidden="false" customHeight="false" outlineLevel="0" collapsed="false">
      <c r="A6" s="0" t="s">
        <v>156</v>
      </c>
      <c r="B6" s="4" t="n">
        <f aca="false">DCF_Bull!$B$38</f>
        <v>9280.38943667407</v>
      </c>
      <c r="C6" s="0" t="n">
        <f aca="false">B6/Assumptions!$B$2-1</f>
        <v>0.144455473754356</v>
      </c>
      <c r="D6" s="4" t="n">
        <f aca="false">Assumptions!$B$52</f>
        <v>0.25</v>
      </c>
      <c r="E6" s="4" t="n">
        <f aca="false">DCF_Bull!$B$43</f>
        <v>9280.38943667407</v>
      </c>
      <c r="F6" s="4" t="n">
        <f aca="false">DCF_Bull!$B$47</f>
        <v>4994.42758652347</v>
      </c>
    </row>
    <row r="8" customFormat="false" ht="15" hidden="false" customHeight="false" outlineLevel="0" collapsed="false">
      <c r="A8" s="0" t="s">
        <v>157</v>
      </c>
      <c r="B8" s="0" t="n">
        <f aca="false">SUMPRODUCT(B4:B6,D4:D6)</f>
        <v>6955.73071097487</v>
      </c>
    </row>
    <row r="9" customFormat="false" ht="15" hidden="false" customHeight="false" outlineLevel="0" collapsed="false">
      <c r="A9" s="0" t="s">
        <v>158</v>
      </c>
      <c r="B9" s="0" t="n">
        <f aca="false">SUMPRODUCT(E4:E6,D4:D6)</f>
        <v>6955.73071097487</v>
      </c>
    </row>
    <row r="10" customFormat="false" ht="15" hidden="false" customHeight="false" outlineLevel="0" collapsed="false">
      <c r="A10" s="0" t="s">
        <v>159</v>
      </c>
      <c r="B10" s="0" t="n">
        <f aca="false">1-Assumptions!$B$2/B8</f>
        <v>-0.165801313614037</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3986.80108662699</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7047.07381940619</v>
      </c>
      <c r="C15" s="3" t="n">
        <v>8</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6553.23885660065</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5855.7387959333</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5315.24440199546</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4884.53744134656</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3996.99065952355</v>
      </c>
      <c r="C20" s="3" t="n">
        <v>15</v>
      </c>
    </row>
    <row r="22" customFormat="false" ht="15" hidden="false" customHeight="false" outlineLevel="0" collapsed="false">
      <c r="A22" s="2" t="s">
        <v>170</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7987.73612459246</v>
      </c>
      <c r="C24" s="0" t="n">
        <f aca="false">(SUMPRODUCT(DCF_Base!$C$19:$L$19/(1+$A$24/100)^DCF_Base!$C$4:$L$4)+MAX(0,MIN(IF($A$24&gt;$C$23,DCF_Base!$L$19*(1+$C$23/100)/(($A$24-$C$23)/100),DCF_Base!$L$19*DCF_Base!$B$29),DCF_Base!$L$19*DCF_Base!$B$29))/(1+$A$24/100)^DCF_Base!$L$4+Assumptions!$B$5-Assumptions!$B$4)/Assumptions!$B$3*Assumptions!$B$10</f>
        <v>7987.73612459246</v>
      </c>
      <c r="D24" s="0" t="n">
        <f aca="false">(SUMPRODUCT(DCF_Base!$C$19:$L$19/(1+$A$24/100)^DCF_Base!$C$4:$L$4)+MAX(0,MIN(IF($A$24&gt;$D$23,DCF_Base!$L$19*(1+$D$23/100)/(($A$24-$D$23)/100),DCF_Base!$L$19*DCF_Base!$B$29),DCF_Base!$L$19*DCF_Base!$B$29))/(1+$A$24/100)^DCF_Base!$L$4+Assumptions!$B$5-Assumptions!$B$4)/Assumptions!$B$3*Assumptions!$B$10</f>
        <v>7987.73612459246</v>
      </c>
      <c r="E24" s="0" t="n">
        <f aca="false">(SUMPRODUCT(DCF_Base!$C$19:$L$19/(1+$A$24/100)^DCF_Base!$C$4:$L$4)+MAX(0,MIN(IF($A$24&gt;$E$23,DCF_Base!$L$19*(1+$E$23/100)/(($A$24-$E$23)/100),DCF_Base!$L$19*DCF_Base!$B$29),DCF_Base!$L$19*DCF_Base!$B$29))/(1+$A$24/100)^DCF_Base!$L$4+Assumptions!$B$5-Assumptions!$B$4)/Assumptions!$B$3*Assumptions!$B$10</f>
        <v>7987.73612459246</v>
      </c>
      <c r="F24" s="0" t="n">
        <f aca="false">(SUMPRODUCT(DCF_Base!$C$19:$L$19/(1+$A$24/100)^DCF_Base!$C$4:$L$4)+MAX(0,MIN(IF($A$24&gt;$F$23,DCF_Base!$L$19*(1+$F$23/100)/(($A$24-$F$23)/100),DCF_Base!$L$19*DCF_Base!$B$29),DCF_Base!$L$19*DCF_Base!$B$29))/(1+$A$24/100)^DCF_Base!$L$4+Assumptions!$B$5-Assumptions!$B$4)/Assumptions!$B$3*Assumptions!$B$10</f>
        <v>7987.73612459246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7495.11223307802</v>
      </c>
      <c r="C25" s="0" t="n">
        <f aca="false">(SUMPRODUCT(DCF_Base!$C$19:$L$19/(1+$A$25/100)^DCF_Base!$C$4:$L$4)+MAX(0,MIN(IF($A$25&gt;$C$23,DCF_Base!$L$19*(1+$C$23/100)/(($A$25-$C$23)/100),DCF_Base!$L$19*DCF_Base!$B$29),DCF_Base!$L$19*DCF_Base!$B$29))/(1+$A$25/100)^DCF_Base!$L$4+Assumptions!$B$5-Assumptions!$B$4)/Assumptions!$B$3*Assumptions!$B$10</f>
        <v>7495.11223307802</v>
      </c>
      <c r="D25" s="0" t="n">
        <f aca="false">(SUMPRODUCT(DCF_Base!$C$19:$L$19/(1+$A$25/100)^DCF_Base!$C$4:$L$4)+MAX(0,MIN(IF($A$25&gt;$D$23,DCF_Base!$L$19*(1+$D$23/100)/(($A$25-$D$23)/100),DCF_Base!$L$19*DCF_Base!$B$29),DCF_Base!$L$19*DCF_Base!$B$29))/(1+$A$25/100)^DCF_Base!$L$4+Assumptions!$B$5-Assumptions!$B$4)/Assumptions!$B$3*Assumptions!$B$10</f>
        <v>7495.11223307802</v>
      </c>
      <c r="E25" s="0" t="n">
        <f aca="false">(SUMPRODUCT(DCF_Base!$C$19:$L$19/(1+$A$25/100)^DCF_Base!$C$4:$L$4)+MAX(0,MIN(IF($A$25&gt;$E$23,DCF_Base!$L$19*(1+$E$23/100)/(($A$25-$E$23)/100),DCF_Base!$L$19*DCF_Base!$B$29),DCF_Base!$L$19*DCF_Base!$B$29))/(1+$A$25/100)^DCF_Base!$L$4+Assumptions!$B$5-Assumptions!$B$4)/Assumptions!$B$3*Assumptions!$B$10</f>
        <v>7495.11223307802</v>
      </c>
      <c r="F25" s="0" t="n">
        <f aca="false">(SUMPRODUCT(DCF_Base!$C$19:$L$19/(1+$A$25/100)^DCF_Base!$C$4:$L$4)+MAX(0,MIN(IF($A$25&gt;$F$23,DCF_Base!$L$19*(1+$F$23/100)/(($A$25-$F$23)/100),DCF_Base!$L$19*DCF_Base!$B$29),DCF_Base!$L$19*DCF_Base!$B$29))/(1+$A$25/100)^DCF_Base!$L$4+Assumptions!$B$5-Assumptions!$B$4)/Assumptions!$B$3*Assumptions!$B$10</f>
        <v>7495.11223307802</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6921.53537701079</v>
      </c>
      <c r="C26" s="0" t="n">
        <f aca="false">(SUMPRODUCT(DCF_Base!$C$19:$L$19/(1+$A$26/100)^DCF_Base!$C$4:$L$4)+MAX(0,MIN(IF($A$26&gt;$C$23,DCF_Base!$L$19*(1+$C$23/100)/(($A$26-$C$23)/100),DCF_Base!$L$19*DCF_Base!$B$29),DCF_Base!$L$19*DCF_Base!$B$29))/(1+$A$26/100)^DCF_Base!$L$4+Assumptions!$B$5-Assumptions!$B$4)/Assumptions!$B$3*Assumptions!$B$10</f>
        <v>7047.07381940619</v>
      </c>
      <c r="D26" s="0" t="n">
        <f aca="false">(SUMPRODUCT(DCF_Base!$C$19:$L$19/(1+$A$26/100)^DCF_Base!$C$4:$L$4)+MAX(0,MIN(IF($A$26&gt;$D$23,DCF_Base!$L$19*(1+$D$23/100)/(($A$26-$D$23)/100),DCF_Base!$L$19*DCF_Base!$B$29),DCF_Base!$L$19*DCF_Base!$B$29))/(1+$A$26/100)^DCF_Base!$L$4+Assumptions!$B$5-Assumptions!$B$4)/Assumptions!$B$3*Assumptions!$B$10</f>
        <v>7047.07381940619</v>
      </c>
      <c r="E26" s="0" t="n">
        <f aca="false">(SUMPRODUCT(DCF_Base!$C$19:$L$19/(1+$A$26/100)^DCF_Base!$C$4:$L$4)+MAX(0,MIN(IF($A$26&gt;$E$23,DCF_Base!$L$19*(1+$E$23/100)/(($A$26-$E$23)/100),DCF_Base!$L$19*DCF_Base!$B$29),DCF_Base!$L$19*DCF_Base!$B$29))/(1+$A$26/100)^DCF_Base!$L$4+Assumptions!$B$5-Assumptions!$B$4)/Assumptions!$B$3*Assumptions!$B$10</f>
        <v>7047.07381940619</v>
      </c>
      <c r="F26" s="0" t="n">
        <f aca="false">(SUMPRODUCT(DCF_Base!$C$19:$L$19/(1+$A$26/100)^DCF_Base!$C$4:$L$4)+MAX(0,MIN(IF($A$26&gt;$F$23,DCF_Base!$L$19*(1+$F$23/100)/(($A$26-$F$23)/100),DCF_Base!$L$19*DCF_Base!$B$29),DCF_Base!$L$19*DCF_Base!$B$29))/(1+$A$26/100)^DCF_Base!$L$4+Assumptions!$B$5-Assumptions!$B$4)/Assumptions!$B$3*Assumptions!$B$10</f>
        <v>7047.07381940619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6163.27367626194</v>
      </c>
      <c r="C27" s="0" t="n">
        <f aca="false">(SUMPRODUCT(DCF_Base!$C$19:$L$19/(1+$A$27/100)^DCF_Base!$C$4:$L$4)+MAX(0,MIN(IF($A$27&gt;$C$23,DCF_Base!$L$19*(1+$C$23/100)/(($A$27-$C$23)/100),DCF_Base!$L$19*DCF_Base!$B$29),DCF_Base!$L$19*DCF_Base!$B$29))/(1+$A$27/100)^DCF_Base!$L$4+Assumptions!$B$5-Assumptions!$B$4)/Assumptions!$B$3*Assumptions!$B$10</f>
        <v>6345.25742708667</v>
      </c>
      <c r="D27" s="0" t="n">
        <f aca="false">(SUMPRODUCT(DCF_Base!$C$19:$L$19/(1+$A$27/100)^DCF_Base!$C$4:$L$4)+MAX(0,MIN(IF($A$27&gt;$D$23,DCF_Base!$L$19*(1+$D$23/100)/(($A$27-$D$23)/100),DCF_Base!$L$19*DCF_Base!$B$29),DCF_Base!$L$19*DCF_Base!$B$29))/(1+$A$27/100)^DCF_Base!$L$4+Assumptions!$B$5-Assumptions!$B$4)/Assumptions!$B$3*Assumptions!$B$10</f>
        <v>6553.23885660065</v>
      </c>
      <c r="E27" s="0" t="n">
        <f aca="false">(SUMPRODUCT(DCF_Base!$C$19:$L$19/(1+$A$27/100)^DCF_Base!$C$4:$L$4)+MAX(0,MIN(IF($A$27&gt;$E$23,DCF_Base!$L$19*(1+$E$23/100)/(($A$27-$E$23)/100),DCF_Base!$L$19*DCF_Base!$B$29),DCF_Base!$L$19*DCF_Base!$B$29))/(1+$A$27/100)^DCF_Base!$L$4+Assumptions!$B$5-Assumptions!$B$4)/Assumptions!$B$3*Assumptions!$B$10</f>
        <v>6639.10274951926</v>
      </c>
      <c r="F27" s="0" t="n">
        <f aca="false">(SUMPRODUCT(DCF_Base!$C$19:$L$19/(1+$A$27/100)^DCF_Base!$C$4:$L$4)+MAX(0,MIN(IF($A$27&gt;$F$23,DCF_Base!$L$19*(1+$F$23/100)/(($A$27-$F$23)/100),DCF_Base!$L$19*DCF_Base!$B$29),DCF_Base!$L$19*DCF_Base!$B$29))/(1+$A$27/100)^DCF_Base!$L$4+Assumptions!$B$5-Assumptions!$B$4)/Assumptions!$B$3*Assumptions!$B$10</f>
        <v>6639.10274951926</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5576.36499494205</v>
      </c>
      <c r="C28" s="0" t="n">
        <f aca="false">(SUMPRODUCT(DCF_Base!$C$19:$L$19/(1+$A$28/100)^DCF_Base!$C$4:$L$4)+MAX(0,MIN(IF($A$28&gt;$C$23,DCF_Base!$L$19*(1+$C$23/100)/(($A$28-$C$23)/100),DCF_Base!$L$19*DCF_Base!$B$29),DCF_Base!$L$19*DCF_Base!$B$29))/(1+$A$28/100)^DCF_Base!$L$4+Assumptions!$B$5-Assumptions!$B$4)/Assumptions!$B$3*Assumptions!$B$10</f>
        <v>5707.83501893793</v>
      </c>
      <c r="D28" s="0" t="n">
        <f aca="false">(SUMPRODUCT(DCF_Base!$C$19:$L$19/(1+$A$28/100)^DCF_Base!$C$4:$L$4)+MAX(0,MIN(IF($A$28&gt;$D$23,DCF_Base!$L$19*(1+$D$23/100)/(($A$28-$D$23)/100),DCF_Base!$L$19*DCF_Base!$B$29),DCF_Base!$L$19*DCF_Base!$B$29))/(1+$A$28/100)^DCF_Base!$L$4+Assumptions!$B$5-Assumptions!$B$4)/Assumptions!$B$3*Assumptions!$B$10</f>
        <v>5855.7387959333</v>
      </c>
      <c r="E28" s="0" t="n">
        <f aca="false">(SUMPRODUCT(DCF_Base!$C$19:$L$19/(1+$A$28/100)^DCF_Base!$C$4:$L$4)+MAX(0,MIN(IF($A$28&gt;$E$23,DCF_Base!$L$19*(1+$E$23/100)/(($A$28-$E$23)/100),DCF_Base!$L$19*DCF_Base!$B$29),DCF_Base!$L$19*DCF_Base!$B$29))/(1+$A$28/100)^DCF_Base!$L$4+Assumptions!$B$5-Assumptions!$B$4)/Assumptions!$B$3*Assumptions!$B$10</f>
        <v>6023.36307652805</v>
      </c>
      <c r="F28" s="0" t="n">
        <f aca="false">(SUMPRODUCT(DCF_Base!$C$19:$L$19/(1+$A$28/100)^DCF_Base!$C$4:$L$4)+MAX(0,MIN(IF($A$28&gt;$F$23,DCF_Base!$L$19*(1+$F$23/100)/(($A$28-$F$23)/100),DCF_Base!$L$19*DCF_Base!$B$29),DCF_Base!$L$19*DCF_Base!$B$29))/(1+$A$28/100)^DCF_Base!$L$4+Assumptions!$B$5-Assumptions!$B$4)/Assumptions!$B$3*Assumptions!$B$10</f>
        <v>6214.93368292206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2026-10-31T01:25:14Z</dcterms:created>
  <dc:creator>openpyxl</dc:creator>
  <dc:description/>
  <dc:language>en-NZ</dc:language>
  <cp:lastModifiedBy/>
  <dcterms:modified xsi:type="dcterms:W3CDTF">2026-10-31T01:25:14Z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