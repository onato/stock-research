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<sst xmlns="http://schemas.openxmlformats.org/spreadsheetml/2006/main" count="356" uniqueCount="166">
  <si>
    <t xml:space="preserve">Ticker</t>
  </si>
  <si>
    <t xml:space="preserve">6088.HK</t>
  </si>
  <si>
    <t xml:space="preserve">Company</t>
  </si>
  <si>
    <t xml:space="preserve">FIT Hon Teng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</si>
  <si>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</si>
  <si>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</si>
  <si>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</si>
  <si>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</si>
  <si>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</si>
  <si>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</si>
  <si>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</si>
  <si>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</si>
  <si>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</si>
  <si>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</si>
  <si>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</si>
  <si>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</si>
  <si>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</si>
  <si>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</si>
  <si>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</si>
  <si>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</si>
  <si>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</si>
  <si>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</si>
  <si>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2026-10-23T12:10:33Z</t>
  </si>
  <si>
    <t xml:space="preserve">Drivers file</t>
  </si>
  <si>
    <t xml:space="preserve">6088.HK_Drivers.json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</si>
  <si>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</si>
  <si>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</si>
  <si>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</si>
  <si>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Foxconn-controlled interconnect manufacturer valued as a low-margin, capex- and working-capital-intensive cyclical with one genuinely growing segment (AI-server copper interconnect). The house view gives the cloud segment two more years of strong growth and a margin recovery to the decade's mid-point, but no structural re-rating above the historical margin range and no credit for the multiple the market paid at the 52-week high. Value is terminal-heavy because the explicit years carry footprint capex and working-capital absorption; the question for an owner is whether FY2027+ owner FCF actually turns positive, which it has not been since FY2023.
key_risks_to_valuation: Customer concentration: Customer A (Apple cluster) 31% and Customer B (Hon Hai group) 11% of H1 FY2026 revenue; a share loss or spec change moves the whole smartphone/acoustics book; AI-server interconnect cyclicality and commoditisation: the only segment growing above GDP; hyperscaler capex digestion or optical substitution removes the growth leg; Cash conversion: owner FCF negative FY2024-25 and only break-even in base FY2026; NWC ~26% of revenue so growth consumes cash, and US$2.3bn of borrowings were 99.9% short-term at June-30 (US$800m extended to 2029 post-period); FX: USD reporting with TWD/RMB/EUR cost bases; H1 FY2026 operating margin fell 1.6pp 'primarily due to exchange rates'; Governance: Hon Hai controls the register and is a top-two customer and related-party supplier; minority holders have no say on capital allocation (no dividend since FY2019); Tax: PRC withholding on upstreamed profits and transfer-pricing changes swing the cash tax rate between 27% and 37%; Terminal-value dependence: ~65-70% of base EV sits in the terminal; a 1pp WACC move is worth ~15-20% of value</t>
  </si>
  <si>
    <t xml:space="preserve">Data sources</t>
  </si>
  <si>
    <t xml:space="preserve">price: Yahoo Finance chart API at inputs.price_as_of (HKEX regular close); 52-week range 3.49-10.89. FX USD/HKD from Yahoo HKD=X same day.
financials: 6088.HK_Metrics.csv (core_metrics, USD millions) FY2018-FY2025 annuals and H1 FY2023-FY2026 interims; FY2025 annual report (Extracted/6088.HK_Annual_FY2025.txt) for SBC, D&amp;A, cash tax, lease, NCI and EPS notes; H1 FY2026 interim report (Extracted/6088.HK_HalfYear_H1-2026.txt) for the 2026-06-30 balance sheet, share count, treasury shares, borrowings, customer concentration, segment revenue and outlook.
qualitative: Management discussion in the FY2025 annual and H1 FY2026 interim (Industry Outlook and Business Prospects, Chairman's Future Prospects). 6088.HK_Analysis.json was not yet written when this valuation was built.</t>
  </si>
  <si>
    <t xml:space="preserve">Scenario narrative: bear</t>
  </si>
  <si>
    <t xml:space="preserve">AI-server interconnect demand is cyclical rather than secular: hyperscaler capex digests in FY2027-28, copper-based cabinet products are commoditised by Taiwanese/Chinese competitors (and by optical substitution), and growth collapses to 2% after a 4% FY2026. The Apple cluster (31% of revenue) continues to move share to alternative suppliers and to India-based assembly where FIT is subscale, system products remain hostage to supply-chain and spec changes, and auto mobility stays loss-making on US EV weakness and German restructuring. EBITDA margin settles at 10%, FX (TWD/RMB strength) and PRC withholding keep cash tax at 32%, and the terminal multiple is capped at 12x. The US$2.3bn of bank debt, 99.9% short-term at June-30 (US$800m since extended to 2029), keeps refinancing risk live if cash flow does not turn.</t>
  </si>
  <si>
    <t xml:space="preserve">Scenario narrative: base</t>
  </si>
  <si>
    <t xml:space="preserve">The AI-server copper interconnect book (cabinet connectors and cable modules, 22% of H1 FY2026 revenue, +56%) keeps compounding for two more years and then normalises, while the Apple-cluster smartphone and EarPods business and the Hon Hai-related system products stay a flat, low-margin volume base. Consumer interconnects recover from the FY2026 memory shortage; auto mobility (Auto-Kabel/One Mobility) stays subdued on US EV contraction. EBITDA margin recovers from the FX-hit H1 FY2026 to the 11.5% decade mid-point, the FY2024-25 footprint capex rolls off to maintenance levels by FY2032, and ~18c of every dollar of growth is absorbed by inventory and receivables. Owner FCF is roughly break-even in FY2026, positive from FY2027 and ~3% of revenue at maturity; the valuation rests heavily on the terminal year because the explicit years are capex- and working-capital-heavy.</t>
  </si>
  <si>
    <t xml:space="preserve">Scenario narrative: bull</t>
  </si>
  <si>
    <t xml:space="preserve">FIT becomes a tier-one supplier to the global AI-server platforms (NVIDIA/hyperscaler cabinet connectors, high-speed cable modules, optical co-packaging) and cloud grows to a third of revenue by FY2028 at structurally higher margins, lifting group EBITDA margin to 13.5%, above anything in the decade's history. One Mobility wins European/USMCA high-voltage harness and busbar programmes as EV penetration resumes, the memory-constrained consumer book normalises in FY2027, working capital turns improve with mix, and capex falls to maintenance by FY2031. Tax normalises to 28% as transfer-pricing optimisation holds. This path requires several independent things to go right: AI-server share, auto programme wins and margin discipline simultaneously.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</si>
  <si>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</si>
  <si>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</si>
  <si>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</si>
  <si>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</si>
  <si>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</si>
  <si>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</si>
  <si>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</si>
  <si>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</si>
  <si>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</si>
  <si>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</si>
  <si>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</si>
  <si>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</si>
  <si>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</si>
  <si>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</si>
  <si>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</si>
  <si>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</si>
  <si>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</si>
  <si>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</si>
  <si>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</si>
  <si>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</si>
  <si>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</si>
  <si>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</si>
  <si>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</si>
  <si>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</si>
  <si>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</si>
  <si>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</si>
  <si>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</si>
  <si>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InterestPaid</t>
  </si>
  <si>
    <t xml:space="preserve">RevenueOtherProducts</t>
  </si>
  <si>
    <t xml:space="preserve">ShortTermDeposits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</si>
  <si>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</si>
  <si>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</si>
  <si>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</si>
  <si>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</si>
  <si>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</si>
  <si>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</si>
  <si>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</si>
  <si>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</si>
  <si>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</si>
  <si>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</si>
  <si>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</si>
  <si>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</si>
  <si>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</si>
  <si>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</si>
  <si>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</si>
  <si>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</si>
  <si>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</si>
  <si>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</si>
  <si>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</si>
  <si>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</si>
  <si>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</si>
  <si>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</si>
  <si>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</si>
  <si>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</si>
  <si>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</si>
  <si>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</si>
  <si>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</si>
  <si>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</si>
  <si>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</si>
  <si>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</si>
  <si>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</si>
  <si>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</si>
  <si>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</si>
  <si>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</si>
  <si>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</si>
  <si>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</si>
  <si>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</si>
  <si>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</si>
  <si>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</si>
  <si>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</si>
  <si>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</si>
  <si>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</si>
  <si>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</si>
  <si>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</si>
  <si>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</si>
  <si>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6088.HK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</si>
  <si>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</si>
  <si>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</si>
  <si>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</si>
  <si>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</si>
  <si>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</si>
  <si>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</si>
  <si>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</si>
  <si>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</si>
  <si>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</si>
  <si>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</si>
  <si>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</si>
  <si>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</si>
  <si>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</si>
  <si>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</si>
  <si>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</si>
  <si>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</si>
  <si>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</si>
  <si>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</si>
  <si>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</si>
  <si>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</si>
  <si>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</si>
  <si>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</si>
  <si>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</si>
  <si>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</si>
  <si>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</si>
  <si>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</si>
  <si>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</si>
  <si>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</si>
  <si>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</si>
  <si>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</si>
  <si>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6088.HK owner-FCF component DCF: base case (millions, USD)</t>
  </si>
  <si>
    <t xml:space="preserve">6088.HK owner-FCF component DCF: bull case (millions, USD)</t>
  </si>
  <si>
    <t xml:space="preserve">6088.HK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</si>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</sst>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3.705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4005.635</v>
      </c>
      <c r="C2" s="0" t="n">
        <v>3297.558</v>
      </c>
      <c r="D2" s="0" t="n">
        <v>708.077</v>
      </c>
      <c r="E2" s="0" t="n">
        <v>17.7</v>
      </c>
      <c r="F2" s="0" t="n">
        <v>308.552</v>
      </c>
      <c r="G2" s="0" t="n">
        <v>7.7</v>
      </c>
      <c r="H2" s="0" t="n">
        <v>509.727</v>
      </c>
      <c r="I2" s="0" t="n">
        <v>233.946</v>
      </c>
      <c r="J2" s="0" t="n">
        <v>5.8</v>
      </c>
      <c r="K2" s="0" t="n">
        <v>0.0335</v>
      </c>
      <c r="L2" s="0" t="n">
        <v>696.916</v>
      </c>
      <c r="M2" s="0" t="n">
        <v>134.483</v>
      </c>
      <c r="N2" s="0" t="n">
        <v>562.433</v>
      </c>
      <c r="O2" s="0" t="n">
        <v>1947.328</v>
      </c>
      <c r="P2" s="0" t="n">
        <v>4309.744</v>
      </c>
      <c r="Q2" s="0" t="n">
        <v>2362.416</v>
      </c>
      <c r="R2" s="0" t="n">
        <v>989.401</v>
      </c>
      <c r="S2" s="0" t="n">
        <v>1064.824</v>
      </c>
      <c r="T2" s="0" t="n">
        <v>6684.2</v>
      </c>
      <c r="U2" s="0" t="n">
        <v>18.636</v>
      </c>
      <c r="AA2" s="0" t="s">
        <v>18</v>
      </c>
      <c r="AB2" s="0" t="s">
        <v>14</v>
      </c>
      <c r="AC2" s="0" t="n">
        <v>12.968</v>
      </c>
      <c r="AE2" s="0" t="n">
        <v>6.424</v>
      </c>
    </row>
    <row r="3" customFormat="false" ht="15" hidden="false" customHeight="false" outlineLevel="0" collapsed="false">
      <c r="A3" s="0" t="s">
        <v>68</v>
      </c>
      <c r="B3" s="0" t="n">
        <v>4372.382</v>
      </c>
      <c r="C3" s="0" t="n">
        <v>3618.187</v>
      </c>
      <c r="D3" s="0" t="n">
        <v>754.195</v>
      </c>
      <c r="E3" s="0" t="n">
        <v>17.2</v>
      </c>
      <c r="F3" s="0" t="n">
        <v>275.17</v>
      </c>
      <c r="G3" s="0" t="n">
        <v>6.3</v>
      </c>
      <c r="H3" s="0" t="n">
        <v>530.129</v>
      </c>
      <c r="I3" s="0" t="n">
        <v>235.414</v>
      </c>
      <c r="J3" s="0" t="n">
        <v>5.4</v>
      </c>
      <c r="K3" s="0" t="n">
        <v>0.0349</v>
      </c>
      <c r="L3" s="0" t="n">
        <v>313.04</v>
      </c>
      <c r="M3" s="0" t="n">
        <v>254.741</v>
      </c>
      <c r="N3" s="0" t="n">
        <v>58.299</v>
      </c>
      <c r="O3" s="0" t="n">
        <v>2077.347</v>
      </c>
      <c r="P3" s="0" t="n">
        <v>4407.029</v>
      </c>
      <c r="Q3" s="0" t="n">
        <v>2329.682</v>
      </c>
      <c r="R3" s="0" t="n">
        <v>1067.722</v>
      </c>
      <c r="S3" s="0" t="n">
        <v>892.111</v>
      </c>
      <c r="T3" s="0" t="n">
        <v>6594.2</v>
      </c>
      <c r="U3" s="0" t="n">
        <v>14.736</v>
      </c>
      <c r="AA3" s="0" t="s">
        <v>18</v>
      </c>
      <c r="AB3" s="0" t="s">
        <v>14</v>
      </c>
      <c r="AC3" s="0" t="n">
        <v>27.592</v>
      </c>
      <c r="AE3" s="0" t="n">
        <v>118.011</v>
      </c>
    </row>
    <row r="4" customFormat="false" ht="15" hidden="false" customHeight="false" outlineLevel="0" collapsed="false">
      <c r="A4" s="0" t="s">
        <v>69</v>
      </c>
      <c r="B4" s="0" t="n">
        <v>4314.661</v>
      </c>
      <c r="C4" s="0" t="n">
        <v>3734.889</v>
      </c>
      <c r="D4" s="0" t="n">
        <v>579.772</v>
      </c>
      <c r="E4" s="0" t="n">
        <v>13.4</v>
      </c>
      <c r="F4" s="0" t="n">
        <v>124.757</v>
      </c>
      <c r="G4" s="0" t="n">
        <v>2.9</v>
      </c>
      <c r="H4" s="0" t="n">
        <v>365.89</v>
      </c>
      <c r="I4" s="0" t="n">
        <v>42.509</v>
      </c>
      <c r="J4" s="0" t="n">
        <v>1</v>
      </c>
      <c r="K4" s="0" t="n">
        <v>0.0062</v>
      </c>
      <c r="L4" s="0" t="n">
        <v>115.076</v>
      </c>
      <c r="M4" s="0" t="n">
        <v>366.846</v>
      </c>
      <c r="N4" s="0" t="n">
        <v>-251.77</v>
      </c>
      <c r="O4" s="0" t="n">
        <v>2190.376</v>
      </c>
      <c r="P4" s="0" t="n">
        <v>4638.937</v>
      </c>
      <c r="Q4" s="0" t="n">
        <v>2448.561</v>
      </c>
      <c r="R4" s="0" t="n">
        <v>1178.929</v>
      </c>
      <c r="S4" s="0" t="n">
        <v>766.112</v>
      </c>
      <c r="U4" s="0" t="n">
        <v>7.946</v>
      </c>
      <c r="AA4" s="0" t="s">
        <v>18</v>
      </c>
      <c r="AB4" s="0" t="s">
        <v>14</v>
      </c>
      <c r="AC4" s="0" t="n">
        <v>16.992</v>
      </c>
      <c r="AE4" s="0" t="n">
        <v>125.772</v>
      </c>
    </row>
    <row r="5" customFormat="false" ht="15" hidden="false" customHeight="false" outlineLevel="0" collapsed="false">
      <c r="A5" s="0" t="s">
        <v>70</v>
      </c>
      <c r="B5" s="0" t="n">
        <v>4490.215</v>
      </c>
      <c r="C5" s="0" t="n">
        <v>3817.209</v>
      </c>
      <c r="D5" s="0" t="n">
        <v>673.006</v>
      </c>
      <c r="E5" s="0" t="n">
        <v>15</v>
      </c>
      <c r="F5" s="0" t="n">
        <v>176.668</v>
      </c>
      <c r="G5" s="0" t="n">
        <v>3.9</v>
      </c>
      <c r="H5" s="0" t="n">
        <v>427.655</v>
      </c>
      <c r="I5" s="0" t="n">
        <v>137.625</v>
      </c>
      <c r="J5" s="0" t="n">
        <v>3.1</v>
      </c>
      <c r="K5" s="0" t="n">
        <v>0.0199</v>
      </c>
      <c r="L5" s="0" t="n">
        <v>84.896</v>
      </c>
      <c r="M5" s="0" t="n">
        <v>239.637</v>
      </c>
      <c r="N5" s="0" t="n">
        <v>-154.741</v>
      </c>
      <c r="O5" s="0" t="n">
        <v>2395.583</v>
      </c>
      <c r="P5" s="0" t="n">
        <v>5006.664</v>
      </c>
      <c r="Q5" s="0" t="n">
        <v>2611.081</v>
      </c>
      <c r="R5" s="0" t="n">
        <v>1265.523</v>
      </c>
      <c r="S5" s="0" t="n">
        <v>769.447</v>
      </c>
      <c r="T5" s="0" t="n">
        <v>6746.3</v>
      </c>
      <c r="U5" s="0" t="n">
        <v>4.167</v>
      </c>
      <c r="AA5" s="0" t="s">
        <v>18</v>
      </c>
      <c r="AB5" s="0" t="s">
        <v>14</v>
      </c>
      <c r="AC5" s="0" t="n">
        <v>12.719</v>
      </c>
      <c r="AE5" s="0" t="n">
        <v>98.013</v>
      </c>
    </row>
    <row r="6" customFormat="false" ht="15" hidden="false" customHeight="false" outlineLevel="0" collapsed="false">
      <c r="A6" s="0" t="s">
        <v>71</v>
      </c>
      <c r="B6" s="0" t="n">
        <v>4530.603</v>
      </c>
      <c r="C6" s="0" t="n">
        <v>3762.768</v>
      </c>
      <c r="D6" s="0" t="n">
        <v>767.835</v>
      </c>
      <c r="E6" s="0" t="n">
        <v>16.9</v>
      </c>
      <c r="F6" s="0" t="n">
        <v>307.384</v>
      </c>
      <c r="G6" s="0" t="n">
        <v>6.8</v>
      </c>
      <c r="H6" s="0" t="n">
        <v>539.784</v>
      </c>
      <c r="I6" s="0" t="n">
        <v>169.619</v>
      </c>
      <c r="J6" s="0" t="n">
        <v>3.7</v>
      </c>
      <c r="K6" s="0" t="n">
        <v>0.024</v>
      </c>
      <c r="L6" s="0" t="n">
        <v>556.453</v>
      </c>
      <c r="M6" s="0" t="n">
        <v>129.673</v>
      </c>
      <c r="N6" s="0" t="n">
        <v>426.78</v>
      </c>
      <c r="O6" s="0" t="n">
        <v>2346.939</v>
      </c>
      <c r="P6" s="0" t="n">
        <v>4547.183</v>
      </c>
      <c r="Q6" s="0" t="n">
        <v>2200.244</v>
      </c>
      <c r="R6" s="0" t="n">
        <v>1027.387</v>
      </c>
      <c r="S6" s="0" t="n">
        <v>914.045</v>
      </c>
      <c r="T6" s="0" t="n">
        <v>7009</v>
      </c>
      <c r="U6" s="0" t="n">
        <v>3.929</v>
      </c>
      <c r="AA6" s="0" t="s">
        <v>18</v>
      </c>
      <c r="AB6" s="0" t="s">
        <v>14</v>
      </c>
      <c r="AC6" s="0" t="n">
        <v>30.57</v>
      </c>
      <c r="AE6" s="0" t="n">
        <v>65.829</v>
      </c>
    </row>
    <row r="7" customFormat="false" ht="15" hidden="false" customHeight="false" outlineLevel="0" collapsed="false">
      <c r="A7" s="0" t="s">
        <v>72</v>
      </c>
      <c r="B7" s="0" t="n">
        <v>4195.55</v>
      </c>
      <c r="C7" s="0" t="n">
        <v>3388.41</v>
      </c>
      <c r="D7" s="0" t="n">
        <v>807.14</v>
      </c>
      <c r="E7" s="0" t="n">
        <v>19.2</v>
      </c>
      <c r="F7" s="0" t="n">
        <v>262.831</v>
      </c>
      <c r="G7" s="0" t="n">
        <v>6.3</v>
      </c>
      <c r="H7" s="0" t="n">
        <v>483.128</v>
      </c>
      <c r="I7" s="0" t="n">
        <v>128.969</v>
      </c>
      <c r="J7" s="0" t="n">
        <v>3.1</v>
      </c>
      <c r="K7" s="0" t="n">
        <v>0.0182</v>
      </c>
      <c r="L7" s="0" t="n">
        <v>573.626</v>
      </c>
      <c r="M7" s="0" t="n">
        <v>272.788</v>
      </c>
      <c r="N7" s="0" t="n">
        <v>300.838</v>
      </c>
      <c r="O7" s="0" t="n">
        <v>2437.378</v>
      </c>
      <c r="P7" s="0" t="n">
        <v>5093.736</v>
      </c>
      <c r="Q7" s="0" t="n">
        <v>2656.358</v>
      </c>
      <c r="R7" s="0" t="n">
        <v>1382.519</v>
      </c>
      <c r="S7" s="0" t="n">
        <v>1316.364</v>
      </c>
      <c r="T7" s="0" t="n">
        <v>7086.2</v>
      </c>
      <c r="U7" s="0" t="n">
        <v>0.868</v>
      </c>
      <c r="AA7" s="0" t="s">
        <v>18</v>
      </c>
      <c r="AB7" s="0" t="s">
        <v>14</v>
      </c>
      <c r="AC7" s="0" t="n">
        <v>63.367</v>
      </c>
      <c r="AE7" s="0" t="n">
        <v>3.94</v>
      </c>
    </row>
    <row r="8" customFormat="false" ht="15" hidden="false" customHeight="false" outlineLevel="0" collapsed="false">
      <c r="A8" s="0" t="s">
        <v>73</v>
      </c>
      <c r="B8" s="0" t="n">
        <v>4451.494</v>
      </c>
      <c r="C8" s="0" t="n">
        <v>3572.848</v>
      </c>
      <c r="D8" s="0" t="n">
        <v>878.646</v>
      </c>
      <c r="E8" s="0" t="n">
        <v>19.7</v>
      </c>
      <c r="F8" s="0" t="n">
        <v>326.757</v>
      </c>
      <c r="G8" s="0" t="n">
        <v>7.3</v>
      </c>
      <c r="H8" s="0" t="n">
        <v>576.458</v>
      </c>
      <c r="I8" s="0" t="n">
        <v>153.732</v>
      </c>
      <c r="J8" s="0" t="n">
        <v>3.5</v>
      </c>
      <c r="K8" s="0" t="n">
        <v>0.0217</v>
      </c>
      <c r="L8" s="0" t="n">
        <v>252.917</v>
      </c>
      <c r="M8" s="0" t="n">
        <v>383.923</v>
      </c>
      <c r="N8" s="0" t="n">
        <v>-131.006</v>
      </c>
      <c r="O8" s="0" t="n">
        <v>2483.088</v>
      </c>
      <c r="P8" s="0" t="n">
        <v>5470.183</v>
      </c>
      <c r="Q8" s="0" t="n">
        <v>2987.095</v>
      </c>
      <c r="R8" s="0" t="n">
        <v>1537.747</v>
      </c>
      <c r="S8" s="0" t="n">
        <v>1112.799</v>
      </c>
      <c r="T8" s="0" t="n">
        <v>7084.4</v>
      </c>
      <c r="U8" s="0" t="n">
        <v>1.1</v>
      </c>
      <c r="AA8" s="0" t="s">
        <v>18</v>
      </c>
      <c r="AB8" s="0" t="s">
        <v>14</v>
      </c>
      <c r="AC8" s="0" t="n">
        <v>81.677</v>
      </c>
      <c r="AD8" s="0" t="n">
        <v>211.56</v>
      </c>
      <c r="AE8" s="0" t="n">
        <v>41.803</v>
      </c>
    </row>
    <row r="9" customFormat="false" ht="15" hidden="false" customHeight="false" outlineLevel="0" collapsed="false">
      <c r="A9" s="0" t="s">
        <v>74</v>
      </c>
      <c r="B9" s="0" t="n">
        <v>5002.827</v>
      </c>
      <c r="C9" s="0" t="n">
        <v>4057.17</v>
      </c>
      <c r="D9" s="0" t="n">
        <v>945.657</v>
      </c>
      <c r="E9" s="0" t="n">
        <v>18.9</v>
      </c>
      <c r="F9" s="0" t="n">
        <v>286.926</v>
      </c>
      <c r="G9" s="0" t="n">
        <v>5.7</v>
      </c>
      <c r="H9" s="0" t="n">
        <v>568.221</v>
      </c>
      <c r="I9" s="0" t="n">
        <v>156.06</v>
      </c>
      <c r="J9" s="0" t="n">
        <v>3.1</v>
      </c>
      <c r="K9" s="0" t="n">
        <v>0.022</v>
      </c>
      <c r="L9" s="0" t="n">
        <v>267.012</v>
      </c>
      <c r="M9" s="0" t="n">
        <v>420.359</v>
      </c>
      <c r="N9" s="0" t="n">
        <v>-153.347</v>
      </c>
      <c r="O9" s="0" t="n">
        <v>2686.432</v>
      </c>
      <c r="P9" s="0" t="n">
        <v>5930.477</v>
      </c>
      <c r="Q9" s="0" t="n">
        <v>3244.045</v>
      </c>
      <c r="R9" s="0" t="n">
        <v>1794.151</v>
      </c>
      <c r="S9" s="0" t="n">
        <v>1067.478</v>
      </c>
      <c r="T9" s="0" t="n">
        <v>7093.6</v>
      </c>
      <c r="U9" s="0" t="n">
        <v>9.491</v>
      </c>
      <c r="AA9" s="0" t="s">
        <v>18</v>
      </c>
      <c r="AB9" s="0" t="s">
        <v>14</v>
      </c>
      <c r="AC9" s="0" t="n">
        <v>78.498</v>
      </c>
      <c r="AD9" s="0" t="n">
        <v>222.873</v>
      </c>
      <c r="AE9" s="0" t="n">
        <v>149.626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3.705</v>
      </c>
    </row>
    <row r="3" customFormat="false" ht="15" hidden="false" customHeight="false" outlineLevel="0" collapsed="false">
      <c r="A3" s="0" t="s">
        <v>78</v>
      </c>
      <c r="B3" s="3" t="n">
        <v>7116.352</v>
      </c>
    </row>
    <row r="4" customFormat="false" ht="15" hidden="false" customHeight="false" outlineLevel="0" collapsed="false">
      <c r="A4" s="0" t="s">
        <v>79</v>
      </c>
      <c r="B4" s="3" t="n">
        <v>714.2</v>
      </c>
    </row>
    <row r="5" customFormat="false" ht="15" hidden="false" customHeight="false" outlineLevel="0" collapsed="false">
      <c r="A5" s="0" t="s">
        <v>80</v>
      </c>
      <c r="B5" s="3" t="n">
        <v>-15.526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5002.827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7.8428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4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9.5</v>
      </c>
      <c r="D14" s="3" t="n">
        <v>9.5</v>
      </c>
      <c r="E14" s="3" t="n">
        <v>9.75</v>
      </c>
      <c r="F14" s="3" t="n">
        <v>10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100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101</v>
      </c>
      <c r="C16" s="3" t="n">
        <v>0.4</v>
      </c>
      <c r="D16" s="3" t="n">
        <v>0.4</v>
      </c>
      <c r="E16" s="3" t="n">
        <v>0.4</v>
      </c>
      <c r="F16" s="3" t="n">
        <v>0.4</v>
      </c>
      <c r="G16" s="3" t="n">
        <v>0.4</v>
      </c>
      <c r="H16" s="3" t="n">
        <v>0.4</v>
      </c>
      <c r="I16" s="3" t="n">
        <v>0.4</v>
      </c>
      <c r="J16" s="3" t="n">
        <v>0.4</v>
      </c>
      <c r="K16" s="3" t="n">
        <v>0.4</v>
      </c>
      <c r="L16" s="3" t="n">
        <v>0.4</v>
      </c>
    </row>
    <row r="17" customFormat="false" ht="15" hidden="false" customHeight="false" outlineLevel="0" collapsed="false">
      <c r="A17" s="0" t="s">
        <v>102</v>
      </c>
      <c r="C17" s="3" t="n">
        <v>5.3</v>
      </c>
      <c r="D17" s="3" t="n">
        <v>5.3</v>
      </c>
      <c r="E17" s="3" t="n">
        <v>5.3</v>
      </c>
      <c r="F17" s="3" t="n">
        <v>5.3</v>
      </c>
      <c r="G17" s="3" t="n">
        <v>5.3</v>
      </c>
      <c r="H17" s="3" t="n">
        <v>5.3</v>
      </c>
      <c r="I17" s="3" t="n">
        <v>5.3</v>
      </c>
      <c r="J17" s="3" t="n">
        <v>5.3</v>
      </c>
      <c r="K17" s="3" t="n">
        <v>5.3</v>
      </c>
      <c r="L17" s="3" t="n">
        <v>5.3</v>
      </c>
    </row>
    <row r="18" customFormat="false" ht="15" hidden="false" customHeight="false" outlineLevel="0" collapsed="false">
      <c r="A18" s="0" t="s">
        <v>103</v>
      </c>
      <c r="C18" s="3" t="n">
        <v>7.5</v>
      </c>
      <c r="D18" s="3" t="n">
        <v>7</v>
      </c>
      <c r="E18" s="3" t="n">
        <v>6.5</v>
      </c>
      <c r="F18" s="3" t="n">
        <v>6</v>
      </c>
      <c r="G18" s="3" t="n">
        <v>5.75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104</v>
      </c>
      <c r="C19" s="3" t="n">
        <v>33</v>
      </c>
      <c r="D19" s="3" t="n">
        <v>32</v>
      </c>
      <c r="E19" s="3" t="n">
        <v>32</v>
      </c>
      <c r="F19" s="3" t="n">
        <v>32</v>
      </c>
      <c r="G19" s="3" t="n">
        <v>32</v>
      </c>
      <c r="H19" s="3" t="n">
        <v>32</v>
      </c>
      <c r="I19" s="3" t="n">
        <v>32</v>
      </c>
      <c r="J19" s="3" t="n">
        <v>32</v>
      </c>
      <c r="K19" s="3" t="n">
        <v>32</v>
      </c>
      <c r="L19" s="3" t="n">
        <v>32</v>
      </c>
    </row>
    <row r="20" customFormat="false" ht="15" hidden="false" customHeight="false" outlineLevel="0" collapsed="false">
      <c r="A20" s="0" t="s">
        <v>105</v>
      </c>
      <c r="B20" s="3" t="n">
        <v>9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-20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8</v>
      </c>
      <c r="D27" s="3" t="n">
        <v>8</v>
      </c>
      <c r="E27" s="3" t="n">
        <v>7</v>
      </c>
      <c r="F27" s="3" t="n">
        <v>6</v>
      </c>
      <c r="G27" s="3" t="n">
        <v>5</v>
      </c>
      <c r="H27" s="3" t="n">
        <v>4</v>
      </c>
      <c r="I27" s="3" t="n">
        <v>3.5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10.5</v>
      </c>
      <c r="D28" s="3" t="n">
        <v>11</v>
      </c>
      <c r="E28" s="3" t="n">
        <v>11.5</v>
      </c>
      <c r="F28" s="3" t="n">
        <v>11.5</v>
      </c>
      <c r="G28" s="3" t="n">
        <v>11.5</v>
      </c>
      <c r="H28" s="3" t="n">
        <v>11.5</v>
      </c>
      <c r="I28" s="3" t="n">
        <v>11.5</v>
      </c>
      <c r="J28" s="3" t="n">
        <v>11.5</v>
      </c>
      <c r="K28" s="3" t="n">
        <v>11.5</v>
      </c>
      <c r="L28" s="3" t="n">
        <v>11.5</v>
      </c>
    </row>
    <row r="29" customFormat="false" ht="15" hidden="false" customHeight="false" outlineLevel="0" collapsed="false">
      <c r="A29" s="0" t="s">
        <v>100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101</v>
      </c>
      <c r="C30" s="3" t="n">
        <v>0.4</v>
      </c>
      <c r="D30" s="3" t="n">
        <v>0.4</v>
      </c>
      <c r="E30" s="3" t="n">
        <v>0.4</v>
      </c>
      <c r="F30" s="3" t="n">
        <v>0.4</v>
      </c>
      <c r="G30" s="3" t="n">
        <v>0.4</v>
      </c>
      <c r="H30" s="3" t="n">
        <v>0.4</v>
      </c>
      <c r="I30" s="3" t="n">
        <v>0.4</v>
      </c>
      <c r="J30" s="3" t="n">
        <v>0.4</v>
      </c>
      <c r="K30" s="3" t="n">
        <v>0.4</v>
      </c>
      <c r="L30" s="3" t="n">
        <v>0.4</v>
      </c>
    </row>
    <row r="31" customFormat="false" ht="15" hidden="false" customHeight="false" outlineLevel="0" collapsed="false">
      <c r="A31" s="0" t="s">
        <v>102</v>
      </c>
      <c r="C31" s="3" t="n">
        <v>5.2</v>
      </c>
      <c r="D31" s="3" t="n">
        <v>5.2</v>
      </c>
      <c r="E31" s="3" t="n">
        <v>5.3</v>
      </c>
      <c r="F31" s="3" t="n">
        <v>5.3</v>
      </c>
      <c r="G31" s="3" t="n">
        <v>5.3</v>
      </c>
      <c r="H31" s="3" t="n">
        <v>5.3</v>
      </c>
      <c r="I31" s="3" t="n">
        <v>5.3</v>
      </c>
      <c r="J31" s="3" t="n">
        <v>5.3</v>
      </c>
      <c r="K31" s="3" t="n">
        <v>5.3</v>
      </c>
      <c r="L31" s="3" t="n">
        <v>5.3</v>
      </c>
    </row>
    <row r="32" customFormat="false" ht="15" hidden="false" customHeight="false" outlineLevel="0" collapsed="false">
      <c r="A32" s="0" t="s">
        <v>103</v>
      </c>
      <c r="C32" s="3" t="n">
        <v>7.5</v>
      </c>
      <c r="D32" s="3" t="n">
        <v>7</v>
      </c>
      <c r="E32" s="3" t="n">
        <v>6.5</v>
      </c>
      <c r="F32" s="3" t="n">
        <v>6</v>
      </c>
      <c r="G32" s="3" t="n">
        <v>6</v>
      </c>
      <c r="H32" s="3" t="n">
        <v>5.75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104</v>
      </c>
      <c r="C33" s="3" t="n">
        <v>32</v>
      </c>
      <c r="D33" s="3" t="n">
        <v>31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105</v>
      </c>
      <c r="B34" s="3" t="n">
        <v>9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-18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12</v>
      </c>
      <c r="D41" s="3" t="n">
        <v>12</v>
      </c>
      <c r="E41" s="3" t="n">
        <v>10</v>
      </c>
      <c r="F41" s="3" t="n">
        <v>9</v>
      </c>
      <c r="G41" s="3" t="n">
        <v>8</v>
      </c>
      <c r="H41" s="3" t="n">
        <v>6</v>
      </c>
      <c r="I41" s="3" t="n">
        <v>5</v>
      </c>
      <c r="J41" s="3" t="n">
        <v>4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11</v>
      </c>
      <c r="D42" s="3" t="n">
        <v>11.8</v>
      </c>
      <c r="E42" s="3" t="n">
        <v>12.5</v>
      </c>
      <c r="F42" s="3" t="n">
        <v>13</v>
      </c>
      <c r="G42" s="3" t="n">
        <v>13.5</v>
      </c>
      <c r="H42" s="3" t="n">
        <v>13.5</v>
      </c>
      <c r="I42" s="3" t="n">
        <v>13.5</v>
      </c>
      <c r="J42" s="3" t="n">
        <v>13.5</v>
      </c>
      <c r="K42" s="3" t="n">
        <v>13.5</v>
      </c>
      <c r="L42" s="3" t="n">
        <v>13.5</v>
      </c>
    </row>
    <row r="43" customFormat="false" ht="15" hidden="false" customHeight="false" outlineLevel="0" collapsed="false">
      <c r="A43" s="0" t="s">
        <v>100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101</v>
      </c>
      <c r="C44" s="3" t="n">
        <v>0.4</v>
      </c>
      <c r="D44" s="3" t="n">
        <v>0.4</v>
      </c>
      <c r="E44" s="3" t="n">
        <v>0.4</v>
      </c>
      <c r="F44" s="3" t="n">
        <v>0.4</v>
      </c>
      <c r="G44" s="3" t="n">
        <v>0.4</v>
      </c>
      <c r="H44" s="3" t="n">
        <v>0.4</v>
      </c>
      <c r="I44" s="3" t="n">
        <v>0.4</v>
      </c>
      <c r="J44" s="3" t="n">
        <v>0.4</v>
      </c>
      <c r="K44" s="3" t="n">
        <v>0.4</v>
      </c>
      <c r="L44" s="3" t="n">
        <v>0.4</v>
      </c>
    </row>
    <row r="45" customFormat="false" ht="15" hidden="false" customHeight="false" outlineLevel="0" collapsed="false">
      <c r="A45" s="0" t="s">
        <v>102</v>
      </c>
      <c r="C45" s="3" t="n">
        <v>5.2</v>
      </c>
      <c r="D45" s="3" t="n">
        <v>5.2</v>
      </c>
      <c r="E45" s="3" t="n">
        <v>5.2</v>
      </c>
      <c r="F45" s="3" t="n">
        <v>5.2</v>
      </c>
      <c r="G45" s="3" t="n">
        <v>5.2</v>
      </c>
      <c r="H45" s="3" t="n">
        <v>5.2</v>
      </c>
      <c r="I45" s="3" t="n">
        <v>5.2</v>
      </c>
      <c r="J45" s="3" t="n">
        <v>5.2</v>
      </c>
      <c r="K45" s="3" t="n">
        <v>5.2</v>
      </c>
      <c r="L45" s="3" t="n">
        <v>5.2</v>
      </c>
    </row>
    <row r="46" customFormat="false" ht="15" hidden="false" customHeight="false" outlineLevel="0" collapsed="false">
      <c r="A46" s="0" t="s">
        <v>103</v>
      </c>
      <c r="C46" s="3" t="n">
        <v>7.5</v>
      </c>
      <c r="D46" s="3" t="n">
        <v>7</v>
      </c>
      <c r="E46" s="3" t="n">
        <v>6.5</v>
      </c>
      <c r="F46" s="3" t="n">
        <v>6</v>
      </c>
      <c r="G46" s="3" t="n">
        <v>5.75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104</v>
      </c>
      <c r="C47" s="3" t="n">
        <v>30</v>
      </c>
      <c r="D47" s="3" t="n">
        <v>29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105</v>
      </c>
      <c r="B48" s="3" t="n">
        <v>9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-15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4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5002.827</v>
      </c>
      <c r="C6" s="0" t="n">
        <f aca="false">B6*(1+C5/100)</f>
        <v>5202.94008</v>
      </c>
      <c r="D6" s="0" t="n">
        <f aca="false">C6*(1+D5/100)</f>
        <v>5306.9988816</v>
      </c>
      <c r="E6" s="0" t="n">
        <f aca="false">D6*(1+E5/100)</f>
        <v>5413.138859232</v>
      </c>
      <c r="F6" s="0" t="n">
        <f aca="false">E6*(1+F5/100)</f>
        <v>5521.40163641664</v>
      </c>
      <c r="G6" s="0" t="n">
        <f aca="false">F6*(1+G5/100)</f>
        <v>5631.82966914497</v>
      </c>
      <c r="H6" s="0" t="n">
        <f aca="false">G6*(1+H5/100)</f>
        <v>5744.46626252787</v>
      </c>
      <c r="I6" s="0" t="n">
        <f aca="false">H6*(1+I5/100)</f>
        <v>5859.35558777843</v>
      </c>
      <c r="J6" s="0" t="n">
        <f aca="false">I6*(1+J5/100)</f>
        <v>5976.542699534</v>
      </c>
      <c r="K6" s="0" t="n">
        <f aca="false">J6*(1+K5/100)</f>
        <v>6096.07355352468</v>
      </c>
      <c r="L6" s="0" t="n">
        <f aca="false">K6*(1+L5/100)</f>
        <v>6217.99502459517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9.5</v>
      </c>
      <c r="D7" s="4" t="n">
        <f aca="false">Assumptions!D14</f>
        <v>9.5</v>
      </c>
      <c r="E7" s="4" t="n">
        <f aca="false">Assumptions!E14</f>
        <v>9.75</v>
      </c>
      <c r="F7" s="4" t="n">
        <f aca="false">Assumptions!F14</f>
        <v>10</v>
      </c>
      <c r="G7" s="4" t="n">
        <f aca="false">Assumptions!G14</f>
        <v>10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494.2793076</v>
      </c>
      <c r="D8" s="0" t="n">
        <f aca="false">D6*D7/100</f>
        <v>504.164893752</v>
      </c>
      <c r="E8" s="0" t="n">
        <f aca="false">E6*E7/100</f>
        <v>527.78103877512</v>
      </c>
      <c r="F8" s="0" t="n">
        <f aca="false">F6*F7/100</f>
        <v>552.140163641664</v>
      </c>
      <c r="G8" s="0" t="n">
        <f aca="false">G6*G7/100</f>
        <v>563.182966914497</v>
      </c>
      <c r="H8" s="0" t="n">
        <f aca="false">H6*H7/100</f>
        <v>574.446626252787</v>
      </c>
      <c r="I8" s="0" t="n">
        <f aca="false">I6*I7/100</f>
        <v>585.935558777843</v>
      </c>
      <c r="J8" s="0" t="n">
        <f aca="false">J6*J7/100</f>
        <v>597.6542699534</v>
      </c>
      <c r="K8" s="0" t="n">
        <f aca="false">K6*K7/100</f>
        <v>609.607355352468</v>
      </c>
      <c r="L8" s="0" t="n">
        <f aca="false">L6*L7/100</f>
        <v>621.799502459517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-10.40588016</v>
      </c>
      <c r="D10" s="0" t="n">
        <f aca="false">-D6*D9/100</f>
        <v>-10.6139977632</v>
      </c>
      <c r="E10" s="0" t="n">
        <f aca="false">-E6*E9/100</f>
        <v>-10.826277718464</v>
      </c>
      <c r="F10" s="0" t="n">
        <f aca="false">-F6*F9/100</f>
        <v>-11.0428032728333</v>
      </c>
      <c r="G10" s="0" t="n">
        <f aca="false">-G6*G9/100</f>
        <v>-11.26365933829</v>
      </c>
      <c r="H10" s="0" t="n">
        <f aca="false">-H6*H9/100</f>
        <v>-11.4889325250557</v>
      </c>
      <c r="I10" s="0" t="n">
        <f aca="false">-I6*I9/100</f>
        <v>-11.7187111755569</v>
      </c>
      <c r="J10" s="0" t="n">
        <f aca="false">-J6*J9/100</f>
        <v>-11.953085399068</v>
      </c>
      <c r="K10" s="0" t="n">
        <f aca="false">-K6*K9/100</f>
        <v>-12.1921471070494</v>
      </c>
      <c r="L10" s="0" t="n">
        <f aca="false">-L6*L9/100</f>
        <v>-12.4359900491903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463.06166712</v>
      </c>
      <c r="D11" s="0" t="n">
        <f aca="false">D8+D10+D24</f>
        <v>472.3229004624</v>
      </c>
      <c r="E11" s="0" t="n">
        <f aca="false">E8+E10+E24</f>
        <v>495.302205619728</v>
      </c>
      <c r="F11" s="0" t="n">
        <f aca="false">F8+F10+F24</f>
        <v>519.011753823164</v>
      </c>
      <c r="G11" s="0" t="n">
        <f aca="false">G8+G10+G24</f>
        <v>529.391988899628</v>
      </c>
      <c r="H11" s="0" t="n">
        <f aca="false">H8+H10+H24</f>
        <v>539.97982867762</v>
      </c>
      <c r="I11" s="0" t="n">
        <f aca="false">I8+I10+I24</f>
        <v>550.779425251173</v>
      </c>
      <c r="J11" s="0" t="n">
        <f aca="false">J8+J10+J24</f>
        <v>561.795013756196</v>
      </c>
      <c r="K11" s="0" t="n">
        <f aca="false">K8+K10+K24</f>
        <v>573.03091403132</v>
      </c>
      <c r="L11" s="0" t="n">
        <f aca="false">L8+L10+L24</f>
        <v>584.491532311946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-275.75582424</v>
      </c>
      <c r="D12" s="4" t="n">
        <f aca="false">-D6*Assumptions!D17/100</f>
        <v>-281.2709407248</v>
      </c>
      <c r="E12" s="4" t="n">
        <f aca="false">-E6*Assumptions!E17/100</f>
        <v>-286.896359539296</v>
      </c>
      <c r="F12" s="4" t="n">
        <f aca="false">-F6*Assumptions!F17/100</f>
        <v>-292.634286730082</v>
      </c>
      <c r="G12" s="4" t="n">
        <f aca="false">-G6*Assumptions!G17/100</f>
        <v>-298.486972464684</v>
      </c>
      <c r="H12" s="4" t="n">
        <f aca="false">-H6*Assumptions!H17/100</f>
        <v>-304.456711913977</v>
      </c>
      <c r="I12" s="4" t="n">
        <f aca="false">-I6*Assumptions!I17/100</f>
        <v>-310.545846152257</v>
      </c>
      <c r="J12" s="4" t="n">
        <f aca="false">-J6*Assumptions!J17/100</f>
        <v>-316.756763075302</v>
      </c>
      <c r="K12" s="4" t="n">
        <f aca="false">-K6*Assumptions!K17/100</f>
        <v>-323.091898336808</v>
      </c>
      <c r="L12" s="4" t="n">
        <f aca="false">-L6*Assumptions!L17/100</f>
        <v>-329.553736303544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187.30584288</v>
      </c>
      <c r="D13" s="0" t="n">
        <f aca="false">D11+D12</f>
        <v>191.0519597376</v>
      </c>
      <c r="E13" s="0" t="n">
        <f aca="false">E11+E12</f>
        <v>208.405846080432</v>
      </c>
      <c r="F13" s="0" t="n">
        <f aca="false">F11+F12</f>
        <v>226.377467093082</v>
      </c>
      <c r="G13" s="0" t="n">
        <f aca="false">G11+G12</f>
        <v>230.905016434944</v>
      </c>
      <c r="H13" s="0" t="n">
        <f aca="false">H11+H12</f>
        <v>235.523116763643</v>
      </c>
      <c r="I13" s="0" t="n">
        <f aca="false">I11+I12</f>
        <v>240.233579098916</v>
      </c>
      <c r="J13" s="0" t="n">
        <f aca="false">J11+J12</f>
        <v>245.038250680894</v>
      </c>
      <c r="K13" s="0" t="n">
        <f aca="false">K11+K12</f>
        <v>249.939015694512</v>
      </c>
      <c r="L13" s="0" t="n">
        <f aca="false">L11+L12</f>
        <v>254.937796008402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33</v>
      </c>
      <c r="D14" s="4" t="n">
        <f aca="false">Assumptions!D19</f>
        <v>32</v>
      </c>
      <c r="E14" s="4" t="n">
        <f aca="false">Assumptions!E19</f>
        <v>32</v>
      </c>
      <c r="F14" s="4" t="n">
        <f aca="false">Assumptions!F19</f>
        <v>32</v>
      </c>
      <c r="G14" s="4" t="n">
        <f aca="false">Assumptions!G19</f>
        <v>32</v>
      </c>
      <c r="H14" s="4" t="n">
        <f aca="false">Assumptions!H19</f>
        <v>32</v>
      </c>
      <c r="I14" s="4" t="n">
        <f aca="false">Assumptions!I19</f>
        <v>32</v>
      </c>
      <c r="J14" s="4" t="n">
        <f aca="false">Assumptions!J19</f>
        <v>32</v>
      </c>
      <c r="K14" s="4" t="n">
        <f aca="false">Assumptions!K19</f>
        <v>32</v>
      </c>
      <c r="L14" s="4" t="n">
        <f aca="false">Assumptions!L19</f>
        <v>32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125.4949147296</v>
      </c>
      <c r="D15" s="0" t="n">
        <f aca="false">D13-MAX(0,D13)*D14/100</f>
        <v>129.915332621568</v>
      </c>
      <c r="E15" s="0" t="n">
        <f aca="false">E13-MAX(0,E13)*E14/100</f>
        <v>141.715975334694</v>
      </c>
      <c r="F15" s="0" t="n">
        <f aca="false">F13-MAX(0,F13)*F14/100</f>
        <v>153.936677623296</v>
      </c>
      <c r="G15" s="0" t="n">
        <f aca="false">G13-MAX(0,G13)*G14/100</f>
        <v>157.015411175762</v>
      </c>
      <c r="H15" s="0" t="n">
        <f aca="false">H13-MAX(0,H13)*H14/100</f>
        <v>160.155719399277</v>
      </c>
      <c r="I15" s="0" t="n">
        <f aca="false">I13-MAX(0,I13)*I14/100</f>
        <v>163.358833787263</v>
      </c>
      <c r="J15" s="0" t="n">
        <f aca="false">J13-MAX(0,J13)*J14/100</f>
        <v>166.626010463008</v>
      </c>
      <c r="K15" s="0" t="n">
        <f aca="false">K13-MAX(0,K13)*K14/100</f>
        <v>169.958530672268</v>
      </c>
      <c r="L15" s="0" t="n">
        <f aca="false">L13-MAX(0,L13)*L14/100</f>
        <v>173.357701285713</v>
      </c>
    </row>
    <row r="16" customFormat="false" ht="15" hidden="false" customHeight="false" outlineLevel="0" collapsed="false">
      <c r="A16" s="0" t="s">
        <v>120</v>
      </c>
      <c r="C16" s="0" t="n">
        <f aca="false">-C12</f>
        <v>275.75582424</v>
      </c>
      <c r="D16" s="0" t="n">
        <f aca="false">-D12</f>
        <v>281.2709407248</v>
      </c>
      <c r="E16" s="0" t="n">
        <f aca="false">-E12</f>
        <v>286.896359539296</v>
      </c>
      <c r="F16" s="0" t="n">
        <f aca="false">-F12</f>
        <v>292.634286730082</v>
      </c>
      <c r="G16" s="0" t="n">
        <f aca="false">-G12</f>
        <v>298.486972464684</v>
      </c>
      <c r="H16" s="0" t="n">
        <f aca="false">-H12</f>
        <v>304.456711913977</v>
      </c>
      <c r="I16" s="0" t="n">
        <f aca="false">-I12</f>
        <v>310.545846152257</v>
      </c>
      <c r="J16" s="0" t="n">
        <f aca="false">-J12</f>
        <v>316.756763075302</v>
      </c>
      <c r="K16" s="0" t="n">
        <f aca="false">-K12</f>
        <v>323.091898336808</v>
      </c>
      <c r="L16" s="0" t="n">
        <f aca="false">-L12</f>
        <v>329.553736303544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-390.220506</v>
      </c>
      <c r="D17" s="4" t="n">
        <f aca="false">-D6*Assumptions!D18/100</f>
        <v>-371.489921712</v>
      </c>
      <c r="E17" s="4" t="n">
        <f aca="false">-E6*Assumptions!E18/100</f>
        <v>-351.85402585008</v>
      </c>
      <c r="F17" s="4" t="n">
        <f aca="false">-F6*Assumptions!F18/100</f>
        <v>-331.284098184998</v>
      </c>
      <c r="G17" s="4" t="n">
        <f aca="false">-G6*Assumptions!G18/100</f>
        <v>-323.830205975836</v>
      </c>
      <c r="H17" s="4" t="n">
        <f aca="false">-H6*Assumptions!H18/100</f>
        <v>-315.945644439033</v>
      </c>
      <c r="I17" s="4" t="n">
        <f aca="false">-I6*Assumptions!I18/100</f>
        <v>-322.264557327814</v>
      </c>
      <c r="J17" s="4" t="n">
        <f aca="false">-J6*Assumptions!J18/100</f>
        <v>-328.70984847437</v>
      </c>
      <c r="K17" s="4" t="n">
        <f aca="false">-K6*Assumptions!K18/100</f>
        <v>-335.284045443857</v>
      </c>
      <c r="L17" s="4" t="n">
        <f aca="false">-L6*Assumptions!L18/100</f>
        <v>-341.989726352735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-40.022616</v>
      </c>
      <c r="D18" s="4" t="n">
        <f aca="false">(D6-C6)*Assumptions!$B$23/100</f>
        <v>-20.81176032</v>
      </c>
      <c r="E18" s="4" t="n">
        <f aca="false">(E6-D6)*Assumptions!$B$23/100</f>
        <v>-21.2279955264001</v>
      </c>
      <c r="F18" s="4" t="n">
        <f aca="false">(F6-E6)*Assumptions!$B$23/100</f>
        <v>-21.652555436928</v>
      </c>
      <c r="G18" s="4" t="n">
        <f aca="false">(G6-F6)*Assumptions!$B$23/100</f>
        <v>-22.0856065456666</v>
      </c>
      <c r="H18" s="4" t="n">
        <f aca="false">(H6-G6)*Assumptions!$B$23/100</f>
        <v>-22.5273186765799</v>
      </c>
      <c r="I18" s="4" t="n">
        <f aca="false">(I6-H6)*Assumptions!$B$23/100</f>
        <v>-22.9778650501115</v>
      </c>
      <c r="J18" s="4" t="n">
        <f aca="false">(J6-I6)*Assumptions!$B$23/100</f>
        <v>-23.4374223511137</v>
      </c>
      <c r="K18" s="4" t="n">
        <f aca="false">(K6-J6)*Assumptions!$B$23/100</f>
        <v>-23.906170798136</v>
      </c>
      <c r="L18" s="4" t="n">
        <f aca="false">(L6-K6)*Assumptions!$B$23/100</f>
        <v>-24.3842942140987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-28.9923830304</v>
      </c>
      <c r="D19" s="0" t="n">
        <f aca="false">D15+D16+D17+D18</f>
        <v>18.884591314368</v>
      </c>
      <c r="E19" s="0" t="n">
        <f aca="false">E15+E16+E17+E18</f>
        <v>55.5303134975097</v>
      </c>
      <c r="F19" s="0" t="n">
        <f aca="false">F15+F16+F17+F18</f>
        <v>93.6343107314515</v>
      </c>
      <c r="G19" s="0" t="n">
        <f aca="false">G15+G16+G17+G18</f>
        <v>109.586571118943</v>
      </c>
      <c r="H19" s="0" t="n">
        <f aca="false">H15+H16+H17+H18</f>
        <v>126.139468197641</v>
      </c>
      <c r="I19" s="0" t="n">
        <f aca="false">I15+I16+I17+I18</f>
        <v>128.662257561594</v>
      </c>
      <c r="J19" s="0" t="n">
        <f aca="false">J15+J16+J17+J18</f>
        <v>131.235502712826</v>
      </c>
      <c r="K19" s="0" t="n">
        <f aca="false">K15+K16+K17+K18</f>
        <v>133.860212767083</v>
      </c>
      <c r="L19" s="0" t="n">
        <f aca="false">L15+L16+L17+L18</f>
        <v>136.537417022424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-26.5985165416514</v>
      </c>
      <c r="D21" s="0" t="n">
        <f aca="false">D19*D20</f>
        <v>15.894782690319</v>
      </c>
      <c r="E21" s="0" t="n">
        <f aca="false">E19*E20</f>
        <v>42.879590725389</v>
      </c>
      <c r="F21" s="0" t="n">
        <f aca="false">F19*F20</f>
        <v>66.3329063428727</v>
      </c>
      <c r="G21" s="0" t="n">
        <f aca="false">G19*G20</f>
        <v>71.2237520870167</v>
      </c>
      <c r="H21" s="0" t="n">
        <f aca="false">H19*H20</f>
        <v>75.2128435161735</v>
      </c>
      <c r="I21" s="0" t="n">
        <f aca="false">I19*I20</f>
        <v>70.3826609050431</v>
      </c>
      <c r="J21" s="0" t="n">
        <f aca="false">J19*J20</f>
        <v>65.8626735074715</v>
      </c>
      <c r="K21" s="0" t="n">
        <f aca="false">K19*K20</f>
        <v>61.6329605299275</v>
      </c>
      <c r="L21" s="0" t="n">
        <f aca="false">L19*L20</f>
        <v>57.6748804958954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0.4</v>
      </c>
      <c r="D23" s="4" t="n">
        <f aca="false">Assumptions!D16</f>
        <v>0.4</v>
      </c>
      <c r="E23" s="4" t="n">
        <f aca="false">Assumptions!E16</f>
        <v>0.4</v>
      </c>
      <c r="F23" s="4" t="n">
        <f aca="false">Assumptions!F16</f>
        <v>0.4</v>
      </c>
      <c r="G23" s="4" t="n">
        <f aca="false">Assumptions!G16</f>
        <v>0.4</v>
      </c>
      <c r="H23" s="4" t="n">
        <f aca="false">Assumptions!H16</f>
        <v>0.4</v>
      </c>
      <c r="I23" s="4" t="n">
        <f aca="false">Assumptions!I16</f>
        <v>0.4</v>
      </c>
      <c r="J23" s="4" t="n">
        <f aca="false">Assumptions!J16</f>
        <v>0.4</v>
      </c>
      <c r="K23" s="4" t="n">
        <f aca="false">Assumptions!K16</f>
        <v>0.4</v>
      </c>
      <c r="L23" s="4" t="n">
        <f aca="false">Assumptions!L16</f>
        <v>0.4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-20.81176032</v>
      </c>
      <c r="D24" s="0" t="n">
        <f aca="false">-D6*D23/100</f>
        <v>-21.2279955264</v>
      </c>
      <c r="E24" s="0" t="n">
        <f aca="false">-E6*E23/100</f>
        <v>-21.652555436928</v>
      </c>
      <c r="F24" s="0" t="n">
        <f aca="false">-F6*F23/100</f>
        <v>-22.0856065456666</v>
      </c>
      <c r="G24" s="0" t="n">
        <f aca="false">-G6*G23/100</f>
        <v>-22.5273186765799</v>
      </c>
      <c r="H24" s="0" t="n">
        <f aca="false">-H6*H23/100</f>
        <v>-22.9778650501115</v>
      </c>
      <c r="I24" s="0" t="n">
        <f aca="false">-I6*I23/100</f>
        <v>-23.4374223511137</v>
      </c>
      <c r="J24" s="0" t="n">
        <f aca="false">-J6*J23/100</f>
        <v>-23.906170798136</v>
      </c>
      <c r="K24" s="0" t="n">
        <f aca="false">-K6*K23/100</f>
        <v>-24.3842942140987</v>
      </c>
      <c r="L24" s="0" t="n">
        <f aca="false">-L6*L23/100</f>
        <v>-24.8719800983807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500.498534258457</v>
      </c>
    </row>
    <row r="31" customFormat="false" ht="15" hidden="false" customHeight="false" outlineLevel="0" collapsed="false">
      <c r="A31" s="0" t="s">
        <v>129</v>
      </c>
      <c r="B31" s="0" t="n">
        <f aca="false">L19</f>
        <v>136.537417022424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1989.54521946961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1638.44900426909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1638.44900426909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692.098565950745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1192.5971002092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462.871100209202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0.510121683795395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-0.862315335007991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72.1103090992891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76.5451217578537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0.673952086384587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1071.29357971441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-0.125321248492157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8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5002.827</v>
      </c>
      <c r="C6" s="0" t="n">
        <f aca="false">B6*(1+C5/100)</f>
        <v>5403.05316</v>
      </c>
      <c r="D6" s="0" t="n">
        <f aca="false">C6*(1+D5/100)</f>
        <v>5835.2974128</v>
      </c>
      <c r="E6" s="0" t="n">
        <f aca="false">D6*(1+E5/100)</f>
        <v>6243.768231696</v>
      </c>
      <c r="F6" s="0" t="n">
        <f aca="false">E6*(1+F5/100)</f>
        <v>6618.39432559776</v>
      </c>
      <c r="G6" s="0" t="n">
        <f aca="false">F6*(1+G5/100)</f>
        <v>6949.31404187765</v>
      </c>
      <c r="H6" s="0" t="n">
        <f aca="false">G6*(1+H5/100)</f>
        <v>7227.28660355276</v>
      </c>
      <c r="I6" s="0" t="n">
        <f aca="false">H6*(1+I5/100)</f>
        <v>7480.2416346771</v>
      </c>
      <c r="J6" s="0" t="n">
        <f aca="false">I6*(1+J5/100)</f>
        <v>7704.64888371742</v>
      </c>
      <c r="K6" s="0" t="n">
        <f aca="false">J6*(1+K5/100)</f>
        <v>7897.26510581035</v>
      </c>
      <c r="L6" s="0" t="n">
        <f aca="false">K6*(1+L5/100)</f>
        <v>8094.69673345561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10.5</v>
      </c>
      <c r="D7" s="4" t="n">
        <f aca="false">Assumptions!D28</f>
        <v>11</v>
      </c>
      <c r="E7" s="4" t="n">
        <f aca="false">Assumptions!E28</f>
        <v>11.5</v>
      </c>
      <c r="F7" s="4" t="n">
        <f aca="false">Assumptions!F28</f>
        <v>11.5</v>
      </c>
      <c r="G7" s="4" t="n">
        <f aca="false">Assumptions!G28</f>
        <v>11.5</v>
      </c>
      <c r="H7" s="4" t="n">
        <f aca="false">Assumptions!H28</f>
        <v>11.5</v>
      </c>
      <c r="I7" s="4" t="n">
        <f aca="false">Assumptions!I28</f>
        <v>11.5</v>
      </c>
      <c r="J7" s="4" t="n">
        <f aca="false">Assumptions!J28</f>
        <v>11.5</v>
      </c>
      <c r="K7" s="4" t="n">
        <f aca="false">Assumptions!K28</f>
        <v>11.5</v>
      </c>
      <c r="L7" s="4" t="n">
        <f aca="false">Assumptions!L28</f>
        <v>11.5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567.3205818</v>
      </c>
      <c r="D8" s="0" t="n">
        <f aca="false">D6*D7/100</f>
        <v>641.882715408</v>
      </c>
      <c r="E8" s="0" t="n">
        <f aca="false">E6*E7/100</f>
        <v>718.03334664504</v>
      </c>
      <c r="F8" s="0" t="n">
        <f aca="false">F6*F7/100</f>
        <v>761.115347443743</v>
      </c>
      <c r="G8" s="0" t="n">
        <f aca="false">G6*G7/100</f>
        <v>799.17111481593</v>
      </c>
      <c r="H8" s="0" t="n">
        <f aca="false">H6*H7/100</f>
        <v>831.137959408567</v>
      </c>
      <c r="I8" s="0" t="n">
        <f aca="false">I6*I7/100</f>
        <v>860.227787987867</v>
      </c>
      <c r="J8" s="0" t="n">
        <f aca="false">J6*J7/100</f>
        <v>886.034621627503</v>
      </c>
      <c r="K8" s="0" t="n">
        <f aca="false">K6*K7/100</f>
        <v>908.18548716819</v>
      </c>
      <c r="L8" s="0" t="n">
        <f aca="false">L6*L7/100</f>
        <v>930.890124347395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-10.80610632</v>
      </c>
      <c r="D10" s="0" t="n">
        <f aca="false">-D6*D9/100</f>
        <v>-11.6705948256</v>
      </c>
      <c r="E10" s="0" t="n">
        <f aca="false">-E6*E9/100</f>
        <v>-12.487536463392</v>
      </c>
      <c r="F10" s="0" t="n">
        <f aca="false">-F6*F9/100</f>
        <v>-13.2367886511955</v>
      </c>
      <c r="G10" s="0" t="n">
        <f aca="false">-G6*G9/100</f>
        <v>-13.8986280837553</v>
      </c>
      <c r="H10" s="0" t="n">
        <f aca="false">-H6*H9/100</f>
        <v>-14.4545732071055</v>
      </c>
      <c r="I10" s="0" t="n">
        <f aca="false">-I6*I9/100</f>
        <v>-14.9604832693542</v>
      </c>
      <c r="J10" s="0" t="n">
        <f aca="false">-J6*J9/100</f>
        <v>-15.4092977674348</v>
      </c>
      <c r="K10" s="0" t="n">
        <f aca="false">-K6*K9/100</f>
        <v>-15.7945302116207</v>
      </c>
      <c r="L10" s="0" t="n">
        <f aca="false">-L6*L9/100</f>
        <v>-16.1893934669112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534.90226284</v>
      </c>
      <c r="D11" s="0" t="n">
        <f aca="false">D8+D10+D24</f>
        <v>606.8709309312</v>
      </c>
      <c r="E11" s="0" t="n">
        <f aca="false">E8+E10+E24</f>
        <v>680.570737254864</v>
      </c>
      <c r="F11" s="0" t="n">
        <f aca="false">F8+F10+F24</f>
        <v>721.404981490156</v>
      </c>
      <c r="G11" s="0" t="n">
        <f aca="false">G8+G10+G24</f>
        <v>757.475230564664</v>
      </c>
      <c r="H11" s="0" t="n">
        <f aca="false">H8+H10+H24</f>
        <v>787.77423978725</v>
      </c>
      <c r="I11" s="0" t="n">
        <f aca="false">I8+I10+I24</f>
        <v>815.346338179804</v>
      </c>
      <c r="J11" s="0" t="n">
        <f aca="false">J8+J10+J24</f>
        <v>839.806728325198</v>
      </c>
      <c r="K11" s="0" t="n">
        <f aca="false">K8+K10+K24</f>
        <v>860.801896533328</v>
      </c>
      <c r="L11" s="0" t="n">
        <f aca="false">L8+L10+L24</f>
        <v>882.321943946661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-280.95876432</v>
      </c>
      <c r="D12" s="4" t="n">
        <f aca="false">-D6*Assumptions!D31/100</f>
        <v>-303.4354654656</v>
      </c>
      <c r="E12" s="4" t="n">
        <f aca="false">-E6*Assumptions!E31/100</f>
        <v>-330.919716279888</v>
      </c>
      <c r="F12" s="4" t="n">
        <f aca="false">-F6*Assumptions!F31/100</f>
        <v>-350.774899256681</v>
      </c>
      <c r="G12" s="4" t="n">
        <f aca="false">-G6*Assumptions!G31/100</f>
        <v>-368.313644219515</v>
      </c>
      <c r="H12" s="4" t="n">
        <f aca="false">-H6*Assumptions!H31/100</f>
        <v>-383.046189988296</v>
      </c>
      <c r="I12" s="4" t="n">
        <f aca="false">-I6*Assumptions!I31/100</f>
        <v>-396.452806637886</v>
      </c>
      <c r="J12" s="4" t="n">
        <f aca="false">-J6*Assumptions!J31/100</f>
        <v>-408.346390837023</v>
      </c>
      <c r="K12" s="4" t="n">
        <f aca="false">-K6*Assumptions!K31/100</f>
        <v>-418.555050607949</v>
      </c>
      <c r="L12" s="4" t="n">
        <f aca="false">-L6*Assumptions!L31/100</f>
        <v>-429.018926873147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253.94349852</v>
      </c>
      <c r="D13" s="0" t="n">
        <f aca="false">D11+D12</f>
        <v>303.4354654656</v>
      </c>
      <c r="E13" s="0" t="n">
        <f aca="false">E11+E12</f>
        <v>349.651020974976</v>
      </c>
      <c r="F13" s="0" t="n">
        <f aca="false">F11+F12</f>
        <v>370.630082233475</v>
      </c>
      <c r="G13" s="0" t="n">
        <f aca="false">G11+G12</f>
        <v>389.161586345148</v>
      </c>
      <c r="H13" s="0" t="n">
        <f aca="false">H11+H12</f>
        <v>404.728049798954</v>
      </c>
      <c r="I13" s="0" t="n">
        <f aca="false">I11+I12</f>
        <v>418.893531541918</v>
      </c>
      <c r="J13" s="0" t="n">
        <f aca="false">J11+J12</f>
        <v>431.460337488175</v>
      </c>
      <c r="K13" s="0" t="n">
        <f aca="false">K11+K12</f>
        <v>442.24684592538</v>
      </c>
      <c r="L13" s="0" t="n">
        <f aca="false">L11+L12</f>
        <v>453.303017073514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32</v>
      </c>
      <c r="D14" s="4" t="n">
        <f aca="false">Assumptions!D33</f>
        <v>31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172.6815789936</v>
      </c>
      <c r="D15" s="0" t="n">
        <f aca="false">D13-MAX(0,D13)*D14/100</f>
        <v>209.370471171264</v>
      </c>
      <c r="E15" s="0" t="n">
        <f aca="false">E13-MAX(0,E13)*E14/100</f>
        <v>244.755714682483</v>
      </c>
      <c r="F15" s="0" t="n">
        <f aca="false">F13-MAX(0,F13)*F14/100</f>
        <v>259.441057563432</v>
      </c>
      <c r="G15" s="0" t="n">
        <f aca="false">G13-MAX(0,G13)*G14/100</f>
        <v>272.413110441604</v>
      </c>
      <c r="H15" s="0" t="n">
        <f aca="false">H13-MAX(0,H13)*H14/100</f>
        <v>283.309634859268</v>
      </c>
      <c r="I15" s="0" t="n">
        <f aca="false">I13-MAX(0,I13)*I14/100</f>
        <v>293.225472079342</v>
      </c>
      <c r="J15" s="0" t="n">
        <f aca="false">J13-MAX(0,J13)*J14/100</f>
        <v>302.022236241723</v>
      </c>
      <c r="K15" s="0" t="n">
        <f aca="false">K13-MAX(0,K13)*K14/100</f>
        <v>309.572792147766</v>
      </c>
      <c r="L15" s="0" t="n">
        <f aca="false">L13-MAX(0,L13)*L14/100</f>
        <v>317.31211195146</v>
      </c>
    </row>
    <row r="16" customFormat="false" ht="15" hidden="false" customHeight="false" outlineLevel="0" collapsed="false">
      <c r="A16" s="0" t="s">
        <v>120</v>
      </c>
      <c r="C16" s="0" t="n">
        <f aca="false">-C12</f>
        <v>280.95876432</v>
      </c>
      <c r="D16" s="0" t="n">
        <f aca="false">-D12</f>
        <v>303.4354654656</v>
      </c>
      <c r="E16" s="0" t="n">
        <f aca="false">-E12</f>
        <v>330.919716279888</v>
      </c>
      <c r="F16" s="0" t="n">
        <f aca="false">-F12</f>
        <v>350.774899256681</v>
      </c>
      <c r="G16" s="0" t="n">
        <f aca="false">-G12</f>
        <v>368.313644219515</v>
      </c>
      <c r="H16" s="0" t="n">
        <f aca="false">-H12</f>
        <v>383.046189988296</v>
      </c>
      <c r="I16" s="0" t="n">
        <f aca="false">-I12</f>
        <v>396.452806637886</v>
      </c>
      <c r="J16" s="0" t="n">
        <f aca="false">-J12</f>
        <v>408.346390837023</v>
      </c>
      <c r="K16" s="0" t="n">
        <f aca="false">-K12</f>
        <v>418.555050607949</v>
      </c>
      <c r="L16" s="0" t="n">
        <f aca="false">-L12</f>
        <v>429.018926873147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-405.228987</v>
      </c>
      <c r="D17" s="4" t="n">
        <f aca="false">-D6*Assumptions!D32/100</f>
        <v>-408.470818896</v>
      </c>
      <c r="E17" s="4" t="n">
        <f aca="false">-E6*Assumptions!E32/100</f>
        <v>-405.84493506024</v>
      </c>
      <c r="F17" s="4" t="n">
        <f aca="false">-F6*Assumptions!F32/100</f>
        <v>-397.103659535866</v>
      </c>
      <c r="G17" s="4" t="n">
        <f aca="false">-G6*Assumptions!G32/100</f>
        <v>-416.958842512659</v>
      </c>
      <c r="H17" s="4" t="n">
        <f aca="false">-H6*Assumptions!H32/100</f>
        <v>-415.568979704284</v>
      </c>
      <c r="I17" s="4" t="n">
        <f aca="false">-I6*Assumptions!I32/100</f>
        <v>-411.413289907241</v>
      </c>
      <c r="J17" s="4" t="n">
        <f aca="false">-J6*Assumptions!J32/100</f>
        <v>-423.755688604458</v>
      </c>
      <c r="K17" s="4" t="n">
        <f aca="false">-K6*Assumptions!K32/100</f>
        <v>-434.349580819569</v>
      </c>
      <c r="L17" s="4" t="n">
        <f aca="false">-L6*Assumptions!L32/100</f>
        <v>-445.208320340058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-72.0407088</v>
      </c>
      <c r="D18" s="4" t="n">
        <f aca="false">(D6-C6)*Assumptions!$B$37/100</f>
        <v>-77.803965504</v>
      </c>
      <c r="E18" s="4" t="n">
        <f aca="false">(E6-D6)*Assumptions!$B$37/100</f>
        <v>-73.5247474012801</v>
      </c>
      <c r="F18" s="4" t="n">
        <f aca="false">(F6-E6)*Assumptions!$B$37/100</f>
        <v>-67.4326969023168</v>
      </c>
      <c r="G18" s="4" t="n">
        <f aca="false">(G6-F6)*Assumptions!$B$37/100</f>
        <v>-59.5655489303799</v>
      </c>
      <c r="H18" s="4" t="n">
        <f aca="false">(H6-G6)*Assumptions!$B$37/100</f>
        <v>-50.0350611015192</v>
      </c>
      <c r="I18" s="4" t="n">
        <f aca="false">(I6-H6)*Assumptions!$B$37/100</f>
        <v>-45.5319056023822</v>
      </c>
      <c r="J18" s="4" t="n">
        <f aca="false">(J6-I6)*Assumptions!$B$37/100</f>
        <v>-40.3933048272564</v>
      </c>
      <c r="K18" s="4" t="n">
        <f aca="false">(K6-J6)*Assumptions!$B$37/100</f>
        <v>-34.6709199767282</v>
      </c>
      <c r="L18" s="4" t="n">
        <f aca="false">(L6-K6)*Assumptions!$B$37/100</f>
        <v>-35.5376929761465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-23.6293524864001</v>
      </c>
      <c r="D19" s="0" t="n">
        <f aca="false">D15+D16+D17+D18</f>
        <v>26.531152236864</v>
      </c>
      <c r="E19" s="0" t="n">
        <f aca="false">E15+E16+E17+E18</f>
        <v>96.3057485008513</v>
      </c>
      <c r="F19" s="0" t="n">
        <f aca="false">F15+F16+F17+F18</f>
        <v>145.679600381931</v>
      </c>
      <c r="G19" s="0" t="n">
        <f aca="false">G15+G16+G17+G18</f>
        <v>164.20236321808</v>
      </c>
      <c r="H19" s="0" t="n">
        <f aca="false">H15+H16+H17+H18</f>
        <v>200.751784041761</v>
      </c>
      <c r="I19" s="0" t="n">
        <f aca="false">I15+I16+I17+I18</f>
        <v>232.733083207606</v>
      </c>
      <c r="J19" s="0" t="n">
        <f aca="false">J15+J16+J17+J18</f>
        <v>246.219633647031</v>
      </c>
      <c r="K19" s="0" t="n">
        <f aca="false">K15+K16+K17+K18</f>
        <v>259.107341959417</v>
      </c>
      <c r="L19" s="0" t="n">
        <f aca="false">L15+L16+L17+L18</f>
        <v>265.585025508402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-21.6783050333945</v>
      </c>
      <c r="D21" s="0" t="n">
        <f aca="false">D19*D20</f>
        <v>22.3307400360778</v>
      </c>
      <c r="E21" s="0" t="n">
        <f aca="false">E19*E20</f>
        <v>74.365708027273</v>
      </c>
      <c r="F21" s="0" t="n">
        <f aca="false">F19*F20</f>
        <v>103.203101648463</v>
      </c>
      <c r="G21" s="0" t="n">
        <f aca="false">G19*G20</f>
        <v>106.720269559791</v>
      </c>
      <c r="H21" s="0" t="n">
        <f aca="false">H19*H20</f>
        <v>119.701729636815</v>
      </c>
      <c r="I21" s="0" t="n">
        <f aca="false">I19*I20</f>
        <v>127.31296642253</v>
      </c>
      <c r="J21" s="0" t="n">
        <f aca="false">J19*J20</f>
        <v>123.569331520827</v>
      </c>
      <c r="K21" s="0" t="n">
        <f aca="false">K19*K20</f>
        <v>119.300218114745</v>
      </c>
      <c r="L21" s="0" t="n">
        <f aca="false">L19*L20</f>
        <v>112.185984924416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0.4</v>
      </c>
      <c r="D23" s="4" t="n">
        <f aca="false">Assumptions!D30</f>
        <v>0.4</v>
      </c>
      <c r="E23" s="4" t="n">
        <f aca="false">Assumptions!E30</f>
        <v>0.4</v>
      </c>
      <c r="F23" s="4" t="n">
        <f aca="false">Assumptions!F30</f>
        <v>0.4</v>
      </c>
      <c r="G23" s="4" t="n">
        <f aca="false">Assumptions!G30</f>
        <v>0.4</v>
      </c>
      <c r="H23" s="4" t="n">
        <f aca="false">Assumptions!H30</f>
        <v>0.4</v>
      </c>
      <c r="I23" s="4" t="n">
        <f aca="false">Assumptions!I30</f>
        <v>0.4</v>
      </c>
      <c r="J23" s="4" t="n">
        <f aca="false">Assumptions!J30</f>
        <v>0.4</v>
      </c>
      <c r="K23" s="4" t="n">
        <f aca="false">Assumptions!K30</f>
        <v>0.4</v>
      </c>
      <c r="L23" s="4" t="n">
        <f aca="false">Assumptions!L30</f>
        <v>0.4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-21.61221264</v>
      </c>
      <c r="D24" s="0" t="n">
        <f aca="false">-D6*D23/100</f>
        <v>-23.3411896512</v>
      </c>
      <c r="E24" s="0" t="n">
        <f aca="false">-E6*E23/100</f>
        <v>-24.975072926784</v>
      </c>
      <c r="F24" s="0" t="n">
        <f aca="false">-F6*F23/100</f>
        <v>-26.473577302391</v>
      </c>
      <c r="G24" s="0" t="n">
        <f aca="false">-G6*G23/100</f>
        <v>-27.7972561675106</v>
      </c>
      <c r="H24" s="0" t="n">
        <f aca="false">-H6*H23/100</f>
        <v>-28.909146414211</v>
      </c>
      <c r="I24" s="0" t="n">
        <f aca="false">-I6*I23/100</f>
        <v>-29.9209665387084</v>
      </c>
      <c r="J24" s="0" t="n">
        <f aca="false">-J6*J23/100</f>
        <v>-30.8185955348697</v>
      </c>
      <c r="K24" s="0" t="n">
        <f aca="false">-K6*K23/100</f>
        <v>-31.5890604232414</v>
      </c>
      <c r="L24" s="0" t="n">
        <f aca="false">-L6*L23/100</f>
        <v>-32.3787869338224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887.011744857544</v>
      </c>
    </row>
    <row r="31" customFormat="false" ht="15" hidden="false" customHeight="false" outlineLevel="0" collapsed="false">
      <c r="A31" s="0" t="s">
        <v>129</v>
      </c>
      <c r="B31" s="0" t="n">
        <f aca="false">L19</f>
        <v>265.585025508402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4188.07155609403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3983.77538262603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3983.77538262603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1682.78977386624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2569.80151872379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1840.07551872379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2.02791321708748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-0.452655002135633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86.4367725286471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107.839063483808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2.24202102494725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2177.7972091689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0.474374927922561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12</v>
      </c>
      <c r="D5" s="4" t="n">
        <f aca="false">Assumptions!D41</f>
        <v>12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5002.827</v>
      </c>
      <c r="C6" s="0" t="n">
        <f aca="false">B6*(1+C5/100)</f>
        <v>5603.16624</v>
      </c>
      <c r="D6" s="0" t="n">
        <f aca="false">C6*(1+D5/100)</f>
        <v>6275.5461888</v>
      </c>
      <c r="E6" s="0" t="n">
        <f aca="false">D6*(1+E5/100)</f>
        <v>6903.10080768</v>
      </c>
      <c r="F6" s="0" t="n">
        <f aca="false">E6*(1+F5/100)</f>
        <v>7524.3798803712</v>
      </c>
      <c r="G6" s="0" t="n">
        <f aca="false">F6*(1+G5/100)</f>
        <v>8126.3302708009</v>
      </c>
      <c r="H6" s="0" t="n">
        <f aca="false">G6*(1+H5/100)</f>
        <v>8613.91008704896</v>
      </c>
      <c r="I6" s="0" t="n">
        <f aca="false">H6*(1+I5/100)</f>
        <v>9044.6055914014</v>
      </c>
      <c r="J6" s="0" t="n">
        <f aca="false">I6*(1+J5/100)</f>
        <v>9406.38981505746</v>
      </c>
      <c r="K6" s="0" t="n">
        <f aca="false">J6*(1+K5/100)</f>
        <v>9688.58150950918</v>
      </c>
      <c r="L6" s="0" t="n">
        <f aca="false">K6*(1+L5/100)</f>
        <v>9979.23895479446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11</v>
      </c>
      <c r="D7" s="4" t="n">
        <f aca="false">Assumptions!D42</f>
        <v>11.8</v>
      </c>
      <c r="E7" s="4" t="n">
        <f aca="false">Assumptions!E42</f>
        <v>12.5</v>
      </c>
      <c r="F7" s="4" t="n">
        <f aca="false">Assumptions!F42</f>
        <v>13</v>
      </c>
      <c r="G7" s="4" t="n">
        <f aca="false">Assumptions!G42</f>
        <v>13.5</v>
      </c>
      <c r="H7" s="4" t="n">
        <f aca="false">Assumptions!H42</f>
        <v>13.5</v>
      </c>
      <c r="I7" s="4" t="n">
        <f aca="false">Assumptions!I42</f>
        <v>13.5</v>
      </c>
      <c r="J7" s="4" t="n">
        <f aca="false">Assumptions!J42</f>
        <v>13.5</v>
      </c>
      <c r="K7" s="4" t="n">
        <f aca="false">Assumptions!K42</f>
        <v>13.5</v>
      </c>
      <c r="L7" s="4" t="n">
        <f aca="false">Assumptions!L42</f>
        <v>13.5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616.3482864</v>
      </c>
      <c r="D8" s="0" t="n">
        <f aca="false">D6*D7/100</f>
        <v>740.5144502784</v>
      </c>
      <c r="E8" s="0" t="n">
        <f aca="false">E6*E7/100</f>
        <v>862.88760096</v>
      </c>
      <c r="F8" s="0" t="n">
        <f aca="false">F6*F7/100</f>
        <v>978.169384448256</v>
      </c>
      <c r="G8" s="0" t="n">
        <f aca="false">G6*G7/100</f>
        <v>1097.05458655812</v>
      </c>
      <c r="H8" s="0" t="n">
        <f aca="false">H6*H7/100</f>
        <v>1162.87786175161</v>
      </c>
      <c r="I8" s="0" t="n">
        <f aca="false">I6*I7/100</f>
        <v>1221.02175483919</v>
      </c>
      <c r="J8" s="0" t="n">
        <f aca="false">J6*J7/100</f>
        <v>1269.86262503276</v>
      </c>
      <c r="K8" s="0" t="n">
        <f aca="false">K6*K7/100</f>
        <v>1307.95850378374</v>
      </c>
      <c r="L8" s="0" t="n">
        <f aca="false">L6*L7/100</f>
        <v>1347.19725889725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-11.20633248</v>
      </c>
      <c r="D10" s="0" t="n">
        <f aca="false">-D6*D9/100</f>
        <v>-12.5510923776</v>
      </c>
      <c r="E10" s="0" t="n">
        <f aca="false">-E6*E9/100</f>
        <v>-13.80620161536</v>
      </c>
      <c r="F10" s="0" t="n">
        <f aca="false">-F6*F9/100</f>
        <v>-15.0487597607424</v>
      </c>
      <c r="G10" s="0" t="n">
        <f aca="false">-G6*G9/100</f>
        <v>-16.2526605416018</v>
      </c>
      <c r="H10" s="0" t="n">
        <f aca="false">-H6*H9/100</f>
        <v>-17.2278201740979</v>
      </c>
      <c r="I10" s="0" t="n">
        <f aca="false">-I6*I9/100</f>
        <v>-18.0892111828028</v>
      </c>
      <c r="J10" s="0" t="n">
        <f aca="false">-J6*J9/100</f>
        <v>-18.8127796301149</v>
      </c>
      <c r="K10" s="0" t="n">
        <f aca="false">-K6*K9/100</f>
        <v>-19.3771630190184</v>
      </c>
      <c r="L10" s="0" t="n">
        <f aca="false">-L6*L9/100</f>
        <v>-19.9584779095889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582.72928896</v>
      </c>
      <c r="D11" s="0" t="n">
        <f aca="false">D8+D10+D24</f>
        <v>702.8611731456</v>
      </c>
      <c r="E11" s="0" t="n">
        <f aca="false">E8+E10+E24</f>
        <v>821.46899611392</v>
      </c>
      <c r="F11" s="0" t="n">
        <f aca="false">F8+F10+F24</f>
        <v>933.023105166029</v>
      </c>
      <c r="G11" s="0" t="n">
        <f aca="false">G8+G10+G24</f>
        <v>1048.29660493332</v>
      </c>
      <c r="H11" s="0" t="n">
        <f aca="false">H8+H10+H24</f>
        <v>1111.19440122932</v>
      </c>
      <c r="I11" s="0" t="n">
        <f aca="false">I8+I10+I24</f>
        <v>1166.75412129078</v>
      </c>
      <c r="J11" s="0" t="n">
        <f aca="false">J8+J10+J24</f>
        <v>1213.42428614241</v>
      </c>
      <c r="K11" s="0" t="n">
        <f aca="false">K8+K10+K24</f>
        <v>1249.82701472668</v>
      </c>
      <c r="L11" s="0" t="n">
        <f aca="false">L8+L10+L24</f>
        <v>1287.32182516849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-291.36464448</v>
      </c>
      <c r="D12" s="4" t="n">
        <f aca="false">-D6*Assumptions!D45/100</f>
        <v>-326.3284018176</v>
      </c>
      <c r="E12" s="4" t="n">
        <f aca="false">-E6*Assumptions!E45/100</f>
        <v>-358.96124199936</v>
      </c>
      <c r="F12" s="4" t="n">
        <f aca="false">-F6*Assumptions!F45/100</f>
        <v>-391.267753779303</v>
      </c>
      <c r="G12" s="4" t="n">
        <f aca="false">-G6*Assumptions!G45/100</f>
        <v>-422.569174081647</v>
      </c>
      <c r="H12" s="4" t="n">
        <f aca="false">-H6*Assumptions!H45/100</f>
        <v>-447.923324526546</v>
      </c>
      <c r="I12" s="4" t="n">
        <f aca="false">-I6*Assumptions!I45/100</f>
        <v>-470.319490752873</v>
      </c>
      <c r="J12" s="4" t="n">
        <f aca="false">-J6*Assumptions!J45/100</f>
        <v>-489.132270382988</v>
      </c>
      <c r="K12" s="4" t="n">
        <f aca="false">-K6*Assumptions!K45/100</f>
        <v>-503.806238494478</v>
      </c>
      <c r="L12" s="4" t="n">
        <f aca="false">-L6*Assumptions!L45/100</f>
        <v>-518.920425649312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291.36464448</v>
      </c>
      <c r="D13" s="0" t="n">
        <f aca="false">D11+D12</f>
        <v>376.532771328</v>
      </c>
      <c r="E13" s="0" t="n">
        <f aca="false">E11+E12</f>
        <v>462.50775411456</v>
      </c>
      <c r="F13" s="0" t="n">
        <f aca="false">F11+F12</f>
        <v>541.755351386727</v>
      </c>
      <c r="G13" s="0" t="n">
        <f aca="false">G11+G12</f>
        <v>625.727430851669</v>
      </c>
      <c r="H13" s="0" t="n">
        <f aca="false">H11+H12</f>
        <v>663.27107670277</v>
      </c>
      <c r="I13" s="0" t="n">
        <f aca="false">I11+I12</f>
        <v>696.434630537908</v>
      </c>
      <c r="J13" s="0" t="n">
        <f aca="false">J11+J12</f>
        <v>724.292015759424</v>
      </c>
      <c r="K13" s="0" t="n">
        <f aca="false">K11+K12</f>
        <v>746.020776232207</v>
      </c>
      <c r="L13" s="0" t="n">
        <f aca="false">L11+L12</f>
        <v>768.401399519173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30</v>
      </c>
      <c r="D14" s="4" t="n">
        <f aca="false">Assumptions!D47</f>
        <v>29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203.955251136</v>
      </c>
      <c r="D15" s="0" t="n">
        <f aca="false">D13-MAX(0,D13)*D14/100</f>
        <v>267.33826764288</v>
      </c>
      <c r="E15" s="0" t="n">
        <f aca="false">E13-MAX(0,E13)*E14/100</f>
        <v>333.005582962483</v>
      </c>
      <c r="F15" s="0" t="n">
        <f aca="false">F13-MAX(0,F13)*F14/100</f>
        <v>390.063852998443</v>
      </c>
      <c r="G15" s="0" t="n">
        <f aca="false">G13-MAX(0,G13)*G14/100</f>
        <v>450.523750213202</v>
      </c>
      <c r="H15" s="0" t="n">
        <f aca="false">H13-MAX(0,H13)*H14/100</f>
        <v>477.555175225994</v>
      </c>
      <c r="I15" s="0" t="n">
        <f aca="false">I13-MAX(0,I13)*I14/100</f>
        <v>501.432933987294</v>
      </c>
      <c r="J15" s="0" t="n">
        <f aca="false">J13-MAX(0,J13)*J14/100</f>
        <v>521.490251346786</v>
      </c>
      <c r="K15" s="0" t="n">
        <f aca="false">K13-MAX(0,K13)*K14/100</f>
        <v>537.134958887189</v>
      </c>
      <c r="L15" s="0" t="n">
        <f aca="false">L13-MAX(0,L13)*L14/100</f>
        <v>553.249007653805</v>
      </c>
    </row>
    <row r="16" customFormat="false" ht="15" hidden="false" customHeight="false" outlineLevel="0" collapsed="false">
      <c r="A16" s="0" t="s">
        <v>120</v>
      </c>
      <c r="C16" s="0" t="n">
        <f aca="false">-C12</f>
        <v>291.36464448</v>
      </c>
      <c r="D16" s="0" t="n">
        <f aca="false">-D12</f>
        <v>326.3284018176</v>
      </c>
      <c r="E16" s="0" t="n">
        <f aca="false">-E12</f>
        <v>358.96124199936</v>
      </c>
      <c r="F16" s="0" t="n">
        <f aca="false">-F12</f>
        <v>391.267753779303</v>
      </c>
      <c r="G16" s="0" t="n">
        <f aca="false">-G12</f>
        <v>422.569174081647</v>
      </c>
      <c r="H16" s="0" t="n">
        <f aca="false">-H12</f>
        <v>447.923324526546</v>
      </c>
      <c r="I16" s="0" t="n">
        <f aca="false">-I12</f>
        <v>470.319490752873</v>
      </c>
      <c r="J16" s="0" t="n">
        <f aca="false">-J12</f>
        <v>489.132270382988</v>
      </c>
      <c r="K16" s="0" t="n">
        <f aca="false">-K12</f>
        <v>503.806238494478</v>
      </c>
      <c r="L16" s="0" t="n">
        <f aca="false">-L12</f>
        <v>518.920425649312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-420.237468</v>
      </c>
      <c r="D17" s="4" t="n">
        <f aca="false">-D6*Assumptions!D46/100</f>
        <v>-439.288233216</v>
      </c>
      <c r="E17" s="4" t="n">
        <f aca="false">-E6*Assumptions!E46/100</f>
        <v>-448.7015524992</v>
      </c>
      <c r="F17" s="4" t="n">
        <f aca="false">-F6*Assumptions!F46/100</f>
        <v>-451.462792822272</v>
      </c>
      <c r="G17" s="4" t="n">
        <f aca="false">-G6*Assumptions!G46/100</f>
        <v>-467.263990571052</v>
      </c>
      <c r="H17" s="4" t="n">
        <f aca="false">-H6*Assumptions!H46/100</f>
        <v>-473.765054787693</v>
      </c>
      <c r="I17" s="4" t="n">
        <f aca="false">-I6*Assumptions!I46/100</f>
        <v>-497.453307527077</v>
      </c>
      <c r="J17" s="4" t="n">
        <f aca="false">-J6*Assumptions!J46/100</f>
        <v>-517.35143982816</v>
      </c>
      <c r="K17" s="4" t="n">
        <f aca="false">-K6*Assumptions!K46/100</f>
        <v>-532.871983023005</v>
      </c>
      <c r="L17" s="4" t="n">
        <f aca="false">-L6*Assumptions!L46/100</f>
        <v>-548.858142513695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-90.050886</v>
      </c>
      <c r="D18" s="4" t="n">
        <f aca="false">(D6-C6)*Assumptions!$B$51/100</f>
        <v>-100.85699232</v>
      </c>
      <c r="E18" s="4" t="n">
        <f aca="false">(E6-D6)*Assumptions!$B$51/100</f>
        <v>-94.1331928320001</v>
      </c>
      <c r="F18" s="4" t="n">
        <f aca="false">(F6-E6)*Assumptions!$B$51/100</f>
        <v>-93.1918609036801</v>
      </c>
      <c r="G18" s="4" t="n">
        <f aca="false">(G6-F6)*Assumptions!$B$51/100</f>
        <v>-90.2925585644546</v>
      </c>
      <c r="H18" s="4" t="n">
        <f aca="false">(H6-G6)*Assumptions!$B$51/100</f>
        <v>-73.1369724372083</v>
      </c>
      <c r="I18" s="4" t="n">
        <f aca="false">(I6-H6)*Assumptions!$B$51/100</f>
        <v>-64.6043256528673</v>
      </c>
      <c r="J18" s="4" t="n">
        <f aca="false">(J6-I6)*Assumptions!$B$51/100</f>
        <v>-54.2676335484086</v>
      </c>
      <c r="K18" s="4" t="n">
        <f aca="false">(K6-J6)*Assumptions!$B$51/100</f>
        <v>-42.3287541677585</v>
      </c>
      <c r="L18" s="4" t="n">
        <f aca="false">(L6-K6)*Assumptions!$B$51/100</f>
        <v>-43.5986167927915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-14.968458384</v>
      </c>
      <c r="D19" s="0" t="n">
        <f aca="false">D15+D16+D17+D18</f>
        <v>53.52144392448</v>
      </c>
      <c r="E19" s="0" t="n">
        <f aca="false">E15+E16+E17+E18</f>
        <v>149.132079630643</v>
      </c>
      <c r="F19" s="0" t="n">
        <f aca="false">F15+F16+F17+F18</f>
        <v>236.676953051793</v>
      </c>
      <c r="G19" s="0" t="n">
        <f aca="false">G15+G16+G17+G18</f>
        <v>315.536375159342</v>
      </c>
      <c r="H19" s="0" t="n">
        <f aca="false">H15+H16+H17+H18</f>
        <v>378.576472527639</v>
      </c>
      <c r="I19" s="0" t="n">
        <f aca="false">I15+I16+I17+I18</f>
        <v>409.694791560222</v>
      </c>
      <c r="J19" s="0" t="n">
        <f aca="false">J15+J16+J17+J18</f>
        <v>439.003448353205</v>
      </c>
      <c r="K19" s="0" t="n">
        <f aca="false">K15+K16+K17+K18</f>
        <v>465.740460190903</v>
      </c>
      <c r="L19" s="0" t="n">
        <f aca="false">L15+L16+L17+L18</f>
        <v>479.71267399663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-13.732530627523</v>
      </c>
      <c r="D21" s="0" t="n">
        <f aca="false">D19*D20</f>
        <v>45.0479285619729</v>
      </c>
      <c r="E21" s="0" t="n">
        <f aca="false">E19*E20</f>
        <v>115.157328237934</v>
      </c>
      <c r="F21" s="0" t="n">
        <f aca="false">F19*F20</f>
        <v>167.667920419984</v>
      </c>
      <c r="G21" s="0" t="n">
        <f aca="false">G19*G20</f>
        <v>205.076993734866</v>
      </c>
      <c r="H21" s="0" t="n">
        <f aca="false">H19*H20</f>
        <v>225.732781293418</v>
      </c>
      <c r="I21" s="0" t="n">
        <f aca="false">I19*I20</f>
        <v>224.117080917386</v>
      </c>
      <c r="J21" s="0" t="n">
        <f aca="false">J19*J20</f>
        <v>220.321027388539</v>
      </c>
      <c r="K21" s="0" t="n">
        <f aca="false">K19*K20</f>
        <v>214.439845916598</v>
      </c>
      <c r="L21" s="0" t="n">
        <f aca="false">L19*L20</f>
        <v>202.635817701005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0.4</v>
      </c>
      <c r="D23" s="4" t="n">
        <f aca="false">Assumptions!D44</f>
        <v>0.4</v>
      </c>
      <c r="E23" s="4" t="n">
        <f aca="false">Assumptions!E44</f>
        <v>0.4</v>
      </c>
      <c r="F23" s="4" t="n">
        <f aca="false">Assumptions!F44</f>
        <v>0.4</v>
      </c>
      <c r="G23" s="4" t="n">
        <f aca="false">Assumptions!G44</f>
        <v>0.4</v>
      </c>
      <c r="H23" s="4" t="n">
        <f aca="false">Assumptions!H44</f>
        <v>0.4</v>
      </c>
      <c r="I23" s="4" t="n">
        <f aca="false">Assumptions!I44</f>
        <v>0.4</v>
      </c>
      <c r="J23" s="4" t="n">
        <f aca="false">Assumptions!J44</f>
        <v>0.4</v>
      </c>
      <c r="K23" s="4" t="n">
        <f aca="false">Assumptions!K44</f>
        <v>0.4</v>
      </c>
      <c r="L23" s="4" t="n">
        <f aca="false">Assumptions!L44</f>
        <v>0.4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-22.41266496</v>
      </c>
      <c r="D24" s="0" t="n">
        <f aca="false">-D6*D23/100</f>
        <v>-25.1021847552</v>
      </c>
      <c r="E24" s="0" t="n">
        <f aca="false">-E6*E23/100</f>
        <v>-27.61240323072</v>
      </c>
      <c r="F24" s="0" t="n">
        <f aca="false">-F6*F23/100</f>
        <v>-30.0975195214848</v>
      </c>
      <c r="G24" s="0" t="n">
        <f aca="false">-G6*G23/100</f>
        <v>-32.5053210832036</v>
      </c>
      <c r="H24" s="0" t="n">
        <f aca="false">-H6*H23/100</f>
        <v>-34.4556403481958</v>
      </c>
      <c r="I24" s="0" t="n">
        <f aca="false">-I6*I23/100</f>
        <v>-36.1784223656056</v>
      </c>
      <c r="J24" s="0" t="n">
        <f aca="false">-J6*J23/100</f>
        <v>-37.6255592602298</v>
      </c>
      <c r="K24" s="0" t="n">
        <f aca="false">-K6*K23/100</f>
        <v>-38.7543260380367</v>
      </c>
      <c r="L24" s="0" t="n">
        <f aca="false">-L6*L23/100</f>
        <v>-39.9169558191778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1606.46419354418</v>
      </c>
    </row>
    <row r="31" customFormat="false" ht="15" hidden="false" customHeight="false" outlineLevel="0" collapsed="false">
      <c r="A31" s="0" t="s">
        <v>129</v>
      </c>
      <c r="B31" s="0" t="n">
        <f aca="false">L19</f>
        <v>479.71267399663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8235.06757027548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7195.69010994945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7195.69010994945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3039.53726551508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4646.00145905926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3916.27545905926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4.31605479469115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0.164927070092078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99.6917630227315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144.72661768242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4.58542377421807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4117.53378513774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1.56268965832283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0.510121683795395</v>
      </c>
      <c r="C4" s="0" t="n">
        <f aca="false">B4/Assumptions!$B$2-1</f>
        <v>-0.862315335007991</v>
      </c>
      <c r="D4" s="4" t="n">
        <f aca="false">Assumptions!$B$24</f>
        <v>0.25</v>
      </c>
      <c r="E4" s="4" t="n">
        <f aca="false">DCF_Bear!$B$43</f>
        <v>0.673952086384587</v>
      </c>
      <c r="F4" s="4" t="n">
        <f aca="false">DCF_Bear!$B$47</f>
        <v>-0.125321248492157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2.02791321708748</v>
      </c>
      <c r="C5" s="0" t="n">
        <f aca="false">B5/Assumptions!$B$2-1</f>
        <v>-0.452655002135633</v>
      </c>
      <c r="D5" s="4" t="n">
        <f aca="false">Assumptions!$B$38</f>
        <v>0.5</v>
      </c>
      <c r="E5" s="4" t="n">
        <f aca="false">DCF_Base!$B$43</f>
        <v>2.24202102494725</v>
      </c>
      <c r="F5" s="4" t="n">
        <f aca="false">DCF_Base!$B$47</f>
        <v>0.474374927922561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4.31605479469115</v>
      </c>
      <c r="C6" s="0" t="n">
        <f aca="false">B6/Assumptions!$B$2-1</f>
        <v>0.164927070092078</v>
      </c>
      <c r="D6" s="4" t="n">
        <f aca="false">Assumptions!$B$52</f>
        <v>0.25</v>
      </c>
      <c r="E6" s="4" t="n">
        <f aca="false">DCF_Bull!$B$43</f>
        <v>4.58542377421807</v>
      </c>
      <c r="F6" s="4" t="n">
        <f aca="false">DCF_Bull!$B$47</f>
        <v>1.56268965832283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2.22050072816538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2.43585447762429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-0.668542573755943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689.330590047541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0.596529566418948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2.02791321708748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1.65732959386981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1.30416358637474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1.02783152977255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0.474374927922561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2.53621225771807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2.53621225771807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2.53621225771807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2.53621225771807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2.53621225771807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2.26990025627472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2.26990025627472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2.26990025627472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2.26990025627472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2.26990025627472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1.84657733660232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1.97492545980286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2.02791321708748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2.02791321708748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2.02791321708748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1.46261300737726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1.55388640729564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1.65732959386981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1.775550378526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1.80779241070496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1.16246420215807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1.22937780026039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1.30416358637474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1.38829759575339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1.4836494730492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2026-10-23T12:10:33Z</dcterms:created>
  <dc:creator>openpyxl</dc:creator>
  <dc:description/>
  <dc:language>en-NZ</dc:language>
  <cp:lastModifiedBy/>
  <dcterms:modified xsi:type="dcterms:W3CDTF">2026-10-23T12:10:33Z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