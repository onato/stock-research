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<sst xmlns="http://schemas.openxmlformats.org/spreadsheetml/2006/main" count="386" uniqueCount="174">
  <si>
    <t xml:space="preserve">Ticker</t>
  </si>
  <si>
    <t xml:space="preserve">LEN</t>
  </si>
  <si>
    <t xml:space="preserve">Company</t>
  </si>
  <si>
    <t xml:space="preserve">Lennar Corporation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</si>
  <si>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</si>
  <si>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</si>
  <si>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</si>
  <si>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</si>
  <si>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</t>
  </si>
  <si>
    <t xml:space="preserve">Balance sheet date</t>
  </si>
  <si>
    <t xml:space="preserve">2026-08-31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</si>
  <si>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</si>
  <si>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</si>
  <si>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</si>
  <si>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</si>
  <si>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</si>
  <si>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</si>
  <si>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</si>
  <si>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</si>
  <si>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</si>
  <si>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</si>
  <si>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2026-10-02T00:18:32Z</t>
  </si>
  <si>
    <t xml:space="preserve">Drivers file</t>
  </si>
  <si>
    <t xml:space="preserve">LEN_Drivers.json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</si>
  <si>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</si>
  <si>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</si>
  <si>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</si>
  <si>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land-light homebuilder on mid-cycle owner FCF, not on the FY2026 trough and not on the FY2021-22 peak. The trough is explicit in FY0 (6.3% EBITDA, negative trailing owner FCF from a spec-home build) and each scenario is a different recovery path, so cyclicality is priced once, in the flows, with a single 10% WACC and a 13x terminal cap. Segments whose earnings are noise (Multifamily, LENx marks) are excluded from the flows and carried at book in the bridge; the mortgage warehouse is excluded from debt with its matching loans. The number to act on is the probability-weighted value; the 15% hurdle entry price is what a buyer should pay to be compensated for a cyclical whose next two years are the uncertain ones.
key_risks_to_valuation: Mortgage rates: every 1pp on the 30-year moves affordability-driven incentives by several points of gross margin; the bear case is a rate path, not a company-specific failure.; Mid-cycle margin assumption (10% EBITDA): the land-light model has no full-cycle history. If option-premium land cost plus volume-first pricing cap EBITDA nearer 8%, the base value is ~bear.; Working-capital assumption (-25% capture): a volume-first builder holding completed inventory can consume cash through a downturn rather than release it; 9M FY2026 OCF was -718 against +827 net earnings.; Terminal multiple: 13x owner FCF is above where homebuilders trade at cyclical peaks; the cap binds in every scenario, so the terminal value is a multiple judgment rather than a growth one.; Lennar Other / Multifamily carried at book (1.34bn net, ~$5.6/share): LENx public stakes are marked to market and have lost 62 in nine months; a further halving removes ~$1.50/share.; Share count: continued ~1-2bn/yr buybacks below intrinsic value are value-accretive and NOT in the model (flat count); conversely, buying back at the 2025 average of $113 was not.</t>
  </si>
  <si>
    <t xml:space="preserve">Data sources</t>
  </si>
  <si>
    <t xml:space="preserve">price: Yahoo Finance chart API at inputs.price_as_of (regular close); 52-week range 75.70-133.76
financials: SEC XBRL companyfacts (CIK 920760) for FY2008-Q2 FY2026 history via research/LEN/Reports/LEN_Metrics.csv; Q3 FY2026 earnings release 8-K ex-99.1 filed 2026-09-16 (balance sheet at 31-Aug-2026, 9M segment results, share count, Q4 FY2026 guidance). The Q3 10-Q cash-flow statement was not yet on EDGAR at the valuation date, so last_fcf is TTM to 31-May-2026.
qualitative: Q3 FY2026 release (CEO commentary, guidance, operating metrics); Analysis.json was being generated in parallel and was not read.</t>
  </si>
  <si>
    <t xml:space="preserve">Scenario narrative: bear</t>
  </si>
  <si>
    <t xml:space="preserve">Inflation keeps the 30-year rate near 7% through 2027-28 and consumer confidence keeps sliding (the Q3 release says conditions 'deteriorated since our last earnings call'). Lennar holds volume by cutting price another 8%, incentives rise further, margin troughs near 5.5% and inventory of completed homes needs discounting. Recovery is slow and stalls at 8% EBITDA because option premiums are a permanent cost and the asset-light structure caps margin. The balance sheet survives comfortably (net homebuilding debt to capital 12.7%), so the bear is an earnings trough, not solvency.</t>
  </si>
  <si>
    <t xml:space="preserve">Scenario narrative: base</t>
  </si>
  <si>
    <t xml:space="preserve">Lennar's axes are (1) the mortgage-rate path and what it does to affordability-driven incentives, which at ~12% of ASP are the whole gap between today's 15.8% gross margin and a normal 20-22%; (2) the land-light trade -- lower, steadier margins and far lower capital, with Millrose and other land bankers paid through cost of sales; (3) the volume-first strategy, which protects cost per square foot and cycle time but sets price. Base: FY2027 is another soft year as the backlog and ASP reset, then rates ease and the structural shortage (household formation against a decade of under-building) lifts volume 4-5% a year. Margin recovers to a 10% land-light mid-cycle by FY2031 and holds; the terminal is capped at 13x owner FCF, a cyclical's multiple, not a compounder's.</t>
  </si>
  <si>
    <t xml:space="preserve">Scenario narrative: bull</t>
  </si>
  <si>
    <t xml:space="preserve">Rate relief arrives in 2027. Incentives fall to ~5%, gross margin returns to 20%+ and SG&amp;A re-levers below 8% as Lennar grows deliveries 6-7% for three years on the same community count; EBITDA margin reaches 12%, the FY2019-FY2020 structure, on a larger and less capital-intensive base. Buybacks continue at ~1.5-2bn a year from positive owner FCF.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</si>
  <si>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</si>
  <si>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</si>
  <si>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</si>
  <si>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</si>
  <si>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</si>
  <si>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</si>
  <si>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</si>
  <si>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</si>
  <si>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</si>
  <si>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</si>
  <si>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</si>
  <si>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</si>
  <si>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</si>
  <si>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</si>
  <si>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</si>
  <si>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</si>
  <si>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</si>
  <si>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</si>
  <si>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</si>
  <si>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</si>
  <si>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</si>
  <si>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</si>
  <si>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</si>
  <si>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</si>
  <si>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</si>
  <si>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</si>
  <si>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</si>
  <si>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</si>
  <si>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</si>
  <si>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</si>
  <si>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</si>
  <si>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</si>
  <si>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</si>
  <si>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</si>
  <si>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</si>
  <si>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</si>
  <si>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</si>
  <si>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</si>
  <si>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</si>
  <si>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</si>
  <si>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</si>
  <si>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</si>
  <si>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</si>
  <si>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</si>
  <si>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</si>
  <si>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</si>
  <si>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</si>
  <si>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</si>
  <si>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</si>
  <si>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</si>
  <si>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</si>
  <si>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</si>
  <si>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</si>
  <si>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</si>
  <si>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</si>
  <si>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</si>
  <si>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</si>
  <si>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</si>
  <si>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</si>
  <si>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</si>
  <si>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</si>
  <si>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</si>
  <si>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</si>
  <si>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</si>
  <si>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</si>
  <si>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</si>
  <si>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</si>
  <si>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</si>
  <si>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</si>
  <si>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</si>
  <si>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</si>
  <si>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</si>
  <si>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</si>
  <si>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</si>
  <si>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</si>
  <si>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</si>
  <si>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</si>
  <si>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</si>
  <si>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</si>
  <si>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</si>
  <si>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</si>
  <si>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</si>
  <si>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</si>
  <si>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</si>
  <si>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LEN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</si>
  <si>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</si>
  <si>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</si>
  <si>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</si>
  <si>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</si>
  <si>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</si>
  <si>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</si>
  <si>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</si>
  <si>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</si>
  <si>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</si>
  <si>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</si>
  <si>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</si>
  <si>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</si>
  <si>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</si>
  <si>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</si>
  <si>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</si>
  <si>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</si>
  <si>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</si>
  <si>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</si>
  <si>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</si>
  <si>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</si>
  <si>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</si>
  <si>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</si>
  <si>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</si>
  <si>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</si>
  <si>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</si>
  <si>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</si>
  <si>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</si>
  <si>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</si>
  <si>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</si>
  <si>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</si>
  <si>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LEN owner-FCF component DCF: base case (millions, USD)</t>
  </si>
  <si>
    <t xml:space="preserve">LEN owner-FCF component DCF: bull case (millions, USD)</t>
  </si>
  <si>
    <t xml:space="preserve">LEN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</si>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</sst>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82.11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S2" s="0" t="n">
        <v>795.194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4575.417</v>
      </c>
      <c r="I3" s="0" t="n">
        <v>-1113.182</v>
      </c>
      <c r="J3" s="0" t="n">
        <v>-24.3296294086419</v>
      </c>
      <c r="K3" s="0" t="n">
        <v>-7.01</v>
      </c>
      <c r="L3" s="0" t="n">
        <v>1100.834</v>
      </c>
      <c r="O3" s="0" t="n">
        <v>2788.753</v>
      </c>
      <c r="S3" s="0" t="n">
        <v>1203.422</v>
      </c>
      <c r="U3" s="0" t="n">
        <v>29.871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3119.387</v>
      </c>
      <c r="F4" s="0" t="n">
        <v>-642.839</v>
      </c>
      <c r="G4" s="0" t="n">
        <v>-20.6078630192406</v>
      </c>
      <c r="H4" s="0" t="n">
        <v>-622.934</v>
      </c>
      <c r="I4" s="0" t="n">
        <v>-446.059</v>
      </c>
      <c r="J4" s="0" t="n">
        <v>-14.299572319818</v>
      </c>
      <c r="K4" s="0" t="n">
        <v>-2.45</v>
      </c>
      <c r="L4" s="0" t="n">
        <v>420.843</v>
      </c>
      <c r="O4" s="0" t="n">
        <v>2588.014</v>
      </c>
      <c r="P4" s="0" t="n">
        <v>7314.791</v>
      </c>
      <c r="Q4" s="0" t="n">
        <v>4726.777</v>
      </c>
      <c r="S4" s="0" t="n">
        <v>1457.438</v>
      </c>
      <c r="U4" s="0" t="n">
        <v>30.392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3074.022</v>
      </c>
      <c r="F5" s="0" t="n">
        <v>188.651</v>
      </c>
      <c r="G5" s="0" t="n">
        <v>6.13694371738394</v>
      </c>
      <c r="H5" s="0" t="n">
        <v>202.171</v>
      </c>
      <c r="I5" s="0" t="n">
        <v>120.459</v>
      </c>
      <c r="J5" s="0" t="n">
        <v>3.91861216347834</v>
      </c>
      <c r="K5" s="0" t="n">
        <v>0.51</v>
      </c>
      <c r="L5" s="0" t="n">
        <v>274.228</v>
      </c>
      <c r="O5" s="0" t="n">
        <v>3194.383</v>
      </c>
      <c r="P5" s="0" t="n">
        <v>8787.851</v>
      </c>
      <c r="Q5" s="0" t="n">
        <v>5593.468</v>
      </c>
      <c r="S5" s="0" t="n">
        <v>1394.135</v>
      </c>
      <c r="T5" s="0" t="n">
        <v>188.857</v>
      </c>
      <c r="U5" s="0" t="n">
        <v>28.075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3095.385</v>
      </c>
      <c r="F6" s="0" t="n">
        <v>193.23</v>
      </c>
      <c r="G6" s="0" t="n">
        <v>6.24251910505478</v>
      </c>
      <c r="H6" s="0" t="n">
        <v>214.73</v>
      </c>
      <c r="I6" s="0" t="n">
        <v>112.544</v>
      </c>
      <c r="J6" s="0" t="n">
        <v>3.63586435936079</v>
      </c>
      <c r="K6" s="0" t="n">
        <v>0.49</v>
      </c>
      <c r="L6" s="0" t="n">
        <v>-259.135</v>
      </c>
      <c r="O6" s="0" t="n">
        <v>3303.525</v>
      </c>
      <c r="P6" s="0" t="n">
        <v>9154.671</v>
      </c>
      <c r="Q6" s="0" t="n">
        <v>5851.146</v>
      </c>
      <c r="S6" s="0" t="n">
        <v>1163.604</v>
      </c>
      <c r="T6" s="0" t="n">
        <v>195.185</v>
      </c>
      <c r="U6" s="0" t="n">
        <v>24.047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4105.132</v>
      </c>
      <c r="F7" s="0" t="n">
        <v>349.452</v>
      </c>
      <c r="G7" s="0" t="n">
        <v>8.51256427320729</v>
      </c>
      <c r="H7" s="0" t="n">
        <v>377.533</v>
      </c>
      <c r="I7" s="0" t="n">
        <v>679.124</v>
      </c>
      <c r="J7" s="0" t="n">
        <v>16.5432926395546</v>
      </c>
      <c r="K7" s="0" t="n">
        <v>3.58</v>
      </c>
      <c r="L7" s="0" t="n">
        <v>-424.648</v>
      </c>
      <c r="O7" s="0" t="n">
        <v>4001.208</v>
      </c>
      <c r="P7" s="0" t="n">
        <v>10362.206</v>
      </c>
      <c r="Q7" s="0" t="n">
        <v>6360.998</v>
      </c>
      <c r="S7" s="0" t="n">
        <v>1310.743</v>
      </c>
      <c r="T7" s="0" t="n">
        <v>218.695</v>
      </c>
      <c r="U7" s="0" t="n">
        <v>31.745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5935.095</v>
      </c>
      <c r="F8" s="0" t="n">
        <v>828.001</v>
      </c>
      <c r="G8" s="0" t="n">
        <v>13.9509308612583</v>
      </c>
      <c r="H8" s="0" t="n">
        <v>858.35</v>
      </c>
      <c r="I8" s="0" t="n">
        <v>504.926</v>
      </c>
      <c r="J8" s="0" t="n">
        <v>8.50746281230545</v>
      </c>
      <c r="K8" s="0" t="n">
        <v>2.48</v>
      </c>
      <c r="L8" s="0" t="n">
        <v>-807.714</v>
      </c>
      <c r="O8" s="0" t="n">
        <v>4627.47</v>
      </c>
      <c r="P8" s="0" t="n">
        <v>11239.885</v>
      </c>
      <c r="Q8" s="0" t="n">
        <v>6645.777</v>
      </c>
      <c r="S8" s="0" t="n">
        <v>970.505</v>
      </c>
      <c r="T8" s="0" t="n">
        <v>225.92</v>
      </c>
      <c r="U8" s="0" t="n">
        <v>33.689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7779.812</v>
      </c>
      <c r="F9" s="0" t="n">
        <v>1146.945</v>
      </c>
      <c r="G9" s="0" t="n">
        <v>14.7425798978176</v>
      </c>
      <c r="H9" s="0" t="n">
        <v>1185.487</v>
      </c>
      <c r="I9" s="0" t="n">
        <v>638.916</v>
      </c>
      <c r="J9" s="0" t="n">
        <v>8.21248636856521</v>
      </c>
      <c r="K9" s="0" t="n">
        <v>3.12</v>
      </c>
      <c r="L9" s="0" t="n">
        <v>-788.488</v>
      </c>
      <c r="M9" s="0" t="n">
        <v>22.599</v>
      </c>
      <c r="N9" s="0" t="n">
        <v>-811.087</v>
      </c>
      <c r="O9" s="0" t="n">
        <v>5251.302</v>
      </c>
      <c r="P9" s="0" t="n">
        <v>12923.151</v>
      </c>
      <c r="Q9" s="0" t="n">
        <v>7671.849</v>
      </c>
      <c r="S9" s="0" t="n">
        <v>1281.814</v>
      </c>
      <c r="T9" s="0" t="n">
        <v>228.24</v>
      </c>
      <c r="U9" s="0" t="n">
        <v>40.718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9474.008</v>
      </c>
      <c r="F10" s="0" t="n">
        <v>1425.86</v>
      </c>
      <c r="G10" s="0" t="n">
        <v>15.0502300610259</v>
      </c>
      <c r="H10" s="0" t="n">
        <v>1469.526</v>
      </c>
      <c r="I10" s="0" t="n">
        <v>819.2</v>
      </c>
      <c r="J10" s="0" t="n">
        <v>8.64681558216966</v>
      </c>
      <c r="K10" s="0" t="n">
        <v>3.78</v>
      </c>
      <c r="L10" s="0" t="n">
        <v>-419.646</v>
      </c>
      <c r="M10" s="0" t="n">
        <v>91.355</v>
      </c>
      <c r="N10" s="0" t="n">
        <v>-511.001</v>
      </c>
      <c r="O10" s="0" t="n">
        <v>5950.072</v>
      </c>
      <c r="P10" s="0" t="n">
        <v>14419.509</v>
      </c>
      <c r="Q10" s="0" t="n">
        <v>8469.437</v>
      </c>
      <c r="S10" s="0" t="n">
        <v>1158.445</v>
      </c>
      <c r="T10" s="0" t="n">
        <v>235.47</v>
      </c>
      <c r="U10" s="0" t="n">
        <v>43.873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10949.999</v>
      </c>
      <c r="F11" s="0" t="n">
        <v>1563.031</v>
      </c>
      <c r="G11" s="0" t="n">
        <v>14.2742570113477</v>
      </c>
      <c r="I11" s="0" t="n">
        <v>913.091</v>
      </c>
      <c r="J11" s="0" t="n">
        <v>8.33873135513528</v>
      </c>
      <c r="K11" s="0" t="n">
        <v>4.05</v>
      </c>
      <c r="L11" s="0" t="n">
        <v>507.804</v>
      </c>
      <c r="M11" s="0" t="n">
        <v>76.439</v>
      </c>
      <c r="N11" s="0" t="n">
        <v>431.365</v>
      </c>
      <c r="O11" s="0" t="n">
        <v>7211.567</v>
      </c>
      <c r="P11" s="0" t="n">
        <v>15361.781</v>
      </c>
      <c r="Q11" s="0" t="n">
        <v>8150.214</v>
      </c>
      <c r="S11" s="0" t="n">
        <v>1329.529</v>
      </c>
      <c r="T11" s="0" t="n">
        <v>235.37</v>
      </c>
      <c r="U11" s="0" t="n">
        <v>55.516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12646.365</v>
      </c>
      <c r="F12" s="0" t="n">
        <v>1475.5</v>
      </c>
      <c r="G12" s="0" t="n">
        <v>11.6673842641739</v>
      </c>
      <c r="I12" s="0" t="n">
        <v>810.48</v>
      </c>
      <c r="J12" s="0" t="n">
        <v>6.40879810127258</v>
      </c>
      <c r="K12" s="0" t="n">
        <v>3.38</v>
      </c>
      <c r="L12" s="0" t="n">
        <v>982.374</v>
      </c>
      <c r="M12" s="0" t="n">
        <v>111.773</v>
      </c>
      <c r="N12" s="0" t="n">
        <v>870.601</v>
      </c>
      <c r="O12" s="0" t="n">
        <v>7986.132</v>
      </c>
      <c r="P12" s="0" t="n">
        <v>18745.034</v>
      </c>
      <c r="Q12" s="0" t="n">
        <v>10758.902</v>
      </c>
      <c r="S12" s="0" t="n">
        <v>2650.872</v>
      </c>
      <c r="T12" s="0" t="n">
        <v>237.156</v>
      </c>
      <c r="U12" s="0" t="n">
        <v>61.356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20571.631</v>
      </c>
      <c r="F13" s="0" t="n">
        <v>2463.191</v>
      </c>
      <c r="G13" s="0" t="n">
        <v>11.9737273140861</v>
      </c>
      <c r="I13" s="0" t="n">
        <v>1717.513</v>
      </c>
      <c r="J13" s="0" t="n">
        <v>8.34893937189521</v>
      </c>
      <c r="K13" s="0" t="n">
        <v>5.46</v>
      </c>
      <c r="L13" s="0" t="n">
        <v>1691.747</v>
      </c>
      <c r="M13" s="0" t="n">
        <v>130.439</v>
      </c>
      <c r="N13" s="0" t="n">
        <v>1561.308</v>
      </c>
      <c r="O13" s="0" t="n">
        <v>14682.957</v>
      </c>
      <c r="P13" s="0" t="n">
        <v>28566.181</v>
      </c>
      <c r="Q13" s="0" t="n">
        <v>13883.224</v>
      </c>
      <c r="S13" s="0" t="n">
        <v>1558.458</v>
      </c>
      <c r="T13" s="0" t="n">
        <v>308.565</v>
      </c>
      <c r="U13" s="0" t="n">
        <v>72.655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22259.561</v>
      </c>
      <c r="F14" s="0" t="n">
        <v>2775.406</v>
      </c>
      <c r="G14" s="0" t="n">
        <v>12.4683770717671</v>
      </c>
      <c r="I14" s="0" t="n">
        <v>1849.052</v>
      </c>
      <c r="J14" s="0" t="n">
        <v>8.30677658018503</v>
      </c>
      <c r="K14" s="0" t="n">
        <v>5.76</v>
      </c>
      <c r="L14" s="0" t="n">
        <v>1482.343</v>
      </c>
      <c r="M14" s="0" t="n">
        <v>86.497</v>
      </c>
      <c r="N14" s="0" t="n">
        <v>1395.846</v>
      </c>
      <c r="O14" s="0" t="n">
        <v>16033.83</v>
      </c>
      <c r="P14" s="0" t="n">
        <v>29359.511</v>
      </c>
      <c r="Q14" s="0" t="n">
        <v>13325.681</v>
      </c>
      <c r="R14" s="0" t="n">
        <v>9573.696</v>
      </c>
      <c r="S14" s="0" t="n">
        <v>1445.996</v>
      </c>
      <c r="T14" s="0" t="n">
        <v>318.422</v>
      </c>
      <c r="U14" s="0" t="n">
        <v>86.94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22488.854</v>
      </c>
      <c r="F15" s="0" t="n">
        <v>3482.206</v>
      </c>
      <c r="G15" s="0" t="n">
        <v>15.4841416107731</v>
      </c>
      <c r="I15" s="0" t="n">
        <v>2467.553</v>
      </c>
      <c r="J15" s="0" t="n">
        <v>10.9723376744764</v>
      </c>
      <c r="K15" s="0" t="n">
        <v>7.88</v>
      </c>
      <c r="L15" s="0" t="n">
        <v>4190.819</v>
      </c>
      <c r="M15" s="0" t="n">
        <v>72.752</v>
      </c>
      <c r="N15" s="0" t="n">
        <v>4118.067</v>
      </c>
      <c r="O15" s="0" t="n">
        <v>18099.401</v>
      </c>
      <c r="P15" s="0" t="n">
        <v>29935.177</v>
      </c>
      <c r="Q15" s="0" t="n">
        <v>11835.776</v>
      </c>
      <c r="R15" s="0" t="n">
        <v>7421.583</v>
      </c>
      <c r="S15" s="0" t="n">
        <v>2863.038</v>
      </c>
      <c r="T15" s="0" t="n">
        <v>309.407</v>
      </c>
      <c r="U15" s="0" t="n">
        <v>107.131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27130.676</v>
      </c>
      <c r="I16" s="0" t="n">
        <v>4456.549</v>
      </c>
      <c r="J16" s="0" t="n">
        <v>16.4262364859615</v>
      </c>
      <c r="K16" s="0" t="n">
        <v>14.28</v>
      </c>
      <c r="L16" s="0" t="n">
        <v>2532.774</v>
      </c>
      <c r="M16" s="0" t="n">
        <v>65.172</v>
      </c>
      <c r="N16" s="0" t="n">
        <v>2467.602</v>
      </c>
      <c r="O16" s="0" t="n">
        <v>20996.282</v>
      </c>
      <c r="P16" s="0" t="n">
        <v>33207.778</v>
      </c>
      <c r="Q16" s="0" t="n">
        <v>12211.496</v>
      </c>
      <c r="T16" s="0" t="n">
        <v>306.612</v>
      </c>
      <c r="U16" s="0" t="n">
        <v>135.09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33671.01</v>
      </c>
      <c r="I17" s="0" t="n">
        <v>4648.501</v>
      </c>
      <c r="J17" s="0" t="n">
        <v>13.8056476476352</v>
      </c>
      <c r="K17" s="0" t="n">
        <v>15.74</v>
      </c>
      <c r="L17" s="0" t="n">
        <v>3265.668</v>
      </c>
      <c r="M17" s="0" t="n">
        <v>57.214</v>
      </c>
      <c r="N17" s="0" t="n">
        <v>3208.454</v>
      </c>
      <c r="O17" s="0" t="n">
        <v>24240.367</v>
      </c>
      <c r="P17" s="0" t="n">
        <v>37984.295</v>
      </c>
      <c r="Q17" s="0" t="n">
        <v>13743.928</v>
      </c>
      <c r="T17" s="0" t="n">
        <v>289.824</v>
      </c>
      <c r="U17" s="0" t="n">
        <v>184.086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34233.366</v>
      </c>
      <c r="I18" s="0" t="n">
        <v>3961.291</v>
      </c>
      <c r="J18" s="0" t="n">
        <v>11.5714329698108</v>
      </c>
      <c r="K18" s="0" t="n">
        <v>13.73</v>
      </c>
      <c r="L18" s="0" t="n">
        <v>5179.738</v>
      </c>
      <c r="M18" s="0" t="n">
        <v>99.799</v>
      </c>
      <c r="N18" s="0" t="n">
        <v>5079.939</v>
      </c>
      <c r="O18" s="0" t="n">
        <v>26701.966</v>
      </c>
      <c r="P18" s="0" t="n">
        <v>39234.303</v>
      </c>
      <c r="Q18" s="0" t="n">
        <v>12532.337</v>
      </c>
      <c r="T18" s="0" t="n">
        <v>283.319</v>
      </c>
      <c r="U18" s="0" t="n">
        <v>160.72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35441.452</v>
      </c>
      <c r="I19" s="0" t="n">
        <v>3967.655</v>
      </c>
      <c r="J19" s="0" t="n">
        <v>11.1949561208723</v>
      </c>
      <c r="K19" s="0" t="n">
        <v>14.31</v>
      </c>
      <c r="L19" s="0" t="n">
        <v>2403.379</v>
      </c>
      <c r="M19" s="0" t="n">
        <v>171.503</v>
      </c>
      <c r="N19" s="0" t="n">
        <v>2231.876</v>
      </c>
      <c r="O19" s="0" t="n">
        <v>28021.225</v>
      </c>
      <c r="P19" s="0" t="n">
        <v>41312.781</v>
      </c>
      <c r="Q19" s="0" t="n">
        <v>13291.556</v>
      </c>
      <c r="R19" s="0" t="n">
        <v>4189.239</v>
      </c>
      <c r="S19" s="0" t="n">
        <v>4909.664</v>
      </c>
      <c r="T19" s="0" t="n">
        <v>272.019</v>
      </c>
      <c r="U19" s="0" t="n">
        <v>176.676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34186.934</v>
      </c>
      <c r="I20" s="0" t="n">
        <v>2108.3</v>
      </c>
      <c r="J20" s="0" t="n">
        <v>6.16697595636977</v>
      </c>
      <c r="K20" s="0" t="n">
        <v>7.98</v>
      </c>
      <c r="L20" s="0" t="n">
        <v>216.812</v>
      </c>
      <c r="M20" s="0" t="n">
        <v>188.629</v>
      </c>
      <c r="N20" s="0" t="n">
        <v>28.183</v>
      </c>
      <c r="O20" s="0" t="n">
        <v>22140.609</v>
      </c>
      <c r="P20" s="0" t="n">
        <v>34430.437</v>
      </c>
      <c r="Q20" s="0" t="n">
        <v>12289.828</v>
      </c>
      <c r="R20" s="0" t="n">
        <v>5874.995</v>
      </c>
      <c r="S20" s="0" t="n">
        <v>3756.305</v>
      </c>
      <c r="U20" s="0" t="n">
        <v>163.494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82.11</v>
      </c>
    </row>
    <row r="3" customFormat="false" ht="15" hidden="false" customHeight="false" outlineLevel="0" collapsed="false">
      <c r="A3" s="0" t="s">
        <v>85</v>
      </c>
      <c r="B3" s="3" t="n">
        <v>237.756</v>
      </c>
    </row>
    <row r="4" customFormat="false" ht="15" hidden="false" customHeight="false" outlineLevel="0" collapsed="false">
      <c r="A4" s="0" t="s">
        <v>86</v>
      </c>
      <c r="B4" s="3" t="n">
        <v>3147.1</v>
      </c>
    </row>
    <row r="5" customFormat="false" ht="15" hidden="false" customHeight="false" outlineLevel="0" collapsed="false">
      <c r="A5" s="0" t="s">
        <v>87</v>
      </c>
      <c r="B5" s="3" t="n">
        <v>1205.1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31350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-8</v>
      </c>
      <c r="D13" s="3" t="n">
        <v>-4</v>
      </c>
      <c r="E13" s="3" t="n">
        <v>2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5.5</v>
      </c>
      <c r="D14" s="3" t="n">
        <v>5.3</v>
      </c>
      <c r="E14" s="3" t="n">
        <v>6</v>
      </c>
      <c r="F14" s="3" t="n">
        <v>7</v>
      </c>
      <c r="G14" s="3" t="n">
        <v>7.5</v>
      </c>
      <c r="H14" s="3" t="n">
        <v>8</v>
      </c>
      <c r="I14" s="3" t="n">
        <v>8</v>
      </c>
      <c r="J14" s="3" t="n">
        <v>8</v>
      </c>
      <c r="K14" s="3" t="n">
        <v>8</v>
      </c>
      <c r="L14" s="3" t="n">
        <v>8</v>
      </c>
    </row>
    <row r="15" customFormat="false" ht="15" hidden="false" customHeight="false" outlineLevel="0" collapsed="false">
      <c r="A15" s="0" t="s">
        <v>108</v>
      </c>
      <c r="C15" s="3" t="n">
        <v>0.45</v>
      </c>
      <c r="D15" s="3" t="n">
        <v>0.45</v>
      </c>
      <c r="E15" s="3" t="n">
        <v>0.44</v>
      </c>
      <c r="F15" s="3" t="n">
        <v>0.43</v>
      </c>
      <c r="G15" s="3" t="n">
        <v>0.42</v>
      </c>
      <c r="H15" s="3" t="n">
        <v>0.41</v>
      </c>
      <c r="I15" s="3" t="n">
        <v>0.4</v>
      </c>
      <c r="J15" s="3" t="n">
        <v>0.4</v>
      </c>
      <c r="K15" s="3" t="n">
        <v>0.4</v>
      </c>
      <c r="L15" s="3" t="n">
        <v>0.4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0.42</v>
      </c>
      <c r="D17" s="3" t="n">
        <v>0.42</v>
      </c>
      <c r="E17" s="3" t="n">
        <v>0.42</v>
      </c>
      <c r="F17" s="3" t="n">
        <v>0.42</v>
      </c>
      <c r="G17" s="3" t="n">
        <v>0.42</v>
      </c>
      <c r="H17" s="3" t="n">
        <v>0.42</v>
      </c>
      <c r="I17" s="3" t="n">
        <v>0.42</v>
      </c>
      <c r="J17" s="3" t="n">
        <v>0.42</v>
      </c>
      <c r="K17" s="3" t="n">
        <v>0.42</v>
      </c>
      <c r="L17" s="3" t="n">
        <v>0.42</v>
      </c>
    </row>
    <row r="18" customFormat="false" ht="15" hidden="false" customHeight="false" outlineLevel="0" collapsed="false">
      <c r="A18" s="0" t="s">
        <v>111</v>
      </c>
      <c r="C18" s="3" t="n">
        <v>0.55</v>
      </c>
      <c r="D18" s="3" t="n">
        <v>0.55</v>
      </c>
      <c r="E18" s="3" t="n">
        <v>0.55</v>
      </c>
      <c r="F18" s="3" t="n">
        <v>0.55</v>
      </c>
      <c r="G18" s="3" t="n">
        <v>0.55</v>
      </c>
      <c r="H18" s="3" t="n">
        <v>0.55</v>
      </c>
      <c r="I18" s="3" t="n">
        <v>0.55</v>
      </c>
      <c r="J18" s="3" t="n">
        <v>0.55</v>
      </c>
      <c r="K18" s="3" t="n">
        <v>0.55</v>
      </c>
      <c r="L18" s="3" t="n">
        <v>0.55</v>
      </c>
    </row>
    <row r="19" customFormat="false" ht="15" hidden="false" customHeight="false" outlineLevel="0" collapsed="false">
      <c r="A19" s="0" t="s">
        <v>112</v>
      </c>
      <c r="C19" s="3" t="n">
        <v>25.5</v>
      </c>
      <c r="D19" s="3" t="n">
        <v>25.5</v>
      </c>
      <c r="E19" s="3" t="n">
        <v>25.5</v>
      </c>
      <c r="F19" s="3" t="n">
        <v>25.5</v>
      </c>
      <c r="G19" s="3" t="n">
        <v>25.5</v>
      </c>
      <c r="H19" s="3" t="n">
        <v>25.5</v>
      </c>
      <c r="I19" s="3" t="n">
        <v>25.5</v>
      </c>
      <c r="J19" s="3" t="n">
        <v>25.5</v>
      </c>
      <c r="K19" s="3" t="n">
        <v>25.5</v>
      </c>
      <c r="L19" s="3" t="n">
        <v>25.5</v>
      </c>
    </row>
    <row r="20" customFormat="false" ht="15" hidden="false" customHeight="false" outlineLevel="0" collapsed="false">
      <c r="A20" s="0" t="s">
        <v>113</v>
      </c>
      <c r="B20" s="3" t="n">
        <v>10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13</v>
      </c>
    </row>
    <row r="23" customFormat="false" ht="15" hidden="false" customHeight="false" outlineLevel="0" collapsed="false">
      <c r="A23" s="0" t="s">
        <v>116</v>
      </c>
      <c r="B23" s="3" t="n">
        <v>-25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-1</v>
      </c>
      <c r="D27" s="3" t="n">
        <v>4</v>
      </c>
      <c r="E27" s="3" t="n">
        <v>5</v>
      </c>
      <c r="F27" s="3" t="n">
        <v>5</v>
      </c>
      <c r="G27" s="3" t="n">
        <v>4</v>
      </c>
      <c r="H27" s="3" t="n">
        <v>3.5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7</v>
      </c>
      <c r="D28" s="3" t="n">
        <v>7.8</v>
      </c>
      <c r="E28" s="3" t="n">
        <v>8.6</v>
      </c>
      <c r="F28" s="3" t="n">
        <v>9.3</v>
      </c>
      <c r="G28" s="3" t="n">
        <v>10</v>
      </c>
      <c r="H28" s="3" t="n">
        <v>10</v>
      </c>
      <c r="I28" s="3" t="n">
        <v>10</v>
      </c>
      <c r="J28" s="3" t="n">
        <v>10</v>
      </c>
      <c r="K28" s="3" t="n">
        <v>10</v>
      </c>
      <c r="L28" s="3" t="n">
        <v>10</v>
      </c>
    </row>
    <row r="29" customFormat="false" ht="15" hidden="false" customHeight="false" outlineLevel="0" collapsed="false">
      <c r="A29" s="0" t="s">
        <v>108</v>
      </c>
      <c r="C29" s="3" t="n">
        <v>0.45</v>
      </c>
      <c r="D29" s="3" t="n">
        <v>0.45</v>
      </c>
      <c r="E29" s="3" t="n">
        <v>0.44</v>
      </c>
      <c r="F29" s="3" t="n">
        <v>0.43</v>
      </c>
      <c r="G29" s="3" t="n">
        <v>0.42</v>
      </c>
      <c r="H29" s="3" t="n">
        <v>0.41</v>
      </c>
      <c r="I29" s="3" t="n">
        <v>0.4</v>
      </c>
      <c r="J29" s="3" t="n">
        <v>0.4</v>
      </c>
      <c r="K29" s="3" t="n">
        <v>0.4</v>
      </c>
      <c r="L29" s="3" t="n">
        <v>0.4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0.42</v>
      </c>
      <c r="D31" s="3" t="n">
        <v>0.42</v>
      </c>
      <c r="E31" s="3" t="n">
        <v>0.42</v>
      </c>
      <c r="F31" s="3" t="n">
        <v>0.42</v>
      </c>
      <c r="G31" s="3" t="n">
        <v>0.42</v>
      </c>
      <c r="H31" s="3" t="n">
        <v>0.42</v>
      </c>
      <c r="I31" s="3" t="n">
        <v>0.42</v>
      </c>
      <c r="J31" s="3" t="n">
        <v>0.42</v>
      </c>
      <c r="K31" s="3" t="n">
        <v>0.42</v>
      </c>
      <c r="L31" s="3" t="n">
        <v>0.42</v>
      </c>
    </row>
    <row r="32" customFormat="false" ht="15" hidden="false" customHeight="false" outlineLevel="0" collapsed="false">
      <c r="A32" s="0" t="s">
        <v>111</v>
      </c>
      <c r="C32" s="3" t="n">
        <v>0.55</v>
      </c>
      <c r="D32" s="3" t="n">
        <v>0.55</v>
      </c>
      <c r="E32" s="3" t="n">
        <v>0.55</v>
      </c>
      <c r="F32" s="3" t="n">
        <v>0.55</v>
      </c>
      <c r="G32" s="3" t="n">
        <v>0.55</v>
      </c>
      <c r="H32" s="3" t="n">
        <v>0.55</v>
      </c>
      <c r="I32" s="3" t="n">
        <v>0.55</v>
      </c>
      <c r="J32" s="3" t="n">
        <v>0.55</v>
      </c>
      <c r="K32" s="3" t="n">
        <v>0.55</v>
      </c>
      <c r="L32" s="3" t="n">
        <v>0.55</v>
      </c>
    </row>
    <row r="33" customFormat="false" ht="15" hidden="false" customHeight="false" outlineLevel="0" collapsed="false">
      <c r="A33" s="0" t="s">
        <v>112</v>
      </c>
      <c r="C33" s="3" t="n">
        <v>25.5</v>
      </c>
      <c r="D33" s="3" t="n">
        <v>25.5</v>
      </c>
      <c r="E33" s="3" t="n">
        <v>25.5</v>
      </c>
      <c r="F33" s="3" t="n">
        <v>25.5</v>
      </c>
      <c r="G33" s="3" t="n">
        <v>25.5</v>
      </c>
      <c r="H33" s="3" t="n">
        <v>25.5</v>
      </c>
      <c r="I33" s="3" t="n">
        <v>25.5</v>
      </c>
      <c r="J33" s="3" t="n">
        <v>25.5</v>
      </c>
      <c r="K33" s="3" t="n">
        <v>25.5</v>
      </c>
      <c r="L33" s="3" t="n">
        <v>25.5</v>
      </c>
    </row>
    <row r="34" customFormat="false" ht="15" hidden="false" customHeight="false" outlineLevel="0" collapsed="false">
      <c r="A34" s="0" t="s">
        <v>113</v>
      </c>
      <c r="B34" s="3" t="n">
        <v>10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13</v>
      </c>
    </row>
    <row r="37" customFormat="false" ht="15" hidden="false" customHeight="false" outlineLevel="0" collapsed="false">
      <c r="A37" s="0" t="s">
        <v>116</v>
      </c>
      <c r="B37" s="3" t="n">
        <v>-25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3</v>
      </c>
      <c r="D41" s="3" t="n">
        <v>7</v>
      </c>
      <c r="E41" s="3" t="n">
        <v>7</v>
      </c>
      <c r="F41" s="3" t="n">
        <v>6</v>
      </c>
      <c r="G41" s="3" t="n">
        <v>5</v>
      </c>
      <c r="H41" s="3" t="n">
        <v>4</v>
      </c>
      <c r="I41" s="3" t="n">
        <v>3.5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107</v>
      </c>
      <c r="C42" s="3" t="n">
        <v>7.8</v>
      </c>
      <c r="D42" s="3" t="n">
        <v>9.3</v>
      </c>
      <c r="E42" s="3" t="n">
        <v>10.8</v>
      </c>
      <c r="F42" s="3" t="n">
        <v>11.8</v>
      </c>
      <c r="G42" s="3" t="n">
        <v>12</v>
      </c>
      <c r="H42" s="3" t="n">
        <v>12</v>
      </c>
      <c r="I42" s="3" t="n">
        <v>12</v>
      </c>
      <c r="J42" s="3" t="n">
        <v>12</v>
      </c>
      <c r="K42" s="3" t="n">
        <v>12</v>
      </c>
      <c r="L42" s="3" t="n">
        <v>12</v>
      </c>
    </row>
    <row r="43" customFormat="false" ht="15" hidden="false" customHeight="false" outlineLevel="0" collapsed="false">
      <c r="A43" s="0" t="s">
        <v>108</v>
      </c>
      <c r="C43" s="3" t="n">
        <v>0.45</v>
      </c>
      <c r="D43" s="3" t="n">
        <v>0.45</v>
      </c>
      <c r="E43" s="3" t="n">
        <v>0.44</v>
      </c>
      <c r="F43" s="3" t="n">
        <v>0.43</v>
      </c>
      <c r="G43" s="3" t="n">
        <v>0.42</v>
      </c>
      <c r="H43" s="3" t="n">
        <v>0.41</v>
      </c>
      <c r="I43" s="3" t="n">
        <v>0.4</v>
      </c>
      <c r="J43" s="3" t="n">
        <v>0.4</v>
      </c>
      <c r="K43" s="3" t="n">
        <v>0.4</v>
      </c>
      <c r="L43" s="3" t="n">
        <v>0.4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0.42</v>
      </c>
      <c r="D45" s="3" t="n">
        <v>0.42</v>
      </c>
      <c r="E45" s="3" t="n">
        <v>0.42</v>
      </c>
      <c r="F45" s="3" t="n">
        <v>0.42</v>
      </c>
      <c r="G45" s="3" t="n">
        <v>0.42</v>
      </c>
      <c r="H45" s="3" t="n">
        <v>0.42</v>
      </c>
      <c r="I45" s="3" t="n">
        <v>0.42</v>
      </c>
      <c r="J45" s="3" t="n">
        <v>0.42</v>
      </c>
      <c r="K45" s="3" t="n">
        <v>0.42</v>
      </c>
      <c r="L45" s="3" t="n">
        <v>0.42</v>
      </c>
    </row>
    <row r="46" customFormat="false" ht="15" hidden="false" customHeight="false" outlineLevel="0" collapsed="false">
      <c r="A46" s="0" t="s">
        <v>111</v>
      </c>
      <c r="C46" s="3" t="n">
        <v>0.55</v>
      </c>
      <c r="D46" s="3" t="n">
        <v>0.55</v>
      </c>
      <c r="E46" s="3" t="n">
        <v>0.55</v>
      </c>
      <c r="F46" s="3" t="n">
        <v>0.55</v>
      </c>
      <c r="G46" s="3" t="n">
        <v>0.55</v>
      </c>
      <c r="H46" s="3" t="n">
        <v>0.55</v>
      </c>
      <c r="I46" s="3" t="n">
        <v>0.55</v>
      </c>
      <c r="J46" s="3" t="n">
        <v>0.55</v>
      </c>
      <c r="K46" s="3" t="n">
        <v>0.55</v>
      </c>
      <c r="L46" s="3" t="n">
        <v>0.55</v>
      </c>
    </row>
    <row r="47" customFormat="false" ht="15" hidden="false" customHeight="false" outlineLevel="0" collapsed="false">
      <c r="A47" s="0" t="s">
        <v>112</v>
      </c>
      <c r="C47" s="3" t="n">
        <v>25.5</v>
      </c>
      <c r="D47" s="3" t="n">
        <v>25.5</v>
      </c>
      <c r="E47" s="3" t="n">
        <v>25.5</v>
      </c>
      <c r="F47" s="3" t="n">
        <v>25.5</v>
      </c>
      <c r="G47" s="3" t="n">
        <v>25.5</v>
      </c>
      <c r="H47" s="3" t="n">
        <v>25.5</v>
      </c>
      <c r="I47" s="3" t="n">
        <v>25.5</v>
      </c>
      <c r="J47" s="3" t="n">
        <v>25.5</v>
      </c>
      <c r="K47" s="3" t="n">
        <v>25.5</v>
      </c>
      <c r="L47" s="3" t="n">
        <v>25.5</v>
      </c>
    </row>
    <row r="48" customFormat="false" ht="15" hidden="false" customHeight="false" outlineLevel="0" collapsed="false">
      <c r="A48" s="0" t="s">
        <v>113</v>
      </c>
      <c r="B48" s="3" t="n">
        <v>10</v>
      </c>
    </row>
    <row r="49" customFormat="false" ht="15" hidden="false" customHeight="false" outlineLevel="0" collapsed="false">
      <c r="A49" s="0" t="s">
        <v>114</v>
      </c>
      <c r="B49" s="3" t="n">
        <v>2.5</v>
      </c>
    </row>
    <row r="50" customFormat="false" ht="15" hidden="false" customHeight="false" outlineLevel="0" collapsed="false">
      <c r="A50" s="0" t="s">
        <v>115</v>
      </c>
      <c r="B50" s="3" t="n">
        <v>13</v>
      </c>
    </row>
    <row r="51" customFormat="false" ht="15" hidden="false" customHeight="false" outlineLevel="0" collapsed="false">
      <c r="A51" s="0" t="s">
        <v>116</v>
      </c>
      <c r="B51" s="3" t="n">
        <v>-25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-8</v>
      </c>
      <c r="D5" s="4" t="n">
        <f aca="false">Assumptions!D13</f>
        <v>-4</v>
      </c>
      <c r="E5" s="4" t="n">
        <f aca="false">Assumptions!E13</f>
        <v>2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31350</v>
      </c>
      <c r="C6" s="0" t="n">
        <f aca="false">B6*(1+C5/100)</f>
        <v>28842</v>
      </c>
      <c r="D6" s="0" t="n">
        <f aca="false">C6*(1+D5/100)</f>
        <v>27688.32</v>
      </c>
      <c r="E6" s="0" t="n">
        <f aca="false">D6*(1+E5/100)</f>
        <v>28242.0864</v>
      </c>
      <c r="F6" s="0" t="n">
        <f aca="false">E6*(1+F5/100)</f>
        <v>29089.348992</v>
      </c>
      <c r="G6" s="0" t="n">
        <f aca="false">F6*(1+G5/100)</f>
        <v>29962.02946176</v>
      </c>
      <c r="H6" s="0" t="n">
        <f aca="false">G6*(1+H5/100)</f>
        <v>30860.8903456128</v>
      </c>
      <c r="I6" s="0" t="n">
        <f aca="false">H6*(1+I5/100)</f>
        <v>31632.4126042531</v>
      </c>
      <c r="J6" s="0" t="n">
        <f aca="false">I6*(1+J5/100)</f>
        <v>32423.2229193594</v>
      </c>
      <c r="K6" s="0" t="n">
        <f aca="false">J6*(1+K5/100)</f>
        <v>33233.8034923434</v>
      </c>
      <c r="L6" s="0" t="n">
        <f aca="false">K6*(1+L5/100)</f>
        <v>34064.648579652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5.5</v>
      </c>
      <c r="D7" s="4" t="n">
        <f aca="false">Assumptions!D14</f>
        <v>5.3</v>
      </c>
      <c r="E7" s="4" t="n">
        <f aca="false">Assumptions!E14</f>
        <v>6</v>
      </c>
      <c r="F7" s="4" t="n">
        <f aca="false">Assumptions!F14</f>
        <v>7</v>
      </c>
      <c r="G7" s="4" t="n">
        <f aca="false">Assumptions!G14</f>
        <v>7.5</v>
      </c>
      <c r="H7" s="4" t="n">
        <f aca="false">Assumptions!H14</f>
        <v>8</v>
      </c>
      <c r="I7" s="4" t="n">
        <f aca="false">Assumptions!I14</f>
        <v>8</v>
      </c>
      <c r="J7" s="4" t="n">
        <f aca="false">Assumptions!J14</f>
        <v>8</v>
      </c>
      <c r="K7" s="4" t="n">
        <f aca="false">Assumptions!K14</f>
        <v>8</v>
      </c>
      <c r="L7" s="4" t="n">
        <f aca="false">Assumptions!L14</f>
        <v>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1586.31</v>
      </c>
      <c r="D8" s="0" t="n">
        <f aca="false">D6*D7/100</f>
        <v>1467.48096</v>
      </c>
      <c r="E8" s="0" t="n">
        <f aca="false">E6*E7/100</f>
        <v>1694.525184</v>
      </c>
      <c r="F8" s="0" t="n">
        <f aca="false">F6*F7/100</f>
        <v>2036.25442944</v>
      </c>
      <c r="G8" s="0" t="n">
        <f aca="false">G6*G7/100</f>
        <v>2247.152209632</v>
      </c>
      <c r="H8" s="0" t="n">
        <f aca="false">H6*H7/100</f>
        <v>2468.87122764902</v>
      </c>
      <c r="I8" s="0" t="n">
        <f aca="false">I6*I7/100</f>
        <v>2530.59300834025</v>
      </c>
      <c r="J8" s="0" t="n">
        <f aca="false">J6*J7/100</f>
        <v>2593.85783354876</v>
      </c>
      <c r="K8" s="0" t="n">
        <f aca="false">K6*K7/100</f>
        <v>2658.70427938747</v>
      </c>
      <c r="L8" s="0" t="n">
        <f aca="false">L6*L7/100</f>
        <v>2725.17188637216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0.45</v>
      </c>
      <c r="D9" s="4" t="n">
        <f aca="false">Assumptions!D15</f>
        <v>0.45</v>
      </c>
      <c r="E9" s="4" t="n">
        <f aca="false">Assumptions!E15</f>
        <v>0.44</v>
      </c>
      <c r="F9" s="4" t="n">
        <f aca="false">Assumptions!F15</f>
        <v>0.43</v>
      </c>
      <c r="G9" s="4" t="n">
        <f aca="false">Assumptions!G15</f>
        <v>0.42</v>
      </c>
      <c r="H9" s="4" t="n">
        <f aca="false">Assumptions!H15</f>
        <v>0.41</v>
      </c>
      <c r="I9" s="4" t="n">
        <f aca="false">Assumptions!I15</f>
        <v>0.4</v>
      </c>
      <c r="J9" s="4" t="n">
        <f aca="false">Assumptions!J15</f>
        <v>0.4</v>
      </c>
      <c r="K9" s="4" t="n">
        <f aca="false">Assumptions!K15</f>
        <v>0.4</v>
      </c>
      <c r="L9" s="4" t="n">
        <f aca="false">Assumptions!L15</f>
        <v>0.4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-129.789</v>
      </c>
      <c r="D10" s="0" t="n">
        <f aca="false">-D6*D9/100</f>
        <v>-124.59744</v>
      </c>
      <c r="E10" s="0" t="n">
        <f aca="false">-E6*E9/100</f>
        <v>-124.26518016</v>
      </c>
      <c r="F10" s="0" t="n">
        <f aca="false">-F6*F9/100</f>
        <v>-125.0842006656</v>
      </c>
      <c r="G10" s="0" t="n">
        <f aca="false">-G6*G9/100</f>
        <v>-125.840523739392</v>
      </c>
      <c r="H10" s="0" t="n">
        <f aca="false">-H6*H9/100</f>
        <v>-126.529650417012</v>
      </c>
      <c r="I10" s="0" t="n">
        <f aca="false">-I6*I9/100</f>
        <v>-126.529650417012</v>
      </c>
      <c r="J10" s="0" t="n">
        <f aca="false">-J6*J9/100</f>
        <v>-129.692891677438</v>
      </c>
      <c r="K10" s="0" t="n">
        <f aca="false">-K6*K9/100</f>
        <v>-132.935213969374</v>
      </c>
      <c r="L10" s="0" t="n">
        <f aca="false">-L6*L9/100</f>
        <v>-136.258594318608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1456.521</v>
      </c>
      <c r="D11" s="0" t="n">
        <f aca="false">D8+D10+D24</f>
        <v>1342.88352</v>
      </c>
      <c r="E11" s="0" t="n">
        <f aca="false">E8+E10+E24</f>
        <v>1570.26000384</v>
      </c>
      <c r="F11" s="0" t="n">
        <f aca="false">F8+F10+F24</f>
        <v>1911.1702287744</v>
      </c>
      <c r="G11" s="0" t="n">
        <f aca="false">G8+G10+G24</f>
        <v>2121.31168589261</v>
      </c>
      <c r="H11" s="0" t="n">
        <f aca="false">H8+H10+H24</f>
        <v>2342.34157723201</v>
      </c>
      <c r="I11" s="0" t="n">
        <f aca="false">I8+I10+I24</f>
        <v>2404.06335792324</v>
      </c>
      <c r="J11" s="0" t="n">
        <f aca="false">J8+J10+J24</f>
        <v>2464.16494187132</v>
      </c>
      <c r="K11" s="0" t="n">
        <f aca="false">K8+K10+K24</f>
        <v>2525.7690654181</v>
      </c>
      <c r="L11" s="0" t="n">
        <f aca="false">L8+L10+L24</f>
        <v>2588.91329205355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-121.1364</v>
      </c>
      <c r="D12" s="4" t="n">
        <f aca="false">-D6*Assumptions!D17/100</f>
        <v>-116.290944</v>
      </c>
      <c r="E12" s="4" t="n">
        <f aca="false">-E6*Assumptions!E17/100</f>
        <v>-118.61676288</v>
      </c>
      <c r="F12" s="4" t="n">
        <f aca="false">-F6*Assumptions!F17/100</f>
        <v>-122.1752657664</v>
      </c>
      <c r="G12" s="4" t="n">
        <f aca="false">-G6*Assumptions!G17/100</f>
        <v>-125.840523739392</v>
      </c>
      <c r="H12" s="4" t="n">
        <f aca="false">-H6*Assumptions!H17/100</f>
        <v>-129.615739451574</v>
      </c>
      <c r="I12" s="4" t="n">
        <f aca="false">-I6*Assumptions!I17/100</f>
        <v>-132.856132937863</v>
      </c>
      <c r="J12" s="4" t="n">
        <f aca="false">-J6*Assumptions!J17/100</f>
        <v>-136.17753626131</v>
      </c>
      <c r="K12" s="4" t="n">
        <f aca="false">-K6*Assumptions!K17/100</f>
        <v>-139.581974667842</v>
      </c>
      <c r="L12" s="4" t="n">
        <f aca="false">-L6*Assumptions!L17/100</f>
        <v>-143.071524034538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1335.3846</v>
      </c>
      <c r="D13" s="0" t="n">
        <f aca="false">D11+D12</f>
        <v>1226.592576</v>
      </c>
      <c r="E13" s="0" t="n">
        <f aca="false">E11+E12</f>
        <v>1451.64324096</v>
      </c>
      <c r="F13" s="0" t="n">
        <f aca="false">F11+F12</f>
        <v>1788.994963008</v>
      </c>
      <c r="G13" s="0" t="n">
        <f aca="false">G11+G12</f>
        <v>1995.47116215322</v>
      </c>
      <c r="H13" s="0" t="n">
        <f aca="false">H11+H12</f>
        <v>2212.72583778044</v>
      </c>
      <c r="I13" s="0" t="n">
        <f aca="false">I11+I12</f>
        <v>2271.20722498537</v>
      </c>
      <c r="J13" s="0" t="n">
        <f aca="false">J11+J12</f>
        <v>2327.98740561001</v>
      </c>
      <c r="K13" s="0" t="n">
        <f aca="false">K11+K12</f>
        <v>2386.18709075026</v>
      </c>
      <c r="L13" s="0" t="n">
        <f aca="false">L11+L12</f>
        <v>2445.84176801901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25.5</v>
      </c>
      <c r="D14" s="4" t="n">
        <f aca="false">Assumptions!D19</f>
        <v>25.5</v>
      </c>
      <c r="E14" s="4" t="n">
        <f aca="false">Assumptions!E19</f>
        <v>25.5</v>
      </c>
      <c r="F14" s="4" t="n">
        <f aca="false">Assumptions!F19</f>
        <v>25.5</v>
      </c>
      <c r="G14" s="4" t="n">
        <f aca="false">Assumptions!G19</f>
        <v>25.5</v>
      </c>
      <c r="H14" s="4" t="n">
        <f aca="false">Assumptions!H19</f>
        <v>25.5</v>
      </c>
      <c r="I14" s="4" t="n">
        <f aca="false">Assumptions!I19</f>
        <v>25.5</v>
      </c>
      <c r="J14" s="4" t="n">
        <f aca="false">Assumptions!J19</f>
        <v>25.5</v>
      </c>
      <c r="K14" s="4" t="n">
        <f aca="false">Assumptions!K19</f>
        <v>25.5</v>
      </c>
      <c r="L14" s="4" t="n">
        <f aca="false">Assumptions!L19</f>
        <v>25.5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994.861527</v>
      </c>
      <c r="D15" s="0" t="n">
        <f aca="false">D13-MAX(0,D13)*D14/100</f>
        <v>913.81146912</v>
      </c>
      <c r="E15" s="0" t="n">
        <f aca="false">E13-MAX(0,E13)*E14/100</f>
        <v>1081.4742145152</v>
      </c>
      <c r="F15" s="0" t="n">
        <f aca="false">F13-MAX(0,F13)*F14/100</f>
        <v>1332.80124744096</v>
      </c>
      <c r="G15" s="0" t="n">
        <f aca="false">G13-MAX(0,G13)*G14/100</f>
        <v>1486.62601580415</v>
      </c>
      <c r="H15" s="0" t="n">
        <f aca="false">H13-MAX(0,H13)*H14/100</f>
        <v>1648.48074914643</v>
      </c>
      <c r="I15" s="0" t="n">
        <f aca="false">I13-MAX(0,I13)*I14/100</f>
        <v>1692.0493826141</v>
      </c>
      <c r="J15" s="0" t="n">
        <f aca="false">J13-MAX(0,J13)*J14/100</f>
        <v>1734.35061717946</v>
      </c>
      <c r="K15" s="0" t="n">
        <f aca="false">K13-MAX(0,K13)*K14/100</f>
        <v>1777.70938260894</v>
      </c>
      <c r="L15" s="0" t="n">
        <f aca="false">L13-MAX(0,L13)*L14/100</f>
        <v>1822.15211717417</v>
      </c>
    </row>
    <row r="16" customFormat="false" ht="15" hidden="false" customHeight="false" outlineLevel="0" collapsed="false">
      <c r="A16" s="0" t="s">
        <v>128</v>
      </c>
      <c r="C16" s="0" t="n">
        <f aca="false">-C12</f>
        <v>121.1364</v>
      </c>
      <c r="D16" s="0" t="n">
        <f aca="false">-D12</f>
        <v>116.290944</v>
      </c>
      <c r="E16" s="0" t="n">
        <f aca="false">-E12</f>
        <v>118.61676288</v>
      </c>
      <c r="F16" s="0" t="n">
        <f aca="false">-F12</f>
        <v>122.1752657664</v>
      </c>
      <c r="G16" s="0" t="n">
        <f aca="false">-G12</f>
        <v>125.840523739392</v>
      </c>
      <c r="H16" s="0" t="n">
        <f aca="false">-H12</f>
        <v>129.615739451574</v>
      </c>
      <c r="I16" s="0" t="n">
        <f aca="false">-I12</f>
        <v>132.856132937863</v>
      </c>
      <c r="J16" s="0" t="n">
        <f aca="false">-J12</f>
        <v>136.17753626131</v>
      </c>
      <c r="K16" s="0" t="n">
        <f aca="false">-K12</f>
        <v>139.581974667842</v>
      </c>
      <c r="L16" s="0" t="n">
        <f aca="false">-L12</f>
        <v>143.071524034538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-158.631</v>
      </c>
      <c r="D17" s="4" t="n">
        <f aca="false">-D6*Assumptions!D18/100</f>
        <v>-152.28576</v>
      </c>
      <c r="E17" s="4" t="n">
        <f aca="false">-E6*Assumptions!E18/100</f>
        <v>-155.3314752</v>
      </c>
      <c r="F17" s="4" t="n">
        <f aca="false">-F6*Assumptions!F18/100</f>
        <v>-159.991419456</v>
      </c>
      <c r="G17" s="4" t="n">
        <f aca="false">-G6*Assumptions!G18/100</f>
        <v>-164.79116203968</v>
      </c>
      <c r="H17" s="4" t="n">
        <f aca="false">-H6*Assumptions!H18/100</f>
        <v>-169.73489690087</v>
      </c>
      <c r="I17" s="4" t="n">
        <f aca="false">-I6*Assumptions!I18/100</f>
        <v>-173.978269323392</v>
      </c>
      <c r="J17" s="4" t="n">
        <f aca="false">-J6*Assumptions!J18/100</f>
        <v>-178.327726056477</v>
      </c>
      <c r="K17" s="4" t="n">
        <f aca="false">-K6*Assumptions!K18/100</f>
        <v>-182.785919207889</v>
      </c>
      <c r="L17" s="4" t="n">
        <f aca="false">-L6*Assumptions!L18/100</f>
        <v>-187.355567188086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627</v>
      </c>
      <c r="D18" s="4" t="n">
        <f aca="false">(D6-C6)*Assumptions!$B$23/100</f>
        <v>288.42</v>
      </c>
      <c r="E18" s="4" t="n">
        <f aca="false">(E6-D6)*Assumptions!$B$23/100</f>
        <v>-138.4416</v>
      </c>
      <c r="F18" s="4" t="n">
        <f aca="false">(F6-E6)*Assumptions!$B$23/100</f>
        <v>-211.815648</v>
      </c>
      <c r="G18" s="4" t="n">
        <f aca="false">(G6-F6)*Assumptions!$B$23/100</f>
        <v>-218.17011744</v>
      </c>
      <c r="H18" s="4" t="n">
        <f aca="false">(H6-G6)*Assumptions!$B$23/100</f>
        <v>-224.7152209632</v>
      </c>
      <c r="I18" s="4" t="n">
        <f aca="false">(I6-H6)*Assumptions!$B$23/100</f>
        <v>-192.880564660079</v>
      </c>
      <c r="J18" s="4" t="n">
        <f aca="false">(J6-I6)*Assumptions!$B$23/100</f>
        <v>-197.702578776582</v>
      </c>
      <c r="K18" s="4" t="n">
        <f aca="false">(K6-J6)*Assumptions!$B$23/100</f>
        <v>-202.645143245996</v>
      </c>
      <c r="L18" s="4" t="n">
        <f aca="false">(L6-K6)*Assumptions!$B$23/100</f>
        <v>-207.711271827146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1584.366927</v>
      </c>
      <c r="D19" s="0" t="n">
        <f aca="false">D15+D16+D17+D18</f>
        <v>1166.23665312</v>
      </c>
      <c r="E19" s="0" t="n">
        <f aca="false">E15+E16+E17+E18</f>
        <v>906.3179021952</v>
      </c>
      <c r="F19" s="0" t="n">
        <f aca="false">F15+F16+F17+F18</f>
        <v>1083.16944575136</v>
      </c>
      <c r="G19" s="0" t="n">
        <f aca="false">G15+G16+G17+G18</f>
        <v>1229.50526006386</v>
      </c>
      <c r="H19" s="0" t="n">
        <f aca="false">H15+H16+H17+H18</f>
        <v>1383.64637073393</v>
      </c>
      <c r="I19" s="0" t="n">
        <f aca="false">I15+I16+I17+I18</f>
        <v>1458.0466815685</v>
      </c>
      <c r="J19" s="0" t="n">
        <f aca="false">J15+J16+J17+J18</f>
        <v>1494.49784860771</v>
      </c>
      <c r="K19" s="0" t="n">
        <f aca="false">K15+K16+K17+K18</f>
        <v>1531.8602948229</v>
      </c>
      <c r="L19" s="0" t="n">
        <f aca="false">L15+L16+L17+L18</f>
        <v>1570.15680219347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1440.33357</v>
      </c>
      <c r="D21" s="0" t="n">
        <f aca="false">D19*D20</f>
        <v>963.831944727273</v>
      </c>
      <c r="E21" s="0" t="n">
        <f aca="false">E19*E20</f>
        <v>680.930054241322</v>
      </c>
      <c r="F21" s="0" t="n">
        <f aca="false">F19*F20</f>
        <v>739.819305888505</v>
      </c>
      <c r="G21" s="0" t="n">
        <f aca="false">G19*G20</f>
        <v>763.426032787041</v>
      </c>
      <c r="H21" s="0" t="n">
        <f aca="false">H19*H20</f>
        <v>781.032304692827</v>
      </c>
      <c r="I21" s="0" t="n">
        <f aca="false">I19*I20</f>
        <v>748.208491406215</v>
      </c>
      <c r="J21" s="0" t="n">
        <f aca="false">J19*J20</f>
        <v>697.194276083064</v>
      </c>
      <c r="K21" s="0" t="n">
        <f aca="false">K19*K20</f>
        <v>649.658302713764</v>
      </c>
      <c r="L21" s="0" t="n">
        <f aca="false">L19*L20</f>
        <v>605.363418437826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8069.79770097784</v>
      </c>
    </row>
    <row r="31" customFormat="false" ht="15" hidden="false" customHeight="false" outlineLevel="0" collapsed="false">
      <c r="A31" s="0" t="s">
        <v>137</v>
      </c>
      <c r="B31" s="0" t="n">
        <f aca="false">L19</f>
        <v>1570.15680219347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21458.8096299775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20412.0384285151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20412.0384285151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7869.72443969173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15939.5221406696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13997.5221406696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58.873475919302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-0.282992620639362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783.662808387669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717.959017777416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65.1892863559054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12875.2857779865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32.743979805092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-1</v>
      </c>
      <c r="D5" s="4" t="n">
        <f aca="false">Assumptions!D27</f>
        <v>4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31350</v>
      </c>
      <c r="C6" s="0" t="n">
        <f aca="false">B6*(1+C5/100)</f>
        <v>31036.5</v>
      </c>
      <c r="D6" s="0" t="n">
        <f aca="false">C6*(1+D5/100)</f>
        <v>32277.96</v>
      </c>
      <c r="E6" s="0" t="n">
        <f aca="false">D6*(1+E5/100)</f>
        <v>33891.858</v>
      </c>
      <c r="F6" s="0" t="n">
        <f aca="false">E6*(1+F5/100)</f>
        <v>35586.4509</v>
      </c>
      <c r="G6" s="0" t="n">
        <f aca="false">F6*(1+G5/100)</f>
        <v>37009.908936</v>
      </c>
      <c r="H6" s="0" t="n">
        <f aca="false">G6*(1+H5/100)</f>
        <v>38305.25574876</v>
      </c>
      <c r="I6" s="0" t="n">
        <f aca="false">H6*(1+I5/100)</f>
        <v>39454.4134212228</v>
      </c>
      <c r="J6" s="0" t="n">
        <f aca="false">I6*(1+J5/100)</f>
        <v>40440.7737567534</v>
      </c>
      <c r="K6" s="0" t="n">
        <f aca="false">J6*(1+K5/100)</f>
        <v>41451.7931006722</v>
      </c>
      <c r="L6" s="0" t="n">
        <f aca="false">K6*(1+L5/100)</f>
        <v>42488.087928189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7</v>
      </c>
      <c r="D7" s="4" t="n">
        <f aca="false">Assumptions!D28</f>
        <v>7.8</v>
      </c>
      <c r="E7" s="4" t="n">
        <f aca="false">Assumptions!E28</f>
        <v>8.6</v>
      </c>
      <c r="F7" s="4" t="n">
        <f aca="false">Assumptions!F28</f>
        <v>9.3</v>
      </c>
      <c r="G7" s="4" t="n">
        <f aca="false">Assumptions!G28</f>
        <v>10</v>
      </c>
      <c r="H7" s="4" t="n">
        <f aca="false">Assumptions!H28</f>
        <v>10</v>
      </c>
      <c r="I7" s="4" t="n">
        <f aca="false">Assumptions!I28</f>
        <v>10</v>
      </c>
      <c r="J7" s="4" t="n">
        <f aca="false">Assumptions!J28</f>
        <v>10</v>
      </c>
      <c r="K7" s="4" t="n">
        <f aca="false">Assumptions!K28</f>
        <v>10</v>
      </c>
      <c r="L7" s="4" t="n">
        <f aca="false">Assumptions!L28</f>
        <v>10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2172.555</v>
      </c>
      <c r="D8" s="0" t="n">
        <f aca="false">D6*D7/100</f>
        <v>2517.68088</v>
      </c>
      <c r="E8" s="0" t="n">
        <f aca="false">E6*E7/100</f>
        <v>2914.699788</v>
      </c>
      <c r="F8" s="0" t="n">
        <f aca="false">F6*F7/100</f>
        <v>3309.5399337</v>
      </c>
      <c r="G8" s="0" t="n">
        <f aca="false">G6*G7/100</f>
        <v>3700.9908936</v>
      </c>
      <c r="H8" s="0" t="n">
        <f aca="false">H6*H7/100</f>
        <v>3830.525574876</v>
      </c>
      <c r="I8" s="0" t="n">
        <f aca="false">I6*I7/100</f>
        <v>3945.44134212228</v>
      </c>
      <c r="J8" s="0" t="n">
        <f aca="false">J6*J7/100</f>
        <v>4044.07737567534</v>
      </c>
      <c r="K8" s="0" t="n">
        <f aca="false">K6*K7/100</f>
        <v>4145.17931006722</v>
      </c>
      <c r="L8" s="0" t="n">
        <f aca="false">L6*L7/100</f>
        <v>4248.8087928189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0.45</v>
      </c>
      <c r="D9" s="4" t="n">
        <f aca="false">Assumptions!D29</f>
        <v>0.45</v>
      </c>
      <c r="E9" s="4" t="n">
        <f aca="false">Assumptions!E29</f>
        <v>0.44</v>
      </c>
      <c r="F9" s="4" t="n">
        <f aca="false">Assumptions!F29</f>
        <v>0.43</v>
      </c>
      <c r="G9" s="4" t="n">
        <f aca="false">Assumptions!G29</f>
        <v>0.42</v>
      </c>
      <c r="H9" s="4" t="n">
        <f aca="false">Assumptions!H29</f>
        <v>0.41</v>
      </c>
      <c r="I9" s="4" t="n">
        <f aca="false">Assumptions!I29</f>
        <v>0.4</v>
      </c>
      <c r="J9" s="4" t="n">
        <f aca="false">Assumptions!J29</f>
        <v>0.4</v>
      </c>
      <c r="K9" s="4" t="n">
        <f aca="false">Assumptions!K29</f>
        <v>0.4</v>
      </c>
      <c r="L9" s="4" t="n">
        <f aca="false">Assumptions!L29</f>
        <v>0.4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-139.66425</v>
      </c>
      <c r="D10" s="0" t="n">
        <f aca="false">-D6*D9/100</f>
        <v>-145.25082</v>
      </c>
      <c r="E10" s="0" t="n">
        <f aca="false">-E6*E9/100</f>
        <v>-149.1241752</v>
      </c>
      <c r="F10" s="0" t="n">
        <f aca="false">-F6*F9/100</f>
        <v>-153.02173887</v>
      </c>
      <c r="G10" s="0" t="n">
        <f aca="false">-G6*G9/100</f>
        <v>-155.4416175312</v>
      </c>
      <c r="H10" s="0" t="n">
        <f aca="false">-H6*H9/100</f>
        <v>-157.051548569916</v>
      </c>
      <c r="I10" s="0" t="n">
        <f aca="false">-I6*I9/100</f>
        <v>-157.817653684891</v>
      </c>
      <c r="J10" s="0" t="n">
        <f aca="false">-J6*J9/100</f>
        <v>-161.763095027014</v>
      </c>
      <c r="K10" s="0" t="n">
        <f aca="false">-K6*K9/100</f>
        <v>-165.807172402689</v>
      </c>
      <c r="L10" s="0" t="n">
        <f aca="false">-L6*L9/100</f>
        <v>-169.952351712756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2032.89075</v>
      </c>
      <c r="D11" s="0" t="n">
        <f aca="false">D8+D10+D24</f>
        <v>2372.43006</v>
      </c>
      <c r="E11" s="0" t="n">
        <f aca="false">E8+E10+E24</f>
        <v>2765.5756128</v>
      </c>
      <c r="F11" s="0" t="n">
        <f aca="false">F8+F10+F24</f>
        <v>3156.51819483</v>
      </c>
      <c r="G11" s="0" t="n">
        <f aca="false">G8+G10+G24</f>
        <v>3545.5492760688</v>
      </c>
      <c r="H11" s="0" t="n">
        <f aca="false">H8+H10+H24</f>
        <v>3673.47402630609</v>
      </c>
      <c r="I11" s="0" t="n">
        <f aca="false">I8+I10+I24</f>
        <v>3787.62368843739</v>
      </c>
      <c r="J11" s="0" t="n">
        <f aca="false">J8+J10+J24</f>
        <v>3882.31428064833</v>
      </c>
      <c r="K11" s="0" t="n">
        <f aca="false">K8+K10+K24</f>
        <v>3979.37213766453</v>
      </c>
      <c r="L11" s="0" t="n">
        <f aca="false">L8+L10+L24</f>
        <v>4078.85644110615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-130.3533</v>
      </c>
      <c r="D12" s="4" t="n">
        <f aca="false">-D6*Assumptions!D31/100</f>
        <v>-135.567432</v>
      </c>
      <c r="E12" s="4" t="n">
        <f aca="false">-E6*Assumptions!E31/100</f>
        <v>-142.3458036</v>
      </c>
      <c r="F12" s="4" t="n">
        <f aca="false">-F6*Assumptions!F31/100</f>
        <v>-149.46309378</v>
      </c>
      <c r="G12" s="4" t="n">
        <f aca="false">-G6*Assumptions!G31/100</f>
        <v>-155.4416175312</v>
      </c>
      <c r="H12" s="4" t="n">
        <f aca="false">-H6*Assumptions!H31/100</f>
        <v>-160.882074144792</v>
      </c>
      <c r="I12" s="4" t="n">
        <f aca="false">-I6*Assumptions!I31/100</f>
        <v>-165.708536369136</v>
      </c>
      <c r="J12" s="4" t="n">
        <f aca="false">-J6*Assumptions!J31/100</f>
        <v>-169.851249778364</v>
      </c>
      <c r="K12" s="4" t="n">
        <f aca="false">-K6*Assumptions!K31/100</f>
        <v>-174.097531022823</v>
      </c>
      <c r="L12" s="4" t="n">
        <f aca="false">-L6*Assumptions!L31/100</f>
        <v>-178.449969298394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1902.53745</v>
      </c>
      <c r="D13" s="0" t="n">
        <f aca="false">D11+D12</f>
        <v>2236.862628</v>
      </c>
      <c r="E13" s="0" t="n">
        <f aca="false">E11+E12</f>
        <v>2623.2298092</v>
      </c>
      <c r="F13" s="0" t="n">
        <f aca="false">F11+F12</f>
        <v>3007.05510105</v>
      </c>
      <c r="G13" s="0" t="n">
        <f aca="false">G11+G12</f>
        <v>3390.1076585376</v>
      </c>
      <c r="H13" s="0" t="n">
        <f aca="false">H11+H12</f>
        <v>3512.59195216129</v>
      </c>
      <c r="I13" s="0" t="n">
        <f aca="false">I11+I12</f>
        <v>3621.91515206825</v>
      </c>
      <c r="J13" s="0" t="n">
        <f aca="false">J11+J12</f>
        <v>3712.46303086996</v>
      </c>
      <c r="K13" s="0" t="n">
        <f aca="false">K11+K12</f>
        <v>3805.27460664171</v>
      </c>
      <c r="L13" s="0" t="n">
        <f aca="false">L11+L12</f>
        <v>3900.40647180775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25.5</v>
      </c>
      <c r="D14" s="4" t="n">
        <f aca="false">Assumptions!D33</f>
        <v>25.5</v>
      </c>
      <c r="E14" s="4" t="n">
        <f aca="false">Assumptions!E33</f>
        <v>25.5</v>
      </c>
      <c r="F14" s="4" t="n">
        <f aca="false">Assumptions!F33</f>
        <v>25.5</v>
      </c>
      <c r="G14" s="4" t="n">
        <f aca="false">Assumptions!G33</f>
        <v>25.5</v>
      </c>
      <c r="H14" s="4" t="n">
        <f aca="false">Assumptions!H33</f>
        <v>25.5</v>
      </c>
      <c r="I14" s="4" t="n">
        <f aca="false">Assumptions!I33</f>
        <v>25.5</v>
      </c>
      <c r="J14" s="4" t="n">
        <f aca="false">Assumptions!J33</f>
        <v>25.5</v>
      </c>
      <c r="K14" s="4" t="n">
        <f aca="false">Assumptions!K33</f>
        <v>25.5</v>
      </c>
      <c r="L14" s="4" t="n">
        <f aca="false">Assumptions!L33</f>
        <v>25.5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1417.39040025</v>
      </c>
      <c r="D15" s="0" t="n">
        <f aca="false">D13-MAX(0,D13)*D14/100</f>
        <v>1666.46265786</v>
      </c>
      <c r="E15" s="0" t="n">
        <f aca="false">E13-MAX(0,E13)*E14/100</f>
        <v>1954.306207854</v>
      </c>
      <c r="F15" s="0" t="n">
        <f aca="false">F13-MAX(0,F13)*F14/100</f>
        <v>2240.25605028225</v>
      </c>
      <c r="G15" s="0" t="n">
        <f aca="false">G13-MAX(0,G13)*G14/100</f>
        <v>2525.63020561051</v>
      </c>
      <c r="H15" s="0" t="n">
        <f aca="false">H13-MAX(0,H13)*H14/100</f>
        <v>2616.88100436016</v>
      </c>
      <c r="I15" s="0" t="n">
        <f aca="false">I13-MAX(0,I13)*I14/100</f>
        <v>2698.32678829085</v>
      </c>
      <c r="J15" s="0" t="n">
        <f aca="false">J13-MAX(0,J13)*J14/100</f>
        <v>2765.78495799812</v>
      </c>
      <c r="K15" s="0" t="n">
        <f aca="false">K13-MAX(0,K13)*K14/100</f>
        <v>2834.92958194807</v>
      </c>
      <c r="L15" s="0" t="n">
        <f aca="false">L13-MAX(0,L13)*L14/100</f>
        <v>2905.80282149678</v>
      </c>
    </row>
    <row r="16" customFormat="false" ht="15" hidden="false" customHeight="false" outlineLevel="0" collapsed="false">
      <c r="A16" s="0" t="s">
        <v>128</v>
      </c>
      <c r="C16" s="0" t="n">
        <f aca="false">-C12</f>
        <v>130.3533</v>
      </c>
      <c r="D16" s="0" t="n">
        <f aca="false">-D12</f>
        <v>135.567432</v>
      </c>
      <c r="E16" s="0" t="n">
        <f aca="false">-E12</f>
        <v>142.3458036</v>
      </c>
      <c r="F16" s="0" t="n">
        <f aca="false">-F12</f>
        <v>149.46309378</v>
      </c>
      <c r="G16" s="0" t="n">
        <f aca="false">-G12</f>
        <v>155.4416175312</v>
      </c>
      <c r="H16" s="0" t="n">
        <f aca="false">-H12</f>
        <v>160.882074144792</v>
      </c>
      <c r="I16" s="0" t="n">
        <f aca="false">-I12</f>
        <v>165.708536369136</v>
      </c>
      <c r="J16" s="0" t="n">
        <f aca="false">-J12</f>
        <v>169.851249778364</v>
      </c>
      <c r="K16" s="0" t="n">
        <f aca="false">-K12</f>
        <v>174.097531022823</v>
      </c>
      <c r="L16" s="0" t="n">
        <f aca="false">-L12</f>
        <v>178.449969298394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-170.70075</v>
      </c>
      <c r="D17" s="4" t="n">
        <f aca="false">-D6*Assumptions!D32/100</f>
        <v>-177.52878</v>
      </c>
      <c r="E17" s="4" t="n">
        <f aca="false">-E6*Assumptions!E32/100</f>
        <v>-186.405219</v>
      </c>
      <c r="F17" s="4" t="n">
        <f aca="false">-F6*Assumptions!F32/100</f>
        <v>-195.72547995</v>
      </c>
      <c r="G17" s="4" t="n">
        <f aca="false">-G6*Assumptions!G32/100</f>
        <v>-203.554499148</v>
      </c>
      <c r="H17" s="4" t="n">
        <f aca="false">-H6*Assumptions!H32/100</f>
        <v>-210.67890661818</v>
      </c>
      <c r="I17" s="4" t="n">
        <f aca="false">-I6*Assumptions!I32/100</f>
        <v>-216.999273816726</v>
      </c>
      <c r="J17" s="4" t="n">
        <f aca="false">-J6*Assumptions!J32/100</f>
        <v>-222.424255662144</v>
      </c>
      <c r="K17" s="4" t="n">
        <f aca="false">-K6*Assumptions!K32/100</f>
        <v>-227.984862053697</v>
      </c>
      <c r="L17" s="4" t="n">
        <f aca="false">-L6*Assumptions!L32/100</f>
        <v>-233.68448360504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78.375</v>
      </c>
      <c r="D18" s="4" t="n">
        <f aca="false">(D6-C6)*Assumptions!$B$37/100</f>
        <v>-310.365000000001</v>
      </c>
      <c r="E18" s="4" t="n">
        <f aca="false">(E6-D6)*Assumptions!$B$37/100</f>
        <v>-403.474500000001</v>
      </c>
      <c r="F18" s="4" t="n">
        <f aca="false">(F6-E6)*Assumptions!$B$37/100</f>
        <v>-423.648225000001</v>
      </c>
      <c r="G18" s="4" t="n">
        <f aca="false">(G6-F6)*Assumptions!$B$37/100</f>
        <v>-355.864509000001</v>
      </c>
      <c r="H18" s="4" t="n">
        <f aca="false">(H6-G6)*Assumptions!$B$37/100</f>
        <v>-323.83670319</v>
      </c>
      <c r="I18" s="4" t="n">
        <f aca="false">(I6-H6)*Assumptions!$B$37/100</f>
        <v>-287.289418115701</v>
      </c>
      <c r="J18" s="4" t="n">
        <f aca="false">(J6-I6)*Assumptions!$B$37/100</f>
        <v>-246.590083882642</v>
      </c>
      <c r="K18" s="4" t="n">
        <f aca="false">(K6-J6)*Assumptions!$B$37/100</f>
        <v>-252.754835979707</v>
      </c>
      <c r="L18" s="4" t="n">
        <f aca="false">(L6-K6)*Assumptions!$B$37/100</f>
        <v>-259.073706879201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1455.41795025</v>
      </c>
      <c r="D19" s="0" t="n">
        <f aca="false">D15+D16+D17+D18</f>
        <v>1314.13630986</v>
      </c>
      <c r="E19" s="0" t="n">
        <f aca="false">E15+E16+E17+E18</f>
        <v>1506.772292454</v>
      </c>
      <c r="F19" s="0" t="n">
        <f aca="false">F15+F16+F17+F18</f>
        <v>1770.34543911225</v>
      </c>
      <c r="G19" s="0" t="n">
        <f aca="false">G15+G16+G17+G18</f>
        <v>2121.65281499371</v>
      </c>
      <c r="H19" s="0" t="n">
        <f aca="false">H15+H16+H17+H18</f>
        <v>2243.24746869678</v>
      </c>
      <c r="I19" s="0" t="n">
        <f aca="false">I15+I16+I17+I18</f>
        <v>2359.74663272756</v>
      </c>
      <c r="J19" s="0" t="n">
        <f aca="false">J15+J16+J17+J18</f>
        <v>2466.6218682317</v>
      </c>
      <c r="K19" s="0" t="n">
        <f aca="false">K15+K16+K17+K18</f>
        <v>2528.28741493749</v>
      </c>
      <c r="L19" s="0" t="n">
        <f aca="false">L15+L16+L17+L18</f>
        <v>2591.49460031093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1323.1072275</v>
      </c>
      <c r="D21" s="0" t="n">
        <f aca="false">D19*D20</f>
        <v>1086.063066</v>
      </c>
      <c r="E21" s="0" t="n">
        <f aca="false">E19*E20</f>
        <v>1132.06032490909</v>
      </c>
      <c r="F21" s="0" t="n">
        <f aca="false">F19*F20</f>
        <v>1209.16975555785</v>
      </c>
      <c r="G21" s="0" t="n">
        <f aca="false">G19*G20</f>
        <v>1317.37947295808</v>
      </c>
      <c r="H21" s="0" t="n">
        <f aca="false">H19*H20</f>
        <v>1266.25471473846</v>
      </c>
      <c r="I21" s="0" t="n">
        <f aca="false">I19*I20</f>
        <v>1210.92314155172</v>
      </c>
      <c r="J21" s="0" t="n">
        <f aca="false">J19*J20</f>
        <v>1150.69730571681</v>
      </c>
      <c r="K21" s="0" t="n">
        <f aca="false">K19*K20</f>
        <v>1072.24067123612</v>
      </c>
      <c r="L21" s="0" t="n">
        <f aca="false">L19*L20</f>
        <v>999.133352742744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11767.0290329109</v>
      </c>
    </row>
    <row r="31" customFormat="false" ht="15" hidden="false" customHeight="false" outlineLevel="0" collapsed="false">
      <c r="A31" s="0" t="s">
        <v>137</v>
      </c>
      <c r="B31" s="0" t="n">
        <f aca="false">L19</f>
        <v>2591.49460031093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35417.092870916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33689.4298040421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33689.4298040421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12988.7335856557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24755.7626185665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22813.7626185665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95.9545189966459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0.168609414159614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941.024629784662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895.494512583482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103.678905099912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21250.2557225496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53.2071166479015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3</v>
      </c>
      <c r="D5" s="4" t="n">
        <f aca="false">Assumptions!D41</f>
        <v>7</v>
      </c>
      <c r="E5" s="4" t="n">
        <f aca="false">Assumptions!E41</f>
        <v>7</v>
      </c>
      <c r="F5" s="4" t="n">
        <f aca="false">Assumptions!F41</f>
        <v>6</v>
      </c>
      <c r="G5" s="4" t="n">
        <f aca="false">Assumptions!G41</f>
        <v>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31350</v>
      </c>
      <c r="C6" s="0" t="n">
        <f aca="false">B6*(1+C5/100)</f>
        <v>32290.5</v>
      </c>
      <c r="D6" s="0" t="n">
        <f aca="false">C6*(1+D5/100)</f>
        <v>34550.835</v>
      </c>
      <c r="E6" s="0" t="n">
        <f aca="false">D6*(1+E5/100)</f>
        <v>36969.39345</v>
      </c>
      <c r="F6" s="0" t="n">
        <f aca="false">E6*(1+F5/100)</f>
        <v>39187.557057</v>
      </c>
      <c r="G6" s="0" t="n">
        <f aca="false">F6*(1+G5/100)</f>
        <v>41146.93490985</v>
      </c>
      <c r="H6" s="0" t="n">
        <f aca="false">G6*(1+H5/100)</f>
        <v>42792.812306244</v>
      </c>
      <c r="I6" s="0" t="n">
        <f aca="false">H6*(1+I5/100)</f>
        <v>44290.5607369626</v>
      </c>
      <c r="J6" s="0" t="n">
        <f aca="false">I6*(1+J5/100)</f>
        <v>45619.2775590714</v>
      </c>
      <c r="K6" s="0" t="n">
        <f aca="false">J6*(1+K5/100)</f>
        <v>46759.7594980482</v>
      </c>
      <c r="L6" s="0" t="n">
        <f aca="false">K6*(1+L5/100)</f>
        <v>47928.7534854994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7.8</v>
      </c>
      <c r="D7" s="4" t="n">
        <f aca="false">Assumptions!D42</f>
        <v>9.3</v>
      </c>
      <c r="E7" s="4" t="n">
        <f aca="false">Assumptions!E42</f>
        <v>10.8</v>
      </c>
      <c r="F7" s="4" t="n">
        <f aca="false">Assumptions!F42</f>
        <v>11.8</v>
      </c>
      <c r="G7" s="4" t="n">
        <f aca="false">Assumptions!G42</f>
        <v>12</v>
      </c>
      <c r="H7" s="4" t="n">
        <f aca="false">Assumptions!H42</f>
        <v>12</v>
      </c>
      <c r="I7" s="4" t="n">
        <f aca="false">Assumptions!I42</f>
        <v>12</v>
      </c>
      <c r="J7" s="4" t="n">
        <f aca="false">Assumptions!J42</f>
        <v>12</v>
      </c>
      <c r="K7" s="4" t="n">
        <f aca="false">Assumptions!K42</f>
        <v>12</v>
      </c>
      <c r="L7" s="4" t="n">
        <f aca="false">Assumptions!L42</f>
        <v>12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2518.659</v>
      </c>
      <c r="D8" s="0" t="n">
        <f aca="false">D6*D7/100</f>
        <v>3213.227655</v>
      </c>
      <c r="E8" s="0" t="n">
        <f aca="false">E6*E7/100</f>
        <v>3992.6944926</v>
      </c>
      <c r="F8" s="0" t="n">
        <f aca="false">F6*F7/100</f>
        <v>4624.131732726</v>
      </c>
      <c r="G8" s="0" t="n">
        <f aca="false">G6*G7/100</f>
        <v>4937.632189182</v>
      </c>
      <c r="H8" s="0" t="n">
        <f aca="false">H6*H7/100</f>
        <v>5135.13747674928</v>
      </c>
      <c r="I8" s="0" t="n">
        <f aca="false">I6*I7/100</f>
        <v>5314.86728843551</v>
      </c>
      <c r="J8" s="0" t="n">
        <f aca="false">J6*J7/100</f>
        <v>5474.31330708857</v>
      </c>
      <c r="K8" s="0" t="n">
        <f aca="false">K6*K7/100</f>
        <v>5611.17113976579</v>
      </c>
      <c r="L8" s="0" t="n">
        <f aca="false">L6*L7/100</f>
        <v>5751.45041825993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0.45</v>
      </c>
      <c r="D9" s="4" t="n">
        <f aca="false">Assumptions!D43</f>
        <v>0.45</v>
      </c>
      <c r="E9" s="4" t="n">
        <f aca="false">Assumptions!E43</f>
        <v>0.44</v>
      </c>
      <c r="F9" s="4" t="n">
        <f aca="false">Assumptions!F43</f>
        <v>0.43</v>
      </c>
      <c r="G9" s="4" t="n">
        <f aca="false">Assumptions!G43</f>
        <v>0.42</v>
      </c>
      <c r="H9" s="4" t="n">
        <f aca="false">Assumptions!H43</f>
        <v>0.41</v>
      </c>
      <c r="I9" s="4" t="n">
        <f aca="false">Assumptions!I43</f>
        <v>0.4</v>
      </c>
      <c r="J9" s="4" t="n">
        <f aca="false">Assumptions!J43</f>
        <v>0.4</v>
      </c>
      <c r="K9" s="4" t="n">
        <f aca="false">Assumptions!K43</f>
        <v>0.4</v>
      </c>
      <c r="L9" s="4" t="n">
        <f aca="false">Assumptions!L43</f>
        <v>0.4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-145.30725</v>
      </c>
      <c r="D10" s="0" t="n">
        <f aca="false">-D6*D9/100</f>
        <v>-155.4787575</v>
      </c>
      <c r="E10" s="0" t="n">
        <f aca="false">-E6*E9/100</f>
        <v>-162.66533118</v>
      </c>
      <c r="F10" s="0" t="n">
        <f aca="false">-F6*F9/100</f>
        <v>-168.5064953451</v>
      </c>
      <c r="G10" s="0" t="n">
        <f aca="false">-G6*G9/100</f>
        <v>-172.81712662137</v>
      </c>
      <c r="H10" s="0" t="n">
        <f aca="false">-H6*H9/100</f>
        <v>-175.4505304556</v>
      </c>
      <c r="I10" s="0" t="n">
        <f aca="false">-I6*I9/100</f>
        <v>-177.16224294785</v>
      </c>
      <c r="J10" s="0" t="n">
        <f aca="false">-J6*J9/100</f>
        <v>-182.477110236286</v>
      </c>
      <c r="K10" s="0" t="n">
        <f aca="false">-K6*K9/100</f>
        <v>-187.039037992193</v>
      </c>
      <c r="L10" s="0" t="n">
        <f aca="false">-L6*L9/100</f>
        <v>-191.715013941998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2373.35175</v>
      </c>
      <c r="D11" s="0" t="n">
        <f aca="false">D8+D10+D24</f>
        <v>3057.7488975</v>
      </c>
      <c r="E11" s="0" t="n">
        <f aca="false">E8+E10+E24</f>
        <v>3830.02916142</v>
      </c>
      <c r="F11" s="0" t="n">
        <f aca="false">F8+F10+F24</f>
        <v>4455.6252373809</v>
      </c>
      <c r="G11" s="0" t="n">
        <f aca="false">G8+G10+G24</f>
        <v>4764.81506256063</v>
      </c>
      <c r="H11" s="0" t="n">
        <f aca="false">H8+H10+H24</f>
        <v>4959.68694629368</v>
      </c>
      <c r="I11" s="0" t="n">
        <f aca="false">I8+I10+I24</f>
        <v>5137.70504548766</v>
      </c>
      <c r="J11" s="0" t="n">
        <f aca="false">J8+J10+J24</f>
        <v>5291.83619685229</v>
      </c>
      <c r="K11" s="0" t="n">
        <f aca="false">K8+K10+K24</f>
        <v>5424.13210177359</v>
      </c>
      <c r="L11" s="0" t="n">
        <f aca="false">L8+L10+L24</f>
        <v>5559.73540431793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-135.6201</v>
      </c>
      <c r="D12" s="4" t="n">
        <f aca="false">-D6*Assumptions!D45/100</f>
        <v>-145.113507</v>
      </c>
      <c r="E12" s="4" t="n">
        <f aca="false">-E6*Assumptions!E45/100</f>
        <v>-155.27145249</v>
      </c>
      <c r="F12" s="4" t="n">
        <f aca="false">-F6*Assumptions!F45/100</f>
        <v>-164.5877396394</v>
      </c>
      <c r="G12" s="4" t="n">
        <f aca="false">-G6*Assumptions!G45/100</f>
        <v>-172.81712662137</v>
      </c>
      <c r="H12" s="4" t="n">
        <f aca="false">-H6*Assumptions!H45/100</f>
        <v>-179.729811686225</v>
      </c>
      <c r="I12" s="4" t="n">
        <f aca="false">-I6*Assumptions!I45/100</f>
        <v>-186.020355095243</v>
      </c>
      <c r="J12" s="4" t="n">
        <f aca="false">-J6*Assumptions!J45/100</f>
        <v>-191.6009657481</v>
      </c>
      <c r="K12" s="4" t="n">
        <f aca="false">-K6*Assumptions!K45/100</f>
        <v>-196.390989891803</v>
      </c>
      <c r="L12" s="4" t="n">
        <f aca="false">-L6*Assumptions!L45/100</f>
        <v>-201.300764639098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2237.73165</v>
      </c>
      <c r="D13" s="0" t="n">
        <f aca="false">D11+D12</f>
        <v>2912.6353905</v>
      </c>
      <c r="E13" s="0" t="n">
        <f aca="false">E11+E12</f>
        <v>3674.75770893</v>
      </c>
      <c r="F13" s="0" t="n">
        <f aca="false">F11+F12</f>
        <v>4291.0374977415</v>
      </c>
      <c r="G13" s="0" t="n">
        <f aca="false">G11+G12</f>
        <v>4591.99793593926</v>
      </c>
      <c r="H13" s="0" t="n">
        <f aca="false">H11+H12</f>
        <v>4779.95713460746</v>
      </c>
      <c r="I13" s="0" t="n">
        <f aca="false">I11+I12</f>
        <v>4951.68469039241</v>
      </c>
      <c r="J13" s="0" t="n">
        <f aca="false">J11+J12</f>
        <v>5100.23523110419</v>
      </c>
      <c r="K13" s="0" t="n">
        <f aca="false">K11+K12</f>
        <v>5227.74111188179</v>
      </c>
      <c r="L13" s="0" t="n">
        <f aca="false">L11+L12</f>
        <v>5358.43463967883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25.5</v>
      </c>
      <c r="D14" s="4" t="n">
        <f aca="false">Assumptions!D47</f>
        <v>25.5</v>
      </c>
      <c r="E14" s="4" t="n">
        <f aca="false">Assumptions!E47</f>
        <v>25.5</v>
      </c>
      <c r="F14" s="4" t="n">
        <f aca="false">Assumptions!F47</f>
        <v>25.5</v>
      </c>
      <c r="G14" s="4" t="n">
        <f aca="false">Assumptions!G47</f>
        <v>25.5</v>
      </c>
      <c r="H14" s="4" t="n">
        <f aca="false">Assumptions!H47</f>
        <v>25.5</v>
      </c>
      <c r="I14" s="4" t="n">
        <f aca="false">Assumptions!I47</f>
        <v>25.5</v>
      </c>
      <c r="J14" s="4" t="n">
        <f aca="false">Assumptions!J47</f>
        <v>25.5</v>
      </c>
      <c r="K14" s="4" t="n">
        <f aca="false">Assumptions!K47</f>
        <v>25.5</v>
      </c>
      <c r="L14" s="4" t="n">
        <f aca="false">Assumptions!L47</f>
        <v>25.5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1667.11007925</v>
      </c>
      <c r="D15" s="0" t="n">
        <f aca="false">D13-MAX(0,D13)*D14/100</f>
        <v>2169.9133659225</v>
      </c>
      <c r="E15" s="0" t="n">
        <f aca="false">E13-MAX(0,E13)*E14/100</f>
        <v>2737.69449315285</v>
      </c>
      <c r="F15" s="0" t="n">
        <f aca="false">F13-MAX(0,F13)*F14/100</f>
        <v>3196.82293581742</v>
      </c>
      <c r="G15" s="0" t="n">
        <f aca="false">G13-MAX(0,G13)*G14/100</f>
        <v>3421.03846227475</v>
      </c>
      <c r="H15" s="0" t="n">
        <f aca="false">H13-MAX(0,H13)*H14/100</f>
        <v>3561.06806528256</v>
      </c>
      <c r="I15" s="0" t="n">
        <f aca="false">I13-MAX(0,I13)*I14/100</f>
        <v>3689.00509434235</v>
      </c>
      <c r="J15" s="0" t="n">
        <f aca="false">J13-MAX(0,J13)*J14/100</f>
        <v>3799.67524717262</v>
      </c>
      <c r="K15" s="0" t="n">
        <f aca="false">K13-MAX(0,K13)*K14/100</f>
        <v>3894.66712835193</v>
      </c>
      <c r="L15" s="0" t="n">
        <f aca="false">L13-MAX(0,L13)*L14/100</f>
        <v>3992.03380656073</v>
      </c>
    </row>
    <row r="16" customFormat="false" ht="15" hidden="false" customHeight="false" outlineLevel="0" collapsed="false">
      <c r="A16" s="0" t="s">
        <v>128</v>
      </c>
      <c r="C16" s="0" t="n">
        <f aca="false">-C12</f>
        <v>135.6201</v>
      </c>
      <c r="D16" s="0" t="n">
        <f aca="false">-D12</f>
        <v>145.113507</v>
      </c>
      <c r="E16" s="0" t="n">
        <f aca="false">-E12</f>
        <v>155.27145249</v>
      </c>
      <c r="F16" s="0" t="n">
        <f aca="false">-F12</f>
        <v>164.5877396394</v>
      </c>
      <c r="G16" s="0" t="n">
        <f aca="false">-G12</f>
        <v>172.81712662137</v>
      </c>
      <c r="H16" s="0" t="n">
        <f aca="false">-H12</f>
        <v>179.729811686225</v>
      </c>
      <c r="I16" s="0" t="n">
        <f aca="false">-I12</f>
        <v>186.020355095243</v>
      </c>
      <c r="J16" s="0" t="n">
        <f aca="false">-J12</f>
        <v>191.6009657481</v>
      </c>
      <c r="K16" s="0" t="n">
        <f aca="false">-K12</f>
        <v>196.390989891803</v>
      </c>
      <c r="L16" s="0" t="n">
        <f aca="false">-L12</f>
        <v>201.300764639098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-177.59775</v>
      </c>
      <c r="D17" s="4" t="n">
        <f aca="false">-D6*Assumptions!D46/100</f>
        <v>-190.0295925</v>
      </c>
      <c r="E17" s="4" t="n">
        <f aca="false">-E6*Assumptions!E46/100</f>
        <v>-203.331663975</v>
      </c>
      <c r="F17" s="4" t="n">
        <f aca="false">-F6*Assumptions!F46/100</f>
        <v>-215.5315638135</v>
      </c>
      <c r="G17" s="4" t="n">
        <f aca="false">-G6*Assumptions!G46/100</f>
        <v>-226.308142004175</v>
      </c>
      <c r="H17" s="4" t="n">
        <f aca="false">-H6*Assumptions!H46/100</f>
        <v>-235.360467684342</v>
      </c>
      <c r="I17" s="4" t="n">
        <f aca="false">-I6*Assumptions!I46/100</f>
        <v>-243.598084053294</v>
      </c>
      <c r="J17" s="4" t="n">
        <f aca="false">-J6*Assumptions!J46/100</f>
        <v>-250.906026574893</v>
      </c>
      <c r="K17" s="4" t="n">
        <f aca="false">-K6*Assumptions!K46/100</f>
        <v>-257.178677239265</v>
      </c>
      <c r="L17" s="4" t="n">
        <f aca="false">-L6*Assumptions!L46/100</f>
        <v>-263.608144170247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-235.125</v>
      </c>
      <c r="D18" s="4" t="n">
        <f aca="false">(D6-C6)*Assumptions!$B$51/100</f>
        <v>-565.08375</v>
      </c>
      <c r="E18" s="4" t="n">
        <f aca="false">(E6-D6)*Assumptions!$B$51/100</f>
        <v>-604.639612500001</v>
      </c>
      <c r="F18" s="4" t="n">
        <f aca="false">(F6-E6)*Assumptions!$B$51/100</f>
        <v>-554.540901750001</v>
      </c>
      <c r="G18" s="4" t="n">
        <f aca="false">(G6-F6)*Assumptions!$B$51/100</f>
        <v>-489.844463212501</v>
      </c>
      <c r="H18" s="4" t="n">
        <f aca="false">(H6-G6)*Assumptions!$B$51/100</f>
        <v>-411.469349098501</v>
      </c>
      <c r="I18" s="4" t="n">
        <f aca="false">(I6-H6)*Assumptions!$B$51/100</f>
        <v>-374.437107679634</v>
      </c>
      <c r="J18" s="4" t="n">
        <f aca="false">(J6-I6)*Assumptions!$B$51/100</f>
        <v>-332.17920552722</v>
      </c>
      <c r="K18" s="4" t="n">
        <f aca="false">(K6-J6)*Assumptions!$B$51/100</f>
        <v>-285.120484744195</v>
      </c>
      <c r="L18" s="4" t="n">
        <f aca="false">(L6-K6)*Assumptions!$B$51/100</f>
        <v>-292.2484968628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1390.00742925</v>
      </c>
      <c r="D19" s="0" t="n">
        <f aca="false">D15+D16+D17+D18</f>
        <v>1559.9135304225</v>
      </c>
      <c r="E19" s="0" t="n">
        <f aca="false">E15+E16+E17+E18</f>
        <v>2084.99466916785</v>
      </c>
      <c r="F19" s="0" t="n">
        <f aca="false">F15+F16+F17+F18</f>
        <v>2591.33820989332</v>
      </c>
      <c r="G19" s="0" t="n">
        <f aca="false">G15+G16+G17+G18</f>
        <v>2877.70298367944</v>
      </c>
      <c r="H19" s="0" t="n">
        <f aca="false">H15+H16+H17+H18</f>
        <v>3093.96806018594</v>
      </c>
      <c r="I19" s="0" t="n">
        <f aca="false">I15+I16+I17+I18</f>
        <v>3256.99025770466</v>
      </c>
      <c r="J19" s="0" t="n">
        <f aca="false">J15+J16+J17+J18</f>
        <v>3408.19098081861</v>
      </c>
      <c r="K19" s="0" t="n">
        <f aca="false">K15+K16+K17+K18</f>
        <v>3548.75895626027</v>
      </c>
      <c r="L19" s="0" t="n">
        <f aca="false">L15+L16+L17+L18</f>
        <v>3637.47793016678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1263.6431175</v>
      </c>
      <c r="D21" s="0" t="n">
        <f aca="false">D19*D20</f>
        <v>1289.18473588636</v>
      </c>
      <c r="E21" s="0" t="n">
        <f aca="false">E19*E20</f>
        <v>1566.48735474669</v>
      </c>
      <c r="F21" s="0" t="n">
        <f aca="false">F19*F20</f>
        <v>1769.91886475877</v>
      </c>
      <c r="G21" s="0" t="n">
        <f aca="false">G19*G20</f>
        <v>1786.82714399752</v>
      </c>
      <c r="H21" s="0" t="n">
        <f aca="false">H19*H20</f>
        <v>1746.46431039402</v>
      </c>
      <c r="I21" s="0" t="n">
        <f aca="false">I19*I20</f>
        <v>1671.35099173947</v>
      </c>
      <c r="J21" s="0" t="n">
        <f aca="false">J19*J20</f>
        <v>1589.94624571613</v>
      </c>
      <c r="K21" s="0" t="n">
        <f aca="false">K19*K20</f>
        <v>1505.02022152801</v>
      </c>
      <c r="L21" s="0" t="n">
        <f aca="false">L19*L20</f>
        <v>1402.40520642383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15591.2481926908</v>
      </c>
    </row>
    <row r="31" customFormat="false" ht="15" hidden="false" customHeight="false" outlineLevel="0" collapsed="false">
      <c r="A31" s="0" t="s">
        <v>137</v>
      </c>
      <c r="B31" s="0" t="n">
        <f aca="false">L19</f>
        <v>3637.47793016678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49712.198378946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47287.2130921682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47287.2130921682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18231.2676835097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33822.5158762005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31880.5158762005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134.089216996419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0.633043685256591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1033.51691434123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1010.16397381243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142.684923889846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29827.3190273676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74.388916389397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58.873475919302</v>
      </c>
      <c r="C4" s="0" t="n">
        <f aca="false">B4/Assumptions!$B$2-1</f>
        <v>-0.282992620639362</v>
      </c>
      <c r="D4" s="4" t="n">
        <f aca="false">Assumptions!$B$24</f>
        <v>0.25</v>
      </c>
      <c r="E4" s="4" t="n">
        <f aca="false">DCF_Bear!$B$43</f>
        <v>65.1892863559054</v>
      </c>
      <c r="F4" s="4" t="n">
        <f aca="false">DCF_Bear!$B$47</f>
        <v>32.743979805092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95.9545189966459</v>
      </c>
      <c r="C5" s="0" t="n">
        <f aca="false">B5/Assumptions!$B$2-1</f>
        <v>0.168609414159614</v>
      </c>
      <c r="D5" s="4" t="n">
        <f aca="false">Assumptions!$B$38</f>
        <v>0.5</v>
      </c>
      <c r="E5" s="4" t="n">
        <f aca="false">DCF_Base!$B$43</f>
        <v>103.678905099912</v>
      </c>
      <c r="F5" s="4" t="n">
        <f aca="false">DCF_Base!$B$47</f>
        <v>53.2071166479015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134.089216996419</v>
      </c>
      <c r="C6" s="0" t="n">
        <f aca="false">B6/Assumptions!$B$2-1</f>
        <v>0.633043685256591</v>
      </c>
      <c r="D6" s="4" t="n">
        <f aca="false">Assumptions!$B$52</f>
        <v>0.25</v>
      </c>
      <c r="E6" s="4" t="n">
        <f aca="false">DCF_Bull!$B$43</f>
        <v>142.684923889846</v>
      </c>
      <c r="F6" s="4" t="n">
        <f aca="false">DCF_Bull!$B$47</f>
        <v>74.388916389397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96.2179327272531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103.808005111394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0.146624774897675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-185.873493864582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53.386782372573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103.685370202091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95.9545189966459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85.2806897938561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74.6794390452913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53.2071166479015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112.159641693709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112.159641693709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112.159641693709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112.159641693709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112.159641693709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103.685370202091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103.685370202091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103.685370202091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103.685370202091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103.685370202091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91.5049744934406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94.9039321000557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95.9545189966459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95.9545189966459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95.9545189966459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80.0039037831823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82.4957193993338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85.2806897938561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88.4137814876937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88.8936243597228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70.7390081612298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72.610712831159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74.6794390452913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76.9780237276605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79.5470301373673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2026-10-02T00:18:32Z</dcterms:created>
  <dc:creator>openpyxl</dc:creator>
  <dc:description/>
  <dc:language>en-NZ</dc:language>
  <cp:lastModifiedBy/>
  <dcterms:modified xsi:type="dcterms:W3CDTF">2026-10-02T00:18:32Z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