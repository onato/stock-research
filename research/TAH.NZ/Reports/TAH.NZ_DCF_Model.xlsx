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FCF Quality" sheetId="4" state="visible" r:id="rId4"/>
    <sheet xmlns:r="http://schemas.openxmlformats.org/officeDocument/2006/relationships" name="Historical &amp; Sanity Check" sheetId="5" state="visible" r:id="rId5"/>
    <sheet xmlns:r="http://schemas.openxmlformats.org/officeDocument/2006/relationships" name="Model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&quot;$&quot;#,##0.00"/>
    <numFmt numFmtId="167" formatCode="0.00&quot;x&quot;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808080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fe6e9"/>
        <bgColor rgb="00dfe6e9"/>
      </patternFill>
    </fill>
    <fill>
      <patternFill patternType="solid">
        <fgColor rgb="002d3436"/>
        <bgColor rgb="002d3436"/>
      </patternFill>
    </fill>
    <fill>
      <patternFill patternType="solid">
        <fgColor rgb="0000b894"/>
        <bgColor rgb="0000b89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4" fontId="0" fillId="0" borderId="1" pivotButton="0" quotePrefix="0" xfId="0"/>
    <xf numFmtId="10" fontId="0" fillId="2" borderId="1" pivotButton="0" quotePrefix="0" xfId="0"/>
    <xf numFmtId="0" fontId="4" fillId="3" borderId="0" applyAlignment="1" pivotButton="0" quotePrefix="0" xfId="0">
      <alignment horizontal="center"/>
    </xf>
    <xf numFmtId="10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  <xf numFmtId="166" fontId="4" fillId="4" borderId="1" pivotButton="0" quotePrefix="0" xfId="0"/>
    <xf numFmtId="0" fontId="4" fillId="3" borderId="0" pivotButton="0" quotePrefix="0" xfId="0"/>
    <xf numFmtId="0" fontId="0" fillId="0" borderId="1" pivotButton="0" quotePrefix="0" xfId="0"/>
    <xf numFmtId="166" fontId="0" fillId="0" borderId="1" pivotButton="0" quotePrefix="0" xfId="0"/>
    <xf numFmtId="166" fontId="4" fillId="4" borderId="0" pivotButton="0" quotePrefix="0" xfId="0"/>
    <xf numFmtId="10" fontId="4" fillId="3" borderId="0" applyAlignment="1" pivotButton="0" quotePrefix="0" xfId="0">
      <alignment horizontal="center"/>
    </xf>
    <xf numFmtId="10" fontId="4" fillId="3" borderId="0" pivotButton="0" quotePrefix="0" xfId="0"/>
    <xf numFmtId="167" fontId="0" fillId="0" borderId="1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5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TAH.NZ DCF Valuation Model - Third Age Health Services</t>
        </is>
      </c>
    </row>
    <row r="2">
      <c r="A2" s="2" t="inlineStr">
        <is>
          <t>Gray cells are INPUTS - adjust to see valuation change. Base case shown; NZD thousands except per-share.</t>
        </is>
      </c>
    </row>
    <row r="4">
      <c r="A4" s="3" t="inlineStr">
        <is>
          <t>KEY INPUTS</t>
        </is>
      </c>
    </row>
    <row r="5">
      <c r="A5" t="inlineStr">
        <is>
          <t>Current Stock Price (NZD)</t>
        </is>
      </c>
      <c r="B5" s="4" t="n">
        <v>4.47</v>
      </c>
    </row>
    <row r="6">
      <c r="A6" t="inlineStr">
        <is>
          <t>Shares Outstanding (000s)</t>
        </is>
      </c>
      <c r="B6" s="4" t="n">
        <v>9954</v>
      </c>
    </row>
    <row r="7">
      <c r="A7" t="inlineStr">
        <is>
          <t>Cash &amp; Equivalents (000s)</t>
        </is>
      </c>
      <c r="B7" s="4" t="n">
        <v>2901</v>
      </c>
    </row>
    <row r="8">
      <c r="A8" t="inlineStr">
        <is>
          <t>Bank Debt only, excl. leases (000s)</t>
        </is>
      </c>
      <c r="B8" s="4" t="n">
        <v>1092</v>
      </c>
    </row>
    <row r="9">
      <c r="A9" t="inlineStr">
        <is>
          <t>Net Debt / (Net Cash) (000s)</t>
        </is>
      </c>
      <c r="B9" s="5">
        <f>B8-B7</f>
        <v/>
      </c>
    </row>
    <row r="10">
      <c r="A10" t="inlineStr">
        <is>
          <t>Reported FCF FY2026 (000s)</t>
        </is>
      </c>
      <c r="B10" s="4" t="n">
        <v>3830</v>
      </c>
    </row>
    <row r="11">
      <c r="A11" t="inlineStr">
        <is>
          <t>Less: Lease Principal Repayments (000s)</t>
        </is>
      </c>
      <c r="B11" s="4" t="n">
        <v>335</v>
      </c>
    </row>
    <row r="12">
      <c r="A12" t="inlineStr">
        <is>
          <t>Owner FCF FY2026 (Base Year, 000s)</t>
        </is>
      </c>
      <c r="B12" s="5">
        <f>B10-B11</f>
        <v/>
      </c>
    </row>
    <row r="13">
      <c r="A13" t="inlineStr">
        <is>
          <t>NCI % of Consolidated Profit (deducted from equity value)</t>
        </is>
      </c>
      <c r="B13" s="6" t="n">
        <v>0.0861</v>
      </c>
    </row>
    <row r="14">
      <c r="A14" t="inlineStr">
        <is>
          <t>FY2026 Revenue Actual (000s) - projection base</t>
        </is>
      </c>
      <c r="B14" s="4" t="n">
        <v>22488</v>
      </c>
    </row>
    <row r="15">
      <c r="A15" t="inlineStr">
        <is>
          <t>WACC</t>
        </is>
      </c>
      <c r="B15" s="6" t="n">
        <v>0.145</v>
      </c>
    </row>
    <row r="16">
      <c r="A16" t="inlineStr">
        <is>
          <t>Terminal Growth Rate</t>
        </is>
      </c>
      <c r="B16" s="6" t="n">
        <v>0.0275</v>
      </c>
    </row>
    <row r="17">
      <c r="A17" t="inlineStr">
        <is>
          <t>Terminal Exit Multiple Cap (x EBITDA)</t>
        </is>
      </c>
      <c r="B17" s="4" t="n">
        <v>10.59</v>
      </c>
    </row>
    <row r="19">
      <c r="A19" s="3" t="inlineStr">
        <is>
          <t>GROWTH &amp; MARGIN ASSUMPTIONS (Base Case)</t>
        </is>
      </c>
    </row>
    <row r="20">
      <c r="A20" t="inlineStr"/>
      <c r="B20" s="7" t="inlineStr">
        <is>
          <t>FY2027</t>
        </is>
      </c>
      <c r="C20" s="7" t="inlineStr">
        <is>
          <t>FY2028</t>
        </is>
      </c>
      <c r="D20" s="7" t="inlineStr">
        <is>
          <t>FY2029</t>
        </is>
      </c>
      <c r="E20" s="7" t="inlineStr">
        <is>
          <t>FY2030</t>
        </is>
      </c>
      <c r="F20" s="7" t="inlineStr">
        <is>
          <t>FY2031</t>
        </is>
      </c>
    </row>
    <row r="21">
      <c r="A21" t="inlineStr">
        <is>
          <t>Revenue Growth %</t>
        </is>
      </c>
      <c r="B21" s="6" t="n">
        <v>0.09</v>
      </c>
      <c r="C21" s="6" t="n">
        <v>0.075</v>
      </c>
      <c r="D21" s="6" t="n">
        <v>0.065</v>
      </c>
      <c r="E21" s="6" t="n">
        <v>0.055</v>
      </c>
      <c r="F21" s="6" t="n">
        <v>0.045</v>
      </c>
    </row>
    <row r="22">
      <c r="A22" t="inlineStr">
        <is>
          <t>EBITDA Margin %</t>
        </is>
      </c>
      <c r="B22" s="6" t="n">
        <v>0.213</v>
      </c>
      <c r="C22" s="6" t="n">
        <v>0.218</v>
      </c>
      <c r="D22" s="6" t="n">
        <v>0.223</v>
      </c>
      <c r="E22" s="6" t="n">
        <v>0.227</v>
      </c>
      <c r="F22" s="6" t="n">
        <v>0.23</v>
      </c>
    </row>
    <row r="23">
      <c r="A23" t="inlineStr">
        <is>
          <t>D&amp;A % of Revenue</t>
        </is>
      </c>
      <c r="B23" s="6" t="n">
        <v>0.045</v>
      </c>
      <c r="C23" s="6" t="n">
        <v>0.045</v>
      </c>
      <c r="D23" s="6" t="n">
        <v>0.045</v>
      </c>
      <c r="E23" s="6" t="n">
        <v>0.045</v>
      </c>
      <c r="F23" s="6" t="n">
        <v>0.045</v>
      </c>
    </row>
    <row r="24">
      <c r="A24" t="inlineStr">
        <is>
          <t>Capex % of Revenue</t>
        </is>
      </c>
      <c r="B24" s="6" t="n">
        <v>0.009000000000000001</v>
      </c>
      <c r="C24" s="6" t="n">
        <v>0.009000000000000001</v>
      </c>
      <c r="D24" s="6" t="n">
        <v>0.009000000000000001</v>
      </c>
      <c r="E24" s="6" t="n">
        <v>0.009000000000000001</v>
      </c>
      <c r="F24" s="6" t="n">
        <v>0.009000000000000001</v>
      </c>
    </row>
    <row r="25">
      <c r="A25" t="inlineStr">
        <is>
          <t>WC Capture % of Rev Growth</t>
        </is>
      </c>
      <c r="B25" s="6" t="n">
        <v>0.15</v>
      </c>
      <c r="C25" s="6" t="n">
        <v>0.15</v>
      </c>
      <c r="D25" s="6" t="n">
        <v>0.15</v>
      </c>
      <c r="E25" s="6" t="n">
        <v>0.15</v>
      </c>
      <c r="F25" s="6" t="n">
        <v>0.15</v>
      </c>
    </row>
    <row r="26">
      <c r="A26" t="inlineStr">
        <is>
          <t>Lease Principal % of Revenue</t>
        </is>
      </c>
      <c r="B26" s="6" t="n">
        <v>0.012</v>
      </c>
      <c r="C26" s="6" t="n">
        <v>0.012</v>
      </c>
      <c r="D26" s="6" t="n">
        <v>0.012</v>
      </c>
      <c r="E26" s="6" t="n">
        <v>0.012</v>
      </c>
      <c r="F26" s="6" t="n">
        <v>0.012</v>
      </c>
    </row>
    <row r="27">
      <c r="A27" t="inlineStr">
        <is>
          <t>Cash Tax Rate %</t>
        </is>
      </c>
      <c r="B27" s="6" t="n">
        <v>0.28</v>
      </c>
      <c r="C27" s="6" t="n">
        <v>0.28</v>
      </c>
      <c r="D27" s="6" t="n">
        <v>0.28</v>
      </c>
      <c r="E27" s="6" t="n">
        <v>0.28</v>
      </c>
      <c r="F27" s="6" t="n">
        <v>0.28</v>
      </c>
    </row>
    <row r="29">
      <c r="A29" s="3" t="inlineStr">
        <is>
          <t>PROJECTIONS (Component Build)</t>
        </is>
      </c>
    </row>
    <row r="30">
      <c r="A30" t="inlineStr"/>
      <c r="B30" s="7" t="inlineStr">
        <is>
          <t>FY2027</t>
        </is>
      </c>
      <c r="C30" s="7" t="inlineStr">
        <is>
          <t>FY2028</t>
        </is>
      </c>
      <c r="D30" s="7" t="inlineStr">
        <is>
          <t>FY2029</t>
        </is>
      </c>
      <c r="E30" s="7" t="inlineStr">
        <is>
          <t>FY2030</t>
        </is>
      </c>
      <c r="F30" s="7" t="inlineStr">
        <is>
          <t>FY2031</t>
        </is>
      </c>
    </row>
    <row r="31">
      <c r="A31" t="inlineStr">
        <is>
          <t>Revenue</t>
        </is>
      </c>
      <c r="B31" s="5">
        <f>$B$14*(1+B21)</f>
        <v/>
      </c>
      <c r="C31" s="5">
        <f>B31*(1+C21)</f>
        <v/>
      </c>
      <c r="D31" s="5">
        <f>C31*(1+D21)</f>
        <v/>
      </c>
      <c r="E31" s="5">
        <f>D31*(1+E21)</f>
        <v/>
      </c>
      <c r="F31" s="5">
        <f>E31*(1+F21)</f>
        <v/>
      </c>
    </row>
    <row r="32">
      <c r="A32" t="inlineStr">
        <is>
          <t>EBITDA</t>
        </is>
      </c>
      <c r="B32" s="5">
        <f>B31*B22</f>
        <v/>
      </c>
      <c r="C32" s="5">
        <f>C31*C22</f>
        <v/>
      </c>
      <c r="D32" s="5">
        <f>D31*D22</f>
        <v/>
      </c>
      <c r="E32" s="5">
        <f>E31*E22</f>
        <v/>
      </c>
      <c r="F32" s="5">
        <f>F31*F22</f>
        <v/>
      </c>
    </row>
    <row r="33">
      <c r="A33" t="inlineStr">
        <is>
          <t>D&amp;A</t>
        </is>
      </c>
      <c r="B33" s="5">
        <f>B31*B23</f>
        <v/>
      </c>
      <c r="C33" s="5">
        <f>C31*C23</f>
        <v/>
      </c>
      <c r="D33" s="5">
        <f>D31*D23</f>
        <v/>
      </c>
      <c r="E33" s="5">
        <f>E31*E23</f>
        <v/>
      </c>
      <c r="F33" s="5">
        <f>F31*F23</f>
        <v/>
      </c>
    </row>
    <row r="34">
      <c r="A34" t="inlineStr">
        <is>
          <t>EBIT</t>
        </is>
      </c>
      <c r="B34" s="5">
        <f>B32-B33</f>
        <v/>
      </c>
      <c r="C34" s="5">
        <f>C32-C33</f>
        <v/>
      </c>
      <c r="D34" s="5">
        <f>D32-D33</f>
        <v/>
      </c>
      <c r="E34" s="5">
        <f>E32-E33</f>
        <v/>
      </c>
      <c r="F34" s="5">
        <f>F32-F33</f>
        <v/>
      </c>
    </row>
    <row r="35">
      <c r="A35" t="inlineStr">
        <is>
          <t>NOPAT</t>
        </is>
      </c>
      <c r="B35" s="5">
        <f>B34*(1-B27)</f>
        <v/>
      </c>
      <c r="C35" s="5">
        <f>C34*(1-C27)</f>
        <v/>
      </c>
      <c r="D35" s="5">
        <f>D34*(1-D27)</f>
        <v/>
      </c>
      <c r="E35" s="5">
        <f>E34*(1-E27)</f>
        <v/>
      </c>
      <c r="F35" s="5">
        <f>F34*(1-F27)</f>
        <v/>
      </c>
    </row>
    <row r="36">
      <c r="A36" t="inlineStr">
        <is>
          <t>Capex</t>
        </is>
      </c>
      <c r="B36" s="5">
        <f>B31*B24</f>
        <v/>
      </c>
      <c r="C36" s="5">
        <f>C31*C24</f>
        <v/>
      </c>
      <c r="D36" s="5">
        <f>D31*D24</f>
        <v/>
      </c>
      <c r="E36" s="5">
        <f>E31*E24</f>
        <v/>
      </c>
      <c r="F36" s="5">
        <f>F31*F24</f>
        <v/>
      </c>
    </row>
    <row r="37">
      <c r="A37" t="inlineStr">
        <is>
          <t>Working Capital Δ</t>
        </is>
      </c>
      <c r="B37" s="5">
        <f>(B31-$B$14)*B25</f>
        <v/>
      </c>
      <c r="C37" s="5">
        <f>(C31-B31)*C25</f>
        <v/>
      </c>
      <c r="D37" s="5">
        <f>(D31-C31)*D25</f>
        <v/>
      </c>
      <c r="E37" s="5">
        <f>(E31-D31)*E25</f>
        <v/>
      </c>
      <c r="F37" s="5">
        <f>(F31-E31)*F25</f>
        <v/>
      </c>
    </row>
    <row r="38">
      <c r="A38" t="inlineStr">
        <is>
          <t>Lease Principal</t>
        </is>
      </c>
      <c r="B38" s="5">
        <f>B31*B26</f>
        <v/>
      </c>
      <c r="C38" s="5">
        <f>C31*C26</f>
        <v/>
      </c>
      <c r="D38" s="5">
        <f>D31*D26</f>
        <v/>
      </c>
      <c r="E38" s="5">
        <f>E31*E26</f>
        <v/>
      </c>
      <c r="F38" s="5">
        <f>F31*F26</f>
        <v/>
      </c>
    </row>
    <row r="39">
      <c r="A39" t="inlineStr">
        <is>
          <t>Free Cash Flow (Owner)</t>
        </is>
      </c>
      <c r="B39" s="5">
        <f>B35+B33-B36-B37-B38</f>
        <v/>
      </c>
      <c r="C39" s="5">
        <f>C35+C33-C36-C37-C38</f>
        <v/>
      </c>
      <c r="D39" s="5">
        <f>D35+D33-D36-D37-D38</f>
        <v/>
      </c>
      <c r="E39" s="5">
        <f>E35+E33-E36-E37-E38</f>
        <v/>
      </c>
      <c r="F39" s="5">
        <f>F35+F33-F36-F37-F38</f>
        <v/>
      </c>
    </row>
    <row r="40">
      <c r="A40" t="inlineStr">
        <is>
          <t>Owner FCF Margin %</t>
        </is>
      </c>
      <c r="B40" s="8">
        <f>B39/B31</f>
        <v/>
      </c>
      <c r="C40" s="8">
        <f>C39/C31</f>
        <v/>
      </c>
      <c r="D40" s="8">
        <f>D39/D31</f>
        <v/>
      </c>
      <c r="E40" s="8">
        <f>E39/E31</f>
        <v/>
      </c>
      <c r="F40" s="8">
        <f>F39/F31</f>
        <v/>
      </c>
    </row>
    <row r="41">
      <c r="A41" t="inlineStr">
        <is>
          <t>Discount Factor</t>
        </is>
      </c>
      <c r="B41" s="9">
        <f>1/(1+$B$15)^1</f>
        <v/>
      </c>
      <c r="C41" s="9">
        <f>1/(1+$B$15)^2</f>
        <v/>
      </c>
      <c r="D41" s="9">
        <f>1/(1+$B$15)^3</f>
        <v/>
      </c>
      <c r="E41" s="9">
        <f>1/(1+$B$15)^4</f>
        <v/>
      </c>
      <c r="F41" s="9">
        <f>1/(1+$B$15)^5</f>
        <v/>
      </c>
    </row>
    <row r="42">
      <c r="A42" t="inlineStr">
        <is>
          <t>PV of FCF</t>
        </is>
      </c>
      <c r="B42" s="5">
        <f>B39*B41</f>
        <v/>
      </c>
      <c r="C42" s="5">
        <f>C39*C41</f>
        <v/>
      </c>
      <c r="D42" s="5">
        <f>D39*D41</f>
        <v/>
      </c>
      <c r="E42" s="5">
        <f>E39*E41</f>
        <v/>
      </c>
      <c r="F42" s="5">
        <f>F39*F41</f>
        <v/>
      </c>
    </row>
    <row r="44">
      <c r="A44" s="3" t="inlineStr">
        <is>
          <t>VALUATION</t>
        </is>
      </c>
    </row>
    <row r="45">
      <c r="A45" t="inlineStr">
        <is>
          <t>Sum of PV of FCF (Yrs 1-5)</t>
        </is>
      </c>
      <c r="B45" s="5">
        <f>SUM(B42:F42)</f>
        <v/>
      </c>
    </row>
    <row r="46">
      <c r="A46" t="inlineStr">
        <is>
          <t>Terminal FCF (Year 6 = Y5 x (1+g))</t>
        </is>
      </c>
      <c r="B46" s="5">
        <f>F39*(1+$B$16)</f>
        <v/>
      </c>
    </row>
    <row r="47">
      <c r="A47" t="inlineStr">
        <is>
          <t>Gordon Terminal Value</t>
        </is>
      </c>
      <c r="B47" s="5">
        <f>B46/($B$15-$B$16)</f>
        <v/>
      </c>
    </row>
    <row r="48">
      <c r="A48" t="inlineStr">
        <is>
          <t>Exit-Multiple Cap Value (x Year-5 EBITDA)</t>
        </is>
      </c>
      <c r="B48" s="5">
        <f>$B$17*F32</f>
        <v/>
      </c>
    </row>
    <row r="49">
      <c r="A49" t="inlineStr">
        <is>
          <t>Terminal Value (lower of the two)</t>
        </is>
      </c>
      <c r="B49" s="5">
        <f>MIN(B47,B48)</f>
        <v/>
      </c>
    </row>
    <row r="50">
      <c r="A50" t="inlineStr">
        <is>
          <t>PV of Terminal Value</t>
        </is>
      </c>
      <c r="B50" s="5">
        <f>B49*F41</f>
        <v/>
      </c>
    </row>
    <row r="51">
      <c r="A51" t="inlineStr">
        <is>
          <t>Enterprise Value</t>
        </is>
      </c>
      <c r="B51" s="5">
        <f>B45+B50</f>
        <v/>
      </c>
    </row>
    <row r="52">
      <c r="A52" t="inlineStr">
        <is>
          <t>Less: Net Debt / (Net Cash)</t>
        </is>
      </c>
      <c r="B52" s="5">
        <f>B9</f>
        <v/>
      </c>
    </row>
    <row r="53">
      <c r="A53" t="inlineStr">
        <is>
          <t>Equity Value (pre-NCI)</t>
        </is>
      </c>
      <c r="B53" s="5">
        <f>B51-B52</f>
        <v/>
      </c>
    </row>
    <row r="54">
      <c r="A54" t="inlineStr">
        <is>
          <t>Less: NCI Share of Equity Value</t>
        </is>
      </c>
      <c r="B54" s="5">
        <f>B53*$B$13</f>
        <v/>
      </c>
    </row>
    <row r="55">
      <c r="A55" t="inlineStr">
        <is>
          <t>Equity Value Attributable to Parent</t>
        </is>
      </c>
      <c r="B55" s="5">
        <f>B53-B54</f>
        <v/>
      </c>
    </row>
    <row r="56">
      <c r="A56" s="10" t="inlineStr">
        <is>
          <t>INTRINSIC VALUE / SHARE (NZD)</t>
        </is>
      </c>
      <c r="B56" s="11">
        <f>B55/$B$6</f>
        <v/>
      </c>
    </row>
    <row r="58">
      <c r="A58" s="3" t="inlineStr">
        <is>
          <t>ENTRY PRICE (15% IRR Target)</t>
        </is>
      </c>
    </row>
    <row r="59">
      <c r="A59" t="inlineStr">
        <is>
          <t>PV of Yrs 1-5 FCF @15%</t>
        </is>
      </c>
      <c r="B59" s="5">
        <f>NPV(0.15,B39:F39)</f>
        <v/>
      </c>
    </row>
    <row r="60">
      <c r="A60" t="inlineStr">
        <is>
          <t>PV of Terminal Value @15%</t>
        </is>
      </c>
      <c r="B60" s="5">
        <f>B49/(1.15^5)</f>
        <v/>
      </c>
    </row>
    <row r="61">
      <c r="A61" t="inlineStr">
        <is>
          <t>Less: Net Debt / (Net Cash)</t>
        </is>
      </c>
      <c r="B61" s="5">
        <f>B9</f>
        <v/>
      </c>
    </row>
    <row r="62">
      <c r="A62" t="inlineStr">
        <is>
          <t>Equity Value at Hurdle (pre-NCI)</t>
        </is>
      </c>
      <c r="B62" s="5">
        <f>B59+B60-B61</f>
        <v/>
      </c>
    </row>
    <row r="63">
      <c r="A63" t="inlineStr">
        <is>
          <t>Less: NCI Share</t>
        </is>
      </c>
      <c r="B63" s="5">
        <f>B62*$B$13</f>
        <v/>
      </c>
    </row>
    <row r="64">
      <c r="A64" t="inlineStr">
        <is>
          <t>Equity Value at Hurdle (Parent)</t>
        </is>
      </c>
      <c r="B64" s="5">
        <f>B62-B63</f>
        <v/>
      </c>
    </row>
    <row r="65">
      <c r="A65" s="10" t="inlineStr">
        <is>
          <t>ENTRY PRICE (15% CAGR target, NZD)</t>
        </is>
      </c>
      <c r="B65" s="11">
        <f>B64/$B$6</f>
        <v/>
      </c>
    </row>
    <row r="67">
      <c r="A67" s="10" t="inlineStr">
        <is>
          <t>Upside to Intrinsic Value</t>
        </is>
      </c>
      <c r="B67" s="8">
        <f>(B56-B5)/B5</f>
        <v/>
      </c>
    </row>
    <row r="68">
      <c r="A68" s="10" t="inlineStr">
        <is>
          <t>Discount of Current Price to Entry Price</t>
        </is>
      </c>
      <c r="B68" s="8">
        <f>(B5-B65)/B5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Scenario Comparison</t>
        </is>
      </c>
    </row>
    <row r="3">
      <c r="A3" s="12" t="inlineStr">
        <is>
          <t>Metric</t>
        </is>
      </c>
      <c r="B3" s="7" t="inlineStr">
        <is>
          <t>Bear</t>
        </is>
      </c>
      <c r="C3" s="7" t="inlineStr">
        <is>
          <t>Base</t>
        </is>
      </c>
      <c r="D3" s="7" t="inlineStr">
        <is>
          <t>Bull</t>
        </is>
      </c>
    </row>
    <row r="4">
      <c r="A4" t="inlineStr">
        <is>
          <t>WACC</t>
        </is>
      </c>
      <c r="B4" s="8" t="n">
        <v>0.16</v>
      </c>
      <c r="C4" s="8" t="n">
        <v>0.145</v>
      </c>
      <c r="D4" s="8" t="n">
        <v>0.13</v>
      </c>
    </row>
    <row r="5">
      <c r="A5" t="inlineStr">
        <is>
          <t>Terminal Growth</t>
        </is>
      </c>
      <c r="B5" s="8" t="n">
        <v>0.02</v>
      </c>
      <c r="C5" s="8" t="n">
        <v>0.0275</v>
      </c>
      <c r="D5" s="8" t="n">
        <v>0.0325</v>
      </c>
    </row>
    <row r="6">
      <c r="A6" t="inlineStr">
        <is>
          <t>Year 1 Growth</t>
        </is>
      </c>
      <c r="B6" s="8" t="n">
        <v>0.04</v>
      </c>
      <c r="C6" s="8" t="n">
        <v>0.09</v>
      </c>
      <c r="D6" s="8" t="n">
        <v>0.14</v>
      </c>
    </row>
    <row r="7">
      <c r="A7" t="inlineStr">
        <is>
          <t>Year 5 Growth</t>
        </is>
      </c>
      <c r="B7" s="8" t="n">
        <v>0.015</v>
      </c>
      <c r="C7" s="8" t="n">
        <v>0.045</v>
      </c>
      <c r="D7" s="8" t="n">
        <v>0.065</v>
      </c>
    </row>
    <row r="8">
      <c r="A8" t="inlineStr">
        <is>
          <t>Year 5 EBITDA Margin</t>
        </is>
      </c>
      <c r="B8" s="8" t="n">
        <v>0.192</v>
      </c>
      <c r="C8" s="8" t="n">
        <v>0.23</v>
      </c>
      <c r="D8" s="8" t="n">
        <v>0.252</v>
      </c>
    </row>
    <row r="9">
      <c r="A9" t="inlineStr">
        <is>
          <t>Year 5 Owner FCF (000s)</t>
        </is>
      </c>
      <c r="B9" s="5" t="n">
        <v>3207.2</v>
      </c>
      <c r="C9" s="5" t="n">
        <v>4663.7</v>
      </c>
      <c r="D9" s="5" t="n">
        <v>5987.7</v>
      </c>
    </row>
    <row r="10">
      <c r="A10" t="inlineStr">
        <is>
          <t>Terminal Value (000s)</t>
        </is>
      </c>
      <c r="B10" s="5" t="n">
        <v>23366.7</v>
      </c>
      <c r="C10" s="5" t="n">
        <v>40782.6</v>
      </c>
      <c r="D10" s="5" t="n">
        <v>63408.2</v>
      </c>
    </row>
    <row r="11">
      <c r="A11" t="inlineStr">
        <is>
          <t>Terminal Value Bound</t>
        </is>
      </c>
      <c r="B11" s="13" t="inlineStr">
        <is>
          <t>gordon</t>
        </is>
      </c>
      <c r="C11" s="13" t="inlineStr">
        <is>
          <t>gordon</t>
        </is>
      </c>
      <c r="D11" s="13" t="inlineStr">
        <is>
          <t>gordon</t>
        </is>
      </c>
    </row>
    <row r="12">
      <c r="A12" t="inlineStr">
        <is>
          <t>Enterprise Value (000s)</t>
        </is>
      </c>
      <c r="B12" s="5" t="n">
        <v>21295.7</v>
      </c>
      <c r="C12" s="5" t="n">
        <v>33915.6</v>
      </c>
      <c r="D12" s="5" t="n">
        <v>50519.1</v>
      </c>
    </row>
    <row r="13">
      <c r="A13" t="inlineStr">
        <is>
          <t>Equity Value Parent (000s)</t>
        </is>
      </c>
      <c r="B13" s="5" t="n">
        <v>21116.4</v>
      </c>
      <c r="C13" s="5" t="n">
        <v>32650.3</v>
      </c>
      <c r="D13" s="5" t="n">
        <v>47824.9</v>
      </c>
    </row>
    <row r="14">
      <c r="A14" t="inlineStr">
        <is>
          <t>Intrinsic Value / Share</t>
        </is>
      </c>
      <c r="B14" s="14" t="n">
        <v>2.12</v>
      </c>
      <c r="C14" s="14" t="n">
        <v>3.28</v>
      </c>
      <c r="D14" s="14" t="n">
        <v>4.8</v>
      </c>
    </row>
    <row r="15">
      <c r="A15" t="inlineStr">
        <is>
          <t>Upside / (Downside) vs $4.47</t>
        </is>
      </c>
      <c r="B15" s="8" t="n">
        <v>-0.525</v>
      </c>
      <c r="C15" s="8" t="n">
        <v>-0.266</v>
      </c>
      <c r="D15" s="8" t="n">
        <v>0.075</v>
      </c>
    </row>
    <row r="16">
      <c r="A16" t="inlineStr">
        <is>
          <t>Entry Price (15% IRR)</t>
        </is>
      </c>
      <c r="B16" s="14" t="n">
        <v>2.19</v>
      </c>
      <c r="C16" s="14" t="n">
        <v>3.22</v>
      </c>
      <c r="D16" s="14" t="n">
        <v>4.46</v>
      </c>
    </row>
    <row r="17">
      <c r="A17" t="inlineStr">
        <is>
          <t>Terminal % of EV</t>
        </is>
      </c>
      <c r="B17" s="8" t="n">
        <v>0.522</v>
      </c>
      <c r="C17" s="8" t="n">
        <v>0.611</v>
      </c>
      <c r="D17" s="8" t="n">
        <v>0.6809999999999999</v>
      </c>
    </row>
    <row r="18">
      <c r="A18" t="inlineStr">
        <is>
          <t>Implied Exit Multiple (x FCF)</t>
        </is>
      </c>
      <c r="B18" s="5" t="n">
        <v>7.29</v>
      </c>
      <c r="C18" s="5" t="n">
        <v>8.74</v>
      </c>
      <c r="D18" s="5" t="n">
        <v>10.59</v>
      </c>
    </row>
    <row r="20">
      <c r="A20" s="10" t="inlineStr">
        <is>
          <t>Probability-Weighted IV (25/50/25)</t>
        </is>
      </c>
      <c r="B20" s="15" t="n">
        <v>3.37</v>
      </c>
    </row>
    <row r="23">
      <c r="A23" s="3" t="inlineStr">
        <is>
          <t>Year-by-Year Owner FCF Projections (000s NZD)</t>
        </is>
      </c>
    </row>
    <row r="24">
      <c r="A24" t="inlineStr">
        <is>
          <t>Scenario / Year</t>
        </is>
      </c>
      <c r="B24" s="7" t="inlineStr">
        <is>
          <t>FY2027</t>
        </is>
      </c>
      <c r="C24" s="7" t="inlineStr">
        <is>
          <t>FY2028</t>
        </is>
      </c>
      <c r="D24" s="7" t="inlineStr">
        <is>
          <t>FY2029</t>
        </is>
      </c>
      <c r="E24" s="7" t="inlineStr">
        <is>
          <t>FY2030</t>
        </is>
      </c>
      <c r="F24" s="7" t="inlineStr">
        <is>
          <t>FY2031</t>
        </is>
      </c>
    </row>
    <row r="25">
      <c r="A25" s="10" t="inlineStr">
        <is>
          <t>Bear</t>
        </is>
      </c>
      <c r="B25" s="5" t="n">
        <v>3036.4</v>
      </c>
      <c r="C25" s="5" t="n">
        <v>3074.5</v>
      </c>
      <c r="D25" s="5" t="n">
        <v>3115.6</v>
      </c>
      <c r="E25" s="5" t="n">
        <v>3159.7</v>
      </c>
      <c r="F25" s="5" t="n">
        <v>3207.2</v>
      </c>
    </row>
    <row r="26">
      <c r="A26" s="10" t="inlineStr">
        <is>
          <t>Base</t>
        </is>
      </c>
      <c r="B26" s="5" t="n">
        <v>3249.7</v>
      </c>
      <c r="C26" s="5" t="n">
        <v>3638.8</v>
      </c>
      <c r="D26" s="5" t="n">
        <v>4013.2</v>
      </c>
      <c r="E26" s="5" t="n">
        <v>4358.7</v>
      </c>
      <c r="F26" s="5" t="n">
        <v>4663.7</v>
      </c>
    </row>
    <row r="27">
      <c r="A27" s="10" t="inlineStr">
        <is>
          <t>Bull</t>
        </is>
      </c>
      <c r="B27" s="5" t="n">
        <v>3397.3</v>
      </c>
      <c r="C27" s="5" t="n">
        <v>4079.2</v>
      </c>
      <c r="D27" s="5" t="n">
        <v>4791.4</v>
      </c>
      <c r="E27" s="5" t="n">
        <v>5432.8</v>
      </c>
      <c r="F27" s="5" t="n">
        <v>5987.7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Sensitivity Analysis - Base Case Intrinsic Value</t>
        </is>
      </c>
    </row>
    <row r="2">
      <c r="A2" s="2" t="inlineStr">
        <is>
          <t>Rows = WACC, Columns = Terminal Growth Rate</t>
        </is>
      </c>
    </row>
    <row r="4">
      <c r="A4" s="12" t="inlineStr">
        <is>
          <t>WACC \ Term G</t>
        </is>
      </c>
      <c r="B4" s="16" t="n">
        <v>0.0175</v>
      </c>
      <c r="C4" s="16" t="n">
        <v>0.0225</v>
      </c>
      <c r="D4" s="16" t="n">
        <v>0.0275</v>
      </c>
      <c r="E4" s="16" t="n">
        <v>0.0325</v>
      </c>
      <c r="F4" s="16" t="n">
        <v>0.0375</v>
      </c>
    </row>
    <row r="5">
      <c r="A5" s="17" t="n">
        <v>0.125</v>
      </c>
      <c r="B5" s="14" t="n">
        <v>3.69</v>
      </c>
      <c r="C5" s="14" t="n">
        <v>3.81</v>
      </c>
      <c r="D5" s="14" t="n">
        <v>3.95</v>
      </c>
      <c r="E5" s="14" t="n">
        <v>4.09</v>
      </c>
      <c r="F5" s="14" t="n">
        <v>4.26</v>
      </c>
    </row>
    <row r="6">
      <c r="A6" s="17" t="n">
        <v>0.135</v>
      </c>
      <c r="B6" s="14" t="n">
        <v>3.38</v>
      </c>
      <c r="C6" s="14" t="n">
        <v>3.48</v>
      </c>
      <c r="D6" s="14" t="n">
        <v>3.58</v>
      </c>
      <c r="E6" s="14" t="n">
        <v>3.7</v>
      </c>
      <c r="F6" s="14" t="n">
        <v>3.83</v>
      </c>
    </row>
    <row r="7">
      <c r="A7" s="17" t="n">
        <v>0.145</v>
      </c>
      <c r="B7" s="14" t="n">
        <v>3.11</v>
      </c>
      <c r="C7" s="14" t="n">
        <v>3.19</v>
      </c>
      <c r="D7" s="14" t="n">
        <v>3.28</v>
      </c>
      <c r="E7" s="14" t="n">
        <v>3.37</v>
      </c>
      <c r="F7" s="14" t="n">
        <v>3.48</v>
      </c>
    </row>
    <row r="8">
      <c r="A8" s="17" t="n">
        <v>0.155</v>
      </c>
      <c r="B8" s="14" t="n">
        <v>2.89</v>
      </c>
      <c r="C8" s="14" t="n">
        <v>2.95</v>
      </c>
      <c r="D8" s="14" t="n">
        <v>3.03</v>
      </c>
      <c r="E8" s="14" t="n">
        <v>3.1</v>
      </c>
      <c r="F8" s="14" t="n">
        <v>3.19</v>
      </c>
    </row>
    <row r="9">
      <c r="A9" s="17" t="n">
        <v>0.165</v>
      </c>
      <c r="B9" s="14" t="n">
        <v>2.69</v>
      </c>
      <c r="C9" s="14" t="n">
        <v>2.75</v>
      </c>
      <c r="D9" s="14" t="n">
        <v>2.81</v>
      </c>
      <c r="E9" s="14" t="n">
        <v>2.87</v>
      </c>
      <c r="F9" s="14" t="n">
        <v>2.94</v>
      </c>
    </row>
    <row r="12">
      <c r="A12" s="2" t="inlineStr">
        <is>
          <t>Note: matrix computed using base-case FCF path (component-built), the EBITDA exit-multiple cap (10.59x) as terminal-value ceiling, and NCI-adjusted equity value / current shares outstanding. Gordon growth binds throughout this range (cap never constrains).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FCF Quality Reconciliation - Reported to Owner FCF</t>
        </is>
      </c>
    </row>
    <row r="3">
      <c r="A3" t="inlineStr"/>
      <c r="B3" s="7" t="inlineStr">
        <is>
          <t>FY2021</t>
        </is>
      </c>
      <c r="C3" s="7" t="inlineStr">
        <is>
          <t>FY2022</t>
        </is>
      </c>
      <c r="D3" s="7" t="inlineStr">
        <is>
          <t>FY2023</t>
        </is>
      </c>
      <c r="E3" s="7" t="inlineStr">
        <is>
          <t>FY2024</t>
        </is>
      </c>
      <c r="F3" s="7" t="inlineStr">
        <is>
          <t>FY2025</t>
        </is>
      </c>
      <c r="G3" s="7" t="inlineStr">
        <is>
          <t>FY2026</t>
        </is>
      </c>
    </row>
    <row r="4">
      <c r="A4" t="inlineStr">
        <is>
          <t>Reported FCF (OCF - capex)</t>
        </is>
      </c>
      <c r="B4" s="5" t="n">
        <v>1550</v>
      </c>
      <c r="C4" s="5" t="n">
        <v>1037</v>
      </c>
      <c r="D4" s="5" t="n">
        <v>734</v>
      </c>
      <c r="E4" s="5" t="n">
        <v>2528</v>
      </c>
      <c r="F4" s="5" t="n">
        <v>3549</v>
      </c>
      <c r="G4" s="5" t="n">
        <v>3830</v>
      </c>
    </row>
    <row r="5">
      <c r="A5" t="inlineStr">
        <is>
          <t>Less: Lease Principal Repayments</t>
        </is>
      </c>
      <c r="B5" s="5" t="inlineStr">
        <is>
          <t>n/a</t>
        </is>
      </c>
      <c r="C5" s="5" t="inlineStr">
        <is>
          <t>n/a</t>
        </is>
      </c>
      <c r="D5" s="5" t="inlineStr">
        <is>
          <t>n/a</t>
        </is>
      </c>
      <c r="E5" s="5" t="inlineStr">
        <is>
          <t>n/a</t>
        </is>
      </c>
      <c r="F5" s="5" t="n">
        <v>308</v>
      </c>
      <c r="G5" s="5" t="n">
        <v>335</v>
      </c>
    </row>
    <row r="6">
      <c r="A6" t="inlineStr">
        <is>
          <t>Less: SBC (negligible / credit)</t>
        </is>
      </c>
      <c r="B6" s="5" t="n">
        <v>0</v>
      </c>
      <c r="C6" s="5" t="n">
        <v>13</v>
      </c>
      <c r="D6" s="5" t="n">
        <v>8</v>
      </c>
      <c r="E6" s="5" t="n">
        <v>12</v>
      </c>
      <c r="F6" s="5" t="n">
        <v>13</v>
      </c>
      <c r="G6" s="5" t="n">
        <v>-37</v>
      </c>
    </row>
    <row r="7">
      <c r="A7" t="inlineStr">
        <is>
          <t>Less: Interest Income (not deducted - immaterial)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</row>
    <row r="8">
      <c r="A8" s="10" t="inlineStr">
        <is>
          <t>Owner FCF (= Reported FCF - Lease Principal)</t>
        </is>
      </c>
      <c r="B8" s="5" t="n">
        <v>1550</v>
      </c>
      <c r="C8" s="5" t="n">
        <v>1037</v>
      </c>
      <c r="D8" s="5" t="n">
        <v>734</v>
      </c>
      <c r="E8" s="5" t="n">
        <v>2528</v>
      </c>
      <c r="F8" s="5">
        <f>F4-F5</f>
        <v/>
      </c>
      <c r="G8" s="5">
        <f>G4-G5</f>
        <v/>
      </c>
    </row>
    <row r="10">
      <c r="A10" t="inlineStr">
        <is>
          <t>Reported FCF Margin %</t>
        </is>
      </c>
      <c r="B10" s="8">
        <f>B4/5490</f>
        <v/>
      </c>
      <c r="C10" s="8">
        <f>C4/5900</f>
        <v/>
      </c>
      <c r="D10" s="8">
        <f>D4/11217</f>
        <v/>
      </c>
      <c r="E10" s="8">
        <f>E4/15151</f>
        <v/>
      </c>
      <c r="F10" s="8">
        <f>F4/19081</f>
        <v/>
      </c>
      <c r="G10" s="8">
        <f>G4/22488</f>
        <v/>
      </c>
    </row>
    <row r="11">
      <c r="A11" t="inlineStr">
        <is>
          <t>Owner FCF Margin %</t>
        </is>
      </c>
      <c r="B11" s="8">
        <f>B8/5490</f>
        <v/>
      </c>
      <c r="C11" s="8">
        <f>C8/5900</f>
        <v/>
      </c>
      <c r="D11" s="8">
        <f>D8/11217</f>
        <v/>
      </c>
      <c r="E11" s="8">
        <f>E8/15151</f>
        <v/>
      </c>
      <c r="F11" s="8">
        <f>F8/19081</f>
        <v/>
      </c>
      <c r="G11" s="8">
        <f>G8/22488</f>
        <v/>
      </c>
    </row>
    <row r="13">
      <c r="A13" s="3" t="inlineStr">
        <is>
          <t>Memo: Effective Cash Tax Rate %</t>
        </is>
      </c>
    </row>
    <row r="14">
      <c r="B14" s="13" t="inlineStr">
        <is>
          <t>n/a</t>
        </is>
      </c>
      <c r="C14" s="13" t="inlineStr">
        <is>
          <t>n/a</t>
        </is>
      </c>
      <c r="D14" s="13" t="inlineStr">
        <is>
          <t>n/a</t>
        </is>
      </c>
      <c r="E14" s="13" t="inlineStr">
        <is>
          <t>n/a</t>
        </is>
      </c>
      <c r="F14" s="8" t="n">
        <v>0.292</v>
      </c>
      <c r="G14" s="8" t="n">
        <v>0.2938085446652959</v>
      </c>
    </row>
    <row r="15">
      <c r="A15" s="2" t="inlineStr">
        <is>
          <t>Note: FY26 effective rate 29.4% vs statutory 28% - no valuation-allowance distortion; held flat at 28% (statutory) in projections.</t>
        </is>
      </c>
    </row>
    <row r="17">
      <c r="A17" s="2" t="inlineStr">
        <is>
          <t>Memo: SBC is negligible/negative throughout TAH history (peak $185k FY2019, -$37k forfeiture credit FY2026). No material owner-FCF adjustment for SBC. Interest income ($21k FY2026) is immaterial vs owner FCF and net cash is &lt;1x owner FCF, so NOT deducted (unlike cash-rich US tech names in this repo).</t>
        </is>
      </c>
    </row>
    <row r="18">
      <c r="A18" s="2" t="inlineStr">
        <is>
          <t>Memo: value-per-share if SBC treated as fully non-cash is essentially IDENTICAL to the reported valuation (SBC is a rounding error / net credit for TAH) - no material spread exists, unlike SBC-heavy names.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Historical Multiples &amp; Sanity Check</t>
        </is>
      </c>
    </row>
    <row r="3">
      <c r="A3" s="3" t="inlineStr">
        <is>
          <t>FY-End Multiples</t>
        </is>
      </c>
    </row>
    <row r="4">
      <c r="A4" s="12" t="inlineStr">
        <is>
          <t>Year</t>
        </is>
      </c>
      <c r="B4" s="7" t="inlineStr">
        <is>
          <t>FY2021</t>
        </is>
      </c>
      <c r="C4" s="7" t="inlineStr">
        <is>
          <t>FY2022</t>
        </is>
      </c>
      <c r="D4" s="7" t="inlineStr">
        <is>
          <t>FY2023</t>
        </is>
      </c>
      <c r="E4" s="7" t="inlineStr">
        <is>
          <t>FY2024</t>
        </is>
      </c>
      <c r="F4" s="7" t="inlineStr">
        <is>
          <t>FY2025</t>
        </is>
      </c>
      <c r="G4" s="7" t="inlineStr">
        <is>
          <t>FY2026</t>
        </is>
      </c>
    </row>
    <row r="5">
      <c r="A5" t="inlineStr">
        <is>
          <t>P/E</t>
        </is>
      </c>
      <c r="B5" s="18" t="n">
        <v>21.27</v>
      </c>
      <c r="C5" s="18" t="n">
        <v>24.07</v>
      </c>
      <c r="D5" s="18" t="n">
        <v>36.45</v>
      </c>
      <c r="E5" s="18" t="n">
        <v>12.01</v>
      </c>
      <c r="F5" s="18" t="n">
        <v>14.34</v>
      </c>
      <c r="G5" s="18" t="n">
        <v>17.44</v>
      </c>
    </row>
    <row r="6">
      <c r="A6" t="inlineStr">
        <is>
          <t>EV/EBITDA</t>
        </is>
      </c>
      <c r="B6" s="18" t="n">
        <v>11.97</v>
      </c>
      <c r="C6" s="18" t="n">
        <v>16.28</v>
      </c>
      <c r="D6" s="18" t="n">
        <v>12.85</v>
      </c>
      <c r="E6" s="18" t="n">
        <v>6.39</v>
      </c>
      <c r="F6" s="18" t="n">
        <v>7.38</v>
      </c>
      <c r="G6" s="18" t="n">
        <v>8.65</v>
      </c>
    </row>
    <row r="7">
      <c r="A7" t="inlineStr">
        <is>
          <t>P/Sales</t>
        </is>
      </c>
      <c r="B7" s="18" t="n">
        <v>4.02</v>
      </c>
      <c r="C7" s="18" t="n">
        <v>4.77</v>
      </c>
      <c r="D7" s="18" t="n">
        <v>1.43</v>
      </c>
      <c r="E7" s="18" t="n">
        <v>1.11</v>
      </c>
      <c r="F7" s="18" t="n">
        <v>1.76</v>
      </c>
      <c r="G7" s="18" t="n">
        <v>2.19</v>
      </c>
    </row>
    <row r="8">
      <c r="A8" t="inlineStr">
        <is>
          <t>P/Book</t>
        </is>
      </c>
      <c r="B8" s="18" t="n">
        <v>11.16</v>
      </c>
      <c r="C8" s="18" t="n">
        <v>10.44</v>
      </c>
      <c r="D8" s="18" t="n">
        <v>6.28</v>
      </c>
      <c r="E8" s="18" t="n">
        <v>5.77</v>
      </c>
      <c r="F8" s="18" t="n">
        <v>8.449999999999999</v>
      </c>
      <c r="G8" s="18" t="n">
        <v>8.949999999999999</v>
      </c>
    </row>
    <row r="10">
      <c r="A10" s="3" t="inlineStr">
        <is>
          <t>Historical Averages (ex-outliers) &amp; Implied at IV</t>
        </is>
      </c>
    </row>
    <row r="11">
      <c r="A11" s="12" t="inlineStr">
        <is>
          <t>Metric</t>
        </is>
      </c>
      <c r="B11" s="7" t="inlineStr">
        <is>
          <t>Hist Avg</t>
        </is>
      </c>
      <c r="C11" s="7" t="inlineStr">
        <is>
          <t>Hist Max</t>
        </is>
      </c>
      <c r="D11" s="7" t="inlineStr">
        <is>
          <t>Implied @ Base IV</t>
        </is>
      </c>
      <c r="E11" s="7" t="inlineStr">
        <is>
          <t>Implied @ Current Price</t>
        </is>
      </c>
    </row>
    <row r="12">
      <c r="A12" t="inlineStr">
        <is>
          <t>P/E</t>
        </is>
      </c>
      <c r="B12" s="18" t="n">
        <v>17.83</v>
      </c>
      <c r="C12" s="18" t="n">
        <v>24.07</v>
      </c>
      <c r="D12" s="18" t="n">
        <v>11.56</v>
      </c>
      <c r="E12" s="18" t="n">
        <v>15.75</v>
      </c>
    </row>
    <row r="13">
      <c r="A13" t="inlineStr">
        <is>
          <t>EV/EBITDA</t>
        </is>
      </c>
      <c r="B13" s="18" t="n">
        <v>10.59</v>
      </c>
      <c r="C13" s="18" t="n">
        <v>16.28</v>
      </c>
      <c r="D13" s="18" t="n">
        <v>5.37</v>
      </c>
      <c r="E13" s="18" t="n">
        <v>7.43</v>
      </c>
    </row>
    <row r="14">
      <c r="A14" t="inlineStr">
        <is>
          <t>P/Sales</t>
        </is>
      </c>
      <c r="B14" s="18" t="n">
        <v>2.54</v>
      </c>
      <c r="C14" s="18" t="n">
        <v>4.77</v>
      </c>
      <c r="D14" s="18" t="n">
        <v>1.45</v>
      </c>
      <c r="E14" s="18" t="n">
        <v>1.98</v>
      </c>
    </row>
    <row r="15">
      <c r="A15" t="inlineStr">
        <is>
          <t>P/Book</t>
        </is>
      </c>
      <c r="B15" s="18" t="n">
        <v>8.51</v>
      </c>
      <c r="C15" s="18" t="n">
        <v>11.16</v>
      </c>
      <c r="D15" s="18" t="n">
        <v>5.93</v>
      </c>
      <c r="E15" s="18" t="n">
        <v>8.08</v>
      </c>
    </row>
    <row r="17">
      <c r="A17" s="10" t="inlineStr">
        <is>
          <t>Sanity Check Result:</t>
        </is>
      </c>
      <c r="B17" t="inlineStr">
        <is>
          <t>PASS. Base-case IV of $3.28 impl...</t>
        </is>
      </c>
    </row>
    <row r="18">
      <c r="A18" s="2" t="inlineStr">
        <is>
          <t>PASS - no trip rules fired. See Model_Info sheet / JSON for full narrative.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9" t="inlineStr">
        <is>
          <t>TAH.NZ DCF Model - Provenance &amp; Methodology</t>
        </is>
      </c>
    </row>
    <row r="2">
      <c r="A2" s="20" t="inlineStr"/>
    </row>
    <row r="3">
      <c r="A3" s="20" t="inlineStr">
        <is>
          <t>Built by: Claude agent (DCF valuation workflow), regenerated from FY2026 audited annual report.</t>
        </is>
      </c>
    </row>
    <row r="4">
      <c r="A4" s="20" t="inlineStr">
        <is>
          <t>Valuation date: 2026-08-01. Current price NZD $4.47 (live Yahoo Finance quote as of valuation date).</t>
        </is>
      </c>
    </row>
    <row r="5">
      <c r="A5" s="20" t="inlineStr">
        <is>
          <t>Data vintage: FY2026 audited Annual Report (year ended 31 March 2026, released 26 June 2026) is the latest full-year source.</t>
        </is>
      </c>
    </row>
    <row r="6">
      <c r="A6" s="20" t="inlineStr">
        <is>
          <t>Q1 FY27 trading update released 31 July 2026 was noted in the qualitative Analysis JSON but detailed figures were not yet available</t>
        </is>
      </c>
    </row>
    <row r="7">
      <c r="A7" s="20" t="inlineStr">
        <is>
          <t>in secondary sources at the time this model was built - NOT incorporated into the numerical projections.</t>
        </is>
      </c>
    </row>
    <row r="8">
      <c r="A8" s="20" t="inlineStr"/>
    </row>
    <row r="9">
      <c r="A9" s="21" t="inlineStr">
        <is>
          <t>KEY METHODOLOGY CHOICES:</t>
        </is>
      </c>
    </row>
    <row r="10">
      <c r="A10" s="20" t="inlineStr">
        <is>
          <t>1. Owner FCF = Reported FCF (OCF - capex) LESS lease principal repayments (IFRS16 financing-activity cash outflow).</t>
        </is>
      </c>
    </row>
    <row r="11">
      <c r="A11" s="20" t="inlineStr">
        <is>
          <t xml:space="preserve">   Lease liabilities ($2,255k) are EXCLUDED from net debt (treated as operating) - the cash cost is instead captured</t>
        </is>
      </c>
    </row>
    <row r="12">
      <c r="A12" s="20" t="inlineStr">
        <is>
          <t xml:space="preserve">   by deducting lease principal directly from the FCF line each year, modelled as ~1.2-1.4% of revenue.</t>
        </is>
      </c>
    </row>
    <row r="13">
      <c r="A13" s="20" t="inlineStr">
        <is>
          <t>2. Net debt computed on a BANK-DEBT-ONLY basis: bank loans $1,092k minus cash $2,901k = net cash of $1,809k.</t>
        </is>
      </c>
    </row>
    <row r="14">
      <c r="A14" s="20" t="inlineStr">
        <is>
          <t xml:space="preserve">   This excludes the $2,255k of lease liabilities per point 1 above.</t>
        </is>
      </c>
    </row>
    <row r="15">
      <c r="A15" s="20" t="inlineStr">
        <is>
          <t>3. SBC is negligible/negative at TAH (-$37k forfeiture credit in FY2026; never exceeded ~1% of revenue historically).</t>
        </is>
      </c>
    </row>
    <row r="16">
      <c r="A16" s="20" t="inlineStr">
        <is>
          <t xml:space="preserve">   No SBC adjustment applied to owner FCF. No dilution modelled - FY2026 diluted shares equal basic shares (9,954k),</t>
        </is>
      </c>
    </row>
    <row r="17">
      <c r="A17" s="20" t="inlineStr">
        <is>
          <t xml:space="preserve">   zero dilutive options outstanding at 31 March 2026.</t>
        </is>
      </c>
    </row>
    <row r="18">
      <c r="A18" s="20" t="inlineStr">
        <is>
          <t>4. Interest income ($21k FY2026) NOT deducted from owner FCF - net cash ($1,809k) is below the 1x-owner-FCF materiality</t>
        </is>
      </c>
    </row>
    <row r="19">
      <c r="A19" s="20" t="inlineStr">
        <is>
          <t xml:space="preserve">   threshold used elsewhere in this repo for cash-rich names, so the double-counting risk is immaterial here.</t>
        </is>
      </c>
    </row>
    <row r="20">
      <c r="A20" s="20" t="inlineStr">
        <is>
          <t>5. Non-controlling interests: TAH's four ARC subsidiaries (Hub Aged Care, ARC Health, Cicada Health, and other GP entities)</t>
        </is>
      </c>
    </row>
    <row r="21">
      <c r="A21" s="20" t="inlineStr">
        <is>
          <t xml:space="preserve">   are 70-80% owned. FY2026 NCI's share of consolidated profit was $266k of $3,091k (8.61%). Since the DCF capitalises</t>
        </is>
      </c>
    </row>
    <row r="22">
      <c r="A22" s="20" t="inlineStr">
        <is>
          <t xml:space="preserve">   100% of consolidated cash flow, this 8.61% is deducted from equity value before dividing by parent shares outstanding.</t>
        </is>
      </c>
    </row>
    <row r="23">
      <c r="A23" s="20" t="inlineStr">
        <is>
          <t>6. Component-built FCF margin: EBITDA margin (starts FY26-compressed 21.3% base case, recovers to 23.0% by Year 5) minus</t>
        </is>
      </c>
    </row>
    <row r="24">
      <c r="A24" s="20" t="inlineStr">
        <is>
          <t xml:space="preserve">   D&amp;A, taxed at 28% (NZ statutory, close to FY26's 29.4% effective rate - no valuation-allowance ramp needed), plus D&amp;A</t>
        </is>
      </c>
    </row>
    <row r="25">
      <c r="A25" s="20" t="inlineStr">
        <is>
          <t xml:space="preserve">   back, minus capex (~0.9% of revenue), minus working capital (15% capture of YoY revenue GROWTH, not flat % of revenue),</t>
        </is>
      </c>
    </row>
    <row r="26">
      <c r="A26" s="20" t="inlineStr">
        <is>
          <t xml:space="preserve">   minus lease principal. NOT a flat FY2026 margin carried forward.</t>
        </is>
      </c>
    </row>
    <row r="27">
      <c r="A27" s="20" t="inlineStr">
        <is>
          <t>7. Horizon: 5 years (not 10). Base-case Year-5 owner-FCF margin (15.07%) is close to the FY2026 actual (15.54%) - margins</t>
        </is>
      </c>
    </row>
    <row r="28">
      <c r="A28" s="20" t="inlineStr">
        <is>
          <t xml:space="preserve">   are not still ramping materially, so the 10-year extension test in the workflow does not trigger.</t>
        </is>
      </c>
    </row>
    <row r="29">
      <c r="A29" s="20" t="inlineStr">
        <is>
          <t>8. Terminal value = LOWER of Gordon growth (at WACC) and an EBITDA exit-multiple cap (10yr historical EV/EBITDA:</t>
        </is>
      </c>
    </row>
    <row r="30">
      <c r="A30" s="20" t="inlineStr">
        <is>
          <t xml:space="preserve">   bear=min 6.39x, base=avg 10.59x, bull=max 16.28x, applied to Year-5 EBITDA). Gordon binds in ALL scenarios because</t>
        </is>
      </c>
    </row>
    <row r="31">
      <c r="A31" s="20" t="inlineStr">
        <is>
          <t xml:space="preserve">   TAH's EBITDA is roughly double its owner FCF, making the EBITDA-based cap much higher than the FCF-based Gordon value.</t>
        </is>
      </c>
    </row>
    <row r="32">
      <c r="A32" s="20" t="inlineStr">
        <is>
          <t>9. Entry price uses the FIXED formula: PV of Yrs 1-5 owner FCF at 15% hurdle + PV of Gordon/cap-bound terminal value</t>
        </is>
      </c>
    </row>
    <row r="33">
      <c r="A33" s="20" t="inlineStr">
        <is>
          <t xml:space="preserve">   (computed at WACC) discounted at 15%, less net debt, less NCI share, divided by shares outstanding. NOT the prior</t>
        </is>
      </c>
    </row>
    <row r="34">
      <c r="A34" s="20" t="inlineStr">
        <is>
          <t xml:space="preserve">   (broken) terminal-value-only formula used in the 2026-06-25 DCF, whose entry prices were materially understated.</t>
        </is>
      </c>
    </row>
    <row r="35">
      <c r="A35" s="20" t="inlineStr">
        <is>
          <t>10. Historical multiples computed directly from FY-end (31 March) closing prices FY2021-FY2026 (6 data points, since</t>
        </is>
      </c>
    </row>
    <row r="36">
      <c r="A36" s="20" t="inlineStr">
        <is>
          <t xml:space="preserve">    TAH listed NZX February 2021) x period-end shares outstanding, using TOTAL debt (incl. leases, since a bank-debt-only</t>
        </is>
      </c>
    </row>
    <row r="37">
      <c r="A37" s="20" t="inlineStr">
        <is>
          <t xml:space="preserve">    breakdown is not available for all historical years) minus cash for EV. FY2023 P/E (36.45x) is an acquisition-cost</t>
        </is>
      </c>
    </row>
    <row r="38">
      <c r="A38" s="20" t="inlineStr">
        <is>
          <t xml:space="preserve">    driven outlier, excluded from P/E averages but retained in the multiples table.</t>
        </is>
      </c>
    </row>
    <row r="39">
      <c r="A39" s="20" t="inlineStr"/>
    </row>
    <row r="40">
      <c r="A40" s="21" t="inlineStr">
        <is>
          <t>WHAT TO REFRESH AFTER NEXT EARNINGS PRINT:</t>
        </is>
      </c>
    </row>
    <row r="41">
      <c r="A41" s="20" t="inlineStr">
        <is>
          <t>- Q1 FY27 trading update (released 31 July 2026) and subsequent quarterly results should be incorporated once detailed</t>
        </is>
      </c>
    </row>
    <row r="42">
      <c r="A42" s="20" t="inlineStr">
        <is>
          <t xml:space="preserve">  NPAT/segment KPI figures are available - update growth-rate assumptions if organic ARC/GP trends diverge from this model.</t>
        </is>
      </c>
    </row>
    <row r="43">
      <c r="A43" s="20" t="inlineStr">
        <is>
          <t>- The new capitation funding formula takes effect 1 July 2026 (within FY27) - once its actual revenue impact is observable</t>
        </is>
      </c>
    </row>
    <row r="44">
      <c r="A44" s="20" t="inlineStr">
        <is>
          <t xml:space="preserve">  in FY27 results, update the capitation-tailwind assumption embedded in Year-1 base-case growth (currently 9.0%).</t>
        </is>
      </c>
    </row>
    <row r="45">
      <c r="A45" s="20" t="inlineStr">
        <is>
          <t>- Niomi Fleming (ARC GM) departure at end of July 2026 - monitor for any disruption to ARC segment execution in FY27 results.</t>
        </is>
      </c>
    </row>
    <row r="46">
      <c r="A46" s="20" t="inlineStr">
        <is>
          <t>- Deferred contingent consideration on ARC Health ($280k) and Cicada Health ($219k) due September 2026 - confirm whether paid</t>
        </is>
      </c>
    </row>
    <row r="47">
      <c r="A47" s="20" t="inlineStr">
        <is>
          <t xml:space="preserve">  (affects cash/net debt) and whether performance conditions were met (signal on acquisition quality).</t>
        </is>
      </c>
    </row>
    <row r="48">
      <c r="A48" s="20" t="inlineStr">
        <is>
          <t>- Community GP enrolled-patient trend (declined 3 consecutive years) - re-check FY27 for a 4th consecutive decline or turnaround.</t>
        </is>
      </c>
    </row>
    <row r="49">
      <c r="A49" s="20" t="inlineStr"/>
    </row>
    <row r="50">
      <c r="A50" s="21" t="inlineStr">
        <is>
          <t>CELL COLOUR CONVENTIONS (DCF Model sheet):</t>
        </is>
      </c>
    </row>
    <row r="51">
      <c r="A51" s="20" t="inlineStr">
        <is>
          <t>- Gray-filled cells = INPUTS (editable assumptions: prices, shares, cash/debt, WACC, terminal growth, growth rates, margins).</t>
        </is>
      </c>
    </row>
    <row r="52">
      <c r="A52" s="20" t="inlineStr">
        <is>
          <t>- White cells with borders = FORMULAS (calculated automatically from inputs - do not hardcode over these).</t>
        </is>
      </c>
    </row>
    <row r="53">
      <c r="A53" s="20" t="inlineStr">
        <is>
          <t>- Green-filled bold cells = KEY OUTPUTS (Intrinsic Value / Share, Entry Price).</t>
        </is>
      </c>
    </row>
    <row r="54">
      <c r="A54" s="20" t="inlineStr"/>
    </row>
    <row r="55">
      <c r="A55" s="22" t="inlineStr">
        <is>
          <t>STALENESS WARNING: All figures in this model are based on data available as of 2026-08-01 (FY2026 audited annual report,</t>
        </is>
      </c>
    </row>
    <row r="56">
      <c r="A56" s="20" t="inlineStr">
        <is>
          <t>live share price at valuation date). Stock prices, financial results and management guidance change continuously - this</t>
        </is>
      </c>
    </row>
    <row r="57">
      <c r="A57" s="20" t="inlineStr">
        <is>
          <t>model MUST be re-checked and refreshed against subsequent filings (Q1-Q3 FY27 trading updates, FY27 annual report) before</t>
        </is>
      </c>
    </row>
    <row r="58">
      <c r="A58" s="20" t="inlineStr">
        <is>
          <t>being relied upon for any investment decision beyond the near term.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2026-08-01T00:08:03Z</dcterms:created>
  <dcterms:modified xsi:type="dcterms:W3CDTF">2026-08-01T00:08:03Z</dcterms:modified>
</cp:coreProperties>
</file>