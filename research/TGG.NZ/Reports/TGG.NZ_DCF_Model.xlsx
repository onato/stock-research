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Info" sheetId="1" state="visible" r:id="rId1"/>
    <sheet xmlns:r="http://schemas.openxmlformats.org/officeDocument/2006/relationships" name="Actual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DCF_Bear" sheetId="4" state="visible" r:id="rId4"/>
    <sheet xmlns:r="http://schemas.openxmlformats.org/officeDocument/2006/relationships" name="DCF_Base" sheetId="5" state="visible" r:id="rId5"/>
    <sheet xmlns:r="http://schemas.openxmlformats.org/officeDocument/2006/relationships" name="DCF_Bull" sheetId="6" state="visible" r:id="rId6"/>
    <sheet xmlns:r="http://schemas.openxmlformats.org/officeDocument/2006/relationships" name="FCF_Quality" sheetId="7" state="visible" r:id="rId7"/>
    <sheet xmlns:r="http://schemas.openxmlformats.org/officeDocument/2006/relationships" name="Valu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color rgb="000000FF"/>
    </font>
    <font/>
    <font>
      <color rgb="00008000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1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2" customWidth="1" min="1" max="1"/>
    <col width="150" customWidth="1" min="2" max="2"/>
  </cols>
  <sheetData>
    <row r="1">
      <c r="A1" s="1" t="inlineStr">
        <is>
          <t>T&amp;G Global (TGG.NZ) DCF model</t>
        </is>
      </c>
      <c r="B1" t="inlineStr"/>
    </row>
    <row r="2">
      <c r="A2" s="1" t="inlineStr">
        <is>
          <t>Version</t>
        </is>
      </c>
      <c r="B2" t="inlineStr">
        <is>
          <t>v1 (fresh build) -- supersedes nothing; first TGG.NZ valuation in this folder</t>
        </is>
      </c>
    </row>
    <row r="3">
      <c r="A3" s="1" t="inlineStr">
        <is>
          <t>Built by</t>
        </is>
      </c>
      <c r="B3" t="inlineStr">
        <is>
          <t>dcf-analyst agent (Claude, claude-fable-5-1) on 2026-09-05 at the request of the research orchestrator</t>
        </is>
      </c>
    </row>
    <row r="4">
      <c r="A4" s="1" t="inlineStr">
        <is>
          <t>Price</t>
        </is>
      </c>
      <c r="B4" t="inlineStr">
        <is>
          <t>NZ$2.40, NZX regular close 2026-09-04 (Yahoo regularMarketTime 04:42Z). Goes stale; refresh before use.</t>
        </is>
      </c>
    </row>
    <row r="5">
      <c r="A5" s="1" t="inlineStr">
        <is>
          <t>Balance sheet</t>
        </is>
      </c>
      <c r="B5" t="inlineStr">
        <is>
          <t>31-Dec-2025 audited (borrowings 194.840, cash 47.618, term deposits 1.510) is the net-debt anchor; 30-Jun-2026 unaudited interim for book value, disposal group (net assets 76.058 at FVLCS) and lease split</t>
        </is>
      </c>
    </row>
    <row r="6">
      <c r="A6" s="1" t="inlineStr">
        <is>
          <t>Share count</t>
        </is>
      </c>
      <c r="B6" t="inlineStr">
        <is>
          <t>122,543,204, unchanged since FY2016, no dilutive securities (basic = diluted EPS)</t>
        </is>
      </c>
    </row>
    <row r="7">
      <c r="A7" s="1" t="inlineStr">
        <is>
          <t>Guidance</t>
        </is>
      </c>
      <c r="B7" t="inlineStr">
        <is>
          <t>None numeric. H1-2026 report: continuing revenue 572.3 (+2.6%), operating profit 11.6 (+30.3%); T&amp;G Fresh divestment (3 SPAs 31-Jul-2026) subject to Commerce Commission; El Nino risk flagged for 2026/27 crop</t>
        </is>
      </c>
    </row>
    <row r="8">
      <c r="A8" s="1" t="inlineStr">
        <is>
          <t>Model</t>
        </is>
      </c>
      <c r="B8" t="inlineStr">
        <is>
          <t>Owner-FCF DCF on CONTINUING operations (FY2025 re-presented: revenue 1,144.6, EBITDA 70.9), 10-year component build, blended 50/50 with an asset leg (parent book/share 3.66 x exit P/B disciplined by TGG's own 10-year P/B range)</t>
        </is>
      </c>
    </row>
    <row r="9">
      <c r="A9" s="1" t="inlineStr">
        <is>
          <t>Why blended</t>
        </is>
      </c>
      <c r="B9" t="inlineStr">
        <is>
          <t>Pure DCF gives ~0.9/share = 0.24x book, below the 10-year minimum 0.42x: an earnings model that ignores 232m of land and buildings at valuation. Sanity-check fix per the routing table's straddle rule.</t>
        </is>
      </c>
    </row>
    <row r="10">
      <c r="A10" s="1" t="inlineStr">
        <is>
          <t>Leases</t>
        </is>
      </c>
      <c r="B10" t="inlineStr">
        <is>
          <t>Treatment B: lease cash (2.9% of revenue, ~33.5m continuing) charged in flows; lease liabilities excluded from net debt; D&amp;A is owned-asset only (1.75%)</t>
        </is>
      </c>
    </row>
    <row r="11">
      <c r="A11" s="1" t="inlineStr">
        <is>
          <t>NCI</t>
        </is>
      </c>
      <c r="B11" t="inlineStr">
        <is>
          <t>Charged once, in the flows: NCI profit share folded into the combined tax + leakage rate (row 15). Book NCI not deducted.</t>
        </is>
      </c>
    </row>
    <row r="12">
      <c r="A12" s="1" t="inlineStr">
        <is>
          <t>WACC</t>
        </is>
      </c>
      <c r="B12" t="inlineStr">
        <is>
          <t>10.5% NZD-built (rf 4.4 + 5.5 ERP x 1.1 beta + 2.5pp structural premium for BayWa distress/illiquidity/weather; Kd 6% pre-tax; E/D 70/30). Same rate in all scenarios; risk charged once.</t>
        </is>
      </c>
    </row>
    <row r="13">
      <c r="A13" s="1" t="inlineStr">
        <is>
          <t>Terminal</t>
        </is>
      </c>
      <c r="B13" t="inlineStr">
        <is>
          <t>max(0, min(Gordon, cap x FCF10)); cap 12x (10x bear). Entry price rebuilds TV at the 15% hurdle.</t>
        </is>
      </c>
    </row>
    <row r="14">
      <c r="A14" s="1" t="inlineStr">
        <is>
          <t>Drivers</t>
        </is>
      </c>
      <c r="B14" t="inlineStr">
        <is>
          <t>Scenario driver paths are the dcf-analyst agent's judgment set 2026-09-05; the exit P/B and asset weight are on Assumptions. Nobody has yet reviewed them.</t>
        </is>
      </c>
    </row>
    <row r="15">
      <c r="A15" s="1" t="inlineStr">
        <is>
          <t>Refresh after</t>
        </is>
      </c>
      <c r="B15" t="inlineStr">
        <is>
          <t>FY2026 result (Feb/Mar 2027): net debt post-completion, 'Other' segment loss, Apples margin; any BayWa stake-sale announcement; Commerce Commission decision</t>
        </is>
      </c>
    </row>
    <row r="16">
      <c r="A16" s="1" t="inlineStr">
        <is>
          <t>Row map (DCF tabs)</t>
        </is>
      </c>
      <c r="B16" t="inlineStr">
        <is>
          <t>5 growth | 6 revenue | 7 EBITDA margin | 8 EBITDA | 9 SBC% | 10 SBC$ | 11 lease cash | 12 owner EBITDA | 13 D&amp;A | 14 EBIT | 15 tax+NCI leakage rate | 16 tax | 17 NOPAT | 18 add D&amp;A | 19 capex | 20 WC | 21 owner FCF | 22 DF | 23 PV. Only rows 5, 7, 9, 15 are hardcoded drivers.</t>
        </is>
      </c>
    </row>
    <row r="17">
      <c r="A17" s="1" t="inlineStr">
        <is>
          <t>Colours</t>
        </is>
      </c>
      <c r="B17" t="inlineStr">
        <is>
          <t>BLUE = hardcoded input; YELLOW fill = key lever; BLACK = formula; GREEN = cross-sheet link; green fill = value per share</t>
        </is>
      </c>
    </row>
    <row r="18">
      <c r="A18" s="1" t="inlineStr">
        <is>
          <t>Units</t>
        </is>
      </c>
      <c r="B18" t="inlineStr">
        <is>
          <t>NZ$ millions except per-share (NZ$) and percentages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WHOLE-COMPANY history (Metrics.csv / kpis; annual reports, NZ$m). Source: TGG.NZ_Metrics.csv, kpis table</t>
        </is>
      </c>
    </row>
    <row r="2">
      <c r="A2" t="inlineStr">
        <is>
          <t>Period</t>
        </is>
      </c>
      <c r="B2" t="inlineStr">
        <is>
          <t>Revenue</t>
        </is>
      </c>
      <c r="C2" t="inlineStr">
        <is>
          <t>EBITDA</t>
        </is>
      </c>
      <c r="D2" t="inlineStr">
        <is>
          <t>OperatingProfit</t>
        </is>
      </c>
      <c r="E2" t="inlineStr">
        <is>
          <t>NetIncomeTotal</t>
        </is>
      </c>
      <c r="F2" t="inlineStr">
        <is>
          <t>NetIncomeAttributable</t>
        </is>
      </c>
      <c r="G2" t="inlineStr">
        <is>
          <t>OCF</t>
        </is>
      </c>
      <c r="H2" t="inlineStr">
        <is>
          <t>Capex</t>
        </is>
      </c>
      <c r="I2" t="inlineStr">
        <is>
          <t>ReportedFCF</t>
        </is>
      </c>
      <c r="J2" t="inlineStr">
        <is>
          <t>LeasePrincipal</t>
        </is>
      </c>
      <c r="K2" t="inlineStr">
        <is>
          <t>InterestIncome</t>
        </is>
      </c>
      <c r="L2" t="inlineStr">
        <is>
          <t>TotalEquity</t>
        </is>
      </c>
      <c r="M2" t="inlineStr">
        <is>
          <t>NCI</t>
        </is>
      </c>
      <c r="N2" t="inlineStr">
        <is>
          <t>Borrowings+Leases</t>
        </is>
      </c>
      <c r="O2" t="inlineStr">
        <is>
          <t>Cash</t>
        </is>
      </c>
      <c r="P2" t="inlineStr">
        <is>
          <t>EPS_c</t>
        </is>
      </c>
      <c r="Q2" t="inlineStr">
        <is>
          <t>NTA_company</t>
        </is>
      </c>
    </row>
    <row r="3">
      <c r="A3" t="inlineStr">
        <is>
          <t>FY2019</t>
        </is>
      </c>
      <c r="B3" s="2" t="n">
        <v>1216.409</v>
      </c>
      <c r="C3" s="2" t="n">
        <v>54.254</v>
      </c>
      <c r="D3" s="2" t="n">
        <v>16.501</v>
      </c>
      <c r="E3" s="2" t="n">
        <v>6.611</v>
      </c>
      <c r="F3" s="2" t="n">
        <v>0.901</v>
      </c>
      <c r="G3" s="2" t="n">
        <v>51.009</v>
      </c>
      <c r="H3" s="2" t="n">
        <v>-39.528</v>
      </c>
      <c r="I3" s="2" t="n">
        <v>11.481</v>
      </c>
      <c r="J3" s="2" t="n">
        <v>21.242</v>
      </c>
      <c r="K3" s="2" t="n">
        <v>0.748</v>
      </c>
      <c r="L3" s="2" t="n">
        <v>474.403</v>
      </c>
      <c r="M3" s="2" t="n">
        <v>13.697</v>
      </c>
      <c r="N3" s="2" t="n">
        <v>153.015</v>
      </c>
      <c r="O3" s="2" t="n">
        <v>36.208</v>
      </c>
      <c r="P3" s="2" t="n">
        <v>0.7</v>
      </c>
      <c r="Q3" s="2" t="n">
        <v>3.56</v>
      </c>
    </row>
    <row r="4">
      <c r="A4" t="inlineStr">
        <is>
          <t>FY2020</t>
        </is>
      </c>
      <c r="B4" s="2" t="n">
        <v>1412.59</v>
      </c>
      <c r="C4" s="2" t="n">
        <v>78.255</v>
      </c>
      <c r="D4" s="2" t="n">
        <v>32.376</v>
      </c>
      <c r="E4" s="2" t="n">
        <v>16.59</v>
      </c>
      <c r="F4" s="2" t="n">
        <v>11.056</v>
      </c>
      <c r="G4" s="2" t="n">
        <v>56.281</v>
      </c>
      <c r="H4" s="2" t="n">
        <v>-46.777</v>
      </c>
      <c r="I4" s="2" t="n">
        <v>9.504</v>
      </c>
      <c r="J4" s="2" t="n">
        <v>21.658</v>
      </c>
      <c r="K4" s="2" t="n">
        <v>1.334</v>
      </c>
      <c r="L4" s="2" t="n">
        <v>519.754</v>
      </c>
      <c r="M4" s="2" t="n">
        <v>13.147</v>
      </c>
      <c r="N4" s="2" t="n">
        <v>224.868</v>
      </c>
      <c r="O4" s="2" t="n">
        <v>44.664</v>
      </c>
      <c r="P4" s="2" t="n">
        <v>9</v>
      </c>
      <c r="Q4" s="2" t="n">
        <v>3.61</v>
      </c>
    </row>
    <row r="5">
      <c r="A5" t="inlineStr">
        <is>
          <t>FY2021</t>
        </is>
      </c>
      <c r="B5" s="2" t="n">
        <v>1365.413</v>
      </c>
      <c r="C5" s="2" t="n">
        <v>69.532</v>
      </c>
      <c r="D5" s="2" t="n">
        <v>16.887</v>
      </c>
      <c r="E5" s="2" t="n">
        <v>13.552</v>
      </c>
      <c r="F5" s="2" t="n">
        <v>8.875999999999999</v>
      </c>
      <c r="G5" s="2" t="n">
        <v>55.36</v>
      </c>
      <c r="H5" s="2" t="n">
        <v>-53.2</v>
      </c>
      <c r="I5" s="2" t="n">
        <v>2.16</v>
      </c>
      <c r="J5" s="2" t="n">
        <v>30.413</v>
      </c>
      <c r="K5" s="2" t="n">
        <v>1.234</v>
      </c>
      <c r="L5" s="2" t="n">
        <v>573.604</v>
      </c>
      <c r="M5" s="2" t="n">
        <v>13.528</v>
      </c>
      <c r="N5" s="2" t="n">
        <v>199.299</v>
      </c>
      <c r="O5" s="2" t="n">
        <v>59.005</v>
      </c>
      <c r="P5" s="2" t="n">
        <v>7.2</v>
      </c>
      <c r="Q5" s="2" t="n">
        <v>4.06</v>
      </c>
    </row>
    <row r="6">
      <c r="A6" t="inlineStr">
        <is>
          <t>FY2022</t>
        </is>
      </c>
      <c r="B6" s="2" t="n">
        <v>1304.936</v>
      </c>
      <c r="C6" s="2" t="n">
        <v>78.05200000000001</v>
      </c>
      <c r="D6" s="2" t="n">
        <v>20.409</v>
      </c>
      <c r="E6" s="2" t="n">
        <v>-0.861</v>
      </c>
      <c r="F6" s="2" t="n">
        <v>-5.471</v>
      </c>
      <c r="G6" s="2" t="n">
        <v>-0.468</v>
      </c>
      <c r="H6" s="2" t="n">
        <v>-106.673</v>
      </c>
      <c r="I6" s="2" t="n">
        <v>-107.141</v>
      </c>
      <c r="J6" s="2" t="n">
        <v>33.455</v>
      </c>
      <c r="K6" s="2" t="n">
        <v>2.383</v>
      </c>
      <c r="L6" s="2" t="n">
        <v>580.168</v>
      </c>
      <c r="M6" s="2" t="n">
        <v>16.917</v>
      </c>
      <c r="N6" s="2" t="n">
        <v>305.418</v>
      </c>
      <c r="O6" s="2" t="n">
        <v>58.519</v>
      </c>
      <c r="P6" s="2" t="n">
        <v>-4.4</v>
      </c>
      <c r="Q6" s="2" t="n">
        <v>4.11</v>
      </c>
    </row>
    <row r="7">
      <c r="A7" t="inlineStr">
        <is>
          <t>FY2023</t>
        </is>
      </c>
      <c r="B7" s="2" t="n">
        <v>1334.338</v>
      </c>
      <c r="C7" s="2" t="n">
        <v>13.05</v>
      </c>
      <c r="D7" s="2" t="n">
        <v>-45.579</v>
      </c>
      <c r="E7" s="2" t="n">
        <v>-46.595</v>
      </c>
      <c r="F7" s="2" t="n">
        <v>-51.155</v>
      </c>
      <c r="G7" s="2" t="n">
        <v>25.563</v>
      </c>
      <c r="H7" s="2" t="n">
        <v>-76.06999999999999</v>
      </c>
      <c r="I7" s="2" t="n">
        <v>-50.507</v>
      </c>
      <c r="J7" s="2" t="n">
        <v>37.383</v>
      </c>
      <c r="K7" s="2" t="n">
        <v>4.09</v>
      </c>
      <c r="L7" s="2" t="n">
        <v>521.888</v>
      </c>
      <c r="M7" s="2" t="n">
        <v>17.471</v>
      </c>
      <c r="N7" s="2" t="n">
        <v>371.305</v>
      </c>
      <c r="O7" s="2" t="n">
        <v>30.508</v>
      </c>
      <c r="P7" s="2" t="n">
        <v>-41.7</v>
      </c>
      <c r="Q7" s="2" t="n">
        <v>3.61</v>
      </c>
    </row>
    <row r="8">
      <c r="A8" t="inlineStr">
        <is>
          <t>FY2024</t>
        </is>
      </c>
      <c r="B8" s="2" t="n">
        <v>1360.891</v>
      </c>
      <c r="C8" s="2" t="n">
        <v>71.06100000000001</v>
      </c>
      <c r="D8" s="2" t="n">
        <v>12.664</v>
      </c>
      <c r="E8" s="2" t="n">
        <v>-9.888</v>
      </c>
      <c r="F8" s="2" t="n">
        <v>-16.034</v>
      </c>
      <c r="G8" s="2" t="n">
        <v>60.666</v>
      </c>
      <c r="H8" s="2" t="n">
        <v>-48.055</v>
      </c>
      <c r="I8" s="2" t="n">
        <v>12.611</v>
      </c>
      <c r="J8" s="2" t="n">
        <v>37.544</v>
      </c>
      <c r="K8" s="2" t="n">
        <v>5.406</v>
      </c>
      <c r="L8" s="2" t="n">
        <v>490.651</v>
      </c>
      <c r="M8" s="2" t="n">
        <v>20.511</v>
      </c>
      <c r="N8" s="2" t="n">
        <v>413.504</v>
      </c>
      <c r="O8" s="2" t="n">
        <v>46.801</v>
      </c>
      <c r="P8" s="2" t="n">
        <v>-13</v>
      </c>
      <c r="Q8" s="2" t="n">
        <v>3.36</v>
      </c>
    </row>
    <row r="9">
      <c r="A9" t="inlineStr">
        <is>
          <t>FY2025</t>
        </is>
      </c>
      <c r="B9" s="2" t="n">
        <v>1558.723</v>
      </c>
      <c r="C9" s="2" t="n">
        <v>110.135</v>
      </c>
      <c r="D9" s="2" t="n">
        <v>46.906</v>
      </c>
      <c r="E9" s="2" t="n">
        <v>16.047</v>
      </c>
      <c r="F9" s="2" t="n">
        <v>10.213</v>
      </c>
      <c r="G9" s="2" t="n">
        <v>91.94799999999999</v>
      </c>
      <c r="H9" s="2" t="n">
        <v>-32.622</v>
      </c>
      <c r="I9" s="2" t="n">
        <v>59.326</v>
      </c>
      <c r="J9" s="2" t="n">
        <v>41.912</v>
      </c>
      <c r="K9" s="2" t="n">
        <v>2.515</v>
      </c>
      <c r="L9" s="2" t="n">
        <v>510.019</v>
      </c>
      <c r="M9" s="2" t="n">
        <v>18.119</v>
      </c>
      <c r="N9" s="2" t="n">
        <v>405.524</v>
      </c>
      <c r="O9" s="2" t="n">
        <v>47.618</v>
      </c>
      <c r="P9" s="2" t="n">
        <v>8.300000000000001</v>
      </c>
      <c r="Q9" s="2" t="n">
        <v>3.53</v>
      </c>
    </row>
    <row r="11">
      <c r="A11" s="1" t="inlineStr">
        <is>
          <t>CONTINUING operations, re-presented (H1-2026 interim report, income statement + note 3)</t>
        </is>
      </c>
    </row>
    <row r="12">
      <c r="A12" t="inlineStr">
        <is>
          <t>Period</t>
        </is>
      </c>
      <c r="B12" t="inlineStr">
        <is>
          <t>Revenue</t>
        </is>
      </c>
      <c r="C12" t="inlineStr">
        <is>
          <t>OperatingProfit</t>
        </is>
      </c>
      <c r="D12" t="inlineStr">
        <is>
          <t>D&amp;A</t>
        </is>
      </c>
      <c r="E12" t="inlineStr">
        <is>
          <t>EBITDA</t>
        </is>
      </c>
      <c r="F12" t="inlineStr">
        <is>
          <t>NPAT continuing</t>
        </is>
      </c>
      <c r="G12" t="inlineStr">
        <is>
          <t>NCI (all in continuing)</t>
        </is>
      </c>
    </row>
    <row r="13">
      <c r="A13" t="inlineStr">
        <is>
          <t>FY2025</t>
        </is>
      </c>
      <c r="B13" s="2" t="n">
        <v>1144.643</v>
      </c>
      <c r="C13" s="2" t="n">
        <v>28.876</v>
      </c>
      <c r="D13" s="2" t="n">
        <v>42.003</v>
      </c>
      <c r="E13" s="2" t="n">
        <v>70.879</v>
      </c>
      <c r="F13" s="2" t="n">
        <v>5.26</v>
      </c>
      <c r="G13" s="2" t="n">
        <v>5.834</v>
      </c>
    </row>
    <row r="14">
      <c r="A14" t="inlineStr">
        <is>
          <t>H1 FY2025</t>
        </is>
      </c>
      <c r="B14" s="2" t="n">
        <v>557.947</v>
      </c>
      <c r="C14" s="2" t="n">
        <v>8.893000000000001</v>
      </c>
      <c r="D14" s="2" t="n">
        <v>20.017</v>
      </c>
      <c r="E14" s="2" t="n">
        <v>28.91</v>
      </c>
      <c r="F14" s="2" t="n">
        <v>-3.496</v>
      </c>
      <c r="G14" s="2" t="n">
        <v>2.791</v>
      </c>
    </row>
    <row r="15">
      <c r="A15" t="inlineStr">
        <is>
          <t>H1 FY2026</t>
        </is>
      </c>
      <c r="B15" s="2" t="n">
        <v>572.302</v>
      </c>
      <c r="C15" s="2" t="n">
        <v>11.642</v>
      </c>
      <c r="D15" s="2" t="n">
        <v>23.034</v>
      </c>
      <c r="E15" s="2" t="n">
        <v>34.676</v>
      </c>
      <c r="F15" s="2" t="n">
        <v>-0.948</v>
      </c>
      <c r="G15" s="2" t="n">
        <v>2.45</v>
      </c>
    </row>
    <row r="16">
      <c r="A16" t="inlineStr">
        <is>
          <t>Discontinued FY2025 (note 7): revenue 414.080, operating profit 18.030, NPAT 10.787, OCF 25.916</t>
        </is>
      </c>
    </row>
    <row r="18">
      <c r="A18" s="1" t="inlineStr">
        <is>
          <t>Balance sheet anchors</t>
        </is>
      </c>
    </row>
    <row r="19">
      <c r="A19" t="inlineStr">
        <is>
          <t>Borrowings Dec-25</t>
        </is>
      </c>
      <c r="B19" s="2" t="n">
        <v>194.84</v>
      </c>
    </row>
    <row r="20">
      <c r="A20" t="inlineStr">
        <is>
          <t>Cash Dec-25</t>
        </is>
      </c>
      <c r="B20" s="2" t="n">
        <v>47.618</v>
      </c>
    </row>
    <row r="21">
      <c r="A21" t="inlineStr">
        <is>
          <t>Term deposits Dec-25</t>
        </is>
      </c>
      <c r="B21" s="2" t="n">
        <v>1.51</v>
      </c>
    </row>
    <row r="22">
      <c r="A22" t="inlineStr">
        <is>
          <t>Lease liabilities Dec-25 (excluded, treatment B)</t>
        </is>
      </c>
      <c r="B22" s="2" t="n">
        <v>210.684</v>
      </c>
    </row>
    <row r="23">
      <c r="A23" t="inlineStr">
        <is>
          <t>Borrowings Jun-26 (seasonal peak)</t>
        </is>
      </c>
      <c r="B23" s="2" t="n">
        <v>307.915</v>
      </c>
    </row>
    <row r="24">
      <c r="A24" t="inlineStr">
        <is>
          <t>Cash+TD Jun-26</t>
        </is>
      </c>
      <c r="B24" s="2" t="n">
        <v>72.657</v>
      </c>
    </row>
    <row r="25">
      <c r="A25" t="inlineStr">
        <is>
          <t>Disposal group net assets at FVLCS Jun-26 (expected proceeds)</t>
        </is>
      </c>
      <c r="B25" s="2" t="n">
        <v>76.05800000000001</v>
      </c>
    </row>
    <row r="26">
      <c r="A26" t="inlineStr">
        <is>
          <t>Ettrick property held for sale Jun-26</t>
        </is>
      </c>
      <c r="B26" s="2" t="n">
        <v>8.279999999999999</v>
      </c>
    </row>
    <row r="27">
      <c r="A27" t="inlineStr">
        <is>
          <t>Parent equity Jun-26</t>
        </is>
      </c>
      <c r="B27" s="2" t="n">
        <v>448.611</v>
      </c>
    </row>
    <row r="28">
      <c r="A28" t="inlineStr">
        <is>
          <t>Intangibles Jun-26 incl. disposal group</t>
        </is>
      </c>
      <c r="B28" s="2" t="n">
        <v>44.191</v>
      </c>
    </row>
    <row r="29">
      <c r="A29" t="inlineStr">
        <is>
          <t>NCI equity Jun-26</t>
        </is>
      </c>
      <c r="B29" s="2" t="n">
        <v>18.728</v>
      </c>
    </row>
    <row r="30">
      <c r="A30" t="inlineStr">
        <is>
          <t>Investments in unlisted entities + JV Jun-26</t>
        </is>
      </c>
      <c r="B30" s="2" t="n">
        <v>18.877</v>
      </c>
    </row>
    <row r="31">
      <c r="A31" t="inlineStr">
        <is>
          <t>Shares on issue (m)</t>
        </is>
      </c>
      <c r="B31" s="2" t="n">
        <v>122.543204</v>
      </c>
    </row>
    <row r="32">
      <c r="A32" t="inlineStr">
        <is>
          <t>Buybacks any year</t>
        </is>
      </c>
      <c r="B32" s="2" t="n">
        <v>0</v>
      </c>
    </row>
    <row r="33">
      <c r="A33" t="inlineStr">
        <is>
          <t>Share-based payment any year</t>
        </is>
      </c>
      <c r="B3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  <col width="60" customWidth="1" min="3" max="3"/>
  </cols>
  <sheetData>
    <row r="1">
      <c r="A1" s="1" t="inlineStr">
        <is>
          <t>Global assumptions</t>
        </is>
      </c>
    </row>
    <row r="3">
      <c r="A3" t="inlineStr">
        <is>
          <t>Price (NZ$)</t>
        </is>
      </c>
      <c r="B3" s="2" t="n">
        <v>2.4</v>
      </c>
      <c r="C3" t="inlineStr">
        <is>
          <t>NZX close 2026-09-04</t>
        </is>
      </c>
    </row>
    <row r="4">
      <c r="A4" t="inlineStr">
        <is>
          <t>Shares (m)</t>
        </is>
      </c>
      <c r="B4" s="2" t="n">
        <v>122.543204</v>
      </c>
      <c r="C4" t="inlineStr">
        <is>
          <t>flat; no dilutive securities</t>
        </is>
      </c>
    </row>
    <row r="5">
      <c r="A5" t="inlineStr">
        <is>
          <t>Net debt pro forma (NZ$m)</t>
        </is>
      </c>
      <c r="B5" s="3">
        <f>B13-B14</f>
        <v/>
      </c>
      <c r="C5" t="inlineStr">
        <is>
          <t>Dec-25 net debt less expected disposal proceeds; leases excluded</t>
        </is>
      </c>
    </row>
    <row r="6">
      <c r="A6" t="inlineStr">
        <is>
          <t>Non-operating assets (NZ$m)</t>
        </is>
      </c>
      <c r="B6" s="2" t="n">
        <v>27.157</v>
      </c>
      <c r="C6" t="inlineStr">
        <is>
          <t>unlisted entities 16.327 + JV 2.550 + Ettrick held-for-sale property 8.280, Jun-26; none in the flows</t>
        </is>
      </c>
    </row>
    <row r="7">
      <c r="A7" t="inlineStr">
        <is>
          <t>Parent book value / share (NZ$)</t>
        </is>
      </c>
      <c r="B7" s="3">
        <f>448.611/B4</f>
        <v/>
      </c>
      <c r="C7" t="inlineStr">
        <is>
          <t>Jun-26 attributable equity 448.611</t>
        </is>
      </c>
    </row>
    <row r="8">
      <c r="A8" t="inlineStr">
        <is>
          <t>WACC (%)</t>
        </is>
      </c>
      <c r="B8" s="4" t="n">
        <v>10.5</v>
      </c>
      <c r="C8" t="inlineStr">
        <is>
          <t>NZD-built; same in all scenarios</t>
        </is>
      </c>
    </row>
    <row r="9">
      <c r="A9" t="inlineStr">
        <is>
          <t>Lease cash (% revenue)</t>
        </is>
      </c>
      <c r="B9" s="4" t="n">
        <v>2.9</v>
      </c>
      <c r="C9" t="inlineStr">
        <is>
          <t>treatment B; ~33.5m continuing on 1,144.6m</t>
        </is>
      </c>
    </row>
    <row r="10">
      <c r="A10" t="inlineStr">
        <is>
          <t>Owned-asset D&amp;A (% revenue)</t>
        </is>
      </c>
      <c r="B10" s="4" t="n">
        <v>1.75</v>
      </c>
      <c r="C10" t="inlineStr">
        <is>
          <t>continuing D&amp;A 42.0 less ~22 ROU depreciation</t>
        </is>
      </c>
    </row>
    <row r="11">
      <c r="A11" t="inlineStr">
        <is>
          <t>WC capture (% of revenue change)</t>
        </is>
      </c>
      <c r="B11" s="4" t="n">
        <v>-8</v>
      </c>
      <c r="C11" t="inlineStr">
        <is>
          <t>produce business: receivables + inventory + biological assets ~8% of revenue</t>
        </is>
      </c>
    </row>
    <row r="12">
      <c r="A12" t="inlineStr">
        <is>
          <t>Hurdle rate</t>
        </is>
      </c>
      <c r="B12" s="2" t="n">
        <v>0.15</v>
      </c>
      <c r="C12" t="inlineStr">
        <is>
          <t>entry-price IRR; TV rebuilt at this rate</t>
        </is>
      </c>
    </row>
    <row r="13">
      <c r="A13" t="inlineStr">
        <is>
          <t>Net debt Dec-2025 (NZ$m)</t>
        </is>
      </c>
      <c r="B13" s="2" t="n">
        <v>145.712</v>
      </c>
      <c r="C13" t="inlineStr">
        <is>
          <t>194.840 - 47.618 - 1.510</t>
        </is>
      </c>
    </row>
    <row r="14">
      <c r="A14" t="inlineStr">
        <is>
          <t>Expected disposal proceeds (NZ$m)</t>
        </is>
      </c>
      <c r="B14" s="2" t="n">
        <v>76.05800000000001</v>
      </c>
      <c r="C14" t="inlineStr">
        <is>
          <t>disposal group 143.904 - 67.846 at fair value less costs to sell (note 6; its 84.338 includes the Ettrick property)</t>
        </is>
      </c>
    </row>
    <row r="15">
      <c r="A15" t="inlineStr">
        <is>
          <t>Revenue FY2025 continuing (NZ$m)</t>
        </is>
      </c>
      <c r="B15" s="2" t="n">
        <v>1144.643</v>
      </c>
      <c r="C15" t="inlineStr">
        <is>
          <t>H1-2026 report re-presented</t>
        </is>
      </c>
    </row>
    <row r="17">
      <c r="A17" s="1" t="inlineStr">
        <is>
          <t>Scenario</t>
        </is>
      </c>
      <c r="B17" s="1" t="inlineStr">
        <is>
          <t>Terminal growth %</t>
        </is>
      </c>
      <c r="C17" s="1" t="inlineStr">
        <is>
          <t>TV cap (x FCF10)</t>
        </is>
      </c>
      <c r="D17" s="1" t="inlineStr">
        <is>
          <t>Capex % revenue</t>
        </is>
      </c>
      <c r="E17" s="1" t="inlineStr">
        <is>
          <t>Exit P/B (asset leg)</t>
        </is>
      </c>
      <c r="F17" s="1" t="inlineStr">
        <is>
          <t>Asset weight</t>
        </is>
      </c>
      <c r="G17" s="1" t="inlineStr">
        <is>
          <t>Probability</t>
        </is>
      </c>
    </row>
    <row r="18">
      <c r="A18" t="inlineStr">
        <is>
          <t>bear</t>
        </is>
      </c>
      <c r="B18" s="4" t="n">
        <v>2</v>
      </c>
      <c r="C18" s="4" t="n">
        <v>10</v>
      </c>
      <c r="D18" s="4" t="n">
        <v>3.3</v>
      </c>
      <c r="E18" s="4" t="n">
        <v>0.45</v>
      </c>
      <c r="F18" s="4" t="n">
        <v>0.5</v>
      </c>
      <c r="G18" s="4" t="n">
        <v>0.3</v>
      </c>
    </row>
    <row r="19">
      <c r="A19" t="inlineStr">
        <is>
          <t>base</t>
        </is>
      </c>
      <c r="B19" s="4" t="n">
        <v>2.5</v>
      </c>
      <c r="C19" s="4" t="n">
        <v>12</v>
      </c>
      <c r="D19" s="4" t="n">
        <v>3</v>
      </c>
      <c r="E19" s="4" t="n">
        <v>0.7</v>
      </c>
      <c r="F19" s="4" t="n">
        <v>0.5</v>
      </c>
      <c r="G19" s="4" t="n">
        <v>0.5</v>
      </c>
    </row>
    <row r="20">
      <c r="A20" t="inlineStr">
        <is>
          <t>bull</t>
        </is>
      </c>
      <c r="B20" s="4" t="n">
        <v>3</v>
      </c>
      <c r="C20" s="4" t="n">
        <v>12</v>
      </c>
      <c r="D20" s="4" t="n">
        <v>2.8</v>
      </c>
      <c r="E20" s="4" t="n">
        <v>0.95</v>
      </c>
      <c r="F20" s="4" t="n">
        <v>0.5</v>
      </c>
      <c r="G20" s="4" t="n">
        <v>0.2</v>
      </c>
    </row>
    <row r="21">
      <c r="A21" t="inlineStr">
        <is>
          <t>Weights check</t>
        </is>
      </c>
      <c r="G21">
        <f>SUM(G18:G20)</f>
        <v/>
      </c>
    </row>
    <row r="23">
      <c r="A23" s="1" t="inlineStr">
        <is>
          <t>Narratives</t>
        </is>
      </c>
    </row>
    <row r="24">
      <c r="A24" t="inlineStr">
        <is>
          <t>base</t>
        </is>
      </c>
      <c r="B24" s="5" t="inlineStr">
        <is>
          <t>Turner/Bidfood/Unearthed sales complete and 84m of proceeds cut net debt to ~70m. Apples grows 6%/yr FY27-30 as ENVY plantings mature (NZ crop +24% in 2026), JOLI launches in Vietnam and the NZ-India FTA opens a new market, then decelerates to 3%. Group EBITDA margin (post-IFRS-16) climbs from 7.0% in FY2026 to 9.0% by FY2031 as stranded corporate cost in the 'Other' segment (-45m FY2025) is cut and VentureFruit reaches breakeven; capex normalises to 3% of revenue (~35m) between the suppressed FY2025 (32.6m) and the FY2024 48m. Cash tax ramps to 28% as the 37.5m deferred tax asset is used; NCI leakage fades from 20% to 10% of EBIT. Asset leg at 0.70x book, the 10-year average.</t>
        </is>
      </c>
    </row>
    <row r="25">
      <c r="A25" t="inlineStr">
        <is>
          <t>bull</t>
        </is>
      </c>
      <c r="B25" s="5" t="inlineStr">
        <is>
          <t>Apples 2035 strategy delivers: 8% growth FY27-29 on ENVY US household penetration (12% -&gt; 15%), China/Vietnam/Thailand volume (+26/+34/+10% H1-26) and India; VentureFruit's royalty model (California Giant berries, Chinese PVR wins) turns profitable; corporate cost-out takes the group EBITDA margin to 11.5% by FY2032. BayWa's stake is sold to a strategic buyer who, under the Takeovers Code, offers all holders ~0.95x book -- the asset leg at FY2017-18 multiples.</t>
        </is>
      </c>
    </row>
    <row r="26">
      <c r="A26" t="inlineStr">
        <is>
          <t>bear</t>
        </is>
      </c>
      <c r="B26" s="5" t="inlineStr">
        <is>
          <t>El Nino delivers the weather event flagged in the H1-2026 outlook: FY2027 revenue -10% and EBITDA margin 3.5% (a milder Gabrielle), recovering to a 6.5% ceiling as UK/EU oversupply and retailer buying power cap pricing; capex stays at 3.3% because replanting cannot be deferred; NCI leakage stays high because the UK distributor's profit does not fall with the NZ crop. Terminal cap 10x, terminal growth 2%. The BayWa process drags with no offer and the stock stays at its FY2023-24 trough of 0.45x book on the asset leg.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BEAR scenario -- owner FCF on continuing operations (NZ$m)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4" t="n">
        <v>1</v>
      </c>
      <c r="D5" s="4" t="n">
        <v>-10</v>
      </c>
      <c r="E5" s="4" t="n">
        <v>8</v>
      </c>
      <c r="F5" s="4" t="n">
        <v>4</v>
      </c>
      <c r="G5" s="4" t="n">
        <v>4</v>
      </c>
      <c r="H5" s="4" t="n">
        <v>3.5</v>
      </c>
      <c r="I5" s="4" t="n">
        <v>3</v>
      </c>
      <c r="J5" s="4" t="n">
        <v>3</v>
      </c>
      <c r="K5" s="4" t="n">
        <v>2.5</v>
      </c>
      <c r="L5" s="4" t="n">
        <v>2.5</v>
      </c>
    </row>
    <row r="6">
      <c r="A6" t="inlineStr">
        <is>
          <t>Revenue</t>
        </is>
      </c>
      <c r="B6" s="6">
        <f>Assumptions!$B$15</f>
        <v/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 (post-IFRS16)</t>
        </is>
      </c>
      <c r="C7" s="4" t="n">
        <v>6.3</v>
      </c>
      <c r="D7" s="4" t="n">
        <v>3.5</v>
      </c>
      <c r="E7" s="4" t="n">
        <v>6</v>
      </c>
      <c r="F7" s="4" t="n">
        <v>6.5</v>
      </c>
      <c r="G7" s="4" t="n">
        <v>6.5</v>
      </c>
      <c r="H7" s="4" t="n">
        <v>6.5</v>
      </c>
      <c r="I7" s="4" t="n">
        <v>6.5</v>
      </c>
      <c r="J7" s="4" t="n">
        <v>6.5</v>
      </c>
      <c r="K7" s="4" t="n">
        <v>6.5</v>
      </c>
      <c r="L7" s="4" t="n">
        <v>6.5</v>
      </c>
    </row>
    <row r="8">
      <c r="A8" t="inlineStr">
        <is>
          <t>Adjusted 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revenue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t="inlineStr">
        <is>
          <t>SBC $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(treatment B)</t>
        </is>
      </c>
      <c r="C11" s="6">
        <f>-C6*Assumptions!$B$9/100</f>
        <v/>
      </c>
      <c r="D11" s="6">
        <f>-D6*Assumptions!$B$9/100</f>
        <v/>
      </c>
      <c r="E11" s="6">
        <f>-E6*Assumptions!$B$9/100</f>
        <v/>
      </c>
      <c r="F11" s="6">
        <f>-F6*Assumptions!$B$9/100</f>
        <v/>
      </c>
      <c r="G11" s="6">
        <f>-G6*Assumptions!$B$9/100</f>
        <v/>
      </c>
      <c r="H11" s="6">
        <f>-H6*Assumptions!$B$9/100</f>
        <v/>
      </c>
      <c r="I11" s="6">
        <f>-I6*Assumptions!$B$9/100</f>
        <v/>
      </c>
      <c r="J11" s="6">
        <f>-J6*Assumptions!$B$9/100</f>
        <v/>
      </c>
      <c r="K11" s="6">
        <f>-K6*Assumptions!$B$9/100</f>
        <v/>
      </c>
      <c r="L11" s="6">
        <f>-L6*Assumptions!$B$9/100</f>
        <v/>
      </c>
    </row>
    <row r="12">
      <c r="A12" t="inlineStr">
        <is>
          <t>Owner EBITDA (after SBC, lease cash)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Owned-asset D&amp;A</t>
        </is>
      </c>
      <c r="C13" s="6">
        <f>-C6*Assumptions!$B$10/100</f>
        <v/>
      </c>
      <c r="D13" s="6">
        <f>-D6*Assumptions!$B$10/100</f>
        <v/>
      </c>
      <c r="E13" s="6">
        <f>-E6*Assumptions!$B$10/100</f>
        <v/>
      </c>
      <c r="F13" s="6">
        <f>-F6*Assumptions!$B$10/100</f>
        <v/>
      </c>
      <c r="G13" s="6">
        <f>-G6*Assumptions!$B$10/100</f>
        <v/>
      </c>
      <c r="H13" s="6">
        <f>-H6*Assumptions!$B$10/100</f>
        <v/>
      </c>
      <c r="I13" s="6">
        <f>-I6*Assumptions!$B$10/100</f>
        <v/>
      </c>
      <c r="J13" s="6">
        <f>-J6*Assumptions!$B$10/100</f>
        <v/>
      </c>
      <c r="K13" s="6">
        <f>-K6*Assumptions!$B$10/100</f>
        <v/>
      </c>
      <c r="L13" s="6">
        <f>-L6*Assumptions!$B$10/100</f>
        <v/>
      </c>
    </row>
    <row r="14">
      <c r="A14" t="inlineStr">
        <is>
          <t>EBIT (pre-IFRS16, pre-interest)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t="inlineStr">
        <is>
          <t>Cash tax + NCI leakage rate %</t>
        </is>
      </c>
      <c r="C15" s="4" t="n">
        <v>32</v>
      </c>
      <c r="D15" s="4" t="n">
        <v>35</v>
      </c>
      <c r="E15" s="4" t="n">
        <v>36</v>
      </c>
      <c r="F15" s="4" t="n">
        <v>38</v>
      </c>
      <c r="G15" s="4" t="n">
        <v>40</v>
      </c>
      <c r="H15" s="4" t="n">
        <v>42</v>
      </c>
      <c r="I15" s="4" t="n">
        <v>42</v>
      </c>
      <c r="J15" s="4" t="n">
        <v>42</v>
      </c>
      <c r="K15" s="4" t="n">
        <v>42</v>
      </c>
      <c r="L15" s="4" t="n">
        <v>42</v>
      </c>
    </row>
    <row r="16">
      <c r="A16" t="inlineStr">
        <is>
          <t>Tax + NCI leakage</t>
        </is>
      </c>
      <c r="C16">
        <f>-MAX(0,C14)*C15/100</f>
        <v/>
      </c>
      <c r="D16">
        <f>-MAX(0,D14)*D15/100</f>
        <v/>
      </c>
      <c r="E16">
        <f>-MAX(0,E14)*E15/100</f>
        <v/>
      </c>
      <c r="F16">
        <f>-MAX(0,F14)*F15/100</f>
        <v/>
      </c>
      <c r="G16">
        <f>-MAX(0,G14)*G15/100</f>
        <v/>
      </c>
      <c r="H16">
        <f>-MAX(0,H14)*H15/100</f>
        <v/>
      </c>
      <c r="I16">
        <f>-MAX(0,I14)*I15/100</f>
        <v/>
      </c>
      <c r="J16">
        <f>-MAX(0,J14)*J15/100</f>
        <v/>
      </c>
      <c r="K16">
        <f>-MAX(0,K14)*K15/100</f>
        <v/>
      </c>
      <c r="L16">
        <f>-MAX(0,L14)*L15/100</f>
        <v/>
      </c>
    </row>
    <row r="17">
      <c r="A17" t="inlineStr">
        <is>
          <t>NOPAT (attributable)</t>
        </is>
      </c>
      <c r="C17">
        <f>C14+C16</f>
        <v/>
      </c>
      <c r="D17">
        <f>D14+D16</f>
        <v/>
      </c>
      <c r="E17">
        <f>E14+E16</f>
        <v/>
      </c>
      <c r="F17">
        <f>F14+F16</f>
        <v/>
      </c>
      <c r="G17">
        <f>G14+G16</f>
        <v/>
      </c>
      <c r="H17">
        <f>H14+H16</f>
        <v/>
      </c>
      <c r="I17">
        <f>I14+I16</f>
        <v/>
      </c>
      <c r="J17">
        <f>J14+J16</f>
        <v/>
      </c>
      <c r="K17">
        <f>K14+K16</f>
        <v/>
      </c>
      <c r="L17">
        <f>L14+L16</f>
        <v/>
      </c>
    </row>
    <row r="18">
      <c r="A18" t="inlineStr">
        <is>
          <t>add back D&amp;A</t>
        </is>
      </c>
      <c r="C18">
        <f>-C13</f>
        <v/>
      </c>
      <c r="D18">
        <f>-D13</f>
        <v/>
      </c>
      <c r="E18">
        <f>-E13</f>
        <v/>
      </c>
      <c r="F18">
        <f>-F13</f>
        <v/>
      </c>
      <c r="G18">
        <f>-G13</f>
        <v/>
      </c>
      <c r="H18">
        <f>-H13</f>
        <v/>
      </c>
      <c r="I18">
        <f>-I13</f>
        <v/>
      </c>
      <c r="J18">
        <f>-J13</f>
        <v/>
      </c>
      <c r="K18">
        <f>-K13</f>
        <v/>
      </c>
      <c r="L18">
        <f>-L13</f>
        <v/>
      </c>
    </row>
    <row r="19">
      <c r="A19" t="inlineStr">
        <is>
          <t>less capex</t>
        </is>
      </c>
      <c r="C19" s="6">
        <f>-C6*Assumptions!$D$18/100</f>
        <v/>
      </c>
      <c r="D19" s="6">
        <f>-D6*Assumptions!$D$18/100</f>
        <v/>
      </c>
      <c r="E19" s="6">
        <f>-E6*Assumptions!$D$18/100</f>
        <v/>
      </c>
      <c r="F19" s="6">
        <f>-F6*Assumptions!$D$18/100</f>
        <v/>
      </c>
      <c r="G19" s="6">
        <f>-G6*Assumptions!$D$18/100</f>
        <v/>
      </c>
      <c r="H19" s="6">
        <f>-H6*Assumptions!$D$18/100</f>
        <v/>
      </c>
      <c r="I19" s="6">
        <f>-I6*Assumptions!$D$18/100</f>
        <v/>
      </c>
      <c r="J19" s="6">
        <f>-J6*Assumptions!$D$18/100</f>
        <v/>
      </c>
      <c r="K19" s="6">
        <f>-K6*Assumptions!$D$18/100</f>
        <v/>
      </c>
      <c r="L19" s="6">
        <f>-L6*Assumptions!$D$18/100</f>
        <v/>
      </c>
    </row>
    <row r="20">
      <c r="A20" t="inlineStr">
        <is>
          <t>Working capital (on change)</t>
        </is>
      </c>
      <c r="C20" s="6">
        <f>(C6-B6)*Assumptions!$B$11/100</f>
        <v/>
      </c>
      <c r="D20" s="6">
        <f>(D6-C6)*Assumptions!$B$11/100</f>
        <v/>
      </c>
      <c r="E20" s="6">
        <f>(E6-D6)*Assumptions!$B$11/100</f>
        <v/>
      </c>
      <c r="F20" s="6">
        <f>(F6-E6)*Assumptions!$B$11/100</f>
        <v/>
      </c>
      <c r="G20" s="6">
        <f>(G6-F6)*Assumptions!$B$11/100</f>
        <v/>
      </c>
      <c r="H20" s="6">
        <f>(H6-G6)*Assumptions!$B$11/100</f>
        <v/>
      </c>
      <c r="I20" s="6">
        <f>(I6-H6)*Assumptions!$B$11/100</f>
        <v/>
      </c>
      <c r="J20" s="6">
        <f>(J6-I6)*Assumptions!$B$11/100</f>
        <v/>
      </c>
      <c r="K20" s="6">
        <f>(K6-J6)*Assumptions!$B$11/100</f>
        <v/>
      </c>
      <c r="L20" s="6">
        <f>(L6-K6)*Assumptions!$B$11/100</f>
        <v/>
      </c>
    </row>
    <row r="21">
      <c r="A21" t="inlineStr">
        <is>
          <t>Unlevered owner FCF</t>
        </is>
      </c>
      <c r="C21" s="1">
        <f>C17+C18+C19+C20</f>
        <v/>
      </c>
      <c r="D21" s="1">
        <f>D17+D18+D19+D20</f>
        <v/>
      </c>
      <c r="E21" s="1">
        <f>E17+E18+E19+E20</f>
        <v/>
      </c>
      <c r="F21" s="1">
        <f>F17+F18+F19+F20</f>
        <v/>
      </c>
      <c r="G21" s="1">
        <f>G17+G18+G19+G20</f>
        <v/>
      </c>
      <c r="H21" s="1">
        <f>H17+H18+H19+H20</f>
        <v/>
      </c>
      <c r="I21" s="1">
        <f>I17+I18+I19+I20</f>
        <v/>
      </c>
      <c r="J21" s="1">
        <f>J17+J18+J19+J20</f>
        <v/>
      </c>
      <c r="K21" s="1">
        <f>K17+K18+K19+K20</f>
        <v/>
      </c>
      <c r="L21" s="1">
        <f>L17+L18+L19+L20</f>
        <v/>
      </c>
    </row>
    <row r="22">
      <c r="A22" t="inlineStr">
        <is>
          <t>Discount factor</t>
        </is>
      </c>
      <c r="C22" s="6">
        <f>1/(1+Assumptions!$B$8/100)^C4</f>
        <v/>
      </c>
      <c r="D22" s="6">
        <f>1/(1+Assumptions!$B$8/100)^D4</f>
        <v/>
      </c>
      <c r="E22" s="6">
        <f>1/(1+Assumptions!$B$8/100)^E4</f>
        <v/>
      </c>
      <c r="F22" s="6">
        <f>1/(1+Assumptions!$B$8/100)^F4</f>
        <v/>
      </c>
      <c r="G22" s="6">
        <f>1/(1+Assumptions!$B$8/100)^G4</f>
        <v/>
      </c>
      <c r="H22" s="6">
        <f>1/(1+Assumptions!$B$8/100)^H4</f>
        <v/>
      </c>
      <c r="I22" s="6">
        <f>1/(1+Assumptions!$B$8/100)^I4</f>
        <v/>
      </c>
      <c r="J22" s="6">
        <f>1/(1+Assumptions!$B$8/100)^J4</f>
        <v/>
      </c>
      <c r="K22" s="6">
        <f>1/(1+Assumptions!$B$8/100)^K4</f>
        <v/>
      </c>
      <c r="L22" s="6">
        <f>1/(1+Assumptions!$B$8/100)^L4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owner FCF margin %</t>
        </is>
      </c>
      <c r="C25">
        <f>C21/C6*100</f>
        <v/>
      </c>
      <c r="D25">
        <f>D21/D6*100</f>
        <v/>
      </c>
      <c r="E25">
        <f>E21/E6*100</f>
        <v/>
      </c>
      <c r="F25">
        <f>F21/F6*100</f>
        <v/>
      </c>
      <c r="G25">
        <f>G21/G6*100</f>
        <v/>
      </c>
      <c r="H25">
        <f>H21/H6*100</f>
        <v/>
      </c>
      <c r="I25">
        <f>I21/I6*100</f>
        <v/>
      </c>
      <c r="J25">
        <f>J21/J6*100</f>
        <v/>
      </c>
      <c r="K25">
        <f>K21/K6*100</f>
        <v/>
      </c>
      <c r="L25">
        <f>L21/L6*100</f>
        <v/>
      </c>
    </row>
    <row r="26">
      <c r="A26" t="inlineStr">
        <is>
          <t>Memo: FCF before lease &amp; SBC</t>
        </is>
      </c>
      <c r="C26">
        <f>C21-C10-C11</f>
        <v/>
      </c>
      <c r="D26">
        <f>D21-D10-D11</f>
        <v/>
      </c>
      <c r="E26">
        <f>E21-E10-E11</f>
        <v/>
      </c>
      <c r="F26">
        <f>F21-F10-F11</f>
        <v/>
      </c>
      <c r="G26">
        <f>G21-G10-G11</f>
        <v/>
      </c>
      <c r="H26">
        <f>H21-H10-H11</f>
        <v/>
      </c>
      <c r="I26">
        <f>I21-I10-I11</f>
        <v/>
      </c>
      <c r="J26">
        <f>J21-J10-J11</f>
        <v/>
      </c>
      <c r="K26">
        <f>K21-K10-K11</f>
        <v/>
      </c>
      <c r="L26">
        <f>L21-L10-L11</f>
        <v/>
      </c>
    </row>
    <row r="28">
      <c r="A28" t="inlineStr">
        <is>
          <t>Sum of PV (FCF)</t>
        </is>
      </c>
      <c r="B28">
        <f>SUM(C23:L23)</f>
        <v/>
      </c>
    </row>
    <row r="29">
      <c r="A29" t="inlineStr">
        <is>
          <t>Terminal growth %</t>
        </is>
      </c>
      <c r="B29" s="6">
        <f>Assumptions!$B$18</f>
        <v/>
      </c>
    </row>
    <row r="30">
      <c r="A30" t="inlineStr">
        <is>
          <t>Terminal-year FCF x (1+g)</t>
        </is>
      </c>
      <c r="B30">
        <f>L21*(1+B29/100)</f>
        <v/>
      </c>
    </row>
    <row r="31">
      <c r="A31" t="inlineStr">
        <is>
          <t>Gordon TV</t>
        </is>
      </c>
      <c r="B31">
        <f>IF(Assumptions!$B$8&gt;B29,B30/((Assumptions!$B$8-B29)/100),L21*B32)</f>
        <v/>
      </c>
    </row>
    <row r="32">
      <c r="A32" t="inlineStr">
        <is>
          <t>Cap multiple</t>
        </is>
      </c>
      <c r="B32" s="6">
        <f>Assumptions!$C$18</f>
        <v/>
      </c>
    </row>
    <row r="33">
      <c r="A33" t="inlineStr">
        <is>
          <t>Cap TV</t>
        </is>
      </c>
      <c r="B33">
        <f>B32*L21</f>
        <v/>
      </c>
    </row>
    <row r="34">
      <c r="A34" t="inlineStr">
        <is>
          <t>TV used = MAX(0,MIN(Gordon,cap))</t>
        </is>
      </c>
      <c r="B34">
        <f>MAX(0,MIN(B31,B33))</f>
        <v/>
      </c>
    </row>
    <row r="35">
      <c r="A35" t="inlineStr">
        <is>
          <t>Implied exit multiple</t>
        </is>
      </c>
      <c r="B35">
        <f>IF(L21&gt;0,B34/L21,"n/a")</f>
        <v/>
      </c>
    </row>
    <row r="36">
      <c r="A36" t="inlineStr">
        <is>
          <t>PV of TV</t>
        </is>
      </c>
      <c r="B36">
        <f>B34*L22</f>
        <v/>
      </c>
    </row>
    <row r="37">
      <c r="A37" t="inlineStr">
        <is>
          <t>Enterprise value</t>
        </is>
      </c>
      <c r="B37">
        <f>B28+B36</f>
        <v/>
      </c>
    </row>
    <row r="38">
      <c r="A38" t="inlineStr">
        <is>
          <t>less net debt (pro forma)</t>
        </is>
      </c>
      <c r="B38" s="6">
        <f>Assumptions!$B$5</f>
        <v/>
      </c>
    </row>
    <row r="39">
      <c r="A39" t="inlineStr">
        <is>
          <t>add non-operating assets</t>
        </is>
      </c>
      <c r="B39" s="6">
        <f>Assumptions!$B$6</f>
        <v/>
      </c>
    </row>
    <row r="40">
      <c r="A40" t="inlineStr">
        <is>
          <t>DCF equity value</t>
        </is>
      </c>
      <c r="B40">
        <f>B37-B38+B39</f>
        <v/>
      </c>
    </row>
    <row r="41">
      <c r="A41" t="inlineStr">
        <is>
          <t>DCF value per share</t>
        </is>
      </c>
      <c r="B41">
        <f>B40/Assumptions!$B$4</f>
        <v/>
      </c>
    </row>
    <row r="42">
      <c r="A42" t="inlineStr">
        <is>
          <t>Exit P/B (asset leg)</t>
        </is>
      </c>
      <c r="B42" s="6">
        <f>Assumptions!$E$18</f>
        <v/>
      </c>
    </row>
    <row r="43">
      <c r="A43" t="inlineStr">
        <is>
          <t>Asset-leg equity = BVPS x P/B x shares</t>
        </is>
      </c>
      <c r="B43">
        <f>Assumptions!$B$7*B42*Assumptions!$B$4</f>
        <v/>
      </c>
    </row>
    <row r="44">
      <c r="A44" t="inlineStr">
        <is>
          <t>Asset-leg value per share</t>
        </is>
      </c>
      <c r="B44">
        <f>B43/Assumptions!$B$4</f>
        <v/>
      </c>
    </row>
    <row r="45">
      <c r="A45" t="inlineStr">
        <is>
          <t>Asset weight</t>
        </is>
      </c>
      <c r="B45" s="6">
        <f>Assumptions!$F$18</f>
        <v/>
      </c>
    </row>
    <row r="46">
      <c r="A46" t="inlineStr">
        <is>
          <t>Blended equity value</t>
        </is>
      </c>
      <c r="B46">
        <f>(1-B45)*B40+B45*B43</f>
        <v/>
      </c>
    </row>
    <row r="47">
      <c r="A47" t="inlineStr">
        <is>
          <t>VALUE PER SHARE (blended)</t>
        </is>
      </c>
      <c r="B47" s="7">
        <f>B46/Assumptions!$B$4</f>
        <v/>
      </c>
    </row>
    <row r="48">
      <c r="A48" t="inlineStr">
        <is>
          <t>Upside vs price</t>
        </is>
      </c>
      <c r="B48">
        <f>B47/Assumptions!$B$3-1</f>
        <v/>
      </c>
    </row>
    <row r="49">
      <c r="A49" t="inlineStr">
        <is>
          <t>Terminal % of EV</t>
        </is>
      </c>
      <c r="B49">
        <f>IF(B37&gt;0,B36/B37,"n/a")</f>
        <v/>
      </c>
    </row>
    <row r="51">
      <c r="A51" t="inlineStr">
        <is>
          <t>Street memo: PV of explicit SBC</t>
        </is>
      </c>
      <c r="B51">
        <f>SUMPRODUCT(-C10:L10/(1+Assumptions!$B$8/100)^C4:L4)</f>
        <v/>
      </c>
    </row>
    <row r="52">
      <c r="A52" t="inlineStr">
        <is>
          <t>Street memo: PV of terminal SBC</t>
        </is>
      </c>
      <c r="B52">
        <f>IF(Assumptions!$B$8&gt;B29,-L10*(1+B29/100)/((Assumptions!$B$8-B29)/100)*L22,0)</f>
        <v/>
      </c>
    </row>
    <row r="53">
      <c r="A53" t="inlineStr">
        <is>
          <t>Street value per share</t>
        </is>
      </c>
      <c r="B53">
        <f>(B46+B51+B52)/Assumptions!$B$4</f>
        <v/>
      </c>
    </row>
    <row r="55">
      <c r="A55" t="inlineStr">
        <is>
          <t>Hurdle rate</t>
        </is>
      </c>
      <c r="B55" s="6">
        <f>Assumptions!$B$12</f>
        <v/>
      </c>
    </row>
    <row r="56">
      <c r="A56" t="inlineStr">
        <is>
          <t>Gordon TV at hurdle</t>
        </is>
      </c>
      <c r="B56">
        <f>IF(B55*100&gt;B29,B30/(B55-B29/100),L21*B32)</f>
        <v/>
      </c>
    </row>
    <row r="57">
      <c r="A57" t="inlineStr">
        <is>
          <t>TV at hurdle = MAX(0,MIN(Gordon@h,cap))</t>
        </is>
      </c>
      <c r="B57">
        <f>MAX(0,MIN(B56,B33))</f>
        <v/>
      </c>
    </row>
    <row r="58">
      <c r="A58" t="inlineStr">
        <is>
          <t>PV of interim FCF at hurdle</t>
        </is>
      </c>
      <c r="B58">
        <f>SUMPRODUCT(C21:L21/(1+B55)^C4:L4)</f>
        <v/>
      </c>
    </row>
    <row r="59">
      <c r="A59" t="inlineStr">
        <is>
          <t>Side term (investments + asset blend)</t>
        </is>
      </c>
      <c r="B59">
        <f>B39+B45*(B43-B40)</f>
        <v/>
      </c>
    </row>
    <row r="60">
      <c r="A60" t="inlineStr">
        <is>
          <t>ENTRY PRICE (15% IRR)</t>
        </is>
      </c>
      <c r="B60" s="7">
        <f>(B58+B57/(1+B55)^10+B59-B38)/Assumptions!$B$4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BASE scenario -- owner FCF on continuing operations (NZ$m)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4" t="n">
        <v>3</v>
      </c>
      <c r="D5" s="4" t="n">
        <v>6</v>
      </c>
      <c r="E5" s="4" t="n">
        <v>6</v>
      </c>
      <c r="F5" s="4" t="n">
        <v>6</v>
      </c>
      <c r="G5" s="4" t="n">
        <v>5.5</v>
      </c>
      <c r="H5" s="4" t="n">
        <v>5</v>
      </c>
      <c r="I5" s="4" t="n">
        <v>4.5</v>
      </c>
      <c r="J5" s="4" t="n">
        <v>4</v>
      </c>
      <c r="K5" s="4" t="n">
        <v>3.5</v>
      </c>
      <c r="L5" s="4" t="n">
        <v>3</v>
      </c>
    </row>
    <row r="6">
      <c r="A6" t="inlineStr">
        <is>
          <t>Revenue</t>
        </is>
      </c>
      <c r="B6" s="6">
        <f>Assumptions!$B$15</f>
        <v/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 (post-IFRS16)</t>
        </is>
      </c>
      <c r="C7" s="4" t="n">
        <v>7</v>
      </c>
      <c r="D7" s="4" t="n">
        <v>7.4</v>
      </c>
      <c r="E7" s="4" t="n">
        <v>7.8</v>
      </c>
      <c r="F7" s="4" t="n">
        <v>8.199999999999999</v>
      </c>
      <c r="G7" s="4" t="n">
        <v>8.6</v>
      </c>
      <c r="H7" s="4" t="n">
        <v>9</v>
      </c>
      <c r="I7" s="4" t="n">
        <v>9</v>
      </c>
      <c r="J7" s="4" t="n">
        <v>9</v>
      </c>
      <c r="K7" s="4" t="n">
        <v>9</v>
      </c>
      <c r="L7" s="4" t="n">
        <v>9</v>
      </c>
    </row>
    <row r="8">
      <c r="A8" t="inlineStr">
        <is>
          <t>Adjusted 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revenue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t="inlineStr">
        <is>
          <t>SBC $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(treatment B)</t>
        </is>
      </c>
      <c r="C11" s="6">
        <f>-C6*Assumptions!$B$9/100</f>
        <v/>
      </c>
      <c r="D11" s="6">
        <f>-D6*Assumptions!$B$9/100</f>
        <v/>
      </c>
      <c r="E11" s="6">
        <f>-E6*Assumptions!$B$9/100</f>
        <v/>
      </c>
      <c r="F11" s="6">
        <f>-F6*Assumptions!$B$9/100</f>
        <v/>
      </c>
      <c r="G11" s="6">
        <f>-G6*Assumptions!$B$9/100</f>
        <v/>
      </c>
      <c r="H11" s="6">
        <f>-H6*Assumptions!$B$9/100</f>
        <v/>
      </c>
      <c r="I11" s="6">
        <f>-I6*Assumptions!$B$9/100</f>
        <v/>
      </c>
      <c r="J11" s="6">
        <f>-J6*Assumptions!$B$9/100</f>
        <v/>
      </c>
      <c r="K11" s="6">
        <f>-K6*Assumptions!$B$9/100</f>
        <v/>
      </c>
      <c r="L11" s="6">
        <f>-L6*Assumptions!$B$9/100</f>
        <v/>
      </c>
    </row>
    <row r="12">
      <c r="A12" t="inlineStr">
        <is>
          <t>Owner EBITDA (after SBC, lease cash)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Owned-asset D&amp;A</t>
        </is>
      </c>
      <c r="C13" s="6">
        <f>-C6*Assumptions!$B$10/100</f>
        <v/>
      </c>
      <c r="D13" s="6">
        <f>-D6*Assumptions!$B$10/100</f>
        <v/>
      </c>
      <c r="E13" s="6">
        <f>-E6*Assumptions!$B$10/100</f>
        <v/>
      </c>
      <c r="F13" s="6">
        <f>-F6*Assumptions!$B$10/100</f>
        <v/>
      </c>
      <c r="G13" s="6">
        <f>-G6*Assumptions!$B$10/100</f>
        <v/>
      </c>
      <c r="H13" s="6">
        <f>-H6*Assumptions!$B$10/100</f>
        <v/>
      </c>
      <c r="I13" s="6">
        <f>-I6*Assumptions!$B$10/100</f>
        <v/>
      </c>
      <c r="J13" s="6">
        <f>-J6*Assumptions!$B$10/100</f>
        <v/>
      </c>
      <c r="K13" s="6">
        <f>-K6*Assumptions!$B$10/100</f>
        <v/>
      </c>
      <c r="L13" s="6">
        <f>-L6*Assumptions!$B$10/100</f>
        <v/>
      </c>
    </row>
    <row r="14">
      <c r="A14" t="inlineStr">
        <is>
          <t>EBIT (pre-IFRS16, pre-interest)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t="inlineStr">
        <is>
          <t>Cash tax + NCI leakage rate %</t>
        </is>
      </c>
      <c r="C15" s="4" t="n">
        <v>30</v>
      </c>
      <c r="D15" s="4" t="n">
        <v>31</v>
      </c>
      <c r="E15" s="4" t="n">
        <v>33</v>
      </c>
      <c r="F15" s="4" t="n">
        <v>35</v>
      </c>
      <c r="G15" s="4" t="n">
        <v>38</v>
      </c>
      <c r="H15" s="4" t="n">
        <v>39</v>
      </c>
      <c r="I15" s="4" t="n">
        <v>39</v>
      </c>
      <c r="J15" s="4" t="n">
        <v>38</v>
      </c>
      <c r="K15" s="4" t="n">
        <v>38</v>
      </c>
      <c r="L15" s="4" t="n">
        <v>38</v>
      </c>
    </row>
    <row r="16">
      <c r="A16" t="inlineStr">
        <is>
          <t>Tax + NCI leakage</t>
        </is>
      </c>
      <c r="C16">
        <f>-MAX(0,C14)*C15/100</f>
        <v/>
      </c>
      <c r="D16">
        <f>-MAX(0,D14)*D15/100</f>
        <v/>
      </c>
      <c r="E16">
        <f>-MAX(0,E14)*E15/100</f>
        <v/>
      </c>
      <c r="F16">
        <f>-MAX(0,F14)*F15/100</f>
        <v/>
      </c>
      <c r="G16">
        <f>-MAX(0,G14)*G15/100</f>
        <v/>
      </c>
      <c r="H16">
        <f>-MAX(0,H14)*H15/100</f>
        <v/>
      </c>
      <c r="I16">
        <f>-MAX(0,I14)*I15/100</f>
        <v/>
      </c>
      <c r="J16">
        <f>-MAX(0,J14)*J15/100</f>
        <v/>
      </c>
      <c r="K16">
        <f>-MAX(0,K14)*K15/100</f>
        <v/>
      </c>
      <c r="L16">
        <f>-MAX(0,L14)*L15/100</f>
        <v/>
      </c>
    </row>
    <row r="17">
      <c r="A17" t="inlineStr">
        <is>
          <t>NOPAT (attributable)</t>
        </is>
      </c>
      <c r="C17">
        <f>C14+C16</f>
        <v/>
      </c>
      <c r="D17">
        <f>D14+D16</f>
        <v/>
      </c>
      <c r="E17">
        <f>E14+E16</f>
        <v/>
      </c>
      <c r="F17">
        <f>F14+F16</f>
        <v/>
      </c>
      <c r="G17">
        <f>G14+G16</f>
        <v/>
      </c>
      <c r="H17">
        <f>H14+H16</f>
        <v/>
      </c>
      <c r="I17">
        <f>I14+I16</f>
        <v/>
      </c>
      <c r="J17">
        <f>J14+J16</f>
        <v/>
      </c>
      <c r="K17">
        <f>K14+K16</f>
        <v/>
      </c>
      <c r="L17">
        <f>L14+L16</f>
        <v/>
      </c>
    </row>
    <row r="18">
      <c r="A18" t="inlineStr">
        <is>
          <t>add back D&amp;A</t>
        </is>
      </c>
      <c r="C18">
        <f>-C13</f>
        <v/>
      </c>
      <c r="D18">
        <f>-D13</f>
        <v/>
      </c>
      <c r="E18">
        <f>-E13</f>
        <v/>
      </c>
      <c r="F18">
        <f>-F13</f>
        <v/>
      </c>
      <c r="G18">
        <f>-G13</f>
        <v/>
      </c>
      <c r="H18">
        <f>-H13</f>
        <v/>
      </c>
      <c r="I18">
        <f>-I13</f>
        <v/>
      </c>
      <c r="J18">
        <f>-J13</f>
        <v/>
      </c>
      <c r="K18">
        <f>-K13</f>
        <v/>
      </c>
      <c r="L18">
        <f>-L13</f>
        <v/>
      </c>
    </row>
    <row r="19">
      <c r="A19" t="inlineStr">
        <is>
          <t>less capex</t>
        </is>
      </c>
      <c r="C19" s="6">
        <f>-C6*Assumptions!$D$19/100</f>
        <v/>
      </c>
      <c r="D19" s="6">
        <f>-D6*Assumptions!$D$19/100</f>
        <v/>
      </c>
      <c r="E19" s="6">
        <f>-E6*Assumptions!$D$19/100</f>
        <v/>
      </c>
      <c r="F19" s="6">
        <f>-F6*Assumptions!$D$19/100</f>
        <v/>
      </c>
      <c r="G19" s="6">
        <f>-G6*Assumptions!$D$19/100</f>
        <v/>
      </c>
      <c r="H19" s="6">
        <f>-H6*Assumptions!$D$19/100</f>
        <v/>
      </c>
      <c r="I19" s="6">
        <f>-I6*Assumptions!$D$19/100</f>
        <v/>
      </c>
      <c r="J19" s="6">
        <f>-J6*Assumptions!$D$19/100</f>
        <v/>
      </c>
      <c r="K19" s="6">
        <f>-K6*Assumptions!$D$19/100</f>
        <v/>
      </c>
      <c r="L19" s="6">
        <f>-L6*Assumptions!$D$19/100</f>
        <v/>
      </c>
    </row>
    <row r="20">
      <c r="A20" t="inlineStr">
        <is>
          <t>Working capital (on change)</t>
        </is>
      </c>
      <c r="C20" s="6">
        <f>(C6-B6)*Assumptions!$B$11/100</f>
        <v/>
      </c>
      <c r="D20" s="6">
        <f>(D6-C6)*Assumptions!$B$11/100</f>
        <v/>
      </c>
      <c r="E20" s="6">
        <f>(E6-D6)*Assumptions!$B$11/100</f>
        <v/>
      </c>
      <c r="F20" s="6">
        <f>(F6-E6)*Assumptions!$B$11/100</f>
        <v/>
      </c>
      <c r="G20" s="6">
        <f>(G6-F6)*Assumptions!$B$11/100</f>
        <v/>
      </c>
      <c r="H20" s="6">
        <f>(H6-G6)*Assumptions!$B$11/100</f>
        <v/>
      </c>
      <c r="I20" s="6">
        <f>(I6-H6)*Assumptions!$B$11/100</f>
        <v/>
      </c>
      <c r="J20" s="6">
        <f>(J6-I6)*Assumptions!$B$11/100</f>
        <v/>
      </c>
      <c r="K20" s="6">
        <f>(K6-J6)*Assumptions!$B$11/100</f>
        <v/>
      </c>
      <c r="L20" s="6">
        <f>(L6-K6)*Assumptions!$B$11/100</f>
        <v/>
      </c>
    </row>
    <row r="21">
      <c r="A21" t="inlineStr">
        <is>
          <t>Unlevered owner FCF</t>
        </is>
      </c>
      <c r="C21" s="1">
        <f>C17+C18+C19+C20</f>
        <v/>
      </c>
      <c r="D21" s="1">
        <f>D17+D18+D19+D20</f>
        <v/>
      </c>
      <c r="E21" s="1">
        <f>E17+E18+E19+E20</f>
        <v/>
      </c>
      <c r="F21" s="1">
        <f>F17+F18+F19+F20</f>
        <v/>
      </c>
      <c r="G21" s="1">
        <f>G17+G18+G19+G20</f>
        <v/>
      </c>
      <c r="H21" s="1">
        <f>H17+H18+H19+H20</f>
        <v/>
      </c>
      <c r="I21" s="1">
        <f>I17+I18+I19+I20</f>
        <v/>
      </c>
      <c r="J21" s="1">
        <f>J17+J18+J19+J20</f>
        <v/>
      </c>
      <c r="K21" s="1">
        <f>K17+K18+K19+K20</f>
        <v/>
      </c>
      <c r="L21" s="1">
        <f>L17+L18+L19+L20</f>
        <v/>
      </c>
    </row>
    <row r="22">
      <c r="A22" t="inlineStr">
        <is>
          <t>Discount factor</t>
        </is>
      </c>
      <c r="C22" s="6">
        <f>1/(1+Assumptions!$B$8/100)^C4</f>
        <v/>
      </c>
      <c r="D22" s="6">
        <f>1/(1+Assumptions!$B$8/100)^D4</f>
        <v/>
      </c>
      <c r="E22" s="6">
        <f>1/(1+Assumptions!$B$8/100)^E4</f>
        <v/>
      </c>
      <c r="F22" s="6">
        <f>1/(1+Assumptions!$B$8/100)^F4</f>
        <v/>
      </c>
      <c r="G22" s="6">
        <f>1/(1+Assumptions!$B$8/100)^G4</f>
        <v/>
      </c>
      <c r="H22" s="6">
        <f>1/(1+Assumptions!$B$8/100)^H4</f>
        <v/>
      </c>
      <c r="I22" s="6">
        <f>1/(1+Assumptions!$B$8/100)^I4</f>
        <v/>
      </c>
      <c r="J22" s="6">
        <f>1/(1+Assumptions!$B$8/100)^J4</f>
        <v/>
      </c>
      <c r="K22" s="6">
        <f>1/(1+Assumptions!$B$8/100)^K4</f>
        <v/>
      </c>
      <c r="L22" s="6">
        <f>1/(1+Assumptions!$B$8/100)^L4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owner FCF margin %</t>
        </is>
      </c>
      <c r="C25">
        <f>C21/C6*100</f>
        <v/>
      </c>
      <c r="D25">
        <f>D21/D6*100</f>
        <v/>
      </c>
      <c r="E25">
        <f>E21/E6*100</f>
        <v/>
      </c>
      <c r="F25">
        <f>F21/F6*100</f>
        <v/>
      </c>
      <c r="G25">
        <f>G21/G6*100</f>
        <v/>
      </c>
      <c r="H25">
        <f>H21/H6*100</f>
        <v/>
      </c>
      <c r="I25">
        <f>I21/I6*100</f>
        <v/>
      </c>
      <c r="J25">
        <f>J21/J6*100</f>
        <v/>
      </c>
      <c r="K25">
        <f>K21/K6*100</f>
        <v/>
      </c>
      <c r="L25">
        <f>L21/L6*100</f>
        <v/>
      </c>
    </row>
    <row r="26">
      <c r="A26" t="inlineStr">
        <is>
          <t>Memo: FCF before lease &amp; SBC</t>
        </is>
      </c>
      <c r="C26">
        <f>C21-C10-C11</f>
        <v/>
      </c>
      <c r="D26">
        <f>D21-D10-D11</f>
        <v/>
      </c>
      <c r="E26">
        <f>E21-E10-E11</f>
        <v/>
      </c>
      <c r="F26">
        <f>F21-F10-F11</f>
        <v/>
      </c>
      <c r="G26">
        <f>G21-G10-G11</f>
        <v/>
      </c>
      <c r="H26">
        <f>H21-H10-H11</f>
        <v/>
      </c>
      <c r="I26">
        <f>I21-I10-I11</f>
        <v/>
      </c>
      <c r="J26">
        <f>J21-J10-J11</f>
        <v/>
      </c>
      <c r="K26">
        <f>K21-K10-K11</f>
        <v/>
      </c>
      <c r="L26">
        <f>L21-L10-L11</f>
        <v/>
      </c>
    </row>
    <row r="28">
      <c r="A28" t="inlineStr">
        <is>
          <t>Sum of PV (FCF)</t>
        </is>
      </c>
      <c r="B28">
        <f>SUM(C23:L23)</f>
        <v/>
      </c>
    </row>
    <row r="29">
      <c r="A29" t="inlineStr">
        <is>
          <t>Terminal growth %</t>
        </is>
      </c>
      <c r="B29" s="6">
        <f>Assumptions!$B$19</f>
        <v/>
      </c>
    </row>
    <row r="30">
      <c r="A30" t="inlineStr">
        <is>
          <t>Terminal-year FCF x (1+g)</t>
        </is>
      </c>
      <c r="B30">
        <f>L21*(1+B29/100)</f>
        <v/>
      </c>
    </row>
    <row r="31">
      <c r="A31" t="inlineStr">
        <is>
          <t>Gordon TV</t>
        </is>
      </c>
      <c r="B31">
        <f>IF(Assumptions!$B$8&gt;B29,B30/((Assumptions!$B$8-B29)/100),L21*B32)</f>
        <v/>
      </c>
    </row>
    <row r="32">
      <c r="A32" t="inlineStr">
        <is>
          <t>Cap multiple</t>
        </is>
      </c>
      <c r="B32" s="6">
        <f>Assumptions!$C$19</f>
        <v/>
      </c>
    </row>
    <row r="33">
      <c r="A33" t="inlineStr">
        <is>
          <t>Cap TV</t>
        </is>
      </c>
      <c r="B33">
        <f>B32*L21</f>
        <v/>
      </c>
    </row>
    <row r="34">
      <c r="A34" t="inlineStr">
        <is>
          <t>TV used = MAX(0,MIN(Gordon,cap))</t>
        </is>
      </c>
      <c r="B34">
        <f>MAX(0,MIN(B31,B33))</f>
        <v/>
      </c>
    </row>
    <row r="35">
      <c r="A35" t="inlineStr">
        <is>
          <t>Implied exit multiple</t>
        </is>
      </c>
      <c r="B35">
        <f>IF(L21&gt;0,B34/L21,"n/a")</f>
        <v/>
      </c>
    </row>
    <row r="36">
      <c r="A36" t="inlineStr">
        <is>
          <t>PV of TV</t>
        </is>
      </c>
      <c r="B36">
        <f>B34*L22</f>
        <v/>
      </c>
    </row>
    <row r="37">
      <c r="A37" t="inlineStr">
        <is>
          <t>Enterprise value</t>
        </is>
      </c>
      <c r="B37">
        <f>B28+B36</f>
        <v/>
      </c>
    </row>
    <row r="38">
      <c r="A38" t="inlineStr">
        <is>
          <t>less net debt (pro forma)</t>
        </is>
      </c>
      <c r="B38" s="6">
        <f>Assumptions!$B$5</f>
        <v/>
      </c>
    </row>
    <row r="39">
      <c r="A39" t="inlineStr">
        <is>
          <t>add non-operating assets</t>
        </is>
      </c>
      <c r="B39" s="6">
        <f>Assumptions!$B$6</f>
        <v/>
      </c>
    </row>
    <row r="40">
      <c r="A40" t="inlineStr">
        <is>
          <t>DCF equity value</t>
        </is>
      </c>
      <c r="B40">
        <f>B37-B38+B39</f>
        <v/>
      </c>
    </row>
    <row r="41">
      <c r="A41" t="inlineStr">
        <is>
          <t>DCF value per share</t>
        </is>
      </c>
      <c r="B41">
        <f>B40/Assumptions!$B$4</f>
        <v/>
      </c>
    </row>
    <row r="42">
      <c r="A42" t="inlineStr">
        <is>
          <t>Exit P/B (asset leg)</t>
        </is>
      </c>
      <c r="B42" s="6">
        <f>Assumptions!$E$19</f>
        <v/>
      </c>
    </row>
    <row r="43">
      <c r="A43" t="inlineStr">
        <is>
          <t>Asset-leg equity = BVPS x P/B x shares</t>
        </is>
      </c>
      <c r="B43">
        <f>Assumptions!$B$7*B42*Assumptions!$B$4</f>
        <v/>
      </c>
    </row>
    <row r="44">
      <c r="A44" t="inlineStr">
        <is>
          <t>Asset-leg value per share</t>
        </is>
      </c>
      <c r="B44">
        <f>B43/Assumptions!$B$4</f>
        <v/>
      </c>
    </row>
    <row r="45">
      <c r="A45" t="inlineStr">
        <is>
          <t>Asset weight</t>
        </is>
      </c>
      <c r="B45" s="6">
        <f>Assumptions!$F$19</f>
        <v/>
      </c>
    </row>
    <row r="46">
      <c r="A46" t="inlineStr">
        <is>
          <t>Blended equity value</t>
        </is>
      </c>
      <c r="B46">
        <f>(1-B45)*B40+B45*B43</f>
        <v/>
      </c>
    </row>
    <row r="47">
      <c r="A47" t="inlineStr">
        <is>
          <t>VALUE PER SHARE (blended)</t>
        </is>
      </c>
      <c r="B47" s="7">
        <f>B46/Assumptions!$B$4</f>
        <v/>
      </c>
    </row>
    <row r="48">
      <c r="A48" t="inlineStr">
        <is>
          <t>Upside vs price</t>
        </is>
      </c>
      <c r="B48">
        <f>B47/Assumptions!$B$3-1</f>
        <v/>
      </c>
    </row>
    <row r="49">
      <c r="A49" t="inlineStr">
        <is>
          <t>Terminal % of EV</t>
        </is>
      </c>
      <c r="B49">
        <f>IF(B37&gt;0,B36/B37,"n/a")</f>
        <v/>
      </c>
    </row>
    <row r="51">
      <c r="A51" t="inlineStr">
        <is>
          <t>Street memo: PV of explicit SBC</t>
        </is>
      </c>
      <c r="B51">
        <f>SUMPRODUCT(-C10:L10/(1+Assumptions!$B$8/100)^C4:L4)</f>
        <v/>
      </c>
    </row>
    <row r="52">
      <c r="A52" t="inlineStr">
        <is>
          <t>Street memo: PV of terminal SBC</t>
        </is>
      </c>
      <c r="B52">
        <f>IF(Assumptions!$B$8&gt;B29,-L10*(1+B29/100)/((Assumptions!$B$8-B29)/100)*L22,0)</f>
        <v/>
      </c>
    </row>
    <row r="53">
      <c r="A53" t="inlineStr">
        <is>
          <t>Street value per share</t>
        </is>
      </c>
      <c r="B53">
        <f>(B46+B51+B52)/Assumptions!$B$4</f>
        <v/>
      </c>
    </row>
    <row r="55">
      <c r="A55" t="inlineStr">
        <is>
          <t>Hurdle rate</t>
        </is>
      </c>
      <c r="B55" s="6">
        <f>Assumptions!$B$12</f>
        <v/>
      </c>
    </row>
    <row r="56">
      <c r="A56" t="inlineStr">
        <is>
          <t>Gordon TV at hurdle</t>
        </is>
      </c>
      <c r="B56">
        <f>IF(B55*100&gt;B29,B30/(B55-B29/100),L21*B32)</f>
        <v/>
      </c>
    </row>
    <row r="57">
      <c r="A57" t="inlineStr">
        <is>
          <t>TV at hurdle = MAX(0,MIN(Gordon@h,cap))</t>
        </is>
      </c>
      <c r="B57">
        <f>MAX(0,MIN(B56,B33))</f>
        <v/>
      </c>
    </row>
    <row r="58">
      <c r="A58" t="inlineStr">
        <is>
          <t>PV of interim FCF at hurdle</t>
        </is>
      </c>
      <c r="B58">
        <f>SUMPRODUCT(C21:L21/(1+B55)^C4:L4)</f>
        <v/>
      </c>
    </row>
    <row r="59">
      <c r="A59" t="inlineStr">
        <is>
          <t>Side term (investments + asset blend)</t>
        </is>
      </c>
      <c r="B59">
        <f>B39+B45*(B43-B40)</f>
        <v/>
      </c>
    </row>
    <row r="60">
      <c r="A60" t="inlineStr">
        <is>
          <t>ENTRY PRICE (15% IRR)</t>
        </is>
      </c>
      <c r="B60" s="7">
        <f>(B58+B57/(1+B55)^10+B59-B38)/Assumptions!$B$4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60"/>
  <sheetViews>
    <sheetView workbookViewId="0">
      <selection activeCell="A1" sqref="A1"/>
    </sheetView>
  </sheetViews>
  <sheetFormatPr baseColWidth="8" defaultRowHeight="15"/>
  <cols>
    <col width="4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1" t="inlineStr">
        <is>
          <t>BULL scenario -- owner FCF on continuing operations (NZ$m)</t>
        </is>
      </c>
    </row>
    <row r="3">
      <c r="A3" t="inlineStr">
        <is>
          <t>Year</t>
        </is>
      </c>
      <c r="B3" t="inlineStr">
        <is>
          <t>2025A</t>
        </is>
      </c>
      <c r="C3" t="inlineStr">
        <is>
          <t>2026E</t>
        </is>
      </c>
      <c r="D3" t="inlineStr">
        <is>
          <t>2027E</t>
        </is>
      </c>
      <c r="E3" t="inlineStr">
        <is>
          <t>2028E</t>
        </is>
      </c>
      <c r="F3" t="inlineStr">
        <is>
          <t>2029E</t>
        </is>
      </c>
      <c r="G3" t="inlineStr">
        <is>
          <t>2030E</t>
        </is>
      </c>
      <c r="H3" t="inlineStr">
        <is>
          <t>2031E</t>
        </is>
      </c>
      <c r="I3" t="inlineStr">
        <is>
          <t>2032E</t>
        </is>
      </c>
      <c r="J3" t="inlineStr">
        <is>
          <t>2033E</t>
        </is>
      </c>
      <c r="K3" t="inlineStr">
        <is>
          <t>2034E</t>
        </is>
      </c>
      <c r="L3" t="inlineStr">
        <is>
          <t>2035E</t>
        </is>
      </c>
    </row>
    <row r="4">
      <c r="A4" t="inlineStr">
        <is>
          <t>Index</t>
        </is>
      </c>
      <c r="B4" t="n">
        <v>0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6</v>
      </c>
      <c r="I4" t="n">
        <v>7</v>
      </c>
      <c r="J4" t="n">
        <v>8</v>
      </c>
      <c r="K4" t="n">
        <v>9</v>
      </c>
      <c r="L4" t="n">
        <v>10</v>
      </c>
    </row>
    <row r="5">
      <c r="A5" t="inlineStr">
        <is>
          <t>Revenue growth %</t>
        </is>
      </c>
      <c r="C5" s="4" t="n">
        <v>4</v>
      </c>
      <c r="D5" s="4" t="n">
        <v>8</v>
      </c>
      <c r="E5" s="4" t="n">
        <v>8</v>
      </c>
      <c r="F5" s="4" t="n">
        <v>8</v>
      </c>
      <c r="G5" s="4" t="n">
        <v>7</v>
      </c>
      <c r="H5" s="4" t="n">
        <v>6</v>
      </c>
      <c r="I5" s="4" t="n">
        <v>5</v>
      </c>
      <c r="J5" s="4" t="n">
        <v>4.5</v>
      </c>
      <c r="K5" s="4" t="n">
        <v>4</v>
      </c>
      <c r="L5" s="4" t="n">
        <v>3.5</v>
      </c>
    </row>
    <row r="6">
      <c r="A6" t="inlineStr">
        <is>
          <t>Revenue</t>
        </is>
      </c>
      <c r="B6" s="6">
        <f>Assumptions!$B$15</f>
        <v/>
      </c>
      <c r="C6">
        <f>B6*(1+C5/100)</f>
        <v/>
      </c>
      <c r="D6">
        <f>C6*(1+D5/100)</f>
        <v/>
      </c>
      <c r="E6">
        <f>D6*(1+E5/100)</f>
        <v/>
      </c>
      <c r="F6">
        <f>E6*(1+F5/100)</f>
        <v/>
      </c>
      <c r="G6">
        <f>F6*(1+G5/100)</f>
        <v/>
      </c>
      <c r="H6">
        <f>G6*(1+H5/100)</f>
        <v/>
      </c>
      <c r="I6">
        <f>H6*(1+I5/100)</f>
        <v/>
      </c>
      <c r="J6">
        <f>I6*(1+J5/100)</f>
        <v/>
      </c>
      <c r="K6">
        <f>J6*(1+K5/100)</f>
        <v/>
      </c>
      <c r="L6">
        <f>K6*(1+L5/100)</f>
        <v/>
      </c>
    </row>
    <row r="7">
      <c r="A7" t="inlineStr">
        <is>
          <t>Adj EBITDA margin % (post-IFRS16)</t>
        </is>
      </c>
      <c r="C7" s="4" t="n">
        <v>7.3</v>
      </c>
      <c r="D7" s="4" t="n">
        <v>8</v>
      </c>
      <c r="E7" s="4" t="n">
        <v>8.800000000000001</v>
      </c>
      <c r="F7" s="4" t="n">
        <v>9.5</v>
      </c>
      <c r="G7" s="4" t="n">
        <v>10.2</v>
      </c>
      <c r="H7" s="4" t="n">
        <v>11</v>
      </c>
      <c r="I7" s="4" t="n">
        <v>11.5</v>
      </c>
      <c r="J7" s="4" t="n">
        <v>11.5</v>
      </c>
      <c r="K7" s="4" t="n">
        <v>11.5</v>
      </c>
      <c r="L7" s="4" t="n">
        <v>11.5</v>
      </c>
    </row>
    <row r="8">
      <c r="A8" t="inlineStr">
        <is>
          <t>Adjusted EBITDA</t>
        </is>
      </c>
      <c r="C8">
        <f>C6*C7/100</f>
        <v/>
      </c>
      <c r="D8">
        <f>D6*D7/100</f>
        <v/>
      </c>
      <c r="E8">
        <f>E6*E7/100</f>
        <v/>
      </c>
      <c r="F8">
        <f>F6*F7/100</f>
        <v/>
      </c>
      <c r="G8">
        <f>G6*G7/100</f>
        <v/>
      </c>
      <c r="H8">
        <f>H6*H7/100</f>
        <v/>
      </c>
      <c r="I8">
        <f>I6*I7/100</f>
        <v/>
      </c>
      <c r="J8">
        <f>J6*J7/100</f>
        <v/>
      </c>
      <c r="K8">
        <f>K6*K7/100</f>
        <v/>
      </c>
      <c r="L8">
        <f>L6*L7/100</f>
        <v/>
      </c>
    </row>
    <row r="9">
      <c r="A9" t="inlineStr">
        <is>
          <t>SBC % revenue</t>
        </is>
      </c>
      <c r="C9" s="2" t="n">
        <v>0</v>
      </c>
      <c r="D9" s="2" t="n">
        <v>0</v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</row>
    <row r="10">
      <c r="A10" t="inlineStr">
        <is>
          <t>SBC $</t>
        </is>
      </c>
      <c r="C10">
        <f>-C6*C9/100</f>
        <v/>
      </c>
      <c r="D10">
        <f>-D6*D9/100</f>
        <v/>
      </c>
      <c r="E10">
        <f>-E6*E9/100</f>
        <v/>
      </c>
      <c r="F10">
        <f>-F6*F9/100</f>
        <v/>
      </c>
      <c r="G10">
        <f>-G6*G9/100</f>
        <v/>
      </c>
      <c r="H10">
        <f>-H6*H9/100</f>
        <v/>
      </c>
      <c r="I10">
        <f>-I6*I9/100</f>
        <v/>
      </c>
      <c r="J10">
        <f>-J6*J9/100</f>
        <v/>
      </c>
      <c r="K10">
        <f>-K6*K9/100</f>
        <v/>
      </c>
      <c r="L10">
        <f>-L6*L9/100</f>
        <v/>
      </c>
    </row>
    <row r="11">
      <c r="A11" t="inlineStr">
        <is>
          <t>Lease cash (treatment B)</t>
        </is>
      </c>
      <c r="C11" s="6">
        <f>-C6*Assumptions!$B$9/100</f>
        <v/>
      </c>
      <c r="D11" s="6">
        <f>-D6*Assumptions!$B$9/100</f>
        <v/>
      </c>
      <c r="E11" s="6">
        <f>-E6*Assumptions!$B$9/100</f>
        <v/>
      </c>
      <c r="F11" s="6">
        <f>-F6*Assumptions!$B$9/100</f>
        <v/>
      </c>
      <c r="G11" s="6">
        <f>-G6*Assumptions!$B$9/100</f>
        <v/>
      </c>
      <c r="H11" s="6">
        <f>-H6*Assumptions!$B$9/100</f>
        <v/>
      </c>
      <c r="I11" s="6">
        <f>-I6*Assumptions!$B$9/100</f>
        <v/>
      </c>
      <c r="J11" s="6">
        <f>-J6*Assumptions!$B$9/100</f>
        <v/>
      </c>
      <c r="K11" s="6">
        <f>-K6*Assumptions!$B$9/100</f>
        <v/>
      </c>
      <c r="L11" s="6">
        <f>-L6*Assumptions!$B$9/100</f>
        <v/>
      </c>
    </row>
    <row r="12">
      <c r="A12" t="inlineStr">
        <is>
          <t>Owner EBITDA (after SBC, lease cash)</t>
        </is>
      </c>
      <c r="C12">
        <f>C8+C10+C11</f>
        <v/>
      </c>
      <c r="D12">
        <f>D8+D10+D11</f>
        <v/>
      </c>
      <c r="E12">
        <f>E8+E10+E11</f>
        <v/>
      </c>
      <c r="F12">
        <f>F8+F10+F11</f>
        <v/>
      </c>
      <c r="G12">
        <f>G8+G10+G11</f>
        <v/>
      </c>
      <c r="H12">
        <f>H8+H10+H11</f>
        <v/>
      </c>
      <c r="I12">
        <f>I8+I10+I11</f>
        <v/>
      </c>
      <c r="J12">
        <f>J8+J10+J11</f>
        <v/>
      </c>
      <c r="K12">
        <f>K8+K10+K11</f>
        <v/>
      </c>
      <c r="L12">
        <f>L8+L10+L11</f>
        <v/>
      </c>
    </row>
    <row r="13">
      <c r="A13" t="inlineStr">
        <is>
          <t>Owned-asset D&amp;A</t>
        </is>
      </c>
      <c r="C13" s="6">
        <f>-C6*Assumptions!$B$10/100</f>
        <v/>
      </c>
      <c r="D13" s="6">
        <f>-D6*Assumptions!$B$10/100</f>
        <v/>
      </c>
      <c r="E13" s="6">
        <f>-E6*Assumptions!$B$10/100</f>
        <v/>
      </c>
      <c r="F13" s="6">
        <f>-F6*Assumptions!$B$10/100</f>
        <v/>
      </c>
      <c r="G13" s="6">
        <f>-G6*Assumptions!$B$10/100</f>
        <v/>
      </c>
      <c r="H13" s="6">
        <f>-H6*Assumptions!$B$10/100</f>
        <v/>
      </c>
      <c r="I13" s="6">
        <f>-I6*Assumptions!$B$10/100</f>
        <v/>
      </c>
      <c r="J13" s="6">
        <f>-J6*Assumptions!$B$10/100</f>
        <v/>
      </c>
      <c r="K13" s="6">
        <f>-K6*Assumptions!$B$10/100</f>
        <v/>
      </c>
      <c r="L13" s="6">
        <f>-L6*Assumptions!$B$10/100</f>
        <v/>
      </c>
    </row>
    <row r="14">
      <c r="A14" t="inlineStr">
        <is>
          <t>EBIT (pre-IFRS16, pre-interest)</t>
        </is>
      </c>
      <c r="C14">
        <f>C12+C13</f>
        <v/>
      </c>
      <c r="D14">
        <f>D12+D13</f>
        <v/>
      </c>
      <c r="E14">
        <f>E12+E13</f>
        <v/>
      </c>
      <c r="F14">
        <f>F12+F13</f>
        <v/>
      </c>
      <c r="G14">
        <f>G12+G13</f>
        <v/>
      </c>
      <c r="H14">
        <f>H12+H13</f>
        <v/>
      </c>
      <c r="I14">
        <f>I12+I13</f>
        <v/>
      </c>
      <c r="J14">
        <f>J12+J13</f>
        <v/>
      </c>
      <c r="K14">
        <f>K12+K13</f>
        <v/>
      </c>
      <c r="L14">
        <f>L12+L13</f>
        <v/>
      </c>
    </row>
    <row r="15">
      <c r="A15" t="inlineStr">
        <is>
          <t>Cash tax + NCI leakage rate %</t>
        </is>
      </c>
      <c r="C15" s="4" t="n">
        <v>29</v>
      </c>
      <c r="D15" s="4" t="n">
        <v>30</v>
      </c>
      <c r="E15" s="4" t="n">
        <v>32</v>
      </c>
      <c r="F15" s="4" t="n">
        <v>34</v>
      </c>
      <c r="G15" s="4" t="n">
        <v>36</v>
      </c>
      <c r="H15" s="4" t="n">
        <v>37</v>
      </c>
      <c r="I15" s="4" t="n">
        <v>37</v>
      </c>
      <c r="J15" s="4" t="n">
        <v>36</v>
      </c>
      <c r="K15" s="4" t="n">
        <v>36</v>
      </c>
      <c r="L15" s="4" t="n">
        <v>36</v>
      </c>
    </row>
    <row r="16">
      <c r="A16" t="inlineStr">
        <is>
          <t>Tax + NCI leakage</t>
        </is>
      </c>
      <c r="C16">
        <f>-MAX(0,C14)*C15/100</f>
        <v/>
      </c>
      <c r="D16">
        <f>-MAX(0,D14)*D15/100</f>
        <v/>
      </c>
      <c r="E16">
        <f>-MAX(0,E14)*E15/100</f>
        <v/>
      </c>
      <c r="F16">
        <f>-MAX(0,F14)*F15/100</f>
        <v/>
      </c>
      <c r="G16">
        <f>-MAX(0,G14)*G15/100</f>
        <v/>
      </c>
      <c r="H16">
        <f>-MAX(0,H14)*H15/100</f>
        <v/>
      </c>
      <c r="I16">
        <f>-MAX(0,I14)*I15/100</f>
        <v/>
      </c>
      <c r="J16">
        <f>-MAX(0,J14)*J15/100</f>
        <v/>
      </c>
      <c r="K16">
        <f>-MAX(0,K14)*K15/100</f>
        <v/>
      </c>
      <c r="L16">
        <f>-MAX(0,L14)*L15/100</f>
        <v/>
      </c>
    </row>
    <row r="17">
      <c r="A17" t="inlineStr">
        <is>
          <t>NOPAT (attributable)</t>
        </is>
      </c>
      <c r="C17">
        <f>C14+C16</f>
        <v/>
      </c>
      <c r="D17">
        <f>D14+D16</f>
        <v/>
      </c>
      <c r="E17">
        <f>E14+E16</f>
        <v/>
      </c>
      <c r="F17">
        <f>F14+F16</f>
        <v/>
      </c>
      <c r="G17">
        <f>G14+G16</f>
        <v/>
      </c>
      <c r="H17">
        <f>H14+H16</f>
        <v/>
      </c>
      <c r="I17">
        <f>I14+I16</f>
        <v/>
      </c>
      <c r="J17">
        <f>J14+J16</f>
        <v/>
      </c>
      <c r="K17">
        <f>K14+K16</f>
        <v/>
      </c>
      <c r="L17">
        <f>L14+L16</f>
        <v/>
      </c>
    </row>
    <row r="18">
      <c r="A18" t="inlineStr">
        <is>
          <t>add back D&amp;A</t>
        </is>
      </c>
      <c r="C18">
        <f>-C13</f>
        <v/>
      </c>
      <c r="D18">
        <f>-D13</f>
        <v/>
      </c>
      <c r="E18">
        <f>-E13</f>
        <v/>
      </c>
      <c r="F18">
        <f>-F13</f>
        <v/>
      </c>
      <c r="G18">
        <f>-G13</f>
        <v/>
      </c>
      <c r="H18">
        <f>-H13</f>
        <v/>
      </c>
      <c r="I18">
        <f>-I13</f>
        <v/>
      </c>
      <c r="J18">
        <f>-J13</f>
        <v/>
      </c>
      <c r="K18">
        <f>-K13</f>
        <v/>
      </c>
      <c r="L18">
        <f>-L13</f>
        <v/>
      </c>
    </row>
    <row r="19">
      <c r="A19" t="inlineStr">
        <is>
          <t>less capex</t>
        </is>
      </c>
      <c r="C19" s="6">
        <f>-C6*Assumptions!$D$20/100</f>
        <v/>
      </c>
      <c r="D19" s="6">
        <f>-D6*Assumptions!$D$20/100</f>
        <v/>
      </c>
      <c r="E19" s="6">
        <f>-E6*Assumptions!$D$20/100</f>
        <v/>
      </c>
      <c r="F19" s="6">
        <f>-F6*Assumptions!$D$20/100</f>
        <v/>
      </c>
      <c r="G19" s="6">
        <f>-G6*Assumptions!$D$20/100</f>
        <v/>
      </c>
      <c r="H19" s="6">
        <f>-H6*Assumptions!$D$20/100</f>
        <v/>
      </c>
      <c r="I19" s="6">
        <f>-I6*Assumptions!$D$20/100</f>
        <v/>
      </c>
      <c r="J19" s="6">
        <f>-J6*Assumptions!$D$20/100</f>
        <v/>
      </c>
      <c r="K19" s="6">
        <f>-K6*Assumptions!$D$20/100</f>
        <v/>
      </c>
      <c r="L19" s="6">
        <f>-L6*Assumptions!$D$20/100</f>
        <v/>
      </c>
    </row>
    <row r="20">
      <c r="A20" t="inlineStr">
        <is>
          <t>Working capital (on change)</t>
        </is>
      </c>
      <c r="C20" s="6">
        <f>(C6-B6)*Assumptions!$B$11/100</f>
        <v/>
      </c>
      <c r="D20" s="6">
        <f>(D6-C6)*Assumptions!$B$11/100</f>
        <v/>
      </c>
      <c r="E20" s="6">
        <f>(E6-D6)*Assumptions!$B$11/100</f>
        <v/>
      </c>
      <c r="F20" s="6">
        <f>(F6-E6)*Assumptions!$B$11/100</f>
        <v/>
      </c>
      <c r="G20" s="6">
        <f>(G6-F6)*Assumptions!$B$11/100</f>
        <v/>
      </c>
      <c r="H20" s="6">
        <f>(H6-G6)*Assumptions!$B$11/100</f>
        <v/>
      </c>
      <c r="I20" s="6">
        <f>(I6-H6)*Assumptions!$B$11/100</f>
        <v/>
      </c>
      <c r="J20" s="6">
        <f>(J6-I6)*Assumptions!$B$11/100</f>
        <v/>
      </c>
      <c r="K20" s="6">
        <f>(K6-J6)*Assumptions!$B$11/100</f>
        <v/>
      </c>
      <c r="L20" s="6">
        <f>(L6-K6)*Assumptions!$B$11/100</f>
        <v/>
      </c>
    </row>
    <row r="21">
      <c r="A21" t="inlineStr">
        <is>
          <t>Unlevered owner FCF</t>
        </is>
      </c>
      <c r="C21" s="1">
        <f>C17+C18+C19+C20</f>
        <v/>
      </c>
      <c r="D21" s="1">
        <f>D17+D18+D19+D20</f>
        <v/>
      </c>
      <c r="E21" s="1">
        <f>E17+E18+E19+E20</f>
        <v/>
      </c>
      <c r="F21" s="1">
        <f>F17+F18+F19+F20</f>
        <v/>
      </c>
      <c r="G21" s="1">
        <f>G17+G18+G19+G20</f>
        <v/>
      </c>
      <c r="H21" s="1">
        <f>H17+H18+H19+H20</f>
        <v/>
      </c>
      <c r="I21" s="1">
        <f>I17+I18+I19+I20</f>
        <v/>
      </c>
      <c r="J21" s="1">
        <f>J17+J18+J19+J20</f>
        <v/>
      </c>
      <c r="K21" s="1">
        <f>K17+K18+K19+K20</f>
        <v/>
      </c>
      <c r="L21" s="1">
        <f>L17+L18+L19+L20</f>
        <v/>
      </c>
    </row>
    <row r="22">
      <c r="A22" t="inlineStr">
        <is>
          <t>Discount factor</t>
        </is>
      </c>
      <c r="C22" s="6">
        <f>1/(1+Assumptions!$B$8/100)^C4</f>
        <v/>
      </c>
      <c r="D22" s="6">
        <f>1/(1+Assumptions!$B$8/100)^D4</f>
        <v/>
      </c>
      <c r="E22" s="6">
        <f>1/(1+Assumptions!$B$8/100)^E4</f>
        <v/>
      </c>
      <c r="F22" s="6">
        <f>1/(1+Assumptions!$B$8/100)^F4</f>
        <v/>
      </c>
      <c r="G22" s="6">
        <f>1/(1+Assumptions!$B$8/100)^G4</f>
        <v/>
      </c>
      <c r="H22" s="6">
        <f>1/(1+Assumptions!$B$8/100)^H4</f>
        <v/>
      </c>
      <c r="I22" s="6">
        <f>1/(1+Assumptions!$B$8/100)^I4</f>
        <v/>
      </c>
      <c r="J22" s="6">
        <f>1/(1+Assumptions!$B$8/100)^J4</f>
        <v/>
      </c>
      <c r="K22" s="6">
        <f>1/(1+Assumptions!$B$8/100)^K4</f>
        <v/>
      </c>
      <c r="L22" s="6">
        <f>1/(1+Assumptions!$B$8/100)^L4</f>
        <v/>
      </c>
    </row>
    <row r="23">
      <c r="A23" t="inlineStr">
        <is>
          <t>PV of FCF</t>
        </is>
      </c>
      <c r="C23">
        <f>C21*C22</f>
        <v/>
      </c>
      <c r="D23">
        <f>D21*D22</f>
        <v/>
      </c>
      <c r="E23">
        <f>E21*E22</f>
        <v/>
      </c>
      <c r="F23">
        <f>F21*F22</f>
        <v/>
      </c>
      <c r="G23">
        <f>G21*G22</f>
        <v/>
      </c>
      <c r="H23">
        <f>H21*H22</f>
        <v/>
      </c>
      <c r="I23">
        <f>I21*I22</f>
        <v/>
      </c>
      <c r="J23">
        <f>J21*J22</f>
        <v/>
      </c>
      <c r="K23">
        <f>K21*K22</f>
        <v/>
      </c>
      <c r="L23">
        <f>L21*L22</f>
        <v/>
      </c>
    </row>
    <row r="25">
      <c r="A25" t="inlineStr">
        <is>
          <t>Memo: owner FCF margin %</t>
        </is>
      </c>
      <c r="C25">
        <f>C21/C6*100</f>
        <v/>
      </c>
      <c r="D25">
        <f>D21/D6*100</f>
        <v/>
      </c>
      <c r="E25">
        <f>E21/E6*100</f>
        <v/>
      </c>
      <c r="F25">
        <f>F21/F6*100</f>
        <v/>
      </c>
      <c r="G25">
        <f>G21/G6*100</f>
        <v/>
      </c>
      <c r="H25">
        <f>H21/H6*100</f>
        <v/>
      </c>
      <c r="I25">
        <f>I21/I6*100</f>
        <v/>
      </c>
      <c r="J25">
        <f>J21/J6*100</f>
        <v/>
      </c>
      <c r="K25">
        <f>K21/K6*100</f>
        <v/>
      </c>
      <c r="L25">
        <f>L21/L6*100</f>
        <v/>
      </c>
    </row>
    <row r="26">
      <c r="A26" t="inlineStr">
        <is>
          <t>Memo: FCF before lease &amp; SBC</t>
        </is>
      </c>
      <c r="C26">
        <f>C21-C10-C11</f>
        <v/>
      </c>
      <c r="D26">
        <f>D21-D10-D11</f>
        <v/>
      </c>
      <c r="E26">
        <f>E21-E10-E11</f>
        <v/>
      </c>
      <c r="F26">
        <f>F21-F10-F11</f>
        <v/>
      </c>
      <c r="G26">
        <f>G21-G10-G11</f>
        <v/>
      </c>
      <c r="H26">
        <f>H21-H10-H11</f>
        <v/>
      </c>
      <c r="I26">
        <f>I21-I10-I11</f>
        <v/>
      </c>
      <c r="J26">
        <f>J21-J10-J11</f>
        <v/>
      </c>
      <c r="K26">
        <f>K21-K10-K11</f>
        <v/>
      </c>
      <c r="L26">
        <f>L21-L10-L11</f>
        <v/>
      </c>
    </row>
    <row r="28">
      <c r="A28" t="inlineStr">
        <is>
          <t>Sum of PV (FCF)</t>
        </is>
      </c>
      <c r="B28">
        <f>SUM(C23:L23)</f>
        <v/>
      </c>
    </row>
    <row r="29">
      <c r="A29" t="inlineStr">
        <is>
          <t>Terminal growth %</t>
        </is>
      </c>
      <c r="B29" s="6">
        <f>Assumptions!$B$20</f>
        <v/>
      </c>
    </row>
    <row r="30">
      <c r="A30" t="inlineStr">
        <is>
          <t>Terminal-year FCF x (1+g)</t>
        </is>
      </c>
      <c r="B30">
        <f>L21*(1+B29/100)</f>
        <v/>
      </c>
    </row>
    <row r="31">
      <c r="A31" t="inlineStr">
        <is>
          <t>Gordon TV</t>
        </is>
      </c>
      <c r="B31">
        <f>IF(Assumptions!$B$8&gt;B29,B30/((Assumptions!$B$8-B29)/100),L21*B32)</f>
        <v/>
      </c>
    </row>
    <row r="32">
      <c r="A32" t="inlineStr">
        <is>
          <t>Cap multiple</t>
        </is>
      </c>
      <c r="B32" s="6">
        <f>Assumptions!$C$20</f>
        <v/>
      </c>
    </row>
    <row r="33">
      <c r="A33" t="inlineStr">
        <is>
          <t>Cap TV</t>
        </is>
      </c>
      <c r="B33">
        <f>B32*L21</f>
        <v/>
      </c>
    </row>
    <row r="34">
      <c r="A34" t="inlineStr">
        <is>
          <t>TV used = MAX(0,MIN(Gordon,cap))</t>
        </is>
      </c>
      <c r="B34">
        <f>MAX(0,MIN(B31,B33))</f>
        <v/>
      </c>
    </row>
    <row r="35">
      <c r="A35" t="inlineStr">
        <is>
          <t>Implied exit multiple</t>
        </is>
      </c>
      <c r="B35">
        <f>IF(L21&gt;0,B34/L21,"n/a")</f>
        <v/>
      </c>
    </row>
    <row r="36">
      <c r="A36" t="inlineStr">
        <is>
          <t>PV of TV</t>
        </is>
      </c>
      <c r="B36">
        <f>B34*L22</f>
        <v/>
      </c>
    </row>
    <row r="37">
      <c r="A37" t="inlineStr">
        <is>
          <t>Enterprise value</t>
        </is>
      </c>
      <c r="B37">
        <f>B28+B36</f>
        <v/>
      </c>
    </row>
    <row r="38">
      <c r="A38" t="inlineStr">
        <is>
          <t>less net debt (pro forma)</t>
        </is>
      </c>
      <c r="B38" s="6">
        <f>Assumptions!$B$5</f>
        <v/>
      </c>
    </row>
    <row r="39">
      <c r="A39" t="inlineStr">
        <is>
          <t>add non-operating assets</t>
        </is>
      </c>
      <c r="B39" s="6">
        <f>Assumptions!$B$6</f>
        <v/>
      </c>
    </row>
    <row r="40">
      <c r="A40" t="inlineStr">
        <is>
          <t>DCF equity value</t>
        </is>
      </c>
      <c r="B40">
        <f>B37-B38+B39</f>
        <v/>
      </c>
    </row>
    <row r="41">
      <c r="A41" t="inlineStr">
        <is>
          <t>DCF value per share</t>
        </is>
      </c>
      <c r="B41">
        <f>B40/Assumptions!$B$4</f>
        <v/>
      </c>
    </row>
    <row r="42">
      <c r="A42" t="inlineStr">
        <is>
          <t>Exit P/B (asset leg)</t>
        </is>
      </c>
      <c r="B42" s="6">
        <f>Assumptions!$E$20</f>
        <v/>
      </c>
    </row>
    <row r="43">
      <c r="A43" t="inlineStr">
        <is>
          <t>Asset-leg equity = BVPS x P/B x shares</t>
        </is>
      </c>
      <c r="B43">
        <f>Assumptions!$B$7*B42*Assumptions!$B$4</f>
        <v/>
      </c>
    </row>
    <row r="44">
      <c r="A44" t="inlineStr">
        <is>
          <t>Asset-leg value per share</t>
        </is>
      </c>
      <c r="B44">
        <f>B43/Assumptions!$B$4</f>
        <v/>
      </c>
    </row>
    <row r="45">
      <c r="A45" t="inlineStr">
        <is>
          <t>Asset weight</t>
        </is>
      </c>
      <c r="B45" s="6">
        <f>Assumptions!$F$20</f>
        <v/>
      </c>
    </row>
    <row r="46">
      <c r="A46" t="inlineStr">
        <is>
          <t>Blended equity value</t>
        </is>
      </c>
      <c r="B46">
        <f>(1-B45)*B40+B45*B43</f>
        <v/>
      </c>
    </row>
    <row r="47">
      <c r="A47" t="inlineStr">
        <is>
          <t>VALUE PER SHARE (blended)</t>
        </is>
      </c>
      <c r="B47" s="7">
        <f>B46/Assumptions!$B$4</f>
        <v/>
      </c>
    </row>
    <row r="48">
      <c r="A48" t="inlineStr">
        <is>
          <t>Upside vs price</t>
        </is>
      </c>
      <c r="B48">
        <f>B47/Assumptions!$B$3-1</f>
        <v/>
      </c>
    </row>
    <row r="49">
      <c r="A49" t="inlineStr">
        <is>
          <t>Terminal % of EV</t>
        </is>
      </c>
      <c r="B49">
        <f>IF(B37&gt;0,B36/B37,"n/a")</f>
        <v/>
      </c>
    </row>
    <row r="51">
      <c r="A51" t="inlineStr">
        <is>
          <t>Street memo: PV of explicit SBC</t>
        </is>
      </c>
      <c r="B51">
        <f>SUMPRODUCT(-C10:L10/(1+Assumptions!$B$8/100)^C4:L4)</f>
        <v/>
      </c>
    </row>
    <row r="52">
      <c r="A52" t="inlineStr">
        <is>
          <t>Street memo: PV of terminal SBC</t>
        </is>
      </c>
      <c r="B52">
        <f>IF(Assumptions!$B$8&gt;B29,-L10*(1+B29/100)/((Assumptions!$B$8-B29)/100)*L22,0)</f>
        <v/>
      </c>
    </row>
    <row r="53">
      <c r="A53" t="inlineStr">
        <is>
          <t>Street value per share</t>
        </is>
      </c>
      <c r="B53">
        <f>(B46+B51+B52)/Assumptions!$B$4</f>
        <v/>
      </c>
    </row>
    <row r="55">
      <c r="A55" t="inlineStr">
        <is>
          <t>Hurdle rate</t>
        </is>
      </c>
      <c r="B55" s="6">
        <f>Assumptions!$B$12</f>
        <v/>
      </c>
    </row>
    <row r="56">
      <c r="A56" t="inlineStr">
        <is>
          <t>Gordon TV at hurdle</t>
        </is>
      </c>
      <c r="B56">
        <f>IF(B55*100&gt;B29,B30/(B55-B29/100),L21*B32)</f>
        <v/>
      </c>
    </row>
    <row r="57">
      <c r="A57" t="inlineStr">
        <is>
          <t>TV at hurdle = MAX(0,MIN(Gordon@h,cap))</t>
        </is>
      </c>
      <c r="B57">
        <f>MAX(0,MIN(B56,B33))</f>
        <v/>
      </c>
    </row>
    <row r="58">
      <c r="A58" t="inlineStr">
        <is>
          <t>PV of interim FCF at hurdle</t>
        </is>
      </c>
      <c r="B58">
        <f>SUMPRODUCT(C21:L21/(1+B55)^C4:L4)</f>
        <v/>
      </c>
    </row>
    <row r="59">
      <c r="A59" t="inlineStr">
        <is>
          <t>Side term (investments + asset blend)</t>
        </is>
      </c>
      <c r="B59">
        <f>B39+B45*(B43-B40)</f>
        <v/>
      </c>
    </row>
    <row r="60">
      <c r="A60" t="inlineStr">
        <is>
          <t>ENTRY PRICE (15% IRR)</t>
        </is>
      </c>
      <c r="B60" s="7">
        <f>(B58+B57/(1+B55)^10+B59-B38)/Assumptions!$B$4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Reported FCF reconciled to owner FCF (WHOLE-COMPANY history, NZ$m). Treatment B: lease principal deducted; SBC = 0; interest income shown as memo, NOT deducted (net-debt company)</t>
        </is>
      </c>
    </row>
    <row r="2">
      <c r="A2" t="inlineStr">
        <is>
          <t>Period</t>
        </is>
      </c>
      <c r="B2" t="inlineStr">
        <is>
          <t>Revenue</t>
        </is>
      </c>
      <c r="C2" t="inlineStr">
        <is>
          <t>Reported FCF</t>
        </is>
      </c>
      <c r="D2" t="inlineStr">
        <is>
          <t>less SBC</t>
        </is>
      </c>
      <c r="E2" t="inlineStr">
        <is>
          <t>less lease principal</t>
        </is>
      </c>
      <c r="F2" t="inlineStr">
        <is>
          <t>Owner FCF</t>
        </is>
      </c>
      <c r="G2" t="inlineStr">
        <is>
          <t>Reported FCF margin %</t>
        </is>
      </c>
      <c r="H2" t="inlineStr">
        <is>
          <t>Owner FCF margin %</t>
        </is>
      </c>
      <c r="I2" t="inlineStr">
        <is>
          <t>Memo: interest income</t>
        </is>
      </c>
      <c r="J2" t="inlineStr">
        <is>
          <t>Memo: cash tax paid</t>
        </is>
      </c>
      <c r="K2" t="inlineStr">
        <is>
          <t>Memo: NCI dividends</t>
        </is>
      </c>
    </row>
    <row r="3">
      <c r="A3" t="inlineStr">
        <is>
          <t>FY2019</t>
        </is>
      </c>
      <c r="B3" s="2" t="n">
        <v>1216.409</v>
      </c>
      <c r="C3" s="2" t="n">
        <v>11.481</v>
      </c>
      <c r="D3" s="2" t="n">
        <v>0</v>
      </c>
      <c r="E3" s="2" t="n">
        <v>21.242</v>
      </c>
      <c r="F3">
        <f>C3-D3-E3</f>
        <v/>
      </c>
      <c r="G3">
        <f>C3/B3*100</f>
        <v/>
      </c>
      <c r="H3">
        <f>F3/B3*100</f>
        <v/>
      </c>
      <c r="I3" s="2" t="n">
        <v>0.748</v>
      </c>
      <c r="J3" s="2" t="n">
        <v>6.47</v>
      </c>
      <c r="K3" s="2" t="n">
        <v>5.667</v>
      </c>
    </row>
    <row r="4">
      <c r="A4" t="inlineStr">
        <is>
          <t>FY2020</t>
        </is>
      </c>
      <c r="B4" s="2" t="n">
        <v>1412.59</v>
      </c>
      <c r="C4" s="2" t="n">
        <v>9.504</v>
      </c>
      <c r="D4" s="2" t="n">
        <v>0</v>
      </c>
      <c r="E4" s="2" t="n">
        <v>21.658</v>
      </c>
      <c r="F4">
        <f>C4-D4-E4</f>
        <v/>
      </c>
      <c r="G4">
        <f>C4/B4*100</f>
        <v/>
      </c>
      <c r="H4">
        <f>F4/B4*100</f>
        <v/>
      </c>
      <c r="I4" s="2" t="n">
        <v>1.334</v>
      </c>
      <c r="J4" s="2" t="n">
        <v>0.272</v>
      </c>
      <c r="K4" s="2" t="n">
        <v>12.794</v>
      </c>
    </row>
    <row r="5">
      <c r="A5" t="inlineStr">
        <is>
          <t>FY2021</t>
        </is>
      </c>
      <c r="B5" s="2" t="n">
        <v>1365.413</v>
      </c>
      <c r="C5" s="2" t="n">
        <v>2.16</v>
      </c>
      <c r="D5" s="2" t="n">
        <v>0</v>
      </c>
      <c r="E5" s="2" t="n">
        <v>30.413</v>
      </c>
      <c r="F5">
        <f>C5-D5-E5</f>
        <v/>
      </c>
      <c r="G5">
        <f>C5/B5*100</f>
        <v/>
      </c>
      <c r="H5">
        <f>F5/B5*100</f>
        <v/>
      </c>
      <c r="I5" s="2" t="n">
        <v>1.234</v>
      </c>
      <c r="J5" s="2" t="n">
        <v>2.4</v>
      </c>
      <c r="K5" s="2" t="n">
        <v>12.202</v>
      </c>
    </row>
    <row r="6">
      <c r="A6" t="inlineStr">
        <is>
          <t>FY2022</t>
        </is>
      </c>
      <c r="B6" s="2" t="n">
        <v>1304.936</v>
      </c>
      <c r="C6" s="2" t="n">
        <v>-107.141</v>
      </c>
      <c r="D6" s="2" t="n">
        <v>0</v>
      </c>
      <c r="E6" s="2" t="n">
        <v>33.455</v>
      </c>
      <c r="F6">
        <f>C6-D6-E6</f>
        <v/>
      </c>
      <c r="G6">
        <f>C6/B6*100</f>
        <v/>
      </c>
      <c r="H6">
        <f>F6/B6*100</f>
        <v/>
      </c>
      <c r="I6" s="2" t="n">
        <v>2.383</v>
      </c>
      <c r="J6" s="2" t="n">
        <v>3</v>
      </c>
      <c r="K6" s="2" t="n">
        <v>4.991</v>
      </c>
    </row>
    <row r="7">
      <c r="A7" t="inlineStr">
        <is>
          <t>FY2023</t>
        </is>
      </c>
      <c r="B7" s="2" t="n">
        <v>1334.338</v>
      </c>
      <c r="C7" s="2" t="n">
        <v>-50.507</v>
      </c>
      <c r="D7" s="2" t="n">
        <v>0</v>
      </c>
      <c r="E7" s="2" t="n">
        <v>37.383</v>
      </c>
      <c r="F7">
        <f>C7-D7-E7</f>
        <v/>
      </c>
      <c r="G7">
        <f>C7/B7*100</f>
        <v/>
      </c>
      <c r="H7">
        <f>F7/B7*100</f>
        <v/>
      </c>
      <c r="I7" s="2" t="n">
        <v>4.09</v>
      </c>
      <c r="J7" s="2" t="n">
        <v>0.06</v>
      </c>
      <c r="K7" s="2" t="n">
        <v>5.668</v>
      </c>
    </row>
    <row r="8">
      <c r="A8" t="inlineStr">
        <is>
          <t>FY2024</t>
        </is>
      </c>
      <c r="B8" s="2" t="n">
        <v>1360.891</v>
      </c>
      <c r="C8" s="2" t="n">
        <v>12.611</v>
      </c>
      <c r="D8" s="2" t="n">
        <v>0</v>
      </c>
      <c r="E8" s="2" t="n">
        <v>37.544</v>
      </c>
      <c r="F8">
        <f>C8-D8-E8</f>
        <v/>
      </c>
      <c r="G8">
        <f>C8/B8*100</f>
        <v/>
      </c>
      <c r="H8">
        <f>F8/B8*100</f>
        <v/>
      </c>
      <c r="I8" s="2" t="n">
        <v>5.406</v>
      </c>
      <c r="J8" s="2" t="n">
        <v>0.44</v>
      </c>
      <c r="K8" s="2" t="n">
        <v>5.379</v>
      </c>
    </row>
    <row r="9">
      <c r="A9" t="inlineStr">
        <is>
          <t>FY2025</t>
        </is>
      </c>
      <c r="B9" s="2" t="n">
        <v>1558.723</v>
      </c>
      <c r="C9" s="2" t="n">
        <v>59.326</v>
      </c>
      <c r="D9" s="2" t="n">
        <v>0</v>
      </c>
      <c r="E9" s="2" t="n">
        <v>41.912</v>
      </c>
      <c r="F9">
        <f>C9-D9-E9</f>
        <v/>
      </c>
      <c r="G9">
        <f>C9/B9*100</f>
        <v/>
      </c>
      <c r="H9">
        <f>F9/B9*100</f>
        <v/>
      </c>
      <c r="I9" s="2" t="n">
        <v>2.515</v>
      </c>
      <c r="J9" s="2" t="n">
        <v>1.558</v>
      </c>
      <c r="K9" s="2" t="n">
        <v>7.135</v>
      </c>
    </row>
    <row r="11">
      <c r="A11" t="inlineStr">
        <is>
          <t>FY2025 CONTINUING owner FCF (model base, inputs.last_fcf): continuing OCF 66.0 (91.948 group - 25.916 discontinued) - continuing capex ~30 - continuing lease cash ~33.5 = ~2.5</t>
        </is>
      </c>
    </row>
    <row r="12">
      <c r="A12" t="inlineStr">
        <is>
          <t>FY2025 group reported FCF 59.3 is a PEAK: capex 32.6 vs 48-107 in FY2021-24, plus a 6.9 debtor release; not a base.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Valuation summary (NZ$ per share)</t>
        </is>
      </c>
    </row>
    <row r="2">
      <c r="A2" s="1" t="inlineStr">
        <is>
          <t>Scenario</t>
        </is>
      </c>
      <c r="B2" s="1" t="inlineStr">
        <is>
          <t>DCF-only value</t>
        </is>
      </c>
      <c r="C2" s="1" t="inlineStr">
        <is>
          <t>Asset-leg value</t>
        </is>
      </c>
      <c r="D2" s="1" t="inlineStr">
        <is>
          <t>Blended value</t>
        </is>
      </c>
      <c r="E2" s="1" t="inlineStr">
        <is>
          <t>Upside vs price</t>
        </is>
      </c>
      <c r="F2" s="1" t="inlineStr">
        <is>
          <t>Probability</t>
        </is>
      </c>
      <c r="G2" s="1" t="inlineStr">
        <is>
          <t>Street value</t>
        </is>
      </c>
      <c r="H2" s="1" t="inlineStr">
        <is>
          <t>Entry price (15%)</t>
        </is>
      </c>
    </row>
    <row r="3">
      <c r="A3" t="inlineStr">
        <is>
          <t>bear</t>
        </is>
      </c>
      <c r="B3" s="6">
        <f>DCF_Bear!$B$41</f>
        <v/>
      </c>
      <c r="C3" s="6">
        <f>DCF_Bear!$B$44</f>
        <v/>
      </c>
      <c r="D3" s="6">
        <f>DCF_Bear!$B$47</f>
        <v/>
      </c>
      <c r="E3" s="6">
        <f>DCF_Bear!$B$47/Assumptions!$B$3-1</f>
        <v/>
      </c>
      <c r="F3" s="6">
        <f>Assumptions!$G$18</f>
        <v/>
      </c>
      <c r="G3" s="6">
        <f>DCF_Bear!$B$53</f>
        <v/>
      </c>
      <c r="H3" s="6">
        <f>DCF_Bear!$B$60</f>
        <v/>
      </c>
    </row>
    <row r="4">
      <c r="A4" t="inlineStr">
        <is>
          <t>base</t>
        </is>
      </c>
      <c r="B4" s="6">
        <f>DCF_Base!$B$41</f>
        <v/>
      </c>
      <c r="C4" s="6">
        <f>DCF_Base!$B$44</f>
        <v/>
      </c>
      <c r="D4" s="6">
        <f>DCF_Base!$B$47</f>
        <v/>
      </c>
      <c r="E4" s="6">
        <f>DCF_Base!$B$47/Assumptions!$B$3-1</f>
        <v/>
      </c>
      <c r="F4" s="6">
        <f>Assumptions!$G$19</f>
        <v/>
      </c>
      <c r="G4" s="6">
        <f>DCF_Base!$B$53</f>
        <v/>
      </c>
      <c r="H4" s="6">
        <f>DCF_Base!$B$60</f>
        <v/>
      </c>
    </row>
    <row r="5">
      <c r="A5" t="inlineStr">
        <is>
          <t>bull</t>
        </is>
      </c>
      <c r="B5" s="6">
        <f>DCF_Bull!$B$41</f>
        <v/>
      </c>
      <c r="C5" s="6">
        <f>DCF_Bull!$B$44</f>
        <v/>
      </c>
      <c r="D5" s="6">
        <f>DCF_Bull!$B$47</f>
        <v/>
      </c>
      <c r="E5" s="6">
        <f>DCF_Bull!$B$47/Assumptions!$B$3-1</f>
        <v/>
      </c>
      <c r="F5" s="6">
        <f>Assumptions!$G$20</f>
        <v/>
      </c>
      <c r="G5" s="6">
        <f>DCF_Bull!$B$53</f>
        <v/>
      </c>
      <c r="H5" s="6">
        <f>DCF_Bull!$B$60</f>
        <v/>
      </c>
    </row>
    <row r="7">
      <c r="A7" t="inlineStr">
        <is>
          <t>Probability-weighted value</t>
        </is>
      </c>
      <c r="D7" s="7">
        <f>SUMPRODUCT(D3:D5,F3:F5)</f>
        <v/>
      </c>
    </row>
    <row r="8">
      <c r="A8" t="inlineStr">
        <is>
          <t>Margin of safety</t>
        </is>
      </c>
      <c r="D8">
        <f>1-Assumptions!$B$3/D7</f>
        <v/>
      </c>
    </row>
    <row r="9">
      <c r="A9" t="inlineStr">
        <is>
          <t>Weighted DCF-only</t>
        </is>
      </c>
      <c r="D9">
        <f>SUMPRODUCT(B3:B5,F3:F5)</f>
        <v/>
      </c>
    </row>
    <row r="10">
      <c r="A10" t="inlineStr">
        <is>
          <t>Weighted asset-leg</t>
        </is>
      </c>
      <c r="D10">
        <f>SUMPRODUCT(C3:C5,F3:F5)</f>
        <v/>
      </c>
    </row>
    <row r="11">
      <c r="A11" t="inlineStr">
        <is>
          <t>Weighted street value</t>
        </is>
      </c>
      <c r="D11">
        <f>SUMPRODUCT(G3:G5,F3:F5)</f>
        <v/>
      </c>
    </row>
    <row r="12">
      <c r="A12" t="inlineStr">
        <is>
          <t>Band position</t>
        </is>
      </c>
      <c r="D12" t="inlineStr">
        <is>
          <t>n/a -- SBC-zero filer, house = street</t>
        </is>
      </c>
    </row>
    <row r="13">
      <c r="A13" t="inlineStr">
        <is>
          <t>Weighted entry price (buy-below)</t>
        </is>
      </c>
      <c r="D13" s="7">
        <f>SUMPRODUCT(H3:H5,F3:F5)</f>
        <v/>
      </c>
    </row>
    <row r="16">
      <c r="A16" s="1" t="inlineStr">
        <is>
          <t>Required-return table (base): value per share at r, TV rebuilt at r</t>
        </is>
      </c>
    </row>
    <row r="17">
      <c r="A17" t="inlineStr">
        <is>
          <t>r</t>
        </is>
      </c>
      <c r="B17" t="inlineStr">
        <is>
          <t>Value / share</t>
        </is>
      </c>
    </row>
    <row r="18">
      <c r="A18" s="2" t="n">
        <v>0.09</v>
      </c>
      <c r="B18">
        <f>(SUMPRODUCT(DCF_Base!$C$21:$L$21/(1+$A$18)^DCF_Base!$C$4:$L$4)+MAX(0,MIN(IF($A$18&gt;DCF_Base!$B$29/100,DCF_Base!$L$21*(1+DCF_Base!$B$29/100)/($A$18-DCF_Base!$B$29/100),DCF_Base!$L$21*DCF_Base!$B$32),DCF_Base!$B$32*DCF_Base!$L$21))/(1+$A$18)^10+DCF_Base!$B$59-Assumptions!$B$5)/Assumptions!$B$4</f>
        <v/>
      </c>
    </row>
    <row r="19">
      <c r="A19" s="2" t="n">
        <v>0.1</v>
      </c>
      <c r="B19">
        <f>(SUMPRODUCT(DCF_Base!$C$21:$L$21/(1+$A$19)^DCF_Base!$C$4:$L$4)+MAX(0,MIN(IF($A$19&gt;DCF_Base!$B$29/100,DCF_Base!$L$21*(1+DCF_Base!$B$29/100)/($A$19-DCF_Base!$B$29/100),DCF_Base!$L$21*DCF_Base!$B$32),DCF_Base!$B$32*DCF_Base!$L$21))/(1+$A$19)^10+DCF_Base!$B$59-Assumptions!$B$5)/Assumptions!$B$4</f>
        <v/>
      </c>
    </row>
    <row r="20">
      <c r="A20" s="2" t="n">
        <v>0.105</v>
      </c>
      <c r="B20">
        <f>(SUMPRODUCT(DCF_Base!$C$21:$L$21/(1+$A$20)^DCF_Base!$C$4:$L$4)+MAX(0,MIN(IF($A$20&gt;DCF_Base!$B$29/100,DCF_Base!$L$21*(1+DCF_Base!$B$29/100)/($A$20-DCF_Base!$B$29/100),DCF_Base!$L$21*DCF_Base!$B$32),DCF_Base!$B$32*DCF_Base!$L$21))/(1+$A$20)^10+DCF_Base!$B$59-Assumptions!$B$5)/Assumptions!$B$4</f>
        <v/>
      </c>
      <c r="C20" t="inlineStr">
        <is>
          <t>house WACC row: must equal DCF_Base!B47</t>
        </is>
      </c>
    </row>
    <row r="21">
      <c r="A21" s="2" t="n">
        <v>0.11</v>
      </c>
      <c r="B21">
        <f>(SUMPRODUCT(DCF_Base!$C$21:$L$21/(1+$A$21)^DCF_Base!$C$4:$L$4)+MAX(0,MIN(IF($A$21&gt;DCF_Base!$B$29/100,DCF_Base!$L$21*(1+DCF_Base!$B$29/100)/($A$21-DCF_Base!$B$29/100),DCF_Base!$L$21*DCF_Base!$B$32),DCF_Base!$B$32*DCF_Base!$L$21))/(1+$A$21)^10+DCF_Base!$B$59-Assumptions!$B$5)/Assumptions!$B$4</f>
        <v/>
      </c>
    </row>
    <row r="22">
      <c r="A22" s="2" t="n">
        <v>0.12</v>
      </c>
      <c r="B22">
        <f>(SUMPRODUCT(DCF_Base!$C$21:$L$21/(1+$A$22)^DCF_Base!$C$4:$L$4)+MAX(0,MIN(IF($A$22&gt;DCF_Base!$B$29/100,DCF_Base!$L$21*(1+DCF_Base!$B$29/100)/($A$22-DCF_Base!$B$29/100),DCF_Base!$L$21*DCF_Base!$B$32),DCF_Base!$B$32*DCF_Base!$L$21))/(1+$A$22)^10+DCF_Base!$B$59-Assumptions!$B$5)/Assumptions!$B$4</f>
        <v/>
      </c>
    </row>
    <row r="23">
      <c r="A23" s="2" t="n">
        <v>0.15</v>
      </c>
      <c r="B23">
        <f>(SUMPRODUCT(DCF_Base!$C$21:$L$21/(1+$A$23)^DCF_Base!$C$4:$L$4)+MAX(0,MIN(IF($A$23&gt;DCF_Base!$B$29/100,DCF_Base!$L$21*(1+DCF_Base!$B$29/100)/($A$23-DCF_Base!$B$29/100),DCF_Base!$L$21*DCF_Base!$B$32),DCF_Base!$B$32*DCF_Base!$L$21))/(1+$A$23)^10+DCF_Base!$B$59-Assumptions!$B$5)/Assumptions!$B$4</f>
        <v/>
      </c>
      <c r="C23" t="inlineStr">
        <is>
          <t>hurdle row: must equal DCF_Base!B60</t>
        </is>
      </c>
    </row>
    <row r="26">
      <c r="A26" s="1" t="inlineStr">
        <is>
          <t>Sensitivity (base): WACC (rows) x terminal growth % (columns), blended value per share</t>
        </is>
      </c>
    </row>
    <row r="27">
      <c r="B27" s="2" t="n">
        <v>1.5</v>
      </c>
      <c r="C27" s="2" t="n">
        <v>2</v>
      </c>
      <c r="D27" s="2" t="n">
        <v>2.5</v>
      </c>
      <c r="E27" s="2" t="n">
        <v>3</v>
      </c>
      <c r="F27" s="2" t="n">
        <v>3.5</v>
      </c>
    </row>
    <row r="28">
      <c r="A28" s="2" t="n">
        <v>0.08500000000000001</v>
      </c>
      <c r="B28">
        <f>(SUMPRODUCT(DCF_Base!$C$21:$L$21/(1+$A28)^DCF_Base!$C$4:$L$4)+MAX(0,MIN(IF($A28&gt;B$27/100,DCF_Base!$L$21*(1+B$27/100)/($A28-B$27/100),DCF_Base!$L$21*DCF_Base!$B$32),DCF_Base!$B$32*DCF_Base!$L$21))/(1+$A28)^10+DCF_Base!$B$59-Assumptions!$B$5)/Assumptions!$B$4</f>
        <v/>
      </c>
      <c r="C28">
        <f>(SUMPRODUCT(DCF_Base!$C$21:$L$21/(1+$A28)^DCF_Base!$C$4:$L$4)+MAX(0,MIN(IF($A28&gt;C$27/100,DCF_Base!$L$21*(1+C$27/100)/($A28-C$27/100),DCF_Base!$L$21*DCF_Base!$B$32),DCF_Base!$B$32*DCF_Base!$L$21))/(1+$A28)^10+DCF_Base!$B$59-Assumptions!$B$5)/Assumptions!$B$4</f>
        <v/>
      </c>
      <c r="D28">
        <f>(SUMPRODUCT(DCF_Base!$C$21:$L$21/(1+$A28)^DCF_Base!$C$4:$L$4)+MAX(0,MIN(IF($A28&gt;D$27/100,DCF_Base!$L$21*(1+D$27/100)/($A28-D$27/100),DCF_Base!$L$21*DCF_Base!$B$32),DCF_Base!$B$32*DCF_Base!$L$21))/(1+$A28)^10+DCF_Base!$B$59-Assumptions!$B$5)/Assumptions!$B$4</f>
        <v/>
      </c>
      <c r="E28">
        <f>(SUMPRODUCT(DCF_Base!$C$21:$L$21/(1+$A28)^DCF_Base!$C$4:$L$4)+MAX(0,MIN(IF($A28&gt;E$27/100,DCF_Base!$L$21*(1+E$27/100)/($A28-E$27/100),DCF_Base!$L$21*DCF_Base!$B$32),DCF_Base!$B$32*DCF_Base!$L$21))/(1+$A28)^10+DCF_Base!$B$59-Assumptions!$B$5)/Assumptions!$B$4</f>
        <v/>
      </c>
      <c r="F28">
        <f>(SUMPRODUCT(DCF_Base!$C$21:$L$21/(1+$A28)^DCF_Base!$C$4:$L$4)+MAX(0,MIN(IF($A28&gt;F$27/100,DCF_Base!$L$21*(1+F$27/100)/($A28-F$27/100),DCF_Base!$L$21*DCF_Base!$B$32),DCF_Base!$B$32*DCF_Base!$L$21))/(1+$A28)^10+DCF_Base!$B$59-Assumptions!$B$5)/Assumptions!$B$4</f>
        <v/>
      </c>
    </row>
    <row r="29">
      <c r="A29" s="2" t="n">
        <v>0.095</v>
      </c>
      <c r="B29">
        <f>(SUMPRODUCT(DCF_Base!$C$21:$L$21/(1+$A29)^DCF_Base!$C$4:$L$4)+MAX(0,MIN(IF($A29&gt;B$27/100,DCF_Base!$L$21*(1+B$27/100)/($A29-B$27/100),DCF_Base!$L$21*DCF_Base!$B$32),DCF_Base!$B$32*DCF_Base!$L$21))/(1+$A29)^10+DCF_Base!$B$59-Assumptions!$B$5)/Assumptions!$B$4</f>
        <v/>
      </c>
      <c r="C29">
        <f>(SUMPRODUCT(DCF_Base!$C$21:$L$21/(1+$A29)^DCF_Base!$C$4:$L$4)+MAX(0,MIN(IF($A29&gt;C$27/100,DCF_Base!$L$21*(1+C$27/100)/($A29-C$27/100),DCF_Base!$L$21*DCF_Base!$B$32),DCF_Base!$B$32*DCF_Base!$L$21))/(1+$A29)^10+DCF_Base!$B$59-Assumptions!$B$5)/Assumptions!$B$4</f>
        <v/>
      </c>
      <c r="D29">
        <f>(SUMPRODUCT(DCF_Base!$C$21:$L$21/(1+$A29)^DCF_Base!$C$4:$L$4)+MAX(0,MIN(IF($A29&gt;D$27/100,DCF_Base!$L$21*(1+D$27/100)/($A29-D$27/100),DCF_Base!$L$21*DCF_Base!$B$32),DCF_Base!$B$32*DCF_Base!$L$21))/(1+$A29)^10+DCF_Base!$B$59-Assumptions!$B$5)/Assumptions!$B$4</f>
        <v/>
      </c>
      <c r="E29">
        <f>(SUMPRODUCT(DCF_Base!$C$21:$L$21/(1+$A29)^DCF_Base!$C$4:$L$4)+MAX(0,MIN(IF($A29&gt;E$27/100,DCF_Base!$L$21*(1+E$27/100)/($A29-E$27/100),DCF_Base!$L$21*DCF_Base!$B$32),DCF_Base!$B$32*DCF_Base!$L$21))/(1+$A29)^10+DCF_Base!$B$59-Assumptions!$B$5)/Assumptions!$B$4</f>
        <v/>
      </c>
      <c r="F29">
        <f>(SUMPRODUCT(DCF_Base!$C$21:$L$21/(1+$A29)^DCF_Base!$C$4:$L$4)+MAX(0,MIN(IF($A29&gt;F$27/100,DCF_Base!$L$21*(1+F$27/100)/($A29-F$27/100),DCF_Base!$L$21*DCF_Base!$B$32),DCF_Base!$B$32*DCF_Base!$L$21))/(1+$A29)^10+DCF_Base!$B$59-Assumptions!$B$5)/Assumptions!$B$4</f>
        <v/>
      </c>
    </row>
    <row r="30">
      <c r="A30" s="2" t="n">
        <v>0.105</v>
      </c>
      <c r="B30">
        <f>(SUMPRODUCT(DCF_Base!$C$21:$L$21/(1+$A30)^DCF_Base!$C$4:$L$4)+MAX(0,MIN(IF($A30&gt;B$27/100,DCF_Base!$L$21*(1+B$27/100)/($A30-B$27/100),DCF_Base!$L$21*DCF_Base!$B$32),DCF_Base!$B$32*DCF_Base!$L$21))/(1+$A30)^10+DCF_Base!$B$59-Assumptions!$B$5)/Assumptions!$B$4</f>
        <v/>
      </c>
      <c r="C30">
        <f>(SUMPRODUCT(DCF_Base!$C$21:$L$21/(1+$A30)^DCF_Base!$C$4:$L$4)+MAX(0,MIN(IF($A30&gt;C$27/100,DCF_Base!$L$21*(1+C$27/100)/($A30-C$27/100),DCF_Base!$L$21*DCF_Base!$B$32),DCF_Base!$B$32*DCF_Base!$L$21))/(1+$A30)^10+DCF_Base!$B$59-Assumptions!$B$5)/Assumptions!$B$4</f>
        <v/>
      </c>
      <c r="D30" s="8">
        <f>(SUMPRODUCT(DCF_Base!$C$21:$L$21/(1+$A30)^DCF_Base!$C$4:$L$4)+MAX(0,MIN(IF($A30&gt;D$27/100,DCF_Base!$L$21*(1+D$27/100)/($A30-D$27/100),DCF_Base!$L$21*DCF_Base!$B$32),DCF_Base!$B$32*DCF_Base!$L$21))/(1+$A30)^10+DCF_Base!$B$59-Assumptions!$B$5)/Assumptions!$B$4</f>
        <v/>
      </c>
      <c r="E30">
        <f>(SUMPRODUCT(DCF_Base!$C$21:$L$21/(1+$A30)^DCF_Base!$C$4:$L$4)+MAX(0,MIN(IF($A30&gt;E$27/100,DCF_Base!$L$21*(1+E$27/100)/($A30-E$27/100),DCF_Base!$L$21*DCF_Base!$B$32),DCF_Base!$B$32*DCF_Base!$L$21))/(1+$A30)^10+DCF_Base!$B$59-Assumptions!$B$5)/Assumptions!$B$4</f>
        <v/>
      </c>
      <c r="F30">
        <f>(SUMPRODUCT(DCF_Base!$C$21:$L$21/(1+$A30)^DCF_Base!$C$4:$L$4)+MAX(0,MIN(IF($A30&gt;F$27/100,DCF_Base!$L$21*(1+F$27/100)/($A30-F$27/100),DCF_Base!$L$21*DCF_Base!$B$32),DCF_Base!$B$32*DCF_Base!$L$21))/(1+$A30)^10+DCF_Base!$B$59-Assumptions!$B$5)/Assumptions!$B$4</f>
        <v/>
      </c>
    </row>
    <row r="31">
      <c r="A31" s="2" t="n">
        <v>0.115</v>
      </c>
      <c r="B31">
        <f>(SUMPRODUCT(DCF_Base!$C$21:$L$21/(1+$A31)^DCF_Base!$C$4:$L$4)+MAX(0,MIN(IF($A31&gt;B$27/100,DCF_Base!$L$21*(1+B$27/100)/($A31-B$27/100),DCF_Base!$L$21*DCF_Base!$B$32),DCF_Base!$B$32*DCF_Base!$L$21))/(1+$A31)^10+DCF_Base!$B$59-Assumptions!$B$5)/Assumptions!$B$4</f>
        <v/>
      </c>
      <c r="C31">
        <f>(SUMPRODUCT(DCF_Base!$C$21:$L$21/(1+$A31)^DCF_Base!$C$4:$L$4)+MAX(0,MIN(IF($A31&gt;C$27/100,DCF_Base!$L$21*(1+C$27/100)/($A31-C$27/100),DCF_Base!$L$21*DCF_Base!$B$32),DCF_Base!$B$32*DCF_Base!$L$21))/(1+$A31)^10+DCF_Base!$B$59-Assumptions!$B$5)/Assumptions!$B$4</f>
        <v/>
      </c>
      <c r="D31">
        <f>(SUMPRODUCT(DCF_Base!$C$21:$L$21/(1+$A31)^DCF_Base!$C$4:$L$4)+MAX(0,MIN(IF($A31&gt;D$27/100,DCF_Base!$L$21*(1+D$27/100)/($A31-D$27/100),DCF_Base!$L$21*DCF_Base!$B$32),DCF_Base!$B$32*DCF_Base!$L$21))/(1+$A31)^10+DCF_Base!$B$59-Assumptions!$B$5)/Assumptions!$B$4</f>
        <v/>
      </c>
      <c r="E31">
        <f>(SUMPRODUCT(DCF_Base!$C$21:$L$21/(1+$A31)^DCF_Base!$C$4:$L$4)+MAX(0,MIN(IF($A31&gt;E$27/100,DCF_Base!$L$21*(1+E$27/100)/($A31-E$27/100),DCF_Base!$L$21*DCF_Base!$B$32),DCF_Base!$B$32*DCF_Base!$L$21))/(1+$A31)^10+DCF_Base!$B$59-Assumptions!$B$5)/Assumptions!$B$4</f>
        <v/>
      </c>
      <c r="F31">
        <f>(SUMPRODUCT(DCF_Base!$C$21:$L$21/(1+$A31)^DCF_Base!$C$4:$L$4)+MAX(0,MIN(IF($A31&gt;F$27/100,DCF_Base!$L$21*(1+F$27/100)/($A31-F$27/100),DCF_Base!$L$21*DCF_Base!$B$32),DCF_Base!$B$32*DCF_Base!$L$21))/(1+$A31)^10+DCF_Base!$B$59-Assumptions!$B$5)/Assumptions!$B$4</f>
        <v/>
      </c>
    </row>
    <row r="32">
      <c r="A32" s="2" t="n">
        <v>0.125</v>
      </c>
      <c r="B32">
        <f>(SUMPRODUCT(DCF_Base!$C$21:$L$21/(1+$A32)^DCF_Base!$C$4:$L$4)+MAX(0,MIN(IF($A32&gt;B$27/100,DCF_Base!$L$21*(1+B$27/100)/($A32-B$27/100),DCF_Base!$L$21*DCF_Base!$B$32),DCF_Base!$B$32*DCF_Base!$L$21))/(1+$A32)^10+DCF_Base!$B$59-Assumptions!$B$5)/Assumptions!$B$4</f>
        <v/>
      </c>
      <c r="C32">
        <f>(SUMPRODUCT(DCF_Base!$C$21:$L$21/(1+$A32)^DCF_Base!$C$4:$L$4)+MAX(0,MIN(IF($A32&gt;C$27/100,DCF_Base!$L$21*(1+C$27/100)/($A32-C$27/100),DCF_Base!$L$21*DCF_Base!$B$32),DCF_Base!$B$32*DCF_Base!$L$21))/(1+$A32)^10+DCF_Base!$B$59-Assumptions!$B$5)/Assumptions!$B$4</f>
        <v/>
      </c>
      <c r="D32">
        <f>(SUMPRODUCT(DCF_Base!$C$21:$L$21/(1+$A32)^DCF_Base!$C$4:$L$4)+MAX(0,MIN(IF($A32&gt;D$27/100,DCF_Base!$L$21*(1+D$27/100)/($A32-D$27/100),DCF_Base!$L$21*DCF_Base!$B$32),DCF_Base!$B$32*DCF_Base!$L$21))/(1+$A32)^10+DCF_Base!$B$59-Assumptions!$B$5)/Assumptions!$B$4</f>
        <v/>
      </c>
      <c r="E32">
        <f>(SUMPRODUCT(DCF_Base!$C$21:$L$21/(1+$A32)^DCF_Base!$C$4:$L$4)+MAX(0,MIN(IF($A32&gt;E$27/100,DCF_Base!$L$21*(1+E$27/100)/($A32-E$27/100),DCF_Base!$L$21*DCF_Base!$B$32),DCF_Base!$B$32*DCF_Base!$L$21))/(1+$A32)^10+DCF_Base!$B$59-Assumptions!$B$5)/Assumptions!$B$4</f>
        <v/>
      </c>
      <c r="F32">
        <f>(SUMPRODUCT(DCF_Base!$C$21:$L$21/(1+$A32)^DCF_Base!$C$4:$L$4)+MAX(0,MIN(IF($A32&gt;F$27/100,DCF_Base!$L$21*(1+F$27/100)/($A32-F$27/100),DCF_Base!$L$21*DCF_Base!$B$32),DCF_Base!$B$32*DCF_Base!$L$21))/(1+$A32)^10+DCF_Base!$B$59-Assumptions!$B$5)/Assumptions!$B$4</f>
        <v/>
      </c>
    </row>
    <row r="34">
      <c r="A34" t="inlineStr">
        <is>
          <t>Note: with the 12x cap binding, low-WACC rows are flat across terminal growth -- that is the cap doing its job.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2026-09-04T20:41:12Z</dcterms:created>
  <dcterms:modified xsi:type="dcterms:W3CDTF">2026-09-04T20:41:12Z</dcterms:modified>
</cp:coreProperties>
</file>