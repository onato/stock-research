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<sst xmlns="http://schemas.openxmlformats.org/spreadsheetml/2006/main" count="348" uniqueCount="164">
  <si>
    <t xml:space="preserve">Ticker</t>
  </si>
  <si>
    <t xml:space="preserve">9896.HK</t>
  </si>
  <si>
    <t xml:space="preserve">Company</t>
  </si>
  <si>
    <t xml:space="preserve">MINISO Group Holding Limited</t>
  </si>
  <si>
    <t xml:space="preserve">Valuation date</t>
  </si>
  <si>
    <t xml:space="preserve">2026-10-24</t>
  </si>
  <si>
    <t xml:space="preserve">Current price</t>
  </si>
  <si>
    <t xml:space="preserve">Price as of</t>
  </si>
  <si>
    <t xml:space="preserve">2026-10-23T08:08:08Z HKEX regular close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</si>
  <si>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</si>
  <si>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</si>
  <si>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</si>
  <si>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</si>
  <si>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</si>
  <si>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</si>
  <si>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</si>
  <si>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</si>
  <si>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</si>
  <si>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</si>
  <si>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</si>
  <si>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</si>
  <si>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</si>
  <si>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2026-10-23T20:08:47Z</t>
  </si>
  <si>
    <t xml:space="preserve">Drivers file</t>
  </si>
  <si>
    <t xml:space="preserve">9896.HK_Drivers.json</t>
  </si>
  <si>
    <t xml:space="preserve">Convention</t>
  </si>
  <si>
    <t xml:space="preserve">Percents stored as percents; formulas divide by 100. Blue = input, green = link, black = formula.</t>
  </si>
  <si>
    <t xml:space="preserve">Methodology</t>
  </si>
  <si>
    <t xml:space="preserve">summary: A growth retailer valued on strict owner FCF: SBC expensed, interest income stripped, IFRS-16 lease cash charged in full, the Yonghui stake and its P&amp;L kept out of the flows and in the bridge at the filed fair value, and the forward FCF built from components with working capital on the change in revenue because the last two years show the growth consuming the cash. The valuation is terminal-heavy by construction: near-term owner FCF is small while the DTC build-out and inventory investment run, and value accrues as growth and the WC drag decelerate. The honest finding is that the market's ~3x ex-Yonghui EV/EBITDA prices the bear path as the base case; the DCF only beats the price if cash conversion recovers.
key_risks_to_valuation: Working-capital capture: at -30% rather than -22% of incremental revenue the owner-FCF ramp is delayed by years; FY2024-25 ran at -31% to -35%.; Directly-operated overseas store economics: S&amp;D rose 39.6% on 22.4% revenue in H1 FY2026; if the margin does not recover the base case EBITDA path is 1.5-2pp too high.; Yonghui stake (RMB7.58bn, 25% of assets, pledged against RMB3.2bn of loans) is marked at a quoted price for a 29% block in a turnaround; a 30% haircut is ~HK$2.2/share.; RMB10.8bn of gross debt-like obligations incl. US$550m ELS due 2032 (USD exposure against CNY flows) and the TOP TOY preferred redemption; dividends and buybacks have been debt-funded.; China consumer demand and the durability of the IP/blind-box cycle driving same-store growth; overseas same-store already negative.; CNY/HKD and USD/CNY: per-share values are in CNY converted at 1.1754; the ELS principal is USD.; Timing: FY2026 is discounted a full year from an October valuation date, ~10 months conservative.</t>
  </si>
  <si>
    <t xml:space="preserve">Data sources</t>
  </si>
  <si>
    <t xml:space="preserve">price: Yahoo Finance chart API for 9896.HK at inputs.price_as_of (HKEX regular close); 52-week range 16.84-44.48. MNSO ADR and CNYHKD=X from the same API for the parity check in inputs.fx_note.
financials: 9896.HK_Metrics.csv (core_metrics, CNY millions) and the kpis table (AdjustedEBITDA, CashTaxesPaid, Depreciation, InterestIncome, ShareRepurchases, DividendsPaid, StoreCount); 9896.HK_Annual_FY2025.txt (cash-flow statement, D&amp;A by class, ELS note, WC movements); 9896.HK_HalfYear_H1-2026.txt (2026-06-30 balance sheet, loans note 17, lease note 19, share capital note 20, Yonghui fair value note 16, diluted-share table, MD&amp;A).
qualitative: No Analysis JSON exists for this ticker yet; business description, segment growth, same-store trends and the outlook paragraph are taken from the H1 FY2026 interim report MD&amp;A and the FY2025 annual report.</t>
  </si>
  <si>
    <t xml:space="preserve">Scenario narrative: bear</t>
  </si>
  <si>
    <t xml:space="preserve">The H1 FY2026 step-down is structural, not transitional: directly-operated overseas stores keep absorbing rent and selling cost (lease cost 5.5%, EBITDA margin 17%), China same-store growth fades once the current IP cycle cools, the overseas model keeps tying up working capital at ~30% of incremental revenue, and growth decays to 2%. Owner FCF stays near the FY2025 RMB210m level for years and dividends plus buybacks continue to be debt-funded. The RMB10.8bn of gross debt-like obligations (acquisition loans secured on Yonghui, ELS due 2032, TOP TOY preferred redemption) are serviceable but constrain capital returns; the Yonghui block, carried at a quoted price for a 29% stake in a loss-making turnaround, may be worth materially less than its screen value.</t>
  </si>
  <si>
    <t xml:space="preserve">Scenario narrative: base</t>
  </si>
  <si>
    <t xml:space="preserve">MINISO keeps compounding revenue at ~20% in FY2026 off H1's +22.4%, decelerating to mid-single digits by year 6-7 as the China network (4,665 stores) approaches saturation and overseas growth shifts back toward the asset-light retail-partner model. The axes that matter are (1) whether the directly-operated overseas stores that drove S&amp;D +39.6% in H1 FY2026 mature into margin rather than remain a structural drag, (2) whether the IP strategy sustains China same-store growth, and (3) whether the inventory/receivables build (31% of incremental revenue in FY2025) normalises. The base assumes partial recovery on all three: EBITDA margin 19.5% to 21%, lease cost 5%, working-capital capture -22%, capex normalising from 5.8% to 2.5% as the Guangzhou HQ completes. Owner-FCF margin builds from ~2% in FY2026 to ~9% by year 10 as growth and the WC drag fade. The Yonghui stake sits in the bridge at the filed RMB7.58bn fair value; its operating result is not in the flows.</t>
  </si>
  <si>
    <t xml:space="preserve">Scenario narrative: bull</t>
  </si>
  <si>
    <t xml:space="preserve">The IP-led China same-store recovery (mid-single digit in H1 FY2026) holds, overseas same-store turns positive as the directly-operated stores in the US and Europe mature, TOP TOY sustains 30%+ growth and completes its listing (crystallising value for the RMB603m preferred-share liability), and the DTC inventory build moderates to -15% capture. Adjusted EBITDA margin recovers to 23.5%, close to the FY2024 25.5% peak, and growth stays double-digit through year 5. Yonghui's turnaround (profit in H1 FY2026) would be upside to the bridge mark, not modelled.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</si>
  <si>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</si>
  <si>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</si>
  <si>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</si>
  <si>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</si>
  <si>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</si>
  <si>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</si>
  <si>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</si>
  <si>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</si>
  <si>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</si>
  <si>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</si>
  <si>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</si>
  <si>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</si>
  <si>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</si>
  <si>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</si>
  <si>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</si>
  <si>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</si>
  <si>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</si>
  <si>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</si>
  <si>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</si>
  <si>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</si>
  <si>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</si>
  <si>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</si>
  <si>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</si>
  <si>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</si>
  <si>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</si>
  <si>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</si>
  <si>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</si>
  <si>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</si>
  <si>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AdjustedNetProfit</t>
  </si>
  <si>
    <t xml:space="preserve">GMV</t>
  </si>
  <si>
    <t xml:space="preserve">StoreCount</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</si>
  <si>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</si>
  <si>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</si>
  <si>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</si>
  <si>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</si>
  <si>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</si>
  <si>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</si>
  <si>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</si>
  <si>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</si>
  <si>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</si>
  <si>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</si>
  <si>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</si>
  <si>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</si>
  <si>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</si>
  <si>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</si>
  <si>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</si>
  <si>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</si>
  <si>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</si>
  <si>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</si>
  <si>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</si>
  <si>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</si>
  <si>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</si>
  <si>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</si>
  <si>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</si>
  <si>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</si>
  <si>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</si>
  <si>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</si>
  <si>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</si>
  <si>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</si>
  <si>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</si>
  <si>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</si>
  <si>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</si>
  <si>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</si>
  <si>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</si>
  <si>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</si>
  <si>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</si>
  <si>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</si>
  <si>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</si>
  <si>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</si>
  <si>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</si>
  <si>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</si>
  <si>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</si>
  <si>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</si>
  <si>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9896.HK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</si>
  <si>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</si>
  <si>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</si>
  <si>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</si>
  <si>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</si>
  <si>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</si>
  <si>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</si>
  <si>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</si>
  <si>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</si>
  <si>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</si>
  <si>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</si>
  <si>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</si>
  <si>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</si>
  <si>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</si>
  <si>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</si>
  <si>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</si>
  <si>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</si>
  <si>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</si>
  <si>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</si>
  <si>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</si>
  <si>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</si>
  <si>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</si>
  <si>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</si>
  <si>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</si>
  <si>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</si>
  <si>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</si>
  <si>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</si>
  <si>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</si>
  <si>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</si>
  <si>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</si>
  <si>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</si>
  <si>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9896.HK owner-FCF component DCF: base case (millions, CNY)</t>
  </si>
  <si>
    <t xml:space="preserve">9896.HK owner-FCF component DCF: bull case (millions, CNY)</t>
  </si>
  <si>
    <t xml:space="preserve">9896.HK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</si>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</sst>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19.87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row>
    <row r="2" customFormat="false" ht="15" hidden="false" customHeight="false" outlineLevel="0" collapsed="false">
      <c r="A2" s="0" t="s">
        <v>68</v>
      </c>
      <c r="B2" s="0" t="n">
        <v>9071.659</v>
      </c>
      <c r="C2" s="0" t="n">
        <v>6640.973</v>
      </c>
      <c r="D2" s="0" t="n">
        <v>2430.686</v>
      </c>
      <c r="E2" s="0" t="n">
        <v>26.8</v>
      </c>
      <c r="F2" s="0" t="n">
        <v>401.035</v>
      </c>
      <c r="G2" s="0" t="n">
        <v>4.4</v>
      </c>
      <c r="H2" s="0" t="n">
        <v>666.054</v>
      </c>
      <c r="I2" s="0" t="n">
        <v>-1429.447</v>
      </c>
      <c r="J2" s="0" t="n">
        <v>-15.8</v>
      </c>
      <c r="K2" s="0" t="n">
        <v>-1.18</v>
      </c>
      <c r="L2" s="0" t="n">
        <v>916.32</v>
      </c>
      <c r="M2" s="0" t="n">
        <v>180.279</v>
      </c>
      <c r="N2" s="0" t="n">
        <v>736.041</v>
      </c>
      <c r="O2" s="0" t="n">
        <v>6658.966</v>
      </c>
      <c r="P2" s="0" t="n">
        <v>10705.03</v>
      </c>
      <c r="Q2" s="0" t="n">
        <v>4052.876</v>
      </c>
      <c r="R2" s="0" t="n">
        <v>20.594</v>
      </c>
      <c r="S2" s="0" t="n">
        <v>6771.653</v>
      </c>
      <c r="T2" s="0" t="n">
        <v>1104.371</v>
      </c>
      <c r="U2" s="0" t="n">
        <v>281.319</v>
      </c>
      <c r="AA2" s="0" t="s">
        <v>18</v>
      </c>
      <c r="AB2" s="0" t="s">
        <v>14</v>
      </c>
      <c r="AD2" s="0" t="n">
        <v>477.159</v>
      </c>
    </row>
    <row r="3" customFormat="false" ht="15" hidden="false" customHeight="false" outlineLevel="0" collapsed="false">
      <c r="A3" s="0" t="s">
        <v>69</v>
      </c>
      <c r="B3" s="0" t="n">
        <v>10085.649</v>
      </c>
      <c r="C3" s="0" t="n">
        <v>7015.888</v>
      </c>
      <c r="D3" s="0" t="n">
        <v>3069.761</v>
      </c>
      <c r="E3" s="0" t="n">
        <v>30.4</v>
      </c>
      <c r="F3" s="0" t="n">
        <v>882.027</v>
      </c>
      <c r="G3" s="0" t="n">
        <v>8.7</v>
      </c>
      <c r="H3" s="0" t="n">
        <v>1271.898</v>
      </c>
      <c r="I3" s="0" t="n">
        <v>639.743</v>
      </c>
      <c r="J3" s="0" t="n">
        <v>6.3</v>
      </c>
      <c r="K3" s="0" t="n">
        <v>0.52</v>
      </c>
      <c r="L3" s="0" t="n">
        <v>1406.262</v>
      </c>
      <c r="M3" s="0" t="n">
        <v>1234.207</v>
      </c>
      <c r="N3" s="0" t="n">
        <v>172.055</v>
      </c>
      <c r="O3" s="0" t="n">
        <v>7031.642</v>
      </c>
      <c r="P3" s="0" t="n">
        <v>11281.788</v>
      </c>
      <c r="Q3" s="0" t="n">
        <v>4254.388</v>
      </c>
      <c r="R3" s="0" t="n">
        <v>6.948</v>
      </c>
      <c r="S3" s="0" t="n">
        <v>5348.492</v>
      </c>
      <c r="T3" s="0" t="n">
        <v>1216.637</v>
      </c>
      <c r="U3" s="0" t="n">
        <v>82.835</v>
      </c>
      <c r="AA3" s="0" t="s">
        <v>18</v>
      </c>
      <c r="AB3" s="0" t="s">
        <v>14</v>
      </c>
      <c r="AD3" s="0" t="n">
        <v>722.578</v>
      </c>
    </row>
    <row r="4" customFormat="false" ht="15" hidden="false" customHeight="false" outlineLevel="0" collapsed="false">
      <c r="A4" s="0" t="s">
        <v>70</v>
      </c>
      <c r="B4" s="0" t="n">
        <v>11473.208</v>
      </c>
      <c r="C4" s="0" t="n">
        <v>7030.156</v>
      </c>
      <c r="D4" s="0" t="n">
        <v>4443.052</v>
      </c>
      <c r="E4" s="0" t="n">
        <v>38.7</v>
      </c>
      <c r="F4" s="0" t="n">
        <v>2223.011</v>
      </c>
      <c r="G4" s="0" t="n">
        <v>19.4</v>
      </c>
      <c r="H4" s="0" t="n">
        <v>2614.178</v>
      </c>
      <c r="I4" s="0" t="n">
        <v>1781.829</v>
      </c>
      <c r="J4" s="0" t="n">
        <v>15.5</v>
      </c>
      <c r="K4" s="0" t="n">
        <v>1.41</v>
      </c>
      <c r="L4" s="0" t="n">
        <v>1666.03</v>
      </c>
      <c r="M4" s="0" t="n">
        <v>174.147</v>
      </c>
      <c r="N4" s="0" t="n">
        <v>1491.883</v>
      </c>
      <c r="O4" s="0" t="n">
        <v>8901.015</v>
      </c>
      <c r="P4" s="0" t="n">
        <v>13447.713</v>
      </c>
      <c r="Q4" s="0" t="n">
        <v>4529.445</v>
      </c>
      <c r="R4" s="0" t="n">
        <v>7.215</v>
      </c>
      <c r="S4" s="0" t="n">
        <v>6489.213</v>
      </c>
      <c r="T4" s="0" t="n">
        <v>1250.545</v>
      </c>
      <c r="U4" s="0" t="n">
        <v>62.882</v>
      </c>
      <c r="AA4" s="0" t="s">
        <v>18</v>
      </c>
      <c r="AB4" s="0" t="s">
        <v>14</v>
      </c>
    </row>
    <row r="5" customFormat="false" ht="15" hidden="false" customHeight="false" outlineLevel="0" collapsed="false">
      <c r="A5" s="0" t="s">
        <v>71</v>
      </c>
      <c r="B5" s="0" t="n">
        <v>16994.025</v>
      </c>
      <c r="C5" s="0" t="n">
        <v>9356.965</v>
      </c>
      <c r="D5" s="0" t="n">
        <v>7637.06</v>
      </c>
      <c r="E5" s="0" t="n">
        <v>44.9</v>
      </c>
      <c r="F5" s="0" t="n">
        <v>3315.789</v>
      </c>
      <c r="G5" s="0" t="n">
        <v>19.5</v>
      </c>
      <c r="H5" s="0" t="n">
        <v>4124.483</v>
      </c>
      <c r="I5" s="0" t="n">
        <v>2635.428</v>
      </c>
      <c r="J5" s="0" t="n">
        <v>15.5</v>
      </c>
      <c r="K5" s="0" t="n">
        <v>2.1</v>
      </c>
      <c r="L5" s="0" t="n">
        <v>2168.334</v>
      </c>
      <c r="M5" s="0" t="n">
        <v>762.538</v>
      </c>
      <c r="N5" s="0" t="n">
        <v>1405.796</v>
      </c>
      <c r="O5" s="0" t="n">
        <v>10314.974</v>
      </c>
      <c r="P5" s="0" t="n">
        <v>18120.128</v>
      </c>
      <c r="Q5" s="0" t="n">
        <v>7764.606</v>
      </c>
      <c r="R5" s="0" t="n">
        <v>571.265</v>
      </c>
      <c r="S5" s="0" t="n">
        <v>6328.121</v>
      </c>
      <c r="T5" s="0" t="n">
        <v>1246.818</v>
      </c>
      <c r="U5" s="0" t="n">
        <v>85.184</v>
      </c>
      <c r="AA5" s="0" t="s">
        <v>18</v>
      </c>
      <c r="AB5" s="0" t="s">
        <v>14</v>
      </c>
      <c r="AC5" s="0" t="n">
        <v>4334.325</v>
      </c>
      <c r="AD5" s="0" t="n">
        <v>2720.612</v>
      </c>
      <c r="AF5" s="0" t="n">
        <v>7504</v>
      </c>
    </row>
    <row r="6" customFormat="false" ht="15" hidden="false" customHeight="false" outlineLevel="0" collapsed="false">
      <c r="A6" s="0" t="s">
        <v>72</v>
      </c>
      <c r="B6" s="0" t="n">
        <v>21443.827</v>
      </c>
      <c r="C6" s="0" t="n">
        <v>11795.708</v>
      </c>
      <c r="D6" s="0" t="n">
        <v>9648.119</v>
      </c>
      <c r="E6" s="0" t="n">
        <v>45</v>
      </c>
      <c r="F6" s="0" t="n">
        <v>3303.123</v>
      </c>
      <c r="G6" s="0" t="n">
        <v>15.4</v>
      </c>
      <c r="H6" s="0" t="n">
        <v>4509.428</v>
      </c>
      <c r="I6" s="0" t="n">
        <v>1209.814</v>
      </c>
      <c r="J6" s="0" t="n">
        <v>5.6</v>
      </c>
      <c r="K6" s="0" t="n">
        <v>0.98</v>
      </c>
      <c r="L6" s="0" t="n">
        <v>2577.891</v>
      </c>
      <c r="M6" s="0" t="n">
        <v>997.651</v>
      </c>
      <c r="N6" s="0" t="n">
        <v>1580.24</v>
      </c>
      <c r="O6" s="0" t="n">
        <v>10618.763</v>
      </c>
      <c r="P6" s="0" t="n">
        <v>28633.522</v>
      </c>
      <c r="Q6" s="0" t="n">
        <v>17914.251</v>
      </c>
      <c r="R6" s="0" t="n">
        <v>7166.434</v>
      </c>
      <c r="S6" s="0" t="n">
        <v>6817.129</v>
      </c>
      <c r="T6" s="0" t="n">
        <v>1226.462</v>
      </c>
      <c r="U6" s="0" t="n">
        <v>367.869</v>
      </c>
      <c r="AA6" s="0" t="s">
        <v>18</v>
      </c>
      <c r="AB6" s="0" t="s">
        <v>14</v>
      </c>
      <c r="AC6" s="0" t="n">
        <v>4959.949</v>
      </c>
      <c r="AE6" s="0" t="n">
        <v>37100</v>
      </c>
      <c r="AF6" s="0" t="n">
        <v>8151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19.87</v>
      </c>
    </row>
    <row r="3" customFormat="false" ht="15" hidden="false" customHeight="false" outlineLevel="0" collapsed="false">
      <c r="A3" s="0" t="s">
        <v>76</v>
      </c>
      <c r="B3" s="3" t="n">
        <v>1205</v>
      </c>
    </row>
    <row r="4" customFormat="false" ht="15" hidden="false" customHeight="false" outlineLevel="0" collapsed="false">
      <c r="A4" s="0" t="s">
        <v>77</v>
      </c>
      <c r="B4" s="3" t="n">
        <v>3486</v>
      </c>
    </row>
    <row r="5" customFormat="false" ht="15" hidden="false" customHeight="false" outlineLevel="0" collapsed="false">
      <c r="A5" s="0" t="s">
        <v>78</v>
      </c>
      <c r="B5" s="3" t="n">
        <v>7467.437</v>
      </c>
    </row>
    <row r="6" customFormat="false" ht="15" hidden="false" customHeight="false" outlineLevel="0" collapsed="false">
      <c r="A6" s="0" t="s">
        <v>79</v>
      </c>
      <c r="B6" s="3" t="n">
        <v>15</v>
      </c>
    </row>
    <row r="7" customFormat="false" ht="15" hidden="false" customHeight="false" outlineLevel="0" collapsed="false">
      <c r="A7" s="0" t="s">
        <v>80</v>
      </c>
      <c r="B7" s="3" t="n">
        <v>21443.827</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1.1754</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16</v>
      </c>
      <c r="D13" s="3" t="n">
        <v>8</v>
      </c>
      <c r="E13" s="3" t="n">
        <v>5</v>
      </c>
      <c r="F13" s="3" t="n">
        <v>4</v>
      </c>
      <c r="G13" s="3" t="n">
        <v>3</v>
      </c>
      <c r="H13" s="3" t="n">
        <v>3</v>
      </c>
      <c r="I13" s="3" t="n">
        <v>2.5</v>
      </c>
      <c r="J13" s="3" t="n">
        <v>2.5</v>
      </c>
      <c r="K13" s="3" t="n">
        <v>2</v>
      </c>
      <c r="L13" s="3" t="n">
        <v>2</v>
      </c>
    </row>
    <row r="14" customFormat="false" ht="15" hidden="false" customHeight="false" outlineLevel="0" collapsed="false">
      <c r="A14" s="0" t="s">
        <v>97</v>
      </c>
      <c r="C14" s="3" t="n">
        <v>18.5</v>
      </c>
      <c r="D14" s="3" t="n">
        <v>17.5</v>
      </c>
      <c r="E14" s="3" t="n">
        <v>17</v>
      </c>
      <c r="F14" s="3" t="n">
        <v>17</v>
      </c>
      <c r="G14" s="3" t="n">
        <v>17</v>
      </c>
      <c r="H14" s="3" t="n">
        <v>17</v>
      </c>
      <c r="I14" s="3" t="n">
        <v>17</v>
      </c>
      <c r="J14" s="3" t="n">
        <v>17</v>
      </c>
      <c r="K14" s="3" t="n">
        <v>17</v>
      </c>
      <c r="L14" s="3" t="n">
        <v>17</v>
      </c>
    </row>
    <row r="15" customFormat="false" ht="15" hidden="false" customHeight="false" outlineLevel="0" collapsed="false">
      <c r="A15" s="0" t="s">
        <v>98</v>
      </c>
      <c r="C15" s="3" t="n">
        <v>1.3</v>
      </c>
      <c r="D15" s="3" t="n">
        <v>1.3</v>
      </c>
      <c r="E15" s="3" t="n">
        <v>1.2</v>
      </c>
      <c r="F15" s="3" t="n">
        <v>1.2</v>
      </c>
      <c r="G15" s="3" t="n">
        <v>1.2</v>
      </c>
      <c r="H15" s="3" t="n">
        <v>1.2</v>
      </c>
      <c r="I15" s="3" t="n">
        <v>1.2</v>
      </c>
      <c r="J15" s="3" t="n">
        <v>1.2</v>
      </c>
      <c r="K15" s="3" t="n">
        <v>1.2</v>
      </c>
      <c r="L15" s="3" t="n">
        <v>1.2</v>
      </c>
    </row>
    <row r="16" customFormat="false" ht="15" hidden="false" customHeight="false" outlineLevel="0" collapsed="false">
      <c r="A16" s="0" t="s">
        <v>99</v>
      </c>
      <c r="C16" s="3" t="n">
        <v>5</v>
      </c>
      <c r="D16" s="3" t="n">
        <v>5.3</v>
      </c>
      <c r="E16" s="3" t="n">
        <v>5.5</v>
      </c>
      <c r="F16" s="3" t="n">
        <v>5.5</v>
      </c>
      <c r="G16" s="3" t="n">
        <v>5.5</v>
      </c>
      <c r="H16" s="3" t="n">
        <v>5.5</v>
      </c>
      <c r="I16" s="3" t="n">
        <v>5.5</v>
      </c>
      <c r="J16" s="3" t="n">
        <v>5.5</v>
      </c>
      <c r="K16" s="3" t="n">
        <v>5.5</v>
      </c>
      <c r="L16" s="3" t="n">
        <v>5.5</v>
      </c>
    </row>
    <row r="17" customFormat="false" ht="15" hidden="false" customHeight="false" outlineLevel="0" collapsed="false">
      <c r="A17" s="0" t="s">
        <v>100</v>
      </c>
      <c r="C17" s="3" t="n">
        <v>1.7</v>
      </c>
      <c r="D17" s="3" t="n">
        <v>1.8</v>
      </c>
      <c r="E17" s="3" t="n">
        <v>1.9</v>
      </c>
      <c r="F17" s="3" t="n">
        <v>2</v>
      </c>
      <c r="G17" s="3" t="n">
        <v>2</v>
      </c>
      <c r="H17" s="3" t="n">
        <v>2</v>
      </c>
      <c r="I17" s="3" t="n">
        <v>2</v>
      </c>
      <c r="J17" s="3" t="n">
        <v>2</v>
      </c>
      <c r="K17" s="3" t="n">
        <v>2</v>
      </c>
      <c r="L17" s="3" t="n">
        <v>2</v>
      </c>
    </row>
    <row r="18" customFormat="false" ht="15" hidden="false" customHeight="false" outlineLevel="0" collapsed="false">
      <c r="A18" s="0" t="s">
        <v>101</v>
      </c>
      <c r="C18" s="3" t="n">
        <v>6</v>
      </c>
      <c r="D18" s="3" t="n">
        <v>5</v>
      </c>
      <c r="E18" s="3" t="n">
        <v>4</v>
      </c>
      <c r="F18" s="3" t="n">
        <v>3.5</v>
      </c>
      <c r="G18" s="3" t="n">
        <v>3</v>
      </c>
      <c r="H18" s="3" t="n">
        <v>3</v>
      </c>
      <c r="I18" s="3" t="n">
        <v>2.8</v>
      </c>
      <c r="J18" s="3" t="n">
        <v>2.6</v>
      </c>
      <c r="K18" s="3" t="n">
        <v>2.5</v>
      </c>
      <c r="L18" s="3" t="n">
        <v>2.5</v>
      </c>
    </row>
    <row r="19" customFormat="false" ht="15" hidden="false" customHeight="false" outlineLevel="0" collapsed="false">
      <c r="A19" s="0" t="s">
        <v>102</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103</v>
      </c>
      <c r="B20" s="3" t="n">
        <v>9</v>
      </c>
    </row>
    <row r="21" customFormat="false" ht="15" hidden="false" customHeight="false" outlineLevel="0" collapsed="false">
      <c r="A21" s="0" t="s">
        <v>104</v>
      </c>
      <c r="B21" s="3" t="n">
        <v>2</v>
      </c>
    </row>
    <row r="22" customFormat="false" ht="15" hidden="false" customHeight="false" outlineLevel="0" collapsed="false">
      <c r="A22" s="0" t="s">
        <v>105</v>
      </c>
      <c r="B22" s="3" t="n">
        <v>12</v>
      </c>
    </row>
    <row r="23" customFormat="false" ht="15" hidden="false" customHeight="false" outlineLevel="0" collapsed="false">
      <c r="A23" s="0" t="s">
        <v>106</v>
      </c>
      <c r="B23" s="3" t="n">
        <v>-30</v>
      </c>
    </row>
    <row r="24" customFormat="false" ht="15" hidden="false" customHeight="false" outlineLevel="0" collapsed="false">
      <c r="A24" s="0" t="s">
        <v>107</v>
      </c>
      <c r="B24" s="3" t="n">
        <v>0.3</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20</v>
      </c>
      <c r="D27" s="3" t="n">
        <v>15</v>
      </c>
      <c r="E27" s="3" t="n">
        <v>12</v>
      </c>
      <c r="F27" s="3" t="n">
        <v>10</v>
      </c>
      <c r="G27" s="3" t="n">
        <v>8</v>
      </c>
      <c r="H27" s="3" t="n">
        <v>7</v>
      </c>
      <c r="I27" s="3" t="n">
        <v>6</v>
      </c>
      <c r="J27" s="3" t="n">
        <v>5</v>
      </c>
      <c r="K27" s="3" t="n">
        <v>4</v>
      </c>
      <c r="L27" s="3" t="n">
        <v>3.5</v>
      </c>
    </row>
    <row r="28" customFormat="false" ht="15" hidden="false" customHeight="false" outlineLevel="0" collapsed="false">
      <c r="A28" s="0" t="s">
        <v>97</v>
      </c>
      <c r="C28" s="3" t="n">
        <v>19.5</v>
      </c>
      <c r="D28" s="3" t="n">
        <v>20</v>
      </c>
      <c r="E28" s="3" t="n">
        <v>20.5</v>
      </c>
      <c r="F28" s="3" t="n">
        <v>21</v>
      </c>
      <c r="G28" s="3" t="n">
        <v>21</v>
      </c>
      <c r="H28" s="3" t="n">
        <v>21</v>
      </c>
      <c r="I28" s="3" t="n">
        <v>21</v>
      </c>
      <c r="J28" s="3" t="n">
        <v>21</v>
      </c>
      <c r="K28" s="3" t="n">
        <v>21</v>
      </c>
      <c r="L28" s="3" t="n">
        <v>21</v>
      </c>
    </row>
    <row r="29" customFormat="false" ht="15" hidden="false" customHeight="false" outlineLevel="0" collapsed="false">
      <c r="A29" s="0" t="s">
        <v>98</v>
      </c>
      <c r="C29" s="3" t="n">
        <v>1.2</v>
      </c>
      <c r="D29" s="3" t="n">
        <v>1.2</v>
      </c>
      <c r="E29" s="3" t="n">
        <v>1.1</v>
      </c>
      <c r="F29" s="3" t="n">
        <v>1.1</v>
      </c>
      <c r="G29" s="3" t="n">
        <v>1</v>
      </c>
      <c r="H29" s="3" t="n">
        <v>1</v>
      </c>
      <c r="I29" s="3" t="n">
        <v>1</v>
      </c>
      <c r="J29" s="3" t="n">
        <v>1</v>
      </c>
      <c r="K29" s="3" t="n">
        <v>1</v>
      </c>
      <c r="L29" s="3" t="n">
        <v>1</v>
      </c>
    </row>
    <row r="30" customFormat="false" ht="15" hidden="false" customHeight="false" outlineLevel="0" collapsed="false">
      <c r="A30" s="0" t="s">
        <v>99</v>
      </c>
      <c r="C30" s="3" t="n">
        <v>4.9</v>
      </c>
      <c r="D30" s="3" t="n">
        <v>5</v>
      </c>
      <c r="E30" s="3" t="n">
        <v>5</v>
      </c>
      <c r="F30" s="3" t="n">
        <v>5</v>
      </c>
      <c r="G30" s="3" t="n">
        <v>5</v>
      </c>
      <c r="H30" s="3" t="n">
        <v>5</v>
      </c>
      <c r="I30" s="3" t="n">
        <v>5</v>
      </c>
      <c r="J30" s="3" t="n">
        <v>5</v>
      </c>
      <c r="K30" s="3" t="n">
        <v>5</v>
      </c>
      <c r="L30" s="3" t="n">
        <v>5</v>
      </c>
    </row>
    <row r="31" customFormat="false" ht="15" hidden="false" customHeight="false" outlineLevel="0" collapsed="false">
      <c r="A31" s="0" t="s">
        <v>100</v>
      </c>
      <c r="C31" s="3" t="n">
        <v>1.6</v>
      </c>
      <c r="D31" s="3" t="n">
        <v>1.7</v>
      </c>
      <c r="E31" s="3" t="n">
        <v>1.8</v>
      </c>
      <c r="F31" s="3" t="n">
        <v>1.8</v>
      </c>
      <c r="G31" s="3" t="n">
        <v>1.8</v>
      </c>
      <c r="H31" s="3" t="n">
        <v>1.8</v>
      </c>
      <c r="I31" s="3" t="n">
        <v>1.8</v>
      </c>
      <c r="J31" s="3" t="n">
        <v>1.8</v>
      </c>
      <c r="K31" s="3" t="n">
        <v>1.8</v>
      </c>
      <c r="L31" s="3" t="n">
        <v>1.8</v>
      </c>
    </row>
    <row r="32" customFormat="false" ht="15" hidden="false" customHeight="false" outlineLevel="0" collapsed="false">
      <c r="A32" s="0" t="s">
        <v>101</v>
      </c>
      <c r="C32" s="3" t="n">
        <v>5.8</v>
      </c>
      <c r="D32" s="3" t="n">
        <v>4.5</v>
      </c>
      <c r="E32" s="3" t="n">
        <v>4</v>
      </c>
      <c r="F32" s="3" t="n">
        <v>3.5</v>
      </c>
      <c r="G32" s="3" t="n">
        <v>3</v>
      </c>
      <c r="H32" s="3" t="n">
        <v>3</v>
      </c>
      <c r="I32" s="3" t="n">
        <v>2.8</v>
      </c>
      <c r="J32" s="3" t="n">
        <v>2.6</v>
      </c>
      <c r="K32" s="3" t="n">
        <v>2.5</v>
      </c>
      <c r="L32" s="3" t="n">
        <v>2.5</v>
      </c>
    </row>
    <row r="33" customFormat="false" ht="15" hidden="false" customHeight="false" outlineLevel="0" collapsed="false">
      <c r="A33" s="0" t="s">
        <v>102</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103</v>
      </c>
      <c r="B34" s="3" t="n">
        <v>9</v>
      </c>
    </row>
    <row r="35" customFormat="false" ht="15" hidden="false" customHeight="false" outlineLevel="0" collapsed="false">
      <c r="A35" s="0" t="s">
        <v>104</v>
      </c>
      <c r="B35" s="3" t="n">
        <v>3</v>
      </c>
    </row>
    <row r="36" customFormat="false" ht="15" hidden="false" customHeight="false" outlineLevel="0" collapsed="false">
      <c r="A36" s="0" t="s">
        <v>105</v>
      </c>
      <c r="B36" s="3" t="n">
        <v>15</v>
      </c>
    </row>
    <row r="37" customFormat="false" ht="15" hidden="false" customHeight="false" outlineLevel="0" collapsed="false">
      <c r="A37" s="0" t="s">
        <v>106</v>
      </c>
      <c r="B37" s="3" t="n">
        <v>-22</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23</v>
      </c>
      <c r="D41" s="3" t="n">
        <v>20</v>
      </c>
      <c r="E41" s="3" t="n">
        <v>17</v>
      </c>
      <c r="F41" s="3" t="n">
        <v>14</v>
      </c>
      <c r="G41" s="3" t="n">
        <v>11</v>
      </c>
      <c r="H41" s="3" t="n">
        <v>9</v>
      </c>
      <c r="I41" s="3" t="n">
        <v>7</v>
      </c>
      <c r="J41" s="3" t="n">
        <v>6</v>
      </c>
      <c r="K41" s="3" t="n">
        <v>5</v>
      </c>
      <c r="L41" s="3" t="n">
        <v>4</v>
      </c>
    </row>
    <row r="42" customFormat="false" ht="15" hidden="false" customHeight="false" outlineLevel="0" collapsed="false">
      <c r="A42" s="0" t="s">
        <v>97</v>
      </c>
      <c r="C42" s="3" t="n">
        <v>20</v>
      </c>
      <c r="D42" s="3" t="n">
        <v>21</v>
      </c>
      <c r="E42" s="3" t="n">
        <v>22</v>
      </c>
      <c r="F42" s="3" t="n">
        <v>23</v>
      </c>
      <c r="G42" s="3" t="n">
        <v>23.5</v>
      </c>
      <c r="H42" s="3" t="n">
        <v>23.5</v>
      </c>
      <c r="I42" s="3" t="n">
        <v>23.5</v>
      </c>
      <c r="J42" s="3" t="n">
        <v>23.5</v>
      </c>
      <c r="K42" s="3" t="n">
        <v>23.5</v>
      </c>
      <c r="L42" s="3" t="n">
        <v>23.5</v>
      </c>
    </row>
    <row r="43" customFormat="false" ht="15" hidden="false" customHeight="false" outlineLevel="0" collapsed="false">
      <c r="A43" s="0" t="s">
        <v>98</v>
      </c>
      <c r="C43" s="3" t="n">
        <v>1.2</v>
      </c>
      <c r="D43" s="3" t="n">
        <v>1.2</v>
      </c>
      <c r="E43" s="3" t="n">
        <v>1.1</v>
      </c>
      <c r="F43" s="3" t="n">
        <v>1.1</v>
      </c>
      <c r="G43" s="3" t="n">
        <v>1</v>
      </c>
      <c r="H43" s="3" t="n">
        <v>1</v>
      </c>
      <c r="I43" s="3" t="n">
        <v>1</v>
      </c>
      <c r="J43" s="3" t="n">
        <v>1</v>
      </c>
      <c r="K43" s="3" t="n">
        <v>1</v>
      </c>
      <c r="L43" s="3" t="n">
        <v>1</v>
      </c>
    </row>
    <row r="44" customFormat="false" ht="15" hidden="false" customHeight="false" outlineLevel="0" collapsed="false">
      <c r="A44" s="0" t="s">
        <v>99</v>
      </c>
      <c r="C44" s="3" t="n">
        <v>4.8</v>
      </c>
      <c r="D44" s="3" t="n">
        <v>4.8</v>
      </c>
      <c r="E44" s="3" t="n">
        <v>4.8</v>
      </c>
      <c r="F44" s="3" t="n">
        <v>4.8</v>
      </c>
      <c r="G44" s="3" t="n">
        <v>4.8</v>
      </c>
      <c r="H44" s="3" t="n">
        <v>4.8</v>
      </c>
      <c r="I44" s="3" t="n">
        <v>4.8</v>
      </c>
      <c r="J44" s="3" t="n">
        <v>4.8</v>
      </c>
      <c r="K44" s="3" t="n">
        <v>4.8</v>
      </c>
      <c r="L44" s="3" t="n">
        <v>4.8</v>
      </c>
    </row>
    <row r="45" customFormat="false" ht="15" hidden="false" customHeight="false" outlineLevel="0" collapsed="false">
      <c r="A45" s="0" t="s">
        <v>100</v>
      </c>
      <c r="C45" s="3" t="n">
        <v>1.6</v>
      </c>
      <c r="D45" s="3" t="n">
        <v>1.7</v>
      </c>
      <c r="E45" s="3" t="n">
        <v>1.8</v>
      </c>
      <c r="F45" s="3" t="n">
        <v>1.8</v>
      </c>
      <c r="G45" s="3" t="n">
        <v>1.8</v>
      </c>
      <c r="H45" s="3" t="n">
        <v>1.8</v>
      </c>
      <c r="I45" s="3" t="n">
        <v>1.8</v>
      </c>
      <c r="J45" s="3" t="n">
        <v>1.8</v>
      </c>
      <c r="K45" s="3" t="n">
        <v>1.8</v>
      </c>
      <c r="L45" s="3" t="n">
        <v>1.8</v>
      </c>
    </row>
    <row r="46" customFormat="false" ht="15" hidden="false" customHeight="false" outlineLevel="0" collapsed="false">
      <c r="A46" s="0" t="s">
        <v>101</v>
      </c>
      <c r="C46" s="3" t="n">
        <v>5.5</v>
      </c>
      <c r="D46" s="3" t="n">
        <v>4.5</v>
      </c>
      <c r="E46" s="3" t="n">
        <v>4</v>
      </c>
      <c r="F46" s="3" t="n">
        <v>3.5</v>
      </c>
      <c r="G46" s="3" t="n">
        <v>3</v>
      </c>
      <c r="H46" s="3" t="n">
        <v>3</v>
      </c>
      <c r="I46" s="3" t="n">
        <v>2.8</v>
      </c>
      <c r="J46" s="3" t="n">
        <v>2.6</v>
      </c>
      <c r="K46" s="3" t="n">
        <v>2.5</v>
      </c>
      <c r="L46" s="3" t="n">
        <v>2.5</v>
      </c>
    </row>
    <row r="47" customFormat="false" ht="15" hidden="false" customHeight="false" outlineLevel="0" collapsed="false">
      <c r="A47" s="0" t="s">
        <v>102</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103</v>
      </c>
      <c r="B48" s="3" t="n">
        <v>9</v>
      </c>
    </row>
    <row r="49" customFormat="false" ht="15" hidden="false" customHeight="false" outlineLevel="0" collapsed="false">
      <c r="A49" s="0" t="s">
        <v>104</v>
      </c>
      <c r="B49" s="3" t="n">
        <v>3.5</v>
      </c>
    </row>
    <row r="50" customFormat="false" ht="15" hidden="false" customHeight="false" outlineLevel="0" collapsed="false">
      <c r="A50" s="0" t="s">
        <v>105</v>
      </c>
      <c r="B50" s="3" t="n">
        <v>15</v>
      </c>
    </row>
    <row r="51" customFormat="false" ht="15" hidden="false" customHeight="false" outlineLevel="0" collapsed="false">
      <c r="A51" s="0" t="s">
        <v>106</v>
      </c>
      <c r="B51" s="3" t="n">
        <v>-15</v>
      </c>
    </row>
    <row r="52" customFormat="false" ht="15" hidden="false" customHeight="false" outlineLevel="0" collapsed="false">
      <c r="A52" s="0" t="s">
        <v>107</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16</v>
      </c>
      <c r="D5" s="4" t="n">
        <f aca="false">Assumptions!D13</f>
        <v>8</v>
      </c>
      <c r="E5" s="4" t="n">
        <f aca="false">Assumptions!E13</f>
        <v>5</v>
      </c>
      <c r="F5" s="4" t="n">
        <f aca="false">Assumptions!F13</f>
        <v>4</v>
      </c>
      <c r="G5" s="4" t="n">
        <f aca="false">Assumptions!G13</f>
        <v>3</v>
      </c>
      <c r="H5" s="4" t="n">
        <f aca="false">Assumptions!H13</f>
        <v>3</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38</v>
      </c>
      <c r="B6" s="3" t="n">
        <v>21443.827</v>
      </c>
      <c r="C6" s="0" t="n">
        <f aca="false">B6*(1+C5/100)</f>
        <v>24874.83932</v>
      </c>
      <c r="D6" s="0" t="n">
        <f aca="false">C6*(1+D5/100)</f>
        <v>26864.8264656</v>
      </c>
      <c r="E6" s="0" t="n">
        <f aca="false">D6*(1+E5/100)</f>
        <v>28208.06778888</v>
      </c>
      <c r="F6" s="0" t="n">
        <f aca="false">E6*(1+F5/100)</f>
        <v>29336.3905004352</v>
      </c>
      <c r="G6" s="0" t="n">
        <f aca="false">F6*(1+G5/100)</f>
        <v>30216.4822154483</v>
      </c>
      <c r="H6" s="0" t="n">
        <f aca="false">G6*(1+H5/100)</f>
        <v>31122.9766819117</v>
      </c>
      <c r="I6" s="0" t="n">
        <f aca="false">H6*(1+I5/100)</f>
        <v>31901.0510989595</v>
      </c>
      <c r="J6" s="0" t="n">
        <f aca="false">I6*(1+J5/100)</f>
        <v>32698.5773764335</v>
      </c>
      <c r="K6" s="0" t="n">
        <f aca="false">J6*(1+K5/100)</f>
        <v>33352.5489239622</v>
      </c>
      <c r="L6" s="0" t="n">
        <f aca="false">K6*(1+L5/100)</f>
        <v>34019.5999024414</v>
      </c>
    </row>
    <row r="7" customFormat="false" ht="15" hidden="false" customHeight="false" outlineLevel="0" collapsed="false">
      <c r="A7" s="0" t="s">
        <v>97</v>
      </c>
      <c r="C7" s="4" t="n">
        <f aca="false">Assumptions!C14</f>
        <v>18.5</v>
      </c>
      <c r="D7" s="4" t="n">
        <f aca="false">Assumptions!D14</f>
        <v>17.5</v>
      </c>
      <c r="E7" s="4" t="n">
        <f aca="false">Assumptions!E14</f>
        <v>17</v>
      </c>
      <c r="F7" s="4" t="n">
        <f aca="false">Assumptions!F14</f>
        <v>17</v>
      </c>
      <c r="G7" s="4" t="n">
        <f aca="false">Assumptions!G14</f>
        <v>17</v>
      </c>
      <c r="H7" s="4" t="n">
        <f aca="false">Assumptions!H14</f>
        <v>17</v>
      </c>
      <c r="I7" s="4" t="n">
        <f aca="false">Assumptions!I14</f>
        <v>17</v>
      </c>
      <c r="J7" s="4" t="n">
        <f aca="false">Assumptions!J14</f>
        <v>17</v>
      </c>
      <c r="K7" s="4" t="n">
        <f aca="false">Assumptions!K14</f>
        <v>17</v>
      </c>
      <c r="L7" s="4" t="n">
        <f aca="false">Assumptions!L14</f>
        <v>17</v>
      </c>
    </row>
    <row r="8" customFormat="false" ht="15" hidden="false" customHeight="false" outlineLevel="0" collapsed="false">
      <c r="A8" s="0" t="s">
        <v>44</v>
      </c>
      <c r="C8" s="0" t="n">
        <f aca="false">C6*C7/100</f>
        <v>4601.8452742</v>
      </c>
      <c r="D8" s="0" t="n">
        <f aca="false">D6*D7/100</f>
        <v>4701.34463148</v>
      </c>
      <c r="E8" s="0" t="n">
        <f aca="false">E6*E7/100</f>
        <v>4795.3715241096</v>
      </c>
      <c r="F8" s="0" t="n">
        <f aca="false">F6*F7/100</f>
        <v>4987.18638507399</v>
      </c>
      <c r="G8" s="0" t="n">
        <f aca="false">G6*G7/100</f>
        <v>5136.8019766262</v>
      </c>
      <c r="H8" s="0" t="n">
        <f aca="false">H6*H7/100</f>
        <v>5290.90603592499</v>
      </c>
      <c r="I8" s="0" t="n">
        <f aca="false">I6*I7/100</f>
        <v>5423.17868682311</v>
      </c>
      <c r="J8" s="0" t="n">
        <f aca="false">J6*J7/100</f>
        <v>5558.75815399369</v>
      </c>
      <c r="K8" s="0" t="n">
        <f aca="false">K6*K7/100</f>
        <v>5669.93331707357</v>
      </c>
      <c r="L8" s="0" t="n">
        <f aca="false">L6*L7/100</f>
        <v>5783.33198341504</v>
      </c>
    </row>
    <row r="9" customFormat="false" ht="15" hidden="false" customHeight="false" outlineLevel="0" collapsed="false">
      <c r="A9" s="0" t="s">
        <v>98</v>
      </c>
      <c r="C9" s="4" t="n">
        <f aca="false">Assumptions!C15</f>
        <v>1.3</v>
      </c>
      <c r="D9" s="4" t="n">
        <f aca="false">Assumptions!D15</f>
        <v>1.3</v>
      </c>
      <c r="E9" s="4" t="n">
        <f aca="false">Assumptions!E15</f>
        <v>1.2</v>
      </c>
      <c r="F9" s="4" t="n">
        <f aca="false">Assumptions!F15</f>
        <v>1.2</v>
      </c>
      <c r="G9" s="4" t="n">
        <f aca="false">Assumptions!G15</f>
        <v>1.2</v>
      </c>
      <c r="H9" s="4" t="n">
        <f aca="false">Assumptions!H15</f>
        <v>1.2</v>
      </c>
      <c r="I9" s="4" t="n">
        <f aca="false">Assumptions!I15</f>
        <v>1.2</v>
      </c>
      <c r="J9" s="4" t="n">
        <f aca="false">Assumptions!J15</f>
        <v>1.2</v>
      </c>
      <c r="K9" s="4" t="n">
        <f aca="false">Assumptions!K15</f>
        <v>1.2</v>
      </c>
      <c r="L9" s="4" t="n">
        <f aca="false">Assumptions!L15</f>
        <v>1.2</v>
      </c>
    </row>
    <row r="10" customFormat="false" ht="15" hidden="false" customHeight="false" outlineLevel="0" collapsed="false">
      <c r="A10" s="0" t="s">
        <v>113</v>
      </c>
      <c r="C10" s="0" t="n">
        <f aca="false">-C6*C9/100</f>
        <v>-323.37291116</v>
      </c>
      <c r="D10" s="0" t="n">
        <f aca="false">-D6*D9/100</f>
        <v>-349.2427440528</v>
      </c>
      <c r="E10" s="0" t="n">
        <f aca="false">-E6*E9/100</f>
        <v>-338.49681346656</v>
      </c>
      <c r="F10" s="0" t="n">
        <f aca="false">-F6*F9/100</f>
        <v>-352.036686005222</v>
      </c>
      <c r="G10" s="0" t="n">
        <f aca="false">-G6*G9/100</f>
        <v>-362.597786585379</v>
      </c>
      <c r="H10" s="0" t="n">
        <f aca="false">-H6*H9/100</f>
        <v>-373.475720182941</v>
      </c>
      <c r="I10" s="0" t="n">
        <f aca="false">-I6*I9/100</f>
        <v>-382.812613187514</v>
      </c>
      <c r="J10" s="0" t="n">
        <f aca="false">-J6*J9/100</f>
        <v>-392.382928517202</v>
      </c>
      <c r="K10" s="0" t="n">
        <f aca="false">-K6*K9/100</f>
        <v>-400.230587087546</v>
      </c>
      <c r="L10" s="0" t="n">
        <f aca="false">-L6*L9/100</f>
        <v>-408.235198829297</v>
      </c>
    </row>
    <row r="11" customFormat="false" ht="15" hidden="false" customHeight="false" outlineLevel="0" collapsed="false">
      <c r="A11" s="0" t="s">
        <v>114</v>
      </c>
      <c r="C11" s="0" t="n">
        <f aca="false">C8+C10+C24</f>
        <v>3034.73039704</v>
      </c>
      <c r="D11" s="0" t="n">
        <f aca="false">D8+D10+D24</f>
        <v>2928.2660847504</v>
      </c>
      <c r="E11" s="0" t="n">
        <f aca="false">E8+E10+E24</f>
        <v>2905.43098225464</v>
      </c>
      <c r="F11" s="0" t="n">
        <f aca="false">F8+F10+F24</f>
        <v>3021.64822154483</v>
      </c>
      <c r="G11" s="0" t="n">
        <f aca="false">G8+G10+G24</f>
        <v>3112.29766819117</v>
      </c>
      <c r="H11" s="0" t="n">
        <f aca="false">H8+H10+H24</f>
        <v>3205.66659823691</v>
      </c>
      <c r="I11" s="0" t="n">
        <f aca="false">I8+I10+I24</f>
        <v>3285.80826319283</v>
      </c>
      <c r="J11" s="0" t="n">
        <f aca="false">J8+J10+J24</f>
        <v>3367.95346977265</v>
      </c>
      <c r="K11" s="0" t="n">
        <f aca="false">K8+K10+K24</f>
        <v>3435.3125391681</v>
      </c>
      <c r="L11" s="0" t="n">
        <f aca="false">L8+L10+L24</f>
        <v>3504.01878995146</v>
      </c>
    </row>
    <row r="12" customFormat="false" ht="15" hidden="false" customHeight="false" outlineLevel="0" collapsed="false">
      <c r="A12" s="0" t="s">
        <v>115</v>
      </c>
      <c r="C12" s="4" t="n">
        <f aca="false">-C6*Assumptions!C17/100</f>
        <v>-422.87226844</v>
      </c>
      <c r="D12" s="4" t="n">
        <f aca="false">-D6*Assumptions!D17/100</f>
        <v>-483.5668763808</v>
      </c>
      <c r="E12" s="4" t="n">
        <f aca="false">-E6*Assumptions!E17/100</f>
        <v>-535.95328798872</v>
      </c>
      <c r="F12" s="4" t="n">
        <f aca="false">-F6*Assumptions!F17/100</f>
        <v>-586.727810008704</v>
      </c>
      <c r="G12" s="4" t="n">
        <f aca="false">-G6*Assumptions!G17/100</f>
        <v>-604.329644308965</v>
      </c>
      <c r="H12" s="4" t="n">
        <f aca="false">-H6*Assumptions!H17/100</f>
        <v>-622.459533638234</v>
      </c>
      <c r="I12" s="4" t="n">
        <f aca="false">-I6*Assumptions!I17/100</f>
        <v>-638.02102197919</v>
      </c>
      <c r="J12" s="4" t="n">
        <f aca="false">-J6*Assumptions!J17/100</f>
        <v>-653.97154752867</v>
      </c>
      <c r="K12" s="4" t="n">
        <f aca="false">-K6*Assumptions!K17/100</f>
        <v>-667.050978479243</v>
      </c>
      <c r="L12" s="4" t="n">
        <f aca="false">-L6*Assumptions!L17/100</f>
        <v>-680.391998048828</v>
      </c>
    </row>
    <row r="13" customFormat="false" ht="15" hidden="false" customHeight="false" outlineLevel="0" collapsed="false">
      <c r="A13" s="0" t="s">
        <v>116</v>
      </c>
      <c r="C13" s="0" t="n">
        <f aca="false">C11+C12</f>
        <v>2611.8581286</v>
      </c>
      <c r="D13" s="0" t="n">
        <f aca="false">D11+D12</f>
        <v>2444.6992083696</v>
      </c>
      <c r="E13" s="0" t="n">
        <f aca="false">E11+E12</f>
        <v>2369.47769426592</v>
      </c>
      <c r="F13" s="0" t="n">
        <f aca="false">F11+F12</f>
        <v>2434.92041153612</v>
      </c>
      <c r="G13" s="0" t="n">
        <f aca="false">G11+G12</f>
        <v>2507.96802388221</v>
      </c>
      <c r="H13" s="0" t="n">
        <f aca="false">H11+H12</f>
        <v>2583.20706459867</v>
      </c>
      <c r="I13" s="0" t="n">
        <f aca="false">I11+I12</f>
        <v>2647.78724121364</v>
      </c>
      <c r="J13" s="0" t="n">
        <f aca="false">J11+J12</f>
        <v>2713.98192224398</v>
      </c>
      <c r="K13" s="0" t="n">
        <f aca="false">K11+K12</f>
        <v>2768.26156068886</v>
      </c>
      <c r="L13" s="0" t="n">
        <f aca="false">L11+L12</f>
        <v>2823.62679190264</v>
      </c>
    </row>
    <row r="14" customFormat="false" ht="15" hidden="false" customHeight="false" outlineLevel="0" collapsed="false">
      <c r="A14" s="0" t="s">
        <v>102</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117</v>
      </c>
      <c r="C15" s="0" t="n">
        <f aca="false">C13-MAX(0,C13)*C14/100</f>
        <v>1958.89359645</v>
      </c>
      <c r="D15" s="0" t="n">
        <f aca="false">D13-MAX(0,D13)*D14/100</f>
        <v>1833.5244062772</v>
      </c>
      <c r="E15" s="0" t="n">
        <f aca="false">E13-MAX(0,E13)*E14/100</f>
        <v>1777.10827069944</v>
      </c>
      <c r="F15" s="0" t="n">
        <f aca="false">F13-MAX(0,F13)*F14/100</f>
        <v>1826.19030865209</v>
      </c>
      <c r="G15" s="0" t="n">
        <f aca="false">G13-MAX(0,G13)*G14/100</f>
        <v>1880.97601791165</v>
      </c>
      <c r="H15" s="0" t="n">
        <f aca="false">H13-MAX(0,H13)*H14/100</f>
        <v>1937.405298449</v>
      </c>
      <c r="I15" s="0" t="n">
        <f aca="false">I13-MAX(0,I13)*I14/100</f>
        <v>1985.84043091023</v>
      </c>
      <c r="J15" s="0" t="n">
        <f aca="false">J13-MAX(0,J13)*J14/100</f>
        <v>2035.48644168298</v>
      </c>
      <c r="K15" s="0" t="n">
        <f aca="false">K13-MAX(0,K13)*K14/100</f>
        <v>2076.19617051664</v>
      </c>
      <c r="L15" s="0" t="n">
        <f aca="false">L13-MAX(0,L13)*L14/100</f>
        <v>2117.72009392698</v>
      </c>
    </row>
    <row r="16" customFormat="false" ht="15" hidden="false" customHeight="false" outlineLevel="0" collapsed="false">
      <c r="A16" s="0" t="s">
        <v>118</v>
      </c>
      <c r="C16" s="0" t="n">
        <f aca="false">-C12</f>
        <v>422.87226844</v>
      </c>
      <c r="D16" s="0" t="n">
        <f aca="false">-D12</f>
        <v>483.5668763808</v>
      </c>
      <c r="E16" s="0" t="n">
        <f aca="false">-E12</f>
        <v>535.95328798872</v>
      </c>
      <c r="F16" s="0" t="n">
        <f aca="false">-F12</f>
        <v>586.727810008704</v>
      </c>
      <c r="G16" s="0" t="n">
        <f aca="false">-G12</f>
        <v>604.329644308965</v>
      </c>
      <c r="H16" s="0" t="n">
        <f aca="false">-H12</f>
        <v>622.459533638234</v>
      </c>
      <c r="I16" s="0" t="n">
        <f aca="false">-I12</f>
        <v>638.02102197919</v>
      </c>
      <c r="J16" s="0" t="n">
        <f aca="false">-J12</f>
        <v>653.97154752867</v>
      </c>
      <c r="K16" s="0" t="n">
        <f aca="false">-K12</f>
        <v>667.050978479243</v>
      </c>
      <c r="L16" s="0" t="n">
        <f aca="false">-L12</f>
        <v>680.391998048828</v>
      </c>
    </row>
    <row r="17" customFormat="false" ht="15" hidden="false" customHeight="false" outlineLevel="0" collapsed="false">
      <c r="A17" s="0" t="s">
        <v>119</v>
      </c>
      <c r="C17" s="4" t="n">
        <f aca="false">-C6*Assumptions!C18/100</f>
        <v>-1492.4903592</v>
      </c>
      <c r="D17" s="4" t="n">
        <f aca="false">-D6*Assumptions!D18/100</f>
        <v>-1343.24132328</v>
      </c>
      <c r="E17" s="4" t="n">
        <f aca="false">-E6*Assumptions!E18/100</f>
        <v>-1128.3227115552</v>
      </c>
      <c r="F17" s="4" t="n">
        <f aca="false">-F6*Assumptions!F18/100</f>
        <v>-1026.77366751523</v>
      </c>
      <c r="G17" s="4" t="n">
        <f aca="false">-G6*Assumptions!G18/100</f>
        <v>-906.494466463448</v>
      </c>
      <c r="H17" s="4" t="n">
        <f aca="false">-H6*Assumptions!H18/100</f>
        <v>-933.689300457351</v>
      </c>
      <c r="I17" s="4" t="n">
        <f aca="false">-I6*Assumptions!I18/100</f>
        <v>-893.229430770866</v>
      </c>
      <c r="J17" s="4" t="n">
        <f aca="false">-J6*Assumptions!J18/100</f>
        <v>-850.163011787271</v>
      </c>
      <c r="K17" s="4" t="n">
        <f aca="false">-K6*Assumptions!K18/100</f>
        <v>-833.813723099054</v>
      </c>
      <c r="L17" s="4" t="n">
        <f aca="false">-L6*Assumptions!L18/100</f>
        <v>-850.489997561035</v>
      </c>
    </row>
    <row r="18" customFormat="false" ht="15" hidden="false" customHeight="false" outlineLevel="0" collapsed="false">
      <c r="A18" s="0" t="s">
        <v>120</v>
      </c>
      <c r="C18" s="4" t="n">
        <f aca="false">(C6-B6)*Assumptions!$B$23/100</f>
        <v>-1029.303696</v>
      </c>
      <c r="D18" s="4" t="n">
        <f aca="false">(D6-C6)*Assumptions!$B$23/100</f>
        <v>-596.99614368</v>
      </c>
      <c r="E18" s="4" t="n">
        <f aca="false">(E6-D6)*Assumptions!$B$23/100</f>
        <v>-402.972396984001</v>
      </c>
      <c r="F18" s="4" t="n">
        <f aca="false">(F6-E6)*Assumptions!$B$23/100</f>
        <v>-338.49681346656</v>
      </c>
      <c r="G18" s="4" t="n">
        <f aca="false">(G6-F6)*Assumptions!$B$23/100</f>
        <v>-264.027514503917</v>
      </c>
      <c r="H18" s="4" t="n">
        <f aca="false">(H6-G6)*Assumptions!$B$23/100</f>
        <v>-271.948339939035</v>
      </c>
      <c r="I18" s="4" t="n">
        <f aca="false">(I6-H6)*Assumptions!$B$23/100</f>
        <v>-233.422325114337</v>
      </c>
      <c r="J18" s="4" t="n">
        <f aca="false">(J6-I6)*Assumptions!$B$23/100</f>
        <v>-239.257883242196</v>
      </c>
      <c r="K18" s="4" t="n">
        <f aca="false">(K6-J6)*Assumptions!$B$23/100</f>
        <v>-196.191464258602</v>
      </c>
      <c r="L18" s="4" t="n">
        <f aca="false">(L6-K6)*Assumptions!$B$23/100</f>
        <v>-200.115293543773</v>
      </c>
    </row>
    <row r="19" customFormat="false" ht="15" hidden="false" customHeight="false" outlineLevel="0" collapsed="false">
      <c r="A19" s="0" t="s">
        <v>121</v>
      </c>
      <c r="C19" s="0" t="n">
        <f aca="false">C15+C16+C17+C18</f>
        <v>-140.028190309999</v>
      </c>
      <c r="D19" s="0" t="n">
        <f aca="false">D15+D16+D17+D18</f>
        <v>376.853815698</v>
      </c>
      <c r="E19" s="0" t="n">
        <f aca="false">E15+E16+E17+E18</f>
        <v>781.76645014896</v>
      </c>
      <c r="F19" s="0" t="n">
        <f aca="false">F15+F16+F17+F18</f>
        <v>1047.647637679</v>
      </c>
      <c r="G19" s="0" t="n">
        <f aca="false">G15+G16+G17+G18</f>
        <v>1314.78368125325</v>
      </c>
      <c r="H19" s="0" t="n">
        <f aca="false">H15+H16+H17+H18</f>
        <v>1354.22719169085</v>
      </c>
      <c r="I19" s="0" t="n">
        <f aca="false">I15+I16+I17+I18</f>
        <v>1497.20969700422</v>
      </c>
      <c r="J19" s="0" t="n">
        <f aca="false">J15+J16+J17+J18</f>
        <v>1600.03709418219</v>
      </c>
      <c r="K19" s="0" t="n">
        <f aca="false">K15+K16+K17+K18</f>
        <v>1713.24196163823</v>
      </c>
      <c r="L19" s="0" t="n">
        <f aca="false">L15+L16+L17+L18</f>
        <v>1747.506800871</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-128.466229642201</v>
      </c>
      <c r="D21" s="0" t="n">
        <f aca="false">D19*D20</f>
        <v>317.19031705917</v>
      </c>
      <c r="E21" s="0" t="n">
        <f aca="false">E19*E20</f>
        <v>603.667138071008</v>
      </c>
      <c r="F21" s="0" t="n">
        <f aca="false">F19*F20</f>
        <v>742.179998844702</v>
      </c>
      <c r="G21" s="0" t="n">
        <f aca="false">G19*G20</f>
        <v>854.51918063937</v>
      </c>
      <c r="H21" s="0" t="n">
        <f aca="false">H19*H20</f>
        <v>807.481427576652</v>
      </c>
      <c r="I21" s="0" t="n">
        <f aca="false">I19*I20</f>
        <v>819.024975972793</v>
      </c>
      <c r="J21" s="0" t="n">
        <f aca="false">J19*J20</f>
        <v>803.004663795641</v>
      </c>
      <c r="K21" s="0" t="n">
        <f aca="false">K19*K20</f>
        <v>788.824192171242</v>
      </c>
      <c r="L21" s="0" t="n">
        <f aca="false">L19*L20</f>
        <v>738.165757811621</v>
      </c>
    </row>
    <row r="23" customFormat="false" ht="15" hidden="false" customHeight="false" outlineLevel="0" collapsed="false">
      <c r="A23" s="0" t="s">
        <v>99</v>
      </c>
      <c r="C23" s="4" t="n">
        <f aca="false">Assumptions!C16</f>
        <v>5</v>
      </c>
      <c r="D23" s="4" t="n">
        <f aca="false">Assumptions!D16</f>
        <v>5.3</v>
      </c>
      <c r="E23" s="4" t="n">
        <f aca="false">Assumptions!E16</f>
        <v>5.5</v>
      </c>
      <c r="F23" s="4" t="n">
        <f aca="false">Assumptions!F16</f>
        <v>5.5</v>
      </c>
      <c r="G23" s="4" t="n">
        <f aca="false">Assumptions!G16</f>
        <v>5.5</v>
      </c>
      <c r="H23" s="4" t="n">
        <f aca="false">Assumptions!H16</f>
        <v>5.5</v>
      </c>
      <c r="I23" s="4" t="n">
        <f aca="false">Assumptions!I16</f>
        <v>5.5</v>
      </c>
      <c r="J23" s="4" t="n">
        <f aca="false">Assumptions!J16</f>
        <v>5.5</v>
      </c>
      <c r="K23" s="4" t="n">
        <f aca="false">Assumptions!K16</f>
        <v>5.5</v>
      </c>
      <c r="L23" s="4" t="n">
        <f aca="false">Assumptions!L16</f>
        <v>5.5</v>
      </c>
    </row>
    <row r="24" customFormat="false" ht="15" hidden="false" customHeight="false" outlineLevel="0" collapsed="false">
      <c r="A24" s="0" t="s">
        <v>124</v>
      </c>
      <c r="C24" s="0" t="n">
        <f aca="false">-C6*C23/100</f>
        <v>-1243.741966</v>
      </c>
      <c r="D24" s="0" t="n">
        <f aca="false">-D6*D23/100</f>
        <v>-1423.8358026768</v>
      </c>
      <c r="E24" s="0" t="n">
        <f aca="false">-E6*E23/100</f>
        <v>-1551.4437283884</v>
      </c>
      <c r="F24" s="0" t="n">
        <f aca="false">-F6*F23/100</f>
        <v>-1613.50147752394</v>
      </c>
      <c r="G24" s="0" t="n">
        <f aca="false">-G6*G23/100</f>
        <v>-1661.90652184965</v>
      </c>
      <c r="H24" s="0" t="n">
        <f aca="false">-H6*H23/100</f>
        <v>-1711.76371750514</v>
      </c>
      <c r="I24" s="0" t="n">
        <f aca="false">-I6*I23/100</f>
        <v>-1754.55781044277</v>
      </c>
      <c r="J24" s="0" t="n">
        <f aca="false">-J6*J23/100</f>
        <v>-1798.42175570384</v>
      </c>
      <c r="K24" s="0" t="n">
        <f aca="false">-K6*K23/100</f>
        <v>-1834.39019081792</v>
      </c>
      <c r="L24" s="0" t="n">
        <f aca="false">-L6*L23/100</f>
        <v>-1871.07799463428</v>
      </c>
    </row>
    <row r="26" customFormat="false" ht="15" hidden="false" customHeight="false" outlineLevel="0" collapsed="false">
      <c r="A26" s="2" t="s">
        <v>125</v>
      </c>
    </row>
    <row r="27" customFormat="false" ht="15" hidden="false" customHeight="false" outlineLevel="0" collapsed="false">
      <c r="A27" s="0" t="s">
        <v>103</v>
      </c>
      <c r="B27" s="4" t="n">
        <f aca="false">Assumptions!$B$20</f>
        <v>9</v>
      </c>
    </row>
    <row r="28" customFormat="false" ht="15" hidden="false" customHeight="false" outlineLevel="0" collapsed="false">
      <c r="A28" s="0" t="s">
        <v>104</v>
      </c>
      <c r="B28" s="4" t="n">
        <f aca="false">Assumptions!$B$21</f>
        <v>2</v>
      </c>
    </row>
    <row r="29" customFormat="false" ht="15" hidden="false" customHeight="false" outlineLevel="0" collapsed="false">
      <c r="A29" s="0" t="s">
        <v>105</v>
      </c>
      <c r="B29" s="4" t="n">
        <f aca="false">Assumptions!$B$22</f>
        <v>12</v>
      </c>
    </row>
    <row r="30" customFormat="false" ht="15" hidden="false" customHeight="false" outlineLevel="0" collapsed="false">
      <c r="A30" s="0" t="s">
        <v>126</v>
      </c>
      <c r="B30" s="0" t="n">
        <f aca="false">SUM(C21:L21)</f>
        <v>6345.5914223</v>
      </c>
    </row>
    <row r="31" customFormat="false" ht="15" hidden="false" customHeight="false" outlineLevel="0" collapsed="false">
      <c r="A31" s="0" t="s">
        <v>127</v>
      </c>
      <c r="B31" s="0" t="n">
        <f aca="false">L19</f>
        <v>1747.506800871</v>
      </c>
    </row>
    <row r="32" customFormat="false" ht="15" hidden="false" customHeight="false" outlineLevel="0" collapsed="false">
      <c r="A32" s="0" t="s">
        <v>128</v>
      </c>
      <c r="B32" s="0" t="n">
        <f aca="false">IF(B27&gt;B28,B31*(1+B28/100)/((B27-B28)/100),B31*B29)</f>
        <v>25463.6705269774</v>
      </c>
    </row>
    <row r="33" customFormat="false" ht="15" hidden="false" customHeight="false" outlineLevel="0" collapsed="false">
      <c r="A33" s="0" t="s">
        <v>129</v>
      </c>
      <c r="B33" s="0" t="n">
        <f aca="false">B31*B29</f>
        <v>20970.081610452</v>
      </c>
    </row>
    <row r="34" customFormat="false" ht="15" hidden="false" customHeight="false" outlineLevel="0" collapsed="false">
      <c r="A34" s="0" t="s">
        <v>130</v>
      </c>
      <c r="B34" s="0" t="n">
        <f aca="false">MAX(0,MIN(B32,B33))</f>
        <v>20970.081610452</v>
      </c>
    </row>
    <row r="35" customFormat="false" ht="15" hidden="false" customHeight="false" outlineLevel="0" collapsed="false">
      <c r="A35" s="0" t="s">
        <v>131</v>
      </c>
      <c r="B35" s="0" t="n">
        <f aca="false">B34/(1+B27/100)^L4</f>
        <v>8857.98909373945</v>
      </c>
    </row>
    <row r="36" customFormat="false" ht="15" hidden="false" customHeight="false" outlineLevel="0" collapsed="false">
      <c r="A36" s="0" t="s">
        <v>132</v>
      </c>
      <c r="B36" s="0" t="n">
        <f aca="false">B30+B35</f>
        <v>15203.5805160395</v>
      </c>
    </row>
    <row r="37" customFormat="false" ht="15" hidden="false" customHeight="false" outlineLevel="0" collapsed="false">
      <c r="A37" s="0" t="s">
        <v>133</v>
      </c>
      <c r="B37" s="0" t="n">
        <f aca="false">B36+Assumptions!$B$5-Assumptions!$B$4</f>
        <v>19185.0175160395</v>
      </c>
    </row>
    <row r="38" customFormat="false" ht="15" hidden="false" customHeight="false" outlineLevel="0" collapsed="false">
      <c r="A38" s="0" t="s">
        <v>134</v>
      </c>
      <c r="B38" s="0" t="n">
        <f aca="false">B37/Assumptions!$B$3*Assumptions!$B$10</f>
        <v>18.7137506957284</v>
      </c>
    </row>
    <row r="39" customFormat="false" ht="15" hidden="false" customHeight="false" outlineLevel="0" collapsed="false">
      <c r="A39" s="0" t="s">
        <v>135</v>
      </c>
      <c r="B39" s="4" t="n">
        <f aca="false">B38/Assumptions!$B$2-1</f>
        <v>-0.0581907047947439</v>
      </c>
    </row>
    <row r="41" customFormat="false" ht="15" hidden="false" customHeight="false" outlineLevel="0" collapsed="false">
      <c r="A41" s="0" t="s">
        <v>136</v>
      </c>
      <c r="B41" s="0" t="n">
        <f aca="false">SUMPRODUCT(-C10:L10/(1+$B$27/100)^C4:L4)</f>
        <v>2322.80699801393</v>
      </c>
    </row>
    <row r="42" customFormat="false" ht="15" hidden="false" customHeight="false" outlineLevel="0" collapsed="false">
      <c r="A42" s="0" t="s">
        <v>137</v>
      </c>
      <c r="B42" s="0" t="n">
        <f aca="false">IF(B27&gt;B28,-L10*(1+B28/100)/((B27-B28)/100),-L10*20)/(1+B27/100)^L4</f>
        <v>2512.74027050742</v>
      </c>
    </row>
    <row r="43" customFormat="false" ht="15" hidden="false" customHeight="false" outlineLevel="0" collapsed="false">
      <c r="A43" s="0" t="s">
        <v>138</v>
      </c>
      <c r="B43" s="0" t="n">
        <f aca="false">(B37+B41+B42)/Assumptions!$B$3*Assumptions!$B$10</f>
        <v>23.430516056243</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13711.207206834</v>
      </c>
    </row>
    <row r="47" customFormat="false" ht="15" hidden="false" customHeight="false" outlineLevel="0" collapsed="false">
      <c r="A47" s="0" t="s">
        <v>140</v>
      </c>
      <c r="B47" s="0" t="n">
        <f aca="false">(SUMPRODUCT(C19:L19/(1+B45/100)^C4:L4)+B46/(1+B45/100)^L4+Assumptions!$B$5-Assumptions!$B$4)/Assumptions!$B$3*Assumptions!$B$10</f>
        <v>11.5987869300414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20</v>
      </c>
      <c r="D5" s="4" t="n">
        <f aca="false">Assumptions!D27</f>
        <v>15</v>
      </c>
      <c r="E5" s="4" t="n">
        <f aca="false">Assumptions!E27</f>
        <v>12</v>
      </c>
      <c r="F5" s="4" t="n">
        <f aca="false">Assumptions!F27</f>
        <v>10</v>
      </c>
      <c r="G5" s="4" t="n">
        <f aca="false">Assumptions!G27</f>
        <v>8</v>
      </c>
      <c r="H5" s="4" t="n">
        <f aca="false">Assumptions!H27</f>
        <v>7</v>
      </c>
      <c r="I5" s="4" t="n">
        <f aca="false">Assumptions!I27</f>
        <v>6</v>
      </c>
      <c r="J5" s="4" t="n">
        <f aca="false">Assumptions!J27</f>
        <v>5</v>
      </c>
      <c r="K5" s="4" t="n">
        <f aca="false">Assumptions!K27</f>
        <v>4</v>
      </c>
      <c r="L5" s="4" t="n">
        <f aca="false">Assumptions!L27</f>
        <v>3.5</v>
      </c>
    </row>
    <row r="6" customFormat="false" ht="15" hidden="false" customHeight="false" outlineLevel="0" collapsed="false">
      <c r="A6" s="0" t="s">
        <v>38</v>
      </c>
      <c r="B6" s="3" t="n">
        <v>21443.827</v>
      </c>
      <c r="C6" s="0" t="n">
        <f aca="false">B6*(1+C5/100)</f>
        <v>25732.5924</v>
      </c>
      <c r="D6" s="0" t="n">
        <f aca="false">C6*(1+D5/100)</f>
        <v>29592.48126</v>
      </c>
      <c r="E6" s="0" t="n">
        <f aca="false">D6*(1+E5/100)</f>
        <v>33143.5790112</v>
      </c>
      <c r="F6" s="0" t="n">
        <f aca="false">E6*(1+F5/100)</f>
        <v>36457.93691232</v>
      </c>
      <c r="G6" s="0" t="n">
        <f aca="false">F6*(1+G5/100)</f>
        <v>39374.5718653056</v>
      </c>
      <c r="H6" s="0" t="n">
        <f aca="false">G6*(1+H5/100)</f>
        <v>42130.791895877</v>
      </c>
      <c r="I6" s="0" t="n">
        <f aca="false">H6*(1+I5/100)</f>
        <v>44658.6394096296</v>
      </c>
      <c r="J6" s="0" t="n">
        <f aca="false">I6*(1+J5/100)</f>
        <v>46891.5713801111</v>
      </c>
      <c r="K6" s="0" t="n">
        <f aca="false">J6*(1+K5/100)</f>
        <v>48767.2342353156</v>
      </c>
      <c r="L6" s="0" t="n">
        <f aca="false">K6*(1+L5/100)</f>
        <v>50474.0874335516</v>
      </c>
    </row>
    <row r="7" customFormat="false" ht="15" hidden="false" customHeight="false" outlineLevel="0" collapsed="false">
      <c r="A7" s="0" t="s">
        <v>97</v>
      </c>
      <c r="C7" s="4" t="n">
        <f aca="false">Assumptions!C28</f>
        <v>19.5</v>
      </c>
      <c r="D7" s="4" t="n">
        <f aca="false">Assumptions!D28</f>
        <v>20</v>
      </c>
      <c r="E7" s="4" t="n">
        <f aca="false">Assumptions!E28</f>
        <v>20.5</v>
      </c>
      <c r="F7" s="4" t="n">
        <f aca="false">Assumptions!F28</f>
        <v>21</v>
      </c>
      <c r="G7" s="4" t="n">
        <f aca="false">Assumptions!G28</f>
        <v>21</v>
      </c>
      <c r="H7" s="4" t="n">
        <f aca="false">Assumptions!H28</f>
        <v>21</v>
      </c>
      <c r="I7" s="4" t="n">
        <f aca="false">Assumptions!I28</f>
        <v>21</v>
      </c>
      <c r="J7" s="4" t="n">
        <f aca="false">Assumptions!J28</f>
        <v>21</v>
      </c>
      <c r="K7" s="4" t="n">
        <f aca="false">Assumptions!K28</f>
        <v>21</v>
      </c>
      <c r="L7" s="4" t="n">
        <f aca="false">Assumptions!L28</f>
        <v>21</v>
      </c>
    </row>
    <row r="8" customFormat="false" ht="15" hidden="false" customHeight="false" outlineLevel="0" collapsed="false">
      <c r="A8" s="0" t="s">
        <v>44</v>
      </c>
      <c r="C8" s="0" t="n">
        <f aca="false">C6*C7/100</f>
        <v>5017.855518</v>
      </c>
      <c r="D8" s="0" t="n">
        <f aca="false">D6*D7/100</f>
        <v>5918.496252</v>
      </c>
      <c r="E8" s="0" t="n">
        <f aca="false">E6*E7/100</f>
        <v>6794.433697296</v>
      </c>
      <c r="F8" s="0" t="n">
        <f aca="false">F6*F7/100</f>
        <v>7656.1667515872</v>
      </c>
      <c r="G8" s="0" t="n">
        <f aca="false">G6*G7/100</f>
        <v>8268.66009171418</v>
      </c>
      <c r="H8" s="0" t="n">
        <f aca="false">H6*H7/100</f>
        <v>8847.46629813417</v>
      </c>
      <c r="I8" s="0" t="n">
        <f aca="false">I6*I7/100</f>
        <v>9378.31427602222</v>
      </c>
      <c r="J8" s="0" t="n">
        <f aca="false">J6*J7/100</f>
        <v>9847.22998982333</v>
      </c>
      <c r="K8" s="0" t="n">
        <f aca="false">K6*K7/100</f>
        <v>10241.1191894163</v>
      </c>
      <c r="L8" s="0" t="n">
        <f aca="false">L6*L7/100</f>
        <v>10599.5583610458</v>
      </c>
    </row>
    <row r="9" customFormat="false" ht="15" hidden="false" customHeight="false" outlineLevel="0" collapsed="false">
      <c r="A9" s="0" t="s">
        <v>98</v>
      </c>
      <c r="C9" s="4" t="n">
        <f aca="false">Assumptions!C29</f>
        <v>1.2</v>
      </c>
      <c r="D9" s="4" t="n">
        <f aca="false">Assumptions!D29</f>
        <v>1.2</v>
      </c>
      <c r="E9" s="4" t="n">
        <f aca="false">Assumptions!E29</f>
        <v>1.1</v>
      </c>
      <c r="F9" s="4" t="n">
        <f aca="false">Assumptions!F29</f>
        <v>1.1</v>
      </c>
      <c r="G9" s="4" t="n">
        <f aca="false">Assumptions!G29</f>
        <v>1</v>
      </c>
      <c r="H9" s="4" t="n">
        <f aca="false">Assumptions!H29</f>
        <v>1</v>
      </c>
      <c r="I9" s="4" t="n">
        <f aca="false">Assumptions!I29</f>
        <v>1</v>
      </c>
      <c r="J9" s="4" t="n">
        <f aca="false">Assumptions!J29</f>
        <v>1</v>
      </c>
      <c r="K9" s="4" t="n">
        <f aca="false">Assumptions!K29</f>
        <v>1</v>
      </c>
      <c r="L9" s="4" t="n">
        <f aca="false">Assumptions!L29</f>
        <v>1</v>
      </c>
    </row>
    <row r="10" customFormat="false" ht="15" hidden="false" customHeight="false" outlineLevel="0" collapsed="false">
      <c r="A10" s="0" t="s">
        <v>113</v>
      </c>
      <c r="C10" s="0" t="n">
        <f aca="false">-C6*C9/100</f>
        <v>-308.7911088</v>
      </c>
      <c r="D10" s="0" t="n">
        <f aca="false">-D6*D9/100</f>
        <v>-355.10977512</v>
      </c>
      <c r="E10" s="0" t="n">
        <f aca="false">-E6*E9/100</f>
        <v>-364.5793691232</v>
      </c>
      <c r="F10" s="0" t="n">
        <f aca="false">-F6*F9/100</f>
        <v>-401.03730603552</v>
      </c>
      <c r="G10" s="0" t="n">
        <f aca="false">-G6*G9/100</f>
        <v>-393.745718653056</v>
      </c>
      <c r="H10" s="0" t="n">
        <f aca="false">-H6*H9/100</f>
        <v>-421.30791895877</v>
      </c>
      <c r="I10" s="0" t="n">
        <f aca="false">-I6*I9/100</f>
        <v>-446.586394096296</v>
      </c>
      <c r="J10" s="0" t="n">
        <f aca="false">-J6*J9/100</f>
        <v>-468.915713801111</v>
      </c>
      <c r="K10" s="0" t="n">
        <f aca="false">-K6*K9/100</f>
        <v>-487.672342353156</v>
      </c>
      <c r="L10" s="0" t="n">
        <f aca="false">-L6*L9/100</f>
        <v>-504.740874335516</v>
      </c>
    </row>
    <row r="11" customFormat="false" ht="15" hidden="false" customHeight="false" outlineLevel="0" collapsed="false">
      <c r="A11" s="0" t="s">
        <v>114</v>
      </c>
      <c r="C11" s="0" t="n">
        <f aca="false">C8+C10+C24</f>
        <v>3448.1673816</v>
      </c>
      <c r="D11" s="0" t="n">
        <f aca="false">D8+D10+D24</f>
        <v>4083.76241388</v>
      </c>
      <c r="E11" s="0" t="n">
        <f aca="false">E8+E10+E24</f>
        <v>4772.6753776128</v>
      </c>
      <c r="F11" s="0" t="n">
        <f aca="false">F8+F10+F24</f>
        <v>5432.23259993568</v>
      </c>
      <c r="G11" s="0" t="n">
        <f aca="false">G8+G10+G24</f>
        <v>5906.18577979584</v>
      </c>
      <c r="H11" s="0" t="n">
        <f aca="false">H8+H10+H24</f>
        <v>6319.61878438155</v>
      </c>
      <c r="I11" s="0" t="n">
        <f aca="false">I8+I10+I24</f>
        <v>6698.79591144445</v>
      </c>
      <c r="J11" s="0" t="n">
        <f aca="false">J8+J10+J24</f>
        <v>7033.73570701667</v>
      </c>
      <c r="K11" s="0" t="n">
        <f aca="false">K8+K10+K24</f>
        <v>7315.08513529734</v>
      </c>
      <c r="L11" s="0" t="n">
        <f aca="false">L8+L10+L24</f>
        <v>7571.11311503274</v>
      </c>
    </row>
    <row r="12" customFormat="false" ht="15" hidden="false" customHeight="false" outlineLevel="0" collapsed="false">
      <c r="A12" s="0" t="s">
        <v>115</v>
      </c>
      <c r="C12" s="4" t="n">
        <f aca="false">-C6*Assumptions!C31/100</f>
        <v>-411.7214784</v>
      </c>
      <c r="D12" s="4" t="n">
        <f aca="false">-D6*Assumptions!D31/100</f>
        <v>-503.07218142</v>
      </c>
      <c r="E12" s="4" t="n">
        <f aca="false">-E6*Assumptions!E31/100</f>
        <v>-596.5844222016</v>
      </c>
      <c r="F12" s="4" t="n">
        <f aca="false">-F6*Assumptions!F31/100</f>
        <v>-656.24286442176</v>
      </c>
      <c r="G12" s="4" t="n">
        <f aca="false">-G6*Assumptions!G31/100</f>
        <v>-708.742293575501</v>
      </c>
      <c r="H12" s="4" t="n">
        <f aca="false">-H6*Assumptions!H31/100</f>
        <v>-758.354254125786</v>
      </c>
      <c r="I12" s="4" t="n">
        <f aca="false">-I6*Assumptions!I31/100</f>
        <v>-803.855509373333</v>
      </c>
      <c r="J12" s="4" t="n">
        <f aca="false">-J6*Assumptions!J31/100</f>
        <v>-844.048284842</v>
      </c>
      <c r="K12" s="4" t="n">
        <f aca="false">-K6*Assumptions!K31/100</f>
        <v>-877.81021623568</v>
      </c>
      <c r="L12" s="4" t="n">
        <f aca="false">-L6*Assumptions!L31/100</f>
        <v>-908.533573803929</v>
      </c>
    </row>
    <row r="13" customFormat="false" ht="15" hidden="false" customHeight="false" outlineLevel="0" collapsed="false">
      <c r="A13" s="0" t="s">
        <v>116</v>
      </c>
      <c r="C13" s="0" t="n">
        <f aca="false">C11+C12</f>
        <v>3036.4459032</v>
      </c>
      <c r="D13" s="0" t="n">
        <f aca="false">D11+D12</f>
        <v>3580.69023246</v>
      </c>
      <c r="E13" s="0" t="n">
        <f aca="false">E11+E12</f>
        <v>4176.0909554112</v>
      </c>
      <c r="F13" s="0" t="n">
        <f aca="false">F11+F12</f>
        <v>4775.98973551392</v>
      </c>
      <c r="G13" s="0" t="n">
        <f aca="false">G11+G12</f>
        <v>5197.44348622034</v>
      </c>
      <c r="H13" s="0" t="n">
        <f aca="false">H11+H12</f>
        <v>5561.26453025577</v>
      </c>
      <c r="I13" s="0" t="n">
        <f aca="false">I11+I12</f>
        <v>5894.94040207111</v>
      </c>
      <c r="J13" s="0" t="n">
        <f aca="false">J11+J12</f>
        <v>6189.68742217467</v>
      </c>
      <c r="K13" s="0" t="n">
        <f aca="false">K11+K12</f>
        <v>6437.27491906166</v>
      </c>
      <c r="L13" s="0" t="n">
        <f aca="false">L11+L12</f>
        <v>6662.57954122881</v>
      </c>
    </row>
    <row r="14" customFormat="false" ht="15" hidden="false" customHeight="false" outlineLevel="0" collapsed="false">
      <c r="A14" s="0" t="s">
        <v>102</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117</v>
      </c>
      <c r="C15" s="0" t="n">
        <f aca="false">C13-MAX(0,C13)*C14/100</f>
        <v>2277.3344274</v>
      </c>
      <c r="D15" s="0" t="n">
        <f aca="false">D13-MAX(0,D13)*D14/100</f>
        <v>2685.517674345</v>
      </c>
      <c r="E15" s="0" t="n">
        <f aca="false">E13-MAX(0,E13)*E14/100</f>
        <v>3132.0682165584</v>
      </c>
      <c r="F15" s="0" t="n">
        <f aca="false">F13-MAX(0,F13)*F14/100</f>
        <v>3581.99230163544</v>
      </c>
      <c r="G15" s="0" t="n">
        <f aca="false">G13-MAX(0,G13)*G14/100</f>
        <v>3898.08261466526</v>
      </c>
      <c r="H15" s="0" t="n">
        <f aca="false">H13-MAX(0,H13)*H14/100</f>
        <v>4170.94839769182</v>
      </c>
      <c r="I15" s="0" t="n">
        <f aca="false">I13-MAX(0,I13)*I14/100</f>
        <v>4421.20530155333</v>
      </c>
      <c r="J15" s="0" t="n">
        <f aca="false">J13-MAX(0,J13)*J14/100</f>
        <v>4642.265566631</v>
      </c>
      <c r="K15" s="0" t="n">
        <f aca="false">K13-MAX(0,K13)*K14/100</f>
        <v>4827.95618929624</v>
      </c>
      <c r="L15" s="0" t="n">
        <f aca="false">L13-MAX(0,L13)*L14/100</f>
        <v>4996.93465592161</v>
      </c>
    </row>
    <row r="16" customFormat="false" ht="15" hidden="false" customHeight="false" outlineLevel="0" collapsed="false">
      <c r="A16" s="0" t="s">
        <v>118</v>
      </c>
      <c r="C16" s="0" t="n">
        <f aca="false">-C12</f>
        <v>411.7214784</v>
      </c>
      <c r="D16" s="0" t="n">
        <f aca="false">-D12</f>
        <v>503.07218142</v>
      </c>
      <c r="E16" s="0" t="n">
        <f aca="false">-E12</f>
        <v>596.5844222016</v>
      </c>
      <c r="F16" s="0" t="n">
        <f aca="false">-F12</f>
        <v>656.24286442176</v>
      </c>
      <c r="G16" s="0" t="n">
        <f aca="false">-G12</f>
        <v>708.742293575501</v>
      </c>
      <c r="H16" s="0" t="n">
        <f aca="false">-H12</f>
        <v>758.354254125786</v>
      </c>
      <c r="I16" s="0" t="n">
        <f aca="false">-I12</f>
        <v>803.855509373333</v>
      </c>
      <c r="J16" s="0" t="n">
        <f aca="false">-J12</f>
        <v>844.048284842</v>
      </c>
      <c r="K16" s="0" t="n">
        <f aca="false">-K12</f>
        <v>877.81021623568</v>
      </c>
      <c r="L16" s="0" t="n">
        <f aca="false">-L12</f>
        <v>908.533573803929</v>
      </c>
    </row>
    <row r="17" customFormat="false" ht="15" hidden="false" customHeight="false" outlineLevel="0" collapsed="false">
      <c r="A17" s="0" t="s">
        <v>119</v>
      </c>
      <c r="C17" s="4" t="n">
        <f aca="false">-C6*Assumptions!C32/100</f>
        <v>-1492.4903592</v>
      </c>
      <c r="D17" s="4" t="n">
        <f aca="false">-D6*Assumptions!D32/100</f>
        <v>-1331.6616567</v>
      </c>
      <c r="E17" s="4" t="n">
        <f aca="false">-E6*Assumptions!E32/100</f>
        <v>-1325.743160448</v>
      </c>
      <c r="F17" s="4" t="n">
        <f aca="false">-F6*Assumptions!F32/100</f>
        <v>-1276.0277919312</v>
      </c>
      <c r="G17" s="4" t="n">
        <f aca="false">-G6*Assumptions!G32/100</f>
        <v>-1181.23715595917</v>
      </c>
      <c r="H17" s="4" t="n">
        <f aca="false">-H6*Assumptions!H32/100</f>
        <v>-1263.92375687631</v>
      </c>
      <c r="I17" s="4" t="n">
        <f aca="false">-I6*Assumptions!I32/100</f>
        <v>-1250.44190346963</v>
      </c>
      <c r="J17" s="4" t="n">
        <f aca="false">-J6*Assumptions!J32/100</f>
        <v>-1219.18085588289</v>
      </c>
      <c r="K17" s="4" t="n">
        <f aca="false">-K6*Assumptions!K32/100</f>
        <v>-1219.18085588289</v>
      </c>
      <c r="L17" s="4" t="n">
        <f aca="false">-L6*Assumptions!L32/100</f>
        <v>-1261.85218583879</v>
      </c>
    </row>
    <row r="18" customFormat="false" ht="15" hidden="false" customHeight="false" outlineLevel="0" collapsed="false">
      <c r="A18" s="0" t="s">
        <v>120</v>
      </c>
      <c r="C18" s="4" t="n">
        <f aca="false">(C6-B6)*Assumptions!$B$37/100</f>
        <v>-943.528388</v>
      </c>
      <c r="D18" s="4" t="n">
        <f aca="false">(D6-C6)*Assumptions!$B$37/100</f>
        <v>-849.1755492</v>
      </c>
      <c r="E18" s="4" t="n">
        <f aca="false">(E6-D6)*Assumptions!$B$37/100</f>
        <v>-781.241505264001</v>
      </c>
      <c r="F18" s="4" t="n">
        <f aca="false">(F6-E6)*Assumptions!$B$37/100</f>
        <v>-729.158738246401</v>
      </c>
      <c r="G18" s="4" t="n">
        <f aca="false">(G6-F6)*Assumptions!$B$37/100</f>
        <v>-641.659689656832</v>
      </c>
      <c r="H18" s="4" t="n">
        <f aca="false">(H6-G6)*Assumptions!$B$37/100</f>
        <v>-606.368406725706</v>
      </c>
      <c r="I18" s="4" t="n">
        <f aca="false">(I6-H6)*Assumptions!$B$37/100</f>
        <v>-556.126453025578</v>
      </c>
      <c r="J18" s="4" t="n">
        <f aca="false">(J6-I6)*Assumptions!$B$37/100</f>
        <v>-491.245033505927</v>
      </c>
      <c r="K18" s="4" t="n">
        <f aca="false">(K6-J6)*Assumptions!$B$37/100</f>
        <v>-412.645828144979</v>
      </c>
      <c r="L18" s="4" t="n">
        <f aca="false">(L6-K6)*Assumptions!$B$37/100</f>
        <v>-375.50770361193</v>
      </c>
    </row>
    <row r="19" customFormat="false" ht="15" hidden="false" customHeight="false" outlineLevel="0" collapsed="false">
      <c r="A19" s="0" t="s">
        <v>121</v>
      </c>
      <c r="C19" s="0" t="n">
        <f aca="false">C15+C16+C17+C18</f>
        <v>253.037158600001</v>
      </c>
      <c r="D19" s="0" t="n">
        <f aca="false">D15+D16+D17+D18</f>
        <v>1007.752649865</v>
      </c>
      <c r="E19" s="0" t="n">
        <f aca="false">E15+E16+E17+E18</f>
        <v>1621.667973048</v>
      </c>
      <c r="F19" s="0" t="n">
        <f aca="false">F15+F16+F17+F18</f>
        <v>2233.0486358796</v>
      </c>
      <c r="G19" s="0" t="n">
        <f aca="false">G15+G16+G17+G18</f>
        <v>2783.92806262476</v>
      </c>
      <c r="H19" s="0" t="n">
        <f aca="false">H15+H16+H17+H18</f>
        <v>3059.01048821559</v>
      </c>
      <c r="I19" s="0" t="n">
        <f aca="false">I15+I16+I17+I18</f>
        <v>3418.49245443146</v>
      </c>
      <c r="J19" s="0" t="n">
        <f aca="false">J15+J16+J17+J18</f>
        <v>3775.88796208419</v>
      </c>
      <c r="K19" s="0" t="n">
        <f aca="false">K15+K16+K17+K18</f>
        <v>4073.93972150405</v>
      </c>
      <c r="L19" s="0" t="n">
        <f aca="false">L15+L16+L17+L18</f>
        <v>4268.10834027482</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232.144182201836</v>
      </c>
      <c r="D21" s="0" t="n">
        <f aca="false">D19*D20</f>
        <v>848.205243552731</v>
      </c>
      <c r="E21" s="0" t="n">
        <f aca="false">E19*E20</f>
        <v>1252.22521893178</v>
      </c>
      <c r="F21" s="0" t="n">
        <f aca="false">F19*F20</f>
        <v>1581.94795119185</v>
      </c>
      <c r="G21" s="0" t="n">
        <f aca="false">G19*G20</f>
        <v>1809.36222509657</v>
      </c>
      <c r="H21" s="0" t="n">
        <f aca="false">H19*H20</f>
        <v>1823.9880067038</v>
      </c>
      <c r="I21" s="0" t="n">
        <f aca="false">I19*I20</f>
        <v>1870.03243831249</v>
      </c>
      <c r="J21" s="0" t="n">
        <f aca="false">J19*J20</f>
        <v>1894.99084399238</v>
      </c>
      <c r="K21" s="0" t="n">
        <f aca="false">K19*K20</f>
        <v>1875.75501985537</v>
      </c>
      <c r="L21" s="0" t="n">
        <f aca="false">L19*L20</f>
        <v>1802.8950879337</v>
      </c>
    </row>
    <row r="23" customFormat="false" ht="15" hidden="false" customHeight="false" outlineLevel="0" collapsed="false">
      <c r="A23" s="0" t="s">
        <v>99</v>
      </c>
      <c r="C23" s="4" t="n">
        <f aca="false">Assumptions!C30</f>
        <v>4.9</v>
      </c>
      <c r="D23" s="4" t="n">
        <f aca="false">Assumptions!D30</f>
        <v>5</v>
      </c>
      <c r="E23" s="4" t="n">
        <f aca="false">Assumptions!E30</f>
        <v>5</v>
      </c>
      <c r="F23" s="4" t="n">
        <f aca="false">Assumptions!F30</f>
        <v>5</v>
      </c>
      <c r="G23" s="4" t="n">
        <f aca="false">Assumptions!G30</f>
        <v>5</v>
      </c>
      <c r="H23" s="4" t="n">
        <f aca="false">Assumptions!H30</f>
        <v>5</v>
      </c>
      <c r="I23" s="4" t="n">
        <f aca="false">Assumptions!I30</f>
        <v>5</v>
      </c>
      <c r="J23" s="4" t="n">
        <f aca="false">Assumptions!J30</f>
        <v>5</v>
      </c>
      <c r="K23" s="4" t="n">
        <f aca="false">Assumptions!K30</f>
        <v>5</v>
      </c>
      <c r="L23" s="4" t="n">
        <f aca="false">Assumptions!L30</f>
        <v>5</v>
      </c>
    </row>
    <row r="24" customFormat="false" ht="15" hidden="false" customHeight="false" outlineLevel="0" collapsed="false">
      <c r="A24" s="0" t="s">
        <v>124</v>
      </c>
      <c r="C24" s="0" t="n">
        <f aca="false">-C6*C23/100</f>
        <v>-1260.8970276</v>
      </c>
      <c r="D24" s="0" t="n">
        <f aca="false">-D6*D23/100</f>
        <v>-1479.624063</v>
      </c>
      <c r="E24" s="0" t="n">
        <f aca="false">-E6*E23/100</f>
        <v>-1657.17895056</v>
      </c>
      <c r="F24" s="0" t="n">
        <f aca="false">-F6*F23/100</f>
        <v>-1822.896845616</v>
      </c>
      <c r="G24" s="0" t="n">
        <f aca="false">-G6*G23/100</f>
        <v>-1968.72859326528</v>
      </c>
      <c r="H24" s="0" t="n">
        <f aca="false">-H6*H23/100</f>
        <v>-2106.53959479385</v>
      </c>
      <c r="I24" s="0" t="n">
        <f aca="false">-I6*I23/100</f>
        <v>-2232.93197048148</v>
      </c>
      <c r="J24" s="0" t="n">
        <f aca="false">-J6*J23/100</f>
        <v>-2344.57856900556</v>
      </c>
      <c r="K24" s="0" t="n">
        <f aca="false">-K6*K23/100</f>
        <v>-2438.36171176578</v>
      </c>
      <c r="L24" s="0" t="n">
        <f aca="false">-L6*L23/100</f>
        <v>-2523.70437167758</v>
      </c>
    </row>
    <row r="26" customFormat="false" ht="15" hidden="false" customHeight="false" outlineLevel="0" collapsed="false">
      <c r="A26" s="2" t="s">
        <v>125</v>
      </c>
    </row>
    <row r="27" customFormat="false" ht="15" hidden="false" customHeight="false" outlineLevel="0" collapsed="false">
      <c r="A27" s="0" t="s">
        <v>103</v>
      </c>
      <c r="B27" s="4" t="n">
        <f aca="false">Assumptions!$B$34</f>
        <v>9</v>
      </c>
    </row>
    <row r="28" customFormat="false" ht="15" hidden="false" customHeight="false" outlineLevel="0" collapsed="false">
      <c r="A28" s="0" t="s">
        <v>104</v>
      </c>
      <c r="B28" s="4" t="n">
        <f aca="false">Assumptions!$B$35</f>
        <v>3</v>
      </c>
    </row>
    <row r="29" customFormat="false" ht="15" hidden="false" customHeight="false" outlineLevel="0" collapsed="false">
      <c r="A29" s="0" t="s">
        <v>105</v>
      </c>
      <c r="B29" s="4" t="n">
        <f aca="false">Assumptions!$B$36</f>
        <v>15</v>
      </c>
    </row>
    <row r="30" customFormat="false" ht="15" hidden="false" customHeight="false" outlineLevel="0" collapsed="false">
      <c r="A30" s="0" t="s">
        <v>126</v>
      </c>
      <c r="B30" s="0" t="n">
        <f aca="false">SUM(C21:L21)</f>
        <v>14991.5462177725</v>
      </c>
    </row>
    <row r="31" customFormat="false" ht="15" hidden="false" customHeight="false" outlineLevel="0" collapsed="false">
      <c r="A31" s="0" t="s">
        <v>127</v>
      </c>
      <c r="B31" s="0" t="n">
        <f aca="false">L19</f>
        <v>4268.10834027482</v>
      </c>
    </row>
    <row r="32" customFormat="false" ht="15" hidden="false" customHeight="false" outlineLevel="0" collapsed="false">
      <c r="A32" s="0" t="s">
        <v>128</v>
      </c>
      <c r="B32" s="0" t="n">
        <f aca="false">IF(B27&gt;B28,B31*(1+B28/100)/((B27-B28)/100),B31*B29)</f>
        <v>73269.1931747177</v>
      </c>
    </row>
    <row r="33" customFormat="false" ht="15" hidden="false" customHeight="false" outlineLevel="0" collapsed="false">
      <c r="A33" s="0" t="s">
        <v>129</v>
      </c>
      <c r="B33" s="0" t="n">
        <f aca="false">B31*B29</f>
        <v>64021.6251041223</v>
      </c>
    </row>
    <row r="34" customFormat="false" ht="15" hidden="false" customHeight="false" outlineLevel="0" collapsed="false">
      <c r="A34" s="0" t="s">
        <v>130</v>
      </c>
      <c r="B34" s="0" t="n">
        <f aca="false">MAX(0,MIN(B32,B33))</f>
        <v>64021.6251041223</v>
      </c>
    </row>
    <row r="35" customFormat="false" ht="15" hidden="false" customHeight="false" outlineLevel="0" collapsed="false">
      <c r="A35" s="0" t="s">
        <v>131</v>
      </c>
      <c r="B35" s="0" t="n">
        <f aca="false">B34/(1+B27/100)^L4</f>
        <v>27043.4263190056</v>
      </c>
    </row>
    <row r="36" customFormat="false" ht="15" hidden="false" customHeight="false" outlineLevel="0" collapsed="false">
      <c r="A36" s="0" t="s">
        <v>132</v>
      </c>
      <c r="B36" s="0" t="n">
        <f aca="false">B30+B35</f>
        <v>42034.9725367781</v>
      </c>
    </row>
    <row r="37" customFormat="false" ht="15" hidden="false" customHeight="false" outlineLevel="0" collapsed="false">
      <c r="A37" s="0" t="s">
        <v>133</v>
      </c>
      <c r="B37" s="0" t="n">
        <f aca="false">B36+Assumptions!$B$5-Assumptions!$B$4</f>
        <v>46016.4095367781</v>
      </c>
    </row>
    <row r="38" customFormat="false" ht="15" hidden="false" customHeight="false" outlineLevel="0" collapsed="false">
      <c r="A38" s="0" t="s">
        <v>134</v>
      </c>
      <c r="B38" s="0" t="n">
        <f aca="false">B37/Assumptions!$B$3*Assumptions!$B$10</f>
        <v>44.8860479415178</v>
      </c>
    </row>
    <row r="39" customFormat="false" ht="15" hidden="false" customHeight="false" outlineLevel="0" collapsed="false">
      <c r="A39" s="0" t="s">
        <v>135</v>
      </c>
      <c r="B39" s="4" t="n">
        <f aca="false">B38/Assumptions!$B$2-1</f>
        <v>1.25898580480714</v>
      </c>
    </row>
    <row r="41" customFormat="false" ht="15" hidden="false" customHeight="false" outlineLevel="0" collapsed="false">
      <c r="A41" s="0" t="s">
        <v>136</v>
      </c>
      <c r="B41" s="0" t="n">
        <f aca="false">SUMPRODUCT(-C10:L10/(1+$B$27/100)^C4:L4)</f>
        <v>2572.30726928602</v>
      </c>
    </row>
    <row r="42" customFormat="false" ht="15" hidden="false" customHeight="false" outlineLevel="0" collapsed="false">
      <c r="A42" s="0" t="s">
        <v>137</v>
      </c>
      <c r="B42" s="0" t="n">
        <f aca="false">IF(B27&gt;B28,-L10*(1+B28/100)/((B27-B28)/100),-L10*20)/(1+B27/100)^L4</f>
        <v>3660.070666689</v>
      </c>
    </row>
    <row r="43" customFormat="false" ht="15" hidden="false" customHeight="false" outlineLevel="0" collapsed="false">
      <c r="A43" s="0" t="s">
        <v>138</v>
      </c>
      <c r="B43" s="0" t="n">
        <f aca="false">(B37+B41+B42)/Assumptions!$B$3*Assumptions!$B$10</f>
        <v>50.9653317804764</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36634.5965873589</v>
      </c>
    </row>
    <row r="47" customFormat="false" ht="15" hidden="false" customHeight="false" outlineLevel="0" collapsed="false">
      <c r="A47" s="0" t="s">
        <v>140</v>
      </c>
      <c r="B47" s="0" t="n">
        <f aca="false">(SUMPRODUCT(C19:L19/(1+B45/100)^C4:L4)+B46/(1+B45/100)^L4+Assumptions!$B$5-Assumptions!$B$4)/Assumptions!$B$3*Assumptions!$B$10</f>
        <v>23.2165137428645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23</v>
      </c>
      <c r="D5" s="4" t="n">
        <f aca="false">Assumptions!D41</f>
        <v>20</v>
      </c>
      <c r="E5" s="4" t="n">
        <f aca="false">Assumptions!E41</f>
        <v>17</v>
      </c>
      <c r="F5" s="4" t="n">
        <f aca="false">Assumptions!F41</f>
        <v>14</v>
      </c>
      <c r="G5" s="4" t="n">
        <f aca="false">Assumptions!G41</f>
        <v>11</v>
      </c>
      <c r="H5" s="4" t="n">
        <f aca="false">Assumptions!H41</f>
        <v>9</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38</v>
      </c>
      <c r="B6" s="3" t="n">
        <v>21443.827</v>
      </c>
      <c r="C6" s="0" t="n">
        <f aca="false">B6*(1+C5/100)</f>
        <v>26375.90721</v>
      </c>
      <c r="D6" s="0" t="n">
        <f aca="false">C6*(1+D5/100)</f>
        <v>31651.088652</v>
      </c>
      <c r="E6" s="0" t="n">
        <f aca="false">D6*(1+E5/100)</f>
        <v>37031.77372284</v>
      </c>
      <c r="F6" s="0" t="n">
        <f aca="false">E6*(1+F5/100)</f>
        <v>42216.2220440376</v>
      </c>
      <c r="G6" s="0" t="n">
        <f aca="false">F6*(1+G5/100)</f>
        <v>46860.0064688817</v>
      </c>
      <c r="H6" s="0" t="n">
        <f aca="false">G6*(1+H5/100)</f>
        <v>51077.4070510811</v>
      </c>
      <c r="I6" s="0" t="n">
        <f aca="false">H6*(1+I5/100)</f>
        <v>54652.8255446568</v>
      </c>
      <c r="J6" s="0" t="n">
        <f aca="false">I6*(1+J5/100)</f>
        <v>57931.9950773362</v>
      </c>
      <c r="K6" s="0" t="n">
        <f aca="false">J6*(1+K5/100)</f>
        <v>60828.594831203</v>
      </c>
      <c r="L6" s="0" t="n">
        <f aca="false">K6*(1+L5/100)</f>
        <v>63261.7386244511</v>
      </c>
    </row>
    <row r="7" customFormat="false" ht="15" hidden="false" customHeight="false" outlineLevel="0" collapsed="false">
      <c r="A7" s="0" t="s">
        <v>97</v>
      </c>
      <c r="C7" s="4" t="n">
        <f aca="false">Assumptions!C42</f>
        <v>20</v>
      </c>
      <c r="D7" s="4" t="n">
        <f aca="false">Assumptions!D42</f>
        <v>21</v>
      </c>
      <c r="E7" s="4" t="n">
        <f aca="false">Assumptions!E42</f>
        <v>22</v>
      </c>
      <c r="F7" s="4" t="n">
        <f aca="false">Assumptions!F42</f>
        <v>23</v>
      </c>
      <c r="G7" s="4" t="n">
        <f aca="false">Assumptions!G42</f>
        <v>23.5</v>
      </c>
      <c r="H7" s="4" t="n">
        <f aca="false">Assumptions!H42</f>
        <v>23.5</v>
      </c>
      <c r="I7" s="4" t="n">
        <f aca="false">Assumptions!I42</f>
        <v>23.5</v>
      </c>
      <c r="J7" s="4" t="n">
        <f aca="false">Assumptions!J42</f>
        <v>23.5</v>
      </c>
      <c r="K7" s="4" t="n">
        <f aca="false">Assumptions!K42</f>
        <v>23.5</v>
      </c>
      <c r="L7" s="4" t="n">
        <f aca="false">Assumptions!L42</f>
        <v>23.5</v>
      </c>
    </row>
    <row r="8" customFormat="false" ht="15" hidden="false" customHeight="false" outlineLevel="0" collapsed="false">
      <c r="A8" s="0" t="s">
        <v>44</v>
      </c>
      <c r="C8" s="0" t="n">
        <f aca="false">C6*C7/100</f>
        <v>5275.181442</v>
      </c>
      <c r="D8" s="0" t="n">
        <f aca="false">D6*D7/100</f>
        <v>6646.72861692</v>
      </c>
      <c r="E8" s="0" t="n">
        <f aca="false">E6*E7/100</f>
        <v>8146.9902190248</v>
      </c>
      <c r="F8" s="0" t="n">
        <f aca="false">F6*F7/100</f>
        <v>9709.73107012865</v>
      </c>
      <c r="G8" s="0" t="n">
        <f aca="false">G6*G7/100</f>
        <v>11012.1015201872</v>
      </c>
      <c r="H8" s="0" t="n">
        <f aca="false">H6*H7/100</f>
        <v>12003.1906570041</v>
      </c>
      <c r="I8" s="0" t="n">
        <f aca="false">I6*I7/100</f>
        <v>12843.4140029943</v>
      </c>
      <c r="J8" s="0" t="n">
        <f aca="false">J6*J7/100</f>
        <v>13614.018843174</v>
      </c>
      <c r="K8" s="0" t="n">
        <f aca="false">K6*K7/100</f>
        <v>14294.7197853327</v>
      </c>
      <c r="L8" s="0" t="n">
        <f aca="false">L6*L7/100</f>
        <v>14866.508576746</v>
      </c>
    </row>
    <row r="9" customFormat="false" ht="15" hidden="false" customHeight="false" outlineLevel="0" collapsed="false">
      <c r="A9" s="0" t="s">
        <v>98</v>
      </c>
      <c r="C9" s="4" t="n">
        <f aca="false">Assumptions!C43</f>
        <v>1.2</v>
      </c>
      <c r="D9" s="4" t="n">
        <f aca="false">Assumptions!D43</f>
        <v>1.2</v>
      </c>
      <c r="E9" s="4" t="n">
        <f aca="false">Assumptions!E43</f>
        <v>1.1</v>
      </c>
      <c r="F9" s="4" t="n">
        <f aca="false">Assumptions!F43</f>
        <v>1.1</v>
      </c>
      <c r="G9" s="4" t="n">
        <f aca="false">Assumptions!G43</f>
        <v>1</v>
      </c>
      <c r="H9" s="4" t="n">
        <f aca="false">Assumptions!H43</f>
        <v>1</v>
      </c>
      <c r="I9" s="4" t="n">
        <f aca="false">Assumptions!I43</f>
        <v>1</v>
      </c>
      <c r="J9" s="4" t="n">
        <f aca="false">Assumptions!J43</f>
        <v>1</v>
      </c>
      <c r="K9" s="4" t="n">
        <f aca="false">Assumptions!K43</f>
        <v>1</v>
      </c>
      <c r="L9" s="4" t="n">
        <f aca="false">Assumptions!L43</f>
        <v>1</v>
      </c>
    </row>
    <row r="10" customFormat="false" ht="15" hidden="false" customHeight="false" outlineLevel="0" collapsed="false">
      <c r="A10" s="0" t="s">
        <v>113</v>
      </c>
      <c r="C10" s="0" t="n">
        <f aca="false">-C6*C9/100</f>
        <v>-316.51088652</v>
      </c>
      <c r="D10" s="0" t="n">
        <f aca="false">-D6*D9/100</f>
        <v>-379.813063824</v>
      </c>
      <c r="E10" s="0" t="n">
        <f aca="false">-E6*E9/100</f>
        <v>-407.34951095124</v>
      </c>
      <c r="F10" s="0" t="n">
        <f aca="false">-F6*F9/100</f>
        <v>-464.378442484414</v>
      </c>
      <c r="G10" s="0" t="n">
        <f aca="false">-G6*G9/100</f>
        <v>-468.600064688817</v>
      </c>
      <c r="H10" s="0" t="n">
        <f aca="false">-H6*H9/100</f>
        <v>-510.774070510811</v>
      </c>
      <c r="I10" s="0" t="n">
        <f aca="false">-I6*I9/100</f>
        <v>-546.528255446568</v>
      </c>
      <c r="J10" s="0" t="n">
        <f aca="false">-J6*J9/100</f>
        <v>-579.319950773362</v>
      </c>
      <c r="K10" s="0" t="n">
        <f aca="false">-K6*K9/100</f>
        <v>-608.28594831203</v>
      </c>
      <c r="L10" s="0" t="n">
        <f aca="false">-L6*L9/100</f>
        <v>-632.617386244511</v>
      </c>
    </row>
    <row r="11" customFormat="false" ht="15" hidden="false" customHeight="false" outlineLevel="0" collapsed="false">
      <c r="A11" s="0" t="s">
        <v>114</v>
      </c>
      <c r="C11" s="0" t="n">
        <f aca="false">C8+C10+C24</f>
        <v>3692.6270094</v>
      </c>
      <c r="D11" s="0" t="n">
        <f aca="false">D8+D10+D24</f>
        <v>4747.6632978</v>
      </c>
      <c r="E11" s="0" t="n">
        <f aca="false">E8+E10+E24</f>
        <v>5962.11556937724</v>
      </c>
      <c r="F11" s="0" t="n">
        <f aca="false">F8+F10+F24</f>
        <v>7218.97396953043</v>
      </c>
      <c r="G11" s="0" t="n">
        <f aca="false">G8+G10+G24</f>
        <v>8294.22114499207</v>
      </c>
      <c r="H11" s="0" t="n">
        <f aca="false">H8+H10+H24</f>
        <v>9040.70104804135</v>
      </c>
      <c r="I11" s="0" t="n">
        <f aca="false">I8+I10+I24</f>
        <v>9673.55012140425</v>
      </c>
      <c r="J11" s="0" t="n">
        <f aca="false">J8+J10+J24</f>
        <v>10253.9631286885</v>
      </c>
      <c r="K11" s="0" t="n">
        <f aca="false">K8+K10+K24</f>
        <v>10766.6612851229</v>
      </c>
      <c r="L11" s="0" t="n">
        <f aca="false">L8+L10+L24</f>
        <v>11197.3277365278</v>
      </c>
    </row>
    <row r="12" customFormat="false" ht="15" hidden="false" customHeight="false" outlineLevel="0" collapsed="false">
      <c r="A12" s="0" t="s">
        <v>115</v>
      </c>
      <c r="C12" s="4" t="n">
        <f aca="false">-C6*Assumptions!C45/100</f>
        <v>-422.01451536</v>
      </c>
      <c r="D12" s="4" t="n">
        <f aca="false">-D6*Assumptions!D45/100</f>
        <v>-538.068507084</v>
      </c>
      <c r="E12" s="4" t="n">
        <f aca="false">-E6*Assumptions!E45/100</f>
        <v>-666.57192701112</v>
      </c>
      <c r="F12" s="4" t="n">
        <f aca="false">-F6*Assumptions!F45/100</f>
        <v>-759.891996792677</v>
      </c>
      <c r="G12" s="4" t="n">
        <f aca="false">-G6*Assumptions!G45/100</f>
        <v>-843.480116439871</v>
      </c>
      <c r="H12" s="4" t="n">
        <f aca="false">-H6*Assumptions!H45/100</f>
        <v>-919.39332691946</v>
      </c>
      <c r="I12" s="4" t="n">
        <f aca="false">-I6*Assumptions!I45/100</f>
        <v>-983.750859803822</v>
      </c>
      <c r="J12" s="4" t="n">
        <f aca="false">-J6*Assumptions!J45/100</f>
        <v>-1042.77591139205</v>
      </c>
      <c r="K12" s="4" t="n">
        <f aca="false">-K6*Assumptions!K45/100</f>
        <v>-1094.91470696165</v>
      </c>
      <c r="L12" s="4" t="n">
        <f aca="false">-L6*Assumptions!L45/100</f>
        <v>-1138.71129524012</v>
      </c>
    </row>
    <row r="13" customFormat="false" ht="15" hidden="false" customHeight="false" outlineLevel="0" collapsed="false">
      <c r="A13" s="0" t="s">
        <v>116</v>
      </c>
      <c r="C13" s="0" t="n">
        <f aca="false">C11+C12</f>
        <v>3270.61249404</v>
      </c>
      <c r="D13" s="0" t="n">
        <f aca="false">D11+D12</f>
        <v>4209.594790716</v>
      </c>
      <c r="E13" s="0" t="n">
        <f aca="false">E11+E12</f>
        <v>5295.54364236612</v>
      </c>
      <c r="F13" s="0" t="n">
        <f aca="false">F11+F12</f>
        <v>6459.08197273775</v>
      </c>
      <c r="G13" s="0" t="n">
        <f aca="false">G11+G12</f>
        <v>7450.7410285522</v>
      </c>
      <c r="H13" s="0" t="n">
        <f aca="false">H11+H12</f>
        <v>8121.30772112189</v>
      </c>
      <c r="I13" s="0" t="n">
        <f aca="false">I11+I12</f>
        <v>8689.79926160043</v>
      </c>
      <c r="J13" s="0" t="n">
        <f aca="false">J11+J12</f>
        <v>9211.18721729645</v>
      </c>
      <c r="K13" s="0" t="n">
        <f aca="false">K11+K12</f>
        <v>9671.74657816128</v>
      </c>
      <c r="L13" s="0" t="n">
        <f aca="false">L11+L12</f>
        <v>10058.6164412877</v>
      </c>
    </row>
    <row r="14" customFormat="false" ht="15" hidden="false" customHeight="false" outlineLevel="0" collapsed="false">
      <c r="A14" s="0" t="s">
        <v>102</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117</v>
      </c>
      <c r="C15" s="0" t="n">
        <f aca="false">C13-MAX(0,C13)*C14/100</f>
        <v>2452.95937053</v>
      </c>
      <c r="D15" s="0" t="n">
        <f aca="false">D13-MAX(0,D13)*D14/100</f>
        <v>3157.196093037</v>
      </c>
      <c r="E15" s="0" t="n">
        <f aca="false">E13-MAX(0,E13)*E14/100</f>
        <v>3971.65773177459</v>
      </c>
      <c r="F15" s="0" t="n">
        <f aca="false">F13-MAX(0,F13)*F14/100</f>
        <v>4844.31147955331</v>
      </c>
      <c r="G15" s="0" t="n">
        <f aca="false">G13-MAX(0,G13)*G14/100</f>
        <v>5588.05577141415</v>
      </c>
      <c r="H15" s="0" t="n">
        <f aca="false">H13-MAX(0,H13)*H14/100</f>
        <v>6090.98079084142</v>
      </c>
      <c r="I15" s="0" t="n">
        <f aca="false">I13-MAX(0,I13)*I14/100</f>
        <v>6517.34944620032</v>
      </c>
      <c r="J15" s="0" t="n">
        <f aca="false">J13-MAX(0,J13)*J14/100</f>
        <v>6908.39041297234</v>
      </c>
      <c r="K15" s="0" t="n">
        <f aca="false">K13-MAX(0,K13)*K14/100</f>
        <v>7253.80993362096</v>
      </c>
      <c r="L15" s="0" t="n">
        <f aca="false">L13-MAX(0,L13)*L14/100</f>
        <v>7543.9623309658</v>
      </c>
    </row>
    <row r="16" customFormat="false" ht="15" hidden="false" customHeight="false" outlineLevel="0" collapsed="false">
      <c r="A16" s="0" t="s">
        <v>118</v>
      </c>
      <c r="C16" s="0" t="n">
        <f aca="false">-C12</f>
        <v>422.01451536</v>
      </c>
      <c r="D16" s="0" t="n">
        <f aca="false">-D12</f>
        <v>538.068507084</v>
      </c>
      <c r="E16" s="0" t="n">
        <f aca="false">-E12</f>
        <v>666.57192701112</v>
      </c>
      <c r="F16" s="0" t="n">
        <f aca="false">-F12</f>
        <v>759.891996792677</v>
      </c>
      <c r="G16" s="0" t="n">
        <f aca="false">-G12</f>
        <v>843.480116439871</v>
      </c>
      <c r="H16" s="0" t="n">
        <f aca="false">-H12</f>
        <v>919.39332691946</v>
      </c>
      <c r="I16" s="0" t="n">
        <f aca="false">-I12</f>
        <v>983.750859803822</v>
      </c>
      <c r="J16" s="0" t="n">
        <f aca="false">-J12</f>
        <v>1042.77591139205</v>
      </c>
      <c r="K16" s="0" t="n">
        <f aca="false">-K12</f>
        <v>1094.91470696165</v>
      </c>
      <c r="L16" s="0" t="n">
        <f aca="false">-L12</f>
        <v>1138.71129524012</v>
      </c>
    </row>
    <row r="17" customFormat="false" ht="15" hidden="false" customHeight="false" outlineLevel="0" collapsed="false">
      <c r="A17" s="0" t="s">
        <v>119</v>
      </c>
      <c r="C17" s="4" t="n">
        <f aca="false">-C6*Assumptions!C46/100</f>
        <v>-1450.67489655</v>
      </c>
      <c r="D17" s="4" t="n">
        <f aca="false">-D6*Assumptions!D46/100</f>
        <v>-1424.29898934</v>
      </c>
      <c r="E17" s="4" t="n">
        <f aca="false">-E6*Assumptions!E46/100</f>
        <v>-1481.2709489136</v>
      </c>
      <c r="F17" s="4" t="n">
        <f aca="false">-F6*Assumptions!F46/100</f>
        <v>-1477.56777154132</v>
      </c>
      <c r="G17" s="4" t="n">
        <f aca="false">-G6*Assumptions!G46/100</f>
        <v>-1405.80019406645</v>
      </c>
      <c r="H17" s="4" t="n">
        <f aca="false">-H6*Assumptions!H46/100</f>
        <v>-1532.32221153243</v>
      </c>
      <c r="I17" s="4" t="n">
        <f aca="false">-I6*Assumptions!I46/100</f>
        <v>-1530.27911525039</v>
      </c>
      <c r="J17" s="4" t="n">
        <f aca="false">-J6*Assumptions!J46/100</f>
        <v>-1506.23187201074</v>
      </c>
      <c r="K17" s="4" t="n">
        <f aca="false">-K6*Assumptions!K46/100</f>
        <v>-1520.71487078007</v>
      </c>
      <c r="L17" s="4" t="n">
        <f aca="false">-L6*Assumptions!L46/100</f>
        <v>-1581.54346561128</v>
      </c>
    </row>
    <row r="18" customFormat="false" ht="15" hidden="false" customHeight="false" outlineLevel="0" collapsed="false">
      <c r="A18" s="0" t="s">
        <v>120</v>
      </c>
      <c r="C18" s="4" t="n">
        <f aca="false">(C6-B6)*Assumptions!$B$51/100</f>
        <v>-739.8120315</v>
      </c>
      <c r="D18" s="4" t="n">
        <f aca="false">(D6-C6)*Assumptions!$B$51/100</f>
        <v>-791.2772163</v>
      </c>
      <c r="E18" s="4" t="n">
        <f aca="false">(E6-D6)*Assumptions!$B$51/100</f>
        <v>-807.102760625999</v>
      </c>
      <c r="F18" s="4" t="n">
        <f aca="false">(F6-E6)*Assumptions!$B$51/100</f>
        <v>-777.667248179641</v>
      </c>
      <c r="G18" s="4" t="n">
        <f aca="false">(G6-F6)*Assumptions!$B$51/100</f>
        <v>-696.567663726621</v>
      </c>
      <c r="H18" s="4" t="n">
        <f aca="false">(H6-G6)*Assumptions!$B$51/100</f>
        <v>-632.610087329904</v>
      </c>
      <c r="I18" s="4" t="n">
        <f aca="false">(I6-H6)*Assumptions!$B$51/100</f>
        <v>-536.312774036352</v>
      </c>
      <c r="J18" s="4" t="n">
        <f aca="false">(J6-I6)*Assumptions!$B$51/100</f>
        <v>-491.875429901911</v>
      </c>
      <c r="K18" s="4" t="n">
        <f aca="false">(K6-J6)*Assumptions!$B$51/100</f>
        <v>-434.489963080021</v>
      </c>
      <c r="L18" s="4" t="n">
        <f aca="false">(L6-K6)*Assumptions!$B$51/100</f>
        <v>-364.971568987218</v>
      </c>
    </row>
    <row r="19" customFormat="false" ht="15" hidden="false" customHeight="false" outlineLevel="0" collapsed="false">
      <c r="A19" s="0" t="s">
        <v>121</v>
      </c>
      <c r="C19" s="0" t="n">
        <f aca="false">C15+C16+C17+C18</f>
        <v>684.48695784</v>
      </c>
      <c r="D19" s="0" t="n">
        <f aca="false">D15+D16+D17+D18</f>
        <v>1479.688394481</v>
      </c>
      <c r="E19" s="0" t="n">
        <f aca="false">E15+E16+E17+E18</f>
        <v>2349.85594924611</v>
      </c>
      <c r="F19" s="0" t="n">
        <f aca="false">F15+F16+F17+F18</f>
        <v>3348.96845662503</v>
      </c>
      <c r="G19" s="0" t="n">
        <f aca="false">G15+G16+G17+G18</f>
        <v>4329.16803006095</v>
      </c>
      <c r="H19" s="0" t="n">
        <f aca="false">H15+H16+H17+H18</f>
        <v>4845.44181889854</v>
      </c>
      <c r="I19" s="0" t="n">
        <f aca="false">I15+I16+I17+I18</f>
        <v>5434.5084167174</v>
      </c>
      <c r="J19" s="0" t="n">
        <f aca="false">J15+J16+J17+J18</f>
        <v>5953.05902245174</v>
      </c>
      <c r="K19" s="0" t="n">
        <f aca="false">K15+K16+K17+K18</f>
        <v>6393.51980672251</v>
      </c>
      <c r="L19" s="0" t="n">
        <f aca="false">L15+L16+L17+L18</f>
        <v>6736.15859160742</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627.969686091743</v>
      </c>
      <c r="D21" s="0" t="n">
        <f aca="false">D19*D20</f>
        <v>1245.42411790338</v>
      </c>
      <c r="E21" s="0" t="n">
        <f aca="false">E19*E20</f>
        <v>1814.51994453106</v>
      </c>
      <c r="F21" s="0" t="n">
        <f aca="false">F19*F20</f>
        <v>2372.49368573527</v>
      </c>
      <c r="G21" s="0" t="n">
        <f aca="false">G19*G20</f>
        <v>2813.66217929599</v>
      </c>
      <c r="H21" s="0" t="n">
        <f aca="false">H19*H20</f>
        <v>2889.1786409034</v>
      </c>
      <c r="I21" s="0" t="n">
        <f aca="false">I19*I20</f>
        <v>2972.86220783366</v>
      </c>
      <c r="J21" s="0" t="n">
        <f aca="false">J19*J20</f>
        <v>2987.63958427026</v>
      </c>
      <c r="K21" s="0" t="n">
        <f aca="false">K19*K20</f>
        <v>2943.75412790274</v>
      </c>
      <c r="L21" s="0" t="n">
        <f aca="false">L19*L20</f>
        <v>2845.42618605822</v>
      </c>
    </row>
    <row r="23" customFormat="false" ht="15" hidden="false" customHeight="false" outlineLevel="0" collapsed="false">
      <c r="A23" s="0" t="s">
        <v>99</v>
      </c>
      <c r="C23" s="4" t="n">
        <f aca="false">Assumptions!C44</f>
        <v>4.8</v>
      </c>
      <c r="D23" s="4" t="n">
        <f aca="false">Assumptions!D44</f>
        <v>4.8</v>
      </c>
      <c r="E23" s="4" t="n">
        <f aca="false">Assumptions!E44</f>
        <v>4.8</v>
      </c>
      <c r="F23" s="4" t="n">
        <f aca="false">Assumptions!F44</f>
        <v>4.8</v>
      </c>
      <c r="G23" s="4" t="n">
        <f aca="false">Assumptions!G44</f>
        <v>4.8</v>
      </c>
      <c r="H23" s="4" t="n">
        <f aca="false">Assumptions!H44</f>
        <v>4.8</v>
      </c>
      <c r="I23" s="4" t="n">
        <f aca="false">Assumptions!I44</f>
        <v>4.8</v>
      </c>
      <c r="J23" s="4" t="n">
        <f aca="false">Assumptions!J44</f>
        <v>4.8</v>
      </c>
      <c r="K23" s="4" t="n">
        <f aca="false">Assumptions!K44</f>
        <v>4.8</v>
      </c>
      <c r="L23" s="4" t="n">
        <f aca="false">Assumptions!L44</f>
        <v>4.8</v>
      </c>
    </row>
    <row r="24" customFormat="false" ht="15" hidden="false" customHeight="false" outlineLevel="0" collapsed="false">
      <c r="A24" s="0" t="s">
        <v>124</v>
      </c>
      <c r="C24" s="0" t="n">
        <f aca="false">-C6*C23/100</f>
        <v>-1266.04354608</v>
      </c>
      <c r="D24" s="0" t="n">
        <f aca="false">-D6*D23/100</f>
        <v>-1519.252255296</v>
      </c>
      <c r="E24" s="0" t="n">
        <f aca="false">-E6*E23/100</f>
        <v>-1777.52513869632</v>
      </c>
      <c r="F24" s="0" t="n">
        <f aca="false">-F6*F23/100</f>
        <v>-2026.3786581138</v>
      </c>
      <c r="G24" s="0" t="n">
        <f aca="false">-G6*G23/100</f>
        <v>-2249.28031050632</v>
      </c>
      <c r="H24" s="0" t="n">
        <f aca="false">-H6*H23/100</f>
        <v>-2451.71553845189</v>
      </c>
      <c r="I24" s="0" t="n">
        <f aca="false">-I6*I23/100</f>
        <v>-2623.33562614353</v>
      </c>
      <c r="J24" s="0" t="n">
        <f aca="false">-J6*J23/100</f>
        <v>-2780.73576371214</v>
      </c>
      <c r="K24" s="0" t="n">
        <f aca="false">-K6*K23/100</f>
        <v>-2919.77255189774</v>
      </c>
      <c r="L24" s="0" t="n">
        <f aca="false">-L6*L23/100</f>
        <v>-3036.56345397365</v>
      </c>
    </row>
    <row r="26" customFormat="false" ht="15" hidden="false" customHeight="false" outlineLevel="0" collapsed="false">
      <c r="A26" s="2" t="s">
        <v>125</v>
      </c>
    </row>
    <row r="27" customFormat="false" ht="15" hidden="false" customHeight="false" outlineLevel="0" collapsed="false">
      <c r="A27" s="0" t="s">
        <v>103</v>
      </c>
      <c r="B27" s="4" t="n">
        <f aca="false">Assumptions!$B$48</f>
        <v>9</v>
      </c>
    </row>
    <row r="28" customFormat="false" ht="15" hidden="false" customHeight="false" outlineLevel="0" collapsed="false">
      <c r="A28" s="0" t="s">
        <v>104</v>
      </c>
      <c r="B28" s="4" t="n">
        <f aca="false">Assumptions!$B$49</f>
        <v>3.5</v>
      </c>
    </row>
    <row r="29" customFormat="false" ht="15" hidden="false" customHeight="false" outlineLevel="0" collapsed="false">
      <c r="A29" s="0" t="s">
        <v>105</v>
      </c>
      <c r="B29" s="4" t="n">
        <f aca="false">Assumptions!$B$50</f>
        <v>15</v>
      </c>
    </row>
    <row r="30" customFormat="false" ht="15" hidden="false" customHeight="false" outlineLevel="0" collapsed="false">
      <c r="A30" s="0" t="s">
        <v>126</v>
      </c>
      <c r="B30" s="0" t="n">
        <f aca="false">SUM(C21:L21)</f>
        <v>23512.9303605257</v>
      </c>
    </row>
    <row r="31" customFormat="false" ht="15" hidden="false" customHeight="false" outlineLevel="0" collapsed="false">
      <c r="A31" s="0" t="s">
        <v>127</v>
      </c>
      <c r="B31" s="0" t="n">
        <f aca="false">L19</f>
        <v>6736.15859160742</v>
      </c>
    </row>
    <row r="32" customFormat="false" ht="15" hidden="false" customHeight="false" outlineLevel="0" collapsed="false">
      <c r="A32" s="0" t="s">
        <v>128</v>
      </c>
      <c r="B32" s="0" t="n">
        <f aca="false">IF(B27&gt;B28,B31*(1+B28/100)/((B27-B28)/100),B31*B29)</f>
        <v>126762.257132976</v>
      </c>
    </row>
    <row r="33" customFormat="false" ht="15" hidden="false" customHeight="false" outlineLevel="0" collapsed="false">
      <c r="A33" s="0" t="s">
        <v>129</v>
      </c>
      <c r="B33" s="0" t="n">
        <f aca="false">B31*B29</f>
        <v>101042.378874111</v>
      </c>
    </row>
    <row r="34" customFormat="false" ht="15" hidden="false" customHeight="false" outlineLevel="0" collapsed="false">
      <c r="A34" s="0" t="s">
        <v>130</v>
      </c>
      <c r="B34" s="0" t="n">
        <f aca="false">MAX(0,MIN(B32,B33))</f>
        <v>101042.378874111</v>
      </c>
    </row>
    <row r="35" customFormat="false" ht="15" hidden="false" customHeight="false" outlineLevel="0" collapsed="false">
      <c r="A35" s="0" t="s">
        <v>131</v>
      </c>
      <c r="B35" s="0" t="n">
        <f aca="false">B34/(1+B27/100)^L4</f>
        <v>42681.3927908733</v>
      </c>
    </row>
    <row r="36" customFormat="false" ht="15" hidden="false" customHeight="false" outlineLevel="0" collapsed="false">
      <c r="A36" s="0" t="s">
        <v>132</v>
      </c>
      <c r="B36" s="0" t="n">
        <f aca="false">B30+B35</f>
        <v>66194.323151399</v>
      </c>
    </row>
    <row r="37" customFormat="false" ht="15" hidden="false" customHeight="false" outlineLevel="0" collapsed="false">
      <c r="A37" s="0" t="s">
        <v>133</v>
      </c>
      <c r="B37" s="0" t="n">
        <f aca="false">B36+Assumptions!$B$5-Assumptions!$B$4</f>
        <v>70175.760151399</v>
      </c>
    </row>
    <row r="38" customFormat="false" ht="15" hidden="false" customHeight="false" outlineLevel="0" collapsed="false">
      <c r="A38" s="0" t="s">
        <v>134</v>
      </c>
      <c r="B38" s="0" t="n">
        <f aca="false">B37/Assumptions!$B$3*Assumptions!$B$10</f>
        <v>68.4519406489248</v>
      </c>
    </row>
    <row r="39" customFormat="false" ht="15" hidden="false" customHeight="false" outlineLevel="0" collapsed="false">
      <c r="A39" s="0" t="s">
        <v>135</v>
      </c>
      <c r="B39" s="4" t="n">
        <f aca="false">B38/Assumptions!$B$2-1</f>
        <v>2.44498946396199</v>
      </c>
    </row>
    <row r="41" customFormat="false" ht="15" hidden="false" customHeight="false" outlineLevel="0" collapsed="false">
      <c r="A41" s="0" t="s">
        <v>136</v>
      </c>
      <c r="B41" s="0" t="n">
        <f aca="false">SUMPRODUCT(-C10:L10/(1+$B$27/100)^C4:L4)</f>
        <v>2999.70674454672</v>
      </c>
    </row>
    <row r="42" customFormat="false" ht="15" hidden="false" customHeight="false" outlineLevel="0" collapsed="false">
      <c r="A42" s="0" t="s">
        <v>137</v>
      </c>
      <c r="B42" s="0" t="n">
        <f aca="false">IF(B27&gt;B28,-L10*(1+B28/100)/((B27-B28)/100),-L10*20)/(1+B27/100)^L4</f>
        <v>5028.67773272869</v>
      </c>
    </row>
    <row r="43" customFormat="false" ht="15" hidden="false" customHeight="false" outlineLevel="0" collapsed="false">
      <c r="A43" s="0" t="s">
        <v>138</v>
      </c>
      <c r="B43" s="0" t="n">
        <f aca="false">(B37+B41+B42)/Assumptions!$B$3*Assumptions!$B$10</f>
        <v>76.2831133581277</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60625.4273244668</v>
      </c>
    </row>
    <row r="47" customFormat="false" ht="15" hidden="false" customHeight="false" outlineLevel="0" collapsed="false">
      <c r="A47" s="0" t="s">
        <v>140</v>
      </c>
      <c r="B47" s="0" t="n">
        <f aca="false">(SUMPRODUCT(C19:L19/(1+B45/100)^C4:L4)+B46/(1+B45/100)^L4+Assumptions!$B$5-Assumptions!$B$4)/Assumptions!$B$3*Assumptions!$B$10</f>
        <v>34.9789496892125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18.7137506957284</v>
      </c>
      <c r="C4" s="0" t="n">
        <f aca="false">B4/Assumptions!$B$2-1</f>
        <v>-0.0581907047947439</v>
      </c>
      <c r="D4" s="4" t="n">
        <f aca="false">Assumptions!$B$24</f>
        <v>0.3</v>
      </c>
      <c r="E4" s="4" t="n">
        <f aca="false">DCF_Bear!$B$43</f>
        <v>23.430516056243</v>
      </c>
      <c r="F4" s="4" t="n">
        <f aca="false">DCF_Bear!$B$47</f>
        <v>11.5987869300414</v>
      </c>
    </row>
    <row r="5" customFormat="false" ht="15" hidden="false" customHeight="false" outlineLevel="0" collapsed="false">
      <c r="A5" s="0" t="s">
        <v>149</v>
      </c>
      <c r="B5" s="4" t="n">
        <f aca="false">DCF_Base!$B$38</f>
        <v>44.8860479415178</v>
      </c>
      <c r="C5" s="0" t="n">
        <f aca="false">B5/Assumptions!$B$2-1</f>
        <v>1.25898580480714</v>
      </c>
      <c r="D5" s="4" t="n">
        <f aca="false">Assumptions!$B$38</f>
        <v>0.5</v>
      </c>
      <c r="E5" s="4" t="n">
        <f aca="false">DCF_Base!$B$43</f>
        <v>50.9653317804764</v>
      </c>
      <c r="F5" s="4" t="n">
        <f aca="false">DCF_Base!$B$47</f>
        <v>23.2165137428645</v>
      </c>
    </row>
    <row r="6" customFormat="false" ht="15" hidden="false" customHeight="false" outlineLevel="0" collapsed="false">
      <c r="A6" s="0" t="s">
        <v>150</v>
      </c>
      <c r="B6" s="4" t="n">
        <f aca="false">DCF_Bull!$B$38</f>
        <v>68.4519406489248</v>
      </c>
      <c r="C6" s="0" t="n">
        <f aca="false">B6/Assumptions!$B$2-1</f>
        <v>2.44498946396199</v>
      </c>
      <c r="D6" s="4" t="n">
        <f aca="false">Assumptions!$B$52</f>
        <v>0.2</v>
      </c>
      <c r="E6" s="4" t="n">
        <f aca="false">DCF_Bull!$B$43</f>
        <v>76.2831133581277</v>
      </c>
      <c r="F6" s="4" t="n">
        <f aca="false">DCF_Bull!$B$47</f>
        <v>34.9789496892125</v>
      </c>
    </row>
    <row r="8" customFormat="false" ht="15" hidden="false" customHeight="false" outlineLevel="0" collapsed="false">
      <c r="A8" s="0" t="s">
        <v>151</v>
      </c>
      <c r="B8" s="0" t="n">
        <f aca="false">SUMPRODUCT(B4:B6,D4:D6)</f>
        <v>41.7475373092624</v>
      </c>
    </row>
    <row r="9" customFormat="false" ht="15" hidden="false" customHeight="false" outlineLevel="0" collapsed="false">
      <c r="A9" s="0" t="s">
        <v>152</v>
      </c>
      <c r="B9" s="0" t="n">
        <f aca="false">SUMPRODUCT(E4:E6,D4:D6)</f>
        <v>47.7684433787366</v>
      </c>
    </row>
    <row r="10" customFormat="false" ht="15" hidden="false" customHeight="false" outlineLevel="0" collapsed="false">
      <c r="A10" s="0" t="s">
        <v>153</v>
      </c>
      <c r="B10" s="0" t="n">
        <f aca="false">1-Assumptions!$B$2/B8</f>
        <v>0.524043781246193</v>
      </c>
    </row>
    <row r="11" customFormat="false" ht="15" hidden="false" customHeight="false" outlineLevel="0" collapsed="false">
      <c r="A11" s="0" t="s">
        <v>154</v>
      </c>
      <c r="B11" s="0" t="n">
        <f aca="false">IF(ABS(B9-B8)&gt;0.01*ABS(B8),(Assumptions!$B$2-B8)/(B9-B8)*100,"n/a")</f>
        <v>-363.359551815312</v>
      </c>
    </row>
    <row r="12" customFormat="false" ht="15" hidden="false" customHeight="false" outlineLevel="0" collapsed="false">
      <c r="A12" s="0" t="s">
        <v>155</v>
      </c>
      <c r="B12" s="0" t="n">
        <f aca="false">SUMPRODUCT(F4:F6,D4:D6)</f>
        <v>22.0836828882872</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44.8860479415178</v>
      </c>
      <c r="C15" s="3" t="n">
        <v>9</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41.3050098992187</v>
      </c>
      <c r="C16" s="3" t="n">
        <v>10</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35.8039639086158</v>
      </c>
      <c r="C17" s="3" t="n">
        <v>11</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31.5606637278092</v>
      </c>
      <c r="C18" s="3" t="n">
        <v>12</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23.2165137428645</v>
      </c>
      <c r="C19" s="3" t="n">
        <v>15</v>
      </c>
    </row>
    <row r="21" customFormat="false" ht="15" hidden="false" customHeight="false" outlineLevel="0" collapsed="false">
      <c r="A21" s="2" t="s">
        <v>163</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52.0942978896397</v>
      </c>
      <c r="C23" s="0" t="n">
        <f aca="false">(SUMPRODUCT(DCF_Base!$C$19:$L$19/(1+$A$23/100)^DCF_Base!$C$4:$L$4)+MAX(0,MIN(IF($A$23&gt;$C$22,DCF_Base!$L$19*(1+$C$22/100)/(($A$23-$C$22)/100),DCF_Base!$L$19*DCF_Base!$B$29),DCF_Base!$L$19*DCF_Base!$B$29))/(1+$A$23/100)^DCF_Base!$L$4+Assumptions!$B$5-Assumptions!$B$4)/Assumptions!$B$3*Assumptions!$B$10</f>
        <v>52.0942978896397</v>
      </c>
      <c r="D23" s="0" t="n">
        <f aca="false">(SUMPRODUCT(DCF_Base!$C$19:$L$19/(1+$A$23/100)^DCF_Base!$C$4:$L$4)+MAX(0,MIN(IF($A$23&gt;$D$22,DCF_Base!$L$19*(1+$D$22/100)/(($A$23-$D$22)/100),DCF_Base!$L$19*DCF_Base!$B$29),DCF_Base!$L$19*DCF_Base!$B$29))/(1+$A$23/100)^DCF_Base!$L$4+Assumptions!$B$5-Assumptions!$B$4)/Assumptions!$B$3*Assumptions!$B$10</f>
        <v>52.0942978896397</v>
      </c>
      <c r="E23" s="0" t="n">
        <f aca="false">(SUMPRODUCT(DCF_Base!$C$19:$L$19/(1+$A$23/100)^DCF_Base!$C$4:$L$4)+MAX(0,MIN(IF($A$23&gt;$E$22,DCF_Base!$L$19*(1+$E$22/100)/(($A$23-$E$22)/100),DCF_Base!$L$19*DCF_Base!$B$29),DCF_Base!$L$19*DCF_Base!$B$29))/(1+$A$23/100)^DCF_Base!$L$4+Assumptions!$B$5-Assumptions!$B$4)/Assumptions!$B$3*Assumptions!$B$10</f>
        <v>52.0942978896397</v>
      </c>
      <c r="F23" s="0" t="n">
        <f aca="false">(SUMPRODUCT(DCF_Base!$C$19:$L$19/(1+$A$23/100)^DCF_Base!$C$4:$L$4)+MAX(0,MIN(IF($A$23&gt;$F$22,DCF_Base!$L$19*(1+$F$22/100)/(($A$23-$F$22)/100),DCF_Base!$L$19*DCF_Base!$B$29),DCF_Base!$L$19*DCF_Base!$B$29))/(1+$A$23/100)^DCF_Base!$L$4+Assumptions!$B$5-Assumptions!$B$4)/Assumptions!$B$3*Assumptions!$B$10</f>
        <v>52.0942978896397</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48.3180040282505</v>
      </c>
      <c r="C24" s="0" t="n">
        <f aca="false">(SUMPRODUCT(DCF_Base!$C$19:$L$19/(1+$A$24/100)^DCF_Base!$C$4:$L$4)+MAX(0,MIN(IF($A$24&gt;$C$22,DCF_Base!$L$19*(1+$C$22/100)/(($A$24-$C$22)/100),DCF_Base!$L$19*DCF_Base!$B$29),DCF_Base!$L$19*DCF_Base!$B$29))/(1+$A$24/100)^DCF_Base!$L$4+Assumptions!$B$5-Assumptions!$B$4)/Assumptions!$B$3*Assumptions!$B$10</f>
        <v>48.3180040282505</v>
      </c>
      <c r="D24" s="0" t="n">
        <f aca="false">(SUMPRODUCT(DCF_Base!$C$19:$L$19/(1+$A$24/100)^DCF_Base!$C$4:$L$4)+MAX(0,MIN(IF($A$24&gt;$D$22,DCF_Base!$L$19*(1+$D$22/100)/(($A$24-$D$22)/100),DCF_Base!$L$19*DCF_Base!$B$29),DCF_Base!$L$19*DCF_Base!$B$29))/(1+$A$24/100)^DCF_Base!$L$4+Assumptions!$B$5-Assumptions!$B$4)/Assumptions!$B$3*Assumptions!$B$10</f>
        <v>48.3180040282505</v>
      </c>
      <c r="E24" s="0" t="n">
        <f aca="false">(SUMPRODUCT(DCF_Base!$C$19:$L$19/(1+$A$24/100)^DCF_Base!$C$4:$L$4)+MAX(0,MIN(IF($A$24&gt;$E$22,DCF_Base!$L$19*(1+$E$22/100)/(($A$24-$E$22)/100),DCF_Base!$L$19*DCF_Base!$B$29),DCF_Base!$L$19*DCF_Base!$B$29))/(1+$A$24/100)^DCF_Base!$L$4+Assumptions!$B$5-Assumptions!$B$4)/Assumptions!$B$3*Assumptions!$B$10</f>
        <v>48.3180040282505</v>
      </c>
      <c r="F24" s="0" t="n">
        <f aca="false">(SUMPRODUCT(DCF_Base!$C$19:$L$19/(1+$A$24/100)^DCF_Base!$C$4:$L$4)+MAX(0,MIN(IF($A$24&gt;$F$22,DCF_Base!$L$19*(1+$F$22/100)/(($A$24-$F$22)/100),DCF_Base!$L$19*DCF_Base!$B$29),DCF_Base!$L$19*DCF_Base!$B$29))/(1+$A$24/100)^DCF_Base!$L$4+Assumptions!$B$5-Assumptions!$B$4)/Assumptions!$B$3*Assumptions!$B$10</f>
        <v>48.3180040282505</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44.132358711041</v>
      </c>
      <c r="C25" s="0" t="n">
        <f aca="false">(SUMPRODUCT(DCF_Base!$C$19:$L$19/(1+$A$25/100)^DCF_Base!$C$4:$L$4)+MAX(0,MIN(IF($A$25&gt;$C$22,DCF_Base!$L$19*(1+$C$22/100)/(($A$25-$C$22)/100),DCF_Base!$L$19*DCF_Base!$B$29),DCF_Base!$L$19*DCF_Base!$B$29))/(1+$A$25/100)^DCF_Base!$L$4+Assumptions!$B$5-Assumptions!$B$4)/Assumptions!$B$3*Assumptions!$B$10</f>
        <v>44.8860479415178</v>
      </c>
      <c r="D25" s="0" t="n">
        <f aca="false">(SUMPRODUCT(DCF_Base!$C$19:$L$19/(1+$A$25/100)^DCF_Base!$C$4:$L$4)+MAX(0,MIN(IF($A$25&gt;$D$22,DCF_Base!$L$19*(1+$D$22/100)/(($A$25-$D$22)/100),DCF_Base!$L$19*DCF_Base!$B$29),DCF_Base!$L$19*DCF_Base!$B$29))/(1+$A$25/100)^DCF_Base!$L$4+Assumptions!$B$5-Assumptions!$B$4)/Assumptions!$B$3*Assumptions!$B$10</f>
        <v>44.8860479415178</v>
      </c>
      <c r="E25" s="0" t="n">
        <f aca="false">(SUMPRODUCT(DCF_Base!$C$19:$L$19/(1+$A$25/100)^DCF_Base!$C$4:$L$4)+MAX(0,MIN(IF($A$25&gt;$E$22,DCF_Base!$L$19*(1+$E$22/100)/(($A$25-$E$22)/100),DCF_Base!$L$19*DCF_Base!$B$29),DCF_Base!$L$19*DCF_Base!$B$29))/(1+$A$25/100)^DCF_Base!$L$4+Assumptions!$B$5-Assumptions!$B$4)/Assumptions!$B$3*Assumptions!$B$10</f>
        <v>44.8860479415178</v>
      </c>
      <c r="F25" s="0" t="n">
        <f aca="false">(SUMPRODUCT(DCF_Base!$C$19:$L$19/(1+$A$25/100)^DCF_Base!$C$4:$L$4)+MAX(0,MIN(IF($A$25&gt;$F$22,DCF_Base!$L$19*(1+$F$22/100)/(($A$25-$F$22)/100),DCF_Base!$L$19*DCF_Base!$B$29),DCF_Base!$L$19*DCF_Base!$B$29))/(1+$A$25/100)^DCF_Base!$L$4+Assumptions!$B$5-Assumptions!$B$4)/Assumptions!$B$3*Assumptions!$B$10</f>
        <v>44.8860479415178</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38.1520976707647</v>
      </c>
      <c r="C26" s="0" t="n">
        <f aca="false">(SUMPRODUCT(DCF_Base!$C$19:$L$19/(1+$A$26/100)^DCF_Base!$C$4:$L$4)+MAX(0,MIN(IF($A$26&gt;$C$22,DCF_Base!$L$19*(1+$C$22/100)/(($A$26-$C$22)/100),DCF_Base!$L$19*DCF_Base!$B$29),DCF_Base!$L$19*DCF_Base!$B$29))/(1+$A$26/100)^DCF_Base!$L$4+Assumptions!$B$5-Assumptions!$B$4)/Assumptions!$B$3*Assumptions!$B$10</f>
        <v>39.6234567107099</v>
      </c>
      <c r="D26" s="0" t="n">
        <f aca="false">(SUMPRODUCT(DCF_Base!$C$19:$L$19/(1+$A$26/100)^DCF_Base!$C$4:$L$4)+MAX(0,MIN(IF($A$26&gt;$D$22,DCF_Base!$L$19*(1+$D$22/100)/(($A$26-$D$22)/100),DCF_Base!$L$19*DCF_Base!$B$29),DCF_Base!$L$19*DCF_Base!$B$29))/(1+$A$26/100)^DCF_Base!$L$4+Assumptions!$B$5-Assumptions!$B$4)/Assumptions!$B$3*Assumptions!$B$10</f>
        <v>41.3050098992187</v>
      </c>
      <c r="E26" s="0" t="n">
        <f aca="false">(SUMPRODUCT(DCF_Base!$C$19:$L$19/(1+$A$26/100)^DCF_Base!$C$4:$L$4)+MAX(0,MIN(IF($A$26&gt;$E$22,DCF_Base!$L$19*(1+$E$22/100)/(($A$26-$E$22)/100),DCF_Base!$L$19*DCF_Base!$B$29),DCF_Base!$L$19*DCF_Base!$B$29))/(1+$A$26/100)^DCF_Base!$L$4+Assumptions!$B$5-Assumptions!$B$4)/Assumptions!$B$3*Assumptions!$B$10</f>
        <v>41.7636153142665</v>
      </c>
      <c r="F26" s="0" t="n">
        <f aca="false">(SUMPRODUCT(DCF_Base!$C$19:$L$19/(1+$A$26/100)^DCF_Base!$C$4:$L$4)+MAX(0,MIN(IF($A$26&gt;$F$22,DCF_Base!$L$19*(1+$F$22/100)/(($A$26-$F$22)/100),DCF_Base!$L$19*DCF_Base!$B$29),DCF_Base!$L$19*DCF_Base!$B$29))/(1+$A$26/100)^DCF_Base!$L$4+Assumptions!$B$5-Assumptions!$B$4)/Assumptions!$B$3*Assumptions!$B$10</f>
        <v>41.7636153142665</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33.5435146178621</v>
      </c>
      <c r="C27" s="0" t="n">
        <f aca="false">(SUMPRODUCT(DCF_Base!$C$19:$L$19/(1+$A$27/100)^DCF_Base!$C$4:$L$4)+MAX(0,MIN(IF($A$27&gt;$C$22,DCF_Base!$L$19*(1+$C$22/100)/(($A$27-$C$22)/100),DCF_Base!$L$19*DCF_Base!$B$29),DCF_Base!$L$19*DCF_Base!$B$29))/(1+$A$27/100)^DCF_Base!$L$4+Assumptions!$B$5-Assumptions!$B$4)/Assumptions!$B$3*Assumptions!$B$10</f>
        <v>34.6072554605697</v>
      </c>
      <c r="D27" s="0" t="n">
        <f aca="false">(SUMPRODUCT(DCF_Base!$C$19:$L$19/(1+$A$27/100)^DCF_Base!$C$4:$L$4)+MAX(0,MIN(IF($A$27&gt;$D$22,DCF_Base!$L$19*(1+$D$22/100)/(($A$27-$D$22)/100),DCF_Base!$L$19*DCF_Base!$B$29),DCF_Base!$L$19*DCF_Base!$B$29))/(1+$A$27/100)^DCF_Base!$L$4+Assumptions!$B$5-Assumptions!$B$4)/Assumptions!$B$3*Assumptions!$B$10</f>
        <v>35.8039639086158</v>
      </c>
      <c r="E27" s="0" t="n">
        <f aca="false">(SUMPRODUCT(DCF_Base!$C$19:$L$19/(1+$A$27/100)^DCF_Base!$C$4:$L$4)+MAX(0,MIN(IF($A$27&gt;$E$22,DCF_Base!$L$19*(1+$E$22/100)/(($A$27-$E$22)/100),DCF_Base!$L$19*DCF_Base!$B$29),DCF_Base!$L$19*DCF_Base!$B$29))/(1+$A$27/100)^DCF_Base!$L$4+Assumptions!$B$5-Assumptions!$B$4)/Assumptions!$B$3*Assumptions!$B$10</f>
        <v>37.160233483068</v>
      </c>
      <c r="F27" s="0" t="n">
        <f aca="false">(SUMPRODUCT(DCF_Base!$C$19:$L$19/(1+$A$27/100)^DCF_Base!$C$4:$L$4)+MAX(0,MIN(IF($A$27&gt;$F$22,DCF_Base!$L$19*(1+$F$22/100)/(($A$27-$F$22)/100),DCF_Base!$L$19*DCF_Base!$B$29),DCF_Base!$L$19*DCF_Base!$B$29))/(1+$A$27/100)^DCF_Base!$L$4+Assumptions!$B$5-Assumptions!$B$4)/Assumptions!$B$3*Assumptions!$B$10</f>
        <v>38.7102558538705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2026-10-23T20:08:47Z</dcterms:created>
  <dc:creator>openpyxl</dc:creator>
  <dc:description/>
  <dc:language>en-NZ</dc:language>
  <cp:lastModifiedBy/>
  <dcterms:modified xsi:type="dcterms:W3CDTF">2026-10-23T20:08:47Z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