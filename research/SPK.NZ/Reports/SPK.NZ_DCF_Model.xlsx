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CF Model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Historic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&quot;NZ$&quot;#,##0.00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rgb="FF808080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164" fontId="0" fillId="2" borderId="2" pivotButton="0" quotePrefix="0" xfId="0"/>
    <xf numFmtId="164" fontId="0" fillId="0" borderId="2" pivotButton="0" quotePrefix="0" xfId="0"/>
    <xf numFmtId="165" fontId="0" fillId="2" borderId="2" pivotButton="0" quotePrefix="0" xfId="0"/>
    <xf numFmtId="0" fontId="4" fillId="3" borderId="2" pivotButton="0" quotePrefix="0" xfId="0"/>
    <xf numFmtId="0" fontId="5" fillId="0" borderId="0" pivotButton="0" quotePrefix="0" xfId="0"/>
    <xf numFmtId="166" fontId="4" fillId="4" borderId="2" pivotButton="0" quotePrefix="0" xfId="0"/>
    <xf numFmtId="166" fontId="0" fillId="0" borderId="2" pivotButton="0" quotePrefix="0" xfId="0"/>
    <xf numFmtId="165" fontId="0" fillId="0" borderId="2" pivotButton="0" quotePrefix="0" xfId="0"/>
    <xf numFmtId="165" fontId="4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tabSelected="1" workbookViewId="0">
      <selection activeCell="A1" sqref="A1"/>
    </sheetView>
  </sheetViews>
  <sheetFormatPr baseColWidth="8" defaultRowHeight="15"/>
  <cols>
    <col width="25.7109375" customWidth="1" min="1" max="1"/>
    <col width="14.7109375" customWidth="1" min="2" max="8"/>
  </cols>
  <sheetData>
    <row r="1">
      <c r="A1" s="1" t="inlineStr">
        <is>
          <t>SPK.NZ DCF Valuation Model</t>
        </is>
      </c>
    </row>
    <row r="2">
      <c r="A2" s="2" t="inlineStr">
        <is>
          <t>Gray cells are INPUTS - adjust to see valuation change</t>
        </is>
      </c>
    </row>
    <row r="4">
      <c r="A4" s="3" t="inlineStr">
        <is>
          <t>KEY INPUTS</t>
        </is>
      </c>
    </row>
    <row r="5">
      <c r="A5" t="inlineStr">
        <is>
          <t>Current Stock Price</t>
        </is>
      </c>
      <c r="B5" s="4" t="n">
        <v>1.875</v>
      </c>
    </row>
    <row r="6">
      <c r="A6" t="inlineStr">
        <is>
          <t>Shares Outstanding (M)</t>
        </is>
      </c>
      <c r="B6" s="4" t="n">
        <v>1890</v>
      </c>
    </row>
    <row r="7">
      <c r="A7" t="inlineStr">
        <is>
          <t>Cash &amp; Equivalents (M)</t>
        </is>
      </c>
      <c r="B7" s="4" t="n">
        <v>85</v>
      </c>
    </row>
    <row r="8">
      <c r="A8" t="inlineStr">
        <is>
          <t>Total Debt (M)</t>
        </is>
      </c>
      <c r="B8" s="4" t="n">
        <v>1510</v>
      </c>
    </row>
    <row r="9">
      <c r="A9" t="inlineStr">
        <is>
          <t>Net Debt (M)</t>
        </is>
      </c>
      <c r="B9" s="5">
        <f>B8-B7</f>
        <v/>
      </c>
    </row>
    <row r="10">
      <c r="A10" t="inlineStr">
        <is>
          <t>Base Year FCF (M)</t>
        </is>
      </c>
      <c r="B10" s="4" t="n">
        <v>330</v>
      </c>
    </row>
    <row r="12">
      <c r="A12" t="inlineStr">
        <is>
          <t>WACC</t>
        </is>
      </c>
      <c r="B12" s="6" t="n">
        <v>0.09</v>
      </c>
    </row>
    <row r="13">
      <c r="A13" t="inlineStr">
        <is>
          <t>Terminal Growth Rate</t>
        </is>
      </c>
      <c r="B13" s="6" t="n">
        <v>0.015</v>
      </c>
    </row>
    <row r="15">
      <c r="A15" s="3" t="inlineStr">
        <is>
          <t>GROWTH ASSUMPTIONS</t>
        </is>
      </c>
      <c r="B15" s="7" t="inlineStr">
        <is>
          <t>Year 1</t>
        </is>
      </c>
      <c r="C15" s="7" t="inlineStr">
        <is>
          <t>Year 2</t>
        </is>
      </c>
      <c r="D15" s="7" t="inlineStr">
        <is>
          <t>Year 3</t>
        </is>
      </c>
      <c r="E15" s="7" t="inlineStr">
        <is>
          <t>Year 4</t>
        </is>
      </c>
      <c r="F15" s="7" t="inlineStr">
        <is>
          <t>Year 5</t>
        </is>
      </c>
    </row>
    <row r="16">
      <c r="A16" t="inlineStr">
        <is>
          <t>FCF Growth Rate</t>
        </is>
      </c>
      <c r="B16" s="6" t="n">
        <v>0</v>
      </c>
      <c r="C16" s="6" t="n">
        <v>-0.01</v>
      </c>
      <c r="D16" s="6" t="n">
        <v>-0.01</v>
      </c>
      <c r="E16" s="6" t="n">
        <v>0</v>
      </c>
      <c r="F16" s="6" t="n">
        <v>0</v>
      </c>
    </row>
    <row r="18">
      <c r="A18" s="3" t="inlineStr">
        <is>
          <t>PROJECTIONS</t>
        </is>
      </c>
    </row>
    <row r="19">
      <c r="A19" s="7" t="n"/>
      <c r="B19" s="7" t="inlineStr">
        <is>
          <t>Base</t>
        </is>
      </c>
      <c r="C19" s="7" t="inlineStr">
        <is>
          <t>Year 1</t>
        </is>
      </c>
      <c r="D19" s="7" t="inlineStr">
        <is>
          <t>Year 2</t>
        </is>
      </c>
      <c r="E19" s="7" t="inlineStr">
        <is>
          <t>Year 3</t>
        </is>
      </c>
      <c r="F19" s="7" t="inlineStr">
        <is>
          <t>Year 4</t>
        </is>
      </c>
      <c r="G19" s="7" t="inlineStr">
        <is>
          <t>Year 5</t>
        </is>
      </c>
    </row>
    <row r="20">
      <c r="A20" t="inlineStr">
        <is>
          <t>Free Cash Flow</t>
        </is>
      </c>
      <c r="B20" s="5">
        <f>B10</f>
        <v/>
      </c>
      <c r="C20" s="5">
        <f>B20*(1+B16)</f>
        <v/>
      </c>
      <c r="D20" s="5">
        <f>C20*(1+C16)</f>
        <v/>
      </c>
      <c r="E20" s="5">
        <f>D20*(1+D16)</f>
        <v/>
      </c>
      <c r="F20" s="5">
        <f>E20*(1+E16)</f>
        <v/>
      </c>
      <c r="G20" s="5">
        <f>F20*(1+F16)</f>
        <v/>
      </c>
    </row>
    <row r="21">
      <c r="A21" t="inlineStr">
        <is>
          <t>Discount Factor</t>
        </is>
      </c>
      <c r="C21" s="5">
        <f>1/(1+$B$12)^1</f>
        <v/>
      </c>
      <c r="D21" s="5">
        <f>1/(1+$B$12)^2</f>
        <v/>
      </c>
      <c r="E21" s="5">
        <f>1/(1+$B$12)^3</f>
        <v/>
      </c>
      <c r="F21" s="5">
        <f>1/(1+$B$12)^4</f>
        <v/>
      </c>
      <c r="G21" s="5">
        <f>1/(1+$B$12)^5</f>
        <v/>
      </c>
    </row>
    <row r="22">
      <c r="A22" t="inlineStr">
        <is>
          <t>PV of FCF</t>
        </is>
      </c>
      <c r="C22" s="5">
        <f>C20*C21</f>
        <v/>
      </c>
      <c r="D22" s="5">
        <f>D20*D21</f>
        <v/>
      </c>
      <c r="E22" s="5">
        <f>E20*E21</f>
        <v/>
      </c>
      <c r="F22" s="5">
        <f>F20*F21</f>
        <v/>
      </c>
      <c r="G22" s="5">
        <f>G20*G21</f>
        <v/>
      </c>
    </row>
    <row r="24">
      <c r="A24" s="3" t="inlineStr">
        <is>
          <t>VALUATION</t>
        </is>
      </c>
    </row>
    <row r="25">
      <c r="A25" t="inlineStr">
        <is>
          <t>Sum of PV of FCF</t>
        </is>
      </c>
      <c r="B25" s="5">
        <f>SUM(C22:G22)</f>
        <v/>
      </c>
    </row>
    <row r="26">
      <c r="A26" t="inlineStr">
        <is>
          <t>Terminal FCF (Year 5 * (1+g))</t>
        </is>
      </c>
      <c r="B26" s="5">
        <f>G20*(1+$B$13)</f>
        <v/>
      </c>
    </row>
    <row r="27">
      <c r="A27" t="inlineStr">
        <is>
          <t>Terminal Value</t>
        </is>
      </c>
      <c r="B27" s="5">
        <f>B26/($B$12-$B$13)</f>
        <v/>
      </c>
    </row>
    <row r="28">
      <c r="A28" t="inlineStr">
        <is>
          <t>PV of Terminal Value</t>
        </is>
      </c>
      <c r="B28" s="5">
        <f>B27*G21</f>
        <v/>
      </c>
    </row>
    <row r="29">
      <c r="A29" t="inlineStr">
        <is>
          <t>Enterprise Value</t>
        </is>
      </c>
      <c r="B29" s="5">
        <f>B25+B28</f>
        <v/>
      </c>
    </row>
    <row r="30">
      <c r="A30" t="inlineStr">
        <is>
          <t>Less: Net Debt</t>
        </is>
      </c>
      <c r="B30" s="5">
        <f>B9</f>
        <v/>
      </c>
    </row>
    <row r="31">
      <c r="A31" t="inlineStr">
        <is>
          <t>Equity Value</t>
        </is>
      </c>
      <c r="B31" s="5">
        <f>B29-B30</f>
        <v/>
      </c>
    </row>
    <row r="32">
      <c r="A32" s="8" t="inlineStr">
        <is>
          <t>INTRINSIC VALUE/SHARE</t>
        </is>
      </c>
      <c r="B32" s="9">
        <f>B31/B6</f>
        <v/>
      </c>
    </row>
    <row r="34">
      <c r="A34" s="3" t="inlineStr">
        <is>
          <t>ENTRY PRICE (15% CAGR Target)</t>
        </is>
      </c>
    </row>
    <row r="35">
      <c r="A35" t="inlineStr">
        <is>
          <t>Terminal Value per Share</t>
        </is>
      </c>
      <c r="B35" s="10">
        <f>B27/B6</f>
        <v/>
      </c>
    </row>
    <row r="36">
      <c r="A36" t="inlineStr">
        <is>
          <t>Entry Price (15% CAGR)</t>
        </is>
      </c>
      <c r="B36" s="9">
        <f>B35/(1.15^5)</f>
        <v/>
      </c>
    </row>
    <row r="38">
      <c r="A38" t="inlineStr">
        <is>
          <t>Upside to IV</t>
        </is>
      </c>
      <c r="B38" s="11">
        <f>(B32-B5)/B5</f>
        <v/>
      </c>
    </row>
    <row r="39">
      <c r="A39" t="inlineStr">
        <is>
          <t>Upside to Entry Price</t>
        </is>
      </c>
      <c r="B39" s="11">
        <f>(B5-B36)/B5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.7109375" customWidth="1" min="1" max="1"/>
    <col width="12.7109375" customWidth="1" min="2" max="7"/>
  </cols>
  <sheetData>
    <row r="1">
      <c r="A1" s="1" t="inlineStr">
        <is>
          <t>Sensitivity Analysis</t>
        </is>
      </c>
    </row>
    <row r="2">
      <c r="A2" t="inlineStr">
        <is>
          <t>Intrinsic Value by WACC &amp; Terminal Growth</t>
        </is>
      </c>
    </row>
    <row r="4">
      <c r="A4" s="7" t="inlineStr">
        <is>
          <t>WACC \ Term G</t>
        </is>
      </c>
      <c r="B4" s="12" t="n">
        <v>0.01</v>
      </c>
      <c r="C4" s="12" t="n">
        <v>0.015</v>
      </c>
      <c r="D4" s="12" t="n">
        <v>0.02</v>
      </c>
      <c r="E4" s="12" t="n">
        <v>0.025</v>
      </c>
      <c r="F4" s="12" t="n">
        <v>0.03</v>
      </c>
    </row>
    <row r="5">
      <c r="A5" s="12" t="n">
        <v>0.07000000000000001</v>
      </c>
      <c r="B5" s="10">
        <f>('DCF Model'!$B$10*(1+'DCF Model'!$B$16)*(1+'DCF Model'!$C$16)*(1+'DCF Model'!$D$16)*(1+'DCF Model'!$E$16)*(1+'DCF Model'!$F$16)*(1+0.01)/(0.07-0.01))/(1+0.07)^5/'DCF Model'!$B$6+('DCF Model'!B25-'DCF Model'!B9)/'DCF Model'!$B$6</f>
        <v/>
      </c>
      <c r="C5" s="10">
        <f>('DCF Model'!$B$10*(1+'DCF Model'!$B$16)*(1+'DCF Model'!$C$16)*(1+'DCF Model'!$D$16)*(1+'DCF Model'!$E$16)*(1+'DCF Model'!$F$16)*(1+0.015)/(0.07-0.015))/(1+0.07)^5/'DCF Model'!$B$6+('DCF Model'!B25-'DCF Model'!B9)/'DCF Model'!$B$6</f>
        <v/>
      </c>
      <c r="D5" s="10">
        <f>('DCF Model'!$B$10*(1+'DCF Model'!$B$16)*(1+'DCF Model'!$C$16)*(1+'DCF Model'!$D$16)*(1+'DCF Model'!$E$16)*(1+'DCF Model'!$F$16)*(1+0.02)/(0.07-0.02))/(1+0.07)^5/'DCF Model'!$B$6+('DCF Model'!B25-'DCF Model'!B9)/'DCF Model'!$B$6</f>
        <v/>
      </c>
      <c r="E5" s="10">
        <f>('DCF Model'!$B$10*(1+'DCF Model'!$B$16)*(1+'DCF Model'!$C$16)*(1+'DCF Model'!$D$16)*(1+'DCF Model'!$E$16)*(1+'DCF Model'!$F$16)*(1+0.025)/(0.07-0.025))/(1+0.07)^5/'DCF Model'!$B$6+('DCF Model'!B25-'DCF Model'!B9)/'DCF Model'!$B$6</f>
        <v/>
      </c>
      <c r="F5" s="10">
        <f>('DCF Model'!$B$10*(1+'DCF Model'!$B$16)*(1+'DCF Model'!$C$16)*(1+'DCF Model'!$D$16)*(1+'DCF Model'!$E$16)*(1+'DCF Model'!$F$16)*(1+0.03)/(0.07-0.03))/(1+0.07)^5/'DCF Model'!$B$6+('DCF Model'!B25-'DCF Model'!B9)/'DCF Model'!$B$6</f>
        <v/>
      </c>
    </row>
    <row r="6">
      <c r="A6" s="12" t="n">
        <v>0.08</v>
      </c>
      <c r="B6" s="10">
        <f>('DCF Model'!$B$10*(1+'DCF Model'!$B$16)*(1+'DCF Model'!$C$16)*(1+'DCF Model'!$D$16)*(1+'DCF Model'!$E$16)*(1+'DCF Model'!$F$16)*(1+0.01)/(0.08-0.01))/(1+0.08)^5/'DCF Model'!$B$6+('DCF Model'!B25-'DCF Model'!B9)/'DCF Model'!$B$6</f>
        <v/>
      </c>
      <c r="C6" s="10">
        <f>('DCF Model'!$B$10*(1+'DCF Model'!$B$16)*(1+'DCF Model'!$C$16)*(1+'DCF Model'!$D$16)*(1+'DCF Model'!$E$16)*(1+'DCF Model'!$F$16)*(1+0.015)/(0.08-0.015))/(1+0.08)^5/'DCF Model'!$B$6+('DCF Model'!B25-'DCF Model'!B9)/'DCF Model'!$B$6</f>
        <v/>
      </c>
      <c r="D6" s="10">
        <f>('DCF Model'!$B$10*(1+'DCF Model'!$B$16)*(1+'DCF Model'!$C$16)*(1+'DCF Model'!$D$16)*(1+'DCF Model'!$E$16)*(1+'DCF Model'!$F$16)*(1+0.02)/(0.08-0.02))/(1+0.08)^5/'DCF Model'!$B$6+('DCF Model'!B25-'DCF Model'!B9)/'DCF Model'!$B$6</f>
        <v/>
      </c>
      <c r="E6" s="10">
        <f>('DCF Model'!$B$10*(1+'DCF Model'!$B$16)*(1+'DCF Model'!$C$16)*(1+'DCF Model'!$D$16)*(1+'DCF Model'!$E$16)*(1+'DCF Model'!$F$16)*(1+0.025)/(0.08-0.025))/(1+0.08)^5/'DCF Model'!$B$6+('DCF Model'!B25-'DCF Model'!B9)/'DCF Model'!$B$6</f>
        <v/>
      </c>
      <c r="F6" s="10">
        <f>('DCF Model'!$B$10*(1+'DCF Model'!$B$16)*(1+'DCF Model'!$C$16)*(1+'DCF Model'!$D$16)*(1+'DCF Model'!$E$16)*(1+'DCF Model'!$F$16)*(1+0.03)/(0.08-0.03))/(1+0.08)^5/'DCF Model'!$B$6+('DCF Model'!B25-'DCF Model'!B9)/'DCF Model'!$B$6</f>
        <v/>
      </c>
    </row>
    <row r="7">
      <c r="A7" s="12" t="n">
        <v>0.09</v>
      </c>
      <c r="B7" s="10">
        <f>('DCF Model'!$B$10*(1+'DCF Model'!$B$16)*(1+'DCF Model'!$C$16)*(1+'DCF Model'!$D$16)*(1+'DCF Model'!$E$16)*(1+'DCF Model'!$F$16)*(1+0.01)/(0.09-0.01))/(1+0.09)^5/'DCF Model'!$B$6+('DCF Model'!B25-'DCF Model'!B9)/'DCF Model'!$B$6</f>
        <v/>
      </c>
      <c r="C7" s="10">
        <f>('DCF Model'!$B$10*(1+'DCF Model'!$B$16)*(1+'DCF Model'!$C$16)*(1+'DCF Model'!$D$16)*(1+'DCF Model'!$E$16)*(1+'DCF Model'!$F$16)*(1+0.015)/(0.09-0.015))/(1+0.09)^5/'DCF Model'!$B$6+('DCF Model'!B25-'DCF Model'!B9)/'DCF Model'!$B$6</f>
        <v/>
      </c>
      <c r="D7" s="10">
        <f>('DCF Model'!$B$10*(1+'DCF Model'!$B$16)*(1+'DCF Model'!$C$16)*(1+'DCF Model'!$D$16)*(1+'DCF Model'!$E$16)*(1+'DCF Model'!$F$16)*(1+0.02)/(0.09-0.02))/(1+0.09)^5/'DCF Model'!$B$6+('DCF Model'!B25-'DCF Model'!B9)/'DCF Model'!$B$6</f>
        <v/>
      </c>
      <c r="E7" s="10">
        <f>('DCF Model'!$B$10*(1+'DCF Model'!$B$16)*(1+'DCF Model'!$C$16)*(1+'DCF Model'!$D$16)*(1+'DCF Model'!$E$16)*(1+'DCF Model'!$F$16)*(1+0.025)/(0.09-0.025))/(1+0.09)^5/'DCF Model'!$B$6+('DCF Model'!B25-'DCF Model'!B9)/'DCF Model'!$B$6</f>
        <v/>
      </c>
      <c r="F7" s="10">
        <f>('DCF Model'!$B$10*(1+'DCF Model'!$B$16)*(1+'DCF Model'!$C$16)*(1+'DCF Model'!$D$16)*(1+'DCF Model'!$E$16)*(1+'DCF Model'!$F$16)*(1+0.03)/(0.09-0.03))/(1+0.09)^5/'DCF Model'!$B$6+('DCF Model'!B25-'DCF Model'!B9)/'DCF Model'!$B$6</f>
        <v/>
      </c>
    </row>
    <row r="8">
      <c r="A8" s="12" t="n">
        <v>0.1</v>
      </c>
      <c r="B8" s="10">
        <f>('DCF Model'!$B$10*(1+'DCF Model'!$B$16)*(1+'DCF Model'!$C$16)*(1+'DCF Model'!$D$16)*(1+'DCF Model'!$E$16)*(1+'DCF Model'!$F$16)*(1+0.01)/(0.1-0.01))/(1+0.1)^5/'DCF Model'!$B$6+('DCF Model'!B25-'DCF Model'!B9)/'DCF Model'!$B$6</f>
        <v/>
      </c>
      <c r="C8" s="10">
        <f>('DCF Model'!$B$10*(1+'DCF Model'!$B$16)*(1+'DCF Model'!$C$16)*(1+'DCF Model'!$D$16)*(1+'DCF Model'!$E$16)*(1+'DCF Model'!$F$16)*(1+0.015)/(0.1-0.015))/(1+0.1)^5/'DCF Model'!$B$6+('DCF Model'!B25-'DCF Model'!B9)/'DCF Model'!$B$6</f>
        <v/>
      </c>
      <c r="D8" s="10">
        <f>('DCF Model'!$B$10*(1+'DCF Model'!$B$16)*(1+'DCF Model'!$C$16)*(1+'DCF Model'!$D$16)*(1+'DCF Model'!$E$16)*(1+'DCF Model'!$F$16)*(1+0.02)/(0.1-0.02))/(1+0.1)^5/'DCF Model'!$B$6+('DCF Model'!B25-'DCF Model'!B9)/'DCF Model'!$B$6</f>
        <v/>
      </c>
      <c r="E8" s="10">
        <f>('DCF Model'!$B$10*(1+'DCF Model'!$B$16)*(1+'DCF Model'!$C$16)*(1+'DCF Model'!$D$16)*(1+'DCF Model'!$E$16)*(1+'DCF Model'!$F$16)*(1+0.025)/(0.1-0.025))/(1+0.1)^5/'DCF Model'!$B$6+('DCF Model'!B25-'DCF Model'!B9)/'DCF Model'!$B$6</f>
        <v/>
      </c>
      <c r="F8" s="10">
        <f>('DCF Model'!$B$10*(1+'DCF Model'!$B$16)*(1+'DCF Model'!$C$16)*(1+'DCF Model'!$D$16)*(1+'DCF Model'!$E$16)*(1+'DCF Model'!$F$16)*(1+0.03)/(0.1-0.03))/(1+0.1)^5/'DCF Model'!$B$6+('DCF Model'!B25-'DCF Model'!B9)/'DCF Model'!$B$6</f>
        <v/>
      </c>
    </row>
    <row r="9">
      <c r="A9" s="12" t="n">
        <v>0.11</v>
      </c>
      <c r="B9" s="10">
        <f>('DCF Model'!$B$10*(1+'DCF Model'!$B$16)*(1+'DCF Model'!$C$16)*(1+'DCF Model'!$D$16)*(1+'DCF Model'!$E$16)*(1+'DCF Model'!$F$16)*(1+0.01)/(0.11-0.01))/(1+0.11)^5/'DCF Model'!$B$6+('DCF Model'!B25-'DCF Model'!B9)/'DCF Model'!$B$6</f>
        <v/>
      </c>
      <c r="C9" s="10">
        <f>('DCF Model'!$B$10*(1+'DCF Model'!$B$16)*(1+'DCF Model'!$C$16)*(1+'DCF Model'!$D$16)*(1+'DCF Model'!$E$16)*(1+'DCF Model'!$F$16)*(1+0.015)/(0.11-0.015))/(1+0.11)^5/'DCF Model'!$B$6+('DCF Model'!B25-'DCF Model'!B9)/'DCF Model'!$B$6</f>
        <v/>
      </c>
      <c r="D9" s="10">
        <f>('DCF Model'!$B$10*(1+'DCF Model'!$B$16)*(1+'DCF Model'!$C$16)*(1+'DCF Model'!$D$16)*(1+'DCF Model'!$E$16)*(1+'DCF Model'!$F$16)*(1+0.02)/(0.11-0.02))/(1+0.11)^5/'DCF Model'!$B$6+('DCF Model'!B25-'DCF Model'!B9)/'DCF Model'!$B$6</f>
        <v/>
      </c>
      <c r="E9" s="10">
        <f>('DCF Model'!$B$10*(1+'DCF Model'!$B$16)*(1+'DCF Model'!$C$16)*(1+'DCF Model'!$D$16)*(1+'DCF Model'!$E$16)*(1+'DCF Model'!$F$16)*(1+0.025)/(0.11-0.025))/(1+0.11)^5/'DCF Model'!$B$6+('DCF Model'!B25-'DCF Model'!B9)/'DCF Model'!$B$6</f>
        <v/>
      </c>
      <c r="F9" s="10">
        <f>('DCF Model'!$B$10*(1+'DCF Model'!$B$16)*(1+'DCF Model'!$C$16)*(1+'DCF Model'!$D$16)*(1+'DCF Model'!$E$16)*(1+'DCF Model'!$F$16)*(1+0.03)/(0.11-0.03))/(1+0.11)^5/'DCF Model'!$B$6+('DCF Model'!B25-'DCF Model'!B9)/'DCF Model'!$B$6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.7109375" customWidth="1" min="1" max="1"/>
    <col width="15.7109375" customWidth="1" min="2" max="3"/>
  </cols>
  <sheetData>
    <row r="1">
      <c r="A1" s="1" t="inlineStr">
        <is>
          <t>Historical Growth Rates</t>
        </is>
      </c>
    </row>
    <row r="3">
      <c r="A3" s="7" t="inlineStr">
        <is>
          <t>Metric</t>
        </is>
      </c>
      <c r="B3" s="7" t="inlineStr">
        <is>
          <t>3-Year CAGR</t>
        </is>
      </c>
      <c r="C3" s="7" t="inlineStr">
        <is>
          <t>5-Year CAGR</t>
        </is>
      </c>
    </row>
    <row r="4">
      <c r="A4" t="inlineStr">
        <is>
          <t>Revenue</t>
        </is>
      </c>
      <c r="B4" s="11" t="n">
        <v>-0.002</v>
      </c>
      <c r="C4" s="11" t="n">
        <v>-0.002</v>
      </c>
    </row>
    <row r="5">
      <c r="A5" t="inlineStr">
        <is>
          <t>EPS</t>
        </is>
      </c>
      <c r="B5" s="11" t="n">
        <v>-0.173</v>
      </c>
      <c r="C5" s="11" t="n">
        <v>-0.095</v>
      </c>
    </row>
    <row r="6">
      <c r="A6" t="inlineStr">
        <is>
          <t>Equity</t>
        </is>
      </c>
      <c r="B6" s="11" t="n">
        <v>-0.002</v>
      </c>
      <c r="C6" s="11" t="n">
        <v>0.008999999999999999</v>
      </c>
    </row>
    <row r="7">
      <c r="A7" t="inlineStr">
        <is>
          <t>FCF</t>
        </is>
      </c>
      <c r="B7" s="11" t="n">
        <v>-0.124</v>
      </c>
      <c r="C7" s="11" t="n">
        <v>-0.029</v>
      </c>
    </row>
    <row r="9">
      <c r="A9" s="8" t="inlineStr">
        <is>
          <t>Selected Growth Rate:</t>
        </is>
      </c>
      <c r="B9" s="11" t="n">
        <v>-0.004</v>
      </c>
    </row>
    <row r="10">
      <c r="A10" t="inlineStr">
        <is>
          <t>Source:</t>
        </is>
      </c>
      <c r="B10" t="inlineStr">
        <is>
          <t>blended_revenue_decline_offset_by_cost_out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2026-02-02T20:28:13Z</dcterms:created>
  <dcterms:modified xsi:type="dcterms:W3CDTF">2026-06-30T05:58:51Z</dcterms:modified>
</cp:coreProperties>
</file>