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<sst xmlns="http://schemas.openxmlformats.org/spreadsheetml/2006/main" count="357" uniqueCount="164">
  <si>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</si>
  <si>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0006.HK</t>
  </si>
  <si>
    <t xml:space="preserve">Company</t>
  </si>
  <si>
    <t xml:space="preserve">Power Assets Holdings Limited</t>
  </si>
  <si>
    <t xml:space="preserve">Valuation date</t>
  </si>
  <si>
    <t xml:space="preserve">2026-09-26</t>
  </si>
  <si>
    <t xml:space="preserve">Current price</t>
  </si>
  <si>
    <t xml:space="preserve">Price as of</t>
  </si>
  <si>
    <t xml:space="preserve">2026-09-25T08:08:12Z (Yahoo regularMarketPrice, HKEX regular close); 52-week range 48.62-67.05</t>
  </si>
  <si>
    <t xml:space="preserve">Balance sheet date</t>
  </si>
  <si>
    <t xml:space="preserve">2026-06-30</t>
  </si>
  <si>
    <t xml:space="preserve">Model</t>
  </si>
  <si>
    <t xml:space="preserve">Distributable cash from JV/associate portfolio, capitalised at cost of equity (engine route; investment-holding company)</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</si>
  <si>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</si>
  <si>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</si>
  <si>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</si>
  <si>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</si>
  <si>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</si>
  <si>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</si>
  <si>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</si>
  <si>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</si>
  <si>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2026-09-25T17:19:57Z</t>
  </si>
  <si>
    <t xml:space="preserve">Drivers file</t>
  </si>
  <si>
    <t xml:space="preserve">0006.HK_Drivers.json</t>
  </si>
  <si>
    <t xml:space="preserve">Convention</t>
  </si>
  <si>
    <t xml:space="preserve">Percents stored as percents; formulas divide by 100. Blue = input, green = link, black = formula.</t>
  </si>
  <si>
    <t xml:space="preserve">Methodology</t>
  </si>
  <si>
    <t xml:space="preserve">summary: Power Assets is valued on the cash it actually receives from its JV/associate portfolio -- dividends plus shareholder-loan interest -- capitalised at the HKD cost of equity, because that flow is already net of financing (there is no further debt layer to apply at the parent) and because the group's own accounting profit (equity-accounted share of JV earnings, much of it retained at the JV level rather than distributed) is not the same as cash available to Power Assets shareholders. The UK Power Networks sale (completed May 2026, HK$44.8bn cash, HK$11.3bn accounting gain) is treated as a one-off balance-sheet event, not a run-rate: the resulting HK$42,505m net cash is added once at face value via the equity bridge, and the projected flow excludes both the disposal gain and UKPN's future contribution, replacing FY2025's pre-sale distributable cash of HK$5,208m with a haircut base year that removes UKPN and then grows modestly from the remaining, still-regulated portfolio. This is deliberately conservative on two fronts: the net cash is not assumed to be redeployed at above-market returns (it is added at face value, not compounded), and the reinvestment path assumes only a modest, rising share of ongoing cash flow is deployed into new acquisitions, consistent with management's own stated lack of a committed pipeline or timeline as of the H1 2026 results.
key_risks_to_valuation: UKPN-only split of the UK segment's HK$3,210m FY2025 profit contribution was not separately disclosed; the -14%/-16%/-22% year-1 haircuts across bull/base/bear bound rather than pin down this figure, and it is the single largest driver of the valuation spread between scenarios.; Capital allocation of the HK$42.5bn net cash is entirely undetermined as of H1 2026 (no committed special dividend or acquisition pipeline); the model is deliberately agnostic between the two uses by adding the cash at face value rather than assuming either path, but a value-destructive deployment (overpaying for an acquisition) or a prolonged idle-cash period would both be worse than this valuation assumes, while a well-timed special dividend or accretive deal would not itself change the intrinsic value (cash converts to cash or to an equally-valued asset) but WOULD change the realised return timeline for shareholders.; Discount rate: the flow is terminal-heavy at an 8.0% cost of equity typical of a capitalised annuity-style model; a 1pp move in the discount rate has an outsized effect on the recurring-flow component (though the HK$42.5bn cash floor is discount-rate-invariant, providing a partial valuation cushion).; Nearly all profit and cash flow depends on regulator goodwill across multiple jurisdictions (Ofgem, AER/ESCOSA, HK Scheme of Control); the base case assumes the already-flagged favourable resets (NGN/WWU, SA Power Networks, VPN/UE) materialise roughly as disclosed, and any clawback or adverse surprise (as UKPN itself experienced in FY2025) would compress the recurring flow further.; Currency translation: results are earned in GBP/AUD/CAD/NZD/EUR/THB/RMB and consolidated in HKD; this model does not separately stress FX, relying instead on the historical distributable-cash series (which already embeds realised FX effects) as the base.</t>
  </si>
  <si>
    <t xml:space="preserve">Data sources</t>
  </si>
  <si>
    <t xml:space="preserve">price: Yahoo Finance v8 chart API at inputs.price_as_of.
financials: 0006.HK_Metrics.csv / core_metrics and kpis (FY2017-FY2025 + H1 FY2026); 0006.HK_Annual_FY2025.txt segment commentary (UK/Australia/HK Electric profit contributions), balance sheet and note 12 (no share option scheme); 0006.HK_HalfYear_H1-2026.txt balance sheet (cash, bank loans, net assets) and UKPN disposal notes.
qualitative: 0006.HK_Analysis.json (2026-09-26); FY2025 Annual Report business review and H1 2026 Interim Results commentary on the UKPN/UK Rails disposals and capital-allocation stance.</t>
  </si>
  <si>
    <t xml:space="preserve">Scenario narrative: bear</t>
  </si>
  <si>
    <t xml:space="preserve">UKPN's loss turns out to have been a larger share of the UK book than the base case assumes, the net cash sits largely idle for an extended period earning only deposit yields while heightened UK/Australian foreign-investment screening slows new deal-making, the structural decline in shareholder-loan interest continues, and one or more of the pending regulatory determinations disappoints (as UKPN's own FY2025 result did, from prior inflation-recovery unwinding). No solvency risk -- this is a stagnant, cash-heavy balance sheet earning a low return on the idle portion, not a survival case.</t>
  </si>
  <si>
    <t xml:space="preserve">Scenario narrative: base</t>
  </si>
  <si>
    <t xml:space="preserve">Power Assets loses UKPN's recurring contribution from FY2026 (a judgemental haircut on the FY2025 base) but the remaining portfolio -- HK Electric, the residual UK gas networks (NGN, WWU, Seabank, Phoenix), and a growing Australian book (SA Power Networks, VPN/UE, AGN, Dampier Bunbury) -- grows modestly as new regulatory price-control periods with higher allowed returns come into effect through FY2026-2027. Management deploys only a modest, rising share of ongoing cash flow into new stakes (no committed pipeline as of H1 2026), so most of the recurring flow continues to be distributed as dividends. The HK$42.5bn net cash from the UKPN sale sits separately as a real balance-sheet asset, added once at face value rather than assumed to be redeployed at above-market returns.</t>
  </si>
  <si>
    <t xml:space="preserve">Scenario narrative: bull</t>
  </si>
  <si>
    <t xml:space="preserve">UKPN's loss turns out to have been a smaller share of the UK book than the base case assumes, the remaining regulated portfolio benefits fully from the new price-control periods and from AI/data-centre and EV-driven demand growth cited by management, and the enlarged net-cash position is deployed faster and more successfully into new accretive regulated-infrastructure stakes in partnership with CKI/CKA -- exactly the strategy management has articulated but not yet executed or timed.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</si>
  <si>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</si>
  <si>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</si>
  <si>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</si>
  <si>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</si>
  <si>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</si>
  <si>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</si>
  <si>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</si>
  <si>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</si>
  <si>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</si>
  <si>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</si>
  <si>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</si>
  <si>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</si>
  <si>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</si>
  <si>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</si>
  <si>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</si>
  <si>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</si>
  <si>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</si>
  <si>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</si>
  <si>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</si>
  <si>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</si>
  <si>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</si>
  <si>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</si>
  <si>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</si>
  <si>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</si>
  <si>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</si>
  <si>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</si>
  <si>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</si>
  <si>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</si>
  <si>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</si>
  <si>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</si>
  <si>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</si>
  <si>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</si>
  <si>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</si>
  <si>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</si>
  <si>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</si>
  <si>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</si>
  <si>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</si>
  <si>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</si>
  <si>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</si>
  <si>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</si>
  <si>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</si>
  <si>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</si>
  <si>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</si>
  <si>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</si>
  <si>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</si>
  <si>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</si>
  <si>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</si>
  <si>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</si>
  <si>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</si>
  <si>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</si>
  <si>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</si>
  <si>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</si>
  <si>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</si>
  <si>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</si>
  <si>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</si>
  <si>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</si>
  <si>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</si>
  <si>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</si>
  <si>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</si>
  <si>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</si>
  <si>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</si>
  <si>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</si>
  <si>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</si>
  <si>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</si>
  <si>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</si>
  <si>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</si>
  <si>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</si>
  <si>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</si>
  <si>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</si>
  <si>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</si>
  <si>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</si>
  <si>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</si>
  <si>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</si>
  <si>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0006.HK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</si>
  <si>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</si>
  <si>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</si>
  <si>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</si>
  <si>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</si>
  <si>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</si>
  <si>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</si>
  <si>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</si>
  <si>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</si>
  <si>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</si>
  <si>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</si>
  <si>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</si>
  <si>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</si>
  <si>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</si>
  <si>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</si>
  <si>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</si>
  <si>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</si>
  <si>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</si>
  <si>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</si>
  <si>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</si>
  <si>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</si>
  <si>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</si>
  <si>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</si>
  <si>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</si>
  <si>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</si>
  <si>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</si>
  <si>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</si>
  <si>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</si>
  <si>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</si>
  <si>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</si>
  <si>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</si>
  <si>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0006.HK owner-FCF component DCF: base case (millions, HKD)</t>
  </si>
  <si>
    <t xml:space="preserve">0006.HK owner-FCF component DCF: bull case (millions, HKD)</t>
  </si>
  <si>
    <t xml:space="preserve">0006.HK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</si>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</sst>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59.15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1420</v>
      </c>
      <c r="F2" s="0" t="n">
        <v>2557</v>
      </c>
      <c r="G2" s="0" t="n">
        <v>180.1</v>
      </c>
      <c r="I2" s="0" t="n">
        <v>8319</v>
      </c>
      <c r="J2" s="0" t="n">
        <v>585.8</v>
      </c>
      <c r="K2" s="0" t="n">
        <v>3.9</v>
      </c>
      <c r="L2" s="0" t="n">
        <v>1113</v>
      </c>
      <c r="M2" s="0" t="n">
        <v>0</v>
      </c>
      <c r="N2" s="0" t="n">
        <v>1113</v>
      </c>
      <c r="O2" s="0" t="n">
        <v>95580</v>
      </c>
      <c r="R2" s="0" t="n">
        <v>7223</v>
      </c>
      <c r="S2" s="0" t="n">
        <v>25407</v>
      </c>
      <c r="T2" s="0" t="n">
        <v>2133.1</v>
      </c>
      <c r="AA2" s="0" t="s">
        <v>17</v>
      </c>
      <c r="AB2" s="0" t="s">
        <v>14</v>
      </c>
    </row>
    <row r="3" customFormat="false" ht="15" hidden="false" customHeight="false" outlineLevel="0" collapsed="false">
      <c r="A3" s="0" t="s">
        <v>64</v>
      </c>
      <c r="B3" s="0" t="n">
        <v>1555</v>
      </c>
      <c r="F3" s="0" t="n">
        <v>1528</v>
      </c>
      <c r="G3" s="0" t="n">
        <v>98.3</v>
      </c>
      <c r="I3" s="0" t="n">
        <v>7636</v>
      </c>
      <c r="J3" s="0" t="n">
        <v>491.1</v>
      </c>
      <c r="K3" s="0" t="n">
        <v>3.58</v>
      </c>
      <c r="L3" s="0" t="n">
        <v>2555</v>
      </c>
      <c r="M3" s="0" t="n">
        <v>1</v>
      </c>
      <c r="N3" s="0" t="n">
        <v>2554</v>
      </c>
      <c r="O3" s="0" t="n">
        <v>83557</v>
      </c>
      <c r="R3" s="0" t="n">
        <v>3437</v>
      </c>
      <c r="S3" s="0" t="n">
        <v>5229</v>
      </c>
      <c r="T3" s="0" t="n">
        <v>2133</v>
      </c>
      <c r="AA3" s="0" t="s">
        <v>17</v>
      </c>
      <c r="AB3" s="0" t="s">
        <v>14</v>
      </c>
    </row>
    <row r="4" customFormat="false" ht="15" hidden="false" customHeight="false" outlineLevel="0" collapsed="false">
      <c r="A4" s="0" t="s">
        <v>65</v>
      </c>
      <c r="B4" s="0" t="n">
        <v>1348</v>
      </c>
      <c r="F4" s="0" t="n">
        <v>1760</v>
      </c>
      <c r="G4" s="0" t="n">
        <v>130.6</v>
      </c>
      <c r="I4" s="0" t="n">
        <v>7131</v>
      </c>
      <c r="J4" s="0" t="n">
        <v>529</v>
      </c>
      <c r="K4" s="0" t="n">
        <v>3.34</v>
      </c>
      <c r="L4" s="0" t="n">
        <v>1849</v>
      </c>
      <c r="M4" s="0" t="n">
        <v>0</v>
      </c>
      <c r="N4" s="0" t="n">
        <v>1849</v>
      </c>
      <c r="O4" s="0" t="n">
        <v>85492</v>
      </c>
      <c r="R4" s="0" t="n">
        <v>3324</v>
      </c>
      <c r="S4" s="0" t="n">
        <v>4876</v>
      </c>
      <c r="T4" s="0" t="n">
        <v>2135</v>
      </c>
      <c r="AA4" s="0" t="s">
        <v>17</v>
      </c>
      <c r="AB4" s="0" t="s">
        <v>14</v>
      </c>
    </row>
    <row r="5" customFormat="false" ht="15" hidden="false" customHeight="false" outlineLevel="0" collapsed="false">
      <c r="A5" s="0" t="s">
        <v>66</v>
      </c>
      <c r="B5" s="0" t="n">
        <v>1270</v>
      </c>
      <c r="F5" s="0" t="n">
        <v>1175</v>
      </c>
      <c r="G5" s="0" t="n">
        <v>92.5</v>
      </c>
      <c r="I5" s="0" t="n">
        <v>6132</v>
      </c>
      <c r="J5" s="0" t="n">
        <v>482.8</v>
      </c>
      <c r="K5" s="0" t="n">
        <v>2.87</v>
      </c>
      <c r="L5" s="0" t="n">
        <v>962</v>
      </c>
      <c r="M5" s="0" t="n">
        <v>2</v>
      </c>
      <c r="N5" s="0" t="n">
        <v>960</v>
      </c>
      <c r="O5" s="0" t="n">
        <v>84766</v>
      </c>
      <c r="R5" s="0" t="n">
        <v>3642</v>
      </c>
      <c r="S5" s="0" t="n">
        <v>5427</v>
      </c>
      <c r="T5" s="0" t="n">
        <v>2136.6</v>
      </c>
      <c r="AA5" s="0" t="s">
        <v>17</v>
      </c>
      <c r="AB5" s="0" t="s">
        <v>14</v>
      </c>
    </row>
    <row r="6" customFormat="false" ht="15" hidden="false" customHeight="false" outlineLevel="0" collapsed="false">
      <c r="A6" s="0" t="s">
        <v>67</v>
      </c>
      <c r="B6" s="0" t="n">
        <v>1276</v>
      </c>
      <c r="F6" s="0" t="n">
        <v>1501</v>
      </c>
      <c r="G6" s="0" t="n">
        <v>117.6</v>
      </c>
      <c r="I6" s="0" t="n">
        <v>6140</v>
      </c>
      <c r="J6" s="0" t="n">
        <v>481.2</v>
      </c>
      <c r="K6" s="0" t="n">
        <v>2.88</v>
      </c>
      <c r="L6" s="0" t="n">
        <v>939</v>
      </c>
      <c r="M6" s="0" t="n">
        <v>0</v>
      </c>
      <c r="N6" s="0" t="n">
        <v>939</v>
      </c>
      <c r="O6" s="0" t="n">
        <v>86767</v>
      </c>
      <c r="R6" s="0" t="n">
        <v>3436</v>
      </c>
      <c r="S6" s="0" t="n">
        <v>4610</v>
      </c>
      <c r="T6" s="0" t="n">
        <v>2131.9</v>
      </c>
      <c r="AA6" s="0" t="s">
        <v>17</v>
      </c>
      <c r="AB6" s="0" t="s">
        <v>14</v>
      </c>
    </row>
    <row r="7" customFormat="false" ht="15" hidden="false" customHeight="false" outlineLevel="0" collapsed="false">
      <c r="A7" s="0" t="s">
        <v>68</v>
      </c>
      <c r="B7" s="0" t="n">
        <v>1265</v>
      </c>
      <c r="F7" s="0" t="n">
        <v>1164</v>
      </c>
      <c r="G7" s="0" t="n">
        <v>92</v>
      </c>
      <c r="I7" s="0" t="n">
        <v>5649</v>
      </c>
      <c r="J7" s="0" t="n">
        <v>446.6</v>
      </c>
      <c r="K7" s="0" t="n">
        <v>2.65</v>
      </c>
      <c r="L7" s="0" t="n">
        <v>772</v>
      </c>
      <c r="M7" s="0" t="n">
        <v>1</v>
      </c>
      <c r="N7" s="0" t="n">
        <v>771</v>
      </c>
      <c r="O7" s="0" t="n">
        <v>86857</v>
      </c>
      <c r="R7" s="0" t="n">
        <v>3237</v>
      </c>
      <c r="S7" s="0" t="n">
        <v>5894</v>
      </c>
      <c r="T7" s="0" t="n">
        <v>2131.7</v>
      </c>
      <c r="AA7" s="0" t="s">
        <v>17</v>
      </c>
      <c r="AB7" s="0" t="s">
        <v>14</v>
      </c>
    </row>
    <row r="8" customFormat="false" ht="15" hidden="false" customHeight="false" outlineLevel="0" collapsed="false">
      <c r="A8" s="0" t="s">
        <v>69</v>
      </c>
      <c r="B8" s="0" t="n">
        <v>1292</v>
      </c>
      <c r="F8" s="0" t="n">
        <v>1131</v>
      </c>
      <c r="G8" s="0" t="n">
        <v>87.5</v>
      </c>
      <c r="I8" s="0" t="n">
        <v>6003</v>
      </c>
      <c r="J8" s="0" t="n">
        <v>464.6</v>
      </c>
      <c r="K8" s="0" t="n">
        <v>2.82</v>
      </c>
      <c r="L8" s="0" t="n">
        <v>1138</v>
      </c>
      <c r="M8" s="0" t="n">
        <v>2</v>
      </c>
      <c r="N8" s="0" t="n">
        <v>1136</v>
      </c>
      <c r="O8" s="0" t="n">
        <v>88752</v>
      </c>
      <c r="R8" s="0" t="n">
        <v>3098</v>
      </c>
      <c r="S8" s="0" t="n">
        <v>4201</v>
      </c>
      <c r="T8" s="0" t="n">
        <v>2128.7</v>
      </c>
      <c r="AA8" s="0" t="s">
        <v>17</v>
      </c>
      <c r="AB8" s="0" t="s">
        <v>14</v>
      </c>
    </row>
    <row r="9" customFormat="false" ht="15" hidden="false" customHeight="false" outlineLevel="0" collapsed="false">
      <c r="A9" s="0" t="s">
        <v>70</v>
      </c>
      <c r="B9" s="0" t="n">
        <v>919</v>
      </c>
      <c r="F9" s="0" t="n">
        <v>666</v>
      </c>
      <c r="G9" s="0" t="n">
        <v>72.5</v>
      </c>
      <c r="I9" s="0" t="n">
        <v>6119</v>
      </c>
      <c r="J9" s="0" t="n">
        <v>665.8</v>
      </c>
      <c r="K9" s="0" t="n">
        <v>2.87</v>
      </c>
      <c r="L9" s="0" t="n">
        <v>941</v>
      </c>
      <c r="M9" s="0" t="n">
        <v>0</v>
      </c>
      <c r="N9" s="0" t="n">
        <v>941</v>
      </c>
      <c r="O9" s="0" t="n">
        <v>87076</v>
      </c>
      <c r="R9" s="0" t="n">
        <v>2507</v>
      </c>
      <c r="S9" s="0" t="n">
        <v>2733</v>
      </c>
      <c r="T9" s="0" t="n">
        <v>2132.1</v>
      </c>
      <c r="AA9" s="0" t="s">
        <v>17</v>
      </c>
      <c r="AB9" s="0" t="s">
        <v>14</v>
      </c>
    </row>
    <row r="10" customFormat="false" ht="15" hidden="false" customHeight="false" outlineLevel="0" collapsed="false">
      <c r="A10" s="0" t="s">
        <v>71</v>
      </c>
      <c r="B10" s="0" t="n">
        <v>771</v>
      </c>
      <c r="F10" s="0" t="n">
        <v>540</v>
      </c>
      <c r="G10" s="0" t="n">
        <v>70</v>
      </c>
      <c r="I10" s="0" t="n">
        <v>6236</v>
      </c>
      <c r="J10" s="0" t="n">
        <v>808.8</v>
      </c>
      <c r="K10" s="0" t="n">
        <v>2.93</v>
      </c>
      <c r="L10" s="0" t="n">
        <v>884</v>
      </c>
      <c r="M10" s="0" t="n">
        <v>1</v>
      </c>
      <c r="N10" s="0" t="n">
        <v>883</v>
      </c>
      <c r="O10" s="0" t="n">
        <v>90725</v>
      </c>
      <c r="R10" s="0" t="n">
        <v>3319</v>
      </c>
      <c r="S10" s="0" t="n">
        <v>2531</v>
      </c>
      <c r="T10" s="0" t="n">
        <v>2128.3</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59.15</v>
      </c>
    </row>
    <row r="3" customFormat="false" ht="15" hidden="false" customHeight="false" outlineLevel="0" collapsed="false">
      <c r="A3" s="0" t="s">
        <v>75</v>
      </c>
      <c r="B3" s="3" t="n">
        <v>2131</v>
      </c>
    </row>
    <row r="4" customFormat="false" ht="15" hidden="false" customHeight="false" outlineLevel="0" collapsed="false">
      <c r="A4" s="0" t="s">
        <v>76</v>
      </c>
      <c r="B4" s="3" t="n">
        <v>0</v>
      </c>
    </row>
    <row r="5" customFormat="false" ht="15" hidden="false" customHeight="false" outlineLevel="0" collapsed="false">
      <c r="A5" s="0" t="s">
        <v>77</v>
      </c>
      <c r="B5" s="3" t="n">
        <v>42505</v>
      </c>
    </row>
    <row r="6" customFormat="false" ht="15" hidden="false" customHeight="false" outlineLevel="0" collapsed="false">
      <c r="A6" s="0" t="s">
        <v>78</v>
      </c>
      <c r="B6" s="3" t="n">
        <v>15</v>
      </c>
    </row>
    <row r="7" customFormat="false" ht="15" hidden="false" customHeight="false" outlineLevel="0" collapsed="false">
      <c r="A7" s="0" t="s">
        <v>79</v>
      </c>
      <c r="B7" s="3" t="n">
        <v>5208</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-22</v>
      </c>
      <c r="D13" s="3" t="n">
        <v>-2</v>
      </c>
      <c r="E13" s="3" t="n">
        <v>0</v>
      </c>
      <c r="F13" s="3" t="n">
        <v>1</v>
      </c>
      <c r="G13" s="3" t="n">
        <v>1.5</v>
      </c>
      <c r="H13" s="3" t="n">
        <v>1.5</v>
      </c>
      <c r="I13" s="3" t="n">
        <v>1.5</v>
      </c>
      <c r="J13" s="3" t="n">
        <v>1.5</v>
      </c>
      <c r="K13" s="3" t="n">
        <v>1.5</v>
      </c>
      <c r="L13" s="3" t="n">
        <v>1.5</v>
      </c>
    </row>
    <row r="14" customFormat="false" ht="15" hidden="false" customHeight="false" outlineLevel="0" collapsed="false">
      <c r="A14" s="0" t="s">
        <v>96</v>
      </c>
      <c r="C14" s="3" t="n">
        <v>95</v>
      </c>
      <c r="D14" s="3" t="n">
        <v>95</v>
      </c>
      <c r="E14" s="3" t="n">
        <v>95</v>
      </c>
      <c r="F14" s="3" t="n">
        <v>95</v>
      </c>
      <c r="G14" s="3" t="n">
        <v>95</v>
      </c>
      <c r="H14" s="3" t="n">
        <v>95</v>
      </c>
      <c r="I14" s="3" t="n">
        <v>95</v>
      </c>
      <c r="J14" s="3" t="n">
        <v>95</v>
      </c>
      <c r="K14" s="3" t="n">
        <v>95</v>
      </c>
      <c r="L14" s="3" t="n">
        <v>95</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0.2</v>
      </c>
      <c r="D17" s="3" t="n">
        <v>0.2</v>
      </c>
      <c r="E17" s="3" t="n">
        <v>0.2</v>
      </c>
      <c r="F17" s="3" t="n">
        <v>0.2</v>
      </c>
      <c r="G17" s="3" t="n">
        <v>0.2</v>
      </c>
      <c r="H17" s="3" t="n">
        <v>0.2</v>
      </c>
      <c r="I17" s="3" t="n">
        <v>0.2</v>
      </c>
      <c r="J17" s="3" t="n">
        <v>0.2</v>
      </c>
      <c r="K17" s="3" t="n">
        <v>0.2</v>
      </c>
      <c r="L17" s="3" t="n">
        <v>0.2</v>
      </c>
    </row>
    <row r="18" customFormat="false" ht="15" hidden="false" customHeight="false" outlineLevel="0" collapsed="false">
      <c r="A18" s="0" t="s">
        <v>100</v>
      </c>
      <c r="C18" s="3" t="n">
        <v>1</v>
      </c>
      <c r="D18" s="3" t="n">
        <v>1</v>
      </c>
      <c r="E18" s="3" t="n">
        <v>2</v>
      </c>
      <c r="F18" s="3" t="n">
        <v>2</v>
      </c>
      <c r="G18" s="3" t="n">
        <v>3</v>
      </c>
      <c r="H18" s="3" t="n">
        <v>3</v>
      </c>
      <c r="I18" s="3" t="n">
        <v>3</v>
      </c>
      <c r="J18" s="3" t="n">
        <v>3</v>
      </c>
      <c r="K18" s="3" t="n">
        <v>3</v>
      </c>
      <c r="L18" s="3" t="n">
        <v>3</v>
      </c>
    </row>
    <row r="19" customFormat="false" ht="15" hidden="false" customHeight="false" outlineLevel="0" collapsed="false">
      <c r="A19" s="0" t="s">
        <v>101</v>
      </c>
      <c r="C19" s="3" t="n">
        <v>4.5</v>
      </c>
      <c r="D19" s="3" t="n">
        <v>4.5</v>
      </c>
      <c r="E19" s="3" t="n">
        <v>4.5</v>
      </c>
      <c r="F19" s="3" t="n">
        <v>4.5</v>
      </c>
      <c r="G19" s="3" t="n">
        <v>4.5</v>
      </c>
      <c r="H19" s="3" t="n">
        <v>4.5</v>
      </c>
      <c r="I19" s="3" t="n">
        <v>4.5</v>
      </c>
      <c r="J19" s="3" t="n">
        <v>4.5</v>
      </c>
      <c r="K19" s="3" t="n">
        <v>4.5</v>
      </c>
      <c r="L19" s="3" t="n">
        <v>4.5</v>
      </c>
    </row>
    <row r="20" customFormat="false" ht="15" hidden="false" customHeight="false" outlineLevel="0" collapsed="false">
      <c r="A20" s="0" t="s">
        <v>102</v>
      </c>
      <c r="B20" s="3" t="n">
        <v>8.75</v>
      </c>
    </row>
    <row r="21" customFormat="false" ht="15" hidden="false" customHeight="false" outlineLevel="0" collapsed="false">
      <c r="A21" s="0" t="s">
        <v>103</v>
      </c>
      <c r="B21" s="3" t="n">
        <v>1.5</v>
      </c>
    </row>
    <row r="22" customFormat="false" ht="15" hidden="false" customHeight="false" outlineLevel="0" collapsed="false">
      <c r="A22" s="0" t="s">
        <v>104</v>
      </c>
      <c r="B22" s="3" t="n">
        <v>13</v>
      </c>
    </row>
    <row r="23" customFormat="false" ht="15" hidden="false" customHeight="false" outlineLevel="0" collapsed="false">
      <c r="A23" s="0" t="s">
        <v>105</v>
      </c>
      <c r="B23" s="3" t="n">
        <v>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-16</v>
      </c>
      <c r="D27" s="3" t="n">
        <v>4</v>
      </c>
      <c r="E27" s="3" t="n">
        <v>3.5</v>
      </c>
      <c r="F27" s="3" t="n">
        <v>3</v>
      </c>
      <c r="G27" s="3" t="n">
        <v>3</v>
      </c>
      <c r="H27" s="3" t="n">
        <v>2.5</v>
      </c>
      <c r="I27" s="3" t="n">
        <v>2.5</v>
      </c>
      <c r="J27" s="3" t="n">
        <v>2</v>
      </c>
      <c r="K27" s="3" t="n">
        <v>2</v>
      </c>
      <c r="L27" s="3" t="n">
        <v>2</v>
      </c>
    </row>
    <row r="28" customFormat="false" ht="15" hidden="false" customHeight="false" outlineLevel="0" collapsed="false">
      <c r="A28" s="0" t="s">
        <v>96</v>
      </c>
      <c r="C28" s="3" t="n">
        <v>96</v>
      </c>
      <c r="D28" s="3" t="n">
        <v>96</v>
      </c>
      <c r="E28" s="3" t="n">
        <v>96</v>
      </c>
      <c r="F28" s="3" t="n">
        <v>96</v>
      </c>
      <c r="G28" s="3" t="n">
        <v>96</v>
      </c>
      <c r="H28" s="3" t="n">
        <v>96</v>
      </c>
      <c r="I28" s="3" t="n">
        <v>96</v>
      </c>
      <c r="J28" s="3" t="n">
        <v>96</v>
      </c>
      <c r="K28" s="3" t="n">
        <v>96</v>
      </c>
      <c r="L28" s="3" t="n">
        <v>96</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0.2</v>
      </c>
      <c r="D31" s="3" t="n">
        <v>0.2</v>
      </c>
      <c r="E31" s="3" t="n">
        <v>0.2</v>
      </c>
      <c r="F31" s="3" t="n">
        <v>0.2</v>
      </c>
      <c r="G31" s="3" t="n">
        <v>0.2</v>
      </c>
      <c r="H31" s="3" t="n">
        <v>0.2</v>
      </c>
      <c r="I31" s="3" t="n">
        <v>0.2</v>
      </c>
      <c r="J31" s="3" t="n">
        <v>0.2</v>
      </c>
      <c r="K31" s="3" t="n">
        <v>0.2</v>
      </c>
      <c r="L31" s="3" t="n">
        <v>0.2</v>
      </c>
    </row>
    <row r="32" customFormat="false" ht="15" hidden="false" customHeight="false" outlineLevel="0" collapsed="false">
      <c r="A32" s="0" t="s">
        <v>100</v>
      </c>
      <c r="C32" s="3" t="n">
        <v>3</v>
      </c>
      <c r="D32" s="3" t="n">
        <v>4</v>
      </c>
      <c r="E32" s="3" t="n">
        <v>5</v>
      </c>
      <c r="F32" s="3" t="n">
        <v>6</v>
      </c>
      <c r="G32" s="3" t="n">
        <v>7</v>
      </c>
      <c r="H32" s="3" t="n">
        <v>8</v>
      </c>
      <c r="I32" s="3" t="n">
        <v>8</v>
      </c>
      <c r="J32" s="3" t="n">
        <v>8</v>
      </c>
      <c r="K32" s="3" t="n">
        <v>8</v>
      </c>
      <c r="L32" s="3" t="n">
        <v>8</v>
      </c>
    </row>
    <row r="33" customFormat="false" ht="15" hidden="false" customHeight="false" outlineLevel="0" collapsed="false">
      <c r="A33" s="0" t="s">
        <v>101</v>
      </c>
      <c r="C33" s="3" t="n">
        <v>4</v>
      </c>
      <c r="D33" s="3" t="n">
        <v>4</v>
      </c>
      <c r="E33" s="3" t="n">
        <v>4</v>
      </c>
      <c r="F33" s="3" t="n">
        <v>4</v>
      </c>
      <c r="G33" s="3" t="n">
        <v>4</v>
      </c>
      <c r="H33" s="3" t="n">
        <v>4</v>
      </c>
      <c r="I33" s="3" t="n">
        <v>4</v>
      </c>
      <c r="J33" s="3" t="n">
        <v>4</v>
      </c>
      <c r="K33" s="3" t="n">
        <v>4</v>
      </c>
      <c r="L33" s="3" t="n">
        <v>4</v>
      </c>
    </row>
    <row r="34" customFormat="false" ht="15" hidden="false" customHeight="false" outlineLevel="0" collapsed="false">
      <c r="A34" s="0" t="s">
        <v>102</v>
      </c>
      <c r="B34" s="3" t="n">
        <v>8</v>
      </c>
    </row>
    <row r="35" customFormat="false" ht="15" hidden="false" customHeight="false" outlineLevel="0" collapsed="false">
      <c r="A35" s="0" t="s">
        <v>103</v>
      </c>
      <c r="B35" s="3" t="n">
        <v>2</v>
      </c>
    </row>
    <row r="36" customFormat="false" ht="15" hidden="false" customHeight="false" outlineLevel="0" collapsed="false">
      <c r="A36" s="0" t="s">
        <v>104</v>
      </c>
      <c r="B36" s="3" t="n">
        <v>16</v>
      </c>
    </row>
    <row r="37" customFormat="false" ht="15" hidden="false" customHeight="false" outlineLevel="0" collapsed="false">
      <c r="A37" s="0" t="s">
        <v>105</v>
      </c>
      <c r="B37" s="3" t="n">
        <v>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-14</v>
      </c>
      <c r="D41" s="3" t="n">
        <v>8</v>
      </c>
      <c r="E41" s="3" t="n">
        <v>7</v>
      </c>
      <c r="F41" s="3" t="n">
        <v>6</v>
      </c>
      <c r="G41" s="3" t="n">
        <v>5</v>
      </c>
      <c r="H41" s="3" t="n">
        <v>4.5</v>
      </c>
      <c r="I41" s="3" t="n">
        <v>4</v>
      </c>
      <c r="J41" s="3" t="n">
        <v>3.5</v>
      </c>
      <c r="K41" s="3" t="n">
        <v>3</v>
      </c>
      <c r="L41" s="3" t="n">
        <v>3</v>
      </c>
    </row>
    <row r="42" customFormat="false" ht="15" hidden="false" customHeight="false" outlineLevel="0" collapsed="false">
      <c r="A42" s="0" t="s">
        <v>96</v>
      </c>
      <c r="C42" s="3" t="n">
        <v>96.5</v>
      </c>
      <c r="D42" s="3" t="n">
        <v>96.5</v>
      </c>
      <c r="E42" s="3" t="n">
        <v>96.5</v>
      </c>
      <c r="F42" s="3" t="n">
        <v>96.5</v>
      </c>
      <c r="G42" s="3" t="n">
        <v>96.5</v>
      </c>
      <c r="H42" s="3" t="n">
        <v>96.5</v>
      </c>
      <c r="I42" s="3" t="n">
        <v>96.5</v>
      </c>
      <c r="J42" s="3" t="n">
        <v>96.5</v>
      </c>
      <c r="K42" s="3" t="n">
        <v>96.5</v>
      </c>
      <c r="L42" s="3" t="n">
        <v>96.5</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0.2</v>
      </c>
      <c r="D45" s="3" t="n">
        <v>0.2</v>
      </c>
      <c r="E45" s="3" t="n">
        <v>0.2</v>
      </c>
      <c r="F45" s="3" t="n">
        <v>0.2</v>
      </c>
      <c r="G45" s="3" t="n">
        <v>0.2</v>
      </c>
      <c r="H45" s="3" t="n">
        <v>0.2</v>
      </c>
      <c r="I45" s="3" t="n">
        <v>0.2</v>
      </c>
      <c r="J45" s="3" t="n">
        <v>0.2</v>
      </c>
      <c r="K45" s="3" t="n">
        <v>0.2</v>
      </c>
      <c r="L45" s="3" t="n">
        <v>0.2</v>
      </c>
    </row>
    <row r="46" customFormat="false" ht="15" hidden="false" customHeight="false" outlineLevel="0" collapsed="false">
      <c r="A46" s="0" t="s">
        <v>100</v>
      </c>
      <c r="C46" s="3" t="n">
        <v>5</v>
      </c>
      <c r="D46" s="3" t="n">
        <v>8</v>
      </c>
      <c r="E46" s="3" t="n">
        <v>10</v>
      </c>
      <c r="F46" s="3" t="n">
        <v>12</v>
      </c>
      <c r="G46" s="3" t="n">
        <v>13</v>
      </c>
      <c r="H46" s="3" t="n">
        <v>13</v>
      </c>
      <c r="I46" s="3" t="n">
        <v>12</v>
      </c>
      <c r="J46" s="3" t="n">
        <v>11</v>
      </c>
      <c r="K46" s="3" t="n">
        <v>10</v>
      </c>
      <c r="L46" s="3" t="n">
        <v>10</v>
      </c>
    </row>
    <row r="47" customFormat="false" ht="15" hidden="false" customHeight="false" outlineLevel="0" collapsed="false">
      <c r="A47" s="0" t="s">
        <v>101</v>
      </c>
      <c r="C47" s="3" t="n">
        <v>4</v>
      </c>
      <c r="D47" s="3" t="n">
        <v>4</v>
      </c>
      <c r="E47" s="3" t="n">
        <v>4</v>
      </c>
      <c r="F47" s="3" t="n">
        <v>4</v>
      </c>
      <c r="G47" s="3" t="n">
        <v>4</v>
      </c>
      <c r="H47" s="3" t="n">
        <v>4</v>
      </c>
      <c r="I47" s="3" t="n">
        <v>4</v>
      </c>
      <c r="J47" s="3" t="n">
        <v>4</v>
      </c>
      <c r="K47" s="3" t="n">
        <v>4</v>
      </c>
      <c r="L47" s="3" t="n">
        <v>4</v>
      </c>
    </row>
    <row r="48" customFormat="false" ht="15" hidden="false" customHeight="false" outlineLevel="0" collapsed="false">
      <c r="A48" s="0" t="s">
        <v>102</v>
      </c>
      <c r="B48" s="3" t="n">
        <v>8</v>
      </c>
    </row>
    <row r="49" customFormat="false" ht="15" hidden="false" customHeight="false" outlineLevel="0" collapsed="false">
      <c r="A49" s="0" t="s">
        <v>103</v>
      </c>
      <c r="B49" s="3" t="n">
        <v>2.5</v>
      </c>
    </row>
    <row r="50" customFormat="false" ht="15" hidden="false" customHeight="false" outlineLevel="0" collapsed="false">
      <c r="A50" s="0" t="s">
        <v>104</v>
      </c>
      <c r="B50" s="3" t="n">
        <v>18</v>
      </c>
    </row>
    <row r="51" customFormat="false" ht="15" hidden="false" customHeight="false" outlineLevel="0" collapsed="false">
      <c r="A51" s="0" t="s">
        <v>105</v>
      </c>
      <c r="B51" s="3" t="n">
        <v>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-22</v>
      </c>
      <c r="D5" s="4" t="n">
        <f aca="false">Assumptions!D13</f>
        <v>-2</v>
      </c>
      <c r="E5" s="4" t="n">
        <f aca="false">Assumptions!E13</f>
        <v>0</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5208</v>
      </c>
      <c r="C6" s="0" t="n">
        <f aca="false">B6*(1+C5/100)</f>
        <v>4062.24</v>
      </c>
      <c r="D6" s="0" t="n">
        <f aca="false">C6*(1+D5/100)</f>
        <v>3980.9952</v>
      </c>
      <c r="E6" s="0" t="n">
        <f aca="false">D6*(1+E5/100)</f>
        <v>3980.9952</v>
      </c>
      <c r="F6" s="0" t="n">
        <f aca="false">E6*(1+F5/100)</f>
        <v>4020.805152</v>
      </c>
      <c r="G6" s="0" t="n">
        <f aca="false">F6*(1+G5/100)</f>
        <v>4081.11722928</v>
      </c>
      <c r="H6" s="0" t="n">
        <f aca="false">G6*(1+H5/100)</f>
        <v>4142.3339877192</v>
      </c>
      <c r="I6" s="0" t="n">
        <f aca="false">H6*(1+I5/100)</f>
        <v>4204.46899753499</v>
      </c>
      <c r="J6" s="0" t="n">
        <f aca="false">I6*(1+J5/100)</f>
        <v>4267.53603249801</v>
      </c>
      <c r="K6" s="0" t="n">
        <f aca="false">J6*(1+K5/100)</f>
        <v>4331.54907298548</v>
      </c>
      <c r="L6" s="0" t="n">
        <f aca="false">K6*(1+L5/100)</f>
        <v>4396.52230908026</v>
      </c>
    </row>
    <row r="7" customFormat="false" ht="15" hidden="false" customHeight="false" outlineLevel="0" collapsed="false">
      <c r="A7" s="0" t="s">
        <v>96</v>
      </c>
      <c r="C7" s="4" t="n">
        <f aca="false">Assumptions!C14</f>
        <v>95</v>
      </c>
      <c r="D7" s="4" t="n">
        <f aca="false">Assumptions!D14</f>
        <v>95</v>
      </c>
      <c r="E7" s="4" t="n">
        <f aca="false">Assumptions!E14</f>
        <v>95</v>
      </c>
      <c r="F7" s="4" t="n">
        <f aca="false">Assumptions!F14</f>
        <v>95</v>
      </c>
      <c r="G7" s="4" t="n">
        <f aca="false">Assumptions!G14</f>
        <v>95</v>
      </c>
      <c r="H7" s="4" t="n">
        <f aca="false">Assumptions!H14</f>
        <v>95</v>
      </c>
      <c r="I7" s="4" t="n">
        <f aca="false">Assumptions!I14</f>
        <v>95</v>
      </c>
      <c r="J7" s="4" t="n">
        <f aca="false">Assumptions!J14</f>
        <v>95</v>
      </c>
      <c r="K7" s="4" t="n">
        <f aca="false">Assumptions!K14</f>
        <v>95</v>
      </c>
      <c r="L7" s="4" t="n">
        <f aca="false">Assumptions!L14</f>
        <v>95</v>
      </c>
    </row>
    <row r="8" customFormat="false" ht="15" hidden="false" customHeight="false" outlineLevel="0" collapsed="false">
      <c r="A8" s="0" t="s">
        <v>43</v>
      </c>
      <c r="C8" s="0" t="n">
        <f aca="false">C6*C7/100</f>
        <v>3859.128</v>
      </c>
      <c r="D8" s="0" t="n">
        <f aca="false">D6*D7/100</f>
        <v>3781.94544</v>
      </c>
      <c r="E8" s="0" t="n">
        <f aca="false">E6*E7/100</f>
        <v>3781.94544</v>
      </c>
      <c r="F8" s="0" t="n">
        <f aca="false">F6*F7/100</f>
        <v>3819.7648944</v>
      </c>
      <c r="G8" s="0" t="n">
        <f aca="false">G6*G7/100</f>
        <v>3877.061367816</v>
      </c>
      <c r="H8" s="0" t="n">
        <f aca="false">H6*H7/100</f>
        <v>3935.21728833324</v>
      </c>
      <c r="I8" s="0" t="n">
        <f aca="false">I6*I7/100</f>
        <v>3994.24554765824</v>
      </c>
      <c r="J8" s="0" t="n">
        <f aca="false">J6*J7/100</f>
        <v>4054.15923087311</v>
      </c>
      <c r="K8" s="0" t="n">
        <f aca="false">K6*K7/100</f>
        <v>4114.97161933621</v>
      </c>
      <c r="L8" s="0" t="n">
        <f aca="false">L6*L7/100</f>
        <v>4176.69619362625</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3859.128</v>
      </c>
      <c r="D11" s="0" t="n">
        <f aca="false">D8+D10+D24</f>
        <v>3781.94544</v>
      </c>
      <c r="E11" s="0" t="n">
        <f aca="false">E8+E10+E24</f>
        <v>3781.94544</v>
      </c>
      <c r="F11" s="0" t="n">
        <f aca="false">F8+F10+F24</f>
        <v>3819.7648944</v>
      </c>
      <c r="G11" s="0" t="n">
        <f aca="false">G8+G10+G24</f>
        <v>3877.061367816</v>
      </c>
      <c r="H11" s="0" t="n">
        <f aca="false">H8+H10+H24</f>
        <v>3935.21728833324</v>
      </c>
      <c r="I11" s="0" t="n">
        <f aca="false">I8+I10+I24</f>
        <v>3994.24554765824</v>
      </c>
      <c r="J11" s="0" t="n">
        <f aca="false">J8+J10+J24</f>
        <v>4054.15923087311</v>
      </c>
      <c r="K11" s="0" t="n">
        <f aca="false">K8+K10+K24</f>
        <v>4114.97161933621</v>
      </c>
      <c r="L11" s="0" t="n">
        <f aca="false">L8+L10+L24</f>
        <v>4176.69619362625</v>
      </c>
    </row>
    <row r="12" customFormat="false" ht="15" hidden="false" customHeight="false" outlineLevel="0" collapsed="false">
      <c r="A12" s="0" t="s">
        <v>114</v>
      </c>
      <c r="C12" s="4" t="n">
        <f aca="false">-C6*Assumptions!C17/100</f>
        <v>-8.12448</v>
      </c>
      <c r="D12" s="4" t="n">
        <f aca="false">-D6*Assumptions!D17/100</f>
        <v>-7.9619904</v>
      </c>
      <c r="E12" s="4" t="n">
        <f aca="false">-E6*Assumptions!E17/100</f>
        <v>-7.9619904</v>
      </c>
      <c r="F12" s="4" t="n">
        <f aca="false">-F6*Assumptions!F17/100</f>
        <v>-8.041610304</v>
      </c>
      <c r="G12" s="4" t="n">
        <f aca="false">-G6*Assumptions!G17/100</f>
        <v>-8.16223445856</v>
      </c>
      <c r="H12" s="4" t="n">
        <f aca="false">-H6*Assumptions!H17/100</f>
        <v>-8.2846679754384</v>
      </c>
      <c r="I12" s="4" t="n">
        <f aca="false">-I6*Assumptions!I17/100</f>
        <v>-8.40893799506998</v>
      </c>
      <c r="J12" s="4" t="n">
        <f aca="false">-J6*Assumptions!J17/100</f>
        <v>-8.53507206499602</v>
      </c>
      <c r="K12" s="4" t="n">
        <f aca="false">-K6*Assumptions!K17/100</f>
        <v>-8.66309814597097</v>
      </c>
      <c r="L12" s="4" t="n">
        <f aca="false">-L6*Assumptions!L17/100</f>
        <v>-8.79304461816053</v>
      </c>
    </row>
    <row r="13" customFormat="false" ht="15" hidden="false" customHeight="false" outlineLevel="0" collapsed="false">
      <c r="A13" s="0" t="s">
        <v>115</v>
      </c>
      <c r="C13" s="0" t="n">
        <f aca="false">C11+C12</f>
        <v>3851.00352</v>
      </c>
      <c r="D13" s="0" t="n">
        <f aca="false">D11+D12</f>
        <v>3773.9834496</v>
      </c>
      <c r="E13" s="0" t="n">
        <f aca="false">E11+E12</f>
        <v>3773.9834496</v>
      </c>
      <c r="F13" s="0" t="n">
        <f aca="false">F11+F12</f>
        <v>3811.723284096</v>
      </c>
      <c r="G13" s="0" t="n">
        <f aca="false">G11+G12</f>
        <v>3868.89913335744</v>
      </c>
      <c r="H13" s="0" t="n">
        <f aca="false">H11+H12</f>
        <v>3926.9326203578</v>
      </c>
      <c r="I13" s="0" t="n">
        <f aca="false">I11+I12</f>
        <v>3985.83660966317</v>
      </c>
      <c r="J13" s="0" t="n">
        <f aca="false">J11+J12</f>
        <v>4045.62415880812</v>
      </c>
      <c r="K13" s="0" t="n">
        <f aca="false">K11+K12</f>
        <v>4106.30852119024</v>
      </c>
      <c r="L13" s="0" t="n">
        <f aca="false">L11+L12</f>
        <v>4167.90314900809</v>
      </c>
    </row>
    <row r="14" customFormat="false" ht="15" hidden="false" customHeight="false" outlineLevel="0" collapsed="false">
      <c r="A14" s="0" t="s">
        <v>101</v>
      </c>
      <c r="C14" s="4" t="n">
        <f aca="false">Assumptions!C19</f>
        <v>4.5</v>
      </c>
      <c r="D14" s="4" t="n">
        <f aca="false">Assumptions!D19</f>
        <v>4.5</v>
      </c>
      <c r="E14" s="4" t="n">
        <f aca="false">Assumptions!E19</f>
        <v>4.5</v>
      </c>
      <c r="F14" s="4" t="n">
        <f aca="false">Assumptions!F19</f>
        <v>4.5</v>
      </c>
      <c r="G14" s="4" t="n">
        <f aca="false">Assumptions!G19</f>
        <v>4.5</v>
      </c>
      <c r="H14" s="4" t="n">
        <f aca="false">Assumptions!H19</f>
        <v>4.5</v>
      </c>
      <c r="I14" s="4" t="n">
        <f aca="false">Assumptions!I19</f>
        <v>4.5</v>
      </c>
      <c r="J14" s="4" t="n">
        <f aca="false">Assumptions!J19</f>
        <v>4.5</v>
      </c>
      <c r="K14" s="4" t="n">
        <f aca="false">Assumptions!K19</f>
        <v>4.5</v>
      </c>
      <c r="L14" s="4" t="n">
        <f aca="false">Assumptions!L19</f>
        <v>4.5</v>
      </c>
    </row>
    <row r="15" customFormat="false" ht="15" hidden="false" customHeight="false" outlineLevel="0" collapsed="false">
      <c r="A15" s="0" t="s">
        <v>116</v>
      </c>
      <c r="C15" s="0" t="n">
        <f aca="false">C13-MAX(0,C13)*C14/100</f>
        <v>3677.7083616</v>
      </c>
      <c r="D15" s="0" t="n">
        <f aca="false">D13-MAX(0,D13)*D14/100</f>
        <v>3604.154194368</v>
      </c>
      <c r="E15" s="0" t="n">
        <f aca="false">E13-MAX(0,E13)*E14/100</f>
        <v>3604.154194368</v>
      </c>
      <c r="F15" s="0" t="n">
        <f aca="false">F13-MAX(0,F13)*F14/100</f>
        <v>3640.19573631168</v>
      </c>
      <c r="G15" s="0" t="n">
        <f aca="false">G13-MAX(0,G13)*G14/100</f>
        <v>3694.79867235636</v>
      </c>
      <c r="H15" s="0" t="n">
        <f aca="false">H13-MAX(0,H13)*H14/100</f>
        <v>3750.2206524417</v>
      </c>
      <c r="I15" s="0" t="n">
        <f aca="false">I13-MAX(0,I13)*I14/100</f>
        <v>3806.47396222833</v>
      </c>
      <c r="J15" s="0" t="n">
        <f aca="false">J13-MAX(0,J13)*J14/100</f>
        <v>3863.57107166175</v>
      </c>
      <c r="K15" s="0" t="n">
        <f aca="false">K13-MAX(0,K13)*K14/100</f>
        <v>3921.52463773668</v>
      </c>
      <c r="L15" s="0" t="n">
        <f aca="false">L13-MAX(0,L13)*L14/100</f>
        <v>3980.34750730273</v>
      </c>
    </row>
    <row r="16" customFormat="false" ht="15" hidden="false" customHeight="false" outlineLevel="0" collapsed="false">
      <c r="A16" s="0" t="s">
        <v>117</v>
      </c>
      <c r="C16" s="0" t="n">
        <f aca="false">-C12</f>
        <v>8.12448</v>
      </c>
      <c r="D16" s="0" t="n">
        <f aca="false">-D12</f>
        <v>7.9619904</v>
      </c>
      <c r="E16" s="0" t="n">
        <f aca="false">-E12</f>
        <v>7.9619904</v>
      </c>
      <c r="F16" s="0" t="n">
        <f aca="false">-F12</f>
        <v>8.041610304</v>
      </c>
      <c r="G16" s="0" t="n">
        <f aca="false">-G12</f>
        <v>8.16223445856</v>
      </c>
      <c r="H16" s="0" t="n">
        <f aca="false">-H12</f>
        <v>8.2846679754384</v>
      </c>
      <c r="I16" s="0" t="n">
        <f aca="false">-I12</f>
        <v>8.40893799506998</v>
      </c>
      <c r="J16" s="0" t="n">
        <f aca="false">-J12</f>
        <v>8.53507206499602</v>
      </c>
      <c r="K16" s="0" t="n">
        <f aca="false">-K12</f>
        <v>8.66309814597097</v>
      </c>
      <c r="L16" s="0" t="n">
        <f aca="false">-L12</f>
        <v>8.79304461816053</v>
      </c>
    </row>
    <row r="17" customFormat="false" ht="15" hidden="false" customHeight="false" outlineLevel="0" collapsed="false">
      <c r="A17" s="0" t="s">
        <v>118</v>
      </c>
      <c r="C17" s="4" t="n">
        <f aca="false">-C6*Assumptions!C18/100</f>
        <v>-40.6224</v>
      </c>
      <c r="D17" s="4" t="n">
        <f aca="false">-D6*Assumptions!D18/100</f>
        <v>-39.809952</v>
      </c>
      <c r="E17" s="4" t="n">
        <f aca="false">-E6*Assumptions!E18/100</f>
        <v>-79.619904</v>
      </c>
      <c r="F17" s="4" t="n">
        <f aca="false">-F6*Assumptions!F18/100</f>
        <v>-80.41610304</v>
      </c>
      <c r="G17" s="4" t="n">
        <f aca="false">-G6*Assumptions!G18/100</f>
        <v>-122.4335168784</v>
      </c>
      <c r="H17" s="4" t="n">
        <f aca="false">-H6*Assumptions!H18/100</f>
        <v>-124.270019631576</v>
      </c>
      <c r="I17" s="4" t="n">
        <f aca="false">-I6*Assumptions!I18/100</f>
        <v>-126.13406992605</v>
      </c>
      <c r="J17" s="4" t="n">
        <f aca="false">-J6*Assumptions!J18/100</f>
        <v>-128.02608097494</v>
      </c>
      <c r="K17" s="4" t="n">
        <f aca="false">-K6*Assumptions!K18/100</f>
        <v>-129.946472189564</v>
      </c>
      <c r="L17" s="4" t="n">
        <f aca="false">-L6*Assumptions!L18/100</f>
        <v>-131.895669272408</v>
      </c>
    </row>
    <row r="18" customFormat="false" ht="15" hidden="false" customHeight="false" outlineLevel="0" collapsed="false">
      <c r="A18" s="0" t="s">
        <v>119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120</v>
      </c>
      <c r="C19" s="0" t="n">
        <f aca="false">C15+C16+C17+C18</f>
        <v>3645.2104416</v>
      </c>
      <c r="D19" s="0" t="n">
        <f aca="false">D15+D16+D17+D18</f>
        <v>3572.306232768</v>
      </c>
      <c r="E19" s="0" t="n">
        <f aca="false">E15+E16+E17+E18</f>
        <v>3532.496280768</v>
      </c>
      <c r="F19" s="0" t="n">
        <f aca="false">F15+F16+F17+F18</f>
        <v>3567.82124357568</v>
      </c>
      <c r="G19" s="0" t="n">
        <f aca="false">G15+G16+G17+G18</f>
        <v>3580.52738993652</v>
      </c>
      <c r="H19" s="0" t="n">
        <f aca="false">H15+H16+H17+H18</f>
        <v>3634.23530078556</v>
      </c>
      <c r="I19" s="0" t="n">
        <f aca="false">I15+I16+I17+I18</f>
        <v>3688.74883029735</v>
      </c>
      <c r="J19" s="0" t="n">
        <f aca="false">J15+J16+J17+J18</f>
        <v>3744.08006275181</v>
      </c>
      <c r="K19" s="0" t="n">
        <f aca="false">K15+K16+K17+K18</f>
        <v>3800.24126369308</v>
      </c>
      <c r="L19" s="0" t="n">
        <f aca="false">L15+L16+L17+L18</f>
        <v>3857.24488264848</v>
      </c>
    </row>
    <row r="20" customFormat="false" ht="15" hidden="false" customHeight="false" outlineLevel="0" collapsed="false">
      <c r="A20" s="0" t="s">
        <v>121</v>
      </c>
      <c r="C20" s="0" t="n">
        <f aca="false">1/(1+$B$27/100)^C4</f>
        <v>0.919540229885058</v>
      </c>
      <c r="D20" s="0" t="n">
        <f aca="false">1/(1+$B$27/100)^D4</f>
        <v>0.845554234377065</v>
      </c>
      <c r="E20" s="0" t="n">
        <f aca="false">1/(1+$B$27/100)^E4</f>
        <v>0.77752113505937</v>
      </c>
      <c r="F20" s="0" t="n">
        <f aca="false">1/(1+$B$27/100)^F4</f>
        <v>0.714961963272984</v>
      </c>
      <c r="G20" s="0" t="n">
        <f aca="false">1/(1+$B$27/100)^G4</f>
        <v>0.657436288067112</v>
      </c>
      <c r="H20" s="0" t="n">
        <f aca="false">1/(1+$B$27/100)^H4</f>
        <v>0.604539115464011</v>
      </c>
      <c r="I20" s="0" t="n">
        <f aca="false">1/(1+$B$27/100)^I4</f>
        <v>0.555898037208286</v>
      </c>
      <c r="J20" s="0" t="n">
        <f aca="false">1/(1+$B$27/100)^J4</f>
        <v>0.511170608927159</v>
      </c>
      <c r="K20" s="0" t="n">
        <f aca="false">1/(1+$B$27/100)^K4</f>
        <v>0.470041939243365</v>
      </c>
      <c r="L20" s="0" t="n">
        <f aca="false">1/(1+$B$27/100)^L4</f>
        <v>0.432222472867462</v>
      </c>
    </row>
    <row r="21" customFormat="false" ht="15" hidden="false" customHeight="false" outlineLevel="0" collapsed="false">
      <c r="A21" s="0" t="s">
        <v>122</v>
      </c>
      <c r="C21" s="0" t="n">
        <f aca="false">C19*C20</f>
        <v>3351.91764744828</v>
      </c>
      <c r="D21" s="0" t="n">
        <f aca="false">D19*D20</f>
        <v>3020.57866160856</v>
      </c>
      <c r="E21" s="0" t="n">
        <f aca="false">E19*E20</f>
        <v>2746.59051781574</v>
      </c>
      <c r="F21" s="0" t="n">
        <f aca="false">F19*F20</f>
        <v>2550.85648091393</v>
      </c>
      <c r="G21" s="0" t="n">
        <f aca="false">G19*G20</f>
        <v>2353.96863656249</v>
      </c>
      <c r="H21" s="0" t="n">
        <f aca="false">H19*H20</f>
        <v>2197.03739412499</v>
      </c>
      <c r="I21" s="0" t="n">
        <f aca="false">I19*I20</f>
        <v>2050.56823451665</v>
      </c>
      <c r="J21" s="0" t="n">
        <f aca="false">J19*J20</f>
        <v>1913.86368554888</v>
      </c>
      <c r="K21" s="0" t="n">
        <f aca="false">K19*K20</f>
        <v>1786.27277317895</v>
      </c>
      <c r="L21" s="0" t="n">
        <f aca="false">L19*L20</f>
        <v>1667.18792163369</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8.75</v>
      </c>
    </row>
    <row r="28" customFormat="false" ht="15" hidden="false" customHeight="false" outlineLevel="0" collapsed="false">
      <c r="A28" s="0" t="s">
        <v>103</v>
      </c>
      <c r="B28" s="4" t="n">
        <f aca="false">Assumptions!$B$21</f>
        <v>1.5</v>
      </c>
    </row>
    <row r="29" customFormat="false" ht="15" hidden="false" customHeight="false" outlineLevel="0" collapsed="false">
      <c r="A29" s="0" t="s">
        <v>104</v>
      </c>
      <c r="B29" s="4" t="n">
        <f aca="false">Assumptions!$B$22</f>
        <v>13</v>
      </c>
    </row>
    <row r="30" customFormat="false" ht="15" hidden="false" customHeight="false" outlineLevel="0" collapsed="false">
      <c r="A30" s="0" t="s">
        <v>125</v>
      </c>
      <c r="B30" s="0" t="n">
        <f aca="false">SUM(C21:L21)</f>
        <v>23638.8419533522</v>
      </c>
    </row>
    <row r="31" customFormat="false" ht="15" hidden="false" customHeight="false" outlineLevel="0" collapsed="false">
      <c r="A31" s="0" t="s">
        <v>126</v>
      </c>
      <c r="B31" s="0" t="n">
        <f aca="false">L19</f>
        <v>3857.24488264848</v>
      </c>
    </row>
    <row r="32" customFormat="false" ht="15" hidden="false" customHeight="false" outlineLevel="0" collapsed="false">
      <c r="A32" s="0" t="s">
        <v>127</v>
      </c>
      <c r="B32" s="0" t="n">
        <f aca="false">IF(B27&gt;B28,B31*(1+B28/100)/((B27-B28)/100),B31*B29)</f>
        <v>54001.4283570787</v>
      </c>
    </row>
    <row r="33" customFormat="false" ht="15" hidden="false" customHeight="false" outlineLevel="0" collapsed="false">
      <c r="A33" s="0" t="s">
        <v>128</v>
      </c>
      <c r="B33" s="0" t="n">
        <f aca="false">B31*B29</f>
        <v>50144.1834744302</v>
      </c>
    </row>
    <row r="34" customFormat="false" ht="15" hidden="false" customHeight="false" outlineLevel="0" collapsed="false">
      <c r="A34" s="0" t="s">
        <v>129</v>
      </c>
      <c r="B34" s="0" t="n">
        <f aca="false">MAX(0,MIN(B32,B33))</f>
        <v>50144.1834744302</v>
      </c>
    </row>
    <row r="35" customFormat="false" ht="15" hidden="false" customHeight="false" outlineLevel="0" collapsed="false">
      <c r="A35" s="0" t="s">
        <v>130</v>
      </c>
      <c r="B35" s="0" t="n">
        <f aca="false">B34/(1+B27/100)^L4</f>
        <v>21673.442981238</v>
      </c>
    </row>
    <row r="36" customFormat="false" ht="15" hidden="false" customHeight="false" outlineLevel="0" collapsed="false">
      <c r="A36" s="0" t="s">
        <v>131</v>
      </c>
      <c r="B36" s="0" t="n">
        <f aca="false">B30+B35</f>
        <v>45312.2849345901</v>
      </c>
    </row>
    <row r="37" customFormat="false" ht="15" hidden="false" customHeight="false" outlineLevel="0" collapsed="false">
      <c r="A37" s="0" t="s">
        <v>132</v>
      </c>
      <c r="B37" s="0" t="n">
        <f aca="false">B36+Assumptions!$B$5-Assumptions!$B$4</f>
        <v>87817.2849345901</v>
      </c>
    </row>
    <row r="38" customFormat="false" ht="15" hidden="false" customHeight="false" outlineLevel="0" collapsed="false">
      <c r="A38" s="0" t="s">
        <v>133</v>
      </c>
      <c r="B38" s="0" t="n">
        <f aca="false">B37/Assumptions!$B$3*Assumptions!$B$10</f>
        <v>41.2094251218161</v>
      </c>
    </row>
    <row r="39" customFormat="false" ht="15" hidden="false" customHeight="false" outlineLevel="0" collapsed="false">
      <c r="A39" s="0" t="s">
        <v>134</v>
      </c>
      <c r="B39" s="4" t="n">
        <f aca="false">B38/Assumptions!$B$2-1</f>
        <v>-0.303306422285442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41.2094251218161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29000.7670806534</v>
      </c>
    </row>
    <row r="47" customFormat="false" ht="15" hidden="false" customHeight="false" outlineLevel="0" collapsed="false">
      <c r="A47" s="0" t="s">
        <v>139</v>
      </c>
      <c r="B47" s="0" t="n">
        <f aca="false">(SUMPRODUCT(C19:L19/(1+B45/100)^C4:L4)+B46/(1+B45/100)^L4+Assumptions!$B$5-Assumptions!$B$4)/Assumptions!$B$3*Assumptions!$B$10</f>
        <v>31.8642865344754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-16</v>
      </c>
      <c r="D5" s="4" t="n">
        <f aca="false">Assumptions!D27</f>
        <v>4</v>
      </c>
      <c r="E5" s="4" t="n">
        <f aca="false">Assumptions!E27</f>
        <v>3.5</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5208</v>
      </c>
      <c r="C6" s="0" t="n">
        <f aca="false">B6*(1+C5/100)</f>
        <v>4374.72</v>
      </c>
      <c r="D6" s="0" t="n">
        <f aca="false">C6*(1+D5/100)</f>
        <v>4549.7088</v>
      </c>
      <c r="E6" s="0" t="n">
        <f aca="false">D6*(1+E5/100)</f>
        <v>4708.948608</v>
      </c>
      <c r="F6" s="0" t="n">
        <f aca="false">E6*(1+F5/100)</f>
        <v>4850.21706624</v>
      </c>
      <c r="G6" s="0" t="n">
        <f aca="false">F6*(1+G5/100)</f>
        <v>4995.7235782272</v>
      </c>
      <c r="H6" s="0" t="n">
        <f aca="false">G6*(1+H5/100)</f>
        <v>5120.61666768288</v>
      </c>
      <c r="I6" s="0" t="n">
        <f aca="false">H6*(1+I5/100)</f>
        <v>5248.63208437495</v>
      </c>
      <c r="J6" s="0" t="n">
        <f aca="false">I6*(1+J5/100)</f>
        <v>5353.60472606245</v>
      </c>
      <c r="K6" s="0" t="n">
        <f aca="false">J6*(1+K5/100)</f>
        <v>5460.6768205837</v>
      </c>
      <c r="L6" s="0" t="n">
        <f aca="false">K6*(1+L5/100)</f>
        <v>5569.89035699537</v>
      </c>
    </row>
    <row r="7" customFormat="false" ht="15" hidden="false" customHeight="false" outlineLevel="0" collapsed="false">
      <c r="A7" s="0" t="s">
        <v>96</v>
      </c>
      <c r="C7" s="4" t="n">
        <f aca="false">Assumptions!C28</f>
        <v>96</v>
      </c>
      <c r="D7" s="4" t="n">
        <f aca="false">Assumptions!D28</f>
        <v>96</v>
      </c>
      <c r="E7" s="4" t="n">
        <f aca="false">Assumptions!E28</f>
        <v>96</v>
      </c>
      <c r="F7" s="4" t="n">
        <f aca="false">Assumptions!F28</f>
        <v>96</v>
      </c>
      <c r="G7" s="4" t="n">
        <f aca="false">Assumptions!G28</f>
        <v>96</v>
      </c>
      <c r="H7" s="4" t="n">
        <f aca="false">Assumptions!H28</f>
        <v>96</v>
      </c>
      <c r="I7" s="4" t="n">
        <f aca="false">Assumptions!I28</f>
        <v>96</v>
      </c>
      <c r="J7" s="4" t="n">
        <f aca="false">Assumptions!J28</f>
        <v>96</v>
      </c>
      <c r="K7" s="4" t="n">
        <f aca="false">Assumptions!K28</f>
        <v>96</v>
      </c>
      <c r="L7" s="4" t="n">
        <f aca="false">Assumptions!L28</f>
        <v>96</v>
      </c>
    </row>
    <row r="8" customFormat="false" ht="15" hidden="false" customHeight="false" outlineLevel="0" collapsed="false">
      <c r="A8" s="0" t="s">
        <v>43</v>
      </c>
      <c r="C8" s="0" t="n">
        <f aca="false">C6*C7/100</f>
        <v>4199.7312</v>
      </c>
      <c r="D8" s="0" t="n">
        <f aca="false">D6*D7/100</f>
        <v>4367.720448</v>
      </c>
      <c r="E8" s="0" t="n">
        <f aca="false">E6*E7/100</f>
        <v>4520.59066368</v>
      </c>
      <c r="F8" s="0" t="n">
        <f aca="false">F6*F7/100</f>
        <v>4656.2083835904</v>
      </c>
      <c r="G8" s="0" t="n">
        <f aca="false">G6*G7/100</f>
        <v>4795.89463509811</v>
      </c>
      <c r="H8" s="0" t="n">
        <f aca="false">H6*H7/100</f>
        <v>4915.79200097556</v>
      </c>
      <c r="I8" s="0" t="n">
        <f aca="false">I6*I7/100</f>
        <v>5038.68680099995</v>
      </c>
      <c r="J8" s="0" t="n">
        <f aca="false">J6*J7/100</f>
        <v>5139.46053701995</v>
      </c>
      <c r="K8" s="0" t="n">
        <f aca="false">K6*K7/100</f>
        <v>5242.24974776035</v>
      </c>
      <c r="L8" s="0" t="n">
        <f aca="false">L6*L7/100</f>
        <v>5347.09474271556</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4199.7312</v>
      </c>
      <c r="D11" s="0" t="n">
        <f aca="false">D8+D10+D24</f>
        <v>4367.720448</v>
      </c>
      <c r="E11" s="0" t="n">
        <f aca="false">E8+E10+E24</f>
        <v>4520.59066368</v>
      </c>
      <c r="F11" s="0" t="n">
        <f aca="false">F8+F10+F24</f>
        <v>4656.2083835904</v>
      </c>
      <c r="G11" s="0" t="n">
        <f aca="false">G8+G10+G24</f>
        <v>4795.89463509811</v>
      </c>
      <c r="H11" s="0" t="n">
        <f aca="false">H8+H10+H24</f>
        <v>4915.79200097556</v>
      </c>
      <c r="I11" s="0" t="n">
        <f aca="false">I8+I10+I24</f>
        <v>5038.68680099995</v>
      </c>
      <c r="J11" s="0" t="n">
        <f aca="false">J8+J10+J24</f>
        <v>5139.46053701995</v>
      </c>
      <c r="K11" s="0" t="n">
        <f aca="false">K8+K10+K24</f>
        <v>5242.24974776035</v>
      </c>
      <c r="L11" s="0" t="n">
        <f aca="false">L8+L10+L24</f>
        <v>5347.09474271556</v>
      </c>
    </row>
    <row r="12" customFormat="false" ht="15" hidden="false" customHeight="false" outlineLevel="0" collapsed="false">
      <c r="A12" s="0" t="s">
        <v>114</v>
      </c>
      <c r="C12" s="4" t="n">
        <f aca="false">-C6*Assumptions!C31/100</f>
        <v>-8.74944</v>
      </c>
      <c r="D12" s="4" t="n">
        <f aca="false">-D6*Assumptions!D31/100</f>
        <v>-9.0994176</v>
      </c>
      <c r="E12" s="4" t="n">
        <f aca="false">-E6*Assumptions!E31/100</f>
        <v>-9.417897216</v>
      </c>
      <c r="F12" s="4" t="n">
        <f aca="false">-F6*Assumptions!F31/100</f>
        <v>-9.70043413248</v>
      </c>
      <c r="G12" s="4" t="n">
        <f aca="false">-G6*Assumptions!G31/100</f>
        <v>-9.9914471564544</v>
      </c>
      <c r="H12" s="4" t="n">
        <f aca="false">-H6*Assumptions!H31/100</f>
        <v>-10.2412333353658</v>
      </c>
      <c r="I12" s="4" t="n">
        <f aca="false">-I6*Assumptions!I31/100</f>
        <v>-10.4972641687499</v>
      </c>
      <c r="J12" s="4" t="n">
        <f aca="false">-J6*Assumptions!J31/100</f>
        <v>-10.7072094521249</v>
      </c>
      <c r="K12" s="4" t="n">
        <f aca="false">-K6*Assumptions!K31/100</f>
        <v>-10.9213536411674</v>
      </c>
      <c r="L12" s="4" t="n">
        <f aca="false">-L6*Assumptions!L31/100</f>
        <v>-11.1397807139907</v>
      </c>
    </row>
    <row r="13" customFormat="false" ht="15" hidden="false" customHeight="false" outlineLevel="0" collapsed="false">
      <c r="A13" s="0" t="s">
        <v>115</v>
      </c>
      <c r="C13" s="0" t="n">
        <f aca="false">C11+C12</f>
        <v>4190.98176</v>
      </c>
      <c r="D13" s="0" t="n">
        <f aca="false">D11+D12</f>
        <v>4358.6210304</v>
      </c>
      <c r="E13" s="0" t="n">
        <f aca="false">E11+E12</f>
        <v>4511.172766464</v>
      </c>
      <c r="F13" s="0" t="n">
        <f aca="false">F11+F12</f>
        <v>4646.50794945792</v>
      </c>
      <c r="G13" s="0" t="n">
        <f aca="false">G11+G12</f>
        <v>4785.90318794166</v>
      </c>
      <c r="H13" s="0" t="n">
        <f aca="false">H11+H12</f>
        <v>4905.5507676402</v>
      </c>
      <c r="I13" s="0" t="n">
        <f aca="false">I11+I12</f>
        <v>5028.1895368312</v>
      </c>
      <c r="J13" s="0" t="n">
        <f aca="false">J11+J12</f>
        <v>5128.75332756783</v>
      </c>
      <c r="K13" s="0" t="n">
        <f aca="false">K11+K12</f>
        <v>5231.32839411918</v>
      </c>
      <c r="L13" s="0" t="n">
        <f aca="false">L11+L12</f>
        <v>5335.95496200157</v>
      </c>
    </row>
    <row r="14" customFormat="false" ht="15" hidden="false" customHeight="false" outlineLevel="0" collapsed="false">
      <c r="A14" s="0" t="s">
        <v>101</v>
      </c>
      <c r="C14" s="4" t="n">
        <f aca="false">Assumptions!C33</f>
        <v>4</v>
      </c>
      <c r="D14" s="4" t="n">
        <f aca="false">Assumptions!D33</f>
        <v>4</v>
      </c>
      <c r="E14" s="4" t="n">
        <f aca="false">Assumptions!E33</f>
        <v>4</v>
      </c>
      <c r="F14" s="4" t="n">
        <f aca="false">Assumptions!F33</f>
        <v>4</v>
      </c>
      <c r="G14" s="4" t="n">
        <f aca="false">Assumptions!G33</f>
        <v>4</v>
      </c>
      <c r="H14" s="4" t="n">
        <f aca="false">Assumptions!H33</f>
        <v>4</v>
      </c>
      <c r="I14" s="4" t="n">
        <f aca="false">Assumptions!I33</f>
        <v>4</v>
      </c>
      <c r="J14" s="4" t="n">
        <f aca="false">Assumptions!J33</f>
        <v>4</v>
      </c>
      <c r="K14" s="4" t="n">
        <f aca="false">Assumptions!K33</f>
        <v>4</v>
      </c>
      <c r="L14" s="4" t="n">
        <f aca="false">Assumptions!L33</f>
        <v>4</v>
      </c>
    </row>
    <row r="15" customFormat="false" ht="15" hidden="false" customHeight="false" outlineLevel="0" collapsed="false">
      <c r="A15" s="0" t="s">
        <v>116</v>
      </c>
      <c r="C15" s="0" t="n">
        <f aca="false">C13-MAX(0,C13)*C14/100</f>
        <v>4023.3424896</v>
      </c>
      <c r="D15" s="0" t="n">
        <f aca="false">D13-MAX(0,D13)*D14/100</f>
        <v>4184.276189184</v>
      </c>
      <c r="E15" s="0" t="n">
        <f aca="false">E13-MAX(0,E13)*E14/100</f>
        <v>4330.72585580544</v>
      </c>
      <c r="F15" s="0" t="n">
        <f aca="false">F13-MAX(0,F13)*F14/100</f>
        <v>4460.6476314796</v>
      </c>
      <c r="G15" s="0" t="n">
        <f aca="false">G13-MAX(0,G13)*G14/100</f>
        <v>4594.46706042399</v>
      </c>
      <c r="H15" s="0" t="n">
        <f aca="false">H13-MAX(0,H13)*H14/100</f>
        <v>4709.32873693459</v>
      </c>
      <c r="I15" s="0" t="n">
        <f aca="false">I13-MAX(0,I13)*I14/100</f>
        <v>4827.06195535795</v>
      </c>
      <c r="J15" s="0" t="n">
        <f aca="false">J13-MAX(0,J13)*J14/100</f>
        <v>4923.60319446511</v>
      </c>
      <c r="K15" s="0" t="n">
        <f aca="false">K13-MAX(0,K13)*K14/100</f>
        <v>5022.07525835442</v>
      </c>
      <c r="L15" s="0" t="n">
        <f aca="false">L13-MAX(0,L13)*L14/100</f>
        <v>5122.5167635215</v>
      </c>
    </row>
    <row r="16" customFormat="false" ht="15" hidden="false" customHeight="false" outlineLevel="0" collapsed="false">
      <c r="A16" s="0" t="s">
        <v>117</v>
      </c>
      <c r="C16" s="0" t="n">
        <f aca="false">-C12</f>
        <v>8.74944</v>
      </c>
      <c r="D16" s="0" t="n">
        <f aca="false">-D12</f>
        <v>9.0994176</v>
      </c>
      <c r="E16" s="0" t="n">
        <f aca="false">-E12</f>
        <v>9.417897216</v>
      </c>
      <c r="F16" s="0" t="n">
        <f aca="false">-F12</f>
        <v>9.70043413248</v>
      </c>
      <c r="G16" s="0" t="n">
        <f aca="false">-G12</f>
        <v>9.9914471564544</v>
      </c>
      <c r="H16" s="0" t="n">
        <f aca="false">-H12</f>
        <v>10.2412333353658</v>
      </c>
      <c r="I16" s="0" t="n">
        <f aca="false">-I12</f>
        <v>10.4972641687499</v>
      </c>
      <c r="J16" s="0" t="n">
        <f aca="false">-J12</f>
        <v>10.7072094521249</v>
      </c>
      <c r="K16" s="0" t="n">
        <f aca="false">-K12</f>
        <v>10.9213536411674</v>
      </c>
      <c r="L16" s="0" t="n">
        <f aca="false">-L12</f>
        <v>11.1397807139907</v>
      </c>
    </row>
    <row r="17" customFormat="false" ht="15" hidden="false" customHeight="false" outlineLevel="0" collapsed="false">
      <c r="A17" s="0" t="s">
        <v>118</v>
      </c>
      <c r="C17" s="4" t="n">
        <f aca="false">-C6*Assumptions!C32/100</f>
        <v>-131.2416</v>
      </c>
      <c r="D17" s="4" t="n">
        <f aca="false">-D6*Assumptions!D32/100</f>
        <v>-181.988352</v>
      </c>
      <c r="E17" s="4" t="n">
        <f aca="false">-E6*Assumptions!E32/100</f>
        <v>-235.4474304</v>
      </c>
      <c r="F17" s="4" t="n">
        <f aca="false">-F6*Assumptions!F32/100</f>
        <v>-291.0130239744</v>
      </c>
      <c r="G17" s="4" t="n">
        <f aca="false">-G6*Assumptions!G32/100</f>
        <v>-349.700650475904</v>
      </c>
      <c r="H17" s="4" t="n">
        <f aca="false">-H6*Assumptions!H32/100</f>
        <v>-409.64933341463</v>
      </c>
      <c r="I17" s="4" t="n">
        <f aca="false">-I6*Assumptions!I32/100</f>
        <v>-419.890566749996</v>
      </c>
      <c r="J17" s="4" t="n">
        <f aca="false">-J6*Assumptions!J32/100</f>
        <v>-428.288378084996</v>
      </c>
      <c r="K17" s="4" t="n">
        <f aca="false">-K6*Assumptions!K32/100</f>
        <v>-436.854145646696</v>
      </c>
      <c r="L17" s="4" t="n">
        <f aca="false">-L6*Assumptions!L32/100</f>
        <v>-445.59122855963</v>
      </c>
    </row>
    <row r="18" customFormat="false" ht="15" hidden="false" customHeight="false" outlineLevel="0" collapsed="false">
      <c r="A18" s="0" t="s">
        <v>119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120</v>
      </c>
      <c r="C19" s="0" t="n">
        <f aca="false">C15+C16+C17+C18</f>
        <v>3900.8503296</v>
      </c>
      <c r="D19" s="0" t="n">
        <f aca="false">D15+D16+D17+D18</f>
        <v>4011.387254784</v>
      </c>
      <c r="E19" s="0" t="n">
        <f aca="false">E15+E16+E17+E18</f>
        <v>4104.69632262144</v>
      </c>
      <c r="F19" s="0" t="n">
        <f aca="false">F15+F16+F17+F18</f>
        <v>4179.33504163768</v>
      </c>
      <c r="G19" s="0" t="n">
        <f aca="false">G15+G16+G17+G18</f>
        <v>4254.75785710454</v>
      </c>
      <c r="H19" s="0" t="n">
        <f aca="false">H15+H16+H17+H18</f>
        <v>4309.92063685533</v>
      </c>
      <c r="I19" s="0" t="n">
        <f aca="false">I15+I16+I17+I18</f>
        <v>4417.66865277671</v>
      </c>
      <c r="J19" s="0" t="n">
        <f aca="false">J15+J16+J17+J18</f>
        <v>4506.02202583224</v>
      </c>
      <c r="K19" s="0" t="n">
        <f aca="false">K15+K16+K17+K18</f>
        <v>4596.14246634889</v>
      </c>
      <c r="L19" s="0" t="n">
        <f aca="false">L15+L16+L17+L18</f>
        <v>4688.06531567586</v>
      </c>
    </row>
    <row r="20" customFormat="false" ht="15" hidden="false" customHeight="false" outlineLevel="0" collapsed="false">
      <c r="A20" s="0" t="s">
        <v>121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122</v>
      </c>
      <c r="C21" s="0" t="n">
        <f aca="false">C19*C20</f>
        <v>3611.89845333333</v>
      </c>
      <c r="D21" s="0" t="n">
        <f aca="false">D19*D20</f>
        <v>3439.11801679012</v>
      </c>
      <c r="E21" s="0" t="n">
        <f aca="false">E19*E20</f>
        <v>3258.44028049383</v>
      </c>
      <c r="F21" s="0" t="n">
        <f aca="false">F19*F20</f>
        <v>3071.936020442</v>
      </c>
      <c r="G21" s="0" t="n">
        <f aca="false">G19*G20</f>
        <v>2895.71670499269</v>
      </c>
      <c r="H21" s="0" t="n">
        <f aca="false">H19*H20</f>
        <v>2715.98107962291</v>
      </c>
      <c r="I21" s="0" t="n">
        <f aca="false">I19*I20</f>
        <v>2577.66722834582</v>
      </c>
      <c r="J21" s="0" t="n">
        <f aca="false">J19*J20</f>
        <v>2434.46349343772</v>
      </c>
      <c r="K21" s="0" t="n">
        <f aca="false">K19*K20</f>
        <v>2299.21552158007</v>
      </c>
      <c r="L21" s="0" t="n">
        <f aca="false">L19*L20</f>
        <v>2171.48132593673</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8</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16</v>
      </c>
    </row>
    <row r="30" customFormat="false" ht="15" hidden="false" customHeight="false" outlineLevel="0" collapsed="false">
      <c r="A30" s="0" t="s">
        <v>125</v>
      </c>
      <c r="B30" s="0" t="n">
        <f aca="false">SUM(C21:L21)</f>
        <v>28475.9181249752</v>
      </c>
    </row>
    <row r="31" customFormat="false" ht="15" hidden="false" customHeight="false" outlineLevel="0" collapsed="false">
      <c r="A31" s="0" t="s">
        <v>126</v>
      </c>
      <c r="B31" s="0" t="n">
        <f aca="false">L19</f>
        <v>4688.06531567586</v>
      </c>
    </row>
    <row r="32" customFormat="false" ht="15" hidden="false" customHeight="false" outlineLevel="0" collapsed="false">
      <c r="A32" s="0" t="s">
        <v>127</v>
      </c>
      <c r="B32" s="0" t="n">
        <f aca="false">IF(B27&gt;B28,B31*(1+B28/100)/((B27-B28)/100),B31*B29)</f>
        <v>79697.1103664897</v>
      </c>
    </row>
    <row r="33" customFormat="false" ht="15" hidden="false" customHeight="false" outlineLevel="0" collapsed="false">
      <c r="A33" s="0" t="s">
        <v>128</v>
      </c>
      <c r="B33" s="0" t="n">
        <f aca="false">B31*B29</f>
        <v>75009.0450508138</v>
      </c>
    </row>
    <row r="34" customFormat="false" ht="15" hidden="false" customHeight="false" outlineLevel="0" collapsed="false">
      <c r="A34" s="0" t="s">
        <v>129</v>
      </c>
      <c r="B34" s="0" t="n">
        <f aca="false">MAX(0,MIN(B32,B33))</f>
        <v>75009.0450508138</v>
      </c>
    </row>
    <row r="35" customFormat="false" ht="15" hidden="false" customHeight="false" outlineLevel="0" collapsed="false">
      <c r="A35" s="0" t="s">
        <v>130</v>
      </c>
      <c r="B35" s="0" t="n">
        <f aca="false">B34/(1+B27/100)^L4</f>
        <v>34743.7012149877</v>
      </c>
    </row>
    <row r="36" customFormat="false" ht="15" hidden="false" customHeight="false" outlineLevel="0" collapsed="false">
      <c r="A36" s="0" t="s">
        <v>131</v>
      </c>
      <c r="B36" s="0" t="n">
        <f aca="false">B30+B35</f>
        <v>63219.6193399629</v>
      </c>
    </row>
    <row r="37" customFormat="false" ht="15" hidden="false" customHeight="false" outlineLevel="0" collapsed="false">
      <c r="A37" s="0" t="s">
        <v>132</v>
      </c>
      <c r="B37" s="0" t="n">
        <f aca="false">B36+Assumptions!$B$5-Assumptions!$B$4</f>
        <v>105724.619339963</v>
      </c>
    </row>
    <row r="38" customFormat="false" ht="15" hidden="false" customHeight="false" outlineLevel="0" collapsed="false">
      <c r="A38" s="0" t="s">
        <v>133</v>
      </c>
      <c r="B38" s="0" t="n">
        <f aca="false">B37/Assumptions!$B$3*Assumptions!$B$10</f>
        <v>49.6126791834645</v>
      </c>
    </row>
    <row r="39" customFormat="false" ht="15" hidden="false" customHeight="false" outlineLevel="0" collapsed="false">
      <c r="A39" s="0" t="s">
        <v>134</v>
      </c>
      <c r="B39" s="4" t="n">
        <f aca="false">B38/Assumptions!$B$2-1</f>
        <v>-0.161239574244049</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49.6126791834645</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36783.2817076106</v>
      </c>
    </row>
    <row r="47" customFormat="false" ht="15" hidden="false" customHeight="false" outlineLevel="0" collapsed="false">
      <c r="A47" s="0" t="s">
        <v>139</v>
      </c>
      <c r="B47" s="0" t="n">
        <f aca="false">(SUMPRODUCT(C19:L19/(1+B45/100)^C4:L4)+B46/(1+B45/100)^L4+Assumptions!$B$5-Assumptions!$B$4)/Assumptions!$B$3*Assumptions!$B$10</f>
        <v>34.1101506610742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-14</v>
      </c>
      <c r="D5" s="4" t="n">
        <f aca="false">Assumptions!D41</f>
        <v>8</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5208</v>
      </c>
      <c r="C6" s="0" t="n">
        <f aca="false">B6*(1+C5/100)</f>
        <v>4478.88</v>
      </c>
      <c r="D6" s="0" t="n">
        <f aca="false">C6*(1+D5/100)</f>
        <v>4837.1904</v>
      </c>
      <c r="E6" s="0" t="n">
        <f aca="false">D6*(1+E5/100)</f>
        <v>5175.793728</v>
      </c>
      <c r="F6" s="0" t="n">
        <f aca="false">E6*(1+F5/100)</f>
        <v>5486.34135168</v>
      </c>
      <c r="G6" s="0" t="n">
        <f aca="false">F6*(1+G5/100)</f>
        <v>5760.658419264</v>
      </c>
      <c r="H6" s="0" t="n">
        <f aca="false">G6*(1+H5/100)</f>
        <v>6019.88804813088</v>
      </c>
      <c r="I6" s="0" t="n">
        <f aca="false">H6*(1+I5/100)</f>
        <v>6260.68357005612</v>
      </c>
      <c r="J6" s="0" t="n">
        <f aca="false">I6*(1+J5/100)</f>
        <v>6479.80749500808</v>
      </c>
      <c r="K6" s="0" t="n">
        <f aca="false">J6*(1+K5/100)</f>
        <v>6674.20171985832</v>
      </c>
      <c r="L6" s="0" t="n">
        <f aca="false">K6*(1+L5/100)</f>
        <v>6874.42777145407</v>
      </c>
    </row>
    <row r="7" customFormat="false" ht="15" hidden="false" customHeight="false" outlineLevel="0" collapsed="false">
      <c r="A7" s="0" t="s">
        <v>96</v>
      </c>
      <c r="C7" s="4" t="n">
        <f aca="false">Assumptions!C42</f>
        <v>96.5</v>
      </c>
      <c r="D7" s="4" t="n">
        <f aca="false">Assumptions!D42</f>
        <v>96.5</v>
      </c>
      <c r="E7" s="4" t="n">
        <f aca="false">Assumptions!E42</f>
        <v>96.5</v>
      </c>
      <c r="F7" s="4" t="n">
        <f aca="false">Assumptions!F42</f>
        <v>96.5</v>
      </c>
      <c r="G7" s="4" t="n">
        <f aca="false">Assumptions!G42</f>
        <v>96.5</v>
      </c>
      <c r="H7" s="4" t="n">
        <f aca="false">Assumptions!H42</f>
        <v>96.5</v>
      </c>
      <c r="I7" s="4" t="n">
        <f aca="false">Assumptions!I42</f>
        <v>96.5</v>
      </c>
      <c r="J7" s="4" t="n">
        <f aca="false">Assumptions!J42</f>
        <v>96.5</v>
      </c>
      <c r="K7" s="4" t="n">
        <f aca="false">Assumptions!K42</f>
        <v>96.5</v>
      </c>
      <c r="L7" s="4" t="n">
        <f aca="false">Assumptions!L42</f>
        <v>96.5</v>
      </c>
    </row>
    <row r="8" customFormat="false" ht="15" hidden="false" customHeight="false" outlineLevel="0" collapsed="false">
      <c r="A8" s="0" t="s">
        <v>43</v>
      </c>
      <c r="C8" s="0" t="n">
        <f aca="false">C6*C7/100</f>
        <v>4322.1192</v>
      </c>
      <c r="D8" s="0" t="n">
        <f aca="false">D6*D7/100</f>
        <v>4667.888736</v>
      </c>
      <c r="E8" s="0" t="n">
        <f aca="false">E6*E7/100</f>
        <v>4994.64094752</v>
      </c>
      <c r="F8" s="0" t="n">
        <f aca="false">F6*F7/100</f>
        <v>5294.3194043712</v>
      </c>
      <c r="G8" s="0" t="n">
        <f aca="false">G6*G7/100</f>
        <v>5559.03537458976</v>
      </c>
      <c r="H8" s="0" t="n">
        <f aca="false">H6*H7/100</f>
        <v>5809.1919664463</v>
      </c>
      <c r="I8" s="0" t="n">
        <f aca="false">I6*I7/100</f>
        <v>6041.55964510415</v>
      </c>
      <c r="J8" s="0" t="n">
        <f aca="false">J6*J7/100</f>
        <v>6253.0142326828</v>
      </c>
      <c r="K8" s="0" t="n">
        <f aca="false">K6*K7/100</f>
        <v>6440.60465966328</v>
      </c>
      <c r="L8" s="0" t="n">
        <f aca="false">L6*L7/100</f>
        <v>6633.82279945318</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4322.1192</v>
      </c>
      <c r="D11" s="0" t="n">
        <f aca="false">D8+D10+D24</f>
        <v>4667.888736</v>
      </c>
      <c r="E11" s="0" t="n">
        <f aca="false">E8+E10+E24</f>
        <v>4994.64094752</v>
      </c>
      <c r="F11" s="0" t="n">
        <f aca="false">F8+F10+F24</f>
        <v>5294.3194043712</v>
      </c>
      <c r="G11" s="0" t="n">
        <f aca="false">G8+G10+G24</f>
        <v>5559.03537458976</v>
      </c>
      <c r="H11" s="0" t="n">
        <f aca="false">H8+H10+H24</f>
        <v>5809.1919664463</v>
      </c>
      <c r="I11" s="0" t="n">
        <f aca="false">I8+I10+I24</f>
        <v>6041.55964510415</v>
      </c>
      <c r="J11" s="0" t="n">
        <f aca="false">J8+J10+J24</f>
        <v>6253.0142326828</v>
      </c>
      <c r="K11" s="0" t="n">
        <f aca="false">K8+K10+K24</f>
        <v>6440.60465966328</v>
      </c>
      <c r="L11" s="0" t="n">
        <f aca="false">L8+L10+L24</f>
        <v>6633.82279945318</v>
      </c>
    </row>
    <row r="12" customFormat="false" ht="15" hidden="false" customHeight="false" outlineLevel="0" collapsed="false">
      <c r="A12" s="0" t="s">
        <v>114</v>
      </c>
      <c r="C12" s="4" t="n">
        <f aca="false">-C6*Assumptions!C45/100</f>
        <v>-8.95776</v>
      </c>
      <c r="D12" s="4" t="n">
        <f aca="false">-D6*Assumptions!D45/100</f>
        <v>-9.6743808</v>
      </c>
      <c r="E12" s="4" t="n">
        <f aca="false">-E6*Assumptions!E45/100</f>
        <v>-10.351587456</v>
      </c>
      <c r="F12" s="4" t="n">
        <f aca="false">-F6*Assumptions!F45/100</f>
        <v>-10.97268270336</v>
      </c>
      <c r="G12" s="4" t="n">
        <f aca="false">-G6*Assumptions!G45/100</f>
        <v>-11.521316838528</v>
      </c>
      <c r="H12" s="4" t="n">
        <f aca="false">-H6*Assumptions!H45/100</f>
        <v>-12.0397760962618</v>
      </c>
      <c r="I12" s="4" t="n">
        <f aca="false">-I6*Assumptions!I45/100</f>
        <v>-12.5213671401122</v>
      </c>
      <c r="J12" s="4" t="n">
        <f aca="false">-J6*Assumptions!J45/100</f>
        <v>-12.9596149900162</v>
      </c>
      <c r="K12" s="4" t="n">
        <f aca="false">-K6*Assumptions!K45/100</f>
        <v>-13.3484034397166</v>
      </c>
      <c r="L12" s="4" t="n">
        <f aca="false">-L6*Assumptions!L45/100</f>
        <v>-13.7488555429081</v>
      </c>
    </row>
    <row r="13" customFormat="false" ht="15" hidden="false" customHeight="false" outlineLevel="0" collapsed="false">
      <c r="A13" s="0" t="s">
        <v>115</v>
      </c>
      <c r="C13" s="0" t="n">
        <f aca="false">C11+C12</f>
        <v>4313.16144</v>
      </c>
      <c r="D13" s="0" t="n">
        <f aca="false">D11+D12</f>
        <v>4658.2143552</v>
      </c>
      <c r="E13" s="0" t="n">
        <f aca="false">E11+E12</f>
        <v>4984.289360064</v>
      </c>
      <c r="F13" s="0" t="n">
        <f aca="false">F11+F12</f>
        <v>5283.34672166784</v>
      </c>
      <c r="G13" s="0" t="n">
        <f aca="false">G11+G12</f>
        <v>5547.51405775123</v>
      </c>
      <c r="H13" s="0" t="n">
        <f aca="false">H11+H12</f>
        <v>5797.15219035004</v>
      </c>
      <c r="I13" s="0" t="n">
        <f aca="false">I11+I12</f>
        <v>6029.03827796404</v>
      </c>
      <c r="J13" s="0" t="n">
        <f aca="false">J11+J12</f>
        <v>6240.05461769278</v>
      </c>
      <c r="K13" s="0" t="n">
        <f aca="false">K11+K12</f>
        <v>6427.25625622356</v>
      </c>
      <c r="L13" s="0" t="n">
        <f aca="false">L11+L12</f>
        <v>6620.07394391027</v>
      </c>
    </row>
    <row r="14" customFormat="false" ht="15" hidden="false" customHeight="false" outlineLevel="0" collapsed="false">
      <c r="A14" s="0" t="s">
        <v>101</v>
      </c>
      <c r="C14" s="4" t="n">
        <f aca="false">Assumptions!C47</f>
        <v>4</v>
      </c>
      <c r="D14" s="4" t="n">
        <f aca="false">Assumptions!D47</f>
        <v>4</v>
      </c>
      <c r="E14" s="4" t="n">
        <f aca="false">Assumptions!E47</f>
        <v>4</v>
      </c>
      <c r="F14" s="4" t="n">
        <f aca="false">Assumptions!F47</f>
        <v>4</v>
      </c>
      <c r="G14" s="4" t="n">
        <f aca="false">Assumptions!G47</f>
        <v>4</v>
      </c>
      <c r="H14" s="4" t="n">
        <f aca="false">Assumptions!H47</f>
        <v>4</v>
      </c>
      <c r="I14" s="4" t="n">
        <f aca="false">Assumptions!I47</f>
        <v>4</v>
      </c>
      <c r="J14" s="4" t="n">
        <f aca="false">Assumptions!J47</f>
        <v>4</v>
      </c>
      <c r="K14" s="4" t="n">
        <f aca="false">Assumptions!K47</f>
        <v>4</v>
      </c>
      <c r="L14" s="4" t="n">
        <f aca="false">Assumptions!L47</f>
        <v>4</v>
      </c>
    </row>
    <row r="15" customFormat="false" ht="15" hidden="false" customHeight="false" outlineLevel="0" collapsed="false">
      <c r="A15" s="0" t="s">
        <v>116</v>
      </c>
      <c r="C15" s="0" t="n">
        <f aca="false">C13-MAX(0,C13)*C14/100</f>
        <v>4140.6349824</v>
      </c>
      <c r="D15" s="0" t="n">
        <f aca="false">D13-MAX(0,D13)*D14/100</f>
        <v>4471.885780992</v>
      </c>
      <c r="E15" s="0" t="n">
        <f aca="false">E13-MAX(0,E13)*E14/100</f>
        <v>4784.91778566144</v>
      </c>
      <c r="F15" s="0" t="n">
        <f aca="false">F13-MAX(0,F13)*F14/100</f>
        <v>5072.01285280113</v>
      </c>
      <c r="G15" s="0" t="n">
        <f aca="false">G13-MAX(0,G13)*G14/100</f>
        <v>5325.61349544119</v>
      </c>
      <c r="H15" s="0" t="n">
        <f aca="false">H13-MAX(0,H13)*H14/100</f>
        <v>5565.26610273604</v>
      </c>
      <c r="I15" s="0" t="n">
        <f aca="false">I13-MAX(0,I13)*I14/100</f>
        <v>5787.87674684548</v>
      </c>
      <c r="J15" s="0" t="n">
        <f aca="false">J13-MAX(0,J13)*J14/100</f>
        <v>5990.45243298507</v>
      </c>
      <c r="K15" s="0" t="n">
        <f aca="false">K13-MAX(0,K13)*K14/100</f>
        <v>6170.16600597462</v>
      </c>
      <c r="L15" s="0" t="n">
        <f aca="false">L13-MAX(0,L13)*L14/100</f>
        <v>6355.27098615386</v>
      </c>
    </row>
    <row r="16" customFormat="false" ht="15" hidden="false" customHeight="false" outlineLevel="0" collapsed="false">
      <c r="A16" s="0" t="s">
        <v>117</v>
      </c>
      <c r="C16" s="0" t="n">
        <f aca="false">-C12</f>
        <v>8.95776</v>
      </c>
      <c r="D16" s="0" t="n">
        <f aca="false">-D12</f>
        <v>9.6743808</v>
      </c>
      <c r="E16" s="0" t="n">
        <f aca="false">-E12</f>
        <v>10.351587456</v>
      </c>
      <c r="F16" s="0" t="n">
        <f aca="false">-F12</f>
        <v>10.97268270336</v>
      </c>
      <c r="G16" s="0" t="n">
        <f aca="false">-G12</f>
        <v>11.521316838528</v>
      </c>
      <c r="H16" s="0" t="n">
        <f aca="false">-H12</f>
        <v>12.0397760962618</v>
      </c>
      <c r="I16" s="0" t="n">
        <f aca="false">-I12</f>
        <v>12.5213671401122</v>
      </c>
      <c r="J16" s="0" t="n">
        <f aca="false">-J12</f>
        <v>12.9596149900162</v>
      </c>
      <c r="K16" s="0" t="n">
        <f aca="false">-K12</f>
        <v>13.3484034397166</v>
      </c>
      <c r="L16" s="0" t="n">
        <f aca="false">-L12</f>
        <v>13.7488555429081</v>
      </c>
    </row>
    <row r="17" customFormat="false" ht="15" hidden="false" customHeight="false" outlineLevel="0" collapsed="false">
      <c r="A17" s="0" t="s">
        <v>118</v>
      </c>
      <c r="C17" s="4" t="n">
        <f aca="false">-C6*Assumptions!C46/100</f>
        <v>-223.944</v>
      </c>
      <c r="D17" s="4" t="n">
        <f aca="false">-D6*Assumptions!D46/100</f>
        <v>-386.975232</v>
      </c>
      <c r="E17" s="4" t="n">
        <f aca="false">-E6*Assumptions!E46/100</f>
        <v>-517.5793728</v>
      </c>
      <c r="F17" s="4" t="n">
        <f aca="false">-F6*Assumptions!F46/100</f>
        <v>-658.3609622016</v>
      </c>
      <c r="G17" s="4" t="n">
        <f aca="false">-G6*Assumptions!G46/100</f>
        <v>-748.88559450432</v>
      </c>
      <c r="H17" s="4" t="n">
        <f aca="false">-H6*Assumptions!H46/100</f>
        <v>-782.585446257014</v>
      </c>
      <c r="I17" s="4" t="n">
        <f aca="false">-I6*Assumptions!I46/100</f>
        <v>-751.282028406734</v>
      </c>
      <c r="J17" s="4" t="n">
        <f aca="false">-J6*Assumptions!J46/100</f>
        <v>-712.778824450889</v>
      </c>
      <c r="K17" s="4" t="n">
        <f aca="false">-K6*Assumptions!K46/100</f>
        <v>-667.420171985832</v>
      </c>
      <c r="L17" s="4" t="n">
        <f aca="false">-L6*Assumptions!L46/100</f>
        <v>-687.442777145407</v>
      </c>
    </row>
    <row r="18" customFormat="false" ht="15" hidden="false" customHeight="false" outlineLevel="0" collapsed="false">
      <c r="A18" s="0" t="s">
        <v>119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120</v>
      </c>
      <c r="C19" s="0" t="n">
        <f aca="false">C15+C16+C17+C18</f>
        <v>3925.6487424</v>
      </c>
      <c r="D19" s="0" t="n">
        <f aca="false">D15+D16+D17+D18</f>
        <v>4094.584929792</v>
      </c>
      <c r="E19" s="0" t="n">
        <f aca="false">E15+E16+E17+E18</f>
        <v>4277.69000031744</v>
      </c>
      <c r="F19" s="0" t="n">
        <f aca="false">F15+F16+F17+F18</f>
        <v>4424.62457330289</v>
      </c>
      <c r="G19" s="0" t="n">
        <f aca="false">G15+G16+G17+G18</f>
        <v>4588.24921777539</v>
      </c>
      <c r="H19" s="0" t="n">
        <f aca="false">H15+H16+H17+H18</f>
        <v>4794.72043257528</v>
      </c>
      <c r="I19" s="0" t="n">
        <f aca="false">I15+I16+I17+I18</f>
        <v>5049.11608557886</v>
      </c>
      <c r="J19" s="0" t="n">
        <f aca="false">J15+J16+J17+J18</f>
        <v>5290.6332235242</v>
      </c>
      <c r="K19" s="0" t="n">
        <f aca="false">K15+K16+K17+K18</f>
        <v>5516.09423742851</v>
      </c>
      <c r="L19" s="0" t="n">
        <f aca="false">L15+L16+L17+L18</f>
        <v>5681.57706455136</v>
      </c>
    </row>
    <row r="20" customFormat="false" ht="15" hidden="false" customHeight="false" outlineLevel="0" collapsed="false">
      <c r="A20" s="0" t="s">
        <v>121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122</v>
      </c>
      <c r="C21" s="0" t="n">
        <f aca="false">C19*C20</f>
        <v>3634.85994666667</v>
      </c>
      <c r="D21" s="0" t="n">
        <f aca="false">D19*D20</f>
        <v>3510.44661333333</v>
      </c>
      <c r="E21" s="0" t="n">
        <f aca="false">E19*E20</f>
        <v>3395.76823934156</v>
      </c>
      <c r="F21" s="0" t="n">
        <f aca="false">F19*F20</f>
        <v>3252.23114879439</v>
      </c>
      <c r="G21" s="0" t="n">
        <f aca="false">G19*G20</f>
        <v>3122.68532142119</v>
      </c>
      <c r="H21" s="0" t="n">
        <f aca="false">H19*H20</f>
        <v>3021.48718600476</v>
      </c>
      <c r="I21" s="0" t="n">
        <f aca="false">I19*I20</f>
        <v>2946.1107404988</v>
      </c>
      <c r="J21" s="0" t="n">
        <f aca="false">J19*J20</f>
        <v>2858.36450998251</v>
      </c>
      <c r="K21" s="0" t="n">
        <f aca="false">K19*K20</f>
        <v>2759.4204448734</v>
      </c>
      <c r="L21" s="0" t="n">
        <f aca="false">L19*L20</f>
        <v>2631.66949835149</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8</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18</v>
      </c>
    </row>
    <row r="30" customFormat="false" ht="15" hidden="false" customHeight="false" outlineLevel="0" collapsed="false">
      <c r="A30" s="0" t="s">
        <v>125</v>
      </c>
      <c r="B30" s="0" t="n">
        <f aca="false">SUM(C21:L21)</f>
        <v>31133.0436492681</v>
      </c>
    </row>
    <row r="31" customFormat="false" ht="15" hidden="false" customHeight="false" outlineLevel="0" collapsed="false">
      <c r="A31" s="0" t="s">
        <v>126</v>
      </c>
      <c r="B31" s="0" t="n">
        <f aca="false">L19</f>
        <v>5681.57706455136</v>
      </c>
    </row>
    <row r="32" customFormat="false" ht="15" hidden="false" customHeight="false" outlineLevel="0" collapsed="false">
      <c r="A32" s="0" t="s">
        <v>127</v>
      </c>
      <c r="B32" s="0" t="n">
        <f aca="false">IF(B27&gt;B28,B31*(1+B28/100)/((B27-B28)/100),B31*B29)</f>
        <v>105883.936203003</v>
      </c>
    </row>
    <row r="33" customFormat="false" ht="15" hidden="false" customHeight="false" outlineLevel="0" collapsed="false">
      <c r="A33" s="0" t="s">
        <v>128</v>
      </c>
      <c r="B33" s="0" t="n">
        <f aca="false">B31*B29</f>
        <v>102268.387161925</v>
      </c>
    </row>
    <row r="34" customFormat="false" ht="15" hidden="false" customHeight="false" outlineLevel="0" collapsed="false">
      <c r="A34" s="0" t="s">
        <v>129</v>
      </c>
      <c r="B34" s="0" t="n">
        <f aca="false">MAX(0,MIN(B32,B33))</f>
        <v>102268.387161925</v>
      </c>
    </row>
    <row r="35" customFormat="false" ht="15" hidden="false" customHeight="false" outlineLevel="0" collapsed="false">
      <c r="A35" s="0" t="s">
        <v>130</v>
      </c>
      <c r="B35" s="0" t="n">
        <f aca="false">B34/(1+B27/100)^L4</f>
        <v>47370.0509703267</v>
      </c>
    </row>
    <row r="36" customFormat="false" ht="15" hidden="false" customHeight="false" outlineLevel="0" collapsed="false">
      <c r="A36" s="0" t="s">
        <v>131</v>
      </c>
      <c r="B36" s="0" t="n">
        <f aca="false">B30+B35</f>
        <v>78503.0946195949</v>
      </c>
    </row>
    <row r="37" customFormat="false" ht="15" hidden="false" customHeight="false" outlineLevel="0" collapsed="false">
      <c r="A37" s="0" t="s">
        <v>132</v>
      </c>
      <c r="B37" s="0" t="n">
        <f aca="false">B36+Assumptions!$B$5-Assumptions!$B$4</f>
        <v>121008.094619595</v>
      </c>
    </row>
    <row r="38" customFormat="false" ht="15" hidden="false" customHeight="false" outlineLevel="0" collapsed="false">
      <c r="A38" s="0" t="s">
        <v>133</v>
      </c>
      <c r="B38" s="0" t="n">
        <f aca="false">B37/Assumptions!$B$3*Assumptions!$B$10</f>
        <v>56.7846525666799</v>
      </c>
    </row>
    <row r="39" customFormat="false" ht="15" hidden="false" customHeight="false" outlineLevel="0" collapsed="false">
      <c r="A39" s="0" t="s">
        <v>134</v>
      </c>
      <c r="B39" s="4" t="n">
        <f aca="false">B38/Assumptions!$B$2-1</f>
        <v>-0.0399889675962823</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56.7846525666799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46588.9319293212</v>
      </c>
    </row>
    <row r="47" customFormat="false" ht="15" hidden="false" customHeight="false" outlineLevel="0" collapsed="false">
      <c r="A47" s="0" t="s">
        <v>139</v>
      </c>
      <c r="B47" s="0" t="n">
        <f aca="false">(SUMPRODUCT(C19:L19/(1+B45/100)^C4:L4)+B46/(1+B45/100)^L4+Assumptions!$B$5-Assumptions!$B$4)/Assumptions!$B$3*Assumptions!$B$10</f>
        <v>36.0522584057955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41.2094251218161</v>
      </c>
      <c r="C4" s="0" t="n">
        <f aca="false">B4/Assumptions!$B$2-1</f>
        <v>-0.303306422285442</v>
      </c>
      <c r="D4" s="4" t="n">
        <f aca="false">Assumptions!$B$24</f>
        <v>0.25</v>
      </c>
      <c r="E4" s="4" t="n">
        <f aca="false">DCF_Bear!$B$43</f>
        <v>41.2094251218161</v>
      </c>
      <c r="F4" s="4" t="n">
        <f aca="false">DCF_Bear!$B$47</f>
        <v>31.8642865344754</v>
      </c>
    </row>
    <row r="5" customFormat="false" ht="15" hidden="false" customHeight="false" outlineLevel="0" collapsed="false">
      <c r="A5" s="0" t="s">
        <v>148</v>
      </c>
      <c r="B5" s="4" t="n">
        <f aca="false">DCF_Base!$B$38</f>
        <v>49.6126791834645</v>
      </c>
      <c r="C5" s="0" t="n">
        <f aca="false">B5/Assumptions!$B$2-1</f>
        <v>-0.161239574244049</v>
      </c>
      <c r="D5" s="4" t="n">
        <f aca="false">Assumptions!$B$38</f>
        <v>0.5</v>
      </c>
      <c r="E5" s="4" t="n">
        <f aca="false">DCF_Base!$B$43</f>
        <v>49.6126791834645</v>
      </c>
      <c r="F5" s="4" t="n">
        <f aca="false">DCF_Base!$B$47</f>
        <v>34.1101506610742</v>
      </c>
    </row>
    <row r="6" customFormat="false" ht="15" hidden="false" customHeight="false" outlineLevel="0" collapsed="false">
      <c r="A6" s="0" t="s">
        <v>149</v>
      </c>
      <c r="B6" s="4" t="n">
        <f aca="false">DCF_Bull!$B$38</f>
        <v>56.7846525666799</v>
      </c>
      <c r="C6" s="0" t="n">
        <f aca="false">B6/Assumptions!$B$2-1</f>
        <v>-0.0399889675962823</v>
      </c>
      <c r="D6" s="4" t="n">
        <f aca="false">Assumptions!$B$52</f>
        <v>0.25</v>
      </c>
      <c r="E6" s="4" t="n">
        <f aca="false">DCF_Bull!$B$43</f>
        <v>56.7846525666799</v>
      </c>
      <c r="F6" s="4" t="n">
        <f aca="false">DCF_Bull!$B$47</f>
        <v>36.0522584057955</v>
      </c>
    </row>
    <row r="8" customFormat="false" ht="15" hidden="false" customHeight="false" outlineLevel="0" collapsed="false">
      <c r="A8" s="0" t="s">
        <v>150</v>
      </c>
      <c r="B8" s="0" t="n">
        <f aca="false">SUMPRODUCT(B4:B6,D4:D6)</f>
        <v>49.3048590138563</v>
      </c>
    </row>
    <row r="9" customFormat="false" ht="15" hidden="false" customHeight="false" outlineLevel="0" collapsed="false">
      <c r="A9" s="0" t="s">
        <v>151</v>
      </c>
      <c r="B9" s="0" t="n">
        <f aca="false">SUMPRODUCT(E4:E6,D4:D6)</f>
        <v>49.3048590138563</v>
      </c>
    </row>
    <row r="10" customFormat="false" ht="15" hidden="false" customHeight="false" outlineLevel="0" collapsed="false">
      <c r="A10" s="0" t="s">
        <v>152</v>
      </c>
      <c r="B10" s="0" t="n">
        <f aca="false">1-Assumptions!$B$2/B8</f>
        <v>-0.19967891974657</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34.0342115656048</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49.6126791834645</v>
      </c>
      <c r="C15" s="3" t="n">
        <v>8</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46.2485784504461</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42.9612047693078</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40.4043148741667</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38.3587649943612</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34.1101506610742</v>
      </c>
      <c r="C20" s="3" t="n">
        <v>15</v>
      </c>
    </row>
    <row r="22" customFormat="false" ht="15" hidden="false" customHeight="false" outlineLevel="0" collapsed="false">
      <c r="A22" s="2" t="s">
        <v>163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54.3020821974644</v>
      </c>
      <c r="C24" s="0" t="n">
        <f aca="false">(SUMPRODUCT(DCF_Base!$C$19:$L$19/(1+$A$24/100)^DCF_Base!$C$4:$L$4)+MAX(0,MIN(IF($A$24&gt;$C$23,DCF_Base!$L$19*(1+$C$23/100)/(($A$24-$C$23)/100),DCF_Base!$L$19*DCF_Base!$B$29),DCF_Base!$L$19*DCF_Base!$B$29))/(1+$A$24/100)^DCF_Base!$L$4+Assumptions!$B$5-Assumptions!$B$4)/Assumptions!$B$3*Assumptions!$B$10</f>
        <v>54.3020821974644</v>
      </c>
      <c r="D24" s="0" t="n">
        <f aca="false">(SUMPRODUCT(DCF_Base!$C$19:$L$19/(1+$A$24/100)^DCF_Base!$C$4:$L$4)+MAX(0,MIN(IF($A$24&gt;$D$23,DCF_Base!$L$19*(1+$D$23/100)/(($A$24-$D$23)/100),DCF_Base!$L$19*DCF_Base!$B$29),DCF_Base!$L$19*DCF_Base!$B$29))/(1+$A$24/100)^DCF_Base!$L$4+Assumptions!$B$5-Assumptions!$B$4)/Assumptions!$B$3*Assumptions!$B$10</f>
        <v>54.3020821974644</v>
      </c>
      <c r="E24" s="0" t="n">
        <f aca="false">(SUMPRODUCT(DCF_Base!$C$19:$L$19/(1+$A$24/100)^DCF_Base!$C$4:$L$4)+MAX(0,MIN(IF($A$24&gt;$E$23,DCF_Base!$L$19*(1+$E$23/100)/(($A$24-$E$23)/100),DCF_Base!$L$19*DCF_Base!$B$29),DCF_Base!$L$19*DCF_Base!$B$29))/(1+$A$24/100)^DCF_Base!$L$4+Assumptions!$B$5-Assumptions!$B$4)/Assumptions!$B$3*Assumptions!$B$10</f>
        <v>54.3020821974644</v>
      </c>
      <c r="F24" s="0" t="n">
        <f aca="false">(SUMPRODUCT(DCF_Base!$C$19:$L$19/(1+$A$24/100)^DCF_Base!$C$4:$L$4)+MAX(0,MIN(IF($A$24&gt;$F$23,DCF_Base!$L$19*(1+$F$23/100)/(($A$24-$F$23)/100),DCF_Base!$L$19*DCF_Base!$B$29),DCF_Base!$L$19*DCF_Base!$B$29))/(1+$A$24/100)^DCF_Base!$L$4+Assumptions!$B$5-Assumptions!$B$4)/Assumptions!$B$3*Assumptions!$B$10</f>
        <v>54.3020821974644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51.8472478666973</v>
      </c>
      <c r="C25" s="0" t="n">
        <f aca="false">(SUMPRODUCT(DCF_Base!$C$19:$L$19/(1+$A$25/100)^DCF_Base!$C$4:$L$4)+MAX(0,MIN(IF($A$25&gt;$C$23,DCF_Base!$L$19*(1+$C$23/100)/(($A$25-$C$23)/100),DCF_Base!$L$19*DCF_Base!$B$29),DCF_Base!$L$19*DCF_Base!$B$29))/(1+$A$25/100)^DCF_Base!$L$4+Assumptions!$B$5-Assumptions!$B$4)/Assumptions!$B$3*Assumptions!$B$10</f>
        <v>51.8472478666973</v>
      </c>
      <c r="D25" s="0" t="n">
        <f aca="false">(SUMPRODUCT(DCF_Base!$C$19:$L$19/(1+$A$25/100)^DCF_Base!$C$4:$L$4)+MAX(0,MIN(IF($A$25&gt;$D$23,DCF_Base!$L$19*(1+$D$23/100)/(($A$25-$D$23)/100),DCF_Base!$L$19*DCF_Base!$B$29),DCF_Base!$L$19*DCF_Base!$B$29))/(1+$A$25/100)^DCF_Base!$L$4+Assumptions!$B$5-Assumptions!$B$4)/Assumptions!$B$3*Assumptions!$B$10</f>
        <v>51.8472478666973</v>
      </c>
      <c r="E25" s="0" t="n">
        <f aca="false">(SUMPRODUCT(DCF_Base!$C$19:$L$19/(1+$A$25/100)^DCF_Base!$C$4:$L$4)+MAX(0,MIN(IF($A$25&gt;$E$23,DCF_Base!$L$19*(1+$E$23/100)/(($A$25-$E$23)/100),DCF_Base!$L$19*DCF_Base!$B$29),DCF_Base!$L$19*DCF_Base!$B$29))/(1+$A$25/100)^DCF_Base!$L$4+Assumptions!$B$5-Assumptions!$B$4)/Assumptions!$B$3*Assumptions!$B$10</f>
        <v>51.8472478666973</v>
      </c>
      <c r="F25" s="0" t="n">
        <f aca="false">(SUMPRODUCT(DCF_Base!$C$19:$L$19/(1+$A$25/100)^DCF_Base!$C$4:$L$4)+MAX(0,MIN(IF($A$25&gt;$F$23,DCF_Base!$L$19*(1+$F$23/100)/(($A$25-$F$23)/100),DCF_Base!$L$19*DCF_Base!$B$29),DCF_Base!$L$19*DCF_Base!$B$29))/(1+$A$25/100)^DCF_Base!$L$4+Assumptions!$B$5-Assumptions!$B$4)/Assumptions!$B$3*Assumptions!$B$10</f>
        <v>51.8472478666973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48.0113991281381</v>
      </c>
      <c r="C26" s="0" t="n">
        <f aca="false">(SUMPRODUCT(DCF_Base!$C$19:$L$19/(1+$A$26/100)^DCF_Base!$C$4:$L$4)+MAX(0,MIN(IF($A$26&gt;$C$23,DCF_Base!$L$19*(1+$C$23/100)/(($A$26-$C$23)/100),DCF_Base!$L$19*DCF_Base!$B$29),DCF_Base!$L$19*DCF_Base!$B$29))/(1+$A$26/100)^DCF_Base!$L$4+Assumptions!$B$5-Assumptions!$B$4)/Assumptions!$B$3*Assumptions!$B$10</f>
        <v>49.2207574916014</v>
      </c>
      <c r="D26" s="0" t="n">
        <f aca="false">(SUMPRODUCT(DCF_Base!$C$19:$L$19/(1+$A$26/100)^DCF_Base!$C$4:$L$4)+MAX(0,MIN(IF($A$26&gt;$D$23,DCF_Base!$L$19*(1+$D$23/100)/(($A$26-$D$23)/100),DCF_Base!$L$19*DCF_Base!$B$29),DCF_Base!$L$19*DCF_Base!$B$29))/(1+$A$26/100)^DCF_Base!$L$4+Assumptions!$B$5-Assumptions!$B$4)/Assumptions!$B$3*Assumptions!$B$10</f>
        <v>49.6126791834645</v>
      </c>
      <c r="E26" s="0" t="n">
        <f aca="false">(SUMPRODUCT(DCF_Base!$C$19:$L$19/(1+$A$26/100)^DCF_Base!$C$4:$L$4)+MAX(0,MIN(IF($A$26&gt;$E$23,DCF_Base!$L$19*(1+$E$23/100)/(($A$26-$E$23)/100),DCF_Base!$L$19*DCF_Base!$B$29),DCF_Base!$L$19*DCF_Base!$B$29))/(1+$A$26/100)^DCF_Base!$L$4+Assumptions!$B$5-Assumptions!$B$4)/Assumptions!$B$3*Assumptions!$B$10</f>
        <v>49.6126791834645</v>
      </c>
      <c r="F26" s="0" t="n">
        <f aca="false">(SUMPRODUCT(DCF_Base!$C$19:$L$19/(1+$A$26/100)^DCF_Base!$C$4:$L$4)+MAX(0,MIN(IF($A$26&gt;$F$23,DCF_Base!$L$19*(1+$F$23/100)/(($A$26-$F$23)/100),DCF_Base!$L$19*DCF_Base!$B$29),DCF_Base!$L$19*DCF_Base!$B$29))/(1+$A$26/100)^DCF_Base!$L$4+Assumptions!$B$5-Assumptions!$B$4)/Assumptions!$B$3*Assumptions!$B$10</f>
        <v>49.6126791834645</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44.4398069954585</v>
      </c>
      <c r="C27" s="0" t="n">
        <f aca="false">(SUMPRODUCT(DCF_Base!$C$19:$L$19/(1+$A$27/100)^DCF_Base!$C$4:$L$4)+MAX(0,MIN(IF($A$27&gt;$C$23,DCF_Base!$L$19*(1+$C$23/100)/(($A$27-$C$23)/100),DCF_Base!$L$19*DCF_Base!$B$29),DCF_Base!$L$19*DCF_Base!$B$29))/(1+$A$27/100)^DCF_Base!$L$4+Assumptions!$B$5-Assumptions!$B$4)/Assumptions!$B$3*Assumptions!$B$10</f>
        <v>45.2839003411194</v>
      </c>
      <c r="D27" s="0" t="n">
        <f aca="false">(SUMPRODUCT(DCF_Base!$C$19:$L$19/(1+$A$27/100)^DCF_Base!$C$4:$L$4)+MAX(0,MIN(IF($A$27&gt;$D$23,DCF_Base!$L$19*(1+$D$23/100)/(($A$27-$D$23)/100),DCF_Base!$L$19*DCF_Base!$B$29),DCF_Base!$L$19*DCF_Base!$B$29))/(1+$A$27/100)^DCF_Base!$L$4+Assumptions!$B$5-Assumptions!$B$4)/Assumptions!$B$3*Assumptions!$B$10</f>
        <v>46.2485784504461</v>
      </c>
      <c r="E27" s="0" t="n">
        <f aca="false">(SUMPRODUCT(DCF_Base!$C$19:$L$19/(1+$A$27/100)^DCF_Base!$C$4:$L$4)+MAX(0,MIN(IF($A$27&gt;$E$23,DCF_Base!$L$19*(1+$E$23/100)/(($A$27-$E$23)/100),DCF_Base!$L$19*DCF_Base!$B$29),DCF_Base!$L$19*DCF_Base!$B$29))/(1+$A$27/100)^DCF_Base!$L$4+Assumptions!$B$5-Assumptions!$B$4)/Assumptions!$B$3*Assumptions!$B$10</f>
        <v>47.3616685765923</v>
      </c>
      <c r="F27" s="0" t="n">
        <f aca="false">(SUMPRODUCT(DCF_Base!$C$19:$L$19/(1+$A$27/100)^DCF_Base!$C$4:$L$4)+MAX(0,MIN(IF($A$27&gt;$F$23,DCF_Base!$L$19*(1+$F$23/100)/(($A$27-$F$23)/100),DCF_Base!$L$19*DCF_Base!$B$29),DCF_Base!$L$19*DCF_Base!$B$29))/(1+$A$27/100)^DCF_Base!$L$4+Assumptions!$B$5-Assumptions!$B$4)/Assumptions!$B$3*Assumptions!$B$10</f>
        <v>47.5761171330058</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41.6653881631547</v>
      </c>
      <c r="C28" s="0" t="n">
        <f aca="false">(SUMPRODUCT(DCF_Base!$C$19:$L$19/(1+$A$28/100)^DCF_Base!$C$4:$L$4)+MAX(0,MIN(IF($A$28&gt;$C$23,DCF_Base!$L$19*(1+$C$23/100)/(($A$28-$C$23)/100),DCF_Base!$L$19*DCF_Base!$B$29),DCF_Base!$L$19*DCF_Base!$B$29))/(1+$A$28/100)^DCF_Base!$L$4+Assumptions!$B$5-Assumptions!$B$4)/Assumptions!$B$3*Assumptions!$B$10</f>
        <v>42.2751842131091</v>
      </c>
      <c r="D28" s="0" t="n">
        <f aca="false">(SUMPRODUCT(DCF_Base!$C$19:$L$19/(1+$A$28/100)^DCF_Base!$C$4:$L$4)+MAX(0,MIN(IF($A$28&gt;$D$23,DCF_Base!$L$19*(1+$D$23/100)/(($A$28-$D$23)/100),DCF_Base!$L$19*DCF_Base!$B$29),DCF_Base!$L$19*DCF_Base!$B$29))/(1+$A$28/100)^DCF_Base!$L$4+Assumptions!$B$5-Assumptions!$B$4)/Assumptions!$B$3*Assumptions!$B$10</f>
        <v>42.9612047693078</v>
      </c>
      <c r="E28" s="0" t="n">
        <f aca="false">(SUMPRODUCT(DCF_Base!$C$19:$L$19/(1+$A$28/100)^DCF_Base!$C$4:$L$4)+MAX(0,MIN(IF($A$28&gt;$E$23,DCF_Base!$L$19*(1+$E$23/100)/(($A$28-$E$23)/100),DCF_Base!$L$19*DCF_Base!$B$29),DCF_Base!$L$19*DCF_Base!$B$29))/(1+$A$28/100)^DCF_Base!$L$4+Assumptions!$B$5-Assumptions!$B$4)/Assumptions!$B$3*Assumptions!$B$10</f>
        <v>43.7386947329996</v>
      </c>
      <c r="F28" s="0" t="n">
        <f aca="false">(SUMPRODUCT(DCF_Base!$C$19:$L$19/(1+$A$28/100)^DCF_Base!$C$4:$L$4)+MAX(0,MIN(IF($A$28&gt;$F$23,DCF_Base!$L$19*(1+$F$23/100)/(($A$28-$F$23)/100),DCF_Base!$L$19*DCF_Base!$B$29),DCF_Base!$L$19*DCF_Base!$B$29))/(1+$A$28/100)^DCF_Base!$L$4+Assumptions!$B$5-Assumptions!$B$4)/Assumptions!$B$3*Assumptions!$B$10</f>
        <v>44.6272546915046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2026-09-25T17:19:57Z</dcterms:created>
  <dc:creator>openpyxl</dc:creator>
  <dc:description/>
  <dc:language>en-NZ</dc:language>
  <cp:lastModifiedBy/>
  <dcterms:modified xsi:type="dcterms:W3CDTF">2026-09-25T17:19:57Z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