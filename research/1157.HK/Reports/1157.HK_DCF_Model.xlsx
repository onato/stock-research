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<sst xmlns="http://schemas.openxmlformats.org/spreadsheetml/2006/main" count="357" uniqueCount="165">
  <si>
    <t xml:space="preserve">Ticker</t>
  </si>
  <si>
    <t xml:space="preserve">1157.HK</t>
  </si>
  <si>
    <t xml:space="preserve">Company</t>
  </si>
  <si>
    <t xml:space="preserve">Zoomlion Heavy Industry Science and Technology Co., Ltd.</t>
  </si>
  <si>
    <t xml:space="preserve">Valuation date</t>
  </si>
  <si>
    <t xml:space="preserve">2026-10-16</t>
  </si>
  <si>
    <t xml:space="preserve">Current price</t>
  </si>
  <si>
    <t xml:space="preserve">Price as of</t>
  </si>
  <si>
    <t xml:space="preserve">2026-10-16T03:59:56Z (HKEX mid-session print, 11:59 HKT; regular-session intraday, not after-hours; refresh at the next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</si>
  <si>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</si>
  <si>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</si>
  <si>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</si>
  <si>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</si>
  <si>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</si>
  <si>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</si>
  <si>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</si>
  <si>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</si>
  <si>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</si>
  <si>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</si>
  <si>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</si>
  <si>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</si>
  <si>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</si>
  <si>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2026-10-16T04:49:14Z</t>
  </si>
  <si>
    <t xml:space="preserve">Drivers file</t>
  </si>
  <si>
    <t xml:space="preserve">1157.HK_Drivers.json</t>
  </si>
  <si>
    <t xml:space="preserve">Convention</t>
  </si>
  <si>
    <t xml:space="preserve">Percents stored as percents; formulas divide by 100. Blue = input, green = link, black = formula.</t>
  </si>
  <si>
    <t xml:space="preserve">Methodology</t>
  </si>
  <si>
    <t xml:space="preserve">summary: A cyclical manufacturer valued on the cash it can actually return to owners, not on the receivables-and-inventory book it reports as equity. Margins are anchored to a mid-cycle 13% rather than the FY2025 reported 14.1%, capex is allowed to taper only as far as the H1 FY2026 run-rate already shows, and working capital is charged against growth at the rate the last three years actually consumed it. Risk is charged once, in the scenario flows and weights, at a single CNY-built WACC of 8%; the terminal multiple is capped at 13x FCF because no buyer has paid a compounder's multiple for a Chinese construction-machinery OEM through a full cycle. The equity bridge adds the financial-asset and associate stakes whose income is outside EBITDA and deducts minorities once. Values are computed in CNY and converted to HKD at a dated rate with an A-share parity check.
key_risks_to_valuation: Working-capital capture (-35% of revenue growth in base) is the single most sensitive driver: at the FY2023 rate of -53% owner FCF roughly halves; at the bull -25% it rises by a third.; Terminal cap at 13x FCF binds in base and bull (Gordon at 8%/2.5% implies ~18.6x); relaxing the cap toward the Gordon value adds materially to IV and is the re-rating bet, not the house view.; Receivables credit: 47bn of trade receivables and contract assets plus 6.1bn finance-lease receivables and 4.8bn of guarantees; ECL is inside the margin, but a systemic default wave in an export market is in no scenario's flows beyond the bear margin trough.; FX: RMB appreciation against USD/EUR/BRL produced an 823m H1 FY2026 loss; translation and transaction effects are excluded from EBITDA and not modelled.; Capex re-acceleration: management's embodied-robotics and hydrogen programmes could keep capex at the 9% FY2024-25 rate rather than tapering to 3.5%.; Convertible bond: treated as debt at 5.9bn; if the H share rallied above HKD10.02 and holders converted, debt falls by ~6bn but the count rises 543m (~6%); the two roughly offset at that price and the valuation is insensitive to the treatment below it.; Share-count basis: 8,521m excludes 127m unvested restricted A shares paid for via SBC and the CB shares; using the 9,064m diluted figure in the CSV would understate per-share value by ~6% while still carrying the CB in debt.</t>
  </si>
  <si>
    <t xml:space="preserve">Data sources</t>
  </si>
  <si>
    <t xml:space="preserve">price: Yahoo Finance chart API for 1157.HK at inputs.price_as_of; 52-week range HKD 5.18-10.67. A-share parity via 000157.SZ and CNYHKD=X from the same API (see inputs.fx_note).
financials: 1157.HK_Metrics.csv (financial-parser agent, RMB millions, FY2018-H1 FY2026) and the H1 FY2026 interim report for all 30 June 2026 balance-sheet anchors (loans and borrowings note 16, lease liabilities, cash note 15, FVPL note 14, other financial assets note 10, interests in associates, NCI, EPS note 7, guarantees note 21); FY2025 annual report for the income statement, other net income note 4, tax reconciliation note 6(b) and business outlook.
qualitative: 1157.HK_Analysis.json (qualitative-analyst agent; the file was not valid JSON at read time, so its bull_case, bear_case and risks text was read directly) plus the H1 FY2026 MD&amp;A for segment and geographic revenue and management's outlook.</t>
  </si>
  <si>
    <t xml:space="preserve">Scenario narrative: bear</t>
  </si>
  <si>
    <t xml:space="preserve">H1 FY2026 already showed the cost of the growth model: profit fell 24% on +9% revenue (FX loss 823m, gross margin 26.8% vs 28.1%), debt is up 10bn in 18 months to 36.9bn, and receivables plus finance-lease and guarantee exposure (4.8bn of customer-financing guarantees) are the collateral. In the bear a domestic relapse and an overseas trade or credit event hit together in 2027-28, revenue falls 15%, ECL and price cuts take the margin to 9.5%, and, as in FY2022 and FY2024, the receivables book does not unwind to fund the gap. Governance (Hunan SASAC at 17.7%, connected transactions such as the RMB904m finance-leasing stake bought from the parent in 2025) is an overlay, not a separate scenario.</t>
  </si>
  <si>
    <t xml:space="preserve">Scenario narrative: base</t>
  </si>
  <si>
    <t xml:space="preserve">Zoomlion is mid-way through turning from a China-construction cyclical into a globally diversified machinery OEM: overseas is 57% of revenue and growing ~12%, domestic is recovering from an infrastructure-led, not property-led, base. Revenue compounds ~5% blended over ten years, the EBITDA margin drifts from 13% to 14% on mix, capex tapers from the FY2024-25 factory build-out to ~3.5% of revenue, and working capital keeps absorbing about a third of every yuan of revenue growth because the business wins overseas share by financing its customers. Owner FCF turns positive in FY2026 for the first time since FY2020 but stays thin (~3-7% of revenue), which is why the equity value sits well below the book value of RMB57.6bn: the balance sheet is largely receivables and inventory that the model does not treat as liquid.</t>
  </si>
  <si>
    <t xml:space="preserve">Scenario narrative: bull</t>
  </si>
  <si>
    <t xml:space="preserve">The domestic cycle turns up in earnest (excavator sales +17-25% through 2026, equipment-renewal subsidies, Yaxi hydropower-scale projects) at the same time as overseas mining, aerial-platform and agricultural machinery compound, lifting revenue growth to double digits for three years. Mix and scale take the EBITDA margin to 15.5%, the FY2020 peak. Credit insurance, non-recourse factoring and tighter overseas terms cut the WC drag, so the cash conversion that has been missing since FY2020 finally appears. The axes are the domestic cycle, overseas margin, and whether receivables stop eating the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</si>
  <si>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</si>
  <si>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</si>
  <si>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</si>
  <si>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</si>
  <si>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</si>
  <si>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</si>
  <si>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</si>
  <si>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</si>
  <si>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</si>
  <si>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</si>
  <si>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</si>
  <si>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</si>
  <si>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</si>
  <si>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</si>
  <si>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</si>
  <si>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</si>
  <si>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</si>
  <si>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</si>
  <si>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</si>
  <si>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</si>
  <si>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</si>
  <si>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</si>
  <si>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</si>
  <si>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</si>
  <si>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</si>
  <si>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</si>
  <si>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</si>
  <si>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</si>
  <si>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</si>
  <si>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</si>
  <si>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</si>
  <si>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</si>
  <si>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</si>
  <si>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</si>
  <si>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</si>
  <si>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</si>
  <si>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</si>
  <si>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</si>
  <si>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</si>
  <si>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</si>
  <si>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</si>
  <si>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</si>
  <si>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</si>
  <si>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</si>
  <si>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</si>
  <si>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</si>
  <si>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</si>
  <si>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</si>
  <si>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</si>
  <si>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</si>
  <si>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</si>
  <si>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</si>
  <si>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</si>
  <si>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</si>
  <si>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</si>
  <si>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</si>
  <si>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</si>
  <si>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</si>
  <si>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</si>
  <si>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</si>
  <si>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</si>
  <si>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</si>
  <si>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</si>
  <si>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</si>
  <si>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</si>
  <si>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</si>
  <si>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</si>
  <si>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</si>
  <si>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</si>
  <si>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</si>
  <si>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</si>
  <si>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</si>
  <si>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</si>
  <si>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1157.HK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</si>
  <si>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</si>
  <si>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</si>
  <si>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</si>
  <si>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</si>
  <si>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</si>
  <si>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</si>
  <si>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</si>
  <si>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</si>
  <si>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</si>
  <si>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</si>
  <si>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</si>
  <si>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</si>
  <si>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</si>
  <si>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</si>
  <si>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</si>
  <si>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</si>
  <si>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</si>
  <si>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</si>
  <si>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</si>
  <si>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</si>
  <si>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</si>
  <si>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</si>
  <si>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</si>
  <si>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</si>
  <si>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</si>
  <si>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</si>
  <si>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</si>
  <si>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</si>
  <si>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</si>
  <si>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</si>
  <si>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1157.HK owner-FCF component DCF: base case (millions, CNY)</t>
  </si>
  <si>
    <t xml:space="preserve">1157.HK owner-FCF component DCF: bull case (millions, CNY)</t>
  </si>
  <si>
    <t xml:space="preserve">1157.HK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</si>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</sst>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20608</v>
      </c>
      <c r="C2" s="0" t="n">
        <v>-16303</v>
      </c>
      <c r="D2" s="0" t="n">
        <v>4305</v>
      </c>
      <c r="E2" s="0" t="n">
        <v>20.9</v>
      </c>
      <c r="F2" s="0" t="n">
        <v>-8380</v>
      </c>
      <c r="G2" s="0" t="n">
        <v>-40.7</v>
      </c>
      <c r="H2" s="0" t="n">
        <v>-7412</v>
      </c>
      <c r="I2" s="0" t="n">
        <v>1342</v>
      </c>
      <c r="J2" s="0" t="n">
        <v>6.5</v>
      </c>
      <c r="K2" s="0" t="n">
        <v>0.1756</v>
      </c>
      <c r="L2" s="0" t="n">
        <v>2453</v>
      </c>
      <c r="M2" s="0" t="n">
        <v>764</v>
      </c>
      <c r="N2" s="0" t="n">
        <v>1689</v>
      </c>
      <c r="O2" s="0" t="n">
        <v>37540</v>
      </c>
      <c r="P2" s="0" t="n">
        <v>83112</v>
      </c>
      <c r="Q2" s="0" t="n">
        <v>44922</v>
      </c>
      <c r="R2" s="0" t="n">
        <v>28644</v>
      </c>
      <c r="S2" s="0" t="n">
        <v>7148</v>
      </c>
      <c r="T2" s="0" t="n">
        <v>7642</v>
      </c>
      <c r="U2" s="0" t="n">
        <v>45</v>
      </c>
      <c r="AA2" s="0" t="s">
        <v>18</v>
      </c>
      <c r="AB2" s="0" t="s">
        <v>14</v>
      </c>
    </row>
    <row r="3" customFormat="false" ht="15" hidden="false" customHeight="false" outlineLevel="0" collapsed="false">
      <c r="A3" s="0" t="s">
        <v>65</v>
      </c>
      <c r="B3" s="0" t="n">
        <v>28697</v>
      </c>
      <c r="C3" s="0" t="n">
        <v>-20923</v>
      </c>
      <c r="D3" s="0" t="n">
        <v>7774</v>
      </c>
      <c r="E3" s="0" t="n">
        <v>27.1</v>
      </c>
      <c r="F3" s="0" t="n">
        <v>3633</v>
      </c>
      <c r="G3" s="0" t="n">
        <v>12.7</v>
      </c>
      <c r="H3" s="0" t="n">
        <v>4470</v>
      </c>
      <c r="I3" s="0" t="n">
        <v>2031</v>
      </c>
      <c r="J3" s="0" t="n">
        <v>7.1</v>
      </c>
      <c r="K3" s="0" t="n">
        <v>0.2641</v>
      </c>
      <c r="L3" s="0" t="n">
        <v>4717</v>
      </c>
      <c r="M3" s="0" t="n">
        <v>531</v>
      </c>
      <c r="N3" s="0" t="n">
        <v>4186</v>
      </c>
      <c r="O3" s="0" t="n">
        <v>38164</v>
      </c>
      <c r="P3" s="0" t="n">
        <v>93419</v>
      </c>
      <c r="Q3" s="0" t="n">
        <v>54688</v>
      </c>
      <c r="R3" s="0" t="n">
        <v>35689</v>
      </c>
      <c r="S3" s="0" t="n">
        <v>8754</v>
      </c>
      <c r="T3" s="0" t="n">
        <v>7691</v>
      </c>
      <c r="U3" s="0" t="n">
        <v>267</v>
      </c>
      <c r="AA3" s="0" t="s">
        <v>18</v>
      </c>
      <c r="AB3" s="0" t="s">
        <v>14</v>
      </c>
    </row>
    <row r="4" customFormat="false" ht="15" hidden="false" customHeight="false" outlineLevel="0" collapsed="false">
      <c r="A4" s="0" t="s">
        <v>66</v>
      </c>
      <c r="B4" s="0" t="n">
        <v>43307</v>
      </c>
      <c r="C4" s="0" t="n">
        <v>-30314</v>
      </c>
      <c r="D4" s="0" t="n">
        <v>12993</v>
      </c>
      <c r="E4" s="0" t="n">
        <v>30</v>
      </c>
      <c r="F4" s="0" t="n">
        <v>6021</v>
      </c>
      <c r="G4" s="0" t="n">
        <v>13.9</v>
      </c>
      <c r="H4" s="0" t="n">
        <v>6956</v>
      </c>
      <c r="I4" s="0" t="n">
        <v>4381</v>
      </c>
      <c r="J4" s="0" t="n">
        <v>10.1</v>
      </c>
      <c r="K4" s="0" t="n">
        <v>0.5792</v>
      </c>
      <c r="L4" s="0" t="n">
        <v>5968</v>
      </c>
      <c r="M4" s="0" t="n">
        <v>1337</v>
      </c>
      <c r="N4" s="0" t="n">
        <v>4631</v>
      </c>
      <c r="O4" s="0" t="n">
        <v>38827</v>
      </c>
      <c r="P4" s="0" t="n">
        <v>92031</v>
      </c>
      <c r="Q4" s="0" t="n">
        <v>52534</v>
      </c>
      <c r="R4" s="0" t="n">
        <v>21827</v>
      </c>
      <c r="S4" s="0" t="n">
        <v>5073</v>
      </c>
      <c r="T4" s="0" t="n">
        <v>7564</v>
      </c>
      <c r="U4" s="0" t="n">
        <v>135</v>
      </c>
      <c r="AA4" s="0" t="s">
        <v>18</v>
      </c>
      <c r="AB4" s="0" t="s">
        <v>14</v>
      </c>
    </row>
    <row r="5" customFormat="false" ht="15" hidden="false" customHeight="false" outlineLevel="0" collapsed="false">
      <c r="A5" s="0" t="s">
        <v>67</v>
      </c>
      <c r="B5" s="0" t="n">
        <v>65109</v>
      </c>
      <c r="C5" s="0" t="n">
        <v>-46492</v>
      </c>
      <c r="D5" s="0" t="n">
        <v>18617</v>
      </c>
      <c r="E5" s="0" t="n">
        <v>28.6</v>
      </c>
      <c r="F5" s="0" t="n">
        <v>8640</v>
      </c>
      <c r="G5" s="0" t="n">
        <v>13.3</v>
      </c>
      <c r="H5" s="0" t="n">
        <v>9542</v>
      </c>
      <c r="I5" s="0" t="n">
        <v>7296</v>
      </c>
      <c r="J5" s="0" t="n">
        <v>11.2</v>
      </c>
      <c r="K5" s="0" t="n">
        <v>0.9673</v>
      </c>
      <c r="L5" s="0" t="n">
        <v>7232</v>
      </c>
      <c r="M5" s="0" t="n">
        <v>1101</v>
      </c>
      <c r="N5" s="0" t="n">
        <v>6131</v>
      </c>
      <c r="O5" s="0" t="n">
        <v>46706</v>
      </c>
      <c r="P5" s="0" t="n">
        <v>116243</v>
      </c>
      <c r="Q5" s="0" t="n">
        <v>68393</v>
      </c>
      <c r="R5" s="0" t="n">
        <v>19301</v>
      </c>
      <c r="S5" s="0" t="n">
        <v>10086</v>
      </c>
      <c r="T5" s="0" t="n">
        <v>7543</v>
      </c>
      <c r="U5" s="0" t="n">
        <v>598</v>
      </c>
      <c r="AA5" s="0" t="s">
        <v>18</v>
      </c>
      <c r="AB5" s="0" t="s">
        <v>14</v>
      </c>
    </row>
    <row r="6" customFormat="false" ht="15" hidden="false" customHeight="false" outlineLevel="0" collapsed="false">
      <c r="A6" s="0" t="s">
        <v>68</v>
      </c>
      <c r="B6" s="0" t="n">
        <v>67131</v>
      </c>
      <c r="C6" s="0" t="n">
        <v>-51280</v>
      </c>
      <c r="D6" s="0" t="n">
        <v>15851</v>
      </c>
      <c r="E6" s="0" t="n">
        <v>23.6</v>
      </c>
      <c r="F6" s="0" t="n">
        <v>7197</v>
      </c>
      <c r="G6" s="0" t="n">
        <v>10.7</v>
      </c>
      <c r="H6" s="0" t="n">
        <v>8198</v>
      </c>
      <c r="I6" s="0" t="n">
        <v>6303</v>
      </c>
      <c r="J6" s="0" t="n">
        <v>9.4</v>
      </c>
      <c r="K6" s="0" t="n">
        <v>0.7529</v>
      </c>
      <c r="L6" s="0" t="n">
        <v>2189</v>
      </c>
      <c r="M6" s="0" t="n">
        <v>2915</v>
      </c>
      <c r="N6" s="0" t="n">
        <v>-726</v>
      </c>
      <c r="O6" s="0" t="n">
        <v>56831</v>
      </c>
      <c r="P6" s="0" t="n">
        <v>121982</v>
      </c>
      <c r="Q6" s="0" t="n">
        <v>63722</v>
      </c>
      <c r="R6" s="0" t="n">
        <v>18905</v>
      </c>
      <c r="S6" s="0" t="n">
        <v>13190</v>
      </c>
      <c r="T6" s="0" t="n">
        <v>8372</v>
      </c>
      <c r="U6" s="0" t="n">
        <v>427</v>
      </c>
      <c r="AA6" s="0" t="s">
        <v>18</v>
      </c>
      <c r="AB6" s="0" t="s">
        <v>14</v>
      </c>
    </row>
    <row r="7" customFormat="false" ht="15" hidden="false" customHeight="false" outlineLevel="0" collapsed="false">
      <c r="A7" s="0" t="s">
        <v>69</v>
      </c>
      <c r="B7" s="0" t="n">
        <v>41631</v>
      </c>
      <c r="C7" s="0" t="n">
        <v>-32543</v>
      </c>
      <c r="D7" s="0" t="n">
        <v>9088</v>
      </c>
      <c r="E7" s="0" t="n">
        <v>21.8</v>
      </c>
      <c r="F7" s="0" t="n">
        <v>2082</v>
      </c>
      <c r="G7" s="0" t="n">
        <v>5</v>
      </c>
      <c r="H7" s="0" t="n">
        <v>3235</v>
      </c>
      <c r="I7" s="0" t="n">
        <v>2347</v>
      </c>
      <c r="J7" s="0" t="n">
        <v>5.6</v>
      </c>
      <c r="K7" s="0" t="n">
        <v>0.2768</v>
      </c>
      <c r="L7" s="0" t="n">
        <v>1951</v>
      </c>
      <c r="M7" s="0" t="n">
        <v>1529</v>
      </c>
      <c r="N7" s="0" t="n">
        <v>422</v>
      </c>
      <c r="O7" s="0" t="n">
        <v>54705</v>
      </c>
      <c r="P7" s="0" t="n">
        <v>123517</v>
      </c>
      <c r="Q7" s="0" t="n">
        <v>66578</v>
      </c>
      <c r="R7" s="0" t="n">
        <v>21980</v>
      </c>
      <c r="S7" s="0" t="n">
        <v>13791</v>
      </c>
      <c r="T7" s="0" t="n">
        <v>8480</v>
      </c>
      <c r="U7" s="0" t="n">
        <v>170</v>
      </c>
      <c r="AA7" s="0" t="s">
        <v>18</v>
      </c>
      <c r="AB7" s="0" t="s">
        <v>14</v>
      </c>
    </row>
    <row r="8" customFormat="false" ht="15" hidden="false" customHeight="false" outlineLevel="0" collapsed="false">
      <c r="A8" s="0" t="s">
        <v>70</v>
      </c>
      <c r="B8" s="0" t="n">
        <v>47075</v>
      </c>
      <c r="C8" s="0" t="n">
        <v>-34109</v>
      </c>
      <c r="D8" s="0" t="n">
        <v>12966</v>
      </c>
      <c r="E8" s="0" t="n">
        <v>27.5</v>
      </c>
      <c r="F8" s="0" t="n">
        <v>3835</v>
      </c>
      <c r="G8" s="0" t="n">
        <v>8.1</v>
      </c>
      <c r="H8" s="0" t="n">
        <v>5223</v>
      </c>
      <c r="I8" s="0" t="n">
        <v>3550</v>
      </c>
      <c r="J8" s="0" t="n">
        <v>7.5</v>
      </c>
      <c r="K8" s="0" t="n">
        <v>0.43</v>
      </c>
      <c r="L8" s="0" t="n">
        <v>2292</v>
      </c>
      <c r="M8" s="0" t="n">
        <v>1900</v>
      </c>
      <c r="N8" s="0" t="n">
        <v>392</v>
      </c>
      <c r="O8" s="0" t="n">
        <v>56371</v>
      </c>
      <c r="P8" s="0" t="n">
        <v>130825</v>
      </c>
      <c r="Q8" s="0" t="n">
        <v>71694</v>
      </c>
      <c r="R8" s="0" t="n">
        <v>22321</v>
      </c>
      <c r="S8" s="0" t="n">
        <v>13606</v>
      </c>
      <c r="T8" s="0" t="n">
        <v>8285</v>
      </c>
      <c r="U8" s="0" t="n">
        <v>279</v>
      </c>
      <c r="AA8" s="0" t="s">
        <v>18</v>
      </c>
      <c r="AB8" s="0" t="s">
        <v>14</v>
      </c>
    </row>
    <row r="9" customFormat="false" ht="15" hidden="false" customHeight="false" outlineLevel="0" collapsed="false">
      <c r="A9" s="0" t="s">
        <v>71</v>
      </c>
      <c r="B9" s="0" t="n">
        <v>45478</v>
      </c>
      <c r="C9" s="0" t="n">
        <v>-32668</v>
      </c>
      <c r="D9" s="0" t="n">
        <v>12810</v>
      </c>
      <c r="E9" s="0" t="n">
        <v>28.2</v>
      </c>
      <c r="F9" s="0" t="n">
        <v>4327</v>
      </c>
      <c r="G9" s="0" t="n">
        <v>9.5</v>
      </c>
      <c r="H9" s="0" t="n">
        <v>5657</v>
      </c>
      <c r="I9" s="0" t="n">
        <v>3521</v>
      </c>
      <c r="J9" s="0" t="n">
        <v>7.7</v>
      </c>
      <c r="K9" s="0" t="n">
        <v>0.41</v>
      </c>
      <c r="L9" s="0" t="n">
        <v>1474</v>
      </c>
      <c r="M9" s="0" t="n">
        <v>4036</v>
      </c>
      <c r="N9" s="0" t="n">
        <v>-2562</v>
      </c>
      <c r="O9" s="0" t="n">
        <v>57101</v>
      </c>
      <c r="P9" s="0" t="n">
        <v>123712</v>
      </c>
      <c r="Q9" s="0" t="n">
        <v>63910</v>
      </c>
      <c r="R9" s="0" t="n">
        <v>26249</v>
      </c>
      <c r="S9" s="0" t="n">
        <v>12155</v>
      </c>
      <c r="T9" s="0" t="n">
        <v>8288</v>
      </c>
      <c r="U9" s="0" t="n">
        <v>866</v>
      </c>
      <c r="AA9" s="0" t="s">
        <v>18</v>
      </c>
      <c r="AB9" s="0" t="s">
        <v>14</v>
      </c>
    </row>
    <row r="10" customFormat="false" ht="15" hidden="false" customHeight="false" outlineLevel="0" collapsed="false">
      <c r="A10" s="0" t="s">
        <v>72</v>
      </c>
      <c r="B10" s="0" t="n">
        <v>52107</v>
      </c>
      <c r="C10" s="0" t="n">
        <v>-37497</v>
      </c>
      <c r="D10" s="0" t="n">
        <v>14610</v>
      </c>
      <c r="E10" s="0" t="n">
        <v>28</v>
      </c>
      <c r="F10" s="0" t="n">
        <v>5813</v>
      </c>
      <c r="G10" s="0" t="n">
        <v>11.2</v>
      </c>
      <c r="H10" s="0" t="n">
        <v>7341</v>
      </c>
      <c r="I10" s="0" t="n">
        <v>4779</v>
      </c>
      <c r="J10" s="0" t="n">
        <v>9.2</v>
      </c>
      <c r="K10" s="0" t="n">
        <v>0.55</v>
      </c>
      <c r="L10" s="0" t="n">
        <v>4573</v>
      </c>
      <c r="M10" s="0" t="n">
        <v>4655</v>
      </c>
      <c r="N10" s="0" t="n">
        <v>-82</v>
      </c>
      <c r="O10" s="0" t="n">
        <v>57534</v>
      </c>
      <c r="P10" s="0" t="n">
        <v>133107</v>
      </c>
      <c r="Q10" s="0" t="n">
        <v>73269</v>
      </c>
      <c r="R10" s="0" t="n">
        <v>32942</v>
      </c>
      <c r="S10" s="0" t="n">
        <v>11872</v>
      </c>
      <c r="T10" s="0" t="n">
        <v>8422</v>
      </c>
      <c r="U10" s="0" t="n">
        <v>343</v>
      </c>
      <c r="AA10" s="0" t="s">
        <v>18</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5.38</v>
      </c>
    </row>
    <row r="3" customFormat="false" ht="15" hidden="false" customHeight="false" outlineLevel="0" collapsed="false">
      <c r="A3" s="0" t="s">
        <v>76</v>
      </c>
      <c r="B3" s="3" t="n">
        <v>8521</v>
      </c>
    </row>
    <row r="4" customFormat="false" ht="15" hidden="false" customHeight="false" outlineLevel="0" collapsed="false">
      <c r="A4" s="0" t="s">
        <v>77</v>
      </c>
      <c r="B4" s="3" t="n">
        <v>21822</v>
      </c>
    </row>
    <row r="5" customFormat="false" ht="15" hidden="false" customHeight="false" outlineLevel="0" collapsed="false">
      <c r="A5" s="0" t="s">
        <v>78</v>
      </c>
      <c r="B5" s="3" t="n">
        <v>5277</v>
      </c>
    </row>
    <row r="6" customFormat="false" ht="15" hidden="false" customHeight="false" outlineLevel="0" collapsed="false">
      <c r="A6" s="0" t="s">
        <v>79</v>
      </c>
      <c r="B6" s="3" t="n">
        <v>15</v>
      </c>
    </row>
    <row r="7" customFormat="false" ht="15" hidden="false" customHeight="false" outlineLevel="0" collapsed="false">
      <c r="A7" s="0" t="s">
        <v>80</v>
      </c>
      <c r="B7" s="3" t="n">
        <v>52107</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1.1728</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4</v>
      </c>
      <c r="D13" s="3" t="n">
        <v>-10</v>
      </c>
      <c r="E13" s="3" t="n">
        <v>-6</v>
      </c>
      <c r="F13" s="3" t="n">
        <v>2</v>
      </c>
      <c r="G13" s="3" t="n">
        <v>3</v>
      </c>
      <c r="H13" s="3" t="n">
        <v>3</v>
      </c>
      <c r="I13" s="3" t="n">
        <v>2.5</v>
      </c>
      <c r="J13" s="3" t="n">
        <v>2.5</v>
      </c>
      <c r="K13" s="3" t="n">
        <v>2</v>
      </c>
      <c r="L13" s="3" t="n">
        <v>2</v>
      </c>
    </row>
    <row r="14" customFormat="false" ht="15" hidden="false" customHeight="false" outlineLevel="0" collapsed="false">
      <c r="A14" s="0" t="s">
        <v>97</v>
      </c>
      <c r="C14" s="3" t="n">
        <v>12</v>
      </c>
      <c r="D14" s="3" t="n">
        <v>10</v>
      </c>
      <c r="E14" s="3" t="n">
        <v>9.5</v>
      </c>
      <c r="F14" s="3" t="n">
        <v>10.5</v>
      </c>
      <c r="G14" s="3" t="n">
        <v>11</v>
      </c>
      <c r="H14" s="3" t="n">
        <v>11.5</v>
      </c>
      <c r="I14" s="3" t="n">
        <v>11.5</v>
      </c>
      <c r="J14" s="3" t="n">
        <v>11.5</v>
      </c>
      <c r="K14" s="3" t="n">
        <v>11.5</v>
      </c>
      <c r="L14" s="3" t="n">
        <v>11.5</v>
      </c>
    </row>
    <row r="15" customFormat="false" ht="15" hidden="false" customHeight="false" outlineLevel="0" collapsed="false">
      <c r="A15" s="0" t="s">
        <v>98</v>
      </c>
      <c r="C15" s="3" t="n">
        <v>0.7</v>
      </c>
      <c r="D15" s="3" t="n">
        <v>0.7</v>
      </c>
      <c r="E15" s="3" t="n">
        <v>0.65</v>
      </c>
      <c r="F15" s="3" t="n">
        <v>0.65</v>
      </c>
      <c r="G15" s="3" t="n">
        <v>0.6</v>
      </c>
      <c r="H15" s="3" t="n">
        <v>0.6</v>
      </c>
      <c r="I15" s="3" t="n">
        <v>0.55</v>
      </c>
      <c r="J15" s="3" t="n">
        <v>0.55</v>
      </c>
      <c r="K15" s="3" t="n">
        <v>0.5</v>
      </c>
      <c r="L15" s="3" t="n">
        <v>0.5</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3</v>
      </c>
      <c r="D17" s="3" t="n">
        <v>3.4</v>
      </c>
      <c r="E17" s="3" t="n">
        <v>3.6</v>
      </c>
      <c r="F17" s="3" t="n">
        <v>3.5</v>
      </c>
      <c r="G17" s="3" t="n">
        <v>3.4</v>
      </c>
      <c r="H17" s="3" t="n">
        <v>3.3</v>
      </c>
      <c r="I17" s="3" t="n">
        <v>3.3</v>
      </c>
      <c r="J17" s="3" t="n">
        <v>3.3</v>
      </c>
      <c r="K17" s="3" t="n">
        <v>3.3</v>
      </c>
      <c r="L17" s="3" t="n">
        <v>3.3</v>
      </c>
    </row>
    <row r="18" customFormat="false" ht="15" hidden="false" customHeight="false" outlineLevel="0" collapsed="false">
      <c r="A18" s="0" t="s">
        <v>101</v>
      </c>
      <c r="C18" s="3" t="n">
        <v>5</v>
      </c>
      <c r="D18" s="3" t="n">
        <v>4</v>
      </c>
      <c r="E18" s="3" t="n">
        <v>3.5</v>
      </c>
      <c r="F18" s="3" t="n">
        <v>3.5</v>
      </c>
      <c r="G18" s="3" t="n">
        <v>3.5</v>
      </c>
      <c r="H18" s="3" t="n">
        <v>3.5</v>
      </c>
      <c r="I18" s="3" t="n">
        <v>3.5</v>
      </c>
      <c r="J18" s="3" t="n">
        <v>3.5</v>
      </c>
      <c r="K18" s="3" t="n">
        <v>3.5</v>
      </c>
      <c r="L18" s="3" t="n">
        <v>3.5</v>
      </c>
    </row>
    <row r="19" customFormat="false" ht="15" hidden="false" customHeight="false" outlineLevel="0" collapsed="false">
      <c r="A19" s="0" t="s">
        <v>102</v>
      </c>
      <c r="C19" s="3" t="n">
        <v>16</v>
      </c>
      <c r="D19" s="3" t="n">
        <v>16</v>
      </c>
      <c r="E19" s="3" t="n">
        <v>17</v>
      </c>
      <c r="F19" s="3" t="n">
        <v>17</v>
      </c>
      <c r="G19" s="3" t="n">
        <v>18</v>
      </c>
      <c r="H19" s="3" t="n">
        <v>18</v>
      </c>
      <c r="I19" s="3" t="n">
        <v>18</v>
      </c>
      <c r="J19" s="3" t="n">
        <v>18</v>
      </c>
      <c r="K19" s="3" t="n">
        <v>18</v>
      </c>
      <c r="L19" s="3" t="n">
        <v>18</v>
      </c>
    </row>
    <row r="20" customFormat="false" ht="15" hidden="false" customHeight="false" outlineLevel="0" collapsed="false">
      <c r="A20" s="0" t="s">
        <v>103</v>
      </c>
      <c r="B20" s="3" t="n">
        <v>8</v>
      </c>
    </row>
    <row r="21" customFormat="false" ht="15" hidden="false" customHeight="false" outlineLevel="0" collapsed="false">
      <c r="A21" s="0" t="s">
        <v>104</v>
      </c>
      <c r="B21" s="3" t="n">
        <v>2</v>
      </c>
    </row>
    <row r="22" customFormat="false" ht="15" hidden="false" customHeight="false" outlineLevel="0" collapsed="false">
      <c r="A22" s="0" t="s">
        <v>105</v>
      </c>
      <c r="B22" s="3" t="n">
        <v>13</v>
      </c>
    </row>
    <row r="23" customFormat="false" ht="15" hidden="false" customHeight="false" outlineLevel="0" collapsed="false">
      <c r="A23" s="0" t="s">
        <v>106</v>
      </c>
      <c r="B23" s="3" t="n">
        <v>-10</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8</v>
      </c>
      <c r="D27" s="3" t="n">
        <v>7</v>
      </c>
      <c r="E27" s="3" t="n">
        <v>6</v>
      </c>
      <c r="F27" s="3" t="n">
        <v>5</v>
      </c>
      <c r="G27" s="3" t="n">
        <v>4</v>
      </c>
      <c r="H27" s="3" t="n">
        <v>3.5</v>
      </c>
      <c r="I27" s="3" t="n">
        <v>3</v>
      </c>
      <c r="J27" s="3" t="n">
        <v>3</v>
      </c>
      <c r="K27" s="3" t="n">
        <v>2.5</v>
      </c>
      <c r="L27" s="3" t="n">
        <v>2.5</v>
      </c>
    </row>
    <row r="28" customFormat="false" ht="15" hidden="false" customHeight="false" outlineLevel="0" collapsed="false">
      <c r="A28" s="0" t="s">
        <v>97</v>
      </c>
      <c r="C28" s="3" t="n">
        <v>13</v>
      </c>
      <c r="D28" s="3" t="n">
        <v>13.2</v>
      </c>
      <c r="E28" s="3" t="n">
        <v>13.4</v>
      </c>
      <c r="F28" s="3" t="n">
        <v>13.6</v>
      </c>
      <c r="G28" s="3" t="n">
        <v>13.8</v>
      </c>
      <c r="H28" s="3" t="n">
        <v>14</v>
      </c>
      <c r="I28" s="3" t="n">
        <v>14</v>
      </c>
      <c r="J28" s="3" t="n">
        <v>14</v>
      </c>
      <c r="K28" s="3" t="n">
        <v>14</v>
      </c>
      <c r="L28" s="3" t="n">
        <v>14</v>
      </c>
    </row>
    <row r="29" customFormat="false" ht="15" hidden="false" customHeight="false" outlineLevel="0" collapsed="false">
      <c r="A29" s="0" t="s">
        <v>98</v>
      </c>
      <c r="C29" s="3" t="n">
        <v>0.7</v>
      </c>
      <c r="D29" s="3" t="n">
        <v>0.7</v>
      </c>
      <c r="E29" s="3" t="n">
        <v>0.65</v>
      </c>
      <c r="F29" s="3" t="n">
        <v>0.65</v>
      </c>
      <c r="G29" s="3" t="n">
        <v>0.6</v>
      </c>
      <c r="H29" s="3" t="n">
        <v>0.6</v>
      </c>
      <c r="I29" s="3" t="n">
        <v>0.55</v>
      </c>
      <c r="J29" s="3" t="n">
        <v>0.55</v>
      </c>
      <c r="K29" s="3" t="n">
        <v>0.5</v>
      </c>
      <c r="L29" s="3" t="n">
        <v>0.5</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3</v>
      </c>
      <c r="D31" s="3" t="n">
        <v>3.1</v>
      </c>
      <c r="E31" s="3" t="n">
        <v>3.2</v>
      </c>
      <c r="F31" s="3" t="n">
        <v>3.3</v>
      </c>
      <c r="G31" s="3" t="n">
        <v>3.3</v>
      </c>
      <c r="H31" s="3" t="n">
        <v>3.3</v>
      </c>
      <c r="I31" s="3" t="n">
        <v>3.3</v>
      </c>
      <c r="J31" s="3" t="n">
        <v>3.3</v>
      </c>
      <c r="K31" s="3" t="n">
        <v>3.3</v>
      </c>
      <c r="L31" s="3" t="n">
        <v>3.3</v>
      </c>
    </row>
    <row r="32" customFormat="false" ht="15" hidden="false" customHeight="false" outlineLevel="0" collapsed="false">
      <c r="A32" s="0" t="s">
        <v>101</v>
      </c>
      <c r="C32" s="3" t="n">
        <v>5</v>
      </c>
      <c r="D32" s="3" t="n">
        <v>4.5</v>
      </c>
      <c r="E32" s="3" t="n">
        <v>4</v>
      </c>
      <c r="F32" s="3" t="n">
        <v>3.8</v>
      </c>
      <c r="G32" s="3" t="n">
        <v>3.6</v>
      </c>
      <c r="H32" s="3" t="n">
        <v>3.5</v>
      </c>
      <c r="I32" s="3" t="n">
        <v>3.5</v>
      </c>
      <c r="J32" s="3" t="n">
        <v>3.5</v>
      </c>
      <c r="K32" s="3" t="n">
        <v>3.5</v>
      </c>
      <c r="L32" s="3" t="n">
        <v>3.5</v>
      </c>
    </row>
    <row r="33" customFormat="false" ht="15" hidden="false" customHeight="false" outlineLevel="0" collapsed="false">
      <c r="A33" s="0" t="s">
        <v>102</v>
      </c>
      <c r="C33" s="3" t="n">
        <v>16</v>
      </c>
      <c r="D33" s="3" t="n">
        <v>16</v>
      </c>
      <c r="E33" s="3" t="n">
        <v>17</v>
      </c>
      <c r="F33" s="3" t="n">
        <v>17</v>
      </c>
      <c r="G33" s="3" t="n">
        <v>18</v>
      </c>
      <c r="H33" s="3" t="n">
        <v>18</v>
      </c>
      <c r="I33" s="3" t="n">
        <v>18</v>
      </c>
      <c r="J33" s="3" t="n">
        <v>18</v>
      </c>
      <c r="K33" s="3" t="n">
        <v>18</v>
      </c>
      <c r="L33" s="3" t="n">
        <v>18</v>
      </c>
    </row>
    <row r="34" customFormat="false" ht="15" hidden="false" customHeight="false" outlineLevel="0" collapsed="false">
      <c r="A34" s="0" t="s">
        <v>103</v>
      </c>
      <c r="B34" s="3" t="n">
        <v>8</v>
      </c>
    </row>
    <row r="35" customFormat="false" ht="15" hidden="false" customHeight="false" outlineLevel="0" collapsed="false">
      <c r="A35" s="0" t="s">
        <v>104</v>
      </c>
      <c r="B35" s="3" t="n">
        <v>2.5</v>
      </c>
    </row>
    <row r="36" customFormat="false" ht="15" hidden="false" customHeight="false" outlineLevel="0" collapsed="false">
      <c r="A36" s="0" t="s">
        <v>105</v>
      </c>
      <c r="B36" s="3" t="n">
        <v>13</v>
      </c>
    </row>
    <row r="37" customFormat="false" ht="15" hidden="false" customHeight="false" outlineLevel="0" collapsed="false">
      <c r="A37" s="0" t="s">
        <v>106</v>
      </c>
      <c r="B37" s="3" t="n">
        <v>-35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11</v>
      </c>
      <c r="D41" s="3" t="n">
        <v>10</v>
      </c>
      <c r="E41" s="3" t="n">
        <v>9</v>
      </c>
      <c r="F41" s="3" t="n">
        <v>8</v>
      </c>
      <c r="G41" s="3" t="n">
        <v>6.5</v>
      </c>
      <c r="H41" s="3" t="n">
        <v>5</v>
      </c>
      <c r="I41" s="3" t="n">
        <v>4</v>
      </c>
      <c r="J41" s="3" t="n">
        <v>3.5</v>
      </c>
      <c r="K41" s="3" t="n">
        <v>3</v>
      </c>
      <c r="L41" s="3" t="n">
        <v>3</v>
      </c>
    </row>
    <row r="42" customFormat="false" ht="15" hidden="false" customHeight="false" outlineLevel="0" collapsed="false">
      <c r="A42" s="0" t="s">
        <v>97</v>
      </c>
      <c r="C42" s="3" t="n">
        <v>13.5</v>
      </c>
      <c r="D42" s="3" t="n">
        <v>14</v>
      </c>
      <c r="E42" s="3" t="n">
        <v>14.5</v>
      </c>
      <c r="F42" s="3" t="n">
        <v>15</v>
      </c>
      <c r="G42" s="3" t="n">
        <v>15.5</v>
      </c>
      <c r="H42" s="3" t="n">
        <v>15.5</v>
      </c>
      <c r="I42" s="3" t="n">
        <v>15.5</v>
      </c>
      <c r="J42" s="3" t="n">
        <v>15.5</v>
      </c>
      <c r="K42" s="3" t="n">
        <v>15.5</v>
      </c>
      <c r="L42" s="3" t="n">
        <v>15.5</v>
      </c>
    </row>
    <row r="43" customFormat="false" ht="15" hidden="false" customHeight="false" outlineLevel="0" collapsed="false">
      <c r="A43" s="0" t="s">
        <v>98</v>
      </c>
      <c r="C43" s="3" t="n">
        <v>0.7</v>
      </c>
      <c r="D43" s="3" t="n">
        <v>0.7</v>
      </c>
      <c r="E43" s="3" t="n">
        <v>0.65</v>
      </c>
      <c r="F43" s="3" t="n">
        <v>0.65</v>
      </c>
      <c r="G43" s="3" t="n">
        <v>0.6</v>
      </c>
      <c r="H43" s="3" t="n">
        <v>0.6</v>
      </c>
      <c r="I43" s="3" t="n">
        <v>0.55</v>
      </c>
      <c r="J43" s="3" t="n">
        <v>0.55</v>
      </c>
      <c r="K43" s="3" t="n">
        <v>0.5</v>
      </c>
      <c r="L43" s="3" t="n">
        <v>0.5</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3</v>
      </c>
      <c r="D45" s="3" t="n">
        <v>3.1</v>
      </c>
      <c r="E45" s="3" t="n">
        <v>3.2</v>
      </c>
      <c r="F45" s="3" t="n">
        <v>3.3</v>
      </c>
      <c r="G45" s="3" t="n">
        <v>3.3</v>
      </c>
      <c r="H45" s="3" t="n">
        <v>3.3</v>
      </c>
      <c r="I45" s="3" t="n">
        <v>3.3</v>
      </c>
      <c r="J45" s="3" t="n">
        <v>3.3</v>
      </c>
      <c r="K45" s="3" t="n">
        <v>3.3</v>
      </c>
      <c r="L45" s="3" t="n">
        <v>3.3</v>
      </c>
    </row>
    <row r="46" customFormat="false" ht="15" hidden="false" customHeight="false" outlineLevel="0" collapsed="false">
      <c r="A46" s="0" t="s">
        <v>101</v>
      </c>
      <c r="C46" s="3" t="n">
        <v>5</v>
      </c>
      <c r="D46" s="3" t="n">
        <v>4.5</v>
      </c>
      <c r="E46" s="3" t="n">
        <v>4</v>
      </c>
      <c r="F46" s="3" t="n">
        <v>3.7</v>
      </c>
      <c r="G46" s="3" t="n">
        <v>3.5</v>
      </c>
      <c r="H46" s="3" t="n">
        <v>3.4</v>
      </c>
      <c r="I46" s="3" t="n">
        <v>3.4</v>
      </c>
      <c r="J46" s="3" t="n">
        <v>3.4</v>
      </c>
      <c r="K46" s="3" t="n">
        <v>3.4</v>
      </c>
      <c r="L46" s="3" t="n">
        <v>3.4</v>
      </c>
    </row>
    <row r="47" customFormat="false" ht="15" hidden="false" customHeight="false" outlineLevel="0" collapsed="false">
      <c r="A47" s="0" t="s">
        <v>102</v>
      </c>
      <c r="C47" s="3" t="n">
        <v>16</v>
      </c>
      <c r="D47" s="3" t="n">
        <v>16</v>
      </c>
      <c r="E47" s="3" t="n">
        <v>17</v>
      </c>
      <c r="F47" s="3" t="n">
        <v>17</v>
      </c>
      <c r="G47" s="3" t="n">
        <v>18</v>
      </c>
      <c r="H47" s="3" t="n">
        <v>18</v>
      </c>
      <c r="I47" s="3" t="n">
        <v>18</v>
      </c>
      <c r="J47" s="3" t="n">
        <v>18</v>
      </c>
      <c r="K47" s="3" t="n">
        <v>18</v>
      </c>
      <c r="L47" s="3" t="n">
        <v>18</v>
      </c>
    </row>
    <row r="48" customFormat="false" ht="15" hidden="false" customHeight="false" outlineLevel="0" collapsed="false">
      <c r="A48" s="0" t="s">
        <v>103</v>
      </c>
      <c r="B48" s="3" t="n">
        <v>8</v>
      </c>
    </row>
    <row r="49" customFormat="false" ht="15" hidden="false" customHeight="false" outlineLevel="0" collapsed="false">
      <c r="A49" s="0" t="s">
        <v>104</v>
      </c>
      <c r="B49" s="3" t="n">
        <v>3</v>
      </c>
    </row>
    <row r="50" customFormat="false" ht="15" hidden="false" customHeight="false" outlineLevel="0" collapsed="false">
      <c r="A50" s="0" t="s">
        <v>105</v>
      </c>
      <c r="B50" s="3" t="n">
        <v>13</v>
      </c>
    </row>
    <row r="51" customFormat="false" ht="15" hidden="false" customHeight="false" outlineLevel="0" collapsed="false">
      <c r="A51" s="0" t="s">
        <v>106</v>
      </c>
      <c r="B51" s="3" t="n">
        <v>-25</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4</v>
      </c>
      <c r="D5" s="4" t="n">
        <f aca="false">Assumptions!D13</f>
        <v>-10</v>
      </c>
      <c r="E5" s="4" t="n">
        <f aca="false">Assumptions!E13</f>
        <v>-6</v>
      </c>
      <c r="F5" s="4" t="n">
        <f aca="false">Assumptions!F13</f>
        <v>2</v>
      </c>
      <c r="G5" s="4" t="n">
        <f aca="false">Assumptions!G13</f>
        <v>3</v>
      </c>
      <c r="H5" s="4" t="n">
        <f aca="false">Assumptions!H13</f>
        <v>3</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38</v>
      </c>
      <c r="B6" s="3" t="n">
        <v>52107</v>
      </c>
      <c r="C6" s="0" t="n">
        <f aca="false">B6*(1+C5/100)</f>
        <v>54191.28</v>
      </c>
      <c r="D6" s="0" t="n">
        <f aca="false">C6*(1+D5/100)</f>
        <v>48772.152</v>
      </c>
      <c r="E6" s="0" t="n">
        <f aca="false">D6*(1+E5/100)</f>
        <v>45845.82288</v>
      </c>
      <c r="F6" s="0" t="n">
        <f aca="false">E6*(1+F5/100)</f>
        <v>46762.7393376</v>
      </c>
      <c r="G6" s="0" t="n">
        <f aca="false">F6*(1+G5/100)</f>
        <v>48165.621517728</v>
      </c>
      <c r="H6" s="0" t="n">
        <f aca="false">G6*(1+H5/100)</f>
        <v>49610.5901632599</v>
      </c>
      <c r="I6" s="0" t="n">
        <f aca="false">H6*(1+I5/100)</f>
        <v>50850.8549173413</v>
      </c>
      <c r="J6" s="0" t="n">
        <f aca="false">I6*(1+J5/100)</f>
        <v>52122.1262902749</v>
      </c>
      <c r="K6" s="0" t="n">
        <f aca="false">J6*(1+K5/100)</f>
        <v>53164.5688160804</v>
      </c>
      <c r="L6" s="0" t="n">
        <f aca="false">K6*(1+L5/100)</f>
        <v>54227.860192402</v>
      </c>
    </row>
    <row r="7" customFormat="false" ht="15" hidden="false" customHeight="false" outlineLevel="0" collapsed="false">
      <c r="A7" s="0" t="s">
        <v>97</v>
      </c>
      <c r="C7" s="4" t="n">
        <f aca="false">Assumptions!C14</f>
        <v>12</v>
      </c>
      <c r="D7" s="4" t="n">
        <f aca="false">Assumptions!D14</f>
        <v>10</v>
      </c>
      <c r="E7" s="4" t="n">
        <f aca="false">Assumptions!E14</f>
        <v>9.5</v>
      </c>
      <c r="F7" s="4" t="n">
        <f aca="false">Assumptions!F14</f>
        <v>10.5</v>
      </c>
      <c r="G7" s="4" t="n">
        <f aca="false">Assumptions!G14</f>
        <v>11</v>
      </c>
      <c r="H7" s="4" t="n">
        <f aca="false">Assumptions!H14</f>
        <v>11.5</v>
      </c>
      <c r="I7" s="4" t="n">
        <f aca="false">Assumptions!I14</f>
        <v>11.5</v>
      </c>
      <c r="J7" s="4" t="n">
        <f aca="false">Assumptions!J14</f>
        <v>11.5</v>
      </c>
      <c r="K7" s="4" t="n">
        <f aca="false">Assumptions!K14</f>
        <v>11.5</v>
      </c>
      <c r="L7" s="4" t="n">
        <f aca="false">Assumptions!L14</f>
        <v>11.5</v>
      </c>
    </row>
    <row r="8" customFormat="false" ht="15" hidden="false" customHeight="false" outlineLevel="0" collapsed="false">
      <c r="A8" s="0" t="s">
        <v>44</v>
      </c>
      <c r="C8" s="0" t="n">
        <f aca="false">C6*C7/100</f>
        <v>6502.9536</v>
      </c>
      <c r="D8" s="0" t="n">
        <f aca="false">D6*D7/100</f>
        <v>4877.2152</v>
      </c>
      <c r="E8" s="0" t="n">
        <f aca="false">E6*E7/100</f>
        <v>4355.3531736</v>
      </c>
      <c r="F8" s="0" t="n">
        <f aca="false">F6*F7/100</f>
        <v>4910.087630448</v>
      </c>
      <c r="G8" s="0" t="n">
        <f aca="false">G6*G7/100</f>
        <v>5298.21836695008</v>
      </c>
      <c r="H8" s="0" t="n">
        <f aca="false">H6*H7/100</f>
        <v>5705.21786877488</v>
      </c>
      <c r="I8" s="0" t="n">
        <f aca="false">I6*I7/100</f>
        <v>5847.84831549425</v>
      </c>
      <c r="J8" s="0" t="n">
        <f aca="false">J6*J7/100</f>
        <v>5994.04452338161</v>
      </c>
      <c r="K8" s="0" t="n">
        <f aca="false">K6*K7/100</f>
        <v>6113.92541384924</v>
      </c>
      <c r="L8" s="0" t="n">
        <f aca="false">L6*L7/100</f>
        <v>6236.20392212623</v>
      </c>
    </row>
    <row r="9" customFormat="false" ht="15" hidden="false" customHeight="false" outlineLevel="0" collapsed="false">
      <c r="A9" s="0" t="s">
        <v>98</v>
      </c>
      <c r="C9" s="4" t="n">
        <f aca="false">Assumptions!C15</f>
        <v>0.7</v>
      </c>
      <c r="D9" s="4" t="n">
        <f aca="false">Assumptions!D15</f>
        <v>0.7</v>
      </c>
      <c r="E9" s="4" t="n">
        <f aca="false">Assumptions!E15</f>
        <v>0.65</v>
      </c>
      <c r="F9" s="4" t="n">
        <f aca="false">Assumptions!F15</f>
        <v>0.65</v>
      </c>
      <c r="G9" s="4" t="n">
        <f aca="false">Assumptions!G15</f>
        <v>0.6</v>
      </c>
      <c r="H9" s="4" t="n">
        <f aca="false">Assumptions!H15</f>
        <v>0.6</v>
      </c>
      <c r="I9" s="4" t="n">
        <f aca="false">Assumptions!I15</f>
        <v>0.55</v>
      </c>
      <c r="J9" s="4" t="n">
        <f aca="false">Assumptions!J15</f>
        <v>0.55</v>
      </c>
      <c r="K9" s="4" t="n">
        <f aca="false">Assumptions!K15</f>
        <v>0.5</v>
      </c>
      <c r="L9" s="4" t="n">
        <f aca="false">Assumptions!L15</f>
        <v>0.5</v>
      </c>
    </row>
    <row r="10" customFormat="false" ht="15" hidden="false" customHeight="false" outlineLevel="0" collapsed="false">
      <c r="A10" s="0" t="s">
        <v>113</v>
      </c>
      <c r="C10" s="0" t="n">
        <f aca="false">-C6*C9/100</f>
        <v>-379.33896</v>
      </c>
      <c r="D10" s="0" t="n">
        <f aca="false">-D6*D9/100</f>
        <v>-341.405064</v>
      </c>
      <c r="E10" s="0" t="n">
        <f aca="false">-E6*E9/100</f>
        <v>-297.99784872</v>
      </c>
      <c r="F10" s="0" t="n">
        <f aca="false">-F6*F9/100</f>
        <v>-303.9578056944</v>
      </c>
      <c r="G10" s="0" t="n">
        <f aca="false">-G6*G9/100</f>
        <v>-288.993729106368</v>
      </c>
      <c r="H10" s="0" t="n">
        <f aca="false">-H6*H9/100</f>
        <v>-297.663540979559</v>
      </c>
      <c r="I10" s="0" t="n">
        <f aca="false">-I6*I9/100</f>
        <v>-279.679702045377</v>
      </c>
      <c r="J10" s="0" t="n">
        <f aca="false">-J6*J9/100</f>
        <v>-286.671694596512</v>
      </c>
      <c r="K10" s="0" t="n">
        <f aca="false">-K6*K9/100</f>
        <v>-265.822844080402</v>
      </c>
      <c r="L10" s="0" t="n">
        <f aca="false">-L6*L9/100</f>
        <v>-271.13930096201</v>
      </c>
    </row>
    <row r="11" customFormat="false" ht="15" hidden="false" customHeight="false" outlineLevel="0" collapsed="false">
      <c r="A11" s="0" t="s">
        <v>114</v>
      </c>
      <c r="C11" s="0" t="n">
        <f aca="false">C8+C10+C24</f>
        <v>6123.61464</v>
      </c>
      <c r="D11" s="0" t="n">
        <f aca="false">D8+D10+D24</f>
        <v>4535.810136</v>
      </c>
      <c r="E11" s="0" t="n">
        <f aca="false">E8+E10+E24</f>
        <v>4057.35532488</v>
      </c>
      <c r="F11" s="0" t="n">
        <f aca="false">F8+F10+F24</f>
        <v>4606.1298247536</v>
      </c>
      <c r="G11" s="0" t="n">
        <f aca="false">G8+G10+G24</f>
        <v>5009.22463784371</v>
      </c>
      <c r="H11" s="0" t="n">
        <f aca="false">H8+H10+H24</f>
        <v>5407.55432779532</v>
      </c>
      <c r="I11" s="0" t="n">
        <f aca="false">I8+I10+I24</f>
        <v>5568.16861344888</v>
      </c>
      <c r="J11" s="0" t="n">
        <f aca="false">J8+J10+J24</f>
        <v>5707.3728287851</v>
      </c>
      <c r="K11" s="0" t="n">
        <f aca="false">K8+K10+K24</f>
        <v>5848.10256976884</v>
      </c>
      <c r="L11" s="0" t="n">
        <f aca="false">L8+L10+L24</f>
        <v>5965.06462116422</v>
      </c>
    </row>
    <row r="12" customFormat="false" ht="15" hidden="false" customHeight="false" outlineLevel="0" collapsed="false">
      <c r="A12" s="0" t="s">
        <v>115</v>
      </c>
      <c r="C12" s="4" t="n">
        <f aca="false">-C6*Assumptions!C17/100</f>
        <v>-1625.7384</v>
      </c>
      <c r="D12" s="4" t="n">
        <f aca="false">-D6*Assumptions!D17/100</f>
        <v>-1658.253168</v>
      </c>
      <c r="E12" s="4" t="n">
        <f aca="false">-E6*Assumptions!E17/100</f>
        <v>-1650.44962368</v>
      </c>
      <c r="F12" s="4" t="n">
        <f aca="false">-F6*Assumptions!F17/100</f>
        <v>-1636.695876816</v>
      </c>
      <c r="G12" s="4" t="n">
        <f aca="false">-G6*Assumptions!G17/100</f>
        <v>-1637.63113160275</v>
      </c>
      <c r="H12" s="4" t="n">
        <f aca="false">-H6*Assumptions!H17/100</f>
        <v>-1637.14947538758</v>
      </c>
      <c r="I12" s="4" t="n">
        <f aca="false">-I6*Assumptions!I17/100</f>
        <v>-1678.07821227226</v>
      </c>
      <c r="J12" s="4" t="n">
        <f aca="false">-J6*Assumptions!J17/100</f>
        <v>-1720.03016757907</v>
      </c>
      <c r="K12" s="4" t="n">
        <f aca="false">-K6*Assumptions!K17/100</f>
        <v>-1754.43077093065</v>
      </c>
      <c r="L12" s="4" t="n">
        <f aca="false">-L6*Assumptions!L17/100</f>
        <v>-1789.51938634927</v>
      </c>
    </row>
    <row r="13" customFormat="false" ht="15" hidden="false" customHeight="false" outlineLevel="0" collapsed="false">
      <c r="A13" s="0" t="s">
        <v>116</v>
      </c>
      <c r="C13" s="0" t="n">
        <f aca="false">C11+C12</f>
        <v>4497.87624</v>
      </c>
      <c r="D13" s="0" t="n">
        <f aca="false">D11+D12</f>
        <v>2877.556968</v>
      </c>
      <c r="E13" s="0" t="n">
        <f aca="false">E11+E12</f>
        <v>2406.9057012</v>
      </c>
      <c r="F13" s="0" t="n">
        <f aca="false">F11+F12</f>
        <v>2969.4339479376</v>
      </c>
      <c r="G13" s="0" t="n">
        <f aca="false">G11+G12</f>
        <v>3371.59350624096</v>
      </c>
      <c r="H13" s="0" t="n">
        <f aca="false">H11+H12</f>
        <v>3770.40485240775</v>
      </c>
      <c r="I13" s="0" t="n">
        <f aca="false">I11+I12</f>
        <v>3890.09040117661</v>
      </c>
      <c r="J13" s="0" t="n">
        <f aca="false">J11+J12</f>
        <v>3987.34266120603</v>
      </c>
      <c r="K13" s="0" t="n">
        <f aca="false">K11+K12</f>
        <v>4093.67179883819</v>
      </c>
      <c r="L13" s="0" t="n">
        <f aca="false">L11+L12</f>
        <v>4175.54523481495</v>
      </c>
    </row>
    <row r="14" customFormat="false" ht="15" hidden="false" customHeight="false" outlineLevel="0" collapsed="false">
      <c r="A14" s="0" t="s">
        <v>102</v>
      </c>
      <c r="C14" s="4" t="n">
        <f aca="false">Assumptions!C19</f>
        <v>16</v>
      </c>
      <c r="D14" s="4" t="n">
        <f aca="false">Assumptions!D19</f>
        <v>16</v>
      </c>
      <c r="E14" s="4" t="n">
        <f aca="false">Assumptions!E19</f>
        <v>17</v>
      </c>
      <c r="F14" s="4" t="n">
        <f aca="false">Assumptions!F19</f>
        <v>17</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117</v>
      </c>
      <c r="C15" s="0" t="n">
        <f aca="false">C13-MAX(0,C13)*C14/100</f>
        <v>3778.2160416</v>
      </c>
      <c r="D15" s="0" t="n">
        <f aca="false">D13-MAX(0,D13)*D14/100</f>
        <v>2417.14785312</v>
      </c>
      <c r="E15" s="0" t="n">
        <f aca="false">E13-MAX(0,E13)*E14/100</f>
        <v>1997.731731996</v>
      </c>
      <c r="F15" s="0" t="n">
        <f aca="false">F13-MAX(0,F13)*F14/100</f>
        <v>2464.63017678821</v>
      </c>
      <c r="G15" s="0" t="n">
        <f aca="false">G13-MAX(0,G13)*G14/100</f>
        <v>2764.70667511759</v>
      </c>
      <c r="H15" s="0" t="n">
        <f aca="false">H13-MAX(0,H13)*H14/100</f>
        <v>3091.73197897435</v>
      </c>
      <c r="I15" s="0" t="n">
        <f aca="false">I13-MAX(0,I13)*I14/100</f>
        <v>3189.87412896482</v>
      </c>
      <c r="J15" s="0" t="n">
        <f aca="false">J13-MAX(0,J13)*J14/100</f>
        <v>3269.62098218894</v>
      </c>
      <c r="K15" s="0" t="n">
        <f aca="false">K13-MAX(0,K13)*K14/100</f>
        <v>3356.81087504731</v>
      </c>
      <c r="L15" s="0" t="n">
        <f aca="false">L13-MAX(0,L13)*L14/100</f>
        <v>3423.94709254826</v>
      </c>
    </row>
    <row r="16" customFormat="false" ht="15" hidden="false" customHeight="false" outlineLevel="0" collapsed="false">
      <c r="A16" s="0" t="s">
        <v>118</v>
      </c>
      <c r="C16" s="0" t="n">
        <f aca="false">-C12</f>
        <v>1625.7384</v>
      </c>
      <c r="D16" s="0" t="n">
        <f aca="false">-D12</f>
        <v>1658.253168</v>
      </c>
      <c r="E16" s="0" t="n">
        <f aca="false">-E12</f>
        <v>1650.44962368</v>
      </c>
      <c r="F16" s="0" t="n">
        <f aca="false">-F12</f>
        <v>1636.695876816</v>
      </c>
      <c r="G16" s="0" t="n">
        <f aca="false">-G12</f>
        <v>1637.63113160275</v>
      </c>
      <c r="H16" s="0" t="n">
        <f aca="false">-H12</f>
        <v>1637.14947538758</v>
      </c>
      <c r="I16" s="0" t="n">
        <f aca="false">-I12</f>
        <v>1678.07821227226</v>
      </c>
      <c r="J16" s="0" t="n">
        <f aca="false">-J12</f>
        <v>1720.03016757907</v>
      </c>
      <c r="K16" s="0" t="n">
        <f aca="false">-K12</f>
        <v>1754.43077093065</v>
      </c>
      <c r="L16" s="0" t="n">
        <f aca="false">-L12</f>
        <v>1789.51938634927</v>
      </c>
    </row>
    <row r="17" customFormat="false" ht="15" hidden="false" customHeight="false" outlineLevel="0" collapsed="false">
      <c r="A17" s="0" t="s">
        <v>119</v>
      </c>
      <c r="C17" s="4" t="n">
        <f aca="false">-C6*Assumptions!C18/100</f>
        <v>-2709.564</v>
      </c>
      <c r="D17" s="4" t="n">
        <f aca="false">-D6*Assumptions!D18/100</f>
        <v>-1950.88608</v>
      </c>
      <c r="E17" s="4" t="n">
        <f aca="false">-E6*Assumptions!E18/100</f>
        <v>-1604.6038008</v>
      </c>
      <c r="F17" s="4" t="n">
        <f aca="false">-F6*Assumptions!F18/100</f>
        <v>-1636.695876816</v>
      </c>
      <c r="G17" s="4" t="n">
        <f aca="false">-G6*Assumptions!G18/100</f>
        <v>-1685.79675312048</v>
      </c>
      <c r="H17" s="4" t="n">
        <f aca="false">-H6*Assumptions!H18/100</f>
        <v>-1736.37065571409</v>
      </c>
      <c r="I17" s="4" t="n">
        <f aca="false">-I6*Assumptions!I18/100</f>
        <v>-1779.77992210695</v>
      </c>
      <c r="J17" s="4" t="n">
        <f aca="false">-J6*Assumptions!J18/100</f>
        <v>-1824.27442015962</v>
      </c>
      <c r="K17" s="4" t="n">
        <f aca="false">-K6*Assumptions!K18/100</f>
        <v>-1860.75990856281</v>
      </c>
      <c r="L17" s="4" t="n">
        <f aca="false">-L6*Assumptions!L18/100</f>
        <v>-1897.97510673407</v>
      </c>
    </row>
    <row r="18" customFormat="false" ht="15" hidden="false" customHeight="false" outlineLevel="0" collapsed="false">
      <c r="A18" s="0" t="s">
        <v>120</v>
      </c>
      <c r="C18" s="4" t="n">
        <f aca="false">(C6-B6)*Assumptions!$B$23/100</f>
        <v>-208.428</v>
      </c>
      <c r="D18" s="4" t="n">
        <f aca="false">(D6-C6)*Assumptions!$B$23/100</f>
        <v>541.9128</v>
      </c>
      <c r="E18" s="4" t="n">
        <f aca="false">(E6-D6)*Assumptions!$B$23/100</f>
        <v>292.632912</v>
      </c>
      <c r="F18" s="4" t="n">
        <f aca="false">(F6-E6)*Assumptions!$B$23/100</f>
        <v>-91.6916457600004</v>
      </c>
      <c r="G18" s="4" t="n">
        <f aca="false">(G6-F6)*Assumptions!$B$23/100</f>
        <v>-140.2882180128</v>
      </c>
      <c r="H18" s="4" t="n">
        <f aca="false">(H6-G6)*Assumptions!$B$23/100</f>
        <v>-144.496864553184</v>
      </c>
      <c r="I18" s="4" t="n">
        <f aca="false">(I6-H6)*Assumptions!$B$23/100</f>
        <v>-124.026475408149</v>
      </c>
      <c r="J18" s="4" t="n">
        <f aca="false">(J6-I6)*Assumptions!$B$23/100</f>
        <v>-127.127137293353</v>
      </c>
      <c r="K18" s="4" t="n">
        <f aca="false">(K6-J6)*Assumptions!$B$23/100</f>
        <v>-104.24425258055</v>
      </c>
      <c r="L18" s="4" t="n">
        <f aca="false">(L6-K6)*Assumptions!$B$23/100</f>
        <v>-106.329137632161</v>
      </c>
    </row>
    <row r="19" customFormat="false" ht="15" hidden="false" customHeight="false" outlineLevel="0" collapsed="false">
      <c r="A19" s="0" t="s">
        <v>121</v>
      </c>
      <c r="C19" s="0" t="n">
        <f aca="false">C15+C16+C17+C18</f>
        <v>2485.9624416</v>
      </c>
      <c r="D19" s="0" t="n">
        <f aca="false">D15+D16+D17+D18</f>
        <v>2666.42774112</v>
      </c>
      <c r="E19" s="0" t="n">
        <f aca="false">E15+E16+E17+E18</f>
        <v>2336.210466876</v>
      </c>
      <c r="F19" s="0" t="n">
        <f aca="false">F15+F16+F17+F18</f>
        <v>2372.93853102821</v>
      </c>
      <c r="G19" s="0" t="n">
        <f aca="false">G15+G16+G17+G18</f>
        <v>2576.25283558706</v>
      </c>
      <c r="H19" s="0" t="n">
        <f aca="false">H15+H16+H17+H18</f>
        <v>2848.01393409465</v>
      </c>
      <c r="I19" s="0" t="n">
        <f aca="false">I15+I16+I17+I18</f>
        <v>2964.14594372199</v>
      </c>
      <c r="J19" s="0" t="n">
        <f aca="false">J15+J16+J17+J18</f>
        <v>3038.24959231504</v>
      </c>
      <c r="K19" s="0" t="n">
        <f aca="false">K15+K16+K17+K18</f>
        <v>3146.2374848346</v>
      </c>
      <c r="L19" s="0" t="n">
        <f aca="false">L15+L16+L17+L18</f>
        <v>3209.1622345313</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2301.81707555556</v>
      </c>
      <c r="D21" s="0" t="n">
        <f aca="false">D19*D20</f>
        <v>2286.03201399177</v>
      </c>
      <c r="E21" s="0" t="n">
        <f aca="false">E19*E20</f>
        <v>1854.55919041495</v>
      </c>
      <c r="F21" s="0" t="n">
        <f aca="false">F19*F20</f>
        <v>1744.1806591567</v>
      </c>
      <c r="G21" s="0" t="n">
        <f aca="false">G19*G20</f>
        <v>1753.35439121111</v>
      </c>
      <c r="H21" s="0" t="n">
        <f aca="false">H19*H20</f>
        <v>1794.73187820631</v>
      </c>
      <c r="I21" s="0" t="n">
        <f aca="false">I19*I20</f>
        <v>1729.55068831699</v>
      </c>
      <c r="J21" s="0" t="n">
        <f aca="false">J19*J20</f>
        <v>1641.47171807863</v>
      </c>
      <c r="K21" s="0" t="n">
        <f aca="false">K19*K20</f>
        <v>1573.90205213879</v>
      </c>
      <c r="L21" s="0" t="n">
        <f aca="false">L19*L20</f>
        <v>1486.46304924219</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8</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13</v>
      </c>
    </row>
    <row r="30" customFormat="false" ht="15" hidden="false" customHeight="false" outlineLevel="0" collapsed="false">
      <c r="A30" s="0" t="s">
        <v>126</v>
      </c>
      <c r="B30" s="0" t="n">
        <f aca="false">SUM(C21:L21)</f>
        <v>18166.062716313</v>
      </c>
    </row>
    <row r="31" customFormat="false" ht="15" hidden="false" customHeight="false" outlineLevel="0" collapsed="false">
      <c r="A31" s="0" t="s">
        <v>127</v>
      </c>
      <c r="B31" s="0" t="n">
        <f aca="false">L19</f>
        <v>3209.1622345313</v>
      </c>
    </row>
    <row r="32" customFormat="false" ht="15" hidden="false" customHeight="false" outlineLevel="0" collapsed="false">
      <c r="A32" s="0" t="s">
        <v>128</v>
      </c>
      <c r="B32" s="0" t="n">
        <f aca="false">IF(B27&gt;B28,B31*(1+B28/100)/((B27-B28)/100),B31*B29)</f>
        <v>54555.757987032</v>
      </c>
    </row>
    <row r="33" customFormat="false" ht="15" hidden="false" customHeight="false" outlineLevel="0" collapsed="false">
      <c r="A33" s="0" t="s">
        <v>129</v>
      </c>
      <c r="B33" s="0" t="n">
        <f aca="false">B31*B29</f>
        <v>41719.1090489069</v>
      </c>
    </row>
    <row r="34" customFormat="false" ht="15" hidden="false" customHeight="false" outlineLevel="0" collapsed="false">
      <c r="A34" s="0" t="s">
        <v>130</v>
      </c>
      <c r="B34" s="0" t="n">
        <f aca="false">MAX(0,MIN(B32,B33))</f>
        <v>41719.1090489069</v>
      </c>
    </row>
    <row r="35" customFormat="false" ht="15" hidden="false" customHeight="false" outlineLevel="0" collapsed="false">
      <c r="A35" s="0" t="s">
        <v>131</v>
      </c>
      <c r="B35" s="0" t="n">
        <f aca="false">B34/(1+B27/100)^L4</f>
        <v>19324.0196401485</v>
      </c>
    </row>
    <row r="36" customFormat="false" ht="15" hidden="false" customHeight="false" outlineLevel="0" collapsed="false">
      <c r="A36" s="0" t="s">
        <v>132</v>
      </c>
      <c r="B36" s="0" t="n">
        <f aca="false">B30+B35</f>
        <v>37490.0823564615</v>
      </c>
    </row>
    <row r="37" customFormat="false" ht="15" hidden="false" customHeight="false" outlineLevel="0" collapsed="false">
      <c r="A37" s="0" t="s">
        <v>133</v>
      </c>
      <c r="B37" s="0" t="n">
        <f aca="false">B36+Assumptions!$B$5-Assumptions!$B$4</f>
        <v>20945.0823564615</v>
      </c>
    </row>
    <row r="38" customFormat="false" ht="15" hidden="false" customHeight="false" outlineLevel="0" collapsed="false">
      <c r="A38" s="0" t="s">
        <v>134</v>
      </c>
      <c r="B38" s="0" t="n">
        <f aca="false">B37/Assumptions!$B$3*Assumptions!$B$10</f>
        <v>2.88280631236451</v>
      </c>
    </row>
    <row r="39" customFormat="false" ht="15" hidden="false" customHeight="false" outlineLevel="0" collapsed="false">
      <c r="A39" s="0" t="s">
        <v>135</v>
      </c>
      <c r="B39" s="4" t="n">
        <f aca="false">B38/Assumptions!$B$2-1</f>
        <v>-0.46416239547128</v>
      </c>
    </row>
    <row r="41" customFormat="false" ht="15" hidden="false" customHeight="false" outlineLevel="0" collapsed="false">
      <c r="A41" s="0" t="s">
        <v>136</v>
      </c>
      <c r="B41" s="0" t="n">
        <f aca="false">SUMPRODUCT(-C10:L10/(1+$B$27/100)^C4:L4)</f>
        <v>2064.81853078258</v>
      </c>
    </row>
    <row r="42" customFormat="false" ht="15" hidden="false" customHeight="false" outlineLevel="0" collapsed="false">
      <c r="A42" s="0" t="s">
        <v>137</v>
      </c>
      <c r="B42" s="0" t="n">
        <f aca="false">IF(B27&gt;B28,-L10*(1+B28/100)/((B27-B28)/100),-L10*20)/(1+B27/100)^L4</f>
        <v>2135.02929568042</v>
      </c>
    </row>
    <row r="43" customFormat="false" ht="15" hidden="false" customHeight="false" outlineLevel="0" collapsed="false">
      <c r="A43" s="0" t="s">
        <v>138</v>
      </c>
      <c r="B43" s="0" t="n">
        <f aca="false">(B37+B41+B42)/Assumptions!$B$3*Assumptions!$B$10</f>
        <v>3.46085836386971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25179.5806093994</v>
      </c>
    </row>
    <row r="47" customFormat="false" ht="15" hidden="false" customHeight="false" outlineLevel="0" collapsed="false">
      <c r="A47" s="0" t="s">
        <v>140</v>
      </c>
      <c r="B47" s="0" t="n">
        <f aca="false">(SUMPRODUCT(C19:L19/(1+B45/100)^C4:L4)+B46/(1+B45/100)^L4+Assumptions!$B$5-Assumptions!$B$4)/Assumptions!$B$3*Assumptions!$B$10</f>
        <v>0.42075869812709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8</v>
      </c>
      <c r="D5" s="4" t="n">
        <f aca="false">Assumptions!D27</f>
        <v>7</v>
      </c>
      <c r="E5" s="4" t="n">
        <f aca="false">Assumptions!E27</f>
        <v>6</v>
      </c>
      <c r="F5" s="4" t="n">
        <f aca="false">Assumptions!F27</f>
        <v>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52107</v>
      </c>
      <c r="C6" s="0" t="n">
        <f aca="false">B6*(1+C5/100)</f>
        <v>56275.56</v>
      </c>
      <c r="D6" s="0" t="n">
        <f aca="false">C6*(1+D5/100)</f>
        <v>60214.8492</v>
      </c>
      <c r="E6" s="0" t="n">
        <f aca="false">D6*(1+E5/100)</f>
        <v>63827.740152</v>
      </c>
      <c r="F6" s="0" t="n">
        <f aca="false">E6*(1+F5/100)</f>
        <v>67019.1271596</v>
      </c>
      <c r="G6" s="0" t="n">
        <f aca="false">F6*(1+G5/100)</f>
        <v>69699.892245984</v>
      </c>
      <c r="H6" s="0" t="n">
        <f aca="false">G6*(1+H5/100)</f>
        <v>72139.3884745935</v>
      </c>
      <c r="I6" s="0" t="n">
        <f aca="false">H6*(1+I5/100)</f>
        <v>74303.5701288313</v>
      </c>
      <c r="J6" s="0" t="n">
        <f aca="false">I6*(1+J5/100)</f>
        <v>76532.6772326962</v>
      </c>
      <c r="K6" s="0" t="n">
        <f aca="false">J6*(1+K5/100)</f>
        <v>78445.9941635136</v>
      </c>
      <c r="L6" s="0" t="n">
        <f aca="false">K6*(1+L5/100)</f>
        <v>80407.1440176014</v>
      </c>
    </row>
    <row r="7" customFormat="false" ht="15" hidden="false" customHeight="false" outlineLevel="0" collapsed="false">
      <c r="A7" s="0" t="s">
        <v>97</v>
      </c>
      <c r="C7" s="4" t="n">
        <f aca="false">Assumptions!C28</f>
        <v>13</v>
      </c>
      <c r="D7" s="4" t="n">
        <f aca="false">Assumptions!D28</f>
        <v>13.2</v>
      </c>
      <c r="E7" s="4" t="n">
        <f aca="false">Assumptions!E28</f>
        <v>13.4</v>
      </c>
      <c r="F7" s="4" t="n">
        <f aca="false">Assumptions!F28</f>
        <v>13.6</v>
      </c>
      <c r="G7" s="4" t="n">
        <f aca="false">Assumptions!G28</f>
        <v>13.8</v>
      </c>
      <c r="H7" s="4" t="n">
        <f aca="false">Assumptions!H28</f>
        <v>14</v>
      </c>
      <c r="I7" s="4" t="n">
        <f aca="false">Assumptions!I28</f>
        <v>14</v>
      </c>
      <c r="J7" s="4" t="n">
        <f aca="false">Assumptions!J28</f>
        <v>14</v>
      </c>
      <c r="K7" s="4" t="n">
        <f aca="false">Assumptions!K28</f>
        <v>14</v>
      </c>
      <c r="L7" s="4" t="n">
        <f aca="false">Assumptions!L28</f>
        <v>14</v>
      </c>
    </row>
    <row r="8" customFormat="false" ht="15" hidden="false" customHeight="false" outlineLevel="0" collapsed="false">
      <c r="A8" s="0" t="s">
        <v>44</v>
      </c>
      <c r="C8" s="0" t="n">
        <f aca="false">C6*C7/100</f>
        <v>7315.8228</v>
      </c>
      <c r="D8" s="0" t="n">
        <f aca="false">D6*D7/100</f>
        <v>7948.3600944</v>
      </c>
      <c r="E8" s="0" t="n">
        <f aca="false">E6*E7/100</f>
        <v>8552.917180368</v>
      </c>
      <c r="F8" s="0" t="n">
        <f aca="false">F6*F7/100</f>
        <v>9114.6012937056</v>
      </c>
      <c r="G8" s="0" t="n">
        <f aca="false">G6*G7/100</f>
        <v>9618.5851299458</v>
      </c>
      <c r="H8" s="0" t="n">
        <f aca="false">H6*H7/100</f>
        <v>10099.5143864431</v>
      </c>
      <c r="I8" s="0" t="n">
        <f aca="false">I6*I7/100</f>
        <v>10402.4998180364</v>
      </c>
      <c r="J8" s="0" t="n">
        <f aca="false">J6*J7/100</f>
        <v>10714.5748125775</v>
      </c>
      <c r="K8" s="0" t="n">
        <f aca="false">K6*K7/100</f>
        <v>10982.4391828919</v>
      </c>
      <c r="L8" s="0" t="n">
        <f aca="false">L6*L7/100</f>
        <v>11257.0001624642</v>
      </c>
    </row>
    <row r="9" customFormat="false" ht="15" hidden="false" customHeight="false" outlineLevel="0" collapsed="false">
      <c r="A9" s="0" t="s">
        <v>98</v>
      </c>
      <c r="C9" s="4" t="n">
        <f aca="false">Assumptions!C29</f>
        <v>0.7</v>
      </c>
      <c r="D9" s="4" t="n">
        <f aca="false">Assumptions!D29</f>
        <v>0.7</v>
      </c>
      <c r="E9" s="4" t="n">
        <f aca="false">Assumptions!E29</f>
        <v>0.65</v>
      </c>
      <c r="F9" s="4" t="n">
        <f aca="false">Assumptions!F29</f>
        <v>0.65</v>
      </c>
      <c r="G9" s="4" t="n">
        <f aca="false">Assumptions!G29</f>
        <v>0.6</v>
      </c>
      <c r="H9" s="4" t="n">
        <f aca="false">Assumptions!H29</f>
        <v>0.6</v>
      </c>
      <c r="I9" s="4" t="n">
        <f aca="false">Assumptions!I29</f>
        <v>0.55</v>
      </c>
      <c r="J9" s="4" t="n">
        <f aca="false">Assumptions!J29</f>
        <v>0.55</v>
      </c>
      <c r="K9" s="4" t="n">
        <f aca="false">Assumptions!K29</f>
        <v>0.5</v>
      </c>
      <c r="L9" s="4" t="n">
        <f aca="false">Assumptions!L29</f>
        <v>0.5</v>
      </c>
    </row>
    <row r="10" customFormat="false" ht="15" hidden="false" customHeight="false" outlineLevel="0" collapsed="false">
      <c r="A10" s="0" t="s">
        <v>113</v>
      </c>
      <c r="C10" s="0" t="n">
        <f aca="false">-C6*C9/100</f>
        <v>-393.92892</v>
      </c>
      <c r="D10" s="0" t="n">
        <f aca="false">-D6*D9/100</f>
        <v>-421.5039444</v>
      </c>
      <c r="E10" s="0" t="n">
        <f aca="false">-E6*E9/100</f>
        <v>-414.880310988</v>
      </c>
      <c r="F10" s="0" t="n">
        <f aca="false">-F6*F9/100</f>
        <v>-435.6243265374</v>
      </c>
      <c r="G10" s="0" t="n">
        <f aca="false">-G6*G9/100</f>
        <v>-418.199353475904</v>
      </c>
      <c r="H10" s="0" t="n">
        <f aca="false">-H6*H9/100</f>
        <v>-432.836330847561</v>
      </c>
      <c r="I10" s="0" t="n">
        <f aca="false">-I6*I9/100</f>
        <v>-408.669635708572</v>
      </c>
      <c r="J10" s="0" t="n">
        <f aca="false">-J6*J9/100</f>
        <v>-420.929724779829</v>
      </c>
      <c r="K10" s="0" t="n">
        <f aca="false">-K6*K9/100</f>
        <v>-392.229970817568</v>
      </c>
      <c r="L10" s="0" t="n">
        <f aca="false">-L6*L9/100</f>
        <v>-402.035720088007</v>
      </c>
    </row>
    <row r="11" customFormat="false" ht="15" hidden="false" customHeight="false" outlineLevel="0" collapsed="false">
      <c r="A11" s="0" t="s">
        <v>114</v>
      </c>
      <c r="C11" s="0" t="n">
        <f aca="false">C8+C10+C24</f>
        <v>6921.89388</v>
      </c>
      <c r="D11" s="0" t="n">
        <f aca="false">D8+D10+D24</f>
        <v>7526.85615</v>
      </c>
      <c r="E11" s="0" t="n">
        <f aca="false">E8+E10+E24</f>
        <v>8138.03686938</v>
      </c>
      <c r="F11" s="0" t="n">
        <f aca="false">F8+F10+F24</f>
        <v>8678.9769671682</v>
      </c>
      <c r="G11" s="0" t="n">
        <f aca="false">G8+G10+G24</f>
        <v>9200.38577646989</v>
      </c>
      <c r="H11" s="0" t="n">
        <f aca="false">H8+H10+H24</f>
        <v>9666.67805559553</v>
      </c>
      <c r="I11" s="0" t="n">
        <f aca="false">I8+I10+I24</f>
        <v>9993.83018232781</v>
      </c>
      <c r="J11" s="0" t="n">
        <f aca="false">J8+J10+J24</f>
        <v>10293.6450877976</v>
      </c>
      <c r="K11" s="0" t="n">
        <f aca="false">K8+K10+K24</f>
        <v>10590.2092120743</v>
      </c>
      <c r="L11" s="0" t="n">
        <f aca="false">L8+L10+L24</f>
        <v>10854.9644423762</v>
      </c>
    </row>
    <row r="12" customFormat="false" ht="15" hidden="false" customHeight="false" outlineLevel="0" collapsed="false">
      <c r="A12" s="0" t="s">
        <v>115</v>
      </c>
      <c r="C12" s="4" t="n">
        <f aca="false">-C6*Assumptions!C31/100</f>
        <v>-1688.2668</v>
      </c>
      <c r="D12" s="4" t="n">
        <f aca="false">-D6*Assumptions!D31/100</f>
        <v>-1866.6603252</v>
      </c>
      <c r="E12" s="4" t="n">
        <f aca="false">-E6*Assumptions!E31/100</f>
        <v>-2042.487684864</v>
      </c>
      <c r="F12" s="4" t="n">
        <f aca="false">-F6*Assumptions!F31/100</f>
        <v>-2211.6311962668</v>
      </c>
      <c r="G12" s="4" t="n">
        <f aca="false">-G6*Assumptions!G31/100</f>
        <v>-2300.09644411747</v>
      </c>
      <c r="H12" s="4" t="n">
        <f aca="false">-H6*Assumptions!H31/100</f>
        <v>-2380.59981966158</v>
      </c>
      <c r="I12" s="4" t="n">
        <f aca="false">-I6*Assumptions!I31/100</f>
        <v>-2452.01781425143</v>
      </c>
      <c r="J12" s="4" t="n">
        <f aca="false">-J6*Assumptions!J31/100</f>
        <v>-2525.57834867897</v>
      </c>
      <c r="K12" s="4" t="n">
        <f aca="false">-K6*Assumptions!K31/100</f>
        <v>-2588.71780739595</v>
      </c>
      <c r="L12" s="4" t="n">
        <f aca="false">-L6*Assumptions!L31/100</f>
        <v>-2653.43575258085</v>
      </c>
    </row>
    <row r="13" customFormat="false" ht="15" hidden="false" customHeight="false" outlineLevel="0" collapsed="false">
      <c r="A13" s="0" t="s">
        <v>116</v>
      </c>
      <c r="C13" s="0" t="n">
        <f aca="false">C11+C12</f>
        <v>5233.62708</v>
      </c>
      <c r="D13" s="0" t="n">
        <f aca="false">D11+D12</f>
        <v>5660.1958248</v>
      </c>
      <c r="E13" s="0" t="n">
        <f aca="false">E11+E12</f>
        <v>6095.549184516</v>
      </c>
      <c r="F13" s="0" t="n">
        <f aca="false">F11+F12</f>
        <v>6467.3457709014</v>
      </c>
      <c r="G13" s="0" t="n">
        <f aca="false">G11+G12</f>
        <v>6900.28933235242</v>
      </c>
      <c r="H13" s="0" t="n">
        <f aca="false">H11+H12</f>
        <v>7286.07823593394</v>
      </c>
      <c r="I13" s="0" t="n">
        <f aca="false">I11+I12</f>
        <v>7541.81236807638</v>
      </c>
      <c r="J13" s="0" t="n">
        <f aca="false">J11+J12</f>
        <v>7768.06673911867</v>
      </c>
      <c r="K13" s="0" t="n">
        <f aca="false">K11+K12</f>
        <v>8001.49140467839</v>
      </c>
      <c r="L13" s="0" t="n">
        <f aca="false">L11+L12</f>
        <v>8201.52868979535</v>
      </c>
    </row>
    <row r="14" customFormat="false" ht="15" hidden="false" customHeight="false" outlineLevel="0" collapsed="false">
      <c r="A14" s="0" t="s">
        <v>102</v>
      </c>
      <c r="C14" s="4" t="n">
        <f aca="false">Assumptions!C33</f>
        <v>16</v>
      </c>
      <c r="D14" s="4" t="n">
        <f aca="false">Assumptions!D33</f>
        <v>16</v>
      </c>
      <c r="E14" s="4" t="n">
        <f aca="false">Assumptions!E33</f>
        <v>17</v>
      </c>
      <c r="F14" s="4" t="n">
        <f aca="false">Assumptions!F33</f>
        <v>17</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117</v>
      </c>
      <c r="C15" s="0" t="n">
        <f aca="false">C13-MAX(0,C13)*C14/100</f>
        <v>4396.2467472</v>
      </c>
      <c r="D15" s="0" t="n">
        <f aca="false">D13-MAX(0,D13)*D14/100</f>
        <v>4754.564492832</v>
      </c>
      <c r="E15" s="0" t="n">
        <f aca="false">E13-MAX(0,E13)*E14/100</f>
        <v>5059.30582314828</v>
      </c>
      <c r="F15" s="0" t="n">
        <f aca="false">F13-MAX(0,F13)*F14/100</f>
        <v>5367.89698984816</v>
      </c>
      <c r="G15" s="0" t="n">
        <f aca="false">G13-MAX(0,G13)*G14/100</f>
        <v>5658.23725252898</v>
      </c>
      <c r="H15" s="0" t="n">
        <f aca="false">H13-MAX(0,H13)*H14/100</f>
        <v>5974.58415346583</v>
      </c>
      <c r="I15" s="0" t="n">
        <f aca="false">I13-MAX(0,I13)*I14/100</f>
        <v>6184.28614182263</v>
      </c>
      <c r="J15" s="0" t="n">
        <f aca="false">J13-MAX(0,J13)*J14/100</f>
        <v>6369.81472607731</v>
      </c>
      <c r="K15" s="0" t="n">
        <f aca="false">K13-MAX(0,K13)*K14/100</f>
        <v>6561.22295183628</v>
      </c>
      <c r="L15" s="0" t="n">
        <f aca="false">L13-MAX(0,L13)*L14/100</f>
        <v>6725.25352563219</v>
      </c>
    </row>
    <row r="16" customFormat="false" ht="15" hidden="false" customHeight="false" outlineLevel="0" collapsed="false">
      <c r="A16" s="0" t="s">
        <v>118</v>
      </c>
      <c r="C16" s="0" t="n">
        <f aca="false">-C12</f>
        <v>1688.2668</v>
      </c>
      <c r="D16" s="0" t="n">
        <f aca="false">-D12</f>
        <v>1866.6603252</v>
      </c>
      <c r="E16" s="0" t="n">
        <f aca="false">-E12</f>
        <v>2042.487684864</v>
      </c>
      <c r="F16" s="0" t="n">
        <f aca="false">-F12</f>
        <v>2211.6311962668</v>
      </c>
      <c r="G16" s="0" t="n">
        <f aca="false">-G12</f>
        <v>2300.09644411747</v>
      </c>
      <c r="H16" s="0" t="n">
        <f aca="false">-H12</f>
        <v>2380.59981966158</v>
      </c>
      <c r="I16" s="0" t="n">
        <f aca="false">-I12</f>
        <v>2452.01781425143</v>
      </c>
      <c r="J16" s="0" t="n">
        <f aca="false">-J12</f>
        <v>2525.57834867897</v>
      </c>
      <c r="K16" s="0" t="n">
        <f aca="false">-K12</f>
        <v>2588.71780739595</v>
      </c>
      <c r="L16" s="0" t="n">
        <f aca="false">-L12</f>
        <v>2653.43575258085</v>
      </c>
    </row>
    <row r="17" customFormat="false" ht="15" hidden="false" customHeight="false" outlineLevel="0" collapsed="false">
      <c r="A17" s="0" t="s">
        <v>119</v>
      </c>
      <c r="C17" s="4" t="n">
        <f aca="false">-C6*Assumptions!C32/100</f>
        <v>-2813.778</v>
      </c>
      <c r="D17" s="4" t="n">
        <f aca="false">-D6*Assumptions!D32/100</f>
        <v>-2709.668214</v>
      </c>
      <c r="E17" s="4" t="n">
        <f aca="false">-E6*Assumptions!E32/100</f>
        <v>-2553.10960608</v>
      </c>
      <c r="F17" s="4" t="n">
        <f aca="false">-F6*Assumptions!F32/100</f>
        <v>-2546.7268320648</v>
      </c>
      <c r="G17" s="4" t="n">
        <f aca="false">-G6*Assumptions!G32/100</f>
        <v>-2509.19612085543</v>
      </c>
      <c r="H17" s="4" t="n">
        <f aca="false">-H6*Assumptions!H32/100</f>
        <v>-2524.87859661077</v>
      </c>
      <c r="I17" s="4" t="n">
        <f aca="false">-I6*Assumptions!I32/100</f>
        <v>-2600.62495450909</v>
      </c>
      <c r="J17" s="4" t="n">
        <f aca="false">-J6*Assumptions!J32/100</f>
        <v>-2678.64370314437</v>
      </c>
      <c r="K17" s="4" t="n">
        <f aca="false">-K6*Assumptions!K32/100</f>
        <v>-2745.60979572298</v>
      </c>
      <c r="L17" s="4" t="n">
        <f aca="false">-L6*Assumptions!L32/100</f>
        <v>-2814.25004061605</v>
      </c>
    </row>
    <row r="18" customFormat="false" ht="15" hidden="false" customHeight="false" outlineLevel="0" collapsed="false">
      <c r="A18" s="0" t="s">
        <v>120</v>
      </c>
      <c r="C18" s="4" t="n">
        <f aca="false">(C6-B6)*Assumptions!$B$37/100</f>
        <v>-1458.996</v>
      </c>
      <c r="D18" s="4" t="n">
        <f aca="false">(D6-C6)*Assumptions!$B$37/100</f>
        <v>-1378.75122</v>
      </c>
      <c r="E18" s="4" t="n">
        <f aca="false">(E6-D6)*Assumptions!$B$37/100</f>
        <v>-1264.5118332</v>
      </c>
      <c r="F18" s="4" t="n">
        <f aca="false">(F6-E6)*Assumptions!$B$37/100</f>
        <v>-1116.98545266</v>
      </c>
      <c r="G18" s="4" t="n">
        <f aca="false">(G6-F6)*Assumptions!$B$37/100</f>
        <v>-938.267780234404</v>
      </c>
      <c r="H18" s="4" t="n">
        <f aca="false">(H6-G6)*Assumptions!$B$37/100</f>
        <v>-853.823680013303</v>
      </c>
      <c r="I18" s="4" t="n">
        <f aca="false">(I6-H6)*Assumptions!$B$37/100</f>
        <v>-757.463578983233</v>
      </c>
      <c r="J18" s="4" t="n">
        <f aca="false">(J6-I6)*Assumptions!$B$37/100</f>
        <v>-780.187486352729</v>
      </c>
      <c r="K18" s="4" t="n">
        <f aca="false">(K6-J6)*Assumptions!$B$37/100</f>
        <v>-669.660925786089</v>
      </c>
      <c r="L18" s="4" t="n">
        <f aca="false">(L6-K6)*Assumptions!$B$37/100</f>
        <v>-686.402448930743</v>
      </c>
    </row>
    <row r="19" customFormat="false" ht="15" hidden="false" customHeight="false" outlineLevel="0" collapsed="false">
      <c r="A19" s="0" t="s">
        <v>121</v>
      </c>
      <c r="C19" s="0" t="n">
        <f aca="false">C15+C16+C17+C18</f>
        <v>1811.7395472</v>
      </c>
      <c r="D19" s="0" t="n">
        <f aca="false">D15+D16+D17+D18</f>
        <v>2532.805384032</v>
      </c>
      <c r="E19" s="0" t="n">
        <f aca="false">E15+E16+E17+E18</f>
        <v>3284.17206873228</v>
      </c>
      <c r="F19" s="0" t="n">
        <f aca="false">F15+F16+F17+F18</f>
        <v>3915.81590139016</v>
      </c>
      <c r="G19" s="0" t="n">
        <f aca="false">G15+G16+G17+G18</f>
        <v>4510.86979555663</v>
      </c>
      <c r="H19" s="0" t="n">
        <f aca="false">H15+H16+H17+H18</f>
        <v>4976.48169650334</v>
      </c>
      <c r="I19" s="0" t="n">
        <f aca="false">I15+I16+I17+I18</f>
        <v>5278.21542258173</v>
      </c>
      <c r="J19" s="0" t="n">
        <f aca="false">J15+J16+J17+J18</f>
        <v>5436.56188525919</v>
      </c>
      <c r="K19" s="0" t="n">
        <f aca="false">K15+K16+K17+K18</f>
        <v>5734.67003772316</v>
      </c>
      <c r="L19" s="0" t="n">
        <f aca="false">L15+L16+L17+L18</f>
        <v>5878.03678866624</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1677.53661777777</v>
      </c>
      <c r="D21" s="0" t="n">
        <f aca="false">D19*D20</f>
        <v>2171.47238</v>
      </c>
      <c r="E21" s="0" t="n">
        <f aca="false">E19*E20</f>
        <v>2607.08167321759</v>
      </c>
      <c r="F21" s="0" t="n">
        <f aca="false">F19*F20</f>
        <v>2878.24158557682</v>
      </c>
      <c r="G21" s="0" t="n">
        <f aca="false">G19*G20</f>
        <v>3070.02218686292</v>
      </c>
      <c r="H21" s="0" t="n">
        <f aca="false">H19*H20</f>
        <v>3136.02761387611</v>
      </c>
      <c r="I21" s="0" t="n">
        <f aca="false">I19*I20</f>
        <v>3079.78800320091</v>
      </c>
      <c r="J21" s="0" t="n">
        <f aca="false">J19*J20</f>
        <v>2937.20522527494</v>
      </c>
      <c r="K21" s="0" t="n">
        <f aca="false">K19*K20</f>
        <v>2868.76276321074</v>
      </c>
      <c r="L21" s="0" t="n">
        <f aca="false">L19*L20</f>
        <v>2722.66836323241</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8</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13</v>
      </c>
    </row>
    <row r="30" customFormat="false" ht="15" hidden="false" customHeight="false" outlineLevel="0" collapsed="false">
      <c r="A30" s="0" t="s">
        <v>126</v>
      </c>
      <c r="B30" s="0" t="n">
        <f aca="false">SUM(C21:L21)</f>
        <v>27148.8064122302</v>
      </c>
    </row>
    <row r="31" customFormat="false" ht="15" hidden="false" customHeight="false" outlineLevel="0" collapsed="false">
      <c r="A31" s="0" t="s">
        <v>127</v>
      </c>
      <c r="B31" s="0" t="n">
        <f aca="false">L19</f>
        <v>5878.03678866624</v>
      </c>
    </row>
    <row r="32" customFormat="false" ht="15" hidden="false" customHeight="false" outlineLevel="0" collapsed="false">
      <c r="A32" s="0" t="s">
        <v>128</v>
      </c>
      <c r="B32" s="0" t="n">
        <f aca="false">IF(B27&gt;B28,B31*(1+B28/100)/((B27-B28)/100),B31*B29)</f>
        <v>109545.231061507</v>
      </c>
    </row>
    <row r="33" customFormat="false" ht="15" hidden="false" customHeight="false" outlineLevel="0" collapsed="false">
      <c r="A33" s="0" t="s">
        <v>129</v>
      </c>
      <c r="B33" s="0" t="n">
        <f aca="false">B31*B29</f>
        <v>76414.4782526611</v>
      </c>
    </row>
    <row r="34" customFormat="false" ht="15" hidden="false" customHeight="false" outlineLevel="0" collapsed="false">
      <c r="A34" s="0" t="s">
        <v>130</v>
      </c>
      <c r="B34" s="0" t="n">
        <f aca="false">MAX(0,MIN(B32,B33))</f>
        <v>76414.4782526611</v>
      </c>
    </row>
    <row r="35" customFormat="false" ht="15" hidden="false" customHeight="false" outlineLevel="0" collapsed="false">
      <c r="A35" s="0" t="s">
        <v>131</v>
      </c>
      <c r="B35" s="0" t="n">
        <f aca="false">B34/(1+B27/100)^L4</f>
        <v>35394.6887220213</v>
      </c>
    </row>
    <row r="36" customFormat="false" ht="15" hidden="false" customHeight="false" outlineLevel="0" collapsed="false">
      <c r="A36" s="0" t="s">
        <v>132</v>
      </c>
      <c r="B36" s="0" t="n">
        <f aca="false">B30+B35</f>
        <v>62543.4951342515</v>
      </c>
    </row>
    <row r="37" customFormat="false" ht="15" hidden="false" customHeight="false" outlineLevel="0" collapsed="false">
      <c r="A37" s="0" t="s">
        <v>133</v>
      </c>
      <c r="B37" s="0" t="n">
        <f aca="false">B36+Assumptions!$B$5-Assumptions!$B$4</f>
        <v>45998.4951342515</v>
      </c>
    </row>
    <row r="38" customFormat="false" ht="15" hidden="false" customHeight="false" outlineLevel="0" collapsed="false">
      <c r="A38" s="0" t="s">
        <v>134</v>
      </c>
      <c r="B38" s="0" t="n">
        <f aca="false">B37/Assumptions!$B$3*Assumptions!$B$10</f>
        <v>6.33106854752379</v>
      </c>
    </row>
    <row r="39" customFormat="false" ht="15" hidden="false" customHeight="false" outlineLevel="0" collapsed="false">
      <c r="A39" s="0" t="s">
        <v>135</v>
      </c>
      <c r="B39" s="4" t="n">
        <f aca="false">B38/Assumptions!$B$2-1</f>
        <v>0.176778540431931</v>
      </c>
    </row>
    <row r="41" customFormat="false" ht="15" hidden="false" customHeight="false" outlineLevel="0" collapsed="false">
      <c r="A41" s="0" t="s">
        <v>136</v>
      </c>
      <c r="B41" s="0" t="n">
        <f aca="false">SUMPRODUCT(-C10:L10/(1+$B$27/100)^C4:L4)</f>
        <v>2781.34571361171</v>
      </c>
    </row>
    <row r="42" customFormat="false" ht="15" hidden="false" customHeight="false" outlineLevel="0" collapsed="false">
      <c r="A42" s="0" t="s">
        <v>137</v>
      </c>
      <c r="B42" s="0" t="n">
        <f aca="false">IF(B27&gt;B28,-L10*(1+B28/100)/((B27-B28)/100),-L10*20)/(1+B27/100)^L4</f>
        <v>3470.46974018649</v>
      </c>
    </row>
    <row r="43" customFormat="false" ht="15" hidden="false" customHeight="false" outlineLevel="0" collapsed="false">
      <c r="A43" s="0" t="s">
        <v>138</v>
      </c>
      <c r="B43" s="0" t="n">
        <f aca="false">(B37+B41+B42)/Assumptions!$B$3*Assumptions!$B$10</f>
        <v>7.19154609290749</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48199.9016670632</v>
      </c>
    </row>
    <row r="47" customFormat="false" ht="15" hidden="false" customHeight="false" outlineLevel="0" collapsed="false">
      <c r="A47" s="0" t="s">
        <v>140</v>
      </c>
      <c r="B47" s="0" t="n">
        <f aca="false">(SUMPRODUCT(C19:L19/(1+B45/100)^C4:L4)+B46/(1+B45/100)^L4+Assumptions!$B$5-Assumptions!$B$4)/Assumptions!$B$3*Assumptions!$B$10</f>
        <v>1.99530511963328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11</v>
      </c>
      <c r="D5" s="4" t="n">
        <f aca="false">Assumptions!D41</f>
        <v>10</v>
      </c>
      <c r="E5" s="4" t="n">
        <f aca="false">Assumptions!E41</f>
        <v>9</v>
      </c>
      <c r="F5" s="4" t="n">
        <f aca="false">Assumptions!F41</f>
        <v>8</v>
      </c>
      <c r="G5" s="4" t="n">
        <f aca="false">Assumptions!G41</f>
        <v>6.5</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52107</v>
      </c>
      <c r="C6" s="0" t="n">
        <f aca="false">B6*(1+C5/100)</f>
        <v>57838.77</v>
      </c>
      <c r="D6" s="0" t="n">
        <f aca="false">C6*(1+D5/100)</f>
        <v>63622.647</v>
      </c>
      <c r="E6" s="0" t="n">
        <f aca="false">D6*(1+E5/100)</f>
        <v>69348.68523</v>
      </c>
      <c r="F6" s="0" t="n">
        <f aca="false">E6*(1+F5/100)</f>
        <v>74896.5800484</v>
      </c>
      <c r="G6" s="0" t="n">
        <f aca="false">F6*(1+G5/100)</f>
        <v>79764.857751546</v>
      </c>
      <c r="H6" s="0" t="n">
        <f aca="false">G6*(1+H5/100)</f>
        <v>83753.1006391233</v>
      </c>
      <c r="I6" s="0" t="n">
        <f aca="false">H6*(1+I5/100)</f>
        <v>87103.2246646883</v>
      </c>
      <c r="J6" s="0" t="n">
        <f aca="false">I6*(1+J5/100)</f>
        <v>90151.8375279523</v>
      </c>
      <c r="K6" s="0" t="n">
        <f aca="false">J6*(1+K5/100)</f>
        <v>92856.3926537909</v>
      </c>
      <c r="L6" s="0" t="n">
        <f aca="false">K6*(1+L5/100)</f>
        <v>95642.0844334046</v>
      </c>
    </row>
    <row r="7" customFormat="false" ht="15" hidden="false" customHeight="false" outlineLevel="0" collapsed="false">
      <c r="A7" s="0" t="s">
        <v>97</v>
      </c>
      <c r="C7" s="4" t="n">
        <f aca="false">Assumptions!C42</f>
        <v>13.5</v>
      </c>
      <c r="D7" s="4" t="n">
        <f aca="false">Assumptions!D42</f>
        <v>14</v>
      </c>
      <c r="E7" s="4" t="n">
        <f aca="false">Assumptions!E42</f>
        <v>14.5</v>
      </c>
      <c r="F7" s="4" t="n">
        <f aca="false">Assumptions!F42</f>
        <v>15</v>
      </c>
      <c r="G7" s="4" t="n">
        <f aca="false">Assumptions!G42</f>
        <v>15.5</v>
      </c>
      <c r="H7" s="4" t="n">
        <f aca="false">Assumptions!H42</f>
        <v>15.5</v>
      </c>
      <c r="I7" s="4" t="n">
        <f aca="false">Assumptions!I42</f>
        <v>15.5</v>
      </c>
      <c r="J7" s="4" t="n">
        <f aca="false">Assumptions!J42</f>
        <v>15.5</v>
      </c>
      <c r="K7" s="4" t="n">
        <f aca="false">Assumptions!K42</f>
        <v>15.5</v>
      </c>
      <c r="L7" s="4" t="n">
        <f aca="false">Assumptions!L42</f>
        <v>15.5</v>
      </c>
    </row>
    <row r="8" customFormat="false" ht="15" hidden="false" customHeight="false" outlineLevel="0" collapsed="false">
      <c r="A8" s="0" t="s">
        <v>44</v>
      </c>
      <c r="C8" s="0" t="n">
        <f aca="false">C6*C7/100</f>
        <v>7808.23395</v>
      </c>
      <c r="D8" s="0" t="n">
        <f aca="false">D6*D7/100</f>
        <v>8907.17058</v>
      </c>
      <c r="E8" s="0" t="n">
        <f aca="false">E6*E7/100</f>
        <v>10055.55935835</v>
      </c>
      <c r="F8" s="0" t="n">
        <f aca="false">F6*F7/100</f>
        <v>11234.48700726</v>
      </c>
      <c r="G8" s="0" t="n">
        <f aca="false">G6*G7/100</f>
        <v>12363.5529514896</v>
      </c>
      <c r="H8" s="0" t="n">
        <f aca="false">H6*H7/100</f>
        <v>12981.7305990641</v>
      </c>
      <c r="I8" s="0" t="n">
        <f aca="false">I6*I7/100</f>
        <v>13500.9998230267</v>
      </c>
      <c r="J8" s="0" t="n">
        <f aca="false">J6*J7/100</f>
        <v>13973.5348168326</v>
      </c>
      <c r="K8" s="0" t="n">
        <f aca="false">K6*K7/100</f>
        <v>14392.7408613376</v>
      </c>
      <c r="L8" s="0" t="n">
        <f aca="false">L6*L7/100</f>
        <v>14824.5230871777</v>
      </c>
    </row>
    <row r="9" customFormat="false" ht="15" hidden="false" customHeight="false" outlineLevel="0" collapsed="false">
      <c r="A9" s="0" t="s">
        <v>98</v>
      </c>
      <c r="C9" s="4" t="n">
        <f aca="false">Assumptions!C43</f>
        <v>0.7</v>
      </c>
      <c r="D9" s="4" t="n">
        <f aca="false">Assumptions!D43</f>
        <v>0.7</v>
      </c>
      <c r="E9" s="4" t="n">
        <f aca="false">Assumptions!E43</f>
        <v>0.65</v>
      </c>
      <c r="F9" s="4" t="n">
        <f aca="false">Assumptions!F43</f>
        <v>0.65</v>
      </c>
      <c r="G9" s="4" t="n">
        <f aca="false">Assumptions!G43</f>
        <v>0.6</v>
      </c>
      <c r="H9" s="4" t="n">
        <f aca="false">Assumptions!H43</f>
        <v>0.6</v>
      </c>
      <c r="I9" s="4" t="n">
        <f aca="false">Assumptions!I43</f>
        <v>0.55</v>
      </c>
      <c r="J9" s="4" t="n">
        <f aca="false">Assumptions!J43</f>
        <v>0.55</v>
      </c>
      <c r="K9" s="4" t="n">
        <f aca="false">Assumptions!K43</f>
        <v>0.5</v>
      </c>
      <c r="L9" s="4" t="n">
        <f aca="false">Assumptions!L43</f>
        <v>0.5</v>
      </c>
    </row>
    <row r="10" customFormat="false" ht="15" hidden="false" customHeight="false" outlineLevel="0" collapsed="false">
      <c r="A10" s="0" t="s">
        <v>113</v>
      </c>
      <c r="C10" s="0" t="n">
        <f aca="false">-C6*C9/100</f>
        <v>-404.87139</v>
      </c>
      <c r="D10" s="0" t="n">
        <f aca="false">-D6*D9/100</f>
        <v>-445.358529</v>
      </c>
      <c r="E10" s="0" t="n">
        <f aca="false">-E6*E9/100</f>
        <v>-450.766453995</v>
      </c>
      <c r="F10" s="0" t="n">
        <f aca="false">-F6*F9/100</f>
        <v>-486.8277703146</v>
      </c>
      <c r="G10" s="0" t="n">
        <f aca="false">-G6*G9/100</f>
        <v>-478.589146509276</v>
      </c>
      <c r="H10" s="0" t="n">
        <f aca="false">-H6*H9/100</f>
        <v>-502.51860383474</v>
      </c>
      <c r="I10" s="0" t="n">
        <f aca="false">-I6*I9/100</f>
        <v>-479.067735655785</v>
      </c>
      <c r="J10" s="0" t="n">
        <f aca="false">-J6*J9/100</f>
        <v>-495.835106403738</v>
      </c>
      <c r="K10" s="0" t="n">
        <f aca="false">-K6*K9/100</f>
        <v>-464.281963268955</v>
      </c>
      <c r="L10" s="0" t="n">
        <f aca="false">-L6*L9/100</f>
        <v>-478.210422167023</v>
      </c>
    </row>
    <row r="11" customFormat="false" ht="15" hidden="false" customHeight="false" outlineLevel="0" collapsed="false">
      <c r="A11" s="0" t="s">
        <v>114</v>
      </c>
      <c r="C11" s="0" t="n">
        <f aca="false">C8+C10+C24</f>
        <v>7403.36256</v>
      </c>
      <c r="D11" s="0" t="n">
        <f aca="false">D8+D10+D24</f>
        <v>8461.812051</v>
      </c>
      <c r="E11" s="0" t="n">
        <f aca="false">E8+E10+E24</f>
        <v>9604.792904355</v>
      </c>
      <c r="F11" s="0" t="n">
        <f aca="false">F8+F10+F24</f>
        <v>10747.6592369454</v>
      </c>
      <c r="G11" s="0" t="n">
        <f aca="false">G8+G10+G24</f>
        <v>11884.9638049804</v>
      </c>
      <c r="H11" s="0" t="n">
        <f aca="false">H8+H10+H24</f>
        <v>12479.2119952294</v>
      </c>
      <c r="I11" s="0" t="n">
        <f aca="false">I8+I10+I24</f>
        <v>13021.9320873709</v>
      </c>
      <c r="J11" s="0" t="n">
        <f aca="false">J8+J10+J24</f>
        <v>13477.6997104289</v>
      </c>
      <c r="K11" s="0" t="n">
        <f aca="false">K8+K10+K24</f>
        <v>13928.4588980686</v>
      </c>
      <c r="L11" s="0" t="n">
        <f aca="false">L8+L10+L24</f>
        <v>14346.3126650107</v>
      </c>
    </row>
    <row r="12" customFormat="false" ht="15" hidden="false" customHeight="false" outlineLevel="0" collapsed="false">
      <c r="A12" s="0" t="s">
        <v>115</v>
      </c>
      <c r="C12" s="4" t="n">
        <f aca="false">-C6*Assumptions!C45/100</f>
        <v>-1735.1631</v>
      </c>
      <c r="D12" s="4" t="n">
        <f aca="false">-D6*Assumptions!D45/100</f>
        <v>-1972.302057</v>
      </c>
      <c r="E12" s="4" t="n">
        <f aca="false">-E6*Assumptions!E45/100</f>
        <v>-2219.15792736</v>
      </c>
      <c r="F12" s="4" t="n">
        <f aca="false">-F6*Assumptions!F45/100</f>
        <v>-2471.5871415972</v>
      </c>
      <c r="G12" s="4" t="n">
        <f aca="false">-G6*Assumptions!G45/100</f>
        <v>-2632.24030580102</v>
      </c>
      <c r="H12" s="4" t="n">
        <f aca="false">-H6*Assumptions!H45/100</f>
        <v>-2763.85232109107</v>
      </c>
      <c r="I12" s="4" t="n">
        <f aca="false">-I6*Assumptions!I45/100</f>
        <v>-2874.40641393471</v>
      </c>
      <c r="J12" s="4" t="n">
        <f aca="false">-J6*Assumptions!J45/100</f>
        <v>-2975.01063842243</v>
      </c>
      <c r="K12" s="4" t="n">
        <f aca="false">-K6*Assumptions!K45/100</f>
        <v>-3064.2609575751</v>
      </c>
      <c r="L12" s="4" t="n">
        <f aca="false">-L6*Assumptions!L45/100</f>
        <v>-3156.18878630235</v>
      </c>
    </row>
    <row r="13" customFormat="false" ht="15" hidden="false" customHeight="false" outlineLevel="0" collapsed="false">
      <c r="A13" s="0" t="s">
        <v>116</v>
      </c>
      <c r="C13" s="0" t="n">
        <f aca="false">C11+C12</f>
        <v>5668.19946</v>
      </c>
      <c r="D13" s="0" t="n">
        <f aca="false">D11+D12</f>
        <v>6489.509994</v>
      </c>
      <c r="E13" s="0" t="n">
        <f aca="false">E11+E12</f>
        <v>7385.634976995</v>
      </c>
      <c r="F13" s="0" t="n">
        <f aca="false">F11+F12</f>
        <v>8276.07209534821</v>
      </c>
      <c r="G13" s="0" t="n">
        <f aca="false">G11+G12</f>
        <v>9252.72349917934</v>
      </c>
      <c r="H13" s="0" t="n">
        <f aca="false">H11+H12</f>
        <v>9715.3596741383</v>
      </c>
      <c r="I13" s="0" t="n">
        <f aca="false">I11+I12</f>
        <v>10147.5256734362</v>
      </c>
      <c r="J13" s="0" t="n">
        <f aca="false">J11+J12</f>
        <v>10502.6890720064</v>
      </c>
      <c r="K13" s="0" t="n">
        <f aca="false">K11+K12</f>
        <v>10864.1979404935</v>
      </c>
      <c r="L13" s="0" t="n">
        <f aca="false">L11+L12</f>
        <v>11190.1238787083</v>
      </c>
    </row>
    <row r="14" customFormat="false" ht="15" hidden="false" customHeight="false" outlineLevel="0" collapsed="false">
      <c r="A14" s="0" t="s">
        <v>102</v>
      </c>
      <c r="C14" s="4" t="n">
        <f aca="false">Assumptions!C47</f>
        <v>16</v>
      </c>
      <c r="D14" s="4" t="n">
        <f aca="false">Assumptions!D47</f>
        <v>16</v>
      </c>
      <c r="E14" s="4" t="n">
        <f aca="false">Assumptions!E47</f>
        <v>17</v>
      </c>
      <c r="F14" s="4" t="n">
        <f aca="false">Assumptions!F47</f>
        <v>17</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117</v>
      </c>
      <c r="C15" s="0" t="n">
        <f aca="false">C13-MAX(0,C13)*C14/100</f>
        <v>4761.2875464</v>
      </c>
      <c r="D15" s="0" t="n">
        <f aca="false">D13-MAX(0,D13)*D14/100</f>
        <v>5451.18839496</v>
      </c>
      <c r="E15" s="0" t="n">
        <f aca="false">E13-MAX(0,E13)*E14/100</f>
        <v>6130.07703090585</v>
      </c>
      <c r="F15" s="0" t="n">
        <f aca="false">F13-MAX(0,F13)*F14/100</f>
        <v>6869.13983913901</v>
      </c>
      <c r="G15" s="0" t="n">
        <f aca="false">G13-MAX(0,G13)*G14/100</f>
        <v>7587.23326932706</v>
      </c>
      <c r="H15" s="0" t="n">
        <f aca="false">H13-MAX(0,H13)*H14/100</f>
        <v>7966.59493279341</v>
      </c>
      <c r="I15" s="0" t="n">
        <f aca="false">I13-MAX(0,I13)*I14/100</f>
        <v>8320.97105221767</v>
      </c>
      <c r="J15" s="0" t="n">
        <f aca="false">J13-MAX(0,J13)*J14/100</f>
        <v>8612.20503904529</v>
      </c>
      <c r="K15" s="0" t="n">
        <f aca="false">K13-MAX(0,K13)*K14/100</f>
        <v>8908.6423112047</v>
      </c>
      <c r="L15" s="0" t="n">
        <f aca="false">L13-MAX(0,L13)*L14/100</f>
        <v>9175.90158054084</v>
      </c>
    </row>
    <row r="16" customFormat="false" ht="15" hidden="false" customHeight="false" outlineLevel="0" collapsed="false">
      <c r="A16" s="0" t="s">
        <v>118</v>
      </c>
      <c r="C16" s="0" t="n">
        <f aca="false">-C12</f>
        <v>1735.1631</v>
      </c>
      <c r="D16" s="0" t="n">
        <f aca="false">-D12</f>
        <v>1972.302057</v>
      </c>
      <c r="E16" s="0" t="n">
        <f aca="false">-E12</f>
        <v>2219.15792736</v>
      </c>
      <c r="F16" s="0" t="n">
        <f aca="false">-F12</f>
        <v>2471.5871415972</v>
      </c>
      <c r="G16" s="0" t="n">
        <f aca="false">-G12</f>
        <v>2632.24030580102</v>
      </c>
      <c r="H16" s="0" t="n">
        <f aca="false">-H12</f>
        <v>2763.85232109107</v>
      </c>
      <c r="I16" s="0" t="n">
        <f aca="false">-I12</f>
        <v>2874.40641393471</v>
      </c>
      <c r="J16" s="0" t="n">
        <f aca="false">-J12</f>
        <v>2975.01063842243</v>
      </c>
      <c r="K16" s="0" t="n">
        <f aca="false">-K12</f>
        <v>3064.2609575751</v>
      </c>
      <c r="L16" s="0" t="n">
        <f aca="false">-L12</f>
        <v>3156.18878630235</v>
      </c>
    </row>
    <row r="17" customFormat="false" ht="15" hidden="false" customHeight="false" outlineLevel="0" collapsed="false">
      <c r="A17" s="0" t="s">
        <v>119</v>
      </c>
      <c r="C17" s="4" t="n">
        <f aca="false">-C6*Assumptions!C46/100</f>
        <v>-2891.9385</v>
      </c>
      <c r="D17" s="4" t="n">
        <f aca="false">-D6*Assumptions!D46/100</f>
        <v>-2863.019115</v>
      </c>
      <c r="E17" s="4" t="n">
        <f aca="false">-E6*Assumptions!E46/100</f>
        <v>-2773.9474092</v>
      </c>
      <c r="F17" s="4" t="n">
        <f aca="false">-F6*Assumptions!F46/100</f>
        <v>-2771.1734617908</v>
      </c>
      <c r="G17" s="4" t="n">
        <f aca="false">-G6*Assumptions!G46/100</f>
        <v>-2791.77002130411</v>
      </c>
      <c r="H17" s="4" t="n">
        <f aca="false">-H6*Assumptions!H46/100</f>
        <v>-2847.60542173019</v>
      </c>
      <c r="I17" s="4" t="n">
        <f aca="false">-I6*Assumptions!I46/100</f>
        <v>-2961.5096385994</v>
      </c>
      <c r="J17" s="4" t="n">
        <f aca="false">-J6*Assumptions!J46/100</f>
        <v>-3065.16247595038</v>
      </c>
      <c r="K17" s="4" t="n">
        <f aca="false">-K6*Assumptions!K46/100</f>
        <v>-3157.11735022889</v>
      </c>
      <c r="L17" s="4" t="n">
        <f aca="false">-L6*Assumptions!L46/100</f>
        <v>-3251.83087073576</v>
      </c>
    </row>
    <row r="18" customFormat="false" ht="15" hidden="false" customHeight="false" outlineLevel="0" collapsed="false">
      <c r="A18" s="0" t="s">
        <v>120</v>
      </c>
      <c r="C18" s="4" t="n">
        <f aca="false">(C6-B6)*Assumptions!$B$51/100</f>
        <v>-1432.9425</v>
      </c>
      <c r="D18" s="4" t="n">
        <f aca="false">(D6-C6)*Assumptions!$B$51/100</f>
        <v>-1445.96925</v>
      </c>
      <c r="E18" s="4" t="n">
        <f aca="false">(E6-D6)*Assumptions!$B$51/100</f>
        <v>-1431.5095575</v>
      </c>
      <c r="F18" s="4" t="n">
        <f aca="false">(F6-E6)*Assumptions!$B$51/100</f>
        <v>-1386.9737046</v>
      </c>
      <c r="G18" s="4" t="n">
        <f aca="false">(G6-F6)*Assumptions!$B$51/100</f>
        <v>-1217.0694257865</v>
      </c>
      <c r="H18" s="4" t="n">
        <f aca="false">(H6-G6)*Assumptions!$B$51/100</f>
        <v>-997.060721894326</v>
      </c>
      <c r="I18" s="4" t="n">
        <f aca="false">(I6-H6)*Assumptions!$B$51/100</f>
        <v>-837.531006391233</v>
      </c>
      <c r="J18" s="4" t="n">
        <f aca="false">(J6-I6)*Assumptions!$B$51/100</f>
        <v>-762.153215816019</v>
      </c>
      <c r="K18" s="4" t="n">
        <f aca="false">(K6-J6)*Assumptions!$B$51/100</f>
        <v>-676.138781459642</v>
      </c>
      <c r="L18" s="4" t="n">
        <f aca="false">(L6-K6)*Assumptions!$B$51/100</f>
        <v>-696.422944903432</v>
      </c>
    </row>
    <row r="19" customFormat="false" ht="15" hidden="false" customHeight="false" outlineLevel="0" collapsed="false">
      <c r="A19" s="0" t="s">
        <v>121</v>
      </c>
      <c r="C19" s="0" t="n">
        <f aca="false">C15+C16+C17+C18</f>
        <v>2171.5696464</v>
      </c>
      <c r="D19" s="0" t="n">
        <f aca="false">D15+D16+D17+D18</f>
        <v>3114.50208696</v>
      </c>
      <c r="E19" s="0" t="n">
        <f aca="false">E15+E16+E17+E18</f>
        <v>4143.77799156585</v>
      </c>
      <c r="F19" s="0" t="n">
        <f aca="false">F15+F16+F17+F18</f>
        <v>5182.57981434541</v>
      </c>
      <c r="G19" s="0" t="n">
        <f aca="false">G15+G16+G17+G18</f>
        <v>6210.63412803747</v>
      </c>
      <c r="H19" s="0" t="n">
        <f aca="false">H15+H16+H17+H18</f>
        <v>6885.78111025996</v>
      </c>
      <c r="I19" s="0" t="n">
        <f aca="false">I15+I16+I17+I18</f>
        <v>7396.33682116175</v>
      </c>
      <c r="J19" s="0" t="n">
        <f aca="false">J15+J16+J17+J18</f>
        <v>7759.89998570132</v>
      </c>
      <c r="K19" s="0" t="n">
        <f aca="false">K15+K16+K17+K18</f>
        <v>8139.64713709127</v>
      </c>
      <c r="L19" s="0" t="n">
        <f aca="false">L15+L16+L17+L18</f>
        <v>8383.836551204</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2010.71263555555</v>
      </c>
      <c r="D21" s="0" t="n">
        <f aca="false">D19*D20</f>
        <v>2670.18354506173</v>
      </c>
      <c r="E21" s="0" t="n">
        <f aca="false">E19*E20</f>
        <v>3289.46456933478</v>
      </c>
      <c r="F21" s="0" t="n">
        <f aca="false">F19*F20</f>
        <v>3809.35087804418</v>
      </c>
      <c r="G21" s="0" t="n">
        <f aca="false">G19*G20</f>
        <v>4226.85323046667</v>
      </c>
      <c r="H21" s="0" t="n">
        <f aca="false">H19*H20</f>
        <v>4339.21011305125</v>
      </c>
      <c r="I21" s="0" t="n">
        <f aca="false">I19*I20</f>
        <v>4315.69149527154</v>
      </c>
      <c r="J21" s="0" t="n">
        <f aca="false">J19*J20</f>
        <v>4192.43250912175</v>
      </c>
      <c r="K21" s="0" t="n">
        <f aca="false">K19*K20</f>
        <v>4071.85007314444</v>
      </c>
      <c r="L21" s="0" t="n">
        <f aca="false">L19*L20</f>
        <v>3883.33849568405</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8</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13</v>
      </c>
    </row>
    <row r="30" customFormat="false" ht="15" hidden="false" customHeight="false" outlineLevel="0" collapsed="false">
      <c r="A30" s="0" t="s">
        <v>126</v>
      </c>
      <c r="B30" s="0" t="n">
        <f aca="false">SUM(C21:L21)</f>
        <v>36809.0875447359</v>
      </c>
    </row>
    <row r="31" customFormat="false" ht="15" hidden="false" customHeight="false" outlineLevel="0" collapsed="false">
      <c r="A31" s="0" t="s">
        <v>127</v>
      </c>
      <c r="B31" s="0" t="n">
        <f aca="false">L19</f>
        <v>8383.836551204</v>
      </c>
    </row>
    <row r="32" customFormat="false" ht="15" hidden="false" customHeight="false" outlineLevel="0" collapsed="false">
      <c r="A32" s="0" t="s">
        <v>128</v>
      </c>
      <c r="B32" s="0" t="n">
        <f aca="false">IF(B27&gt;B28,B31*(1+B28/100)/((B27-B28)/100),B31*B29)</f>
        <v>172707.032954802</v>
      </c>
    </row>
    <row r="33" customFormat="false" ht="15" hidden="false" customHeight="false" outlineLevel="0" collapsed="false">
      <c r="A33" s="0" t="s">
        <v>129</v>
      </c>
      <c r="B33" s="0" t="n">
        <f aca="false">B31*B29</f>
        <v>108989.875165652</v>
      </c>
    </row>
    <row r="34" customFormat="false" ht="15" hidden="false" customHeight="false" outlineLevel="0" collapsed="false">
      <c r="A34" s="0" t="s">
        <v>130</v>
      </c>
      <c r="B34" s="0" t="n">
        <f aca="false">MAX(0,MIN(B32,B33))</f>
        <v>108989.875165652</v>
      </c>
    </row>
    <row r="35" customFormat="false" ht="15" hidden="false" customHeight="false" outlineLevel="0" collapsed="false">
      <c r="A35" s="0" t="s">
        <v>131</v>
      </c>
      <c r="B35" s="0" t="n">
        <f aca="false">B34/(1+B27/100)^L4</f>
        <v>50483.4004438927</v>
      </c>
    </row>
    <row r="36" customFormat="false" ht="15" hidden="false" customHeight="false" outlineLevel="0" collapsed="false">
      <c r="A36" s="0" t="s">
        <v>132</v>
      </c>
      <c r="B36" s="0" t="n">
        <f aca="false">B30+B35</f>
        <v>87292.4879886286</v>
      </c>
    </row>
    <row r="37" customFormat="false" ht="15" hidden="false" customHeight="false" outlineLevel="0" collapsed="false">
      <c r="A37" s="0" t="s">
        <v>133</v>
      </c>
      <c r="B37" s="0" t="n">
        <f aca="false">B36+Assumptions!$B$5-Assumptions!$B$4</f>
        <v>70747.4879886286</v>
      </c>
    </row>
    <row r="38" customFormat="false" ht="15" hidden="false" customHeight="false" outlineLevel="0" collapsed="false">
      <c r="A38" s="0" t="s">
        <v>134</v>
      </c>
      <c r="B38" s="0" t="n">
        <f aca="false">B37/Assumptions!$B$3*Assumptions!$B$10</f>
        <v>9.73743151191921</v>
      </c>
    </row>
    <row r="39" customFormat="false" ht="15" hidden="false" customHeight="false" outlineLevel="0" collapsed="false">
      <c r="A39" s="0" t="s">
        <v>135</v>
      </c>
      <c r="B39" s="4" t="n">
        <f aca="false">B38/Assumptions!$B$2-1</f>
        <v>0.809931507791675</v>
      </c>
    </row>
    <row r="41" customFormat="false" ht="15" hidden="false" customHeight="false" outlineLevel="0" collapsed="false">
      <c r="A41" s="0" t="s">
        <v>136</v>
      </c>
      <c r="B41" s="0" t="n">
        <f aca="false">SUMPRODUCT(-C10:L10/(1+$B$27/100)^C4:L4)</f>
        <v>3115.93788204514</v>
      </c>
    </row>
    <row r="42" customFormat="false" ht="15" hidden="false" customHeight="false" outlineLevel="0" collapsed="false">
      <c r="A42" s="0" t="s">
        <v>137</v>
      </c>
      <c r="B42" s="0" t="n">
        <f aca="false">IF(B27&gt;B28,-L10*(1+B28/100)/((B27-B28)/100),-L10*20)/(1+B27/100)^L4</f>
        <v>4562.98144172905</v>
      </c>
    </row>
    <row r="43" customFormat="false" ht="15" hidden="false" customHeight="false" outlineLevel="0" collapsed="false">
      <c r="A43" s="0" t="s">
        <v>138</v>
      </c>
      <c r="B43" s="0" t="n">
        <f aca="false">(B37+B41+B42)/Assumptions!$B$3*Assumptions!$B$10</f>
        <v>10.794330535851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71961.2637311677</v>
      </c>
    </row>
    <row r="47" customFormat="false" ht="15" hidden="false" customHeight="false" outlineLevel="0" collapsed="false">
      <c r="A47" s="0" t="s">
        <v>140</v>
      </c>
      <c r="B47" s="0" t="n">
        <f aca="false">(SUMPRODUCT(C19:L19/(1+B45/100)^C4:L4)+B46/(1+B45/100)^L4+Assumptions!$B$5-Assumptions!$B$4)/Assumptions!$B$3*Assumptions!$B$10</f>
        <v>3.70819297401468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2.88280631236451</v>
      </c>
      <c r="C4" s="0" t="n">
        <f aca="false">B4/Assumptions!$B$2-1</f>
        <v>-0.46416239547128</v>
      </c>
      <c r="D4" s="4" t="n">
        <f aca="false">Assumptions!$B$24</f>
        <v>0.3</v>
      </c>
      <c r="E4" s="4" t="n">
        <f aca="false">DCF_Bear!$B$43</f>
        <v>3.46085836386971</v>
      </c>
      <c r="F4" s="4" t="n">
        <f aca="false">DCF_Bear!$B$47</f>
        <v>0.42075869812709</v>
      </c>
    </row>
    <row r="5" customFormat="false" ht="15" hidden="false" customHeight="false" outlineLevel="0" collapsed="false">
      <c r="A5" s="0" t="s">
        <v>149</v>
      </c>
      <c r="B5" s="4" t="n">
        <f aca="false">DCF_Base!$B$38</f>
        <v>6.33106854752379</v>
      </c>
      <c r="C5" s="0" t="n">
        <f aca="false">B5/Assumptions!$B$2-1</f>
        <v>0.176778540431931</v>
      </c>
      <c r="D5" s="4" t="n">
        <f aca="false">Assumptions!$B$38</f>
        <v>0.5</v>
      </c>
      <c r="E5" s="4" t="n">
        <f aca="false">DCF_Base!$B$43</f>
        <v>7.19154609290749</v>
      </c>
      <c r="F5" s="4" t="n">
        <f aca="false">DCF_Base!$B$47</f>
        <v>1.99530511963328</v>
      </c>
    </row>
    <row r="6" customFormat="false" ht="15" hidden="false" customHeight="false" outlineLevel="0" collapsed="false">
      <c r="A6" s="0" t="s">
        <v>150</v>
      </c>
      <c r="B6" s="4" t="n">
        <f aca="false">DCF_Bull!$B$38</f>
        <v>9.73743151191921</v>
      </c>
      <c r="C6" s="0" t="n">
        <f aca="false">B6/Assumptions!$B$2-1</f>
        <v>0.809931507791675</v>
      </c>
      <c r="D6" s="4" t="n">
        <f aca="false">Assumptions!$B$52</f>
        <v>0.2</v>
      </c>
      <c r="E6" s="4" t="n">
        <f aca="false">DCF_Bull!$B$43</f>
        <v>10.794330535851</v>
      </c>
      <c r="F6" s="4" t="n">
        <f aca="false">DCF_Bull!$B$47</f>
        <v>3.70819297401468</v>
      </c>
    </row>
    <row r="8" customFormat="false" ht="15" hidden="false" customHeight="false" outlineLevel="0" collapsed="false">
      <c r="A8" s="0" t="s">
        <v>151</v>
      </c>
      <c r="B8" s="0" t="n">
        <f aca="false">SUMPRODUCT(B4:B6,D4:D6)</f>
        <v>5.97786246985509</v>
      </c>
    </row>
    <row r="9" customFormat="false" ht="15" hidden="false" customHeight="false" outlineLevel="0" collapsed="false">
      <c r="A9" s="0" t="s">
        <v>152</v>
      </c>
      <c r="B9" s="0" t="n">
        <f aca="false">SUMPRODUCT(E4:E6,D4:D6)</f>
        <v>6.79289666278485</v>
      </c>
    </row>
    <row r="10" customFormat="false" ht="15" hidden="false" customHeight="false" outlineLevel="0" collapsed="false">
      <c r="A10" s="0" t="s">
        <v>153</v>
      </c>
      <c r="B10" s="0" t="n">
        <f aca="false">1-Assumptions!$B$2/B8</f>
        <v>0.100012750857011</v>
      </c>
    </row>
    <row r="11" customFormat="false" ht="15" hidden="false" customHeight="false" outlineLevel="0" collapsed="false">
      <c r="A11" s="0" t="s">
        <v>154</v>
      </c>
      <c r="B11" s="0" t="n">
        <f aca="false">IF(ABS(B9-B8)&gt;0.01*ABS(B8),(Assumptions!$B$2-B8)/(B9-B8)*100,"n/a")</f>
        <v>-73.3542807211543</v>
      </c>
    </row>
    <row r="12" customFormat="false" ht="15" hidden="false" customHeight="false" outlineLevel="0" collapsed="false">
      <c r="A12" s="0" t="s">
        <v>155</v>
      </c>
      <c r="B12" s="0" t="n">
        <f aca="false">SUMPRODUCT(F4:F6,D4:D6)</f>
        <v>1.8655187640577</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6.33106854752379</v>
      </c>
      <c r="C15" s="3" t="n">
        <v>8</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5.70854160404043</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5.14091287612131</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4.35457923001296</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3.57338493272454</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1.99530511963328</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7.76597915706644</v>
      </c>
      <c r="C24" s="0" t="n">
        <f aca="false">(SUMPRODUCT(DCF_Base!$C$19:$L$19/(1+$A$24/100)^DCF_Base!$C$4:$L$4)+MAX(0,MIN(IF($A$24&gt;$C$23,DCF_Base!$L$19*(1+$C$23/100)/(($A$24-$C$23)/100),DCF_Base!$L$19*DCF_Base!$B$29),DCF_Base!$L$19*DCF_Base!$B$29))/(1+$A$24/100)^DCF_Base!$L$4+Assumptions!$B$5-Assumptions!$B$4)/Assumptions!$B$3*Assumptions!$B$10</f>
        <v>7.76597915706644</v>
      </c>
      <c r="D24" s="0" t="n">
        <f aca="false">(SUMPRODUCT(DCF_Base!$C$19:$L$19/(1+$A$24/100)^DCF_Base!$C$4:$L$4)+MAX(0,MIN(IF($A$24&gt;$D$23,DCF_Base!$L$19*(1+$D$23/100)/(($A$24-$D$23)/100),DCF_Base!$L$19*DCF_Base!$B$29),DCF_Base!$L$19*DCF_Base!$B$29))/(1+$A$24/100)^DCF_Base!$L$4+Assumptions!$B$5-Assumptions!$B$4)/Assumptions!$B$3*Assumptions!$B$10</f>
        <v>7.76597915706644</v>
      </c>
      <c r="E24" s="0" t="n">
        <f aca="false">(SUMPRODUCT(DCF_Base!$C$19:$L$19/(1+$A$24/100)^DCF_Base!$C$4:$L$4)+MAX(0,MIN(IF($A$24&gt;$E$23,DCF_Base!$L$19*(1+$E$23/100)/(($A$24-$E$23)/100),DCF_Base!$L$19*DCF_Base!$B$29),DCF_Base!$L$19*DCF_Base!$B$29))/(1+$A$24/100)^DCF_Base!$L$4+Assumptions!$B$5-Assumptions!$B$4)/Assumptions!$B$3*Assumptions!$B$10</f>
        <v>7.76597915706644</v>
      </c>
      <c r="F24" s="0" t="n">
        <f aca="false">(SUMPRODUCT(DCF_Base!$C$19:$L$19/(1+$A$24/100)^DCF_Base!$C$4:$L$4)+MAX(0,MIN(IF($A$24&gt;$F$23,DCF_Base!$L$19*(1+$F$23/100)/(($A$24-$F$23)/100),DCF_Base!$L$19*DCF_Base!$B$29),DCF_Base!$L$19*DCF_Base!$B$29))/(1+$A$24/100)^DCF_Base!$L$4+Assumptions!$B$5-Assumptions!$B$4)/Assumptions!$B$3*Assumptions!$B$10</f>
        <v>7.76597915706644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7.01459519046996</v>
      </c>
      <c r="C25" s="0" t="n">
        <f aca="false">(SUMPRODUCT(DCF_Base!$C$19:$L$19/(1+$A$25/100)^DCF_Base!$C$4:$L$4)+MAX(0,MIN(IF($A$25&gt;$C$23,DCF_Base!$L$19*(1+$C$23/100)/(($A$25-$C$23)/100),DCF_Base!$L$19*DCF_Base!$B$29),DCF_Base!$L$19*DCF_Base!$B$29))/(1+$A$25/100)^DCF_Base!$L$4+Assumptions!$B$5-Assumptions!$B$4)/Assumptions!$B$3*Assumptions!$B$10</f>
        <v>7.01459519046996</v>
      </c>
      <c r="D25" s="0" t="n">
        <f aca="false">(SUMPRODUCT(DCF_Base!$C$19:$L$19/(1+$A$25/100)^DCF_Base!$C$4:$L$4)+MAX(0,MIN(IF($A$25&gt;$D$23,DCF_Base!$L$19*(1+$D$23/100)/(($A$25-$D$23)/100),DCF_Base!$L$19*DCF_Base!$B$29),DCF_Base!$L$19*DCF_Base!$B$29))/(1+$A$25/100)^DCF_Base!$L$4+Assumptions!$B$5-Assumptions!$B$4)/Assumptions!$B$3*Assumptions!$B$10</f>
        <v>7.01459519046996</v>
      </c>
      <c r="E25" s="0" t="n">
        <f aca="false">(SUMPRODUCT(DCF_Base!$C$19:$L$19/(1+$A$25/100)^DCF_Base!$C$4:$L$4)+MAX(0,MIN(IF($A$25&gt;$E$23,DCF_Base!$L$19*(1+$E$23/100)/(($A$25-$E$23)/100),DCF_Base!$L$19*DCF_Base!$B$29),DCF_Base!$L$19*DCF_Base!$B$29))/(1+$A$25/100)^DCF_Base!$L$4+Assumptions!$B$5-Assumptions!$B$4)/Assumptions!$B$3*Assumptions!$B$10</f>
        <v>7.01459519046996</v>
      </c>
      <c r="F25" s="0" t="n">
        <f aca="false">(SUMPRODUCT(DCF_Base!$C$19:$L$19/(1+$A$25/100)^DCF_Base!$C$4:$L$4)+MAX(0,MIN(IF($A$25&gt;$F$23,DCF_Base!$L$19*(1+$F$23/100)/(($A$25-$F$23)/100),DCF_Base!$L$19*DCF_Base!$B$29),DCF_Base!$L$19*DCF_Base!$B$29))/(1+$A$25/100)^DCF_Base!$L$4+Assumptions!$B$5-Assumptions!$B$4)/Assumptions!$B$3*Assumptions!$B$10</f>
        <v>7.01459519046996</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6.33106854752379</v>
      </c>
      <c r="C26" s="0" t="n">
        <f aca="false">(SUMPRODUCT(DCF_Base!$C$19:$L$19/(1+$A$26/100)^DCF_Base!$C$4:$L$4)+MAX(0,MIN(IF($A$26&gt;$C$23,DCF_Base!$L$19*(1+$C$23/100)/(($A$26-$C$23)/100),DCF_Base!$L$19*DCF_Base!$B$29),DCF_Base!$L$19*DCF_Base!$B$29))/(1+$A$26/100)^DCF_Base!$L$4+Assumptions!$B$5-Assumptions!$B$4)/Assumptions!$B$3*Assumptions!$B$10</f>
        <v>6.33106854752379</v>
      </c>
      <c r="D26" s="0" t="n">
        <f aca="false">(SUMPRODUCT(DCF_Base!$C$19:$L$19/(1+$A$26/100)^DCF_Base!$C$4:$L$4)+MAX(0,MIN(IF($A$26&gt;$D$23,DCF_Base!$L$19*(1+$D$23/100)/(($A$26-$D$23)/100),DCF_Base!$L$19*DCF_Base!$B$29),DCF_Base!$L$19*DCF_Base!$B$29))/(1+$A$26/100)^DCF_Base!$L$4+Assumptions!$B$5-Assumptions!$B$4)/Assumptions!$B$3*Assumptions!$B$10</f>
        <v>6.33106854752379</v>
      </c>
      <c r="E26" s="0" t="n">
        <f aca="false">(SUMPRODUCT(DCF_Base!$C$19:$L$19/(1+$A$26/100)^DCF_Base!$C$4:$L$4)+MAX(0,MIN(IF($A$26&gt;$E$23,DCF_Base!$L$19*(1+$E$23/100)/(($A$26-$E$23)/100),DCF_Base!$L$19*DCF_Base!$B$29),DCF_Base!$L$19*DCF_Base!$B$29))/(1+$A$26/100)^DCF_Base!$L$4+Assumptions!$B$5-Assumptions!$B$4)/Assumptions!$B$3*Assumptions!$B$10</f>
        <v>6.33106854752379</v>
      </c>
      <c r="F26" s="0" t="n">
        <f aca="false">(SUMPRODUCT(DCF_Base!$C$19:$L$19/(1+$A$26/100)^DCF_Base!$C$4:$L$4)+MAX(0,MIN(IF($A$26&gt;$F$23,DCF_Base!$L$19*(1+$F$23/100)/(($A$26-$F$23)/100),DCF_Base!$L$19*DCF_Base!$B$29),DCF_Base!$L$19*DCF_Base!$B$29))/(1+$A$26/100)^DCF_Base!$L$4+Assumptions!$B$5-Assumptions!$B$4)/Assumptions!$B$3*Assumptions!$B$10</f>
        <v>6.33106854752379</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5.70854160404043</v>
      </c>
      <c r="C27" s="0" t="n">
        <f aca="false">(SUMPRODUCT(DCF_Base!$C$19:$L$19/(1+$A$27/100)^DCF_Base!$C$4:$L$4)+MAX(0,MIN(IF($A$27&gt;$C$23,DCF_Base!$L$19*(1+$C$23/100)/(($A$27-$C$23)/100),DCF_Base!$L$19*DCF_Base!$B$29),DCF_Base!$L$19*DCF_Base!$B$29))/(1+$A$27/100)^DCF_Base!$L$4+Assumptions!$B$5-Assumptions!$B$4)/Assumptions!$B$3*Assumptions!$B$10</f>
        <v>5.70854160404043</v>
      </c>
      <c r="D27" s="0" t="n">
        <f aca="false">(SUMPRODUCT(DCF_Base!$C$19:$L$19/(1+$A$27/100)^DCF_Base!$C$4:$L$4)+MAX(0,MIN(IF($A$27&gt;$D$23,DCF_Base!$L$19*(1+$D$23/100)/(($A$27-$D$23)/100),DCF_Base!$L$19*DCF_Base!$B$29),DCF_Base!$L$19*DCF_Base!$B$29))/(1+$A$27/100)^DCF_Base!$L$4+Assumptions!$B$5-Assumptions!$B$4)/Assumptions!$B$3*Assumptions!$B$10</f>
        <v>5.70854160404043</v>
      </c>
      <c r="E27" s="0" t="n">
        <f aca="false">(SUMPRODUCT(DCF_Base!$C$19:$L$19/(1+$A$27/100)^DCF_Base!$C$4:$L$4)+MAX(0,MIN(IF($A$27&gt;$E$23,DCF_Base!$L$19*(1+$E$23/100)/(($A$27-$E$23)/100),DCF_Base!$L$19*DCF_Base!$B$29),DCF_Base!$L$19*DCF_Base!$B$29))/(1+$A$27/100)^DCF_Base!$L$4+Assumptions!$B$5-Assumptions!$B$4)/Assumptions!$B$3*Assumptions!$B$10</f>
        <v>5.70854160404043</v>
      </c>
      <c r="F27" s="0" t="n">
        <f aca="false">(SUMPRODUCT(DCF_Base!$C$19:$L$19/(1+$A$27/100)^DCF_Base!$C$4:$L$4)+MAX(0,MIN(IF($A$27&gt;$F$23,DCF_Base!$L$19*(1+$F$23/100)/(($A$27-$F$23)/100),DCF_Base!$L$19*DCF_Base!$B$29),DCF_Base!$L$19*DCF_Base!$B$29))/(1+$A$27/100)^DCF_Base!$L$4+Assumptions!$B$5-Assumptions!$B$4)/Assumptions!$B$3*Assumptions!$B$10</f>
        <v>5.70854160404043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4.81064797313403</v>
      </c>
      <c r="C28" s="0" t="n">
        <f aca="false">(SUMPRODUCT(DCF_Base!$C$19:$L$19/(1+$A$28/100)^DCF_Base!$C$4:$L$4)+MAX(0,MIN(IF($A$28&gt;$C$23,DCF_Base!$L$19*(1+$C$23/100)/(($A$28-$C$23)/100),DCF_Base!$L$19*DCF_Base!$B$29),DCF_Base!$L$19*DCF_Base!$B$29))/(1+$A$28/100)^DCF_Base!$L$4+Assumptions!$B$5-Assumptions!$B$4)/Assumptions!$B$3*Assumptions!$B$10</f>
        <v>5.06293366291598</v>
      </c>
      <c r="D28" s="0" t="n">
        <f aca="false">(SUMPRODUCT(DCF_Base!$C$19:$L$19/(1+$A$28/100)^DCF_Base!$C$4:$L$4)+MAX(0,MIN(IF($A$28&gt;$D$23,DCF_Base!$L$19*(1+$D$23/100)/(($A$28-$D$23)/100),DCF_Base!$L$19*DCF_Base!$B$29),DCF_Base!$L$19*DCF_Base!$B$29))/(1+$A$28/100)^DCF_Base!$L$4+Assumptions!$B$5-Assumptions!$B$4)/Assumptions!$B$3*Assumptions!$B$10</f>
        <v>5.14091287612131</v>
      </c>
      <c r="E28" s="0" t="n">
        <f aca="false">(SUMPRODUCT(DCF_Base!$C$19:$L$19/(1+$A$28/100)^DCF_Base!$C$4:$L$4)+MAX(0,MIN(IF($A$28&gt;$E$23,DCF_Base!$L$19*(1+$E$23/100)/(($A$28-$E$23)/100),DCF_Base!$L$19*DCF_Base!$B$29),DCF_Base!$L$19*DCF_Base!$B$29))/(1+$A$28/100)^DCF_Base!$L$4+Assumptions!$B$5-Assumptions!$B$4)/Assumptions!$B$3*Assumptions!$B$10</f>
        <v>5.14091287612131</v>
      </c>
      <c r="F28" s="0" t="n">
        <f aca="false">(SUMPRODUCT(DCF_Base!$C$19:$L$19/(1+$A$28/100)^DCF_Base!$C$4:$L$4)+MAX(0,MIN(IF($A$28&gt;$F$23,DCF_Base!$L$19*(1+$F$23/100)/(($A$28-$F$23)/100),DCF_Base!$L$19*DCF_Base!$B$29),DCF_Base!$L$19*DCF_Base!$B$29))/(1+$A$28/100)^DCF_Base!$L$4+Assumptions!$B$5-Assumptions!$B$4)/Assumptions!$B$3*Assumptions!$B$10</f>
        <v>5.14091287612131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2026-10-16T04:49:14Z</dcterms:created>
  <dc:creator>openpyxl</dc:creator>
  <dc:description/>
  <dc:language>en-NZ</dc:language>
  <cp:lastModifiedBy/>
  <dcterms:modified xsi:type="dcterms:W3CDTF">2026-10-16T04:49:14Z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