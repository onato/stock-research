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<sst xmlns="http://schemas.openxmlformats.org/spreadsheetml/2006/main" count="351" uniqueCount="163">
  <si>
    <t xml:space="preserve">Ticker</t>
  </si>
  <si>
    <t xml:space="preserve">BAB.L</t>
  </si>
  <si>
    <t xml:space="preserve">Company</t>
  </si>
  <si>
    <t xml:space="preserve">Babcock International Group plc</t>
  </si>
  <si>
    <t xml:space="preserve">Valuation date</t>
  </si>
  <si>
    <t xml:space="preserve">2026-10-05</t>
  </si>
  <si>
    <t xml:space="preserve">Current price</t>
  </si>
  <si>
    <t xml:space="preserve">Price as of</t>
  </si>
  <si>
    <t xml:space="preserve">2026-10-02T15:35:38Z regular close (LSE); Yahoo chart API regularMarketTime unchanged on re-fetch 2026-10-05, no after-hours print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</si>
  <si>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</si>
  <si>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</si>
  <si>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</si>
  <si>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</si>
  <si>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</si>
  <si>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</si>
  <si>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</si>
  <si>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</si>
  <si>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</si>
  <si>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</si>
  <si>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</si>
  <si>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</si>
  <si>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</si>
  <si>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2026-10-04T13:03:57Z</t>
  </si>
  <si>
    <t xml:space="preserve">Drivers file</t>
  </si>
  <si>
    <t xml:space="preserve">BAB.L_Drivers.json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</si>
  <si>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</si>
  <si>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</si>
  <si>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</si>
  <si>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Babcock as a sovereign-infrastructure services annuity with a recurring execution tax. The owner-FCF build is unlevered, ex-Type 31 and component-built (IFRS-16 EBITDA -&gt; lease cash -&gt; SBC -&gt; D&amp;A ex-ROU -&gt; cash tax ramp -&gt; capex -&gt; negative working capital), discounted at a GBP WACC of 8.5% in every scenario; the risks the market worries about - fixed-price charges, MOD concentration, governance history - are priced in the flows and the 25% bear weight, not in a stacked WACC premium. One-off balance-sheet claims (Type 31 cost-to-complete, pension deficit repair, April buyback cash) are settled once in the bridge so the margin path stays a clean recurring-economics judgment.
key_risks_to_valuation: Further fixed-price programme charges (Type 31 later-ship outfitting, Virginia-class modules, SMR engineering) beyond the 0.3-0.5pp recurring allowance in the base margin path; FMSP follow-on contract re-priced or delayed - it is the largest single contract and sat on a six-month bridging agreement at 31 March 2026; UK Defence Investment Plan slippage under fiscal constraint; UK MOD is c.61% of revenue; Working-capital unwind of contract advances running larger than -15% of revenue growth (FY26 ex-charge was c.-GBP110m); Cash tax normalising faster than the 12% -&gt; 25% ramp if the deferred tax asset is consumed sooner; Terminal value is 50-60% of EV and the 15x cap binds in the base case; a lower exit multiple for a government contractor is the main single-parameter downside</t>
  </si>
  <si>
    <t xml:space="preserve">Data sources</t>
  </si>
  <si>
    <t xml:space="preserve">price: Yahoo Finance chart API at inputs.price_as_of (regular LSE close, GBp); 52-week range 902.4-1527.0p
financials: FY2026 Annual Report and Financial Statements (year to 31 March 2026): consolidated cash flow statement, financial review (net debt, cash components, covenant EBITDA, pensions), notes 9, 24, 26; H1 FY2026 results (30 Sep 2025); Q3 FY2026 trading update (23 Jan 2026); BAB.L_Metrics.csv (restated comparatives for FY2020-FY2023)
qualitative: BAB.L_Analysis.json (2026-10-05): business model, guidance, bull/bear axes, Type 31 charge, CEO succession, AUKUS/Indonesia pipeline</t>
  </si>
  <si>
    <t xml:space="preserve">Scenario narrative: bear</t>
  </si>
  <si>
    <t xml:space="preserve">The axes are the UK MOD's fiscal position and Babcock's own fixed-price execution record: the Defence Investment Plan slips, the FMSP follow-on is re-priced on worse terms after the six-month bridging agreement, legacy Rail and South Africa keep shrinking, the Arrowhead export pipeline stays at letters of intent, and later-stage Type 31 outfitting, Virginia-class components or SMR engineering throw further GBP50-70m charges every couple of years. Growth settles at 2-3% nominal, EBIT stalls at c.7.3%, working capital stays a drag at -25% of growth, and the market pays 13x terminal FCF for a single-customer contractor that never hit its 9% margin.</t>
  </si>
  <si>
    <t xml:space="preserve">Scenario narrative: base</t>
  </si>
  <si>
    <t xml:space="preserve">Babcock stays the sole-source through-life partner for the UK submarine fleet and the Devonport/Rosyth dockyards, grows revenue 6% in FY27 fading to 2.5% as the GBP9.8bn backlog is replenished at the medium-term 'mid-single-digit' pace, and lifts EBIT from 8.2% (FY26 ex-Type 31) to c.8.7% - short of the &gt;9% target because the model keeps a 0.3-0.5pp allowance for the fixed-price charges that have recurred through the company's history (SDP, Ascent, Type 31). Cash tax normalises to 25% by FY31 as the deferred tax asset is used, Rosyth and advanced-manufacturing capex runs c.2.5% of revenue, and working capital consumes 15% of each year's revenue increase as contract advances unwind. The Type 31 cost-to-complete (c.GBP140m, FY27-FY29) and c.GBP20m p.a. of pension deficit repair are charged once, in the bridge.</t>
  </si>
  <si>
    <t xml:space="preserve">Scenario narrative: bull</t>
  </si>
  <si>
    <t xml:space="preserve">The axes are UK/NATO budget delivery and export conversion: defence spending reaches 2.5% of GDP on schedule with the 3% ambition legislated, SSN-AUKUS and the Virginia-class module work at Rosyth ramp on time, Indonesia's GBP4bn Maritime Partnership Programme and Poland buy Arrowhead 140 licences and ships, and Cavendish Nuclear's SMR/owner's-engineer roles compound at Nuclear's 9.5% margin. Growth holds at 7-8% for four years, EBIT reaches c.9.8% with no further material fixed-price charges, export deposits cut the working-capital drag, and the terminal multiple is capped at 17x FCF.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</si>
  <si>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</si>
  <si>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</si>
  <si>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</si>
  <si>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</si>
  <si>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</si>
  <si>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</si>
  <si>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</si>
  <si>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</si>
  <si>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</si>
  <si>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</si>
  <si>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</si>
  <si>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</si>
  <si>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</si>
  <si>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</si>
  <si>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</si>
  <si>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</si>
  <si>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</si>
  <si>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</si>
  <si>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</si>
  <si>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</si>
  <si>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</si>
  <si>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</si>
  <si>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</si>
  <si>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</si>
  <si>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</si>
  <si>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</si>
  <si>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</si>
  <si>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</si>
  <si>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</si>
  <si>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</si>
  <si>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</si>
  <si>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</si>
  <si>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</si>
  <si>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</si>
  <si>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</si>
  <si>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</si>
  <si>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</si>
  <si>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</si>
  <si>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</si>
  <si>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</si>
  <si>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</si>
  <si>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</si>
  <si>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</si>
  <si>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</si>
  <si>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</si>
  <si>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</si>
  <si>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</si>
  <si>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</si>
  <si>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</si>
  <si>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</si>
  <si>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</si>
  <si>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</si>
  <si>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</si>
  <si>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</si>
  <si>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</si>
  <si>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</si>
  <si>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</si>
  <si>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</si>
  <si>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</si>
  <si>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</si>
  <si>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</si>
  <si>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</si>
  <si>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</si>
  <si>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</si>
  <si>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</si>
  <si>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</si>
  <si>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</si>
  <si>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</si>
  <si>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</si>
  <si>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</si>
  <si>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</si>
  <si>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BAB.L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</si>
  <si>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</si>
  <si>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</si>
  <si>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</si>
  <si>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</si>
  <si>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</si>
  <si>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</si>
  <si>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</si>
  <si>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</si>
  <si>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</si>
  <si>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</si>
  <si>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</si>
  <si>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</si>
  <si>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</si>
  <si>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</si>
  <si>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</si>
  <si>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</si>
  <si>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</si>
  <si>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</si>
  <si>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</si>
  <si>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</si>
  <si>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</si>
  <si>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</si>
  <si>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</si>
  <si>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</si>
  <si>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</si>
  <si>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</si>
  <si>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</si>
  <si>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</si>
  <si>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</si>
  <si>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</si>
  <si>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BAB.L owner-FCF component DCF: base case (millions, GBP)</t>
  </si>
  <si>
    <t xml:space="preserve">BAB.L owner-FCF component DCF: bull case (millions, GBP)</t>
  </si>
  <si>
    <t xml:space="preserve">BAB.L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</si>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</sst>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922.2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4428.5</v>
      </c>
      <c r="C2" s="0" t="n">
        <v>3941.2</v>
      </c>
      <c r="D2" s="0" t="n">
        <v>487.3</v>
      </c>
      <c r="E2" s="0" t="n">
        <v>11</v>
      </c>
      <c r="F2" s="0" t="n">
        <v>-75.6</v>
      </c>
      <c r="G2" s="0" t="n">
        <v>-1.7</v>
      </c>
      <c r="H2" s="0" t="n">
        <v>537.1</v>
      </c>
      <c r="I2" s="0" t="n">
        <v>-117.8</v>
      </c>
      <c r="J2" s="0" t="n">
        <v>-2.7</v>
      </c>
      <c r="K2" s="0" t="n">
        <v>-0.233</v>
      </c>
      <c r="L2" s="0" t="n">
        <v>330.4</v>
      </c>
      <c r="M2" s="0" t="n">
        <v>174.6</v>
      </c>
      <c r="N2" s="0" t="n">
        <v>155.8</v>
      </c>
      <c r="O2" s="0" t="n">
        <v>2351.8</v>
      </c>
      <c r="P2" s="0" t="n">
        <v>7851.1</v>
      </c>
      <c r="Q2" s="0" t="n">
        <v>5499.3</v>
      </c>
      <c r="R2" s="0" t="n">
        <v>3042.9</v>
      </c>
      <c r="S2" s="0" t="n">
        <v>1845.9</v>
      </c>
      <c r="T2" s="0" t="n">
        <v>505.6</v>
      </c>
      <c r="U2" s="0" t="n">
        <v>2.9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3971.6</v>
      </c>
      <c r="C3" s="0" t="n">
        <v>3945.5</v>
      </c>
      <c r="D3" s="0" t="n">
        <v>26.1</v>
      </c>
      <c r="E3" s="0" t="n">
        <v>0.7</v>
      </c>
      <c r="F3" s="0" t="n">
        <v>-1736.7</v>
      </c>
      <c r="G3" s="0" t="n">
        <v>-43.7</v>
      </c>
      <c r="H3" s="0" t="n">
        <v>128.1</v>
      </c>
      <c r="I3" s="0" t="n">
        <v>-1803</v>
      </c>
      <c r="J3" s="0" t="n">
        <v>-45.4</v>
      </c>
      <c r="K3" s="0" t="n">
        <v>-3.57</v>
      </c>
      <c r="L3" s="0" t="n">
        <v>427.4</v>
      </c>
      <c r="M3" s="0" t="n">
        <v>176.5</v>
      </c>
      <c r="N3" s="0" t="n">
        <v>250.9</v>
      </c>
      <c r="O3" s="0" t="n">
        <v>229</v>
      </c>
      <c r="P3" s="0" t="n">
        <v>4610.9</v>
      </c>
      <c r="Q3" s="0" t="n">
        <v>4381.9</v>
      </c>
      <c r="R3" s="0" t="n">
        <v>1707.5</v>
      </c>
      <c r="S3" s="0" t="n">
        <v>904.8</v>
      </c>
      <c r="T3" s="0" t="n">
        <v>505</v>
      </c>
      <c r="U3" s="0" t="n">
        <v>3.2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4101.8</v>
      </c>
      <c r="C4" s="0" t="n">
        <v>3756.5</v>
      </c>
      <c r="D4" s="0" t="n">
        <v>345.3</v>
      </c>
      <c r="E4" s="0" t="n">
        <v>8.4</v>
      </c>
      <c r="F4" s="0" t="n">
        <v>226.8</v>
      </c>
      <c r="G4" s="0" t="n">
        <v>5.5</v>
      </c>
      <c r="H4" s="0" t="n">
        <v>569.3</v>
      </c>
      <c r="I4" s="0" t="n">
        <v>164.2</v>
      </c>
      <c r="J4" s="0" t="n">
        <v>4</v>
      </c>
      <c r="K4" s="0" t="n">
        <v>0.321</v>
      </c>
      <c r="L4" s="0" t="n">
        <v>6.8</v>
      </c>
      <c r="M4" s="0" t="n">
        <v>203.2</v>
      </c>
      <c r="N4" s="0" t="n">
        <v>-196.4</v>
      </c>
      <c r="O4" s="0" t="n">
        <v>701.5</v>
      </c>
      <c r="P4" s="0" t="n">
        <v>4598.3</v>
      </c>
      <c r="Q4" s="0" t="n">
        <v>3896.8</v>
      </c>
      <c r="R4" s="0" t="n">
        <v>1711.1</v>
      </c>
      <c r="S4" s="0" t="n">
        <v>1146.3</v>
      </c>
      <c r="T4" s="0" t="n">
        <v>511.5</v>
      </c>
      <c r="U4" s="0" t="n">
        <v>5.5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4438.6</v>
      </c>
      <c r="F5" s="0" t="n">
        <v>45.5</v>
      </c>
      <c r="G5" s="0" t="n">
        <v>1</v>
      </c>
      <c r="H5" s="0" t="n">
        <v>250.9</v>
      </c>
      <c r="I5" s="0" t="n">
        <v>-35</v>
      </c>
      <c r="J5" s="0" t="n">
        <v>-0.8</v>
      </c>
      <c r="K5" s="0" t="n">
        <v>-0.069</v>
      </c>
      <c r="L5" s="0" t="n">
        <v>261.3</v>
      </c>
      <c r="M5" s="0" t="n">
        <v>125.1</v>
      </c>
      <c r="N5" s="0" t="n">
        <v>136.2</v>
      </c>
      <c r="O5" s="0" t="n">
        <v>370.9</v>
      </c>
      <c r="P5" s="0" t="n">
        <v>3309.9</v>
      </c>
      <c r="Q5" s="0" t="n">
        <v>2939</v>
      </c>
      <c r="R5" s="0" t="n">
        <v>788</v>
      </c>
      <c r="S5" s="0" t="n">
        <v>451.7</v>
      </c>
      <c r="T5" s="0" t="n">
        <v>507.2</v>
      </c>
      <c r="U5" s="0" t="n">
        <v>9.4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4390.1</v>
      </c>
      <c r="F6" s="0" t="n">
        <v>241.6</v>
      </c>
      <c r="G6" s="0" t="n">
        <v>5.5</v>
      </c>
      <c r="H6" s="0" t="n">
        <v>359.5</v>
      </c>
      <c r="I6" s="0" t="n">
        <v>165.7</v>
      </c>
      <c r="J6" s="0" t="n">
        <v>3.8</v>
      </c>
      <c r="K6" s="0" t="n">
        <v>0.322</v>
      </c>
      <c r="L6" s="0" t="n">
        <v>314.7</v>
      </c>
      <c r="M6" s="0" t="n">
        <v>142.4</v>
      </c>
      <c r="N6" s="0" t="n">
        <v>172.3</v>
      </c>
      <c r="O6" s="0" t="n">
        <v>406.1</v>
      </c>
      <c r="P6" s="0" t="n">
        <v>3580.1</v>
      </c>
      <c r="Q6" s="0" t="n">
        <v>3174</v>
      </c>
      <c r="R6" s="0" t="n">
        <v>767.5</v>
      </c>
      <c r="S6" s="0" t="n">
        <v>570.6</v>
      </c>
      <c r="T6" s="0" t="n">
        <v>514.6</v>
      </c>
      <c r="U6" s="0" t="n">
        <v>12.4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4831.3</v>
      </c>
      <c r="F7" s="0" t="n">
        <v>363.9</v>
      </c>
      <c r="G7" s="0" t="n">
        <v>7.5</v>
      </c>
      <c r="H7" s="0" t="n">
        <v>483.4</v>
      </c>
      <c r="I7" s="0" t="n">
        <v>247.1</v>
      </c>
      <c r="J7" s="0" t="n">
        <v>5.1</v>
      </c>
      <c r="K7" s="0" t="n">
        <v>0.48</v>
      </c>
      <c r="L7" s="0" t="n">
        <v>308.8</v>
      </c>
      <c r="M7" s="0" t="n">
        <v>128.3</v>
      </c>
      <c r="N7" s="0" t="n">
        <v>180.5</v>
      </c>
      <c r="O7" s="0" t="n">
        <v>621.8</v>
      </c>
      <c r="P7" s="0" t="n">
        <v>3690.2</v>
      </c>
      <c r="Q7" s="0" t="n">
        <v>3068.4</v>
      </c>
      <c r="R7" s="0" t="n">
        <v>751.3</v>
      </c>
      <c r="S7" s="0" t="n">
        <v>646.6</v>
      </c>
      <c r="T7" s="0" t="n">
        <v>514.8</v>
      </c>
      <c r="U7" s="0" t="n">
        <v>14.3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5177.7</v>
      </c>
      <c r="F8" s="0" t="n">
        <v>305.1</v>
      </c>
      <c r="G8" s="0" t="n">
        <v>5.9</v>
      </c>
      <c r="H8" s="0" t="n">
        <v>450.7</v>
      </c>
      <c r="I8" s="0" t="n">
        <v>211.2</v>
      </c>
      <c r="J8" s="0" t="n">
        <v>4.1</v>
      </c>
      <c r="K8" s="0" t="n">
        <v>0.413</v>
      </c>
      <c r="L8" s="0" t="n">
        <v>402.4</v>
      </c>
      <c r="M8" s="0" t="n">
        <v>160.3</v>
      </c>
      <c r="N8" s="0" t="n">
        <v>242.1</v>
      </c>
      <c r="O8" s="0" t="n">
        <v>629.3</v>
      </c>
      <c r="P8" s="0" t="n">
        <v>3930.1</v>
      </c>
      <c r="Q8" s="0" t="n">
        <v>3300.8</v>
      </c>
      <c r="R8" s="0" t="n">
        <v>790.9</v>
      </c>
      <c r="S8" s="0" t="n">
        <v>739.9</v>
      </c>
      <c r="T8" s="0" t="n">
        <v>511.4</v>
      </c>
      <c r="U8" s="0" t="n">
        <v>17.2</v>
      </c>
      <c r="AA8" s="0" t="s">
        <v>18</v>
      </c>
      <c r="AB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922.2</v>
      </c>
    </row>
    <row r="3" customFormat="false" ht="15" hidden="false" customHeight="false" outlineLevel="0" collapsed="false">
      <c r="A3" s="0" t="s">
        <v>74</v>
      </c>
      <c r="B3" s="3" t="n">
        <v>500.3</v>
      </c>
    </row>
    <row r="4" customFormat="false" ht="15" hidden="false" customHeight="false" outlineLevel="0" collapsed="false">
      <c r="A4" s="0" t="s">
        <v>75</v>
      </c>
      <c r="B4" s="3" t="n">
        <v>67.6</v>
      </c>
    </row>
    <row r="5" customFormat="false" ht="15" hidden="false" customHeight="false" outlineLevel="0" collapsed="false">
      <c r="A5" s="0" t="s">
        <v>76</v>
      </c>
      <c r="B5" s="3" t="n">
        <v>-155.9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5177.7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100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3</v>
      </c>
      <c r="D13" s="3" t="n">
        <v>2.5</v>
      </c>
      <c r="E13" s="3" t="n">
        <v>2.5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95</v>
      </c>
      <c r="C14" s="3" t="n">
        <v>11</v>
      </c>
      <c r="D14" s="3" t="n">
        <v>10.8</v>
      </c>
      <c r="E14" s="3" t="n">
        <v>10.8</v>
      </c>
      <c r="F14" s="3" t="n">
        <v>10.8</v>
      </c>
      <c r="G14" s="3" t="n">
        <v>10.8</v>
      </c>
      <c r="H14" s="3" t="n">
        <v>10.8</v>
      </c>
      <c r="I14" s="3" t="n">
        <v>10.8</v>
      </c>
      <c r="J14" s="3" t="n">
        <v>10.8</v>
      </c>
      <c r="K14" s="3" t="n">
        <v>10.8</v>
      </c>
      <c r="L14" s="3" t="n">
        <v>10.8</v>
      </c>
    </row>
    <row r="15" customFormat="false" ht="15" hidden="false" customHeight="false" outlineLevel="0" collapsed="false">
      <c r="A15" s="0" t="s">
        <v>96</v>
      </c>
      <c r="C15" s="3" t="n">
        <v>0.33</v>
      </c>
      <c r="D15" s="3" t="n">
        <v>0.33</v>
      </c>
      <c r="E15" s="3" t="n">
        <v>0.33</v>
      </c>
      <c r="F15" s="3" t="n">
        <v>0.33</v>
      </c>
      <c r="G15" s="3" t="n">
        <v>0.33</v>
      </c>
      <c r="H15" s="3" t="n">
        <v>0.33</v>
      </c>
      <c r="I15" s="3" t="n">
        <v>0.33</v>
      </c>
      <c r="J15" s="3" t="n">
        <v>0.33</v>
      </c>
      <c r="K15" s="3" t="n">
        <v>0.33</v>
      </c>
      <c r="L15" s="3" t="n">
        <v>0.33</v>
      </c>
    </row>
    <row r="16" customFormat="false" ht="15" hidden="false" customHeight="false" outlineLevel="0" collapsed="false">
      <c r="A16" s="0" t="s">
        <v>97</v>
      </c>
      <c r="C16" s="3" t="n">
        <v>1.2</v>
      </c>
      <c r="D16" s="3" t="n">
        <v>1.2</v>
      </c>
      <c r="E16" s="3" t="n">
        <v>1.2</v>
      </c>
      <c r="F16" s="3" t="n">
        <v>1.2</v>
      </c>
      <c r="G16" s="3" t="n">
        <v>1.2</v>
      </c>
      <c r="H16" s="3" t="n">
        <v>1.2</v>
      </c>
      <c r="I16" s="3" t="n">
        <v>1.2</v>
      </c>
      <c r="J16" s="3" t="n">
        <v>1.2</v>
      </c>
      <c r="K16" s="3" t="n">
        <v>1.2</v>
      </c>
      <c r="L16" s="3" t="n">
        <v>1.2</v>
      </c>
    </row>
    <row r="17" customFormat="false" ht="15" hidden="false" customHeight="false" outlineLevel="0" collapsed="false">
      <c r="A17" s="0" t="s">
        <v>98</v>
      </c>
      <c r="C17" s="3" t="n">
        <v>1.7</v>
      </c>
      <c r="D17" s="3" t="n">
        <v>1.75</v>
      </c>
      <c r="E17" s="3" t="n">
        <v>1.8</v>
      </c>
      <c r="F17" s="3" t="n">
        <v>1.85</v>
      </c>
      <c r="G17" s="3" t="n">
        <v>1.9</v>
      </c>
      <c r="H17" s="3" t="n">
        <v>1.95</v>
      </c>
      <c r="I17" s="3" t="n">
        <v>2</v>
      </c>
      <c r="J17" s="3" t="n">
        <v>2</v>
      </c>
      <c r="K17" s="3" t="n">
        <v>2</v>
      </c>
      <c r="L17" s="3" t="n">
        <v>2</v>
      </c>
    </row>
    <row r="18" customFormat="false" ht="15" hidden="false" customHeight="false" outlineLevel="0" collapsed="false">
      <c r="A18" s="0" t="s">
        <v>99</v>
      </c>
      <c r="C18" s="3" t="n">
        <v>2.6</v>
      </c>
      <c r="D18" s="3" t="n">
        <v>2.6</v>
      </c>
      <c r="E18" s="3" t="n">
        <v>2.5</v>
      </c>
      <c r="F18" s="3" t="n">
        <v>2.5</v>
      </c>
      <c r="G18" s="3" t="n">
        <v>2.4</v>
      </c>
      <c r="H18" s="3" t="n">
        <v>2.4</v>
      </c>
      <c r="I18" s="3" t="n">
        <v>2.3</v>
      </c>
      <c r="J18" s="3" t="n">
        <v>2.3</v>
      </c>
      <c r="K18" s="3" t="n">
        <v>2.3</v>
      </c>
      <c r="L18" s="3" t="n">
        <v>2.3</v>
      </c>
    </row>
    <row r="19" customFormat="false" ht="15" hidden="false" customHeight="false" outlineLevel="0" collapsed="false">
      <c r="A19" s="0" t="s">
        <v>100</v>
      </c>
      <c r="C19" s="3" t="n">
        <v>12</v>
      </c>
      <c r="D19" s="3" t="n">
        <v>15</v>
      </c>
      <c r="E19" s="3" t="n">
        <v>18</v>
      </c>
      <c r="F19" s="3" t="n">
        <v>21</v>
      </c>
      <c r="G19" s="3" t="n">
        <v>24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101</v>
      </c>
      <c r="B20" s="3" t="n">
        <v>8.5</v>
      </c>
    </row>
    <row r="21" customFormat="false" ht="15" hidden="false" customHeight="false" outlineLevel="0" collapsed="false">
      <c r="A21" s="0" t="s">
        <v>102</v>
      </c>
      <c r="B21" s="3" t="n">
        <v>1.5</v>
      </c>
    </row>
    <row r="22" customFormat="false" ht="15" hidden="false" customHeight="false" outlineLevel="0" collapsed="false">
      <c r="A22" s="0" t="s">
        <v>103</v>
      </c>
      <c r="B22" s="3" t="n">
        <v>13</v>
      </c>
    </row>
    <row r="23" customFormat="false" ht="15" hidden="false" customHeight="false" outlineLevel="0" collapsed="false">
      <c r="A23" s="0" t="s">
        <v>104</v>
      </c>
      <c r="B23" s="3" t="n">
        <v>-25</v>
      </c>
    </row>
    <row r="24" customFormat="false" ht="15" hidden="false" customHeight="false" outlineLevel="0" collapsed="false">
      <c r="A24" s="0" t="s">
        <v>105</v>
      </c>
      <c r="B24" s="3" t="n">
        <v>0.25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6</v>
      </c>
      <c r="D27" s="3" t="n">
        <v>5.5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95</v>
      </c>
      <c r="C28" s="3" t="n">
        <v>11.4</v>
      </c>
      <c r="D28" s="3" t="n">
        <v>11.6</v>
      </c>
      <c r="E28" s="3" t="n">
        <v>11.8</v>
      </c>
      <c r="F28" s="3" t="n">
        <v>12</v>
      </c>
      <c r="G28" s="3" t="n">
        <v>12.1</v>
      </c>
      <c r="H28" s="3" t="n">
        <v>12.2</v>
      </c>
      <c r="I28" s="3" t="n">
        <v>12.2</v>
      </c>
      <c r="J28" s="3" t="n">
        <v>12.2</v>
      </c>
      <c r="K28" s="3" t="n">
        <v>12.2</v>
      </c>
      <c r="L28" s="3" t="n">
        <v>12.2</v>
      </c>
    </row>
    <row r="29" customFormat="false" ht="15" hidden="false" customHeight="false" outlineLevel="0" collapsed="false">
      <c r="A29" s="0" t="s">
        <v>96</v>
      </c>
      <c r="C29" s="3" t="n">
        <v>0.33</v>
      </c>
      <c r="D29" s="3" t="n">
        <v>0.33</v>
      </c>
      <c r="E29" s="3" t="n">
        <v>0.33</v>
      </c>
      <c r="F29" s="3" t="n">
        <v>0.33</v>
      </c>
      <c r="G29" s="3" t="n">
        <v>0.33</v>
      </c>
      <c r="H29" s="3" t="n">
        <v>0.33</v>
      </c>
      <c r="I29" s="3" t="n">
        <v>0.33</v>
      </c>
      <c r="J29" s="3" t="n">
        <v>0.33</v>
      </c>
      <c r="K29" s="3" t="n">
        <v>0.33</v>
      </c>
      <c r="L29" s="3" t="n">
        <v>0.33</v>
      </c>
    </row>
    <row r="30" customFormat="false" ht="15" hidden="false" customHeight="false" outlineLevel="0" collapsed="false">
      <c r="A30" s="0" t="s">
        <v>97</v>
      </c>
      <c r="C30" s="3" t="n">
        <v>1.2</v>
      </c>
      <c r="D30" s="3" t="n">
        <v>1.2</v>
      </c>
      <c r="E30" s="3" t="n">
        <v>1.2</v>
      </c>
      <c r="F30" s="3" t="n">
        <v>1.2</v>
      </c>
      <c r="G30" s="3" t="n">
        <v>1.2</v>
      </c>
      <c r="H30" s="3" t="n">
        <v>1.2</v>
      </c>
      <c r="I30" s="3" t="n">
        <v>1.2</v>
      </c>
      <c r="J30" s="3" t="n">
        <v>1.2</v>
      </c>
      <c r="K30" s="3" t="n">
        <v>1.2</v>
      </c>
      <c r="L30" s="3" t="n">
        <v>1.2</v>
      </c>
    </row>
    <row r="31" customFormat="false" ht="15" hidden="false" customHeight="false" outlineLevel="0" collapsed="false">
      <c r="A31" s="0" t="s">
        <v>98</v>
      </c>
      <c r="C31" s="3" t="n">
        <v>1.7</v>
      </c>
      <c r="D31" s="3" t="n">
        <v>1.75</v>
      </c>
      <c r="E31" s="3" t="n">
        <v>1.8</v>
      </c>
      <c r="F31" s="3" t="n">
        <v>1.85</v>
      </c>
      <c r="G31" s="3" t="n">
        <v>1.9</v>
      </c>
      <c r="H31" s="3" t="n">
        <v>1.95</v>
      </c>
      <c r="I31" s="3" t="n">
        <v>2</v>
      </c>
      <c r="J31" s="3" t="n">
        <v>2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99</v>
      </c>
      <c r="C32" s="3" t="n">
        <v>2.6</v>
      </c>
      <c r="D32" s="3" t="n">
        <v>2.6</v>
      </c>
      <c r="E32" s="3" t="n">
        <v>2.5</v>
      </c>
      <c r="F32" s="3" t="n">
        <v>2.5</v>
      </c>
      <c r="G32" s="3" t="n">
        <v>2.4</v>
      </c>
      <c r="H32" s="3" t="n">
        <v>2.4</v>
      </c>
      <c r="I32" s="3" t="n">
        <v>2.3</v>
      </c>
      <c r="J32" s="3" t="n">
        <v>2.3</v>
      </c>
      <c r="K32" s="3" t="n">
        <v>2.3</v>
      </c>
      <c r="L32" s="3" t="n">
        <v>2.3</v>
      </c>
    </row>
    <row r="33" customFormat="false" ht="15" hidden="false" customHeight="false" outlineLevel="0" collapsed="false">
      <c r="A33" s="0" t="s">
        <v>100</v>
      </c>
      <c r="C33" s="3" t="n">
        <v>12</v>
      </c>
      <c r="D33" s="3" t="n">
        <v>15</v>
      </c>
      <c r="E33" s="3" t="n">
        <v>18</v>
      </c>
      <c r="F33" s="3" t="n">
        <v>21</v>
      </c>
      <c r="G33" s="3" t="n">
        <v>24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101</v>
      </c>
      <c r="B34" s="3" t="n">
        <v>8.5</v>
      </c>
    </row>
    <row r="35" customFormat="false" ht="15" hidden="false" customHeight="false" outlineLevel="0" collapsed="false">
      <c r="A35" s="0" t="s">
        <v>102</v>
      </c>
      <c r="B35" s="3" t="n">
        <v>2</v>
      </c>
    </row>
    <row r="36" customFormat="false" ht="15" hidden="false" customHeight="false" outlineLevel="0" collapsed="false">
      <c r="A36" s="0" t="s">
        <v>103</v>
      </c>
      <c r="B36" s="3" t="n">
        <v>15</v>
      </c>
    </row>
    <row r="37" customFormat="false" ht="15" hidden="false" customHeight="false" outlineLevel="0" collapsed="false">
      <c r="A37" s="0" t="s">
        <v>104</v>
      </c>
      <c r="B37" s="3" t="n">
        <v>-15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8</v>
      </c>
      <c r="D41" s="3" t="n">
        <v>8</v>
      </c>
      <c r="E41" s="3" t="n">
        <v>7</v>
      </c>
      <c r="F41" s="3" t="n">
        <v>7</v>
      </c>
      <c r="G41" s="3" t="n">
        <v>6</v>
      </c>
      <c r="H41" s="3" t="n">
        <v>5.5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11.5</v>
      </c>
      <c r="D42" s="3" t="n">
        <v>11.9</v>
      </c>
      <c r="E42" s="3" t="n">
        <v>12.3</v>
      </c>
      <c r="F42" s="3" t="n">
        <v>12.7</v>
      </c>
      <c r="G42" s="3" t="n">
        <v>13</v>
      </c>
      <c r="H42" s="3" t="n">
        <v>13.2</v>
      </c>
      <c r="I42" s="3" t="n">
        <v>13.3</v>
      </c>
      <c r="J42" s="3" t="n">
        <v>13.3</v>
      </c>
      <c r="K42" s="3" t="n">
        <v>13.3</v>
      </c>
      <c r="L42" s="3" t="n">
        <v>13.3</v>
      </c>
    </row>
    <row r="43" customFormat="false" ht="15" hidden="false" customHeight="false" outlineLevel="0" collapsed="false">
      <c r="A43" s="0" t="s">
        <v>96</v>
      </c>
      <c r="C43" s="3" t="n">
        <v>0.33</v>
      </c>
      <c r="D43" s="3" t="n">
        <v>0.33</v>
      </c>
      <c r="E43" s="3" t="n">
        <v>0.33</v>
      </c>
      <c r="F43" s="3" t="n">
        <v>0.33</v>
      </c>
      <c r="G43" s="3" t="n">
        <v>0.33</v>
      </c>
      <c r="H43" s="3" t="n">
        <v>0.33</v>
      </c>
      <c r="I43" s="3" t="n">
        <v>0.33</v>
      </c>
      <c r="J43" s="3" t="n">
        <v>0.33</v>
      </c>
      <c r="K43" s="3" t="n">
        <v>0.33</v>
      </c>
      <c r="L43" s="3" t="n">
        <v>0.33</v>
      </c>
    </row>
    <row r="44" customFormat="false" ht="15" hidden="false" customHeight="false" outlineLevel="0" collapsed="false">
      <c r="A44" s="0" t="s">
        <v>97</v>
      </c>
      <c r="C44" s="3" t="n">
        <v>1.2</v>
      </c>
      <c r="D44" s="3" t="n">
        <v>1.2</v>
      </c>
      <c r="E44" s="3" t="n">
        <v>1.2</v>
      </c>
      <c r="F44" s="3" t="n">
        <v>1.2</v>
      </c>
      <c r="G44" s="3" t="n">
        <v>1.2</v>
      </c>
      <c r="H44" s="3" t="n">
        <v>1.2</v>
      </c>
      <c r="I44" s="3" t="n">
        <v>1.2</v>
      </c>
      <c r="J44" s="3" t="n">
        <v>1.2</v>
      </c>
      <c r="K44" s="3" t="n">
        <v>1.2</v>
      </c>
      <c r="L44" s="3" t="n">
        <v>1.2</v>
      </c>
    </row>
    <row r="45" customFormat="false" ht="15" hidden="false" customHeight="false" outlineLevel="0" collapsed="false">
      <c r="A45" s="0" t="s">
        <v>98</v>
      </c>
      <c r="C45" s="3" t="n">
        <v>1.7</v>
      </c>
      <c r="D45" s="3" t="n">
        <v>1.75</v>
      </c>
      <c r="E45" s="3" t="n">
        <v>1.8</v>
      </c>
      <c r="F45" s="3" t="n">
        <v>1.85</v>
      </c>
      <c r="G45" s="3" t="n">
        <v>1.9</v>
      </c>
      <c r="H45" s="3" t="n">
        <v>1.95</v>
      </c>
      <c r="I45" s="3" t="n">
        <v>2</v>
      </c>
      <c r="J45" s="3" t="n">
        <v>2</v>
      </c>
      <c r="K45" s="3" t="n">
        <v>2</v>
      </c>
      <c r="L45" s="3" t="n">
        <v>2</v>
      </c>
    </row>
    <row r="46" customFormat="false" ht="15" hidden="false" customHeight="false" outlineLevel="0" collapsed="false">
      <c r="A46" s="0" t="s">
        <v>99</v>
      </c>
      <c r="C46" s="3" t="n">
        <v>2.6</v>
      </c>
      <c r="D46" s="3" t="n">
        <v>2.6</v>
      </c>
      <c r="E46" s="3" t="n">
        <v>2.5</v>
      </c>
      <c r="F46" s="3" t="n">
        <v>2.5</v>
      </c>
      <c r="G46" s="3" t="n">
        <v>2.4</v>
      </c>
      <c r="H46" s="3" t="n">
        <v>2.4</v>
      </c>
      <c r="I46" s="3" t="n">
        <v>2.3</v>
      </c>
      <c r="J46" s="3" t="n">
        <v>2.3</v>
      </c>
      <c r="K46" s="3" t="n">
        <v>2.3</v>
      </c>
      <c r="L46" s="3" t="n">
        <v>2.3</v>
      </c>
    </row>
    <row r="47" customFormat="false" ht="15" hidden="false" customHeight="false" outlineLevel="0" collapsed="false">
      <c r="A47" s="0" t="s">
        <v>100</v>
      </c>
      <c r="C47" s="3" t="n">
        <v>12</v>
      </c>
      <c r="D47" s="3" t="n">
        <v>15</v>
      </c>
      <c r="E47" s="3" t="n">
        <v>18</v>
      </c>
      <c r="F47" s="3" t="n">
        <v>21</v>
      </c>
      <c r="G47" s="3" t="n">
        <v>24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101</v>
      </c>
      <c r="B48" s="3" t="n">
        <v>8.5</v>
      </c>
    </row>
    <row r="49" customFormat="false" ht="15" hidden="false" customHeight="false" outlineLevel="0" collapsed="false">
      <c r="A49" s="0" t="s">
        <v>102</v>
      </c>
      <c r="B49" s="3" t="n">
        <v>2.5</v>
      </c>
    </row>
    <row r="50" customFormat="false" ht="15" hidden="false" customHeight="false" outlineLevel="0" collapsed="false">
      <c r="A50" s="0" t="s">
        <v>103</v>
      </c>
      <c r="B50" s="3" t="n">
        <v>17</v>
      </c>
    </row>
    <row r="51" customFormat="false" ht="15" hidden="false" customHeight="false" outlineLevel="0" collapsed="false">
      <c r="A51" s="0" t="s">
        <v>104</v>
      </c>
      <c r="B51" s="3" t="n">
        <v>-5</v>
      </c>
    </row>
    <row r="52" customFormat="false" ht="15" hidden="false" customHeight="false" outlineLevel="0" collapsed="false">
      <c r="A52" s="0" t="s">
        <v>105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3</v>
      </c>
      <c r="D5" s="4" t="n">
        <f aca="false">Assumptions!D13</f>
        <v>2.5</v>
      </c>
      <c r="E5" s="4" t="n">
        <f aca="false">Assumptions!E13</f>
        <v>2.5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5177.7</v>
      </c>
      <c r="C6" s="0" t="n">
        <f aca="false">B6*(1+C5/100)</f>
        <v>5333.031</v>
      </c>
      <c r="D6" s="0" t="n">
        <f aca="false">C6*(1+D5/100)</f>
        <v>5466.356775</v>
      </c>
      <c r="E6" s="0" t="n">
        <f aca="false">D6*(1+E5/100)</f>
        <v>5603.015694375</v>
      </c>
      <c r="F6" s="0" t="n">
        <f aca="false">E6*(1+F5/100)</f>
        <v>5715.0760082625</v>
      </c>
      <c r="G6" s="0" t="n">
        <f aca="false">F6*(1+G5/100)</f>
        <v>5829.37752842775</v>
      </c>
      <c r="H6" s="0" t="n">
        <f aca="false">G6*(1+H5/100)</f>
        <v>5945.9650789963</v>
      </c>
      <c r="I6" s="0" t="n">
        <f aca="false">H6*(1+I5/100)</f>
        <v>6064.88438057623</v>
      </c>
      <c r="J6" s="0" t="n">
        <f aca="false">I6*(1+J5/100)</f>
        <v>6186.18206818776</v>
      </c>
      <c r="K6" s="0" t="n">
        <f aca="false">J6*(1+K5/100)</f>
        <v>6309.90570955151</v>
      </c>
      <c r="L6" s="0" t="n">
        <f aca="false">K6*(1+L5/100)</f>
        <v>6436.10382374254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11</v>
      </c>
      <c r="D7" s="4" t="n">
        <f aca="false">Assumptions!D14</f>
        <v>10.8</v>
      </c>
      <c r="E7" s="4" t="n">
        <f aca="false">Assumptions!E14</f>
        <v>10.8</v>
      </c>
      <c r="F7" s="4" t="n">
        <f aca="false">Assumptions!F14</f>
        <v>10.8</v>
      </c>
      <c r="G7" s="4" t="n">
        <f aca="false">Assumptions!G14</f>
        <v>10.8</v>
      </c>
      <c r="H7" s="4" t="n">
        <f aca="false">Assumptions!H14</f>
        <v>10.8</v>
      </c>
      <c r="I7" s="4" t="n">
        <f aca="false">Assumptions!I14</f>
        <v>10.8</v>
      </c>
      <c r="J7" s="4" t="n">
        <f aca="false">Assumptions!J14</f>
        <v>10.8</v>
      </c>
      <c r="K7" s="4" t="n">
        <f aca="false">Assumptions!K14</f>
        <v>10.8</v>
      </c>
      <c r="L7" s="4" t="n">
        <f aca="false">Assumptions!L14</f>
        <v>10.8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586.63341</v>
      </c>
      <c r="D8" s="0" t="n">
        <f aca="false">D6*D7/100</f>
        <v>590.3665317</v>
      </c>
      <c r="E8" s="0" t="n">
        <f aca="false">E6*E7/100</f>
        <v>605.1256949925</v>
      </c>
      <c r="F8" s="0" t="n">
        <f aca="false">F6*F7/100</f>
        <v>617.22820889235</v>
      </c>
      <c r="G8" s="0" t="n">
        <f aca="false">G6*G7/100</f>
        <v>629.572773070197</v>
      </c>
      <c r="H8" s="0" t="n">
        <f aca="false">H6*H7/100</f>
        <v>642.164228531601</v>
      </c>
      <c r="I8" s="0" t="n">
        <f aca="false">I6*I7/100</f>
        <v>655.007513102233</v>
      </c>
      <c r="J8" s="0" t="n">
        <f aca="false">J6*J7/100</f>
        <v>668.107663364278</v>
      </c>
      <c r="K8" s="0" t="n">
        <f aca="false">K6*K7/100</f>
        <v>681.469816631563</v>
      </c>
      <c r="L8" s="0" t="n">
        <f aca="false">L6*L7/100</f>
        <v>695.099212964194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0.33</v>
      </c>
      <c r="D9" s="4" t="n">
        <f aca="false">Assumptions!D15</f>
        <v>0.33</v>
      </c>
      <c r="E9" s="4" t="n">
        <f aca="false">Assumptions!E15</f>
        <v>0.33</v>
      </c>
      <c r="F9" s="4" t="n">
        <f aca="false">Assumptions!F15</f>
        <v>0.33</v>
      </c>
      <c r="G9" s="4" t="n">
        <f aca="false">Assumptions!G15</f>
        <v>0.33</v>
      </c>
      <c r="H9" s="4" t="n">
        <f aca="false">Assumptions!H15</f>
        <v>0.33</v>
      </c>
      <c r="I9" s="4" t="n">
        <f aca="false">Assumptions!I15</f>
        <v>0.33</v>
      </c>
      <c r="J9" s="4" t="n">
        <f aca="false">Assumptions!J15</f>
        <v>0.33</v>
      </c>
      <c r="K9" s="4" t="n">
        <f aca="false">Assumptions!K15</f>
        <v>0.33</v>
      </c>
      <c r="L9" s="4" t="n">
        <f aca="false">Assumptions!L15</f>
        <v>0.33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-17.5990023</v>
      </c>
      <c r="D10" s="0" t="n">
        <f aca="false">-D6*D9/100</f>
        <v>-18.0389773575</v>
      </c>
      <c r="E10" s="0" t="n">
        <f aca="false">-E6*E9/100</f>
        <v>-18.4899517914375</v>
      </c>
      <c r="F10" s="0" t="n">
        <f aca="false">-F6*F9/100</f>
        <v>-18.8597508272662</v>
      </c>
      <c r="G10" s="0" t="n">
        <f aca="false">-G6*G9/100</f>
        <v>-19.2369458438116</v>
      </c>
      <c r="H10" s="0" t="n">
        <f aca="false">-H6*H9/100</f>
        <v>-19.6216847606878</v>
      </c>
      <c r="I10" s="0" t="n">
        <f aca="false">-I6*I9/100</f>
        <v>-20.0141184559016</v>
      </c>
      <c r="J10" s="0" t="n">
        <f aca="false">-J6*J9/100</f>
        <v>-20.4144008250196</v>
      </c>
      <c r="K10" s="0" t="n">
        <f aca="false">-K6*K9/100</f>
        <v>-20.82268884152</v>
      </c>
      <c r="L10" s="0" t="n">
        <f aca="false">-L6*L9/100</f>
        <v>-21.2391426183504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505.0380357</v>
      </c>
      <c r="D11" s="0" t="n">
        <f aca="false">D8+D10+D24</f>
        <v>506.7312730425</v>
      </c>
      <c r="E11" s="0" t="n">
        <f aca="false">E8+E10+E24</f>
        <v>519.399554868562</v>
      </c>
      <c r="F11" s="0" t="n">
        <f aca="false">F8+F10+F24</f>
        <v>529.787545965934</v>
      </c>
      <c r="G11" s="0" t="n">
        <f aca="false">G8+G10+G24</f>
        <v>540.383296885252</v>
      </c>
      <c r="H11" s="0" t="n">
        <f aca="false">H8+H10+H24</f>
        <v>551.190962822957</v>
      </c>
      <c r="I11" s="0" t="n">
        <f aca="false">I8+I10+I24</f>
        <v>562.214782079417</v>
      </c>
      <c r="J11" s="0" t="n">
        <f aca="false">J8+J10+J24</f>
        <v>573.459077721005</v>
      </c>
      <c r="K11" s="0" t="n">
        <f aca="false">K8+K10+K24</f>
        <v>584.928259275425</v>
      </c>
      <c r="L11" s="0" t="n">
        <f aca="false">L8+L10+L24</f>
        <v>596.626824460934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-90.661527</v>
      </c>
      <c r="D12" s="4" t="n">
        <f aca="false">-D6*Assumptions!D17/100</f>
        <v>-95.6612435625</v>
      </c>
      <c r="E12" s="4" t="n">
        <f aca="false">-E6*Assumptions!E17/100</f>
        <v>-100.85428249875</v>
      </c>
      <c r="F12" s="4" t="n">
        <f aca="false">-F6*Assumptions!F17/100</f>
        <v>-105.728906152856</v>
      </c>
      <c r="G12" s="4" t="n">
        <f aca="false">-G6*Assumptions!G17/100</f>
        <v>-110.758173040127</v>
      </c>
      <c r="H12" s="4" t="n">
        <f aca="false">-H6*Assumptions!H17/100</f>
        <v>-115.946319040428</v>
      </c>
      <c r="I12" s="4" t="n">
        <f aca="false">-I6*Assumptions!I17/100</f>
        <v>-121.297687611525</v>
      </c>
      <c r="J12" s="4" t="n">
        <f aca="false">-J6*Assumptions!J17/100</f>
        <v>-123.723641363755</v>
      </c>
      <c r="K12" s="4" t="n">
        <f aca="false">-K6*Assumptions!K17/100</f>
        <v>-126.19811419103</v>
      </c>
      <c r="L12" s="4" t="n">
        <f aca="false">-L6*Assumptions!L17/100</f>
        <v>-128.722076474851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414.3765087</v>
      </c>
      <c r="D13" s="0" t="n">
        <f aca="false">D11+D12</f>
        <v>411.07002948</v>
      </c>
      <c r="E13" s="0" t="n">
        <f aca="false">E11+E12</f>
        <v>418.545272369812</v>
      </c>
      <c r="F13" s="0" t="n">
        <f aca="false">F11+F12</f>
        <v>424.058639813078</v>
      </c>
      <c r="G13" s="0" t="n">
        <f aca="false">G11+G12</f>
        <v>429.625123845125</v>
      </c>
      <c r="H13" s="0" t="n">
        <f aca="false">H11+H12</f>
        <v>435.244643782529</v>
      </c>
      <c r="I13" s="0" t="n">
        <f aca="false">I11+I12</f>
        <v>440.917094467892</v>
      </c>
      <c r="J13" s="0" t="n">
        <f aca="false">J11+J12</f>
        <v>449.73543635725</v>
      </c>
      <c r="K13" s="0" t="n">
        <f aca="false">K11+K12</f>
        <v>458.730145084395</v>
      </c>
      <c r="L13" s="0" t="n">
        <f aca="false">L11+L12</f>
        <v>467.904747986083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12</v>
      </c>
      <c r="D14" s="4" t="n">
        <f aca="false">Assumptions!D19</f>
        <v>15</v>
      </c>
      <c r="E14" s="4" t="n">
        <f aca="false">Assumptions!E19</f>
        <v>18</v>
      </c>
      <c r="F14" s="4" t="n">
        <f aca="false">Assumptions!F19</f>
        <v>21</v>
      </c>
      <c r="G14" s="4" t="n">
        <f aca="false">Assumptions!G19</f>
        <v>24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364.651327656</v>
      </c>
      <c r="D15" s="0" t="n">
        <f aca="false">D13-MAX(0,D13)*D14/100</f>
        <v>349.409525058</v>
      </c>
      <c r="E15" s="0" t="n">
        <f aca="false">E13-MAX(0,E13)*E14/100</f>
        <v>343.207123343246</v>
      </c>
      <c r="F15" s="0" t="n">
        <f aca="false">F13-MAX(0,F13)*F14/100</f>
        <v>335.006325452331</v>
      </c>
      <c r="G15" s="0" t="n">
        <f aca="false">G13-MAX(0,G13)*G14/100</f>
        <v>326.515094122295</v>
      </c>
      <c r="H15" s="0" t="n">
        <f aca="false">H13-MAX(0,H13)*H14/100</f>
        <v>326.433482836897</v>
      </c>
      <c r="I15" s="0" t="n">
        <f aca="false">I13-MAX(0,I13)*I14/100</f>
        <v>330.687820850919</v>
      </c>
      <c r="J15" s="0" t="n">
        <f aca="false">J13-MAX(0,J13)*J14/100</f>
        <v>337.301577267937</v>
      </c>
      <c r="K15" s="0" t="n">
        <f aca="false">K13-MAX(0,K13)*K14/100</f>
        <v>344.047608813296</v>
      </c>
      <c r="L15" s="0" t="n">
        <f aca="false">L13-MAX(0,L13)*L14/100</f>
        <v>350.928560989562</v>
      </c>
    </row>
    <row r="16" customFormat="false" ht="15" hidden="false" customHeight="false" outlineLevel="0" collapsed="false">
      <c r="A16" s="0" t="s">
        <v>116</v>
      </c>
      <c r="C16" s="0" t="n">
        <f aca="false">-C12</f>
        <v>90.661527</v>
      </c>
      <c r="D16" s="0" t="n">
        <f aca="false">-D12</f>
        <v>95.6612435625</v>
      </c>
      <c r="E16" s="0" t="n">
        <f aca="false">-E12</f>
        <v>100.85428249875</v>
      </c>
      <c r="F16" s="0" t="n">
        <f aca="false">-F12</f>
        <v>105.728906152856</v>
      </c>
      <c r="G16" s="0" t="n">
        <f aca="false">-G12</f>
        <v>110.758173040127</v>
      </c>
      <c r="H16" s="0" t="n">
        <f aca="false">-H12</f>
        <v>115.946319040428</v>
      </c>
      <c r="I16" s="0" t="n">
        <f aca="false">-I12</f>
        <v>121.297687611525</v>
      </c>
      <c r="J16" s="0" t="n">
        <f aca="false">-J12</f>
        <v>123.723641363755</v>
      </c>
      <c r="K16" s="0" t="n">
        <f aca="false">-K12</f>
        <v>126.19811419103</v>
      </c>
      <c r="L16" s="0" t="n">
        <f aca="false">-L12</f>
        <v>128.722076474851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-138.658806</v>
      </c>
      <c r="D17" s="4" t="n">
        <f aca="false">-D6*Assumptions!D18/100</f>
        <v>-142.12527615</v>
      </c>
      <c r="E17" s="4" t="n">
        <f aca="false">-E6*Assumptions!E18/100</f>
        <v>-140.075392359375</v>
      </c>
      <c r="F17" s="4" t="n">
        <f aca="false">-F6*Assumptions!F18/100</f>
        <v>-142.876900206562</v>
      </c>
      <c r="G17" s="4" t="n">
        <f aca="false">-G6*Assumptions!G18/100</f>
        <v>-139.905060682266</v>
      </c>
      <c r="H17" s="4" t="n">
        <f aca="false">-H6*Assumptions!H18/100</f>
        <v>-142.703161895911</v>
      </c>
      <c r="I17" s="4" t="n">
        <f aca="false">-I6*Assumptions!I18/100</f>
        <v>-139.492340753253</v>
      </c>
      <c r="J17" s="4" t="n">
        <f aca="false">-J6*Assumptions!J18/100</f>
        <v>-142.282187568318</v>
      </c>
      <c r="K17" s="4" t="n">
        <f aca="false">-K6*Assumptions!K18/100</f>
        <v>-145.127831319685</v>
      </c>
      <c r="L17" s="4" t="n">
        <f aca="false">-L6*Assumptions!L18/100</f>
        <v>-148.030387946078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-38.83275</v>
      </c>
      <c r="D18" s="4" t="n">
        <f aca="false">(D6-C6)*Assumptions!$B$23/100</f>
        <v>-33.3314437499998</v>
      </c>
      <c r="E18" s="4" t="n">
        <f aca="false">(E6-D6)*Assumptions!$B$23/100</f>
        <v>-34.1647298437499</v>
      </c>
      <c r="F18" s="4" t="n">
        <f aca="false">(F6-E6)*Assumptions!$B$23/100</f>
        <v>-28.0150784718751</v>
      </c>
      <c r="G18" s="4" t="n">
        <f aca="false">(G6-F6)*Assumptions!$B$23/100</f>
        <v>-28.5753800413124</v>
      </c>
      <c r="H18" s="4" t="n">
        <f aca="false">(H6-G6)*Assumptions!$B$23/100</f>
        <v>-29.1468876421388</v>
      </c>
      <c r="I18" s="4" t="n">
        <f aca="false">(I6-H6)*Assumptions!$B$23/100</f>
        <v>-29.7298253949816</v>
      </c>
      <c r="J18" s="4" t="n">
        <f aca="false">(J6-I6)*Assumptions!$B$23/100</f>
        <v>-30.3244219028811</v>
      </c>
      <c r="K18" s="4" t="n">
        <f aca="false">(K6-J6)*Assumptions!$B$23/100</f>
        <v>-30.9309103409389</v>
      </c>
      <c r="L18" s="4" t="n">
        <f aca="false">(L6-K6)*Assumptions!$B$23/100</f>
        <v>-31.5495285477575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277.821298656</v>
      </c>
      <c r="D19" s="0" t="n">
        <f aca="false">D15+D16+D17+D18</f>
        <v>269.6140487205</v>
      </c>
      <c r="E19" s="0" t="n">
        <f aca="false">E15+E16+E17+E18</f>
        <v>269.821283638871</v>
      </c>
      <c r="F19" s="0" t="n">
        <f aca="false">F15+F16+F17+F18</f>
        <v>269.84325292675</v>
      </c>
      <c r="G19" s="0" t="n">
        <f aca="false">G15+G16+G17+G18</f>
        <v>268.792826438844</v>
      </c>
      <c r="H19" s="0" t="n">
        <f aca="false">H15+H16+H17+H18</f>
        <v>270.529752339275</v>
      </c>
      <c r="I19" s="0" t="n">
        <f aca="false">I15+I16+I17+I18</f>
        <v>282.763342314209</v>
      </c>
      <c r="J19" s="0" t="n">
        <f aca="false">J15+J16+J17+J18</f>
        <v>288.418609160493</v>
      </c>
      <c r="K19" s="0" t="n">
        <f aca="false">K15+K16+K17+K18</f>
        <v>294.186981343703</v>
      </c>
      <c r="L19" s="0" t="n">
        <f aca="false">L15+L16+L17+L18</f>
        <v>300.070720970577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256.056496457143</v>
      </c>
      <c r="D21" s="0" t="n">
        <f aca="false">D19*D20</f>
        <v>229.025079080465</v>
      </c>
      <c r="E21" s="0" t="n">
        <f aca="false">E19*E20</f>
        <v>211.245268089847</v>
      </c>
      <c r="F21" s="0" t="n">
        <f aca="false">F19*F20</f>
        <v>194.711952095156</v>
      </c>
      <c r="G21" s="0" t="n">
        <f aca="false">G19*G20</f>
        <v>178.759439035916</v>
      </c>
      <c r="H21" s="0" t="n">
        <f aca="false">H19*H20</f>
        <v>165.81988355446</v>
      </c>
      <c r="I21" s="0" t="n">
        <f aca="false">I19*I20</f>
        <v>159.740463105868</v>
      </c>
      <c r="J21" s="0" t="n">
        <f aca="false">J19*J20</f>
        <v>150.170757942844</v>
      </c>
      <c r="K21" s="0" t="n">
        <f aca="false">K19*K20</f>
        <v>141.174353089125</v>
      </c>
      <c r="L21" s="0" t="n">
        <f aca="false">L19*L20</f>
        <v>132.716903364892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1.2</v>
      </c>
      <c r="D23" s="4" t="n">
        <f aca="false">Assumptions!D16</f>
        <v>1.2</v>
      </c>
      <c r="E23" s="4" t="n">
        <f aca="false">Assumptions!E16</f>
        <v>1.2</v>
      </c>
      <c r="F23" s="4" t="n">
        <f aca="false">Assumptions!F16</f>
        <v>1.2</v>
      </c>
      <c r="G23" s="4" t="n">
        <f aca="false">Assumptions!G16</f>
        <v>1.2</v>
      </c>
      <c r="H23" s="4" t="n">
        <f aca="false">Assumptions!H16</f>
        <v>1.2</v>
      </c>
      <c r="I23" s="4" t="n">
        <f aca="false">Assumptions!I16</f>
        <v>1.2</v>
      </c>
      <c r="J23" s="4" t="n">
        <f aca="false">Assumptions!J16</f>
        <v>1.2</v>
      </c>
      <c r="K23" s="4" t="n">
        <f aca="false">Assumptions!K16</f>
        <v>1.2</v>
      </c>
      <c r="L23" s="4" t="n">
        <f aca="false">Assumptions!L16</f>
        <v>1.2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-63.996372</v>
      </c>
      <c r="D24" s="0" t="n">
        <f aca="false">-D6*D23/100</f>
        <v>-65.5962813</v>
      </c>
      <c r="E24" s="0" t="n">
        <f aca="false">-E6*E23/100</f>
        <v>-67.2361883325</v>
      </c>
      <c r="F24" s="0" t="n">
        <f aca="false">-F6*F23/100</f>
        <v>-68.58091209915</v>
      </c>
      <c r="G24" s="0" t="n">
        <f aca="false">-G6*G23/100</f>
        <v>-69.952530341133</v>
      </c>
      <c r="H24" s="0" t="n">
        <f aca="false">-H6*H23/100</f>
        <v>-71.3515809479557</v>
      </c>
      <c r="I24" s="0" t="n">
        <f aca="false">-I6*I23/100</f>
        <v>-72.7786125669148</v>
      </c>
      <c r="J24" s="0" t="n">
        <f aca="false">-J6*J23/100</f>
        <v>-74.2341848182531</v>
      </c>
      <c r="K24" s="0" t="n">
        <f aca="false">-K6*K23/100</f>
        <v>-75.7188685146181</v>
      </c>
      <c r="L24" s="0" t="n">
        <f aca="false">-L6*L23/100</f>
        <v>-77.2332458849105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1819.42059581572</v>
      </c>
    </row>
    <row r="31" customFormat="false" ht="15" hidden="false" customHeight="false" outlineLevel="0" collapsed="false">
      <c r="A31" s="0" t="s">
        <v>125</v>
      </c>
      <c r="B31" s="0" t="n">
        <f aca="false">L19</f>
        <v>300.070720970577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4351.02545407336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3900.9193726175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3900.9193726175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1725.3197437436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3544.74033955931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3321.24033955931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663.849758057028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-0.28014556706026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125.770491513334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136.209563615781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716.214350327489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2256.08727248249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343.85300271273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6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5177.7</v>
      </c>
      <c r="C6" s="0" t="n">
        <f aca="false">B6*(1+C5/100)</f>
        <v>5488.362</v>
      </c>
      <c r="D6" s="0" t="n">
        <f aca="false">C6*(1+D5/100)</f>
        <v>5790.22191</v>
      </c>
      <c r="E6" s="0" t="n">
        <f aca="false">D6*(1+E5/100)</f>
        <v>6079.7330055</v>
      </c>
      <c r="F6" s="0" t="n">
        <f aca="false">E6*(1+F5/100)</f>
        <v>6383.719655775</v>
      </c>
      <c r="G6" s="0" t="n">
        <f aca="false">F6*(1+G5/100)</f>
        <v>6670.98704028487</v>
      </c>
      <c r="H6" s="0" t="n">
        <f aca="false">G6*(1+H5/100)</f>
        <v>6937.82652189627</v>
      </c>
      <c r="I6" s="0" t="n">
        <f aca="false">H6*(1+I5/100)</f>
        <v>7180.65045016264</v>
      </c>
      <c r="J6" s="0" t="n">
        <f aca="false">I6*(1+J5/100)</f>
        <v>7396.06996366752</v>
      </c>
      <c r="K6" s="0" t="n">
        <f aca="false">J6*(1+K5/100)</f>
        <v>7580.97171275921</v>
      </c>
      <c r="L6" s="0" t="n">
        <f aca="false">K6*(1+L5/100)</f>
        <v>7770.49600557818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11.4</v>
      </c>
      <c r="D7" s="4" t="n">
        <f aca="false">Assumptions!D28</f>
        <v>11.6</v>
      </c>
      <c r="E7" s="4" t="n">
        <f aca="false">Assumptions!E28</f>
        <v>11.8</v>
      </c>
      <c r="F7" s="4" t="n">
        <f aca="false">Assumptions!F28</f>
        <v>12</v>
      </c>
      <c r="G7" s="4" t="n">
        <f aca="false">Assumptions!G28</f>
        <v>12.1</v>
      </c>
      <c r="H7" s="4" t="n">
        <f aca="false">Assumptions!H28</f>
        <v>12.2</v>
      </c>
      <c r="I7" s="4" t="n">
        <f aca="false">Assumptions!I28</f>
        <v>12.2</v>
      </c>
      <c r="J7" s="4" t="n">
        <f aca="false">Assumptions!J28</f>
        <v>12.2</v>
      </c>
      <c r="K7" s="4" t="n">
        <f aca="false">Assumptions!K28</f>
        <v>12.2</v>
      </c>
      <c r="L7" s="4" t="n">
        <f aca="false">Assumptions!L28</f>
        <v>12.2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625.673268</v>
      </c>
      <c r="D8" s="0" t="n">
        <f aca="false">D6*D7/100</f>
        <v>671.66574156</v>
      </c>
      <c r="E8" s="0" t="n">
        <f aca="false">E6*E7/100</f>
        <v>717.408494649</v>
      </c>
      <c r="F8" s="0" t="n">
        <f aca="false">F6*F7/100</f>
        <v>766.046358693</v>
      </c>
      <c r="G8" s="0" t="n">
        <f aca="false">G6*G7/100</f>
        <v>807.18943187447</v>
      </c>
      <c r="H8" s="0" t="n">
        <f aca="false">H6*H7/100</f>
        <v>846.414835671345</v>
      </c>
      <c r="I8" s="0" t="n">
        <f aca="false">I6*I7/100</f>
        <v>876.039354919842</v>
      </c>
      <c r="J8" s="0" t="n">
        <f aca="false">J6*J7/100</f>
        <v>902.320535567437</v>
      </c>
      <c r="K8" s="0" t="n">
        <f aca="false">K6*K7/100</f>
        <v>924.878548956623</v>
      </c>
      <c r="L8" s="0" t="n">
        <f aca="false">L6*L7/100</f>
        <v>948.000512680538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0.33</v>
      </c>
      <c r="D9" s="4" t="n">
        <f aca="false">Assumptions!D29</f>
        <v>0.33</v>
      </c>
      <c r="E9" s="4" t="n">
        <f aca="false">Assumptions!E29</f>
        <v>0.33</v>
      </c>
      <c r="F9" s="4" t="n">
        <f aca="false">Assumptions!F29</f>
        <v>0.33</v>
      </c>
      <c r="G9" s="4" t="n">
        <f aca="false">Assumptions!G29</f>
        <v>0.33</v>
      </c>
      <c r="H9" s="4" t="n">
        <f aca="false">Assumptions!H29</f>
        <v>0.33</v>
      </c>
      <c r="I9" s="4" t="n">
        <f aca="false">Assumptions!I29</f>
        <v>0.33</v>
      </c>
      <c r="J9" s="4" t="n">
        <f aca="false">Assumptions!J29</f>
        <v>0.33</v>
      </c>
      <c r="K9" s="4" t="n">
        <f aca="false">Assumptions!K29</f>
        <v>0.33</v>
      </c>
      <c r="L9" s="4" t="n">
        <f aca="false">Assumptions!L29</f>
        <v>0.33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-18.1115946</v>
      </c>
      <c r="D10" s="0" t="n">
        <f aca="false">-D6*D9/100</f>
        <v>-19.107732303</v>
      </c>
      <c r="E10" s="0" t="n">
        <f aca="false">-E6*E9/100</f>
        <v>-20.06311891815</v>
      </c>
      <c r="F10" s="0" t="n">
        <f aca="false">-F6*F9/100</f>
        <v>-21.0662748640575</v>
      </c>
      <c r="G10" s="0" t="n">
        <f aca="false">-G6*G9/100</f>
        <v>-22.0142572329401</v>
      </c>
      <c r="H10" s="0" t="n">
        <f aca="false">-H6*H9/100</f>
        <v>-22.8948275222577</v>
      </c>
      <c r="I10" s="0" t="n">
        <f aca="false">-I6*I9/100</f>
        <v>-23.6961464855367</v>
      </c>
      <c r="J10" s="0" t="n">
        <f aca="false">-J6*J9/100</f>
        <v>-24.4070308801028</v>
      </c>
      <c r="K10" s="0" t="n">
        <f aca="false">-K6*K9/100</f>
        <v>-25.0172066521054</v>
      </c>
      <c r="L10" s="0" t="n">
        <f aca="false">-L6*L9/100</f>
        <v>-25.642636818408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541.7013294</v>
      </c>
      <c r="D11" s="0" t="n">
        <f aca="false">D8+D10+D24</f>
        <v>583.075346337</v>
      </c>
      <c r="E11" s="0" t="n">
        <f aca="false">E8+E10+E24</f>
        <v>624.38857966485</v>
      </c>
      <c r="F11" s="0" t="n">
        <f aca="false">F8+F10+F24</f>
        <v>668.375447959642</v>
      </c>
      <c r="G11" s="0" t="n">
        <f aca="false">G8+G10+G24</f>
        <v>705.123330158111</v>
      </c>
      <c r="H11" s="0" t="n">
        <f aca="false">H8+H10+H24</f>
        <v>740.266089886332</v>
      </c>
      <c r="I11" s="0" t="n">
        <f aca="false">I8+I10+I24</f>
        <v>766.175403032353</v>
      </c>
      <c r="J11" s="0" t="n">
        <f aca="false">J8+J10+J24</f>
        <v>789.160665123324</v>
      </c>
      <c r="K11" s="0" t="n">
        <f aca="false">K8+K10+K24</f>
        <v>808.889681751407</v>
      </c>
      <c r="L11" s="0" t="n">
        <f aca="false">L8+L10+L24</f>
        <v>829.111923795192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-93.302154</v>
      </c>
      <c r="D12" s="4" t="n">
        <f aca="false">-D6*Assumptions!D31/100</f>
        <v>-101.328883425</v>
      </c>
      <c r="E12" s="4" t="n">
        <f aca="false">-E6*Assumptions!E31/100</f>
        <v>-109.435194099</v>
      </c>
      <c r="F12" s="4" t="n">
        <f aca="false">-F6*Assumptions!F31/100</f>
        <v>-118.098813631837</v>
      </c>
      <c r="G12" s="4" t="n">
        <f aca="false">-G6*Assumptions!G31/100</f>
        <v>-126.748753765413</v>
      </c>
      <c r="H12" s="4" t="n">
        <f aca="false">-H6*Assumptions!H31/100</f>
        <v>-135.287617176977</v>
      </c>
      <c r="I12" s="4" t="n">
        <f aca="false">-I6*Assumptions!I31/100</f>
        <v>-143.613009003253</v>
      </c>
      <c r="J12" s="4" t="n">
        <f aca="false">-J6*Assumptions!J31/100</f>
        <v>-147.92139927335</v>
      </c>
      <c r="K12" s="4" t="n">
        <f aca="false">-K6*Assumptions!K31/100</f>
        <v>-151.619434255184</v>
      </c>
      <c r="L12" s="4" t="n">
        <f aca="false">-L6*Assumptions!L31/100</f>
        <v>-155.409920111564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448.3991754</v>
      </c>
      <c r="D13" s="0" t="n">
        <f aca="false">D11+D12</f>
        <v>481.746462912</v>
      </c>
      <c r="E13" s="0" t="n">
        <f aca="false">E11+E12</f>
        <v>514.95338556585</v>
      </c>
      <c r="F13" s="0" t="n">
        <f aca="false">F11+F12</f>
        <v>550.276634327805</v>
      </c>
      <c r="G13" s="0" t="n">
        <f aca="false">G11+G12</f>
        <v>578.374576392699</v>
      </c>
      <c r="H13" s="0" t="n">
        <f aca="false">H11+H12</f>
        <v>604.978472709355</v>
      </c>
      <c r="I13" s="0" t="n">
        <f aca="false">I11+I12</f>
        <v>622.562394029101</v>
      </c>
      <c r="J13" s="0" t="n">
        <f aca="false">J11+J12</f>
        <v>641.239265849974</v>
      </c>
      <c r="K13" s="0" t="n">
        <f aca="false">K11+K12</f>
        <v>657.270247496223</v>
      </c>
      <c r="L13" s="0" t="n">
        <f aca="false">L11+L12</f>
        <v>673.702003683628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12</v>
      </c>
      <c r="D14" s="4" t="n">
        <f aca="false">Assumptions!D33</f>
        <v>15</v>
      </c>
      <c r="E14" s="4" t="n">
        <f aca="false">Assumptions!E33</f>
        <v>18</v>
      </c>
      <c r="F14" s="4" t="n">
        <f aca="false">Assumptions!F33</f>
        <v>21</v>
      </c>
      <c r="G14" s="4" t="n">
        <f aca="false">Assumptions!G33</f>
        <v>24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394.591274352</v>
      </c>
      <c r="D15" s="0" t="n">
        <f aca="false">D13-MAX(0,D13)*D14/100</f>
        <v>409.4844934752</v>
      </c>
      <c r="E15" s="0" t="n">
        <f aca="false">E13-MAX(0,E13)*E14/100</f>
        <v>422.261776163997</v>
      </c>
      <c r="F15" s="0" t="n">
        <f aca="false">F13-MAX(0,F13)*F14/100</f>
        <v>434.718541118966</v>
      </c>
      <c r="G15" s="0" t="n">
        <f aca="false">G13-MAX(0,G13)*G14/100</f>
        <v>439.564678058451</v>
      </c>
      <c r="H15" s="0" t="n">
        <f aca="false">H13-MAX(0,H13)*H14/100</f>
        <v>453.733854532016</v>
      </c>
      <c r="I15" s="0" t="n">
        <f aca="false">I13-MAX(0,I13)*I14/100</f>
        <v>466.921795521825</v>
      </c>
      <c r="J15" s="0" t="n">
        <f aca="false">J13-MAX(0,J13)*J14/100</f>
        <v>480.92944938748</v>
      </c>
      <c r="K15" s="0" t="n">
        <f aca="false">K13-MAX(0,K13)*K14/100</f>
        <v>492.952685622167</v>
      </c>
      <c r="L15" s="0" t="n">
        <f aca="false">L13-MAX(0,L13)*L14/100</f>
        <v>505.276502762721</v>
      </c>
    </row>
    <row r="16" customFormat="false" ht="15" hidden="false" customHeight="false" outlineLevel="0" collapsed="false">
      <c r="A16" s="0" t="s">
        <v>116</v>
      </c>
      <c r="C16" s="0" t="n">
        <f aca="false">-C12</f>
        <v>93.302154</v>
      </c>
      <c r="D16" s="0" t="n">
        <f aca="false">-D12</f>
        <v>101.328883425</v>
      </c>
      <c r="E16" s="0" t="n">
        <f aca="false">-E12</f>
        <v>109.435194099</v>
      </c>
      <c r="F16" s="0" t="n">
        <f aca="false">-F12</f>
        <v>118.098813631837</v>
      </c>
      <c r="G16" s="0" t="n">
        <f aca="false">-G12</f>
        <v>126.748753765413</v>
      </c>
      <c r="H16" s="0" t="n">
        <f aca="false">-H12</f>
        <v>135.287617176977</v>
      </c>
      <c r="I16" s="0" t="n">
        <f aca="false">-I12</f>
        <v>143.613009003253</v>
      </c>
      <c r="J16" s="0" t="n">
        <f aca="false">-J12</f>
        <v>147.92139927335</v>
      </c>
      <c r="K16" s="0" t="n">
        <f aca="false">-K12</f>
        <v>151.619434255184</v>
      </c>
      <c r="L16" s="0" t="n">
        <f aca="false">-L12</f>
        <v>155.409920111564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-142.697412</v>
      </c>
      <c r="D17" s="4" t="n">
        <f aca="false">-D6*Assumptions!D32/100</f>
        <v>-150.54576966</v>
      </c>
      <c r="E17" s="4" t="n">
        <f aca="false">-E6*Assumptions!E32/100</f>
        <v>-151.9933251375</v>
      </c>
      <c r="F17" s="4" t="n">
        <f aca="false">-F6*Assumptions!F32/100</f>
        <v>-159.592991394375</v>
      </c>
      <c r="G17" s="4" t="n">
        <f aca="false">-G6*Assumptions!G32/100</f>
        <v>-160.103688966837</v>
      </c>
      <c r="H17" s="4" t="n">
        <f aca="false">-H6*Assumptions!H32/100</f>
        <v>-166.50783652551</v>
      </c>
      <c r="I17" s="4" t="n">
        <f aca="false">-I6*Assumptions!I32/100</f>
        <v>-165.154960353741</v>
      </c>
      <c r="J17" s="4" t="n">
        <f aca="false">-J6*Assumptions!J32/100</f>
        <v>-170.109609164353</v>
      </c>
      <c r="K17" s="4" t="n">
        <f aca="false">-K6*Assumptions!K32/100</f>
        <v>-174.362349393462</v>
      </c>
      <c r="L17" s="4" t="n">
        <f aca="false">-L6*Assumptions!L32/100</f>
        <v>-178.721408128298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-46.5993</v>
      </c>
      <c r="D18" s="4" t="n">
        <f aca="false">(D6-C6)*Assumptions!$B$37/100</f>
        <v>-45.2789864999999</v>
      </c>
      <c r="E18" s="4" t="n">
        <f aca="false">(E6-D6)*Assumptions!$B$37/100</f>
        <v>-43.426664325</v>
      </c>
      <c r="F18" s="4" t="n">
        <f aca="false">(F6-E6)*Assumptions!$B$37/100</f>
        <v>-45.59799754125</v>
      </c>
      <c r="G18" s="4" t="n">
        <f aca="false">(G6-F6)*Assumptions!$B$37/100</f>
        <v>-43.0901076764811</v>
      </c>
      <c r="H18" s="4" t="n">
        <f aca="false">(H6-G6)*Assumptions!$B$37/100</f>
        <v>-40.0259222417093</v>
      </c>
      <c r="I18" s="4" t="n">
        <f aca="false">(I6-H6)*Assumptions!$B$37/100</f>
        <v>-36.4235892399554</v>
      </c>
      <c r="J18" s="4" t="n">
        <f aca="false">(J6-I6)*Assumptions!$B$37/100</f>
        <v>-32.3129270257319</v>
      </c>
      <c r="K18" s="4" t="n">
        <f aca="false">(K6-J6)*Assumptions!$B$37/100</f>
        <v>-27.7352623637531</v>
      </c>
      <c r="L18" s="4" t="n">
        <f aca="false">(L6-K6)*Assumptions!$B$37/100</f>
        <v>-28.4286439228469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298.596716352</v>
      </c>
      <c r="D19" s="0" t="n">
        <f aca="false">D15+D16+D17+D18</f>
        <v>314.9886207402</v>
      </c>
      <c r="E19" s="0" t="n">
        <f aca="false">E15+E16+E17+E18</f>
        <v>336.276980800497</v>
      </c>
      <c r="F19" s="0" t="n">
        <f aca="false">F15+F16+F17+F18</f>
        <v>347.626365815178</v>
      </c>
      <c r="G19" s="0" t="n">
        <f aca="false">G15+G16+G17+G18</f>
        <v>363.119635180545</v>
      </c>
      <c r="H19" s="0" t="n">
        <f aca="false">H15+H16+H17+H18</f>
        <v>382.487712941773</v>
      </c>
      <c r="I19" s="0" t="n">
        <f aca="false">I15+I16+I17+I18</f>
        <v>408.956254931382</v>
      </c>
      <c r="J19" s="0" t="n">
        <f aca="false">J15+J16+J17+J18</f>
        <v>426.428312470746</v>
      </c>
      <c r="K19" s="0" t="n">
        <f aca="false">K15+K16+K17+K18</f>
        <v>442.474508120136</v>
      </c>
      <c r="L19" s="0" t="n">
        <f aca="false">L15+L16+L17+L18</f>
        <v>453.53637082314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275.204346868203</v>
      </c>
      <c r="D21" s="0" t="n">
        <f aca="false">D19*D20</f>
        <v>267.568749168766</v>
      </c>
      <c r="E21" s="0" t="n">
        <f aca="false">E19*E20</f>
        <v>263.273971584544</v>
      </c>
      <c r="F21" s="0" t="n">
        <f aca="false">F19*F20</f>
        <v>250.838246105757</v>
      </c>
      <c r="G21" s="0" t="n">
        <f aca="false">G19*G20</f>
        <v>241.491051482988</v>
      </c>
      <c r="H21" s="0" t="n">
        <f aca="false">H19*H20</f>
        <v>234.443965858053</v>
      </c>
      <c r="I21" s="0" t="n">
        <f aca="false">I19*I20</f>
        <v>231.030164724071</v>
      </c>
      <c r="J21" s="0" t="n">
        <f aca="false">J19*J20</f>
        <v>222.028193944954</v>
      </c>
      <c r="K21" s="0" t="n">
        <f aca="false">K19*K20</f>
        <v>212.334523291869</v>
      </c>
      <c r="L21" s="0" t="n">
        <f aca="false">L19*L20</f>
        <v>200.59252200384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1.2</v>
      </c>
      <c r="D23" s="4" t="n">
        <f aca="false">Assumptions!D30</f>
        <v>1.2</v>
      </c>
      <c r="E23" s="4" t="n">
        <f aca="false">Assumptions!E30</f>
        <v>1.2</v>
      </c>
      <c r="F23" s="4" t="n">
        <f aca="false">Assumptions!F30</f>
        <v>1.2</v>
      </c>
      <c r="G23" s="4" t="n">
        <f aca="false">Assumptions!G30</f>
        <v>1.2</v>
      </c>
      <c r="H23" s="4" t="n">
        <f aca="false">Assumptions!H30</f>
        <v>1.2</v>
      </c>
      <c r="I23" s="4" t="n">
        <f aca="false">Assumptions!I30</f>
        <v>1.2</v>
      </c>
      <c r="J23" s="4" t="n">
        <f aca="false">Assumptions!J30</f>
        <v>1.2</v>
      </c>
      <c r="K23" s="4" t="n">
        <f aca="false">Assumptions!K30</f>
        <v>1.2</v>
      </c>
      <c r="L23" s="4" t="n">
        <f aca="false">Assumptions!L30</f>
        <v>1.2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-65.860344</v>
      </c>
      <c r="D24" s="0" t="n">
        <f aca="false">-D6*D23/100</f>
        <v>-69.48266292</v>
      </c>
      <c r="E24" s="0" t="n">
        <f aca="false">-E6*E23/100</f>
        <v>-72.956796066</v>
      </c>
      <c r="F24" s="0" t="n">
        <f aca="false">-F6*F23/100</f>
        <v>-76.6046358693</v>
      </c>
      <c r="G24" s="0" t="n">
        <f aca="false">-G6*G23/100</f>
        <v>-80.0518444834185</v>
      </c>
      <c r="H24" s="0" t="n">
        <f aca="false">-H6*H23/100</f>
        <v>-83.2539182627552</v>
      </c>
      <c r="I24" s="0" t="n">
        <f aca="false">-I6*I23/100</f>
        <v>-86.1678054019516</v>
      </c>
      <c r="J24" s="0" t="n">
        <f aca="false">-J6*J23/100</f>
        <v>-88.7528395640102</v>
      </c>
      <c r="K24" s="0" t="n">
        <f aca="false">-K6*K23/100</f>
        <v>-90.9716605531105</v>
      </c>
      <c r="L24" s="0" t="n">
        <f aca="false">-L6*L23/100</f>
        <v>-93.2459520669382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2398.80573503305</v>
      </c>
    </row>
    <row r="31" customFormat="false" ht="15" hidden="false" customHeight="false" outlineLevel="0" collapsed="false">
      <c r="A31" s="0" t="s">
        <v>125</v>
      </c>
      <c r="B31" s="0" t="n">
        <f aca="false">L19</f>
        <v>453.53637082314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7117.03228060927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6803.0455623471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6803.0455623471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3008.8878300576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5407.69356509064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5184.19356509064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1036.21698282843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0.123635852123651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141.947277901635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177.972177741959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1100.16250664286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3558.51614030464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489.850797818681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8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5177.7</v>
      </c>
      <c r="C6" s="0" t="n">
        <f aca="false">B6*(1+C5/100)</f>
        <v>5591.916</v>
      </c>
      <c r="D6" s="0" t="n">
        <f aca="false">C6*(1+D5/100)</f>
        <v>6039.26928</v>
      </c>
      <c r="E6" s="0" t="n">
        <f aca="false">D6*(1+E5/100)</f>
        <v>6462.0181296</v>
      </c>
      <c r="F6" s="0" t="n">
        <f aca="false">E6*(1+F5/100)</f>
        <v>6914.359398672</v>
      </c>
      <c r="G6" s="0" t="n">
        <f aca="false">F6*(1+G5/100)</f>
        <v>7329.22096259232</v>
      </c>
      <c r="H6" s="0" t="n">
        <f aca="false">G6*(1+H5/100)</f>
        <v>7732.3281155349</v>
      </c>
      <c r="I6" s="0" t="n">
        <f aca="false">H6*(1+I5/100)</f>
        <v>8118.94452131165</v>
      </c>
      <c r="J6" s="0" t="n">
        <f aca="false">I6*(1+J5/100)</f>
        <v>8443.70230216411</v>
      </c>
      <c r="K6" s="0" t="n">
        <f aca="false">J6*(1+K5/100)</f>
        <v>8739.23188273985</v>
      </c>
      <c r="L6" s="0" t="n">
        <f aca="false">K6*(1+L5/100)</f>
        <v>9001.40883922205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11.5</v>
      </c>
      <c r="D7" s="4" t="n">
        <f aca="false">Assumptions!D42</f>
        <v>11.9</v>
      </c>
      <c r="E7" s="4" t="n">
        <f aca="false">Assumptions!E42</f>
        <v>12.3</v>
      </c>
      <c r="F7" s="4" t="n">
        <f aca="false">Assumptions!F42</f>
        <v>12.7</v>
      </c>
      <c r="G7" s="4" t="n">
        <f aca="false">Assumptions!G42</f>
        <v>13</v>
      </c>
      <c r="H7" s="4" t="n">
        <f aca="false">Assumptions!H42</f>
        <v>13.2</v>
      </c>
      <c r="I7" s="4" t="n">
        <f aca="false">Assumptions!I42</f>
        <v>13.3</v>
      </c>
      <c r="J7" s="4" t="n">
        <f aca="false">Assumptions!J42</f>
        <v>13.3</v>
      </c>
      <c r="K7" s="4" t="n">
        <f aca="false">Assumptions!K42</f>
        <v>13.3</v>
      </c>
      <c r="L7" s="4" t="n">
        <f aca="false">Assumptions!L42</f>
        <v>13.3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643.07034</v>
      </c>
      <c r="D8" s="0" t="n">
        <f aca="false">D6*D7/100</f>
        <v>718.67304432</v>
      </c>
      <c r="E8" s="0" t="n">
        <f aca="false">E6*E7/100</f>
        <v>794.8282299408</v>
      </c>
      <c r="F8" s="0" t="n">
        <f aca="false">F6*F7/100</f>
        <v>878.123643631344</v>
      </c>
      <c r="G8" s="0" t="n">
        <f aca="false">G6*G7/100</f>
        <v>952.798725137002</v>
      </c>
      <c r="H8" s="0" t="n">
        <f aca="false">H6*H7/100</f>
        <v>1020.66731125061</v>
      </c>
      <c r="I8" s="0" t="n">
        <f aca="false">I6*I7/100</f>
        <v>1079.81962133445</v>
      </c>
      <c r="J8" s="0" t="n">
        <f aca="false">J6*J7/100</f>
        <v>1123.01240618783</v>
      </c>
      <c r="K8" s="0" t="n">
        <f aca="false">K6*K7/100</f>
        <v>1162.3178404044</v>
      </c>
      <c r="L8" s="0" t="n">
        <f aca="false">L6*L7/100</f>
        <v>1197.18737561653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0.33</v>
      </c>
      <c r="D9" s="4" t="n">
        <f aca="false">Assumptions!D43</f>
        <v>0.33</v>
      </c>
      <c r="E9" s="4" t="n">
        <f aca="false">Assumptions!E43</f>
        <v>0.33</v>
      </c>
      <c r="F9" s="4" t="n">
        <f aca="false">Assumptions!F43</f>
        <v>0.33</v>
      </c>
      <c r="G9" s="4" t="n">
        <f aca="false">Assumptions!G43</f>
        <v>0.33</v>
      </c>
      <c r="H9" s="4" t="n">
        <f aca="false">Assumptions!H43</f>
        <v>0.33</v>
      </c>
      <c r="I9" s="4" t="n">
        <f aca="false">Assumptions!I43</f>
        <v>0.33</v>
      </c>
      <c r="J9" s="4" t="n">
        <f aca="false">Assumptions!J43</f>
        <v>0.33</v>
      </c>
      <c r="K9" s="4" t="n">
        <f aca="false">Assumptions!K43</f>
        <v>0.33</v>
      </c>
      <c r="L9" s="4" t="n">
        <f aca="false">Assumptions!L43</f>
        <v>0.33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-18.4533228</v>
      </c>
      <c r="D10" s="0" t="n">
        <f aca="false">-D6*D9/100</f>
        <v>-19.929588624</v>
      </c>
      <c r="E10" s="0" t="n">
        <f aca="false">-E6*E9/100</f>
        <v>-21.32465982768</v>
      </c>
      <c r="F10" s="0" t="n">
        <f aca="false">-F6*F9/100</f>
        <v>-22.8173860156176</v>
      </c>
      <c r="G10" s="0" t="n">
        <f aca="false">-G6*G9/100</f>
        <v>-24.1864291765547</v>
      </c>
      <c r="H10" s="0" t="n">
        <f aca="false">-H6*H9/100</f>
        <v>-25.5166827812652</v>
      </c>
      <c r="I10" s="0" t="n">
        <f aca="false">-I6*I9/100</f>
        <v>-26.7925169203284</v>
      </c>
      <c r="J10" s="0" t="n">
        <f aca="false">-J6*J9/100</f>
        <v>-27.8642175971416</v>
      </c>
      <c r="K10" s="0" t="n">
        <f aca="false">-K6*K9/100</f>
        <v>-28.8394652130415</v>
      </c>
      <c r="L10" s="0" t="n">
        <f aca="false">-L6*L9/100</f>
        <v>-29.7046491694328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557.5140252</v>
      </c>
      <c r="D11" s="0" t="n">
        <f aca="false">D8+D10+D24</f>
        <v>626.272224336</v>
      </c>
      <c r="E11" s="0" t="n">
        <f aca="false">E8+E10+E24</f>
        <v>695.95935255792</v>
      </c>
      <c r="F11" s="0" t="n">
        <f aca="false">F8+F10+F24</f>
        <v>772.333944831663</v>
      </c>
      <c r="G11" s="0" t="n">
        <f aca="false">G8+G10+G24</f>
        <v>840.661644409339</v>
      </c>
      <c r="H11" s="0" t="n">
        <f aca="false">H8+H10+H24</f>
        <v>902.362691082923</v>
      </c>
      <c r="I11" s="0" t="n">
        <f aca="false">I8+I10+I24</f>
        <v>955.599770158381</v>
      </c>
      <c r="J11" s="0" t="n">
        <f aca="false">J8+J10+J24</f>
        <v>993.823760964716</v>
      </c>
      <c r="K11" s="0" t="n">
        <f aca="false">K8+K10+K24</f>
        <v>1028.60759259848</v>
      </c>
      <c r="L11" s="0" t="n">
        <f aca="false">L8+L10+L24</f>
        <v>1059.46582037644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-95.062572</v>
      </c>
      <c r="D12" s="4" t="n">
        <f aca="false">-D6*Assumptions!D45/100</f>
        <v>-105.6872124</v>
      </c>
      <c r="E12" s="4" t="n">
        <f aca="false">-E6*Assumptions!E45/100</f>
        <v>-116.3163263328</v>
      </c>
      <c r="F12" s="4" t="n">
        <f aca="false">-F6*Assumptions!F45/100</f>
        <v>-127.915648875432</v>
      </c>
      <c r="G12" s="4" t="n">
        <f aca="false">-G6*Assumptions!G45/100</f>
        <v>-139.255198289254</v>
      </c>
      <c r="H12" s="4" t="n">
        <f aca="false">-H6*Assumptions!H45/100</f>
        <v>-150.780398252931</v>
      </c>
      <c r="I12" s="4" t="n">
        <f aca="false">-I6*Assumptions!I45/100</f>
        <v>-162.378890426233</v>
      </c>
      <c r="J12" s="4" t="n">
        <f aca="false">-J6*Assumptions!J45/100</f>
        <v>-168.874046043282</v>
      </c>
      <c r="K12" s="4" t="n">
        <f aca="false">-K6*Assumptions!K45/100</f>
        <v>-174.784637654797</v>
      </c>
      <c r="L12" s="4" t="n">
        <f aca="false">-L6*Assumptions!L45/100</f>
        <v>-180.028176784441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462.4514532</v>
      </c>
      <c r="D13" s="0" t="n">
        <f aca="false">D11+D12</f>
        <v>520.585011936</v>
      </c>
      <c r="E13" s="0" t="n">
        <f aca="false">E11+E12</f>
        <v>579.64302622512</v>
      </c>
      <c r="F13" s="0" t="n">
        <f aca="false">F11+F12</f>
        <v>644.418295956231</v>
      </c>
      <c r="G13" s="0" t="n">
        <f aca="false">G11+G12</f>
        <v>701.406446120085</v>
      </c>
      <c r="H13" s="0" t="n">
        <f aca="false">H11+H12</f>
        <v>751.582292829992</v>
      </c>
      <c r="I13" s="0" t="n">
        <f aca="false">I11+I12</f>
        <v>793.220879732148</v>
      </c>
      <c r="J13" s="0" t="n">
        <f aca="false">J11+J12</f>
        <v>824.949714921434</v>
      </c>
      <c r="K13" s="0" t="n">
        <f aca="false">K11+K12</f>
        <v>853.822954943684</v>
      </c>
      <c r="L13" s="0" t="n">
        <f aca="false">L11+L12</f>
        <v>879.437643591994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12</v>
      </c>
      <c r="D14" s="4" t="n">
        <f aca="false">Assumptions!D47</f>
        <v>15</v>
      </c>
      <c r="E14" s="4" t="n">
        <f aca="false">Assumptions!E47</f>
        <v>18</v>
      </c>
      <c r="F14" s="4" t="n">
        <f aca="false">Assumptions!F47</f>
        <v>21</v>
      </c>
      <c r="G14" s="4" t="n">
        <f aca="false">Assumptions!G47</f>
        <v>24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406.957278816</v>
      </c>
      <c r="D15" s="0" t="n">
        <f aca="false">D13-MAX(0,D13)*D14/100</f>
        <v>442.4972601456</v>
      </c>
      <c r="E15" s="0" t="n">
        <f aca="false">E13-MAX(0,E13)*E14/100</f>
        <v>475.307281504599</v>
      </c>
      <c r="F15" s="0" t="n">
        <f aca="false">F13-MAX(0,F13)*F14/100</f>
        <v>509.090453805422</v>
      </c>
      <c r="G15" s="0" t="n">
        <f aca="false">G13-MAX(0,G13)*G14/100</f>
        <v>533.068899051265</v>
      </c>
      <c r="H15" s="0" t="n">
        <f aca="false">H13-MAX(0,H13)*H14/100</f>
        <v>563.686719622494</v>
      </c>
      <c r="I15" s="0" t="n">
        <f aca="false">I13-MAX(0,I13)*I14/100</f>
        <v>594.915659799111</v>
      </c>
      <c r="J15" s="0" t="n">
        <f aca="false">J13-MAX(0,J13)*J14/100</f>
        <v>618.712286191076</v>
      </c>
      <c r="K15" s="0" t="n">
        <f aca="false">K13-MAX(0,K13)*K14/100</f>
        <v>640.367216207763</v>
      </c>
      <c r="L15" s="0" t="n">
        <f aca="false">L13-MAX(0,L13)*L14/100</f>
        <v>659.578232693996</v>
      </c>
    </row>
    <row r="16" customFormat="false" ht="15" hidden="false" customHeight="false" outlineLevel="0" collapsed="false">
      <c r="A16" s="0" t="s">
        <v>116</v>
      </c>
      <c r="C16" s="0" t="n">
        <f aca="false">-C12</f>
        <v>95.062572</v>
      </c>
      <c r="D16" s="0" t="n">
        <f aca="false">-D12</f>
        <v>105.6872124</v>
      </c>
      <c r="E16" s="0" t="n">
        <f aca="false">-E12</f>
        <v>116.3163263328</v>
      </c>
      <c r="F16" s="0" t="n">
        <f aca="false">-F12</f>
        <v>127.915648875432</v>
      </c>
      <c r="G16" s="0" t="n">
        <f aca="false">-G12</f>
        <v>139.255198289254</v>
      </c>
      <c r="H16" s="0" t="n">
        <f aca="false">-H12</f>
        <v>150.780398252931</v>
      </c>
      <c r="I16" s="0" t="n">
        <f aca="false">-I12</f>
        <v>162.378890426233</v>
      </c>
      <c r="J16" s="0" t="n">
        <f aca="false">-J12</f>
        <v>168.874046043282</v>
      </c>
      <c r="K16" s="0" t="n">
        <f aca="false">-K12</f>
        <v>174.784637654797</v>
      </c>
      <c r="L16" s="0" t="n">
        <f aca="false">-L12</f>
        <v>180.028176784441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-145.389816</v>
      </c>
      <c r="D17" s="4" t="n">
        <f aca="false">-D6*Assumptions!D46/100</f>
        <v>-157.02100128</v>
      </c>
      <c r="E17" s="4" t="n">
        <f aca="false">-E6*Assumptions!E46/100</f>
        <v>-161.55045324</v>
      </c>
      <c r="F17" s="4" t="n">
        <f aca="false">-F6*Assumptions!F46/100</f>
        <v>-172.8589849668</v>
      </c>
      <c r="G17" s="4" t="n">
        <f aca="false">-G6*Assumptions!G46/100</f>
        <v>-175.901303102216</v>
      </c>
      <c r="H17" s="4" t="n">
        <f aca="false">-H6*Assumptions!H46/100</f>
        <v>-185.575874772838</v>
      </c>
      <c r="I17" s="4" t="n">
        <f aca="false">-I6*Assumptions!I46/100</f>
        <v>-186.735723990168</v>
      </c>
      <c r="J17" s="4" t="n">
        <f aca="false">-J6*Assumptions!J46/100</f>
        <v>-194.205152949775</v>
      </c>
      <c r="K17" s="4" t="n">
        <f aca="false">-K6*Assumptions!K46/100</f>
        <v>-201.002333303017</v>
      </c>
      <c r="L17" s="4" t="n">
        <f aca="false">-L6*Assumptions!L46/100</f>
        <v>-207.032403302107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-20.7108</v>
      </c>
      <c r="D18" s="4" t="n">
        <f aca="false">(D6-C6)*Assumptions!$B$51/100</f>
        <v>-22.367664</v>
      </c>
      <c r="E18" s="4" t="n">
        <f aca="false">(E6-D6)*Assumptions!$B$51/100</f>
        <v>-21.13744248</v>
      </c>
      <c r="F18" s="4" t="n">
        <f aca="false">(F6-E6)*Assumptions!$B$51/100</f>
        <v>-22.6170634536</v>
      </c>
      <c r="G18" s="4" t="n">
        <f aca="false">(G6-F6)*Assumptions!$B$51/100</f>
        <v>-20.743078196016</v>
      </c>
      <c r="H18" s="4" t="n">
        <f aca="false">(H6-G6)*Assumptions!$B$51/100</f>
        <v>-20.1553576471289</v>
      </c>
      <c r="I18" s="4" t="n">
        <f aca="false">(I6-H6)*Assumptions!$B$51/100</f>
        <v>-19.3308202888373</v>
      </c>
      <c r="J18" s="4" t="n">
        <f aca="false">(J6-I6)*Assumptions!$B$51/100</f>
        <v>-16.2378890426233</v>
      </c>
      <c r="K18" s="4" t="n">
        <f aca="false">(K6-J6)*Assumptions!$B$51/100</f>
        <v>-14.7764790287872</v>
      </c>
      <c r="L18" s="4" t="n">
        <f aca="false">(L6-K6)*Assumptions!$B$51/100</f>
        <v>-13.1088478241098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335.919234816</v>
      </c>
      <c r="D19" s="0" t="n">
        <f aca="false">D15+D16+D17+D18</f>
        <v>368.7958072656</v>
      </c>
      <c r="E19" s="0" t="n">
        <f aca="false">E15+E16+E17+E18</f>
        <v>408.935712117399</v>
      </c>
      <c r="F19" s="0" t="n">
        <f aca="false">F15+F16+F17+F18</f>
        <v>441.530054260454</v>
      </c>
      <c r="G19" s="0" t="n">
        <f aca="false">G15+G16+G17+G18</f>
        <v>475.679716042287</v>
      </c>
      <c r="H19" s="0" t="n">
        <f aca="false">H15+H16+H17+H18</f>
        <v>508.735885455458</v>
      </c>
      <c r="I19" s="0" t="n">
        <f aca="false">I15+I16+I17+I18</f>
        <v>551.228005946339</v>
      </c>
      <c r="J19" s="0" t="n">
        <f aca="false">J15+J16+J17+J18</f>
        <v>577.14329024196</v>
      </c>
      <c r="K19" s="0" t="n">
        <f aca="false">K15+K16+K17+K18</f>
        <v>599.373041530756</v>
      </c>
      <c r="L19" s="0" t="n">
        <f aca="false">L15+L16+L17+L18</f>
        <v>619.46515835222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309.602981397235</v>
      </c>
      <c r="D21" s="0" t="n">
        <f aca="false">D19*D20</f>
        <v>313.275548230457</v>
      </c>
      <c r="E21" s="0" t="n">
        <f aca="false">E19*E20</f>
        <v>320.159080754249</v>
      </c>
      <c r="F21" s="0" t="n">
        <f aca="false">F19*F20</f>
        <v>318.596732885778</v>
      </c>
      <c r="G21" s="0" t="n">
        <f aca="false">G19*G20</f>
        <v>316.348618105066</v>
      </c>
      <c r="H21" s="0" t="n">
        <f aca="false">H19*H20</f>
        <v>311.827163396076</v>
      </c>
      <c r="I21" s="0" t="n">
        <f aca="false">I19*I20</f>
        <v>311.403225842998</v>
      </c>
      <c r="J21" s="0" t="n">
        <f aca="false">J19*J20</f>
        <v>300.500878183743</v>
      </c>
      <c r="K21" s="0" t="n">
        <f aca="false">K19*K20</f>
        <v>287.626940562362</v>
      </c>
      <c r="L21" s="0" t="n">
        <f aca="false">L19*L20</f>
        <v>273.980404662708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1.2</v>
      </c>
      <c r="D23" s="4" t="n">
        <f aca="false">Assumptions!D44</f>
        <v>1.2</v>
      </c>
      <c r="E23" s="4" t="n">
        <f aca="false">Assumptions!E44</f>
        <v>1.2</v>
      </c>
      <c r="F23" s="4" t="n">
        <f aca="false">Assumptions!F44</f>
        <v>1.2</v>
      </c>
      <c r="G23" s="4" t="n">
        <f aca="false">Assumptions!G44</f>
        <v>1.2</v>
      </c>
      <c r="H23" s="4" t="n">
        <f aca="false">Assumptions!H44</f>
        <v>1.2</v>
      </c>
      <c r="I23" s="4" t="n">
        <f aca="false">Assumptions!I44</f>
        <v>1.2</v>
      </c>
      <c r="J23" s="4" t="n">
        <f aca="false">Assumptions!J44</f>
        <v>1.2</v>
      </c>
      <c r="K23" s="4" t="n">
        <f aca="false">Assumptions!K44</f>
        <v>1.2</v>
      </c>
      <c r="L23" s="4" t="n">
        <f aca="false">Assumptions!L44</f>
        <v>1.2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-67.102992</v>
      </c>
      <c r="D24" s="0" t="n">
        <f aca="false">-D6*D23/100</f>
        <v>-72.47123136</v>
      </c>
      <c r="E24" s="0" t="n">
        <f aca="false">-E6*E23/100</f>
        <v>-77.5442175552</v>
      </c>
      <c r="F24" s="0" t="n">
        <f aca="false">-F6*F23/100</f>
        <v>-82.972312784064</v>
      </c>
      <c r="G24" s="0" t="n">
        <f aca="false">-G6*G23/100</f>
        <v>-87.9506515511079</v>
      </c>
      <c r="H24" s="0" t="n">
        <f aca="false">-H6*H23/100</f>
        <v>-92.7879373864188</v>
      </c>
      <c r="I24" s="0" t="n">
        <f aca="false">-I6*I23/100</f>
        <v>-97.4273342557397</v>
      </c>
      <c r="J24" s="0" t="n">
        <f aca="false">-J6*J23/100</f>
        <v>-101.324427625969</v>
      </c>
      <c r="K24" s="0" t="n">
        <f aca="false">-K6*K23/100</f>
        <v>-104.870782592878</v>
      </c>
      <c r="L24" s="0" t="n">
        <f aca="false">-L6*L23/100</f>
        <v>-108.016906070665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3063.32157402067</v>
      </c>
    </row>
    <row r="31" customFormat="false" ht="15" hidden="false" customHeight="false" outlineLevel="0" collapsed="false">
      <c r="A31" s="0" t="s">
        <v>125</v>
      </c>
      <c r="B31" s="0" t="n">
        <f aca="false">L19</f>
        <v>619.46515835222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10582.5297885171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10530.9076919877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10530.9076919877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4657.66687926603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7720.9884532867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7497.4884532867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1498.59853153842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0.625025516740856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155.443304418959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224.439690226477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1574.52957184332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5079.6142984882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659.650720554173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663.849758057028</v>
      </c>
      <c r="C4" s="0" t="n">
        <f aca="false">B4/Assumptions!$B$2-1</f>
        <v>-0.28014556706026</v>
      </c>
      <c r="D4" s="4" t="n">
        <f aca="false">Assumptions!$B$24</f>
        <v>0.25</v>
      </c>
      <c r="E4" s="4" t="n">
        <f aca="false">DCF_Bear!$B$43</f>
        <v>716.214350327489</v>
      </c>
      <c r="F4" s="4" t="n">
        <f aca="false">DCF_Bear!$B$47</f>
        <v>343.85300271273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1036.21698282843</v>
      </c>
      <c r="C5" s="0" t="n">
        <f aca="false">B5/Assumptions!$B$2-1</f>
        <v>0.123635852123651</v>
      </c>
      <c r="D5" s="4" t="n">
        <f aca="false">Assumptions!$B$38</f>
        <v>0.5</v>
      </c>
      <c r="E5" s="4" t="n">
        <f aca="false">DCF_Base!$B$43</f>
        <v>1100.16250664286</v>
      </c>
      <c r="F5" s="4" t="n">
        <f aca="false">DCF_Base!$B$47</f>
        <v>489.850797818681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1498.59853153842</v>
      </c>
      <c r="C6" s="0" t="n">
        <f aca="false">B6/Assumptions!$B$2-1</f>
        <v>0.625025516740856</v>
      </c>
      <c r="D6" s="4" t="n">
        <f aca="false">Assumptions!$B$52</f>
        <v>0.25</v>
      </c>
      <c r="E6" s="4" t="n">
        <f aca="false">DCF_Bull!$B$43</f>
        <v>1574.52957184332</v>
      </c>
      <c r="F6" s="4" t="n">
        <f aca="false">DCF_Bull!$B$47</f>
        <v>659.650720554173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1058.72056381308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1122.76723386413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0.128948627692076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-213.157942019853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495.801329726066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1036.21698282843</v>
      </c>
      <c r="C15" s="3" t="n">
        <v>8.5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981.444784453557</v>
      </c>
      <c r="C16" s="3" t="n">
        <v>9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847.58522997708</v>
      </c>
      <c r="C17" s="3" t="n">
        <v>10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743.752713140595</v>
      </c>
      <c r="C18" s="3" t="n">
        <v>11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660.921451792875</v>
      </c>
      <c r="C19" s="3" t="n">
        <v>12</v>
      </c>
    </row>
    <row r="20" customFormat="false" ht="15" hidden="false" customHeight="false" outlineLevel="0" collapsed="false">
      <c r="A20" s="0" t="s">
        <v>161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489.850797818681</v>
      </c>
      <c r="C20" s="3" t="n">
        <v>15</v>
      </c>
    </row>
    <row r="22" customFormat="false" ht="15" hidden="false" customHeight="false" outlineLevel="0" collapsed="false">
      <c r="A22" s="2" t="s">
        <v>162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1208.8731410308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1208.8731410308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1208.8731410308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1208.8731410308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1208.8731410308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1118.49587144246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1118.49587144246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1118.49587144246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1118.49587144246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1118.49587144246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974.738829639167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1016.16975896237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1036.21698282843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1036.21698282843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1036.21698282843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847.178343530847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876.630400827831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910.009399097745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948.156825691932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961.221012881723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746.872728725109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768.456384450048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792.579293789685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819.717566796777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850.474276204814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2026-10-04T13:03:57Z</dcterms:created>
  <dc:creator>openpyxl</dc:creator>
  <dc:description/>
  <dc:language>en-NZ</dc:language>
  <cp:lastModifiedBy/>
  <dcterms:modified xsi:type="dcterms:W3CDTF">2026-10-04T13:03:57Z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