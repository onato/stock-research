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<sst xmlns="http://schemas.openxmlformats.org/spreadsheetml/2006/main" count="401" uniqueCount="182">
  <si>
    <t xml:space="preserve">Ticker</t>
  </si>
  <si>
    <t xml:space="preserve">VNA.DE</t>
  </si>
  <si>
    <t xml:space="preserve">Company</t>
  </si>
  <si>
    <t xml:space="preserve">Vonovia SE</t>
  </si>
  <si>
    <t xml:space="preserve">Valuation date</t>
  </si>
  <si>
    <t xml:space="preserve">2026-10-25</t>
  </si>
  <si>
    <t xml:space="preserve">Current price</t>
  </si>
  <si>
    <t xml:space="preserve">Price as of</t>
  </si>
  <si>
    <t xml:space="preserve">2026-10-23T15:35:09Z (Xetra closing auction, regular session)</t>
  </si>
  <si>
    <t xml:space="preserve">Balance sheet date</t>
  </si>
  <si>
    <t xml:space="preserve">2026-06-30</t>
  </si>
  <si>
    <t xml:space="preserve">Model</t>
  </si>
  <si>
    <t xml:space="preserve">REIT AFFO capitalisation at cost of equity (engine route)</t>
  </si>
  <si>
    <t xml:space="preserve">Currency (model)</t>
  </si>
  <si>
    <t xml:space="preserve">EUR</t>
  </si>
  <si>
    <t xml:space="preserve">Currency (quote)</t>
  </si>
  <si>
    <t xml:space="preserve">Units</t>
  </si>
  <si>
    <t xml:space="preserve">millions</t>
  </si>
  <si>
    <t xml:space="preserve">Engine</t>
  </si>
  <si>
    <t xml:space="preserve">dcf_engine v1</t>
  </si>
  <si>
    <t xml:space="preserve">Built at</t>
  </si>
  <si>
    <t xml:space="preserve">2026-10-25T05:19:42Z</t>
  </si>
  <si>
    <t xml:space="preserve">Drivers file</t>
  </si>
  <si>
    <t xml:space="preserve">VNA.DE_Drivers.json</t>
  </si>
  <si>
    <t xml:space="preserve">Convention</t>
  </si>
  <si>
    <t xml:space="preserve">Percents stored as percents; formulas divide by 100. Blue = input, green = link, black = formula.</t>
  </si>
  <si>
    <t xml:space="preserve">Methodology</t>
  </si>
  <si>
    <t xml:space="preserve">summary: Value Vonovia on what the equity actually receives -- Adjusted EBT after cash tax, capitalized maintenance and minority payouts (attributable AFFO, EUR 1.26bn / EUR 1.49 per share in FY2025) -- capitalised at a 9% EUR cost of equity, with net debt held at zero because the flow is already after EUR 0.74-0.78bn of interest. EPRA NTA (EUR 46.22 per share) is reported as the cross-check, not the answer: appraised values embed a ~4.0% gross / 2.85% Rental-EBITDA yield that a 9% equity return through 46% LTV cannot carry, so the AFFO value sits at roughly half of NTA and the gap is the model's finding. Fair-value movements, statutory EPS and the CSV free cash flow (after modernization and development spend, before disposal proceeds) are ignored. Growth, modernization and new construction are funded by Recurring Sales, the non-core disposal programme and debt inside the LTV target and are paid for in the model by the organic rent growth path, not deducted a second time as capex.
key_risks_to_valuation: Interest-rate and refinancing exposure: EUR 42bn of debt at ~2.1% average cost repricing ~20bp/yr; each +10bp on the whole stack is ~EUR 42m of Adjusted EBT (~2.2%) and ~EUR 0.05 of AFFO per share; German rent regulation: cabinet tenancy-law bill (April 2026) with a 3% index-rent cap and Kappungsgrenze adjustments is in the legislative process; Mietpreisbremse extended to 2029; Disposal execution: ~EUR 2.7bn non-core German/Swedish assets plus a flagged larger portfolio exit must clear near book for the 40%-LTV-by-2028 target; selling below book shrinks AFFO faster than it cuts interest; Non-controlling-interest payouts rising (143.7 -&gt; 202.9 -&gt; H1 2026 256.0): the Apollo/CBRE IM minority structures carry preferred-style returns that take a growing share of the flow; Unexplained share-price fall of ~23% since the 30-Jun-2026 close with no filing after 29-Jul-2026 in the folder; the Q3 2026 statement (early November) must be read before this valuation is relied on; Cash tax: minimum-tax / RETT share-deal interpretation risk raised to 5-39% probability in the H1 2026 report; the model's 12.5% cash rate assumes the current regime holds; Capitalized maintenance rising faster than rent (+19% in H1 2026) under GModG / EPBD building-energy rules; Equity issuance: the 2025 scrip dividend added 3% to the count; a return to scrip or a rights issue to defend BBB+ would dilute AFFO per share and is not in the flat count</t>
  </si>
  <si>
    <t xml:space="preserve">Data sources</t>
  </si>
  <si>
    <t xml:space="preserve">price: Yahoo Finance chart API at inputs.price_as_of; 52-week range 15.955-28.90 EUR; a regular Xetra close, not after-hours
financials: VNA.DE_Metrics.csv and kpis table (core_metrics, EUR millions) for history; VNA.DE_Annual_FY2025.txt (Adjusted EBT -&gt; OFCF reconciliation, dividend, share count) and VNA.DE_HalfYear_H1-2026.txt (30-Jun-2026 balance sheet, net debt and LTV table, EPRA NTA, FY2026 outlook table, segment Adjusted EBITDA, Opportunities and Risks) for anchors and guidance
qualitative: VNA.DE_Analysis.json (qualitative-analyst, 2026-10-25): business model, regulatory and leverage risks, bull/bear axes, CEO transition, disposal programme</t>
  </si>
  <si>
    <t xml:space="preserve">Scenario narrative: bear</t>
  </si>
  <si>
    <t xml:space="preserve">The tenancy-law bill passes with the 3% index-rent cap and a tighter Kappungsgrenze, organic rent growth falls toward 2.5-3%, and Vonovia -- unable to delever through rent -- sells faster and at a discount to book to hold the BBB+ rating. Interest costs on EUR 42bn drift up 20bp a year with no offsetting EBITDA growth, Development stays loss-making, the GModG / EPBD retrofit burden lifts capitalized maintenance, and the minimum-tax interpretation raises cash tax. Attributable AFFO settles around EUR 1.1bn (~EUR 1.30/share), the dividend is held or trimmed, and the equity is worth about today's price. A dilutive rights issue to protect the rating is the tail below this case and is not modelled.</t>
  </si>
  <si>
    <t xml:space="preserve">Scenario narrative: base</t>
  </si>
  <si>
    <t xml:space="preserve">Vonovia stays what it is: a EUR 85bn regulated German residential portfolio earning ~4% organic rent growth on a stock that shrinks ~1-1.5%/yr through Recurring Sales and the EUR 2.7bn non-core programme, so rental income compounds ~2.5-3%. Adjusted EBT tracks the lower half of FY2026 guidance (~EUR 1.93bn) and then grows a little faster than rent as value-add scales toward 20% of EBITDA and disposal proceeds retire debt faster than the ~20bp/yr coupon drift adds interest. Attributable AFFO dips ~3% in FY2026 on higher capitalized maintenance and NCI payouts, then compounds ~3.5%/yr. Capitalised at a 9% EUR cost of equity with 2% perpetual growth the equity is worth roughly half of EPRA NTA -- the market's discount to NTA is partly justified by the leverage-adjusted yield, not entirely a mispricing.</t>
  </si>
  <si>
    <t xml:space="preserve">Scenario narrative: bull</t>
  </si>
  <si>
    <t xml:space="preserve">Rates ease, the tenancy-law reform passes without the index-rent cap, and the new CEO's two levers both work: the larger portfolio exit and the EUR 2.7bn non-core sales clear near book, taking LTV to the 40% 2028 target and cutting the financial result, while third-party value-add revenue lifts Adjusted EBITDA Total to the EUR 3.4-3.5bn end of the 2028 target. Adjusted EBT per share recovers toward EUR 2.9-3.0 by 2030; the stock re-rates toward the EUR 30.76 average analyst target range. Even here the value stays well below NTA: the model does not pay appraised values for a portfolio yielding 2.85% on Rental EBITDA.</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</si>
  <si>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</si>
  <si>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</si>
  <si>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</si>
  <si>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</si>
  <si>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</si>
  <si>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</si>
  <si>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</si>
  <si>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</si>
  <si>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</si>
  <si>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</si>
  <si>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</si>
  <si>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</si>
  <si>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</si>
  <si>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</si>
  <si>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</si>
  <si>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</si>
  <si>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</si>
  <si>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</si>
  <si>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</si>
  <si>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</si>
  <si>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</si>
  <si>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</si>
  <si>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</si>
  <si>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</si>
  <si>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</si>
  <si>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</si>
  <si>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</si>
  <si>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AdjustedEBITDA</t>
  </si>
  <si>
    <t xml:space="preserve">FFO</t>
  </si>
  <si>
    <t xml:space="preserve">FFOPerShare</t>
  </si>
  <si>
    <t xml:space="preserve">GrossRentalIncome</t>
  </si>
  <si>
    <t xml:space="preserve">NAVPerShare</t>
  </si>
  <si>
    <t xml:space="preserve">NTAPerShare</t>
  </si>
  <si>
    <t xml:space="preserve">FY2004</t>
  </si>
  <si>
    <t xml:space="preserve">FY2005</t>
  </si>
  <si>
    <t xml:space="preserve">FY2006</t>
  </si>
  <si>
    <t xml:space="preserve">FY2007</t>
  </si>
  <si>
    <t xml:space="preserve">FY2008</t>
  </si>
  <si>
    <t xml:space="preserve">FY2009</t>
  </si>
  <si>
    <t xml:space="preserve">FY2010</t>
  </si>
  <si>
    <t xml:space="preserve">FY2011</t>
  </si>
  <si>
    <t xml:space="preserve">FY2012</t>
  </si>
  <si>
    <t xml:space="preserve">FY2013</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</si>
  <si>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</si>
  <si>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</si>
  <si>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</si>
  <si>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</si>
  <si>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</si>
  <si>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</si>
  <si>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</si>
  <si>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</si>
  <si>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</si>
  <si>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</si>
  <si>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</si>
  <si>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</si>
  <si>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</si>
  <si>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</si>
  <si>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</si>
  <si>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</si>
  <si>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</si>
  <si>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</si>
  <si>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</si>
  <si>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</si>
  <si>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</si>
  <si>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</si>
  <si>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EUR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</si>
  <si>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</si>
  <si>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</si>
  <si>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</si>
  <si>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</si>
  <si>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</si>
  <si>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</si>
  <si>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</si>
  <si>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</si>
  <si>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</si>
  <si>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</si>
  <si>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</si>
  <si>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</si>
  <si>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</si>
  <si>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</si>
  <si>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</si>
  <si>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</si>
  <si>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</si>
  <si>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</si>
  <si>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</si>
  <si>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</si>
  <si>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</si>
  <si>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</si>
  <si>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</si>
  <si>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</si>
  <si>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</si>
  <si>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</si>
  <si>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VNA.DE owner-FCF component DCF: bear case (millions, EUR)</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</si>
  <si>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</si>
  <si>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</si>
  <si>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</si>
  <si>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</si>
  <si>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</si>
  <si>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</si>
  <si>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</si>
  <si>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</si>
  <si>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</si>
  <si>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</si>
  <si>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</si>
  <si>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</si>
  <si>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</si>
  <si>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</si>
  <si>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</si>
  <si>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</si>
  <si>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</si>
  <si>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</si>
  <si>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</si>
  <si>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</si>
  <si>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</si>
  <si>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</si>
  <si>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</si>
  <si>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</si>
  <si>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</si>
  <si>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</si>
  <si>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</si>
  <si>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</si>
  <si>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</si>
  <si>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</si>
  <si>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VNA.DE owner-FCF component DCF: base case (millions, EUR)</t>
  </si>
  <si>
    <t xml:space="preserve">VNA.DE owner-FCF component DCF: bull case (millions, EUR)</t>
  </si>
  <si>
    <t xml:space="preserve">VNA.DE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</si>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</sst>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16.565</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c r="AD1" s="2" t="s">
        <v>64</v>
      </c>
      <c r="AE1" s="2" t="s">
        <v>65</v>
      </c>
      <c r="AF1" s="2" t="s">
        <v>66</v>
      </c>
      <c r="AG1" s="2" t="s">
        <v>67</v>
      </c>
      <c r="AH1" s="2" t="s">
        <v>68</v>
      </c>
    </row>
    <row r="2" customFormat="false" ht="15" hidden="false" customHeight="false" outlineLevel="0" collapsed="false">
      <c r="A2" s="0" t="s">
        <v>69</v>
      </c>
      <c r="B2" s="0" t="n">
        <v>315.4</v>
      </c>
      <c r="I2" s="0" t="n">
        <v>17.1</v>
      </c>
      <c r="J2" s="0" t="n">
        <v>5.4</v>
      </c>
      <c r="O2" s="0" t="n">
        <v>431.5</v>
      </c>
      <c r="P2" s="0" t="n">
        <v>2646.4</v>
      </c>
      <c r="R2" s="0" t="n">
        <v>1876.2</v>
      </c>
      <c r="S2" s="0" t="n">
        <v>66.3</v>
      </c>
      <c r="AA2" s="0" t="s">
        <v>17</v>
      </c>
      <c r="AB2" s="0" t="s">
        <v>14</v>
      </c>
    </row>
    <row r="3" customFormat="false" ht="15" hidden="false" customHeight="false" outlineLevel="0" collapsed="false">
      <c r="A3" s="0" t="s">
        <v>70</v>
      </c>
      <c r="B3" s="0" t="n">
        <v>699.5</v>
      </c>
      <c r="I3" s="0" t="n">
        <v>140.9</v>
      </c>
      <c r="J3" s="0" t="n">
        <v>20.1</v>
      </c>
      <c r="L3" s="0" t="n">
        <v>549.5</v>
      </c>
      <c r="O3" s="0" t="n">
        <v>615</v>
      </c>
      <c r="P3" s="0" t="n">
        <v>10342.6</v>
      </c>
      <c r="Q3" s="0" t="n">
        <v>9727.6</v>
      </c>
      <c r="R3" s="0" t="n">
        <v>8037.8</v>
      </c>
      <c r="S3" s="0" t="n">
        <v>484.7</v>
      </c>
      <c r="AA3" s="0" t="s">
        <v>17</v>
      </c>
      <c r="AB3" s="0" t="s">
        <v>14</v>
      </c>
    </row>
    <row r="4" customFormat="false" ht="15" hidden="false" customHeight="false" outlineLevel="0" collapsed="false">
      <c r="A4" s="0" t="s">
        <v>71</v>
      </c>
      <c r="B4" s="0" t="n">
        <v>898.8</v>
      </c>
      <c r="I4" s="0" t="n">
        <v>207.1</v>
      </c>
      <c r="J4" s="0" t="n">
        <v>23</v>
      </c>
      <c r="L4" s="0" t="n">
        <v>789.9</v>
      </c>
      <c r="O4" s="0" t="n">
        <v>1680</v>
      </c>
      <c r="P4" s="0" t="n">
        <v>10932.2</v>
      </c>
      <c r="Q4" s="0" t="n">
        <v>9243.5</v>
      </c>
      <c r="R4" s="0" t="n">
        <v>7256.6</v>
      </c>
      <c r="S4" s="0" t="n">
        <v>706.4</v>
      </c>
      <c r="AA4" s="0" t="s">
        <v>17</v>
      </c>
      <c r="AB4" s="0" t="s">
        <v>14</v>
      </c>
    </row>
    <row r="5" customFormat="false" ht="15" hidden="false" customHeight="false" outlineLevel="0" collapsed="false">
      <c r="A5" s="0" t="s">
        <v>72</v>
      </c>
      <c r="B5" s="0" t="n">
        <v>1075.1</v>
      </c>
      <c r="I5" s="0" t="n">
        <v>47.8</v>
      </c>
      <c r="J5" s="0" t="n">
        <v>4.4</v>
      </c>
      <c r="L5" s="0" t="n">
        <v>540.6</v>
      </c>
      <c r="O5" s="0" t="n">
        <v>1729.2</v>
      </c>
      <c r="P5" s="0" t="n">
        <v>10824</v>
      </c>
      <c r="Q5" s="0" t="n">
        <v>9084.6</v>
      </c>
      <c r="S5" s="0" t="n">
        <v>366.4</v>
      </c>
      <c r="AA5" s="0" t="s">
        <v>17</v>
      </c>
      <c r="AB5" s="0" t="s">
        <v>14</v>
      </c>
    </row>
    <row r="6" customFormat="false" ht="15" hidden="false" customHeight="false" outlineLevel="0" collapsed="false">
      <c r="A6" s="0" t="s">
        <v>73</v>
      </c>
      <c r="B6" s="0" t="n">
        <v>1029.1</v>
      </c>
      <c r="I6" s="0" t="n">
        <v>-257.7</v>
      </c>
      <c r="J6" s="0" t="n">
        <v>-25</v>
      </c>
      <c r="L6" s="0" t="n">
        <v>483.3</v>
      </c>
      <c r="O6" s="0" t="n">
        <v>1446.7</v>
      </c>
      <c r="P6" s="0" t="n">
        <v>10249.6</v>
      </c>
      <c r="Q6" s="0" t="n">
        <v>8793.5</v>
      </c>
      <c r="S6" s="0" t="n">
        <v>253.5</v>
      </c>
      <c r="AA6" s="0" t="s">
        <v>17</v>
      </c>
      <c r="AB6" s="0" t="s">
        <v>14</v>
      </c>
    </row>
    <row r="7" customFormat="false" ht="15" hidden="false" customHeight="false" outlineLevel="0" collapsed="false">
      <c r="A7" s="0" t="s">
        <v>74</v>
      </c>
      <c r="B7" s="0" t="n">
        <v>1033.6</v>
      </c>
      <c r="I7" s="0" t="n">
        <v>140.9</v>
      </c>
      <c r="J7" s="0" t="n">
        <v>13.6</v>
      </c>
      <c r="L7" s="0" t="n">
        <v>406.2</v>
      </c>
      <c r="O7" s="0" t="n">
        <v>1617.3</v>
      </c>
      <c r="P7" s="0" t="n">
        <v>10540.7</v>
      </c>
      <c r="Q7" s="0" t="n">
        <v>8911.8</v>
      </c>
      <c r="S7" s="0" t="n">
        <v>275.5</v>
      </c>
      <c r="AA7" s="0" t="s">
        <v>17</v>
      </c>
      <c r="AB7" s="0" t="s">
        <v>14</v>
      </c>
    </row>
    <row r="8" customFormat="false" ht="15" hidden="false" customHeight="false" outlineLevel="0" collapsed="false">
      <c r="A8" s="0" t="s">
        <v>75</v>
      </c>
      <c r="B8" s="0" t="n">
        <v>1058.9</v>
      </c>
      <c r="I8" s="0" t="n">
        <v>191.7</v>
      </c>
      <c r="J8" s="0" t="n">
        <v>18.1</v>
      </c>
      <c r="L8" s="0" t="n">
        <v>472.5</v>
      </c>
      <c r="O8" s="0" t="n">
        <v>1803.5</v>
      </c>
      <c r="P8" s="0" t="n">
        <v>10525.5</v>
      </c>
      <c r="Q8" s="0" t="n">
        <v>8709.8</v>
      </c>
      <c r="S8" s="0" t="n">
        <v>310.7</v>
      </c>
      <c r="AA8" s="0" t="s">
        <v>17</v>
      </c>
      <c r="AB8" s="0" t="s">
        <v>14</v>
      </c>
    </row>
    <row r="9" customFormat="false" ht="15" hidden="false" customHeight="false" outlineLevel="0" collapsed="false">
      <c r="A9" s="0" t="s">
        <v>76</v>
      </c>
      <c r="B9" s="0" t="n">
        <v>1082.6</v>
      </c>
      <c r="I9" s="0" t="n">
        <v>423.6</v>
      </c>
      <c r="J9" s="0" t="n">
        <v>39.1</v>
      </c>
      <c r="L9" s="0" t="n">
        <v>580.6</v>
      </c>
      <c r="O9" s="0" t="n">
        <v>2216.3</v>
      </c>
      <c r="P9" s="0" t="n">
        <v>10696.9</v>
      </c>
      <c r="Q9" s="0" t="n">
        <v>8467.1</v>
      </c>
      <c r="S9" s="0" t="n">
        <v>278.5</v>
      </c>
      <c r="AA9" s="0" t="s">
        <v>17</v>
      </c>
      <c r="AB9" s="0" t="s">
        <v>14</v>
      </c>
    </row>
    <row r="10" customFormat="false" ht="15" hidden="false" customHeight="false" outlineLevel="0" collapsed="false">
      <c r="A10" s="0" t="s">
        <v>77</v>
      </c>
      <c r="B10" s="0" t="n">
        <v>1046.5</v>
      </c>
      <c r="I10" s="0" t="n">
        <v>172.2</v>
      </c>
      <c r="J10" s="0" t="n">
        <v>16.5</v>
      </c>
      <c r="L10" s="0" t="n">
        <v>385.5</v>
      </c>
      <c r="O10" s="0" t="n">
        <v>2666.4</v>
      </c>
      <c r="P10" s="0" t="n">
        <v>10608.3</v>
      </c>
      <c r="Q10" s="0" t="n">
        <v>7930.9</v>
      </c>
      <c r="S10" s="0" t="n">
        <v>470.1</v>
      </c>
      <c r="AA10" s="0" t="s">
        <v>17</v>
      </c>
      <c r="AB10" s="0" t="s">
        <v>14</v>
      </c>
    </row>
    <row r="11" customFormat="false" ht="15" hidden="false" customHeight="false" outlineLevel="0" collapsed="false">
      <c r="A11" s="0" t="s">
        <v>78</v>
      </c>
      <c r="B11" s="0" t="n">
        <v>1048.3</v>
      </c>
      <c r="H11" s="0" t="n">
        <v>431</v>
      </c>
      <c r="I11" s="0" t="n">
        <v>484.2</v>
      </c>
      <c r="J11" s="0" t="n">
        <v>46.2</v>
      </c>
      <c r="K11" s="0" t="n">
        <v>2.26</v>
      </c>
      <c r="L11" s="0" t="n">
        <v>259.6</v>
      </c>
      <c r="O11" s="0" t="n">
        <v>3805.5</v>
      </c>
      <c r="P11" s="0" t="n">
        <v>11092.8</v>
      </c>
      <c r="Q11" s="0" t="n">
        <v>7274.8</v>
      </c>
      <c r="R11" s="0" t="n">
        <v>5594.8</v>
      </c>
      <c r="S11" s="0" t="n">
        <v>547.8</v>
      </c>
      <c r="W11" s="0" t="n">
        <v>470.1</v>
      </c>
      <c r="AA11" s="0" t="s">
        <v>17</v>
      </c>
      <c r="AB11" s="0" t="s">
        <v>14</v>
      </c>
      <c r="AC11" s="0" t="n">
        <v>470.1</v>
      </c>
      <c r="AD11" s="0" t="n">
        <v>223.5</v>
      </c>
      <c r="AE11" s="0" t="n">
        <v>0.95</v>
      </c>
      <c r="AF11" s="0" t="n">
        <v>728</v>
      </c>
      <c r="AG11" s="0" t="n">
        <v>21.74</v>
      </c>
    </row>
    <row r="12" customFormat="false" ht="15" hidden="false" customHeight="false" outlineLevel="0" collapsed="false">
      <c r="A12" s="0" t="s">
        <v>79</v>
      </c>
      <c r="B12" s="0" t="n">
        <v>1138.4</v>
      </c>
      <c r="H12" s="0" t="n">
        <v>500.3</v>
      </c>
      <c r="I12" s="0" t="n">
        <v>409.7</v>
      </c>
      <c r="J12" s="0" t="n">
        <v>36</v>
      </c>
      <c r="K12" s="0" t="n">
        <v>1.64</v>
      </c>
      <c r="L12" s="0" t="n">
        <v>463.3</v>
      </c>
      <c r="O12" s="0" t="n">
        <v>4932.6</v>
      </c>
      <c r="P12" s="0" t="n">
        <v>14759.2</v>
      </c>
      <c r="Q12" s="0" t="n">
        <v>8797</v>
      </c>
      <c r="R12" s="0" t="n">
        <v>6664.8</v>
      </c>
      <c r="S12" s="0" t="n">
        <v>1564.8</v>
      </c>
      <c r="W12" s="0" t="n">
        <v>553.5</v>
      </c>
      <c r="AA12" s="0" t="s">
        <v>17</v>
      </c>
      <c r="AB12" s="0" t="s">
        <v>14</v>
      </c>
      <c r="AC12" s="0" t="n">
        <v>553.5</v>
      </c>
      <c r="AD12" s="0" t="n">
        <v>286.6</v>
      </c>
      <c r="AE12" s="0" t="n">
        <v>1</v>
      </c>
      <c r="AF12" s="0" t="n">
        <v>789.3</v>
      </c>
      <c r="AG12" s="0" t="n">
        <v>23.04</v>
      </c>
    </row>
    <row r="13" customFormat="false" ht="15" hidden="false" customHeight="false" outlineLevel="0" collapsed="false">
      <c r="A13" s="0" t="s">
        <v>80</v>
      </c>
      <c r="B13" s="0" t="n">
        <v>2035.3</v>
      </c>
      <c r="H13" s="0" t="n">
        <v>838.4</v>
      </c>
      <c r="I13" s="0" t="n">
        <v>994.7</v>
      </c>
      <c r="J13" s="0" t="n">
        <v>48.9</v>
      </c>
      <c r="K13" s="0" t="n">
        <v>2.29</v>
      </c>
      <c r="L13" s="0" t="n">
        <v>689.8</v>
      </c>
      <c r="O13" s="0" t="n">
        <v>10620.5</v>
      </c>
      <c r="P13" s="0" t="n">
        <v>30959.1</v>
      </c>
      <c r="Q13" s="0" t="n">
        <v>19092.2</v>
      </c>
      <c r="R13" s="0" t="n">
        <v>14939.9</v>
      </c>
      <c r="S13" s="0" t="n">
        <v>3107.9</v>
      </c>
      <c r="T13" s="0" t="n">
        <v>466</v>
      </c>
      <c r="W13" s="0" t="n">
        <v>1028.7</v>
      </c>
      <c r="AA13" s="0" t="s">
        <v>17</v>
      </c>
      <c r="AB13" s="0" t="s">
        <v>14</v>
      </c>
      <c r="AC13" s="0" t="n">
        <v>1028.7</v>
      </c>
      <c r="AD13" s="0" t="n">
        <v>608</v>
      </c>
      <c r="AE13" s="0" t="n">
        <v>1.3</v>
      </c>
      <c r="AF13" s="0" t="n">
        <v>1414.6</v>
      </c>
      <c r="AG13" s="0" t="n">
        <v>30.02</v>
      </c>
    </row>
    <row r="14" customFormat="false" ht="15" hidden="false" customHeight="false" outlineLevel="0" collapsed="false">
      <c r="A14" s="0" t="s">
        <v>81</v>
      </c>
      <c r="B14" s="0" t="n">
        <v>2170</v>
      </c>
      <c r="H14" s="0" t="n">
        <v>1083.7</v>
      </c>
      <c r="I14" s="0" t="n">
        <v>2512.9</v>
      </c>
      <c r="J14" s="0" t="n">
        <v>115.8</v>
      </c>
      <c r="K14" s="0" t="n">
        <v>4.94</v>
      </c>
      <c r="L14" s="0" t="n">
        <v>828.9</v>
      </c>
      <c r="O14" s="0" t="n">
        <v>12467.8</v>
      </c>
      <c r="P14" s="0" t="n">
        <v>32522.1</v>
      </c>
      <c r="Q14" s="0" t="n">
        <v>18633.7</v>
      </c>
      <c r="R14" s="0" t="n">
        <v>13371</v>
      </c>
      <c r="S14" s="0" t="n">
        <v>1540.8</v>
      </c>
      <c r="T14" s="0" t="n">
        <v>466</v>
      </c>
      <c r="U14" s="0" t="n">
        <v>6.4</v>
      </c>
      <c r="W14" s="0" t="n">
        <v>1186.5</v>
      </c>
      <c r="AA14" s="0" t="s">
        <v>17</v>
      </c>
      <c r="AB14" s="0" t="s">
        <v>14</v>
      </c>
      <c r="AC14" s="0" t="n">
        <v>1186.5</v>
      </c>
      <c r="AD14" s="0" t="n">
        <v>760.8</v>
      </c>
      <c r="AE14" s="0" t="n">
        <v>1.63</v>
      </c>
      <c r="AF14" s="0" t="n">
        <v>1538.1</v>
      </c>
      <c r="AG14" s="0" t="n">
        <v>36.58</v>
      </c>
    </row>
    <row r="15" customFormat="false" ht="15" hidden="false" customHeight="false" outlineLevel="0" collapsed="false">
      <c r="A15" s="0" t="s">
        <v>82</v>
      </c>
      <c r="B15" s="0" t="n">
        <v>2344</v>
      </c>
      <c r="H15" s="0" t="n">
        <v>1271.8</v>
      </c>
      <c r="I15" s="0" t="n">
        <v>2566.9</v>
      </c>
      <c r="J15" s="0" t="n">
        <v>109.5</v>
      </c>
      <c r="K15" s="0" t="n">
        <v>5.06</v>
      </c>
      <c r="L15" s="0" t="n">
        <v>946</v>
      </c>
      <c r="O15" s="0" t="n">
        <v>15080.8</v>
      </c>
      <c r="P15" s="0" t="n">
        <v>37516.3</v>
      </c>
      <c r="Q15" s="0" t="n">
        <v>20825.1</v>
      </c>
      <c r="R15" s="0" t="n">
        <v>14060.5</v>
      </c>
      <c r="S15" s="0" t="n">
        <v>266.2</v>
      </c>
      <c r="T15" s="0" t="n">
        <v>485.1</v>
      </c>
      <c r="U15" s="0" t="n">
        <v>10.5</v>
      </c>
      <c r="W15" s="0" t="n">
        <v>1319.7</v>
      </c>
      <c r="AA15" s="0" t="s">
        <v>17</v>
      </c>
      <c r="AB15" s="0" t="s">
        <v>14</v>
      </c>
      <c r="AC15" s="0" t="n">
        <v>1319.7</v>
      </c>
      <c r="AD15" s="0" t="n">
        <v>975</v>
      </c>
      <c r="AE15" s="0" t="n">
        <v>2.01</v>
      </c>
      <c r="AF15" s="0" t="n">
        <v>1667.9</v>
      </c>
      <c r="AG15" s="0" t="n">
        <v>43.88</v>
      </c>
    </row>
    <row r="16" customFormat="false" ht="15" hidden="false" customHeight="false" outlineLevel="0" collapsed="false">
      <c r="A16" s="0" t="s">
        <v>83</v>
      </c>
      <c r="B16" s="0" t="n">
        <v>2647.9</v>
      </c>
      <c r="H16" s="0" t="n">
        <v>1534.4</v>
      </c>
      <c r="I16" s="0" t="n">
        <v>2402.8</v>
      </c>
      <c r="J16" s="0" t="n">
        <v>90.7</v>
      </c>
      <c r="K16" s="0" t="n">
        <v>4.48</v>
      </c>
      <c r="L16" s="0" t="n">
        <v>1132.5</v>
      </c>
      <c r="O16" s="0" t="n">
        <v>17880.2</v>
      </c>
      <c r="P16" s="0" t="n">
        <v>49387.6</v>
      </c>
      <c r="Q16" s="0" t="n">
        <v>29723.5</v>
      </c>
      <c r="R16" s="0" t="n">
        <v>20136</v>
      </c>
      <c r="S16" s="0" t="n">
        <v>547.7</v>
      </c>
      <c r="T16" s="0" t="n">
        <v>518.1</v>
      </c>
      <c r="U16" s="0" t="n">
        <v>3.2</v>
      </c>
      <c r="W16" s="0" t="n">
        <v>1554.8</v>
      </c>
      <c r="AA16" s="0" t="s">
        <v>17</v>
      </c>
      <c r="AB16" s="0" t="s">
        <v>14</v>
      </c>
      <c r="AC16" s="0" t="n">
        <v>1554.8</v>
      </c>
      <c r="AD16" s="0" t="n">
        <v>1132</v>
      </c>
      <c r="AE16" s="0" t="n">
        <v>2.18</v>
      </c>
      <c r="AF16" s="0" t="n">
        <v>1894.2</v>
      </c>
      <c r="AG16" s="0" t="n">
        <v>50.39</v>
      </c>
    </row>
    <row r="17" customFormat="false" ht="15" hidden="false" customHeight="false" outlineLevel="0" collapsed="false">
      <c r="A17" s="0" t="s">
        <v>84</v>
      </c>
      <c r="B17" s="0" t="n">
        <v>2840.8</v>
      </c>
      <c r="H17" s="0" t="n">
        <v>1579.6</v>
      </c>
      <c r="I17" s="0" t="n">
        <v>1294.3</v>
      </c>
      <c r="J17" s="0" t="n">
        <v>45.6</v>
      </c>
      <c r="K17" s="0" t="n">
        <v>2.15</v>
      </c>
      <c r="L17" s="0" t="n">
        <v>1555.9</v>
      </c>
      <c r="O17" s="0" t="n">
        <v>19308.3</v>
      </c>
      <c r="P17" s="0" t="n">
        <v>56497.7</v>
      </c>
      <c r="Q17" s="0" t="n">
        <v>35428</v>
      </c>
      <c r="R17" s="0" t="n">
        <v>23574.9</v>
      </c>
      <c r="S17" s="0" t="n">
        <v>500.7</v>
      </c>
      <c r="T17" s="0" t="n">
        <v>542.3</v>
      </c>
      <c r="U17" s="0" t="n">
        <v>5.9</v>
      </c>
      <c r="W17" s="0" t="n">
        <v>1760.1</v>
      </c>
      <c r="AA17" s="0" t="s">
        <v>17</v>
      </c>
      <c r="AB17" s="0" t="s">
        <v>14</v>
      </c>
      <c r="AC17" s="0" t="n">
        <v>1760.1</v>
      </c>
      <c r="AD17" s="0" t="n">
        <v>1218.6</v>
      </c>
      <c r="AE17" s="0" t="n">
        <v>2.25</v>
      </c>
      <c r="AF17" s="0" t="n">
        <v>2074.9</v>
      </c>
      <c r="AG17" s="0" t="n">
        <v>54.57</v>
      </c>
      <c r="AH17" s="0" t="n">
        <v>51.44</v>
      </c>
    </row>
    <row r="18" customFormat="false" ht="15" hidden="false" customHeight="false" outlineLevel="0" collapsed="false">
      <c r="A18" s="0" t="s">
        <v>85</v>
      </c>
      <c r="B18" s="0" t="n">
        <v>3069.4</v>
      </c>
      <c r="H18" s="0" t="n">
        <v>1822.4</v>
      </c>
      <c r="I18" s="0" t="n">
        <v>3340</v>
      </c>
      <c r="J18" s="0" t="n">
        <v>108.8</v>
      </c>
      <c r="K18" s="0" t="n">
        <v>5.87</v>
      </c>
      <c r="L18" s="0" t="n">
        <v>1430.5</v>
      </c>
      <c r="O18" s="0" t="n">
        <v>23143.9</v>
      </c>
      <c r="P18" s="0" t="n">
        <v>62417.4</v>
      </c>
      <c r="Q18" s="0" t="n">
        <v>37585.6</v>
      </c>
      <c r="R18" s="0" t="n">
        <v>24084.7</v>
      </c>
      <c r="S18" s="0" t="n">
        <v>613.3</v>
      </c>
      <c r="T18" s="0" t="n">
        <v>565.9</v>
      </c>
      <c r="U18" s="0" t="n">
        <v>8.4</v>
      </c>
      <c r="W18" s="0" t="n">
        <v>1909.8</v>
      </c>
      <c r="AA18" s="0" t="s">
        <v>17</v>
      </c>
      <c r="AB18" s="0" t="s">
        <v>14</v>
      </c>
      <c r="AC18" s="0" t="n">
        <v>1909.8</v>
      </c>
      <c r="AD18" s="0" t="n">
        <v>1348.2</v>
      </c>
      <c r="AE18" s="0" t="n">
        <v>2.38</v>
      </c>
      <c r="AF18" s="0" t="n">
        <v>2288.5</v>
      </c>
      <c r="AG18" s="0" t="n">
        <v>62.11</v>
      </c>
      <c r="AH18" s="0" t="n">
        <v>58.78</v>
      </c>
    </row>
    <row r="19" customFormat="false" ht="15" hidden="false" customHeight="false" outlineLevel="0" collapsed="false">
      <c r="A19" s="0" t="s">
        <v>86</v>
      </c>
      <c r="B19" s="0" t="n">
        <v>3465</v>
      </c>
      <c r="I19" s="0" t="n">
        <v>2830.9</v>
      </c>
      <c r="J19" s="0" t="n">
        <v>81.7</v>
      </c>
      <c r="K19" s="0" t="n">
        <v>4.22</v>
      </c>
      <c r="L19" s="0" t="n">
        <v>1823.9</v>
      </c>
      <c r="O19" s="0" t="n">
        <v>33287.1</v>
      </c>
      <c r="P19" s="0" t="n">
        <v>106320.3</v>
      </c>
      <c r="Q19" s="0" t="n">
        <v>69775.2</v>
      </c>
      <c r="R19" s="0" t="n">
        <v>47229.5</v>
      </c>
      <c r="S19" s="0" t="n">
        <v>1432.8</v>
      </c>
      <c r="T19" s="0" t="n">
        <v>776.6</v>
      </c>
      <c r="U19" s="0" t="n">
        <v>4.4</v>
      </c>
      <c r="W19" s="0" t="n">
        <v>2254.4</v>
      </c>
      <c r="AA19" s="0" t="s">
        <v>17</v>
      </c>
      <c r="AB19" s="0" t="s">
        <v>14</v>
      </c>
      <c r="AC19" s="0" t="n">
        <v>2254.4</v>
      </c>
      <c r="AD19" s="0" t="n">
        <v>1694.4</v>
      </c>
      <c r="AE19" s="0" t="n">
        <v>2.18</v>
      </c>
      <c r="AF19" s="0" t="n">
        <v>2571.9</v>
      </c>
      <c r="AH19" s="0" t="n">
        <v>62.63</v>
      </c>
    </row>
    <row r="20" customFormat="false" ht="15" hidden="false" customHeight="false" outlineLevel="0" collapsed="false">
      <c r="A20" s="0" t="s">
        <v>87</v>
      </c>
      <c r="B20" s="0" t="n">
        <v>4724.6</v>
      </c>
      <c r="I20" s="0" t="n">
        <v>-669.4</v>
      </c>
      <c r="J20" s="0" t="n">
        <v>-14.2</v>
      </c>
      <c r="K20" s="0" t="n">
        <v>-0.82</v>
      </c>
      <c r="L20" s="0" t="n">
        <v>2084.3</v>
      </c>
      <c r="O20" s="0" t="n">
        <v>31331.5</v>
      </c>
      <c r="P20" s="0" t="n">
        <v>101389.6</v>
      </c>
      <c r="Q20" s="0" t="n">
        <v>66950.8</v>
      </c>
      <c r="R20" s="0" t="n">
        <v>45059.7</v>
      </c>
      <c r="S20" s="0" t="n">
        <v>1302.4</v>
      </c>
      <c r="T20" s="0" t="n">
        <v>795.8</v>
      </c>
      <c r="U20" s="0" t="n">
        <v>-0.8</v>
      </c>
      <c r="W20" s="0" t="n">
        <v>2606.1</v>
      </c>
      <c r="AA20" s="0" t="s">
        <v>17</v>
      </c>
      <c r="AB20" s="0" t="s">
        <v>14</v>
      </c>
      <c r="AC20" s="0" t="n">
        <v>2606.1</v>
      </c>
      <c r="AD20" s="0" t="n">
        <v>1981.6</v>
      </c>
      <c r="AE20" s="0" t="n">
        <v>2.51</v>
      </c>
      <c r="AF20" s="0" t="n">
        <v>3168.1</v>
      </c>
      <c r="AH20" s="0" t="n">
        <v>57.48</v>
      </c>
    </row>
    <row r="21" customFormat="false" ht="15" hidden="false" customHeight="false" outlineLevel="0" collapsed="false">
      <c r="A21" s="0" t="s">
        <v>88</v>
      </c>
      <c r="B21" s="0" t="n">
        <v>4706.9</v>
      </c>
      <c r="I21" s="0" t="n">
        <v>-6756.2</v>
      </c>
      <c r="J21" s="0" t="n">
        <v>-143.5</v>
      </c>
      <c r="K21" s="0" t="n">
        <v>-7.8</v>
      </c>
      <c r="L21" s="0" t="n">
        <v>1901.2</v>
      </c>
      <c r="O21" s="0" t="n">
        <v>25682.6</v>
      </c>
      <c r="P21" s="0" t="n">
        <v>91995.9</v>
      </c>
      <c r="Q21" s="0" t="n">
        <v>62051.3</v>
      </c>
      <c r="R21" s="0" t="n">
        <v>42933</v>
      </c>
      <c r="S21" s="0" t="n">
        <v>1374.4</v>
      </c>
      <c r="T21" s="0" t="n">
        <v>814.6</v>
      </c>
      <c r="U21" s="0" t="n">
        <v>2.9</v>
      </c>
      <c r="W21" s="0" t="n">
        <v>2583.8</v>
      </c>
      <c r="AA21" s="0" t="s">
        <v>17</v>
      </c>
      <c r="AB21" s="0" t="s">
        <v>14</v>
      </c>
      <c r="AC21" s="0" t="n">
        <v>2583.8</v>
      </c>
      <c r="AD21" s="0" t="n">
        <v>1801.6</v>
      </c>
      <c r="AE21" s="0" t="n">
        <v>2.23</v>
      </c>
      <c r="AF21" s="0" t="n">
        <v>3253.4</v>
      </c>
      <c r="AH21" s="0" t="n">
        <v>46.82</v>
      </c>
    </row>
    <row r="22" customFormat="false" ht="15" hidden="false" customHeight="false" outlineLevel="0" collapsed="false">
      <c r="A22" s="0" t="s">
        <v>89</v>
      </c>
      <c r="B22" s="0" t="n">
        <v>4880.5</v>
      </c>
      <c r="I22" s="0" t="n">
        <v>-962.3</v>
      </c>
      <c r="J22" s="0" t="n">
        <v>-19.7</v>
      </c>
      <c r="K22" s="0" t="n">
        <v>-1.09</v>
      </c>
      <c r="L22" s="0" t="n">
        <v>2401.6</v>
      </c>
      <c r="O22" s="0" t="n">
        <v>23996.4</v>
      </c>
      <c r="P22" s="0" t="n">
        <v>90236.3</v>
      </c>
      <c r="Q22" s="0" t="n">
        <v>62109.4</v>
      </c>
      <c r="R22" s="0" t="n">
        <v>42651</v>
      </c>
      <c r="S22" s="0" t="n">
        <v>1756.7</v>
      </c>
      <c r="T22" s="0" t="n">
        <v>822.8</v>
      </c>
      <c r="U22" s="0" t="n">
        <v>10.9</v>
      </c>
      <c r="W22" s="0" t="n">
        <v>2641.8</v>
      </c>
      <c r="AA22" s="0" t="s">
        <v>17</v>
      </c>
      <c r="AB22" s="0" t="s">
        <v>14</v>
      </c>
      <c r="AC22" s="0" t="n">
        <v>2641.8</v>
      </c>
      <c r="AF22" s="0" t="n">
        <v>3323.5</v>
      </c>
      <c r="AH22" s="0" t="n">
        <v>45.23</v>
      </c>
    </row>
    <row r="23" customFormat="false" ht="15" hidden="false" customHeight="false" outlineLevel="0" collapsed="false">
      <c r="A23" s="0" t="s">
        <v>90</v>
      </c>
      <c r="B23" s="0" t="n">
        <v>4749.3</v>
      </c>
      <c r="I23" s="0" t="n">
        <v>4185.5</v>
      </c>
      <c r="J23" s="0" t="n">
        <v>88.1</v>
      </c>
      <c r="K23" s="0" t="n">
        <v>4.47</v>
      </c>
      <c r="L23" s="0" t="n">
        <v>2448.3</v>
      </c>
      <c r="O23" s="0" t="n">
        <v>27466.6</v>
      </c>
      <c r="P23" s="0" t="n">
        <v>93255.3</v>
      </c>
      <c r="Q23" s="0" t="n">
        <v>61087.6</v>
      </c>
      <c r="R23" s="0" t="n">
        <v>42630.3</v>
      </c>
      <c r="S23" s="0" t="n">
        <v>3256.9</v>
      </c>
      <c r="T23" s="0" t="n">
        <v>848.2</v>
      </c>
      <c r="U23" s="0" t="n">
        <v>11.6</v>
      </c>
      <c r="W23" s="0" t="n">
        <v>2800.8</v>
      </c>
      <c r="AA23" s="0" t="s">
        <v>17</v>
      </c>
      <c r="AB23" s="0" t="s">
        <v>14</v>
      </c>
      <c r="AC23" s="0" t="n">
        <v>2800.8</v>
      </c>
      <c r="AF23" s="0" t="n">
        <v>3417.2</v>
      </c>
      <c r="AH23" s="0" t="n">
        <v>46.28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91</v>
      </c>
      <c r="B1" s="2" t="s">
        <v>92</v>
      </c>
    </row>
    <row r="2" customFormat="false" ht="15" hidden="false" customHeight="false" outlineLevel="0" collapsed="false">
      <c r="A2" s="0" t="s">
        <v>93</v>
      </c>
      <c r="B2" s="3" t="n">
        <v>16.565</v>
      </c>
    </row>
    <row r="3" customFormat="false" ht="15" hidden="false" customHeight="false" outlineLevel="0" collapsed="false">
      <c r="A3" s="0" t="s">
        <v>94</v>
      </c>
      <c r="B3" s="3" t="n">
        <v>848.435</v>
      </c>
    </row>
    <row r="4" customFormat="false" ht="15" hidden="false" customHeight="false" outlineLevel="0" collapsed="false">
      <c r="A4" s="0" t="s">
        <v>95</v>
      </c>
      <c r="B4" s="3" t="n">
        <v>0</v>
      </c>
    </row>
    <row r="5" customFormat="false" ht="15" hidden="false" customHeight="false" outlineLevel="0" collapsed="false">
      <c r="A5" s="0" t="s">
        <v>96</v>
      </c>
      <c r="B5" s="3" t="n">
        <v>0</v>
      </c>
    </row>
    <row r="6" customFormat="false" ht="15" hidden="false" customHeight="false" outlineLevel="0" collapsed="false">
      <c r="A6" s="0" t="s">
        <v>97</v>
      </c>
      <c r="B6" s="3" t="n">
        <v>15</v>
      </c>
    </row>
    <row r="7" customFormat="false" ht="15" hidden="false" customHeight="false" outlineLevel="0" collapsed="false">
      <c r="A7" s="0" t="s">
        <v>98</v>
      </c>
      <c r="B7" s="3" t="n">
        <v>3417.2</v>
      </c>
    </row>
    <row r="8" customFormat="false" ht="15" hidden="false" customHeight="false" outlineLevel="0" collapsed="false">
      <c r="A8" s="0" t="s">
        <v>99</v>
      </c>
      <c r="B8" s="3" t="s">
        <v>90</v>
      </c>
    </row>
    <row r="9" customFormat="false" ht="15" hidden="false" customHeight="false" outlineLevel="0" collapsed="false">
      <c r="A9" s="0" t="s">
        <v>100</v>
      </c>
      <c r="B9" s="3" t="s">
        <v>101</v>
      </c>
    </row>
    <row r="10" customFormat="false" ht="15" hidden="false" customHeight="false" outlineLevel="0" collapsed="false">
      <c r="A10" s="0" t="s">
        <v>102</v>
      </c>
      <c r="B10" s="3" t="n">
        <v>1</v>
      </c>
    </row>
    <row r="12" customFormat="false" ht="15" hidden="false" customHeight="false" outlineLevel="0" collapsed="false">
      <c r="A12" s="2" t="s">
        <v>103</v>
      </c>
      <c r="C12" s="2" t="s">
        <v>104</v>
      </c>
      <c r="D12" s="2" t="s">
        <v>105</v>
      </c>
      <c r="E12" s="2" t="s">
        <v>106</v>
      </c>
      <c r="F12" s="2" t="s">
        <v>107</v>
      </c>
      <c r="G12" s="2" t="s">
        <v>108</v>
      </c>
      <c r="H12" s="2" t="s">
        <v>109</v>
      </c>
      <c r="I12" s="2" t="s">
        <v>110</v>
      </c>
      <c r="J12" s="2" t="s">
        <v>111</v>
      </c>
      <c r="K12" s="2" t="s">
        <v>112</v>
      </c>
      <c r="L12" s="2" t="s">
        <v>113</v>
      </c>
    </row>
    <row r="13" customFormat="false" ht="15" hidden="false" customHeight="false" outlineLevel="0" collapsed="false">
      <c r="A13" s="0" t="s">
        <v>114</v>
      </c>
      <c r="C13" s="3" t="n">
        <v>2</v>
      </c>
      <c r="D13" s="3" t="n">
        <v>1.5</v>
      </c>
      <c r="E13" s="3" t="n">
        <v>1.5</v>
      </c>
      <c r="F13" s="3" t="n">
        <v>1.5</v>
      </c>
      <c r="G13" s="3" t="n">
        <v>1.5</v>
      </c>
      <c r="H13" s="3" t="n">
        <v>1.5</v>
      </c>
      <c r="I13" s="3" t="n">
        <v>1.5</v>
      </c>
      <c r="J13" s="3" t="n">
        <v>1.5</v>
      </c>
      <c r="K13" s="3" t="n">
        <v>1.5</v>
      </c>
      <c r="L13" s="3" t="n">
        <v>1.5</v>
      </c>
    </row>
    <row r="14" customFormat="false" ht="15" hidden="false" customHeight="false" outlineLevel="0" collapsed="false">
      <c r="A14" s="0" t="s">
        <v>115</v>
      </c>
      <c r="C14" s="3" t="n">
        <v>58.3</v>
      </c>
      <c r="D14" s="3" t="n">
        <v>57.5</v>
      </c>
      <c r="E14" s="3" t="n">
        <v>56.5</v>
      </c>
      <c r="F14" s="3" t="n">
        <v>55.5</v>
      </c>
      <c r="G14" s="3" t="n">
        <v>54.5</v>
      </c>
      <c r="H14" s="3" t="n">
        <v>54</v>
      </c>
      <c r="I14" s="3" t="n">
        <v>53.5</v>
      </c>
      <c r="J14" s="3" t="n">
        <v>53</v>
      </c>
      <c r="K14" s="3" t="n">
        <v>53</v>
      </c>
      <c r="L14" s="3" t="n">
        <v>53</v>
      </c>
    </row>
    <row r="15" customFormat="false" ht="15" hidden="false" customHeight="false" outlineLevel="0" collapsed="false">
      <c r="A15" s="0" t="s">
        <v>116</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117</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118</v>
      </c>
      <c r="C17" s="3" t="n">
        <v>3.6</v>
      </c>
      <c r="D17" s="3" t="n">
        <v>3.6</v>
      </c>
      <c r="E17" s="3" t="n">
        <v>3.6</v>
      </c>
      <c r="F17" s="3" t="n">
        <v>3.6</v>
      </c>
      <c r="G17" s="3" t="n">
        <v>3.6</v>
      </c>
      <c r="H17" s="3" t="n">
        <v>3.6</v>
      </c>
      <c r="I17" s="3" t="n">
        <v>3.6</v>
      </c>
      <c r="J17" s="3" t="n">
        <v>3.6</v>
      </c>
      <c r="K17" s="3" t="n">
        <v>3.6</v>
      </c>
      <c r="L17" s="3" t="n">
        <v>3.6</v>
      </c>
    </row>
    <row r="18" customFormat="false" ht="15" hidden="false" customHeight="false" outlineLevel="0" collapsed="false">
      <c r="A18" s="0" t="s">
        <v>119</v>
      </c>
      <c r="C18" s="3" t="n">
        <v>18</v>
      </c>
      <c r="D18" s="3" t="n">
        <v>18</v>
      </c>
      <c r="E18" s="3" t="n">
        <v>18</v>
      </c>
      <c r="F18" s="3" t="n">
        <v>18</v>
      </c>
      <c r="G18" s="3" t="n">
        <v>18</v>
      </c>
      <c r="H18" s="3" t="n">
        <v>18</v>
      </c>
      <c r="I18" s="3" t="n">
        <v>18</v>
      </c>
      <c r="J18" s="3" t="n">
        <v>18</v>
      </c>
      <c r="K18" s="3" t="n">
        <v>18</v>
      </c>
      <c r="L18" s="3" t="n">
        <v>18</v>
      </c>
    </row>
    <row r="19" customFormat="false" ht="15" hidden="false" customHeight="false" outlineLevel="0" collapsed="false">
      <c r="A19" s="0" t="s">
        <v>120</v>
      </c>
      <c r="C19" s="3" t="n">
        <v>15</v>
      </c>
      <c r="D19" s="3" t="n">
        <v>15</v>
      </c>
      <c r="E19" s="3" t="n">
        <v>15</v>
      </c>
      <c r="F19" s="3" t="n">
        <v>15</v>
      </c>
      <c r="G19" s="3" t="n">
        <v>15</v>
      </c>
      <c r="H19" s="3" t="n">
        <v>15</v>
      </c>
      <c r="I19" s="3" t="n">
        <v>15</v>
      </c>
      <c r="J19" s="3" t="n">
        <v>15</v>
      </c>
      <c r="K19" s="3" t="n">
        <v>15</v>
      </c>
      <c r="L19" s="3" t="n">
        <v>15</v>
      </c>
    </row>
    <row r="20" customFormat="false" ht="15" hidden="false" customHeight="false" outlineLevel="0" collapsed="false">
      <c r="A20" s="0" t="s">
        <v>121</v>
      </c>
      <c r="B20" s="3" t="n">
        <v>9</v>
      </c>
    </row>
    <row r="21" customFormat="false" ht="15" hidden="false" customHeight="false" outlineLevel="0" collapsed="false">
      <c r="A21" s="0" t="s">
        <v>122</v>
      </c>
      <c r="B21" s="3" t="n">
        <v>1.5</v>
      </c>
    </row>
    <row r="22" customFormat="false" ht="15" hidden="false" customHeight="false" outlineLevel="0" collapsed="false">
      <c r="A22" s="0" t="s">
        <v>123</v>
      </c>
      <c r="B22" s="3" t="n">
        <v>14</v>
      </c>
    </row>
    <row r="23" customFormat="false" ht="15" hidden="false" customHeight="false" outlineLevel="0" collapsed="false">
      <c r="A23" s="0" t="s">
        <v>124</v>
      </c>
      <c r="B23" s="3" t="n">
        <v>0</v>
      </c>
    </row>
    <row r="24" customFormat="false" ht="15" hidden="false" customHeight="false" outlineLevel="0" collapsed="false">
      <c r="A24" s="0" t="s">
        <v>125</v>
      </c>
      <c r="B24" s="3" t="n">
        <v>0.35</v>
      </c>
    </row>
    <row r="26" customFormat="false" ht="15" hidden="false" customHeight="false" outlineLevel="0" collapsed="false">
      <c r="A26" s="2" t="s">
        <v>126</v>
      </c>
      <c r="C26" s="2" t="s">
        <v>104</v>
      </c>
      <c r="D26" s="2" t="s">
        <v>105</v>
      </c>
      <c r="E26" s="2" t="s">
        <v>106</v>
      </c>
      <c r="F26" s="2" t="s">
        <v>107</v>
      </c>
      <c r="G26" s="2" t="s">
        <v>108</v>
      </c>
      <c r="H26" s="2" t="s">
        <v>109</v>
      </c>
      <c r="I26" s="2" t="s">
        <v>110</v>
      </c>
      <c r="J26" s="2" t="s">
        <v>111</v>
      </c>
      <c r="K26" s="2" t="s">
        <v>112</v>
      </c>
      <c r="L26" s="2" t="s">
        <v>113</v>
      </c>
    </row>
    <row r="27" customFormat="false" ht="15" hidden="false" customHeight="false" outlineLevel="0" collapsed="false">
      <c r="A27" s="0" t="s">
        <v>114</v>
      </c>
      <c r="C27" s="3" t="n">
        <v>2.4</v>
      </c>
      <c r="D27" s="3" t="n">
        <v>2.8</v>
      </c>
      <c r="E27" s="3" t="n">
        <v>3</v>
      </c>
      <c r="F27" s="3" t="n">
        <v>3</v>
      </c>
      <c r="G27" s="3" t="n">
        <v>3</v>
      </c>
      <c r="H27" s="3" t="n">
        <v>2.8</v>
      </c>
      <c r="I27" s="3" t="n">
        <v>2.5</v>
      </c>
      <c r="J27" s="3" t="n">
        <v>2.5</v>
      </c>
      <c r="K27" s="3" t="n">
        <v>2.2</v>
      </c>
      <c r="L27" s="3" t="n">
        <v>2</v>
      </c>
    </row>
    <row r="28" customFormat="false" ht="15" hidden="false" customHeight="false" outlineLevel="0" collapsed="false">
      <c r="A28" s="0" t="s">
        <v>115</v>
      </c>
      <c r="C28" s="3" t="n">
        <v>58.7</v>
      </c>
      <c r="D28" s="3" t="n">
        <v>58.9</v>
      </c>
      <c r="E28" s="3" t="n">
        <v>59.2</v>
      </c>
      <c r="F28" s="3" t="n">
        <v>59.4</v>
      </c>
      <c r="G28" s="3" t="n">
        <v>59.5</v>
      </c>
      <c r="H28" s="3" t="n">
        <v>59.5</v>
      </c>
      <c r="I28" s="3" t="n">
        <v>59.5</v>
      </c>
      <c r="J28" s="3" t="n">
        <v>59.5</v>
      </c>
      <c r="K28" s="3" t="n">
        <v>59.5</v>
      </c>
      <c r="L28" s="3" t="n">
        <v>59.5</v>
      </c>
    </row>
    <row r="29" customFormat="false" ht="15" hidden="false" customHeight="false" outlineLevel="0" collapsed="false">
      <c r="A29" s="0" t="s">
        <v>116</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117</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118</v>
      </c>
      <c r="C31" s="3" t="n">
        <v>3.6</v>
      </c>
      <c r="D31" s="3" t="n">
        <v>3.6</v>
      </c>
      <c r="E31" s="3" t="n">
        <v>3.6</v>
      </c>
      <c r="F31" s="3" t="n">
        <v>3.6</v>
      </c>
      <c r="G31" s="3" t="n">
        <v>3.6</v>
      </c>
      <c r="H31" s="3" t="n">
        <v>3.6</v>
      </c>
      <c r="I31" s="3" t="n">
        <v>3.6</v>
      </c>
      <c r="J31" s="3" t="n">
        <v>3.6</v>
      </c>
      <c r="K31" s="3" t="n">
        <v>3.6</v>
      </c>
      <c r="L31" s="3" t="n">
        <v>3.6</v>
      </c>
    </row>
    <row r="32" customFormat="false" ht="15" hidden="false" customHeight="false" outlineLevel="0" collapsed="false">
      <c r="A32" s="0" t="s">
        <v>119</v>
      </c>
      <c r="C32" s="3" t="n">
        <v>17</v>
      </c>
      <c r="D32" s="3" t="n">
        <v>17</v>
      </c>
      <c r="E32" s="3" t="n">
        <v>17</v>
      </c>
      <c r="F32" s="3" t="n">
        <v>17</v>
      </c>
      <c r="G32" s="3" t="n">
        <v>17</v>
      </c>
      <c r="H32" s="3" t="n">
        <v>17</v>
      </c>
      <c r="I32" s="3" t="n">
        <v>17</v>
      </c>
      <c r="J32" s="3" t="n">
        <v>17</v>
      </c>
      <c r="K32" s="3" t="n">
        <v>17</v>
      </c>
      <c r="L32" s="3" t="n">
        <v>17</v>
      </c>
    </row>
    <row r="33" customFormat="false" ht="15" hidden="false" customHeight="false" outlineLevel="0" collapsed="false">
      <c r="A33" s="0" t="s">
        <v>120</v>
      </c>
      <c r="C33" s="3" t="n">
        <v>12.5</v>
      </c>
      <c r="D33" s="3" t="n">
        <v>12.5</v>
      </c>
      <c r="E33" s="3" t="n">
        <v>12.5</v>
      </c>
      <c r="F33" s="3" t="n">
        <v>12.5</v>
      </c>
      <c r="G33" s="3" t="n">
        <v>12.5</v>
      </c>
      <c r="H33" s="3" t="n">
        <v>12.5</v>
      </c>
      <c r="I33" s="3" t="n">
        <v>12.5</v>
      </c>
      <c r="J33" s="3" t="n">
        <v>12.5</v>
      </c>
      <c r="K33" s="3" t="n">
        <v>12.5</v>
      </c>
      <c r="L33" s="3" t="n">
        <v>12.5</v>
      </c>
    </row>
    <row r="34" customFormat="false" ht="15" hidden="false" customHeight="false" outlineLevel="0" collapsed="false">
      <c r="A34" s="0" t="s">
        <v>121</v>
      </c>
      <c r="B34" s="3" t="n">
        <v>9</v>
      </c>
    </row>
    <row r="35" customFormat="false" ht="15" hidden="false" customHeight="false" outlineLevel="0" collapsed="false">
      <c r="A35" s="0" t="s">
        <v>122</v>
      </c>
      <c r="B35" s="3" t="n">
        <v>2</v>
      </c>
    </row>
    <row r="36" customFormat="false" ht="15" hidden="false" customHeight="false" outlineLevel="0" collapsed="false">
      <c r="A36" s="0" t="s">
        <v>123</v>
      </c>
      <c r="B36" s="3" t="n">
        <v>16</v>
      </c>
    </row>
    <row r="37" customFormat="false" ht="15" hidden="false" customHeight="false" outlineLevel="0" collapsed="false">
      <c r="A37" s="0" t="s">
        <v>124</v>
      </c>
      <c r="B37" s="3" t="n">
        <v>0</v>
      </c>
    </row>
    <row r="38" customFormat="false" ht="15" hidden="false" customHeight="false" outlineLevel="0" collapsed="false">
      <c r="A38" s="0" t="s">
        <v>125</v>
      </c>
      <c r="B38" s="3" t="n">
        <v>0.45</v>
      </c>
    </row>
    <row r="40" customFormat="false" ht="15" hidden="false" customHeight="false" outlineLevel="0" collapsed="false">
      <c r="A40" s="2" t="s">
        <v>127</v>
      </c>
      <c r="C40" s="2" t="s">
        <v>104</v>
      </c>
      <c r="D40" s="2" t="s">
        <v>105</v>
      </c>
      <c r="E40" s="2" t="s">
        <v>106</v>
      </c>
      <c r="F40" s="2" t="s">
        <v>107</v>
      </c>
      <c r="G40" s="2" t="s">
        <v>108</v>
      </c>
      <c r="H40" s="2" t="s">
        <v>109</v>
      </c>
      <c r="I40" s="2" t="s">
        <v>110</v>
      </c>
      <c r="J40" s="2" t="s">
        <v>111</v>
      </c>
      <c r="K40" s="2" t="s">
        <v>112</v>
      </c>
      <c r="L40" s="2" t="s">
        <v>113</v>
      </c>
    </row>
    <row r="41" customFormat="false" ht="15" hidden="false" customHeight="false" outlineLevel="0" collapsed="false">
      <c r="A41" s="0" t="s">
        <v>114</v>
      </c>
      <c r="C41" s="3" t="n">
        <v>2.4</v>
      </c>
      <c r="D41" s="3" t="n">
        <v>3.2</v>
      </c>
      <c r="E41" s="3" t="n">
        <v>3.5</v>
      </c>
      <c r="F41" s="3" t="n">
        <v>3.5</v>
      </c>
      <c r="G41" s="3" t="n">
        <v>3.5</v>
      </c>
      <c r="H41" s="3" t="n">
        <v>3.2</v>
      </c>
      <c r="I41" s="3" t="n">
        <v>3</v>
      </c>
      <c r="J41" s="3" t="n">
        <v>3</v>
      </c>
      <c r="K41" s="3" t="n">
        <v>2.8</v>
      </c>
      <c r="L41" s="3" t="n">
        <v>2.5</v>
      </c>
    </row>
    <row r="42" customFormat="false" ht="15" hidden="false" customHeight="false" outlineLevel="0" collapsed="false">
      <c r="A42" s="0" t="s">
        <v>115</v>
      </c>
      <c r="C42" s="3" t="n">
        <v>58.9</v>
      </c>
      <c r="D42" s="3" t="n">
        <v>59.8</v>
      </c>
      <c r="E42" s="3" t="n">
        <v>60.8</v>
      </c>
      <c r="F42" s="3" t="n">
        <v>61.8</v>
      </c>
      <c r="G42" s="3" t="n">
        <v>62.5</v>
      </c>
      <c r="H42" s="3" t="n">
        <v>63</v>
      </c>
      <c r="I42" s="3" t="n">
        <v>63.5</v>
      </c>
      <c r="J42" s="3" t="n">
        <v>64</v>
      </c>
      <c r="K42" s="3" t="n">
        <v>64</v>
      </c>
      <c r="L42" s="3" t="n">
        <v>64</v>
      </c>
    </row>
    <row r="43" customFormat="false" ht="15" hidden="false" customHeight="false" outlineLevel="0" collapsed="false">
      <c r="A43" s="0" t="s">
        <v>116</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117</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118</v>
      </c>
      <c r="C45" s="3" t="n">
        <v>3.6</v>
      </c>
      <c r="D45" s="3" t="n">
        <v>3.6</v>
      </c>
      <c r="E45" s="3" t="n">
        <v>3.6</v>
      </c>
      <c r="F45" s="3" t="n">
        <v>3.6</v>
      </c>
      <c r="G45" s="3" t="n">
        <v>3.6</v>
      </c>
      <c r="H45" s="3" t="n">
        <v>3.6</v>
      </c>
      <c r="I45" s="3" t="n">
        <v>3.6</v>
      </c>
      <c r="J45" s="3" t="n">
        <v>3.6</v>
      </c>
      <c r="K45" s="3" t="n">
        <v>3.6</v>
      </c>
      <c r="L45" s="3" t="n">
        <v>3.6</v>
      </c>
    </row>
    <row r="46" customFormat="false" ht="15" hidden="false" customHeight="false" outlineLevel="0" collapsed="false">
      <c r="A46" s="0" t="s">
        <v>119</v>
      </c>
      <c r="C46" s="3" t="n">
        <v>16</v>
      </c>
      <c r="D46" s="3" t="n">
        <v>16</v>
      </c>
      <c r="E46" s="3" t="n">
        <v>16</v>
      </c>
      <c r="F46" s="3" t="n">
        <v>16</v>
      </c>
      <c r="G46" s="3" t="n">
        <v>16</v>
      </c>
      <c r="H46" s="3" t="n">
        <v>16</v>
      </c>
      <c r="I46" s="3" t="n">
        <v>16</v>
      </c>
      <c r="J46" s="3" t="n">
        <v>16</v>
      </c>
      <c r="K46" s="3" t="n">
        <v>16</v>
      </c>
      <c r="L46" s="3" t="n">
        <v>16</v>
      </c>
    </row>
    <row r="47" customFormat="false" ht="15" hidden="false" customHeight="false" outlineLevel="0" collapsed="false">
      <c r="A47" s="0" t="s">
        <v>120</v>
      </c>
      <c r="C47" s="3" t="n">
        <v>12</v>
      </c>
      <c r="D47" s="3" t="n">
        <v>12</v>
      </c>
      <c r="E47" s="3" t="n">
        <v>12</v>
      </c>
      <c r="F47" s="3" t="n">
        <v>12</v>
      </c>
      <c r="G47" s="3" t="n">
        <v>12</v>
      </c>
      <c r="H47" s="3" t="n">
        <v>12</v>
      </c>
      <c r="I47" s="3" t="n">
        <v>12</v>
      </c>
      <c r="J47" s="3" t="n">
        <v>12</v>
      </c>
      <c r="K47" s="3" t="n">
        <v>12</v>
      </c>
      <c r="L47" s="3" t="n">
        <v>12</v>
      </c>
    </row>
    <row r="48" customFormat="false" ht="15" hidden="false" customHeight="false" outlineLevel="0" collapsed="false">
      <c r="A48" s="0" t="s">
        <v>121</v>
      </c>
      <c r="B48" s="3" t="n">
        <v>9</v>
      </c>
    </row>
    <row r="49" customFormat="false" ht="15" hidden="false" customHeight="false" outlineLevel="0" collapsed="false">
      <c r="A49" s="0" t="s">
        <v>122</v>
      </c>
      <c r="B49" s="3" t="n">
        <v>3</v>
      </c>
    </row>
    <row r="50" customFormat="false" ht="15" hidden="false" customHeight="false" outlineLevel="0" collapsed="false">
      <c r="A50" s="0" t="s">
        <v>123</v>
      </c>
      <c r="B50" s="3" t="n">
        <v>18</v>
      </c>
    </row>
    <row r="51" customFormat="false" ht="15" hidden="false" customHeight="false" outlineLevel="0" collapsed="false">
      <c r="A51" s="0" t="s">
        <v>124</v>
      </c>
      <c r="B51" s="3" t="n">
        <v>0</v>
      </c>
    </row>
    <row r="52" customFormat="false" ht="15" hidden="false" customHeight="false" outlineLevel="0" collapsed="false">
      <c r="A52" s="0" t="s">
        <v>125</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128</v>
      </c>
    </row>
    <row r="3" customFormat="false" ht="15" hidden="false" customHeight="false" outlineLevel="0" collapsed="false">
      <c r="A3" s="0" t="s">
        <v>129</v>
      </c>
      <c r="B3" s="0" t="s">
        <v>90</v>
      </c>
      <c r="C3" s="2" t="s">
        <v>104</v>
      </c>
      <c r="D3" s="2" t="s">
        <v>105</v>
      </c>
      <c r="E3" s="2" t="s">
        <v>106</v>
      </c>
      <c r="F3" s="2" t="s">
        <v>107</v>
      </c>
      <c r="G3" s="2" t="s">
        <v>108</v>
      </c>
      <c r="H3" s="2" t="s">
        <v>109</v>
      </c>
      <c r="I3" s="2" t="s">
        <v>110</v>
      </c>
      <c r="J3" s="2" t="s">
        <v>111</v>
      </c>
      <c r="K3" s="2" t="s">
        <v>112</v>
      </c>
      <c r="L3" s="2" t="s">
        <v>113</v>
      </c>
    </row>
    <row r="4" customFormat="false" ht="15" hidden="false" customHeight="false" outlineLevel="0" collapsed="false">
      <c r="A4" s="0" t="s">
        <v>130</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114</v>
      </c>
      <c r="C5" s="4" t="n">
        <f aca="false">Assumptions!C13</f>
        <v>2</v>
      </c>
      <c r="D5" s="4" t="n">
        <f aca="false">Assumptions!D13</f>
        <v>1.5</v>
      </c>
      <c r="E5" s="4" t="n">
        <f aca="false">Assumptions!E13</f>
        <v>1.5</v>
      </c>
      <c r="F5" s="4" t="n">
        <f aca="false">Assumptions!F13</f>
        <v>1.5</v>
      </c>
      <c r="G5" s="4" t="n">
        <f aca="false">Assumptions!G13</f>
        <v>1.5</v>
      </c>
      <c r="H5" s="4" t="n">
        <f aca="false">Assumptions!H13</f>
        <v>1.5</v>
      </c>
      <c r="I5" s="4" t="n">
        <f aca="false">Assumptions!I13</f>
        <v>1.5</v>
      </c>
      <c r="J5" s="4" t="n">
        <f aca="false">Assumptions!J13</f>
        <v>1.5</v>
      </c>
      <c r="K5" s="4" t="n">
        <f aca="false">Assumptions!K13</f>
        <v>1.5</v>
      </c>
      <c r="L5" s="4" t="n">
        <f aca="false">Assumptions!L13</f>
        <v>1.5</v>
      </c>
    </row>
    <row r="6" customFormat="false" ht="15" hidden="false" customHeight="false" outlineLevel="0" collapsed="false">
      <c r="A6" s="0" t="s">
        <v>37</v>
      </c>
      <c r="B6" s="3" t="n">
        <v>3417.2</v>
      </c>
      <c r="C6" s="0" t="n">
        <f aca="false">B6*(1+C5/100)</f>
        <v>3485.544</v>
      </c>
      <c r="D6" s="0" t="n">
        <f aca="false">C6*(1+D5/100)</f>
        <v>3537.82716</v>
      </c>
      <c r="E6" s="0" t="n">
        <f aca="false">D6*(1+E5/100)</f>
        <v>3590.8945674</v>
      </c>
      <c r="F6" s="0" t="n">
        <f aca="false">E6*(1+F5/100)</f>
        <v>3644.757985911</v>
      </c>
      <c r="G6" s="0" t="n">
        <f aca="false">F6*(1+G5/100)</f>
        <v>3699.42935569966</v>
      </c>
      <c r="H6" s="0" t="n">
        <f aca="false">G6*(1+H5/100)</f>
        <v>3754.92079603516</v>
      </c>
      <c r="I6" s="0" t="n">
        <f aca="false">H6*(1+I5/100)</f>
        <v>3811.24460797569</v>
      </c>
      <c r="J6" s="0" t="n">
        <f aca="false">I6*(1+J5/100)</f>
        <v>3868.41327709532</v>
      </c>
      <c r="K6" s="0" t="n">
        <f aca="false">J6*(1+K5/100)</f>
        <v>3926.43947625175</v>
      </c>
      <c r="L6" s="0" t="n">
        <f aca="false">K6*(1+L5/100)</f>
        <v>3985.33606839553</v>
      </c>
    </row>
    <row r="7" customFormat="false" ht="15" hidden="false" customHeight="false" outlineLevel="0" collapsed="false">
      <c r="A7" s="0" t="s">
        <v>115</v>
      </c>
      <c r="C7" s="4" t="n">
        <f aca="false">Assumptions!C14</f>
        <v>58.3</v>
      </c>
      <c r="D7" s="4" t="n">
        <f aca="false">Assumptions!D14</f>
        <v>57.5</v>
      </c>
      <c r="E7" s="4" t="n">
        <f aca="false">Assumptions!E14</f>
        <v>56.5</v>
      </c>
      <c r="F7" s="4" t="n">
        <f aca="false">Assumptions!F14</f>
        <v>55.5</v>
      </c>
      <c r="G7" s="4" t="n">
        <f aca="false">Assumptions!G14</f>
        <v>54.5</v>
      </c>
      <c r="H7" s="4" t="n">
        <f aca="false">Assumptions!H14</f>
        <v>54</v>
      </c>
      <c r="I7" s="4" t="n">
        <f aca="false">Assumptions!I14</f>
        <v>53.5</v>
      </c>
      <c r="J7" s="4" t="n">
        <f aca="false">Assumptions!J14</f>
        <v>53</v>
      </c>
      <c r="K7" s="4" t="n">
        <f aca="false">Assumptions!K14</f>
        <v>53</v>
      </c>
      <c r="L7" s="4" t="n">
        <f aca="false">Assumptions!L14</f>
        <v>53</v>
      </c>
    </row>
    <row r="8" customFormat="false" ht="15" hidden="false" customHeight="false" outlineLevel="0" collapsed="false">
      <c r="A8" s="0" t="s">
        <v>43</v>
      </c>
      <c r="C8" s="0" t="n">
        <f aca="false">C6*C7/100</f>
        <v>2032.072152</v>
      </c>
      <c r="D8" s="0" t="n">
        <f aca="false">D6*D7/100</f>
        <v>2034.250617</v>
      </c>
      <c r="E8" s="0" t="n">
        <f aca="false">E6*E7/100</f>
        <v>2028.855430581</v>
      </c>
      <c r="F8" s="0" t="n">
        <f aca="false">F6*F7/100</f>
        <v>2022.8406821806</v>
      </c>
      <c r="G8" s="0" t="n">
        <f aca="false">G6*G7/100</f>
        <v>2016.18899885632</v>
      </c>
      <c r="H8" s="0" t="n">
        <f aca="false">H6*H7/100</f>
        <v>2027.65722985899</v>
      </c>
      <c r="I8" s="0" t="n">
        <f aca="false">I6*I7/100</f>
        <v>2039.01586526699</v>
      </c>
      <c r="J8" s="0" t="n">
        <f aca="false">J6*J7/100</f>
        <v>2050.25903686052</v>
      </c>
      <c r="K8" s="0" t="n">
        <f aca="false">K6*K7/100</f>
        <v>2081.01292241343</v>
      </c>
      <c r="L8" s="0" t="n">
        <f aca="false">L6*L7/100</f>
        <v>2112.22811624963</v>
      </c>
    </row>
    <row r="9" customFormat="false" ht="15" hidden="false" customHeight="false" outlineLevel="0" collapsed="false">
      <c r="A9" s="0" t="s">
        <v>116</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131</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132</v>
      </c>
      <c r="C11" s="0" t="n">
        <f aca="false">C8+C10+C24</f>
        <v>2032.072152</v>
      </c>
      <c r="D11" s="0" t="n">
        <f aca="false">D8+D10+D24</f>
        <v>2034.250617</v>
      </c>
      <c r="E11" s="0" t="n">
        <f aca="false">E8+E10+E24</f>
        <v>2028.855430581</v>
      </c>
      <c r="F11" s="0" t="n">
        <f aca="false">F8+F10+F24</f>
        <v>2022.8406821806</v>
      </c>
      <c r="G11" s="0" t="n">
        <f aca="false">G8+G10+G24</f>
        <v>2016.18899885632</v>
      </c>
      <c r="H11" s="0" t="n">
        <f aca="false">H8+H10+H24</f>
        <v>2027.65722985899</v>
      </c>
      <c r="I11" s="0" t="n">
        <f aca="false">I8+I10+I24</f>
        <v>2039.01586526699</v>
      </c>
      <c r="J11" s="0" t="n">
        <f aca="false">J8+J10+J24</f>
        <v>2050.25903686052</v>
      </c>
      <c r="K11" s="0" t="n">
        <f aca="false">K8+K10+K24</f>
        <v>2081.01292241343</v>
      </c>
      <c r="L11" s="0" t="n">
        <f aca="false">L8+L10+L24</f>
        <v>2112.22811624963</v>
      </c>
    </row>
    <row r="12" customFormat="false" ht="15" hidden="false" customHeight="false" outlineLevel="0" collapsed="false">
      <c r="A12" s="0" t="s">
        <v>133</v>
      </c>
      <c r="C12" s="4" t="n">
        <f aca="false">-C6*Assumptions!C17/100</f>
        <v>-125.479584</v>
      </c>
      <c r="D12" s="4" t="n">
        <f aca="false">-D6*Assumptions!D17/100</f>
        <v>-127.36177776</v>
      </c>
      <c r="E12" s="4" t="n">
        <f aca="false">-E6*Assumptions!E17/100</f>
        <v>-129.2722044264</v>
      </c>
      <c r="F12" s="4" t="n">
        <f aca="false">-F6*Assumptions!F17/100</f>
        <v>-131.211287492796</v>
      </c>
      <c r="G12" s="4" t="n">
        <f aca="false">-G6*Assumptions!G17/100</f>
        <v>-133.179456805188</v>
      </c>
      <c r="H12" s="4" t="n">
        <f aca="false">-H6*Assumptions!H17/100</f>
        <v>-135.177148657266</v>
      </c>
      <c r="I12" s="4" t="n">
        <f aca="false">-I6*Assumptions!I17/100</f>
        <v>-137.204805887125</v>
      </c>
      <c r="J12" s="4" t="n">
        <f aca="false">-J6*Assumptions!J17/100</f>
        <v>-139.262877975432</v>
      </c>
      <c r="K12" s="4" t="n">
        <f aca="false">-K6*Assumptions!K17/100</f>
        <v>-141.351821145063</v>
      </c>
      <c r="L12" s="4" t="n">
        <f aca="false">-L6*Assumptions!L17/100</f>
        <v>-143.472098462239</v>
      </c>
    </row>
    <row r="13" customFormat="false" ht="15" hidden="false" customHeight="false" outlineLevel="0" collapsed="false">
      <c r="A13" s="0" t="s">
        <v>134</v>
      </c>
      <c r="C13" s="0" t="n">
        <f aca="false">C11+C12</f>
        <v>1906.592568</v>
      </c>
      <c r="D13" s="0" t="n">
        <f aca="false">D11+D12</f>
        <v>1906.88883924</v>
      </c>
      <c r="E13" s="0" t="n">
        <f aca="false">E11+E12</f>
        <v>1899.5832261546</v>
      </c>
      <c r="F13" s="0" t="n">
        <f aca="false">F11+F12</f>
        <v>1891.62939468781</v>
      </c>
      <c r="G13" s="0" t="n">
        <f aca="false">G11+G12</f>
        <v>1883.00954205113</v>
      </c>
      <c r="H13" s="0" t="n">
        <f aca="false">H11+H12</f>
        <v>1892.48008120172</v>
      </c>
      <c r="I13" s="0" t="n">
        <f aca="false">I11+I12</f>
        <v>1901.81105937987</v>
      </c>
      <c r="J13" s="0" t="n">
        <f aca="false">J11+J12</f>
        <v>1910.99615888509</v>
      </c>
      <c r="K13" s="0" t="n">
        <f aca="false">K11+K12</f>
        <v>1939.66110126836</v>
      </c>
      <c r="L13" s="0" t="n">
        <f aca="false">L11+L12</f>
        <v>1968.75601778739</v>
      </c>
    </row>
    <row r="14" customFormat="false" ht="15" hidden="false" customHeight="false" outlineLevel="0" collapsed="false">
      <c r="A14" s="0" t="s">
        <v>120</v>
      </c>
      <c r="C14" s="4" t="n">
        <f aca="false">Assumptions!C19</f>
        <v>15</v>
      </c>
      <c r="D14" s="4" t="n">
        <f aca="false">Assumptions!D19</f>
        <v>15</v>
      </c>
      <c r="E14" s="4" t="n">
        <f aca="false">Assumptions!E19</f>
        <v>15</v>
      </c>
      <c r="F14" s="4" t="n">
        <f aca="false">Assumptions!F19</f>
        <v>15</v>
      </c>
      <c r="G14" s="4" t="n">
        <f aca="false">Assumptions!G19</f>
        <v>15</v>
      </c>
      <c r="H14" s="4" t="n">
        <f aca="false">Assumptions!H19</f>
        <v>15</v>
      </c>
      <c r="I14" s="4" t="n">
        <f aca="false">Assumptions!I19</f>
        <v>15</v>
      </c>
      <c r="J14" s="4" t="n">
        <f aca="false">Assumptions!J19</f>
        <v>15</v>
      </c>
      <c r="K14" s="4" t="n">
        <f aca="false">Assumptions!K19</f>
        <v>15</v>
      </c>
      <c r="L14" s="4" t="n">
        <f aca="false">Assumptions!L19</f>
        <v>15</v>
      </c>
    </row>
    <row r="15" customFormat="false" ht="15" hidden="false" customHeight="false" outlineLevel="0" collapsed="false">
      <c r="A15" s="0" t="s">
        <v>135</v>
      </c>
      <c r="C15" s="0" t="n">
        <f aca="false">C13-MAX(0,C13)*C14/100</f>
        <v>1620.6036828</v>
      </c>
      <c r="D15" s="0" t="n">
        <f aca="false">D13-MAX(0,D13)*D14/100</f>
        <v>1620.855513354</v>
      </c>
      <c r="E15" s="0" t="n">
        <f aca="false">E13-MAX(0,E13)*E14/100</f>
        <v>1614.64574223141</v>
      </c>
      <c r="F15" s="0" t="n">
        <f aca="false">F13-MAX(0,F13)*F14/100</f>
        <v>1607.88498548464</v>
      </c>
      <c r="G15" s="0" t="n">
        <f aca="false">G13-MAX(0,G13)*G14/100</f>
        <v>1600.55811074346</v>
      </c>
      <c r="H15" s="0" t="n">
        <f aca="false">H13-MAX(0,H13)*H14/100</f>
        <v>1608.60806902146</v>
      </c>
      <c r="I15" s="0" t="n">
        <f aca="false">I13-MAX(0,I13)*I14/100</f>
        <v>1616.53940047289</v>
      </c>
      <c r="J15" s="0" t="n">
        <f aca="false">J13-MAX(0,J13)*J14/100</f>
        <v>1624.34673505233</v>
      </c>
      <c r="K15" s="0" t="n">
        <f aca="false">K13-MAX(0,K13)*K14/100</f>
        <v>1648.71193607811</v>
      </c>
      <c r="L15" s="0" t="n">
        <f aca="false">L13-MAX(0,L13)*L14/100</f>
        <v>1673.44261511928</v>
      </c>
    </row>
    <row r="16" customFormat="false" ht="15" hidden="false" customHeight="false" outlineLevel="0" collapsed="false">
      <c r="A16" s="0" t="s">
        <v>136</v>
      </c>
      <c r="C16" s="0" t="n">
        <f aca="false">-C12</f>
        <v>125.479584</v>
      </c>
      <c r="D16" s="0" t="n">
        <f aca="false">-D12</f>
        <v>127.36177776</v>
      </c>
      <c r="E16" s="0" t="n">
        <f aca="false">-E12</f>
        <v>129.2722044264</v>
      </c>
      <c r="F16" s="0" t="n">
        <f aca="false">-F12</f>
        <v>131.211287492796</v>
      </c>
      <c r="G16" s="0" t="n">
        <f aca="false">-G12</f>
        <v>133.179456805188</v>
      </c>
      <c r="H16" s="0" t="n">
        <f aca="false">-H12</f>
        <v>135.177148657266</v>
      </c>
      <c r="I16" s="0" t="n">
        <f aca="false">-I12</f>
        <v>137.204805887125</v>
      </c>
      <c r="J16" s="0" t="n">
        <f aca="false">-J12</f>
        <v>139.262877975432</v>
      </c>
      <c r="K16" s="0" t="n">
        <f aca="false">-K12</f>
        <v>141.351821145063</v>
      </c>
      <c r="L16" s="0" t="n">
        <f aca="false">-L12</f>
        <v>143.472098462239</v>
      </c>
    </row>
    <row r="17" customFormat="false" ht="15" hidden="false" customHeight="false" outlineLevel="0" collapsed="false">
      <c r="A17" s="0" t="s">
        <v>137</v>
      </c>
      <c r="C17" s="4" t="n">
        <f aca="false">-C6*Assumptions!C18/100</f>
        <v>-627.39792</v>
      </c>
      <c r="D17" s="4" t="n">
        <f aca="false">-D6*Assumptions!D18/100</f>
        <v>-636.8088888</v>
      </c>
      <c r="E17" s="4" t="n">
        <f aca="false">-E6*Assumptions!E18/100</f>
        <v>-646.361022132</v>
      </c>
      <c r="F17" s="4" t="n">
        <f aca="false">-F6*Assumptions!F18/100</f>
        <v>-656.05643746398</v>
      </c>
      <c r="G17" s="4" t="n">
        <f aca="false">-G6*Assumptions!G18/100</f>
        <v>-665.89728402594</v>
      </c>
      <c r="H17" s="4" t="n">
        <f aca="false">-H6*Assumptions!H18/100</f>
        <v>-675.885743286329</v>
      </c>
      <c r="I17" s="4" t="n">
        <f aca="false">-I6*Assumptions!I18/100</f>
        <v>-686.024029435623</v>
      </c>
      <c r="J17" s="4" t="n">
        <f aca="false">-J6*Assumptions!J18/100</f>
        <v>-696.314389877158</v>
      </c>
      <c r="K17" s="4" t="n">
        <f aca="false">-K6*Assumptions!K18/100</f>
        <v>-706.759105725315</v>
      </c>
      <c r="L17" s="4" t="n">
        <f aca="false">-L6*Assumptions!L18/100</f>
        <v>-717.360492311195</v>
      </c>
    </row>
    <row r="18" customFormat="false" ht="15" hidden="false" customHeight="false" outlineLevel="0" collapsed="false">
      <c r="A18" s="0" t="s">
        <v>138</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139</v>
      </c>
      <c r="C19" s="0" t="n">
        <f aca="false">C15+C16+C17+C18</f>
        <v>1118.6853468</v>
      </c>
      <c r="D19" s="0" t="n">
        <f aca="false">D15+D16+D17+D18</f>
        <v>1111.408402314</v>
      </c>
      <c r="E19" s="0" t="n">
        <f aca="false">E15+E16+E17+E18</f>
        <v>1097.55692452581</v>
      </c>
      <c r="F19" s="0" t="n">
        <f aca="false">F15+F16+F17+F18</f>
        <v>1083.03983551345</v>
      </c>
      <c r="G19" s="0" t="n">
        <f aca="false">G15+G16+G17+G18</f>
        <v>1067.84028352271</v>
      </c>
      <c r="H19" s="0" t="n">
        <f aca="false">H15+H16+H17+H18</f>
        <v>1067.8994743924</v>
      </c>
      <c r="I19" s="0" t="n">
        <f aca="false">I15+I16+I17+I18</f>
        <v>1067.72017692439</v>
      </c>
      <c r="J19" s="0" t="n">
        <f aca="false">J15+J16+J17+J18</f>
        <v>1067.2952231506</v>
      </c>
      <c r="K19" s="0" t="n">
        <f aca="false">K15+K16+K17+K18</f>
        <v>1083.30465149786</v>
      </c>
      <c r="L19" s="0" t="n">
        <f aca="false">L15+L16+L17+L18</f>
        <v>1099.55422127033</v>
      </c>
    </row>
    <row r="20" customFormat="false" ht="15" hidden="false" customHeight="false" outlineLevel="0" collapsed="false">
      <c r="A20" s="0" t="s">
        <v>140</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141</v>
      </c>
      <c r="C21" s="0" t="n">
        <f aca="false">C19*C20</f>
        <v>1026.31683192661</v>
      </c>
      <c r="D21" s="0" t="n">
        <f aca="false">D19*D20</f>
        <v>935.450216576046</v>
      </c>
      <c r="E21" s="0" t="n">
        <f aca="false">E19*E20</f>
        <v>847.515325545459</v>
      </c>
      <c r="F21" s="0" t="n">
        <f aca="false">F19*F20</f>
        <v>767.252724065634</v>
      </c>
      <c r="G21" s="0" t="n">
        <f aca="false">G19*G20</f>
        <v>694.022915815132</v>
      </c>
      <c r="H21" s="0" t="n">
        <f aca="false">H19*H20</f>
        <v>636.753564971675</v>
      </c>
      <c r="I21" s="0" t="n">
        <f aca="false">I19*I20</f>
        <v>584.079500687806</v>
      </c>
      <c r="J21" s="0" t="n">
        <f aca="false">J19*J20</f>
        <v>535.639482955108</v>
      </c>
      <c r="K21" s="0" t="n">
        <f aca="false">K19*K20</f>
        <v>498.783555228839</v>
      </c>
      <c r="L21" s="0" t="n">
        <f aca="false">L19*L20</f>
        <v>464.463585832359</v>
      </c>
    </row>
    <row r="23" customFormat="false" ht="15" hidden="false" customHeight="false" outlineLevel="0" collapsed="false">
      <c r="A23" s="0" t="s">
        <v>117</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142</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143</v>
      </c>
    </row>
    <row r="27" customFormat="false" ht="15" hidden="false" customHeight="false" outlineLevel="0" collapsed="false">
      <c r="A27" s="0" t="s">
        <v>121</v>
      </c>
      <c r="B27" s="4" t="n">
        <f aca="false">Assumptions!$B$20</f>
        <v>9</v>
      </c>
    </row>
    <row r="28" customFormat="false" ht="15" hidden="false" customHeight="false" outlineLevel="0" collapsed="false">
      <c r="A28" s="0" t="s">
        <v>122</v>
      </c>
      <c r="B28" s="4" t="n">
        <f aca="false">Assumptions!$B$21</f>
        <v>1.5</v>
      </c>
    </row>
    <row r="29" customFormat="false" ht="15" hidden="false" customHeight="false" outlineLevel="0" collapsed="false">
      <c r="A29" s="0" t="s">
        <v>123</v>
      </c>
      <c r="B29" s="4" t="n">
        <f aca="false">Assumptions!$B$22</f>
        <v>14</v>
      </c>
    </row>
    <row r="30" customFormat="false" ht="15" hidden="false" customHeight="false" outlineLevel="0" collapsed="false">
      <c r="A30" s="0" t="s">
        <v>144</v>
      </c>
      <c r="B30" s="0" t="n">
        <f aca="false">SUM(C21:L21)</f>
        <v>6990.27770360466</v>
      </c>
    </row>
    <row r="31" customFormat="false" ht="15" hidden="false" customHeight="false" outlineLevel="0" collapsed="false">
      <c r="A31" s="0" t="s">
        <v>145</v>
      </c>
      <c r="B31" s="0" t="n">
        <f aca="false">L19</f>
        <v>1099.55422127033</v>
      </c>
    </row>
    <row r="32" customFormat="false" ht="15" hidden="false" customHeight="false" outlineLevel="0" collapsed="false">
      <c r="A32" s="0" t="s">
        <v>146</v>
      </c>
      <c r="B32" s="0" t="n">
        <f aca="false">IF(B27&gt;B28,B31*(1+B28/100)/((B27-B28)/100),B31*B29)</f>
        <v>14880.6337945251</v>
      </c>
    </row>
    <row r="33" customFormat="false" ht="15" hidden="false" customHeight="false" outlineLevel="0" collapsed="false">
      <c r="A33" s="0" t="s">
        <v>147</v>
      </c>
      <c r="B33" s="0" t="n">
        <f aca="false">B31*B29</f>
        <v>15393.7590977846</v>
      </c>
    </row>
    <row r="34" customFormat="false" ht="15" hidden="false" customHeight="false" outlineLevel="0" collapsed="false">
      <c r="A34" s="0" t="s">
        <v>148</v>
      </c>
      <c r="B34" s="0" t="n">
        <f aca="false">MAX(0,MIN(B32,B33))</f>
        <v>14880.6337945251</v>
      </c>
    </row>
    <row r="35" customFormat="false" ht="15" hidden="false" customHeight="false" outlineLevel="0" collapsed="false">
      <c r="A35" s="0" t="s">
        <v>149</v>
      </c>
      <c r="B35" s="0" t="n">
        <f aca="false">B34/(1+B27/100)^L4</f>
        <v>6285.74052826459</v>
      </c>
    </row>
    <row r="36" customFormat="false" ht="15" hidden="false" customHeight="false" outlineLevel="0" collapsed="false">
      <c r="A36" s="0" t="s">
        <v>150</v>
      </c>
      <c r="B36" s="0" t="n">
        <f aca="false">B30+B35</f>
        <v>13276.0182318693</v>
      </c>
    </row>
    <row r="37" customFormat="false" ht="15" hidden="false" customHeight="false" outlineLevel="0" collapsed="false">
      <c r="A37" s="0" t="s">
        <v>151</v>
      </c>
      <c r="B37" s="0" t="n">
        <f aca="false">B36+Assumptions!$B$5-Assumptions!$B$4</f>
        <v>13276.0182318693</v>
      </c>
    </row>
    <row r="38" customFormat="false" ht="15" hidden="false" customHeight="false" outlineLevel="0" collapsed="false">
      <c r="A38" s="0" t="s">
        <v>152</v>
      </c>
      <c r="B38" s="0" t="n">
        <f aca="false">B37/Assumptions!$B$3*Assumptions!$B$10</f>
        <v>15.64765507301</v>
      </c>
    </row>
    <row r="39" customFormat="false" ht="15" hidden="false" customHeight="false" outlineLevel="0" collapsed="false">
      <c r="A39" s="0" t="s">
        <v>153</v>
      </c>
      <c r="B39" s="4" t="n">
        <f aca="false">B38/Assumptions!$B$2-1</f>
        <v>-0.05537850449683</v>
      </c>
    </row>
    <row r="41" customFormat="false" ht="15" hidden="false" customHeight="false" outlineLevel="0" collapsed="false">
      <c r="A41" s="0" t="s">
        <v>154</v>
      </c>
      <c r="B41" s="0" t="n">
        <f aca="false">SUMPRODUCT(-C10:L10/(1+$B$27/100)^C4:L4)</f>
        <v>0</v>
      </c>
    </row>
    <row r="42" customFormat="false" ht="15" hidden="false" customHeight="false" outlineLevel="0" collapsed="false">
      <c r="A42" s="0" t="s">
        <v>155</v>
      </c>
      <c r="B42" s="0" t="n">
        <f aca="false">IF(B27&gt;B28,-L10*(1+B28/100)/((B27-B28)/100),-L10*20)/(1+B27/100)^L4</f>
        <v>0</v>
      </c>
    </row>
    <row r="43" customFormat="false" ht="15" hidden="false" customHeight="false" outlineLevel="0" collapsed="false">
      <c r="A43" s="0" t="s">
        <v>156</v>
      </c>
      <c r="B43" s="0" t="n">
        <f aca="false">(B37+B41+B42)/Assumptions!$B$3*Assumptions!$B$10</f>
        <v>15.64765507301</v>
      </c>
    </row>
    <row r="45" customFormat="false" ht="15" hidden="false" customHeight="false" outlineLevel="0" collapsed="false">
      <c r="A45" s="0" t="s">
        <v>97</v>
      </c>
      <c r="B45" s="4" t="n">
        <f aca="false">Assumptions!$B$6</f>
        <v>15</v>
      </c>
    </row>
    <row r="46" customFormat="false" ht="15" hidden="false" customHeight="false" outlineLevel="0" collapsed="false">
      <c r="A46" s="0" t="s">
        <v>157</v>
      </c>
      <c r="B46" s="0" t="n">
        <f aca="false">MAX(0,MIN(IF(B45&gt;B28,B31*(1+B28/100)/((B45-B28)/100),B31*B29),B31*B29))</f>
        <v>8267.01877473615</v>
      </c>
    </row>
    <row r="47" customFormat="false" ht="15" hidden="false" customHeight="false" outlineLevel="0" collapsed="false">
      <c r="A47" s="0" t="s">
        <v>158</v>
      </c>
      <c r="B47" s="0" t="n">
        <f aca="false">(SUMPRODUCT(C19:L19/(1+B45/100)^C4:L4)+B46/(1+B45/100)^L4+Assumptions!$B$5-Assumptions!$B$4)/Assumptions!$B$3*Assumptions!$B$10</f>
        <v>8.8635519944246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159</v>
      </c>
    </row>
    <row r="3" customFormat="false" ht="15" hidden="false" customHeight="false" outlineLevel="0" collapsed="false">
      <c r="A3" s="0" t="s">
        <v>129</v>
      </c>
      <c r="B3" s="0" t="s">
        <v>90</v>
      </c>
      <c r="C3" s="2" t="s">
        <v>104</v>
      </c>
      <c r="D3" s="2" t="s">
        <v>105</v>
      </c>
      <c r="E3" s="2" t="s">
        <v>106</v>
      </c>
      <c r="F3" s="2" t="s">
        <v>107</v>
      </c>
      <c r="G3" s="2" t="s">
        <v>108</v>
      </c>
      <c r="H3" s="2" t="s">
        <v>109</v>
      </c>
      <c r="I3" s="2" t="s">
        <v>110</v>
      </c>
      <c r="J3" s="2" t="s">
        <v>111</v>
      </c>
      <c r="K3" s="2" t="s">
        <v>112</v>
      </c>
      <c r="L3" s="2" t="s">
        <v>113</v>
      </c>
    </row>
    <row r="4" customFormat="false" ht="15" hidden="false" customHeight="false" outlineLevel="0" collapsed="false">
      <c r="A4" s="0" t="s">
        <v>130</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114</v>
      </c>
      <c r="C5" s="4" t="n">
        <f aca="false">Assumptions!C27</f>
        <v>2.4</v>
      </c>
      <c r="D5" s="4" t="n">
        <f aca="false">Assumptions!D27</f>
        <v>2.8</v>
      </c>
      <c r="E5" s="4" t="n">
        <f aca="false">Assumptions!E27</f>
        <v>3</v>
      </c>
      <c r="F5" s="4" t="n">
        <f aca="false">Assumptions!F27</f>
        <v>3</v>
      </c>
      <c r="G5" s="4" t="n">
        <f aca="false">Assumptions!G27</f>
        <v>3</v>
      </c>
      <c r="H5" s="4" t="n">
        <f aca="false">Assumptions!H27</f>
        <v>2.8</v>
      </c>
      <c r="I5" s="4" t="n">
        <f aca="false">Assumptions!I27</f>
        <v>2.5</v>
      </c>
      <c r="J5" s="4" t="n">
        <f aca="false">Assumptions!J27</f>
        <v>2.5</v>
      </c>
      <c r="K5" s="4" t="n">
        <f aca="false">Assumptions!K27</f>
        <v>2.2</v>
      </c>
      <c r="L5" s="4" t="n">
        <f aca="false">Assumptions!L27</f>
        <v>2</v>
      </c>
    </row>
    <row r="6" customFormat="false" ht="15" hidden="false" customHeight="false" outlineLevel="0" collapsed="false">
      <c r="A6" s="0" t="s">
        <v>37</v>
      </c>
      <c r="B6" s="3" t="n">
        <v>3417.2</v>
      </c>
      <c r="C6" s="0" t="n">
        <f aca="false">B6*(1+C5/100)</f>
        <v>3499.2128</v>
      </c>
      <c r="D6" s="0" t="n">
        <f aca="false">C6*(1+D5/100)</f>
        <v>3597.1907584</v>
      </c>
      <c r="E6" s="0" t="n">
        <f aca="false">D6*(1+E5/100)</f>
        <v>3705.106481152</v>
      </c>
      <c r="F6" s="0" t="n">
        <f aca="false">E6*(1+F5/100)</f>
        <v>3816.25967558656</v>
      </c>
      <c r="G6" s="0" t="n">
        <f aca="false">F6*(1+G5/100)</f>
        <v>3930.74746585416</v>
      </c>
      <c r="H6" s="0" t="n">
        <f aca="false">G6*(1+H5/100)</f>
        <v>4040.80839489807</v>
      </c>
      <c r="I6" s="0" t="n">
        <f aca="false">H6*(1+I5/100)</f>
        <v>4141.82860477053</v>
      </c>
      <c r="J6" s="0" t="n">
        <f aca="false">I6*(1+J5/100)</f>
        <v>4245.37431988979</v>
      </c>
      <c r="K6" s="0" t="n">
        <f aca="false">J6*(1+K5/100)</f>
        <v>4338.77255492736</v>
      </c>
      <c r="L6" s="0" t="n">
        <f aca="false">K6*(1+L5/100)</f>
        <v>4425.54800602591</v>
      </c>
    </row>
    <row r="7" customFormat="false" ht="15" hidden="false" customHeight="false" outlineLevel="0" collapsed="false">
      <c r="A7" s="0" t="s">
        <v>115</v>
      </c>
      <c r="C7" s="4" t="n">
        <f aca="false">Assumptions!C28</f>
        <v>58.7</v>
      </c>
      <c r="D7" s="4" t="n">
        <f aca="false">Assumptions!D28</f>
        <v>58.9</v>
      </c>
      <c r="E7" s="4" t="n">
        <f aca="false">Assumptions!E28</f>
        <v>59.2</v>
      </c>
      <c r="F7" s="4" t="n">
        <f aca="false">Assumptions!F28</f>
        <v>59.4</v>
      </c>
      <c r="G7" s="4" t="n">
        <f aca="false">Assumptions!G28</f>
        <v>59.5</v>
      </c>
      <c r="H7" s="4" t="n">
        <f aca="false">Assumptions!H28</f>
        <v>59.5</v>
      </c>
      <c r="I7" s="4" t="n">
        <f aca="false">Assumptions!I28</f>
        <v>59.5</v>
      </c>
      <c r="J7" s="4" t="n">
        <f aca="false">Assumptions!J28</f>
        <v>59.5</v>
      </c>
      <c r="K7" s="4" t="n">
        <f aca="false">Assumptions!K28</f>
        <v>59.5</v>
      </c>
      <c r="L7" s="4" t="n">
        <f aca="false">Assumptions!L28</f>
        <v>59.5</v>
      </c>
    </row>
    <row r="8" customFormat="false" ht="15" hidden="false" customHeight="false" outlineLevel="0" collapsed="false">
      <c r="A8" s="0" t="s">
        <v>43</v>
      </c>
      <c r="C8" s="0" t="n">
        <f aca="false">C6*C7/100</f>
        <v>2054.0379136</v>
      </c>
      <c r="D8" s="0" t="n">
        <f aca="false">D6*D7/100</f>
        <v>2118.7453566976</v>
      </c>
      <c r="E8" s="0" t="n">
        <f aca="false">E6*E7/100</f>
        <v>2193.42303684198</v>
      </c>
      <c r="F8" s="0" t="n">
        <f aca="false">F6*F7/100</f>
        <v>2266.85824729842</v>
      </c>
      <c r="G8" s="0" t="n">
        <f aca="false">G6*G7/100</f>
        <v>2338.79474218322</v>
      </c>
      <c r="H8" s="0" t="n">
        <f aca="false">H6*H7/100</f>
        <v>2404.28099496435</v>
      </c>
      <c r="I8" s="0" t="n">
        <f aca="false">I6*I7/100</f>
        <v>2464.38801983846</v>
      </c>
      <c r="J8" s="0" t="n">
        <f aca="false">J6*J7/100</f>
        <v>2525.99772033442</v>
      </c>
      <c r="K8" s="0" t="n">
        <f aca="false">K6*K7/100</f>
        <v>2581.56967018178</v>
      </c>
      <c r="L8" s="0" t="n">
        <f aca="false">L6*L7/100</f>
        <v>2633.20106358542</v>
      </c>
    </row>
    <row r="9" customFormat="false" ht="15" hidden="false" customHeight="false" outlineLevel="0" collapsed="false">
      <c r="A9" s="0" t="s">
        <v>116</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131</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132</v>
      </c>
      <c r="C11" s="0" t="n">
        <f aca="false">C8+C10+C24</f>
        <v>2054.0379136</v>
      </c>
      <c r="D11" s="0" t="n">
        <f aca="false">D8+D10+D24</f>
        <v>2118.7453566976</v>
      </c>
      <c r="E11" s="0" t="n">
        <f aca="false">E8+E10+E24</f>
        <v>2193.42303684198</v>
      </c>
      <c r="F11" s="0" t="n">
        <f aca="false">F8+F10+F24</f>
        <v>2266.85824729842</v>
      </c>
      <c r="G11" s="0" t="n">
        <f aca="false">G8+G10+G24</f>
        <v>2338.79474218322</v>
      </c>
      <c r="H11" s="0" t="n">
        <f aca="false">H8+H10+H24</f>
        <v>2404.28099496435</v>
      </c>
      <c r="I11" s="0" t="n">
        <f aca="false">I8+I10+I24</f>
        <v>2464.38801983846</v>
      </c>
      <c r="J11" s="0" t="n">
        <f aca="false">J8+J10+J24</f>
        <v>2525.99772033442</v>
      </c>
      <c r="K11" s="0" t="n">
        <f aca="false">K8+K10+K24</f>
        <v>2581.56967018178</v>
      </c>
      <c r="L11" s="0" t="n">
        <f aca="false">L8+L10+L24</f>
        <v>2633.20106358542</v>
      </c>
    </row>
    <row r="12" customFormat="false" ht="15" hidden="false" customHeight="false" outlineLevel="0" collapsed="false">
      <c r="A12" s="0" t="s">
        <v>133</v>
      </c>
      <c r="C12" s="4" t="n">
        <f aca="false">-C6*Assumptions!C31/100</f>
        <v>-125.9716608</v>
      </c>
      <c r="D12" s="4" t="n">
        <f aca="false">-D6*Assumptions!D31/100</f>
        <v>-129.4988673024</v>
      </c>
      <c r="E12" s="4" t="n">
        <f aca="false">-E6*Assumptions!E31/100</f>
        <v>-133.383833321472</v>
      </c>
      <c r="F12" s="4" t="n">
        <f aca="false">-F6*Assumptions!F31/100</f>
        <v>-137.385348321116</v>
      </c>
      <c r="G12" s="4" t="n">
        <f aca="false">-G6*Assumptions!G31/100</f>
        <v>-141.50690877075</v>
      </c>
      <c r="H12" s="4" t="n">
        <f aca="false">-H6*Assumptions!H31/100</f>
        <v>-145.469102216331</v>
      </c>
      <c r="I12" s="4" t="n">
        <f aca="false">-I6*Assumptions!I31/100</f>
        <v>-149.105829771739</v>
      </c>
      <c r="J12" s="4" t="n">
        <f aca="false">-J6*Assumptions!J31/100</f>
        <v>-152.833475516032</v>
      </c>
      <c r="K12" s="4" t="n">
        <f aca="false">-K6*Assumptions!K31/100</f>
        <v>-156.195811977385</v>
      </c>
      <c r="L12" s="4" t="n">
        <f aca="false">-L6*Assumptions!L31/100</f>
        <v>-159.319728216933</v>
      </c>
    </row>
    <row r="13" customFormat="false" ht="15" hidden="false" customHeight="false" outlineLevel="0" collapsed="false">
      <c r="A13" s="0" t="s">
        <v>134</v>
      </c>
      <c r="C13" s="0" t="n">
        <f aca="false">C11+C12</f>
        <v>1928.0662528</v>
      </c>
      <c r="D13" s="0" t="n">
        <f aca="false">D11+D12</f>
        <v>1989.2464893952</v>
      </c>
      <c r="E13" s="0" t="n">
        <f aca="false">E11+E12</f>
        <v>2060.03920352051</v>
      </c>
      <c r="F13" s="0" t="n">
        <f aca="false">F11+F12</f>
        <v>2129.4728989773</v>
      </c>
      <c r="G13" s="0" t="n">
        <f aca="false">G11+G12</f>
        <v>2197.28783341247</v>
      </c>
      <c r="H13" s="0" t="n">
        <f aca="false">H11+H12</f>
        <v>2258.81189274802</v>
      </c>
      <c r="I13" s="0" t="n">
        <f aca="false">I11+I12</f>
        <v>2315.28219006672</v>
      </c>
      <c r="J13" s="0" t="n">
        <f aca="false">J11+J12</f>
        <v>2373.16424481839</v>
      </c>
      <c r="K13" s="0" t="n">
        <f aca="false">K11+K12</f>
        <v>2425.3738582044</v>
      </c>
      <c r="L13" s="0" t="n">
        <f aca="false">L11+L12</f>
        <v>2473.88133536848</v>
      </c>
    </row>
    <row r="14" customFormat="false" ht="15" hidden="false" customHeight="false" outlineLevel="0" collapsed="false">
      <c r="A14" s="0" t="s">
        <v>120</v>
      </c>
      <c r="C14" s="4" t="n">
        <f aca="false">Assumptions!C33</f>
        <v>12.5</v>
      </c>
      <c r="D14" s="4" t="n">
        <f aca="false">Assumptions!D33</f>
        <v>12.5</v>
      </c>
      <c r="E14" s="4" t="n">
        <f aca="false">Assumptions!E33</f>
        <v>12.5</v>
      </c>
      <c r="F14" s="4" t="n">
        <f aca="false">Assumptions!F33</f>
        <v>12.5</v>
      </c>
      <c r="G14" s="4" t="n">
        <f aca="false">Assumptions!G33</f>
        <v>12.5</v>
      </c>
      <c r="H14" s="4" t="n">
        <f aca="false">Assumptions!H33</f>
        <v>12.5</v>
      </c>
      <c r="I14" s="4" t="n">
        <f aca="false">Assumptions!I33</f>
        <v>12.5</v>
      </c>
      <c r="J14" s="4" t="n">
        <f aca="false">Assumptions!J33</f>
        <v>12.5</v>
      </c>
      <c r="K14" s="4" t="n">
        <f aca="false">Assumptions!K33</f>
        <v>12.5</v>
      </c>
      <c r="L14" s="4" t="n">
        <f aca="false">Assumptions!L33</f>
        <v>12.5</v>
      </c>
    </row>
    <row r="15" customFormat="false" ht="15" hidden="false" customHeight="false" outlineLevel="0" collapsed="false">
      <c r="A15" s="0" t="s">
        <v>135</v>
      </c>
      <c r="C15" s="0" t="n">
        <f aca="false">C13-MAX(0,C13)*C14/100</f>
        <v>1687.0579712</v>
      </c>
      <c r="D15" s="0" t="n">
        <f aca="false">D13-MAX(0,D13)*D14/100</f>
        <v>1740.5906782208</v>
      </c>
      <c r="E15" s="0" t="n">
        <f aca="false">E13-MAX(0,E13)*E14/100</f>
        <v>1802.53430308045</v>
      </c>
      <c r="F15" s="0" t="n">
        <f aca="false">F13-MAX(0,F13)*F14/100</f>
        <v>1863.28878660514</v>
      </c>
      <c r="G15" s="0" t="n">
        <f aca="false">G13-MAX(0,G13)*G14/100</f>
        <v>1922.62685423591</v>
      </c>
      <c r="H15" s="0" t="n">
        <f aca="false">H13-MAX(0,H13)*H14/100</f>
        <v>1976.46040615452</v>
      </c>
      <c r="I15" s="0" t="n">
        <f aca="false">I13-MAX(0,I13)*I14/100</f>
        <v>2025.87191630838</v>
      </c>
      <c r="J15" s="0" t="n">
        <f aca="false">J13-MAX(0,J13)*J14/100</f>
        <v>2076.51871421609</v>
      </c>
      <c r="K15" s="0" t="n">
        <f aca="false">K13-MAX(0,K13)*K14/100</f>
        <v>2122.20212592885</v>
      </c>
      <c r="L15" s="0" t="n">
        <f aca="false">L13-MAX(0,L13)*L14/100</f>
        <v>2164.64616844742</v>
      </c>
    </row>
    <row r="16" customFormat="false" ht="15" hidden="false" customHeight="false" outlineLevel="0" collapsed="false">
      <c r="A16" s="0" t="s">
        <v>136</v>
      </c>
      <c r="C16" s="0" t="n">
        <f aca="false">-C12</f>
        <v>125.9716608</v>
      </c>
      <c r="D16" s="0" t="n">
        <f aca="false">-D12</f>
        <v>129.4988673024</v>
      </c>
      <c r="E16" s="0" t="n">
        <f aca="false">-E12</f>
        <v>133.383833321472</v>
      </c>
      <c r="F16" s="0" t="n">
        <f aca="false">-F12</f>
        <v>137.385348321116</v>
      </c>
      <c r="G16" s="0" t="n">
        <f aca="false">-G12</f>
        <v>141.50690877075</v>
      </c>
      <c r="H16" s="0" t="n">
        <f aca="false">-H12</f>
        <v>145.469102216331</v>
      </c>
      <c r="I16" s="0" t="n">
        <f aca="false">-I12</f>
        <v>149.105829771739</v>
      </c>
      <c r="J16" s="0" t="n">
        <f aca="false">-J12</f>
        <v>152.833475516032</v>
      </c>
      <c r="K16" s="0" t="n">
        <f aca="false">-K12</f>
        <v>156.195811977385</v>
      </c>
      <c r="L16" s="0" t="n">
        <f aca="false">-L12</f>
        <v>159.319728216933</v>
      </c>
    </row>
    <row r="17" customFormat="false" ht="15" hidden="false" customHeight="false" outlineLevel="0" collapsed="false">
      <c r="A17" s="0" t="s">
        <v>137</v>
      </c>
      <c r="C17" s="4" t="n">
        <f aca="false">-C6*Assumptions!C32/100</f>
        <v>-594.866176</v>
      </c>
      <c r="D17" s="4" t="n">
        <f aca="false">-D6*Assumptions!D32/100</f>
        <v>-611.522428928</v>
      </c>
      <c r="E17" s="4" t="n">
        <f aca="false">-E6*Assumptions!E32/100</f>
        <v>-629.86810179584</v>
      </c>
      <c r="F17" s="4" t="n">
        <f aca="false">-F6*Assumptions!F32/100</f>
        <v>-648.764144849715</v>
      </c>
      <c r="G17" s="4" t="n">
        <f aca="false">-G6*Assumptions!G32/100</f>
        <v>-668.227069195207</v>
      </c>
      <c r="H17" s="4" t="n">
        <f aca="false">-H6*Assumptions!H32/100</f>
        <v>-686.937427132673</v>
      </c>
      <c r="I17" s="4" t="n">
        <f aca="false">-I6*Assumptions!I32/100</f>
        <v>-704.110862810989</v>
      </c>
      <c r="J17" s="4" t="n">
        <f aca="false">-J6*Assumptions!J32/100</f>
        <v>-721.713634381264</v>
      </c>
      <c r="K17" s="4" t="n">
        <f aca="false">-K6*Assumptions!K32/100</f>
        <v>-737.591334337652</v>
      </c>
      <c r="L17" s="4" t="n">
        <f aca="false">-L6*Assumptions!L32/100</f>
        <v>-752.343161024405</v>
      </c>
    </row>
    <row r="18" customFormat="false" ht="15" hidden="false" customHeight="false" outlineLevel="0" collapsed="false">
      <c r="A18" s="0" t="s">
        <v>138</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139</v>
      </c>
      <c r="C19" s="0" t="n">
        <f aca="false">C15+C16+C17+C18</f>
        <v>1218.163456</v>
      </c>
      <c r="D19" s="0" t="n">
        <f aca="false">D15+D16+D17+D18</f>
        <v>1258.5671165952</v>
      </c>
      <c r="E19" s="0" t="n">
        <f aca="false">E15+E16+E17+E18</f>
        <v>1306.05003460608</v>
      </c>
      <c r="F19" s="0" t="n">
        <f aca="false">F15+F16+F17+F18</f>
        <v>1351.90999007654</v>
      </c>
      <c r="G19" s="0" t="n">
        <f aca="false">G15+G16+G17+G18</f>
        <v>1395.90669381146</v>
      </c>
      <c r="H19" s="0" t="n">
        <f aca="false">H15+H16+H17+H18</f>
        <v>1434.99208123818</v>
      </c>
      <c r="I19" s="0" t="n">
        <f aca="false">I15+I16+I17+I18</f>
        <v>1470.86688326913</v>
      </c>
      <c r="J19" s="0" t="n">
        <f aca="false">J15+J16+J17+J18</f>
        <v>1507.63855535086</v>
      </c>
      <c r="K19" s="0" t="n">
        <f aca="false">K15+K16+K17+K18</f>
        <v>1540.80660356858</v>
      </c>
      <c r="L19" s="0" t="n">
        <f aca="false">L15+L16+L17+L18</f>
        <v>1571.62273563995</v>
      </c>
    </row>
    <row r="20" customFormat="false" ht="15" hidden="false" customHeight="false" outlineLevel="0" collapsed="false">
      <c r="A20" s="0" t="s">
        <v>140</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141</v>
      </c>
      <c r="C21" s="0" t="n">
        <f aca="false">C19*C20</f>
        <v>1117.58115229358</v>
      </c>
      <c r="D21" s="0" t="n">
        <f aca="false">D19*D20</f>
        <v>1059.31076222136</v>
      </c>
      <c r="E21" s="0" t="n">
        <f aca="false">E19*E20</f>
        <v>1008.510260856</v>
      </c>
      <c r="F21" s="0" t="n">
        <f aca="false">F19*F20</f>
        <v>957.72712006112</v>
      </c>
      <c r="G21" s="0" t="n">
        <f aca="false">G19*G20</f>
        <v>907.24357265202</v>
      </c>
      <c r="H21" s="0" t="n">
        <f aca="false">H19*H20</f>
        <v>855.638892372731</v>
      </c>
      <c r="I21" s="0" t="n">
        <f aca="false">I19*I20</f>
        <v>804.614554754174</v>
      </c>
      <c r="J21" s="0" t="n">
        <f aca="false">J19*J20</f>
        <v>756.632952865163</v>
      </c>
      <c r="K21" s="0" t="n">
        <f aca="false">K19*K20</f>
        <v>709.430163145135</v>
      </c>
      <c r="L21" s="0" t="n">
        <f aca="false">L19*L20</f>
        <v>663.870427897282</v>
      </c>
    </row>
    <row r="23" customFormat="false" ht="15" hidden="false" customHeight="false" outlineLevel="0" collapsed="false">
      <c r="A23" s="0" t="s">
        <v>117</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142</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143</v>
      </c>
    </row>
    <row r="27" customFormat="false" ht="15" hidden="false" customHeight="false" outlineLevel="0" collapsed="false">
      <c r="A27" s="0" t="s">
        <v>121</v>
      </c>
      <c r="B27" s="4" t="n">
        <f aca="false">Assumptions!$B$34</f>
        <v>9</v>
      </c>
    </row>
    <row r="28" customFormat="false" ht="15" hidden="false" customHeight="false" outlineLevel="0" collapsed="false">
      <c r="A28" s="0" t="s">
        <v>122</v>
      </c>
      <c r="B28" s="4" t="n">
        <f aca="false">Assumptions!$B$35</f>
        <v>2</v>
      </c>
    </row>
    <row r="29" customFormat="false" ht="15" hidden="false" customHeight="false" outlineLevel="0" collapsed="false">
      <c r="A29" s="0" t="s">
        <v>123</v>
      </c>
      <c r="B29" s="4" t="n">
        <f aca="false">Assumptions!$B$36</f>
        <v>16</v>
      </c>
    </row>
    <row r="30" customFormat="false" ht="15" hidden="false" customHeight="false" outlineLevel="0" collapsed="false">
      <c r="A30" s="0" t="s">
        <v>144</v>
      </c>
      <c r="B30" s="0" t="n">
        <f aca="false">SUM(C21:L21)</f>
        <v>8840.55985911856</v>
      </c>
    </row>
    <row r="31" customFormat="false" ht="15" hidden="false" customHeight="false" outlineLevel="0" collapsed="false">
      <c r="A31" s="0" t="s">
        <v>145</v>
      </c>
      <c r="B31" s="0" t="n">
        <f aca="false">L19</f>
        <v>1571.62273563995</v>
      </c>
    </row>
    <row r="32" customFormat="false" ht="15" hidden="false" customHeight="false" outlineLevel="0" collapsed="false">
      <c r="A32" s="0" t="s">
        <v>146</v>
      </c>
      <c r="B32" s="0" t="n">
        <f aca="false">IF(B27&gt;B28,B31*(1+B28/100)/((B27-B28)/100),B31*B29)</f>
        <v>22900.7884336107</v>
      </c>
    </row>
    <row r="33" customFormat="false" ht="15" hidden="false" customHeight="false" outlineLevel="0" collapsed="false">
      <c r="A33" s="0" t="s">
        <v>147</v>
      </c>
      <c r="B33" s="0" t="n">
        <f aca="false">B31*B29</f>
        <v>25145.9637702392</v>
      </c>
    </row>
    <row r="34" customFormat="false" ht="15" hidden="false" customHeight="false" outlineLevel="0" collapsed="false">
      <c r="A34" s="0" t="s">
        <v>148</v>
      </c>
      <c r="B34" s="0" t="n">
        <f aca="false">MAX(0,MIN(B32,B33))</f>
        <v>22900.7884336107</v>
      </c>
    </row>
    <row r="35" customFormat="false" ht="15" hidden="false" customHeight="false" outlineLevel="0" collapsed="false">
      <c r="A35" s="0" t="s">
        <v>149</v>
      </c>
      <c r="B35" s="0" t="n">
        <f aca="false">B34/(1+B27/100)^L4</f>
        <v>9673.54052078896</v>
      </c>
    </row>
    <row r="36" customFormat="false" ht="15" hidden="false" customHeight="false" outlineLevel="0" collapsed="false">
      <c r="A36" s="0" t="s">
        <v>150</v>
      </c>
      <c r="B36" s="0" t="n">
        <f aca="false">B30+B35</f>
        <v>18514.1003799075</v>
      </c>
    </row>
    <row r="37" customFormat="false" ht="15" hidden="false" customHeight="false" outlineLevel="0" collapsed="false">
      <c r="A37" s="0" t="s">
        <v>151</v>
      </c>
      <c r="B37" s="0" t="n">
        <f aca="false">B36+Assumptions!$B$5-Assumptions!$B$4</f>
        <v>18514.1003799075</v>
      </c>
    </row>
    <row r="38" customFormat="false" ht="15" hidden="false" customHeight="false" outlineLevel="0" collapsed="false">
      <c r="A38" s="0" t="s">
        <v>152</v>
      </c>
      <c r="B38" s="0" t="n">
        <f aca="false">B37/Assumptions!$B$3*Assumptions!$B$10</f>
        <v>21.8214717449275</v>
      </c>
    </row>
    <row r="39" customFormat="false" ht="15" hidden="false" customHeight="false" outlineLevel="0" collapsed="false">
      <c r="A39" s="0" t="s">
        <v>153</v>
      </c>
      <c r="B39" s="4" t="n">
        <f aca="false">B38/Assumptions!$B$2-1</f>
        <v>0.317323980979623</v>
      </c>
    </row>
    <row r="41" customFormat="false" ht="15" hidden="false" customHeight="false" outlineLevel="0" collapsed="false">
      <c r="A41" s="0" t="s">
        <v>154</v>
      </c>
      <c r="B41" s="0" t="n">
        <f aca="false">SUMPRODUCT(-C10:L10/(1+$B$27/100)^C4:L4)</f>
        <v>0</v>
      </c>
    </row>
    <row r="42" customFormat="false" ht="15" hidden="false" customHeight="false" outlineLevel="0" collapsed="false">
      <c r="A42" s="0" t="s">
        <v>155</v>
      </c>
      <c r="B42" s="0" t="n">
        <f aca="false">IF(B27&gt;B28,-L10*(1+B28/100)/((B27-B28)/100),-L10*20)/(1+B27/100)^L4</f>
        <v>0</v>
      </c>
    </row>
    <row r="43" customFormat="false" ht="15" hidden="false" customHeight="false" outlineLevel="0" collapsed="false">
      <c r="A43" s="0" t="s">
        <v>156</v>
      </c>
      <c r="B43" s="0" t="n">
        <f aca="false">(B37+B41+B42)/Assumptions!$B$3*Assumptions!$B$10</f>
        <v>21.8214717449275</v>
      </c>
    </row>
    <row r="45" customFormat="false" ht="15" hidden="false" customHeight="false" outlineLevel="0" collapsed="false">
      <c r="A45" s="0" t="s">
        <v>97</v>
      </c>
      <c r="B45" s="4" t="n">
        <f aca="false">Assumptions!$B$6</f>
        <v>15</v>
      </c>
    </row>
    <row r="46" customFormat="false" ht="15" hidden="false" customHeight="false" outlineLevel="0" collapsed="false">
      <c r="A46" s="0" t="s">
        <v>157</v>
      </c>
      <c r="B46" s="0" t="n">
        <f aca="false">MAX(0,MIN(IF(B45&gt;B28,B31*(1+B28/100)/((B45-B28)/100),B31*B29),B31*B29))</f>
        <v>12331.1937719442</v>
      </c>
    </row>
    <row r="47" customFormat="false" ht="15" hidden="false" customHeight="false" outlineLevel="0" collapsed="false">
      <c r="A47" s="0" t="s">
        <v>158</v>
      </c>
      <c r="B47" s="0" t="n">
        <f aca="false">(SUMPRODUCT(C19:L19/(1+B45/100)^C4:L4)+B46/(1+B45/100)^L4+Assumptions!$B$5-Assumptions!$B$4)/Assumptions!$B$3*Assumptions!$B$10</f>
        <v>11.6419021283297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160</v>
      </c>
    </row>
    <row r="3" customFormat="false" ht="15" hidden="false" customHeight="false" outlineLevel="0" collapsed="false">
      <c r="A3" s="0" t="s">
        <v>129</v>
      </c>
      <c r="B3" s="0" t="s">
        <v>90</v>
      </c>
      <c r="C3" s="2" t="s">
        <v>104</v>
      </c>
      <c r="D3" s="2" t="s">
        <v>105</v>
      </c>
      <c r="E3" s="2" t="s">
        <v>106</v>
      </c>
      <c r="F3" s="2" t="s">
        <v>107</v>
      </c>
      <c r="G3" s="2" t="s">
        <v>108</v>
      </c>
      <c r="H3" s="2" t="s">
        <v>109</v>
      </c>
      <c r="I3" s="2" t="s">
        <v>110</v>
      </c>
      <c r="J3" s="2" t="s">
        <v>111</v>
      </c>
      <c r="K3" s="2" t="s">
        <v>112</v>
      </c>
      <c r="L3" s="2" t="s">
        <v>113</v>
      </c>
    </row>
    <row r="4" customFormat="false" ht="15" hidden="false" customHeight="false" outlineLevel="0" collapsed="false">
      <c r="A4" s="0" t="s">
        <v>130</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114</v>
      </c>
      <c r="C5" s="4" t="n">
        <f aca="false">Assumptions!C41</f>
        <v>2.4</v>
      </c>
      <c r="D5" s="4" t="n">
        <f aca="false">Assumptions!D41</f>
        <v>3.2</v>
      </c>
      <c r="E5" s="4" t="n">
        <f aca="false">Assumptions!E41</f>
        <v>3.5</v>
      </c>
      <c r="F5" s="4" t="n">
        <f aca="false">Assumptions!F41</f>
        <v>3.5</v>
      </c>
      <c r="G5" s="4" t="n">
        <f aca="false">Assumptions!G41</f>
        <v>3.5</v>
      </c>
      <c r="H5" s="4" t="n">
        <f aca="false">Assumptions!H41</f>
        <v>3.2</v>
      </c>
      <c r="I5" s="4" t="n">
        <f aca="false">Assumptions!I41</f>
        <v>3</v>
      </c>
      <c r="J5" s="4" t="n">
        <f aca="false">Assumptions!J41</f>
        <v>3</v>
      </c>
      <c r="K5" s="4" t="n">
        <f aca="false">Assumptions!K41</f>
        <v>2.8</v>
      </c>
      <c r="L5" s="4" t="n">
        <f aca="false">Assumptions!L41</f>
        <v>2.5</v>
      </c>
    </row>
    <row r="6" customFormat="false" ht="15" hidden="false" customHeight="false" outlineLevel="0" collapsed="false">
      <c r="A6" s="0" t="s">
        <v>37</v>
      </c>
      <c r="B6" s="3" t="n">
        <v>3417.2</v>
      </c>
      <c r="C6" s="0" t="n">
        <f aca="false">B6*(1+C5/100)</f>
        <v>3499.2128</v>
      </c>
      <c r="D6" s="0" t="n">
        <f aca="false">C6*(1+D5/100)</f>
        <v>3611.1876096</v>
      </c>
      <c r="E6" s="0" t="n">
        <f aca="false">D6*(1+E5/100)</f>
        <v>3737.579175936</v>
      </c>
      <c r="F6" s="0" t="n">
        <f aca="false">E6*(1+F5/100)</f>
        <v>3868.39444709376</v>
      </c>
      <c r="G6" s="0" t="n">
        <f aca="false">F6*(1+G5/100)</f>
        <v>4003.78825274204</v>
      </c>
      <c r="H6" s="0" t="n">
        <f aca="false">G6*(1+H5/100)</f>
        <v>4131.90947682979</v>
      </c>
      <c r="I6" s="0" t="n">
        <f aca="false">H6*(1+I5/100)</f>
        <v>4255.86676113468</v>
      </c>
      <c r="J6" s="0" t="n">
        <f aca="false">I6*(1+J5/100)</f>
        <v>4383.54276396872</v>
      </c>
      <c r="K6" s="0" t="n">
        <f aca="false">J6*(1+K5/100)</f>
        <v>4506.28196135985</v>
      </c>
      <c r="L6" s="0" t="n">
        <f aca="false">K6*(1+L5/100)</f>
        <v>4618.93901039384</v>
      </c>
    </row>
    <row r="7" customFormat="false" ht="15" hidden="false" customHeight="false" outlineLevel="0" collapsed="false">
      <c r="A7" s="0" t="s">
        <v>115</v>
      </c>
      <c r="C7" s="4" t="n">
        <f aca="false">Assumptions!C42</f>
        <v>58.9</v>
      </c>
      <c r="D7" s="4" t="n">
        <f aca="false">Assumptions!D42</f>
        <v>59.8</v>
      </c>
      <c r="E7" s="4" t="n">
        <f aca="false">Assumptions!E42</f>
        <v>60.8</v>
      </c>
      <c r="F7" s="4" t="n">
        <f aca="false">Assumptions!F42</f>
        <v>61.8</v>
      </c>
      <c r="G7" s="4" t="n">
        <f aca="false">Assumptions!G42</f>
        <v>62.5</v>
      </c>
      <c r="H7" s="4" t="n">
        <f aca="false">Assumptions!H42</f>
        <v>63</v>
      </c>
      <c r="I7" s="4" t="n">
        <f aca="false">Assumptions!I42</f>
        <v>63.5</v>
      </c>
      <c r="J7" s="4" t="n">
        <f aca="false">Assumptions!J42</f>
        <v>64</v>
      </c>
      <c r="K7" s="4" t="n">
        <f aca="false">Assumptions!K42</f>
        <v>64</v>
      </c>
      <c r="L7" s="4" t="n">
        <f aca="false">Assumptions!L42</f>
        <v>64</v>
      </c>
    </row>
    <row r="8" customFormat="false" ht="15" hidden="false" customHeight="false" outlineLevel="0" collapsed="false">
      <c r="A8" s="0" t="s">
        <v>43</v>
      </c>
      <c r="C8" s="0" t="n">
        <f aca="false">C6*C7/100</f>
        <v>2061.0363392</v>
      </c>
      <c r="D8" s="0" t="n">
        <f aca="false">D6*D7/100</f>
        <v>2159.4901905408</v>
      </c>
      <c r="E8" s="0" t="n">
        <f aca="false">E6*E7/100</f>
        <v>2272.44813896909</v>
      </c>
      <c r="F8" s="0" t="n">
        <f aca="false">F6*F7/100</f>
        <v>2390.66776830394</v>
      </c>
      <c r="G8" s="0" t="n">
        <f aca="false">G6*G7/100</f>
        <v>2502.36765796378</v>
      </c>
      <c r="H8" s="0" t="n">
        <f aca="false">H6*H7/100</f>
        <v>2603.10297040277</v>
      </c>
      <c r="I8" s="0" t="n">
        <f aca="false">I6*I7/100</f>
        <v>2702.47539332052</v>
      </c>
      <c r="J8" s="0" t="n">
        <f aca="false">J6*J7/100</f>
        <v>2805.46736893998</v>
      </c>
      <c r="K8" s="0" t="n">
        <f aca="false">K6*K7/100</f>
        <v>2884.0204552703</v>
      </c>
      <c r="L8" s="0" t="n">
        <f aca="false">L6*L7/100</f>
        <v>2956.12096665206</v>
      </c>
    </row>
    <row r="9" customFormat="false" ht="15" hidden="false" customHeight="false" outlineLevel="0" collapsed="false">
      <c r="A9" s="0" t="s">
        <v>116</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131</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132</v>
      </c>
      <c r="C11" s="0" t="n">
        <f aca="false">C8+C10+C24</f>
        <v>2061.0363392</v>
      </c>
      <c r="D11" s="0" t="n">
        <f aca="false">D8+D10+D24</f>
        <v>2159.4901905408</v>
      </c>
      <c r="E11" s="0" t="n">
        <f aca="false">E8+E10+E24</f>
        <v>2272.44813896909</v>
      </c>
      <c r="F11" s="0" t="n">
        <f aca="false">F8+F10+F24</f>
        <v>2390.66776830394</v>
      </c>
      <c r="G11" s="0" t="n">
        <f aca="false">G8+G10+G24</f>
        <v>2502.36765796378</v>
      </c>
      <c r="H11" s="0" t="n">
        <f aca="false">H8+H10+H24</f>
        <v>2603.10297040277</v>
      </c>
      <c r="I11" s="0" t="n">
        <f aca="false">I8+I10+I24</f>
        <v>2702.47539332052</v>
      </c>
      <c r="J11" s="0" t="n">
        <f aca="false">J8+J10+J24</f>
        <v>2805.46736893998</v>
      </c>
      <c r="K11" s="0" t="n">
        <f aca="false">K8+K10+K24</f>
        <v>2884.0204552703</v>
      </c>
      <c r="L11" s="0" t="n">
        <f aca="false">L8+L10+L24</f>
        <v>2956.12096665206</v>
      </c>
    </row>
    <row r="12" customFormat="false" ht="15" hidden="false" customHeight="false" outlineLevel="0" collapsed="false">
      <c r="A12" s="0" t="s">
        <v>133</v>
      </c>
      <c r="C12" s="4" t="n">
        <f aca="false">-C6*Assumptions!C45/100</f>
        <v>-125.9716608</v>
      </c>
      <c r="D12" s="4" t="n">
        <f aca="false">-D6*Assumptions!D45/100</f>
        <v>-130.0027539456</v>
      </c>
      <c r="E12" s="4" t="n">
        <f aca="false">-E6*Assumptions!E45/100</f>
        <v>-134.552850333696</v>
      </c>
      <c r="F12" s="4" t="n">
        <f aca="false">-F6*Assumptions!F45/100</f>
        <v>-139.262200095375</v>
      </c>
      <c r="G12" s="4" t="n">
        <f aca="false">-G6*Assumptions!G45/100</f>
        <v>-144.136377098713</v>
      </c>
      <c r="H12" s="4" t="n">
        <f aca="false">-H6*Assumptions!H45/100</f>
        <v>-148.748741165872</v>
      </c>
      <c r="I12" s="4" t="n">
        <f aca="false">-I6*Assumptions!I45/100</f>
        <v>-153.211203400849</v>
      </c>
      <c r="J12" s="4" t="n">
        <f aca="false">-J6*Assumptions!J45/100</f>
        <v>-157.807539502874</v>
      </c>
      <c r="K12" s="4" t="n">
        <f aca="false">-K6*Assumptions!K45/100</f>
        <v>-162.226150608954</v>
      </c>
      <c r="L12" s="4" t="n">
        <f aca="false">-L6*Assumptions!L45/100</f>
        <v>-166.281804374178</v>
      </c>
    </row>
    <row r="13" customFormat="false" ht="15" hidden="false" customHeight="false" outlineLevel="0" collapsed="false">
      <c r="A13" s="0" t="s">
        <v>134</v>
      </c>
      <c r="C13" s="0" t="n">
        <f aca="false">C11+C12</f>
        <v>1935.0646784</v>
      </c>
      <c r="D13" s="0" t="n">
        <f aca="false">D11+D12</f>
        <v>2029.4874365952</v>
      </c>
      <c r="E13" s="0" t="n">
        <f aca="false">E11+E12</f>
        <v>2137.89528863539</v>
      </c>
      <c r="F13" s="0" t="n">
        <f aca="false">F11+F12</f>
        <v>2251.40556820857</v>
      </c>
      <c r="G13" s="0" t="n">
        <f aca="false">G11+G12</f>
        <v>2358.23128086506</v>
      </c>
      <c r="H13" s="0" t="n">
        <f aca="false">H11+H12</f>
        <v>2454.35422923689</v>
      </c>
      <c r="I13" s="0" t="n">
        <f aca="false">I11+I12</f>
        <v>2549.26418991967</v>
      </c>
      <c r="J13" s="0" t="n">
        <f aca="false">J11+J12</f>
        <v>2647.65982943711</v>
      </c>
      <c r="K13" s="0" t="n">
        <f aca="false">K11+K12</f>
        <v>2721.79430466135</v>
      </c>
      <c r="L13" s="0" t="n">
        <f aca="false">L11+L12</f>
        <v>2789.83916227788</v>
      </c>
    </row>
    <row r="14" customFormat="false" ht="15" hidden="false" customHeight="false" outlineLevel="0" collapsed="false">
      <c r="A14" s="0" t="s">
        <v>120</v>
      </c>
      <c r="C14" s="4" t="n">
        <f aca="false">Assumptions!C47</f>
        <v>12</v>
      </c>
      <c r="D14" s="4" t="n">
        <f aca="false">Assumptions!D47</f>
        <v>12</v>
      </c>
      <c r="E14" s="4" t="n">
        <f aca="false">Assumptions!E47</f>
        <v>12</v>
      </c>
      <c r="F14" s="4" t="n">
        <f aca="false">Assumptions!F47</f>
        <v>12</v>
      </c>
      <c r="G14" s="4" t="n">
        <f aca="false">Assumptions!G47</f>
        <v>12</v>
      </c>
      <c r="H14" s="4" t="n">
        <f aca="false">Assumptions!H47</f>
        <v>12</v>
      </c>
      <c r="I14" s="4" t="n">
        <f aca="false">Assumptions!I47</f>
        <v>12</v>
      </c>
      <c r="J14" s="4" t="n">
        <f aca="false">Assumptions!J47</f>
        <v>12</v>
      </c>
      <c r="K14" s="4" t="n">
        <f aca="false">Assumptions!K47</f>
        <v>12</v>
      </c>
      <c r="L14" s="4" t="n">
        <f aca="false">Assumptions!L47</f>
        <v>12</v>
      </c>
    </row>
    <row r="15" customFormat="false" ht="15" hidden="false" customHeight="false" outlineLevel="0" collapsed="false">
      <c r="A15" s="0" t="s">
        <v>135</v>
      </c>
      <c r="C15" s="0" t="n">
        <f aca="false">C13-MAX(0,C13)*C14/100</f>
        <v>1702.856916992</v>
      </c>
      <c r="D15" s="0" t="n">
        <f aca="false">D13-MAX(0,D13)*D14/100</f>
        <v>1785.94894420378</v>
      </c>
      <c r="E15" s="0" t="n">
        <f aca="false">E13-MAX(0,E13)*E14/100</f>
        <v>1881.34785399914</v>
      </c>
      <c r="F15" s="0" t="n">
        <f aca="false">F13-MAX(0,F13)*F14/100</f>
        <v>1981.23690002354</v>
      </c>
      <c r="G15" s="0" t="n">
        <f aca="false">G13-MAX(0,G13)*G14/100</f>
        <v>2075.24352716125</v>
      </c>
      <c r="H15" s="0" t="n">
        <f aca="false">H13-MAX(0,H13)*H14/100</f>
        <v>2159.83172172847</v>
      </c>
      <c r="I15" s="0" t="n">
        <f aca="false">I13-MAX(0,I13)*I14/100</f>
        <v>2243.35248712931</v>
      </c>
      <c r="J15" s="0" t="n">
        <f aca="false">J13-MAX(0,J13)*J14/100</f>
        <v>2329.94064990465</v>
      </c>
      <c r="K15" s="0" t="n">
        <f aca="false">K13-MAX(0,K13)*K14/100</f>
        <v>2395.17898810199</v>
      </c>
      <c r="L15" s="0" t="n">
        <f aca="false">L13-MAX(0,L13)*L14/100</f>
        <v>2455.05846280453</v>
      </c>
    </row>
    <row r="16" customFormat="false" ht="15" hidden="false" customHeight="false" outlineLevel="0" collapsed="false">
      <c r="A16" s="0" t="s">
        <v>136</v>
      </c>
      <c r="C16" s="0" t="n">
        <f aca="false">-C12</f>
        <v>125.9716608</v>
      </c>
      <c r="D16" s="0" t="n">
        <f aca="false">-D12</f>
        <v>130.0027539456</v>
      </c>
      <c r="E16" s="0" t="n">
        <f aca="false">-E12</f>
        <v>134.552850333696</v>
      </c>
      <c r="F16" s="0" t="n">
        <f aca="false">-F12</f>
        <v>139.262200095375</v>
      </c>
      <c r="G16" s="0" t="n">
        <f aca="false">-G12</f>
        <v>144.136377098713</v>
      </c>
      <c r="H16" s="0" t="n">
        <f aca="false">-H12</f>
        <v>148.748741165872</v>
      </c>
      <c r="I16" s="0" t="n">
        <f aca="false">-I12</f>
        <v>153.211203400849</v>
      </c>
      <c r="J16" s="0" t="n">
        <f aca="false">-J12</f>
        <v>157.807539502874</v>
      </c>
      <c r="K16" s="0" t="n">
        <f aca="false">-K12</f>
        <v>162.226150608954</v>
      </c>
      <c r="L16" s="0" t="n">
        <f aca="false">-L12</f>
        <v>166.281804374178</v>
      </c>
    </row>
    <row r="17" customFormat="false" ht="15" hidden="false" customHeight="false" outlineLevel="0" collapsed="false">
      <c r="A17" s="0" t="s">
        <v>137</v>
      </c>
      <c r="C17" s="4" t="n">
        <f aca="false">-C6*Assumptions!C46/100</f>
        <v>-559.874048</v>
      </c>
      <c r="D17" s="4" t="n">
        <f aca="false">-D6*Assumptions!D46/100</f>
        <v>-577.790017536</v>
      </c>
      <c r="E17" s="4" t="n">
        <f aca="false">-E6*Assumptions!E46/100</f>
        <v>-598.01266814976</v>
      </c>
      <c r="F17" s="4" t="n">
        <f aca="false">-F6*Assumptions!F46/100</f>
        <v>-618.943111535002</v>
      </c>
      <c r="G17" s="4" t="n">
        <f aca="false">-G6*Assumptions!G46/100</f>
        <v>-640.606120438727</v>
      </c>
      <c r="H17" s="4" t="n">
        <f aca="false">-H6*Assumptions!H46/100</f>
        <v>-661.105516292766</v>
      </c>
      <c r="I17" s="4" t="n">
        <f aca="false">-I6*Assumptions!I46/100</f>
        <v>-680.938681781549</v>
      </c>
      <c r="J17" s="4" t="n">
        <f aca="false">-J6*Assumptions!J46/100</f>
        <v>-701.366842234995</v>
      </c>
      <c r="K17" s="4" t="n">
        <f aca="false">-K6*Assumptions!K46/100</f>
        <v>-721.005113817575</v>
      </c>
      <c r="L17" s="4" t="n">
        <f aca="false">-L6*Assumptions!L46/100</f>
        <v>-739.030241663014</v>
      </c>
    </row>
    <row r="18" customFormat="false" ht="15" hidden="false" customHeight="false" outlineLevel="0" collapsed="false">
      <c r="A18" s="0" t="s">
        <v>138</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139</v>
      </c>
      <c r="C19" s="0" t="n">
        <f aca="false">C15+C16+C17+C18</f>
        <v>1268.954529792</v>
      </c>
      <c r="D19" s="0" t="n">
        <f aca="false">D15+D16+D17+D18</f>
        <v>1338.16168061338</v>
      </c>
      <c r="E19" s="0" t="n">
        <f aca="false">E15+E16+E17+E18</f>
        <v>1417.88803618308</v>
      </c>
      <c r="F19" s="0" t="n">
        <f aca="false">F15+F16+F17+F18</f>
        <v>1501.55598858391</v>
      </c>
      <c r="G19" s="0" t="n">
        <f aca="false">G15+G16+G17+G18</f>
        <v>1578.77378382124</v>
      </c>
      <c r="H19" s="0" t="n">
        <f aca="false">H15+H16+H17+H18</f>
        <v>1647.47494660157</v>
      </c>
      <c r="I19" s="0" t="n">
        <f aca="false">I15+I16+I17+I18</f>
        <v>1715.62500874861</v>
      </c>
      <c r="J19" s="0" t="n">
        <f aca="false">J15+J16+J17+J18</f>
        <v>1786.38134717253</v>
      </c>
      <c r="K19" s="0" t="n">
        <f aca="false">K15+K16+K17+K18</f>
        <v>1836.40002489336</v>
      </c>
      <c r="L19" s="0" t="n">
        <f aca="false">L15+L16+L17+L18</f>
        <v>1882.3100255157</v>
      </c>
    </row>
    <row r="20" customFormat="false" ht="15" hidden="false" customHeight="false" outlineLevel="0" collapsed="false">
      <c r="A20" s="0" t="s">
        <v>140</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141</v>
      </c>
      <c r="C21" s="0" t="n">
        <f aca="false">C19*C20</f>
        <v>1164.17846769908</v>
      </c>
      <c r="D21" s="0" t="n">
        <f aca="false">D19*D20</f>
        <v>1126.30391432823</v>
      </c>
      <c r="E21" s="0" t="n">
        <f aca="false">E19*E20</f>
        <v>1094.8697181168</v>
      </c>
      <c r="F21" s="0" t="n">
        <f aca="false">F19*F20</f>
        <v>1063.74011813877</v>
      </c>
      <c r="G21" s="0" t="n">
        <f aca="false">G19*G20</f>
        <v>1026.09463397042</v>
      </c>
      <c r="H21" s="0" t="n">
        <f aca="false">H19*H20</f>
        <v>982.335482510598</v>
      </c>
      <c r="I21" s="0" t="n">
        <f aca="false">I19*I20</f>
        <v>938.505631095106</v>
      </c>
      <c r="J21" s="0" t="n">
        <f aca="false">J19*J20</f>
        <v>896.524560782307</v>
      </c>
      <c r="K21" s="0" t="n">
        <f aca="false">K19*K20</f>
        <v>845.529585765331</v>
      </c>
      <c r="L21" s="0" t="n">
        <f aca="false">L19*L20</f>
        <v>795.108096705931</v>
      </c>
    </row>
    <row r="23" customFormat="false" ht="15" hidden="false" customHeight="false" outlineLevel="0" collapsed="false">
      <c r="A23" s="0" t="s">
        <v>117</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142</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143</v>
      </c>
    </row>
    <row r="27" customFormat="false" ht="15" hidden="false" customHeight="false" outlineLevel="0" collapsed="false">
      <c r="A27" s="0" t="s">
        <v>121</v>
      </c>
      <c r="B27" s="4" t="n">
        <f aca="false">Assumptions!$B$48</f>
        <v>9</v>
      </c>
    </row>
    <row r="28" customFormat="false" ht="15" hidden="false" customHeight="false" outlineLevel="0" collapsed="false">
      <c r="A28" s="0" t="s">
        <v>122</v>
      </c>
      <c r="B28" s="4" t="n">
        <f aca="false">Assumptions!$B$49</f>
        <v>3</v>
      </c>
    </row>
    <row r="29" customFormat="false" ht="15" hidden="false" customHeight="false" outlineLevel="0" collapsed="false">
      <c r="A29" s="0" t="s">
        <v>123</v>
      </c>
      <c r="B29" s="4" t="n">
        <f aca="false">Assumptions!$B$50</f>
        <v>18</v>
      </c>
    </row>
    <row r="30" customFormat="false" ht="15" hidden="false" customHeight="false" outlineLevel="0" collapsed="false">
      <c r="A30" s="0" t="s">
        <v>144</v>
      </c>
      <c r="B30" s="0" t="n">
        <f aca="false">SUM(C21:L21)</f>
        <v>9933.19020911258</v>
      </c>
    </row>
    <row r="31" customFormat="false" ht="15" hidden="false" customHeight="false" outlineLevel="0" collapsed="false">
      <c r="A31" s="0" t="s">
        <v>145</v>
      </c>
      <c r="B31" s="0" t="n">
        <f aca="false">L19</f>
        <v>1882.3100255157</v>
      </c>
    </row>
    <row r="32" customFormat="false" ht="15" hidden="false" customHeight="false" outlineLevel="0" collapsed="false">
      <c r="A32" s="0" t="s">
        <v>146</v>
      </c>
      <c r="B32" s="0" t="n">
        <f aca="false">IF(B27&gt;B28,B31*(1+B28/100)/((B27-B28)/100),B31*B29)</f>
        <v>32312.9887713528</v>
      </c>
    </row>
    <row r="33" customFormat="false" ht="15" hidden="false" customHeight="false" outlineLevel="0" collapsed="false">
      <c r="A33" s="0" t="s">
        <v>147</v>
      </c>
      <c r="B33" s="0" t="n">
        <f aca="false">B31*B29</f>
        <v>33881.5804592826</v>
      </c>
    </row>
    <row r="34" customFormat="false" ht="15" hidden="false" customHeight="false" outlineLevel="0" collapsed="false">
      <c r="A34" s="0" t="s">
        <v>148</v>
      </c>
      <c r="B34" s="0" t="n">
        <f aca="false">MAX(0,MIN(B32,B33))</f>
        <v>32312.9887713528</v>
      </c>
    </row>
    <row r="35" customFormat="false" ht="15" hidden="false" customHeight="false" outlineLevel="0" collapsed="false">
      <c r="A35" s="0" t="s">
        <v>149</v>
      </c>
      <c r="B35" s="0" t="n">
        <f aca="false">B34/(1+B27/100)^L4</f>
        <v>13649.3556601185</v>
      </c>
    </row>
    <row r="36" customFormat="false" ht="15" hidden="false" customHeight="false" outlineLevel="0" collapsed="false">
      <c r="A36" s="0" t="s">
        <v>150</v>
      </c>
      <c r="B36" s="0" t="n">
        <f aca="false">B30+B35</f>
        <v>23582.5458692311</v>
      </c>
    </row>
    <row r="37" customFormat="false" ht="15" hidden="false" customHeight="false" outlineLevel="0" collapsed="false">
      <c r="A37" s="0" t="s">
        <v>151</v>
      </c>
      <c r="B37" s="0" t="n">
        <f aca="false">B36+Assumptions!$B$5-Assumptions!$B$4</f>
        <v>23582.5458692311</v>
      </c>
    </row>
    <row r="38" customFormat="false" ht="15" hidden="false" customHeight="false" outlineLevel="0" collapsed="false">
      <c r="A38" s="0" t="s">
        <v>152</v>
      </c>
      <c r="B38" s="0" t="n">
        <f aca="false">B37/Assumptions!$B$3*Assumptions!$B$10</f>
        <v>27.7953477511313</v>
      </c>
    </row>
    <row r="39" customFormat="false" ht="15" hidden="false" customHeight="false" outlineLevel="0" collapsed="false">
      <c r="A39" s="0" t="s">
        <v>153</v>
      </c>
      <c r="B39" s="4" t="n">
        <f aca="false">B38/Assumptions!$B$2-1</f>
        <v>0.677956399102401</v>
      </c>
    </row>
    <row r="41" customFormat="false" ht="15" hidden="false" customHeight="false" outlineLevel="0" collapsed="false">
      <c r="A41" s="0" t="s">
        <v>154</v>
      </c>
      <c r="B41" s="0" t="n">
        <f aca="false">SUMPRODUCT(-C10:L10/(1+$B$27/100)^C4:L4)</f>
        <v>0</v>
      </c>
    </row>
    <row r="42" customFormat="false" ht="15" hidden="false" customHeight="false" outlineLevel="0" collapsed="false">
      <c r="A42" s="0" t="s">
        <v>155</v>
      </c>
      <c r="B42" s="0" t="n">
        <f aca="false">IF(B27&gt;B28,-L10*(1+B28/100)/((B27-B28)/100),-L10*20)/(1+B27/100)^L4</f>
        <v>0</v>
      </c>
    </row>
    <row r="43" customFormat="false" ht="15" hidden="false" customHeight="false" outlineLevel="0" collapsed="false">
      <c r="A43" s="0" t="s">
        <v>156</v>
      </c>
      <c r="B43" s="0" t="n">
        <f aca="false">(B37+B41+B42)/Assumptions!$B$3*Assumptions!$B$10</f>
        <v>27.7953477511313</v>
      </c>
    </row>
    <row r="45" customFormat="false" ht="15" hidden="false" customHeight="false" outlineLevel="0" collapsed="false">
      <c r="A45" s="0" t="s">
        <v>97</v>
      </c>
      <c r="B45" s="4" t="n">
        <f aca="false">Assumptions!$B$6</f>
        <v>15</v>
      </c>
    </row>
    <row r="46" customFormat="false" ht="15" hidden="false" customHeight="false" outlineLevel="0" collapsed="false">
      <c r="A46" s="0" t="s">
        <v>157</v>
      </c>
      <c r="B46" s="0" t="n">
        <f aca="false">MAX(0,MIN(IF(B45&gt;B28,B31*(1+B28/100)/((B45-B28)/100),B31*B29),B31*B29))</f>
        <v>16156.4943856764</v>
      </c>
    </row>
    <row r="47" customFormat="false" ht="15" hidden="false" customHeight="false" outlineLevel="0" collapsed="false">
      <c r="A47" s="0" t="s">
        <v>158</v>
      </c>
      <c r="B47" s="0" t="n">
        <f aca="false">(SUMPRODUCT(C19:L19/(1+B45/100)^C4:L4)+B46/(1+B45/100)^L4+Assumptions!$B$5-Assumptions!$B$4)/Assumptions!$B$3*Assumptions!$B$10</f>
        <v>13.6877166506937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161</v>
      </c>
    </row>
    <row r="3" customFormat="false" ht="15" hidden="false" customHeight="false" outlineLevel="0" collapsed="false">
      <c r="A3" s="2" t="s">
        <v>162</v>
      </c>
      <c r="B3" s="2" t="s">
        <v>163</v>
      </c>
      <c r="C3" s="2" t="s">
        <v>153</v>
      </c>
      <c r="D3" s="2" t="s">
        <v>164</v>
      </c>
      <c r="E3" s="2" t="s">
        <v>156</v>
      </c>
      <c r="F3" s="2" t="s">
        <v>165</v>
      </c>
    </row>
    <row r="4" customFormat="false" ht="15" hidden="false" customHeight="false" outlineLevel="0" collapsed="false">
      <c r="A4" s="0" t="s">
        <v>166</v>
      </c>
      <c r="B4" s="4" t="n">
        <f aca="false">DCF_Bear!$B$38</f>
        <v>15.64765507301</v>
      </c>
      <c r="C4" s="0" t="n">
        <f aca="false">B4/Assumptions!$B$2-1</f>
        <v>-0.05537850449683</v>
      </c>
      <c r="D4" s="4" t="n">
        <f aca="false">Assumptions!$B$24</f>
        <v>0.35</v>
      </c>
      <c r="E4" s="4" t="n">
        <f aca="false">DCF_Bear!$B$43</f>
        <v>15.64765507301</v>
      </c>
      <c r="F4" s="4" t="n">
        <f aca="false">DCF_Bear!$B$47</f>
        <v>8.8635519944246</v>
      </c>
    </row>
    <row r="5" customFormat="false" ht="15" hidden="false" customHeight="false" outlineLevel="0" collapsed="false">
      <c r="A5" s="0" t="s">
        <v>167</v>
      </c>
      <c r="B5" s="4" t="n">
        <f aca="false">DCF_Base!$B$38</f>
        <v>21.8214717449275</v>
      </c>
      <c r="C5" s="0" t="n">
        <f aca="false">B5/Assumptions!$B$2-1</f>
        <v>0.317323980979623</v>
      </c>
      <c r="D5" s="4" t="n">
        <f aca="false">Assumptions!$B$38</f>
        <v>0.45</v>
      </c>
      <c r="E5" s="4" t="n">
        <f aca="false">DCF_Base!$B$43</f>
        <v>21.8214717449275</v>
      </c>
      <c r="F5" s="4" t="n">
        <f aca="false">DCF_Base!$B$47</f>
        <v>11.6419021283297</v>
      </c>
    </row>
    <row r="6" customFormat="false" ht="15" hidden="false" customHeight="false" outlineLevel="0" collapsed="false">
      <c r="A6" s="0" t="s">
        <v>168</v>
      </c>
      <c r="B6" s="4" t="n">
        <f aca="false">DCF_Bull!$B$38</f>
        <v>27.7953477511313</v>
      </c>
      <c r="C6" s="0" t="n">
        <f aca="false">B6/Assumptions!$B$2-1</f>
        <v>0.677956399102401</v>
      </c>
      <c r="D6" s="4" t="n">
        <f aca="false">Assumptions!$B$52</f>
        <v>0.2</v>
      </c>
      <c r="E6" s="4" t="n">
        <f aca="false">DCF_Bull!$B$43</f>
        <v>27.7953477511313</v>
      </c>
      <c r="F6" s="4" t="n">
        <f aca="false">DCF_Bull!$B$47</f>
        <v>13.6877166506937</v>
      </c>
    </row>
    <row r="8" customFormat="false" ht="15" hidden="false" customHeight="false" outlineLevel="0" collapsed="false">
      <c r="A8" s="0" t="s">
        <v>169</v>
      </c>
      <c r="B8" s="0" t="n">
        <f aca="false">SUMPRODUCT(B4:B6,D4:D6)</f>
        <v>20.8554111109971</v>
      </c>
    </row>
    <row r="9" customFormat="false" ht="15" hidden="false" customHeight="false" outlineLevel="0" collapsed="false">
      <c r="A9" s="0" t="s">
        <v>170</v>
      </c>
      <c r="B9" s="0" t="n">
        <f aca="false">SUMPRODUCT(E4:E6,D4:D6)</f>
        <v>20.8554111109971</v>
      </c>
    </row>
    <row r="10" customFormat="false" ht="15" hidden="false" customHeight="false" outlineLevel="0" collapsed="false">
      <c r="A10" s="0" t="s">
        <v>171</v>
      </c>
      <c r="B10" s="0" t="n">
        <f aca="false">1-Assumptions!$B$2/B8</f>
        <v>0.205721723161562</v>
      </c>
    </row>
    <row r="11" customFormat="false" ht="15" hidden="false" customHeight="false" outlineLevel="0" collapsed="false">
      <c r="A11" s="0" t="s">
        <v>172</v>
      </c>
      <c r="B11" s="0" t="str">
        <f aca="false">IF(ABS(B9-B8)&gt;0.01*ABS(B8),(Assumptions!$B$2-B8)/(B9-B8)*100,"n/a")</f>
        <v>n/a</v>
      </c>
    </row>
    <row r="12" customFormat="false" ht="15" hidden="false" customHeight="false" outlineLevel="0" collapsed="false">
      <c r="A12" s="0" t="s">
        <v>173</v>
      </c>
      <c r="B12" s="0" t="n">
        <f aca="false">SUMPRODUCT(F4:F6,D4:D6)</f>
        <v>11.0786424859357</v>
      </c>
    </row>
    <row r="14" customFormat="false" ht="15" hidden="false" customHeight="false" outlineLevel="0" collapsed="false">
      <c r="A14" s="2" t="s">
        <v>174</v>
      </c>
      <c r="C14" s="0" t="s">
        <v>175</v>
      </c>
    </row>
    <row r="15" customFormat="false" ht="15" hidden="false" customHeight="false" outlineLevel="0" collapsed="false">
      <c r="A15" s="0" t="s">
        <v>176</v>
      </c>
      <c r="B15" s="0" t="n">
        <f aca="false">(SUMPRODUCT(DCF_Base!$C$19:$L$19/(1+$C$15/100)^DCF_Base!$C$4:$L$4)+MAX(0,MIN(IF($C$15&gt;DCF_Base!$B$28,DCF_Base!$L$19*(1+DCF_Base!$B$28/100)/(($C$15-DCF_Base!$B$28)/100),DCF_Base!$L$19*DCF_Base!$B$29),DCF_Base!$L$19*DCF_Base!$B$29))/(1+$C$15/100)^DCF_Base!$L$4+Assumptions!$B$5-Assumptions!$B$4)/Assumptions!$B$3*Assumptions!$B$10</f>
        <v>21.8214717449275</v>
      </c>
      <c r="C15" s="3" t="n">
        <v>9</v>
      </c>
    </row>
    <row r="16" customFormat="false" ht="15" hidden="false" customHeight="false" outlineLevel="0" collapsed="false">
      <c r="A16" s="0" t="s">
        <v>177</v>
      </c>
      <c r="B16" s="0" t="n">
        <f aca="false">(SUMPRODUCT(DCF_Base!$C$19:$L$19/(1+$C$16/100)^DCF_Base!$C$4:$L$4)+MAX(0,MIN(IF($C$16&gt;DCF_Base!$B$28,DCF_Base!$L$19*(1+DCF_Base!$B$28/100)/(($C$16-DCF_Base!$B$28)/100),DCF_Base!$L$19*DCF_Base!$B$29),DCF_Base!$L$19*DCF_Base!$B$29))/(1+$C$16/100)^DCF_Base!$L$4+Assumptions!$B$5-Assumptions!$B$4)/Assumptions!$B$3*Assumptions!$B$10</f>
        <v>19.0610160684584</v>
      </c>
      <c r="C16" s="3" t="n">
        <v>10</v>
      </c>
    </row>
    <row r="17" customFormat="false" ht="15" hidden="false" customHeight="false" outlineLevel="0" collapsed="false">
      <c r="A17" s="0" t="s">
        <v>178</v>
      </c>
      <c r="B17" s="0" t="n">
        <f aca="false">(SUMPRODUCT(DCF_Base!$C$19:$L$19/(1+$C$17/100)^DCF_Base!$C$4:$L$4)+MAX(0,MIN(IF($C$17&gt;DCF_Base!$B$28,DCF_Base!$L$19*(1+DCF_Base!$B$28/100)/(($C$17-DCF_Base!$B$28)/100),DCF_Base!$L$19*DCF_Base!$B$29),DCF_Base!$L$19*DCF_Base!$B$29))/(1+$C$17/100)^DCF_Base!$L$4+Assumptions!$B$5-Assumptions!$B$4)/Assumptions!$B$3*Assumptions!$B$10</f>
        <v>16.9153377668519</v>
      </c>
      <c r="C17" s="3" t="n">
        <v>11</v>
      </c>
    </row>
    <row r="18" customFormat="false" ht="15" hidden="false" customHeight="false" outlineLevel="0" collapsed="false">
      <c r="A18" s="0" t="s">
        <v>179</v>
      </c>
      <c r="B18" s="0" t="n">
        <f aca="false">(SUMPRODUCT(DCF_Base!$C$19:$L$19/(1+$C$18/100)^DCF_Base!$C$4:$L$4)+MAX(0,MIN(IF($C$18&gt;DCF_Base!$B$28,DCF_Base!$L$19*(1+DCF_Base!$B$28/100)/(($C$18-DCF_Base!$B$28)/100),DCF_Base!$L$19*DCF_Base!$B$29),DCF_Base!$L$19*DCF_Base!$B$29))/(1+$C$18/100)^DCF_Base!$L$4+Assumptions!$B$5-Assumptions!$B$4)/Assumptions!$B$3*Assumptions!$B$10</f>
        <v>15.1999307507135</v>
      </c>
      <c r="C18" s="3" t="n">
        <v>12</v>
      </c>
    </row>
    <row r="19" customFormat="false" ht="15" hidden="false" customHeight="false" outlineLevel="0" collapsed="false">
      <c r="A19" s="0" t="s">
        <v>180</v>
      </c>
      <c r="B19" s="0" t="n">
        <f aca="false">(SUMPRODUCT(DCF_Base!$C$19:$L$19/(1+$C$19/100)^DCF_Base!$C$4:$L$4)+MAX(0,MIN(IF($C$19&gt;DCF_Base!$B$28,DCF_Base!$L$19*(1+DCF_Base!$B$28/100)/(($C$19-DCF_Base!$B$28)/100),DCF_Base!$L$19*DCF_Base!$B$29),DCF_Base!$L$19*DCF_Base!$B$29))/(1+$C$19/100)^DCF_Base!$L$4+Assumptions!$B$5-Assumptions!$B$4)/Assumptions!$B$3*Assumptions!$B$10</f>
        <v>11.6419021283297</v>
      </c>
      <c r="C19" s="3" t="n">
        <v>15</v>
      </c>
    </row>
    <row r="21" customFormat="false" ht="15" hidden="false" customHeight="false" outlineLevel="0" collapsed="false">
      <c r="A21" s="2" t="s">
        <v>181</v>
      </c>
    </row>
    <row r="22" customFormat="false" ht="15" hidden="false" customHeight="false" outlineLevel="0" collapsed="false">
      <c r="B22" s="3" t="n">
        <v>1</v>
      </c>
      <c r="C22" s="3" t="n">
        <v>1.5</v>
      </c>
      <c r="D22" s="3" t="n">
        <v>2</v>
      </c>
      <c r="E22" s="3" t="n">
        <v>2.5</v>
      </c>
      <c r="F22" s="3" t="n">
        <v>3</v>
      </c>
    </row>
    <row r="23" customFormat="false" ht="15" hidden="false" customHeight="false" outlineLevel="0" collapsed="false">
      <c r="A23" s="3" t="n">
        <v>7</v>
      </c>
      <c r="B23" s="0" t="n">
        <f aca="false">(SUMPRODUCT(DCF_Base!$C$19:$L$19/(1+$A$23/100)^DCF_Base!$C$4:$L$4)+MAX(0,MIN(IF($A$23&gt;$B$22,DCF_Base!$L$19*(1+$B$22/100)/(($A$23-$B$22)/100),DCF_Base!$L$19*DCF_Base!$B$29),DCF_Base!$L$19*DCF_Base!$B$29))/(1+$A$23/100)^DCF_Base!$L$4+Assumptions!$B$5-Assumptions!$B$4)/Assumptions!$B$3*Assumptions!$B$10</f>
        <v>26.5195395442304</v>
      </c>
      <c r="C23" s="0" t="n">
        <f aca="false">(SUMPRODUCT(DCF_Base!$C$19:$L$19/(1+$A$23/100)^DCF_Base!$C$4:$L$4)+MAX(0,MIN(IF($A$23&gt;$C$22,DCF_Base!$L$19*(1+$C$22/100)/(($A$23-$C$22)/100),DCF_Base!$L$19*DCF_Base!$B$29),DCF_Base!$L$19*DCF_Base!$B$29))/(1+$A$23/100)^DCF_Base!$L$4+Assumptions!$B$5-Assumptions!$B$4)/Assumptions!$B$3*Assumptions!$B$10</f>
        <v>26.5195395442304</v>
      </c>
      <c r="D23" s="0" t="n">
        <f aca="false">(SUMPRODUCT(DCF_Base!$C$19:$L$19/(1+$A$23/100)^DCF_Base!$C$4:$L$4)+MAX(0,MIN(IF($A$23&gt;$D$22,DCF_Base!$L$19*(1+$D$22/100)/(($A$23-$D$22)/100),DCF_Base!$L$19*DCF_Base!$B$29),DCF_Base!$L$19*DCF_Base!$B$29))/(1+$A$23/100)^DCF_Base!$L$4+Assumptions!$B$5-Assumptions!$B$4)/Assumptions!$B$3*Assumptions!$B$10</f>
        <v>26.5195395442304</v>
      </c>
      <c r="E23" s="0" t="n">
        <f aca="false">(SUMPRODUCT(DCF_Base!$C$19:$L$19/(1+$A$23/100)^DCF_Base!$C$4:$L$4)+MAX(0,MIN(IF($A$23&gt;$E$22,DCF_Base!$L$19*(1+$E$22/100)/(($A$23-$E$22)/100),DCF_Base!$L$19*DCF_Base!$B$29),DCF_Base!$L$19*DCF_Base!$B$29))/(1+$A$23/100)^DCF_Base!$L$4+Assumptions!$B$5-Assumptions!$B$4)/Assumptions!$B$3*Assumptions!$B$10</f>
        <v>26.5195395442304</v>
      </c>
      <c r="F23" s="0" t="n">
        <f aca="false">(SUMPRODUCT(DCF_Base!$C$19:$L$19/(1+$A$23/100)^DCF_Base!$C$4:$L$4)+MAX(0,MIN(IF($A$23&gt;$F$22,DCF_Base!$L$19*(1+$F$22/100)/(($A$23-$F$22)/100),DCF_Base!$L$19*DCF_Base!$B$29),DCF_Base!$L$19*DCF_Base!$B$29))/(1+$A$23/100)^DCF_Base!$L$4+Assumptions!$B$5-Assumptions!$B$4)/Assumptions!$B$3*Assumptions!$B$10</f>
        <v>26.5195395442304</v>
      </c>
    </row>
    <row r="24" customFormat="false" ht="15" hidden="false" customHeight="false" outlineLevel="0" collapsed="false">
      <c r="A24" s="3" t="n">
        <v>8</v>
      </c>
      <c r="B24" s="0" t="n">
        <f aca="false">(SUMPRODUCT(DCF_Base!$C$19:$L$19/(1+$A$24/100)^DCF_Base!$C$4:$L$4)+MAX(0,MIN(IF($A$24&gt;$B$22,DCF_Base!$L$19*(1+$B$22/100)/(($A$24-$B$22)/100),DCF_Base!$L$19*DCF_Base!$B$29),DCF_Base!$L$19*DCF_Base!$B$29))/(1+$A$24/100)^DCF_Base!$L$4+Assumptions!$B$5-Assumptions!$B$4)/Assumptions!$B$3*Assumptions!$B$10</f>
        <v>23.2979140512005</v>
      </c>
      <c r="C24" s="0" t="n">
        <f aca="false">(SUMPRODUCT(DCF_Base!$C$19:$L$19/(1+$A$24/100)^DCF_Base!$C$4:$L$4)+MAX(0,MIN(IF($A$24&gt;$C$22,DCF_Base!$L$19*(1+$C$22/100)/(($A$24-$C$22)/100),DCF_Base!$L$19*DCF_Base!$B$29),DCF_Base!$L$19*DCF_Base!$B$29))/(1+$A$24/100)^DCF_Base!$L$4+Assumptions!$B$5-Assumptions!$B$4)/Assumptions!$B$3*Assumptions!$B$10</f>
        <v>24.3162112175012</v>
      </c>
      <c r="D24" s="0" t="n">
        <f aca="false">(SUMPRODUCT(DCF_Base!$C$19:$L$19/(1+$A$24/100)^DCF_Base!$C$4:$L$4)+MAX(0,MIN(IF($A$24&gt;$D$22,DCF_Base!$L$19*(1+$D$22/100)/(($A$24-$D$22)/100),DCF_Base!$L$19*DCF_Base!$B$29),DCF_Base!$L$19*DCF_Base!$B$29))/(1+$A$24/100)^DCF_Base!$L$4+Assumptions!$B$5-Assumptions!$B$4)/Assumptions!$B$3*Assumptions!$B$10</f>
        <v>24.6462149288024</v>
      </c>
      <c r="E24" s="0" t="n">
        <f aca="false">(SUMPRODUCT(DCF_Base!$C$19:$L$19/(1+$A$24/100)^DCF_Base!$C$4:$L$4)+MAX(0,MIN(IF($A$24&gt;$E$22,DCF_Base!$L$19*(1+$E$22/100)/(($A$24-$E$22)/100),DCF_Base!$L$19*DCF_Base!$B$29),DCF_Base!$L$19*DCF_Base!$B$29))/(1+$A$24/100)^DCF_Base!$L$4+Assumptions!$B$5-Assumptions!$B$4)/Assumptions!$B$3*Assumptions!$B$10</f>
        <v>24.6462149288024</v>
      </c>
      <c r="F24" s="0" t="n">
        <f aca="false">(SUMPRODUCT(DCF_Base!$C$19:$L$19/(1+$A$24/100)^DCF_Base!$C$4:$L$4)+MAX(0,MIN(IF($A$24&gt;$F$22,DCF_Base!$L$19*(1+$F$22/100)/(($A$24-$F$22)/100),DCF_Base!$L$19*DCF_Base!$B$29),DCF_Base!$L$19*DCF_Base!$B$29))/(1+$A$24/100)^DCF_Base!$L$4+Assumptions!$B$5-Assumptions!$B$4)/Assumptions!$B$3*Assumptions!$B$10</f>
        <v>24.6462149288024</v>
      </c>
    </row>
    <row r="25" customFormat="false" ht="15" hidden="false" customHeight="false" outlineLevel="0" collapsed="false">
      <c r="A25" s="3" t="n">
        <v>9</v>
      </c>
      <c r="B25" s="0" t="n">
        <f aca="false">(SUMPRODUCT(DCF_Base!$C$19:$L$19/(1+$A$25/100)^DCF_Base!$C$4:$L$4)+MAX(0,MIN(IF($A$25&gt;$B$22,DCF_Base!$L$19*(1+$B$22/100)/(($A$25-$B$22)/100),DCF_Base!$L$19*DCF_Base!$B$29),DCF_Base!$L$19*DCF_Base!$B$29))/(1+$A$25/100)^DCF_Base!$L$4+Assumptions!$B$5-Assumptions!$B$4)/Assumptions!$B$3*Assumptions!$B$10</f>
        <v>20.2984601193041</v>
      </c>
      <c r="C25" s="0" t="n">
        <f aca="false">(SUMPRODUCT(DCF_Base!$C$19:$L$19/(1+$A$25/100)^DCF_Base!$C$4:$L$4)+MAX(0,MIN(IF($A$25&gt;$C$22,DCF_Base!$L$19*(1+$C$22/100)/(($A$25-$C$22)/100),DCF_Base!$L$19*DCF_Base!$B$29),DCF_Base!$L$19*DCF_Base!$B$29))/(1+$A$25/100)^DCF_Base!$L$4+Assumptions!$B$5-Assumptions!$B$4)/Assumptions!$B$3*Assumptions!$B$10</f>
        <v>21.0091988779283</v>
      </c>
      <c r="D25" s="0" t="n">
        <f aca="false">(SUMPRODUCT(DCF_Base!$C$19:$L$19/(1+$A$25/100)^DCF_Base!$C$4:$L$4)+MAX(0,MIN(IF($A$25&gt;$D$22,DCF_Base!$L$19*(1+$D$22/100)/(($A$25-$D$22)/100),DCF_Base!$L$19*DCF_Base!$B$29),DCF_Base!$L$19*DCF_Base!$B$29))/(1+$A$25/100)^DCF_Base!$L$4+Assumptions!$B$5-Assumptions!$B$4)/Assumptions!$B$3*Assumptions!$B$10</f>
        <v>21.8214717449275</v>
      </c>
      <c r="E25" s="0" t="n">
        <f aca="false">(SUMPRODUCT(DCF_Base!$C$19:$L$19/(1+$A$25/100)^DCF_Base!$C$4:$L$4)+MAX(0,MIN(IF($A$25&gt;$E$22,DCF_Base!$L$19*(1+$E$22/100)/(($A$25-$E$22)/100),DCF_Base!$L$19*DCF_Base!$B$29),DCF_Base!$L$19*DCF_Base!$B$29))/(1+$A$25/100)^DCF_Base!$L$4+Assumptions!$B$5-Assumptions!$B$4)/Assumptions!$B$3*Assumptions!$B$10</f>
        <v>22.758709668388</v>
      </c>
      <c r="F25" s="0" t="n">
        <f aca="false">(SUMPRODUCT(DCF_Base!$C$19:$L$19/(1+$A$25/100)^DCF_Base!$C$4:$L$4)+MAX(0,MIN(IF($A$25&gt;$F$22,DCF_Base!$L$19*(1+$F$22/100)/(($A$25-$F$22)/100),DCF_Base!$L$19*DCF_Base!$B$29),DCF_Base!$L$19*DCF_Base!$B$29))/(1+$A$25/100)^DCF_Base!$L$4+Assumptions!$B$5-Assumptions!$B$4)/Assumptions!$B$3*Assumptions!$B$10</f>
        <v>22.9392784426327</v>
      </c>
    </row>
    <row r="26" customFormat="false" ht="15" hidden="false" customHeight="false" outlineLevel="0" collapsed="false">
      <c r="A26" s="3" t="n">
        <v>10</v>
      </c>
      <c r="B26" s="0" t="n">
        <f aca="false">(SUMPRODUCT(DCF_Base!$C$19:$L$19/(1+$A$26/100)^DCF_Base!$C$4:$L$4)+MAX(0,MIN(IF($A$26&gt;$B$22,DCF_Base!$L$19*(1+$B$22/100)/(($A$26-$B$22)/100),DCF_Base!$L$19*DCF_Base!$B$29),DCF_Base!$L$19*DCF_Base!$B$29))/(1+$A$26/100)^DCF_Base!$L$4+Assumptions!$B$5-Assumptions!$B$4)/Assumptions!$B$3*Assumptions!$B$10</f>
        <v>17.9699198161347</v>
      </c>
      <c r="C26" s="0" t="n">
        <f aca="false">(SUMPRODUCT(DCF_Base!$C$19:$L$19/(1+$A$26/100)^DCF_Base!$C$4:$L$4)+MAX(0,MIN(IF($A$26&gt;$C$22,DCF_Base!$L$19*(1+$C$22/100)/(($A$26-$C$22)/100),DCF_Base!$L$19*DCF_Base!$B$29),DCF_Base!$L$19*DCF_Base!$B$29))/(1+$A$26/100)^DCF_Base!$L$4+Assumptions!$B$5-Assumptions!$B$4)/Assumptions!$B$3*Assumptions!$B$10</f>
        <v>18.4833768760517</v>
      </c>
      <c r="D26" s="0" t="n">
        <f aca="false">(SUMPRODUCT(DCF_Base!$C$19:$L$19/(1+$A$26/100)^DCF_Base!$C$4:$L$4)+MAX(0,MIN(IF($A$26&gt;$D$22,DCF_Base!$L$19*(1+$D$22/100)/(($A$26-$D$22)/100),DCF_Base!$L$19*DCF_Base!$B$29),DCF_Base!$L$19*DCF_Base!$B$29))/(1+$A$26/100)^DCF_Base!$L$4+Assumptions!$B$5-Assumptions!$B$4)/Assumptions!$B$3*Assumptions!$B$10</f>
        <v>19.0610160684584</v>
      </c>
      <c r="E26" s="0" t="n">
        <f aca="false">(SUMPRODUCT(DCF_Base!$C$19:$L$19/(1+$A$26/100)^DCF_Base!$C$4:$L$4)+MAX(0,MIN(IF($A$26&gt;$E$22,DCF_Base!$L$19*(1+$E$22/100)/(($A$26-$E$22)/100),DCF_Base!$L$19*DCF_Base!$B$29),DCF_Base!$L$19*DCF_Base!$B$29))/(1+$A$26/100)^DCF_Base!$L$4+Assumptions!$B$5-Assumptions!$B$4)/Assumptions!$B$3*Assumptions!$B$10</f>
        <v>19.7156738198526</v>
      </c>
      <c r="F26" s="0" t="n">
        <f aca="false">(SUMPRODUCT(DCF_Base!$C$19:$L$19/(1+$A$26/100)^DCF_Base!$C$4:$L$4)+MAX(0,MIN(IF($A$26&gt;$F$22,DCF_Base!$L$19*(1+$F$22/100)/(($A$26-$F$22)/100),DCF_Base!$L$19*DCF_Base!$B$29),DCF_Base!$L$19*DCF_Base!$B$29))/(1+$A$26/100)^DCF_Base!$L$4+Assumptions!$B$5-Assumptions!$B$4)/Assumptions!$B$3*Assumptions!$B$10</f>
        <v>20.4638541071602</v>
      </c>
    </row>
    <row r="27" customFormat="false" ht="15" hidden="false" customHeight="false" outlineLevel="0" collapsed="false">
      <c r="A27" s="3" t="n">
        <v>11</v>
      </c>
      <c r="B27" s="0" t="n">
        <f aca="false">(SUMPRODUCT(DCF_Base!$C$19:$L$19/(1+$A$27/100)^DCF_Base!$C$4:$L$4)+MAX(0,MIN(IF($A$27&gt;$B$22,DCF_Base!$L$19*(1+$B$22/100)/(($A$27-$B$22)/100),DCF_Base!$L$19*DCF_Base!$B$29),DCF_Base!$L$19*DCF_Base!$B$29))/(1+$A$27/100)^DCF_Base!$L$4+Assumptions!$B$5-Assumptions!$B$4)/Assumptions!$B$3*Assumptions!$B$10</f>
        <v>16.1107370625232</v>
      </c>
      <c r="C27" s="0" t="n">
        <f aca="false">(SUMPRODUCT(DCF_Base!$C$19:$L$19/(1+$A$27/100)^DCF_Base!$C$4:$L$4)+MAX(0,MIN(IF($A$27&gt;$C$22,DCF_Base!$L$19*(1+$C$22/100)/(($A$27-$C$22)/100),DCF_Base!$L$19*DCF_Base!$B$29),DCF_Base!$L$19*DCF_Base!$B$29))/(1+$A$27/100)^DCF_Base!$L$4+Assumptions!$B$5-Assumptions!$B$4)/Assumptions!$B$3*Assumptions!$B$10</f>
        <v>16.491863711942</v>
      </c>
      <c r="D27" s="0" t="n">
        <f aca="false">(SUMPRODUCT(DCF_Base!$C$19:$L$19/(1+$A$27/100)^DCF_Base!$C$4:$L$4)+MAX(0,MIN(IF($A$27&gt;$D$22,DCF_Base!$L$19*(1+$D$22/100)/(($A$27-$D$22)/100),DCF_Base!$L$19*DCF_Base!$B$29),DCF_Base!$L$19*DCF_Base!$B$29))/(1+$A$27/100)^DCF_Base!$L$4+Assumptions!$B$5-Assumptions!$B$4)/Assumptions!$B$3*Assumptions!$B$10</f>
        <v>16.9153377668519</v>
      </c>
      <c r="E27" s="0" t="n">
        <f aca="false">(SUMPRODUCT(DCF_Base!$C$19:$L$19/(1+$A$27/100)^DCF_Base!$C$4:$L$4)+MAX(0,MIN(IF($A$27&gt;$E$22,DCF_Base!$L$19*(1+$E$22/100)/(($A$27-$E$22)/100),DCF_Base!$L$19*DCF_Base!$B$29),DCF_Base!$L$19*DCF_Base!$B$29))/(1+$A$27/100)^DCF_Base!$L$4+Assumptions!$B$5-Assumptions!$B$4)/Assumptions!$B$3*Assumptions!$B$10</f>
        <v>17.38863229881</v>
      </c>
      <c r="F27" s="0" t="n">
        <f aca="false">(SUMPRODUCT(DCF_Base!$C$19:$L$19/(1+$A$27/100)^DCF_Base!$C$4:$L$4)+MAX(0,MIN(IF($A$27&gt;$F$22,DCF_Base!$L$19*(1+$F$22/100)/(($A$27-$F$22)/100),DCF_Base!$L$19*DCF_Base!$B$29),DCF_Base!$L$19*DCF_Base!$B$29))/(1+$A$27/100)^DCF_Base!$L$4+Assumptions!$B$5-Assumptions!$B$4)/Assumptions!$B$3*Assumptions!$B$10</f>
        <v>17.9210886472628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2026-10-25T05:19:42Z</dcterms:created>
  <dc:creator>openpyxl</dc:creator>
  <dc:description/>
  <dc:language>en-NZ</dc:language>
  <cp:lastModifiedBy/>
  <dcterms:modified xsi:type="dcterms:W3CDTF">2026-10-25T05:19:42Z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