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_Info" sheetId="1" state="visible" r:id="rId3"/>
    <sheet name="Reconciliation" sheetId="2" state="visible" r:id="rId4"/>
    <sheet name="Actuals" sheetId="3" state="visible" r:id="rId5"/>
    <sheet name="Assumptions" sheetId="4" state="visible" r:id="rId6"/>
    <sheet name="DCF_Bear" sheetId="5" state="visible" r:id="rId7"/>
    <sheet name="DCF_Base" sheetId="6" state="visible" r:id="rId8"/>
    <sheet name="DCF_Bull" sheetId="7" state="visible" r:id="rId9"/>
    <sheet name="Valuation"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<sst xmlns="http://schemas.openxmlformats.org/spreadsheetml/2006/main" count="415" uniqueCount="197">
  <si>
    <t xml:space="preserve">Ticker</t>
  </si>
  <si>
    <t xml:space="preserve">AIZ</t>
  </si>
  <si>
    <t xml:space="preserve">Company</t>
  </si>
  <si>
    <t xml:space="preserve">Assurant, Inc.</t>
  </si>
  <si>
    <t xml:space="preserve">Valuation date</t>
  </si>
  <si>
    <t xml:space="preserve">2026-09-25</t>
  </si>
  <si>
    <t xml:space="preserve">Current price</t>
  </si>
  <si>
    <t xml:space="preserve">Price as of</t>
  </si>
  <si>
    <t xml:space="preserve">2026-09-24T20:00:03Z regular close</t>
  </si>
  <si>
    <t xml:space="preserve">Balance sheet date</t>
  </si>
  <si>
    <t xml:space="preserve">2026-06-30</t>
  </si>
  <si>
    <t xml:space="preserve">Model</t>
  </si>
  <si>
    <t xml:space="preserve">Specialty insurer free cash flow to equity capitalisation at cost of equity (engine route; after-tax underwriting plus investment earnings after interest, less capital retained to support premium growth, net debt zero)</t>
  </si>
  <si>
    <t xml:space="preserve">Currency (model)</t>
  </si>
  <si>
    <t xml:space="preserve">USD</t>
  </si>
  <si>
    <t xml:space="preserve">Currency (quote)</t>
  </si>
  <si>
    <t xml:space="preserve">Units</t>
  </si>
  <si>
    <t xml:space="preserve">millions</t>
  </si>
  <si>
    <t xml:space="preserve">Engine</t>
  </si>
  <si>
    <t xml:space="preserve">dcf_engine v1</t>
  </si>
  <si>
    <t xml:space="preserve">Built at</t>
  </si>
  <si>
    <t xml:space="preserve">2026-09-25T09:53:53Z</t>
  </si>
  <si>
    <t xml:space="preserve">Drivers file</t>
  </si>
  <si>
    <t xml:space="preserve">AIZ_Drivers.json</t>
  </si>
  <si>
    <t xml:space="preserve">Convention</t>
  </si>
  <si>
    <t xml:space="preserve">Percents stored as percents; formulas divide by 100. Blue = input, green = link, black = formula.</t>
  </si>
  <si>
    <t xml:space="preserve">Methodology</t>
  </si>
  <si>
    <t xml:space="preserve">summary: Assurant is valued as a specialty insurer that pays out its earnings. The flow is after-tax underlying earnings, after interest, normal catastrophes and reserve development, less the capital regulators and rating agencies require to support premium growth, discounted at a 9% cost of equity with no net debt. Reported OCF minus capex is not used because it includes float growth. Book-value compounding is not used because book does not compound at a ~78% payout.
key_risks_to_valuation: Partner concentration in Connected Living: losing one large carrier or OEM contract is the bear case; Catastrophe severity and reinsurance pricing in Global Housing; the FY2026 base assumes a normal H2; Net investment income is ~45% of pretax income; lower yields compress the margin; Capital retention per dollar of growth (30% base) is inferred from tangible equity/revenue, not a disclosed requirement; actual FY2023-25 retention ran higher (~45%) while the ratio rebuilt; Excess holding-company liquidity is not credited (small upside)</t>
  </si>
  <si>
    <t xml:space="preserve">Data sources</t>
  </si>
  <si>
    <t xml:space="preserve">price: Yahoo Finance chart API at inputs.price_as_of; 52-week range 206.03-303.94
financials: research/AIZ/Reports/AIZ_Metrics.csv; SEC XBRL companyfacts (CIK 1267238) for pretax income, investment gains/losses, net investment income, D&amp;A, withholding taxes, unsecured debt, goodwill, AOCI, diluted shares through the Q2-2026 10-Q
qualitative: research/AIZ/Reports/AIZ_Analysis.json (Q2-2026 results and raised FY2026 outlook)</t>
  </si>
  <si>
    <t xml:space="preserve">Scenario narrative: bear</t>
  </si>
  <si>
    <t xml:space="preserve">A major partner is lost at renewal, which stalls and then shrinks revenue. Cat losses and reinsurance costs run high while falling rates cut investment income, taking the underlying pretax margin to 8.3%, and capital retention rises.</t>
  </si>
  <si>
    <t xml:space="preserve">Scenario narrative: base</t>
  </si>
  <si>
    <t xml:space="preserve">The 2024-25 mobile carrier and OEM wins keep scaling: revenue +9% in FY2026 fading to 3%, and underlying pretax margin at a cat-normalised 9.9% rising to 10.3%. 30% of each revenue dollar added is retained as capital, and the rest is paid out through buybacks and dividends.</t>
  </si>
  <si>
    <t xml:space="preserve">Scenario narrative: bull</t>
  </si>
  <si>
    <t xml:space="preserve">Trade-in, upgrade and bundle programmes keep winning partners, and automation lifts margins. Revenue grows at a high-single to low-double-digit rate for three years, and the underlying pretax margin reaches 11.5%. Fee-heavy growth needs less capital.</t>
  </si>
  <si>
    <t xml:space="preserve">Item</t>
  </si>
  <si>
    <t xml:space="preserve">Value</t>
  </si>
  <si>
    <t xml:space="preserve">Note</t>
  </si>
  <si>
    <t xml:space="preserve">Prior valuation_date</t>
  </si>
  <si>
    <t xml:space="preserve">Prior price_then</t>
  </si>
  <si>
    <t xml:space="preserve">Prior bear</t>
  </si>
  <si>
    <t xml:space="preserve">Prior base</t>
  </si>
  <si>
    <t xml:space="preserve">Prior bull</t>
  </si>
  <si>
    <t xml:space="preserve">Prior weighted</t>
  </si>
  <si>
    <t xml:space="preserve">Prior model</t>
  </si>
  <si>
    <t xml:space="preserve">owner_fcf_dcf_component (Sonnet fallback build)</t>
  </si>
  <si>
    <t xml:space="preserve">New valuation_date</t>
  </si>
  <si>
    <t xml:space="preserve">New price_then</t>
  </si>
  <si>
    <t xml:space="preserve">New bear</t>
  </si>
  <si>
    <t xml:space="preserve">New base</t>
  </si>
  <si>
    <t xml:space="preserve">New bull</t>
  </si>
  <si>
    <t xml:space="preserve">New weighted</t>
  </si>
  <si>
    <t xml:space="preserve">Bridge</t>
  </si>
  <si>
    <t xml:space="preserve">Prior weighted IV (Sonnet owner-FCF build)</t>
  </si>
  <si>
    <t xml:space="preserve">Anchor refresh (price, shares, balance-sheet date unchanged -- same day)</t>
  </si>
  <si>
    <t xml:space="preserve">Methodology change: OCF-based owner FCF at 8.5% WACC less holdco net debt -&gt; insurer FCFE after growth-capital retention at 9% cost of equity, net debt zero</t>
  </si>
  <si>
    <t xml:space="preserve">Opposing effects inside one method switch. Lowering the flow from reported OCF, which includes float growth (FY2025 owner FCF $1,499M), to FCFE after growth-capital retention (~$649M FY2025 proxy) cuts value. The prior build re-anchored its base to a mid-cycled $1,193M and ramped the EBITDA margin; this build instead drops the ~$509M holdco net-debt deduction (interest is already in the flows), which adds value, and moves the discount rate from 8.5% to 9.0%, which cuts it. Per-scenario: bear 159.05 -&gt; 210.10, base 365.68 -&gt; 334.61, bull 562.48 -&gt; 433.95. The distribution narrows because the bear no longer runs on OCF swings and the bull no longer capitalises float growth.</t>
  </si>
  <si>
    <t xml:space="preserve">New weighted IV</t>
  </si>
  <si>
    <t xml:space="preserve">ties to probability_weighted.weighted_iv</t>
  </si>
  <si>
    <t xml:space="preserve">Period</t>
  </si>
  <si>
    <t xml:space="preserve">Revenue</t>
  </si>
  <si>
    <t xml:space="preserve">CostOfRevenue</t>
  </si>
  <si>
    <t xml:space="preserve">GrossProfit</t>
  </si>
  <si>
    <t xml:space="preserve">GrossMargin</t>
  </si>
  <si>
    <t xml:space="preserve">OperatingIncome</t>
  </si>
  <si>
    <t xml:space="preserve">OperatingMargin</t>
  </si>
  <si>
    <t xml:space="preserve">EBITDA</t>
  </si>
  <si>
    <t xml:space="preserve">NetIncome</t>
  </si>
  <si>
    <t xml:space="preserve">NetMargin</t>
  </si>
  <si>
    <t xml:space="preserve">EPS</t>
  </si>
  <si>
    <t xml:space="preserve">OperatingCashFlow</t>
  </si>
  <si>
    <t xml:space="preserve">CapEx</t>
  </si>
  <si>
    <t xml:space="preserve">FreeCashFlow</t>
  </si>
  <si>
    <t xml:space="preserve">ShareholdersEquity</t>
  </si>
  <si>
    <t xml:space="preserve">TotalAssets</t>
  </si>
  <si>
    <t xml:space="preserve">TotalLiabilities</t>
  </si>
  <si>
    <t xml:space="preserve">TotalDebt</t>
  </si>
  <si>
    <t xml:space="preserve">CashAndEquivalents</t>
  </si>
  <si>
    <t xml:space="preserve">SharesOutstanding</t>
  </si>
  <si>
    <t xml:space="preserve">StockBasedComp</t>
  </si>
  <si>
    <t xml:space="preserve">DividendPerShare</t>
  </si>
  <si>
    <t xml:space="preserve">EBITDABeforeSignificant</t>
  </si>
  <si>
    <t xml:space="preserve">RevenueContinuing</t>
  </si>
  <si>
    <t xml:space="preserve">EBITDAContinuingBeforeSignificant</t>
  </si>
  <si>
    <t xml:space="preserve">EBITContinuingBeforeSignificant</t>
  </si>
  <si>
    <t xml:space="preserve">Currency</t>
  </si>
  <si>
    <t xml:space="preserve">FY2006</t>
  </si>
  <si>
    <t xml:space="preserve">FY2007</t>
  </si>
  <si>
    <t xml:space="preserve">FY2008</t>
  </si>
  <si>
    <t xml:space="preserve">FY2009</t>
  </si>
  <si>
    <t xml:space="preserve">FY2010</t>
  </si>
  <si>
    <t xml:space="preserve">FY2011</t>
  </si>
  <si>
    <t xml:space="preserve">FY2012</t>
  </si>
  <si>
    <t xml:space="preserve">FY2013</t>
  </si>
  <si>
    <t xml:space="preserve">FY2014</t>
  </si>
  <si>
    <t xml:space="preserve">FY2015</t>
  </si>
  <si>
    <t xml:space="preserve">FY2016</t>
  </si>
  <si>
    <t xml:space="preserve">FY2017</t>
  </si>
  <si>
    <t xml:space="preserve">FY2018</t>
  </si>
  <si>
    <t xml:space="preserve">FY2019</t>
  </si>
  <si>
    <t xml:space="preserve">FY2020</t>
  </si>
  <si>
    <t xml:space="preserve">FY2021</t>
  </si>
  <si>
    <t xml:space="preserve">FY2022</t>
  </si>
  <si>
    <t xml:space="preserve">FY2023</t>
  </si>
  <si>
    <t xml:space="preserve">FY2024</t>
  </si>
  <si>
    <t xml:space="preserve">FY2025</t>
  </si>
  <si>
    <t xml:space="preserve">Input</t>
  </si>
  <si>
    <t xml:space="preserve">Current price (quote currency)</t>
  </si>
  <si>
    <t xml:space="preserve">Shares, final projected (m)</t>
  </si>
  <si>
    <t xml:space="preserve">Net debt (m, model currency)</t>
  </si>
  <si>
    <t xml:space="preserve">Equity bridge total (m, + adds)</t>
  </si>
  <si>
    <t xml:space="preserve">Hurdle rate (%)</t>
  </si>
  <si>
    <t xml:space="preserve">Base revenue FY0 (m)</t>
  </si>
  <si>
    <t xml:space="preserve">FY0</t>
  </si>
  <si>
    <t xml:space="preserve">Currency / units</t>
  </si>
  <si>
    <t xml:space="preserve">USD millions</t>
  </si>
  <si>
    <t xml:space="preserve">FX rate (model -&gt; quote)</t>
  </si>
  <si>
    <t xml:space="preserve">BEAR</t>
  </si>
  <si>
    <t xml:space="preserve">FY2026</t>
  </si>
  <si>
    <t xml:space="preserve">FY2027</t>
  </si>
  <si>
    <t xml:space="preserve">FY2028</t>
  </si>
  <si>
    <t xml:space="preserve">FY2029</t>
  </si>
  <si>
    <t xml:space="preserve">FY2030</t>
  </si>
  <si>
    <t xml:space="preserve">FY2031</t>
  </si>
  <si>
    <t xml:space="preserve">FY2032</t>
  </si>
  <si>
    <t xml:space="preserve">FY2033</t>
  </si>
  <si>
    <t xml:space="preserve">FY2034</t>
  </si>
  <si>
    <t xml:space="preserve">FY2035</t>
  </si>
  <si>
    <t xml:space="preserve">Revenue growth (%)</t>
  </si>
  <si>
    <t xml:space="preserve">EBITDA margin (%)</t>
  </si>
  <si>
    <t xml:space="preserve">SBC (% of revenue)</t>
  </si>
  <si>
    <t xml:space="preserve">Lease cost (% of revenue)</t>
  </si>
  <si>
    <t xml:space="preserve">D&amp;A (% of revenue)</t>
  </si>
  <si>
    <t xml:space="preserve">Capex (% of revenue)</t>
  </si>
  <si>
    <t xml:space="preserve">Cash tax rate (%)</t>
  </si>
  <si>
    <t xml:space="preserve">WACC (%)</t>
  </si>
  <si>
    <t xml:space="preserve">Terminal growth (%)</t>
  </si>
  <si>
    <t xml:space="preserve">Terminal cap multiple (x FCF)</t>
  </si>
  <si>
    <t xml:space="preserve">Working-capital capture (% of revenue change)</t>
  </si>
  <si>
    <t xml:space="preserve">Scenario weight</t>
  </si>
  <si>
    <t xml:space="preserve">BASE</t>
  </si>
  <si>
    <t xml:space="preserve">BULL</t>
  </si>
  <si>
    <t xml:space="preserve">AIZ owner-FCF component DCF: bear case (millions, USD)</t>
  </si>
  <si>
    <t xml:space="preserve">Line</t>
  </si>
  <si>
    <t xml:space="preserve">Year index (discount exponent)</t>
  </si>
  <si>
    <t xml:space="preserve">SBC charge</t>
  </si>
  <si>
    <t xml:space="preserve">Owner EBITDA (after SBC and leases)</t>
  </si>
  <si>
    <t xml:space="preserve">D&amp;A</t>
  </si>
  <si>
    <t xml:space="preserve">EBIT</t>
  </si>
  <si>
    <t xml:space="preserve">NOPAT</t>
  </si>
  <si>
    <t xml:space="preserve">D&amp;A add-back</t>
  </si>
  <si>
    <t xml:space="preserve">Capex</t>
  </si>
  <si>
    <t xml:space="preserve">Working capital</t>
  </si>
  <si>
    <t xml:space="preserve">Unlevered owner FCF</t>
  </si>
  <si>
    <t xml:space="preserve">Discount factor</t>
  </si>
  <si>
    <t xml:space="preserve">PV of FCF</t>
  </si>
  <si>
    <t xml:space="preserve">Lease cost</t>
  </si>
  <si>
    <t xml:space="preserve">Valuation</t>
  </si>
  <si>
    <t xml:space="preserve">Sum of PV of FCF</t>
  </si>
  <si>
    <t xml:space="preserve">Terminal-year FCF</t>
  </si>
  <si>
    <t xml:space="preserve">Gordon terminal value</t>
  </si>
  <si>
    <t xml:space="preserve">Cap terminal value</t>
  </si>
  <si>
    <t xml:space="preserve">Terminal value used: MAX(0,MIN(Gordon,cap))</t>
  </si>
  <si>
    <t xml:space="preserve">PV of terminal value</t>
  </si>
  <si>
    <t xml:space="preserve">Enterprise value</t>
  </si>
  <si>
    <t xml:space="preserve">Equity value (EV + bridge - net debt)</t>
  </si>
  <si>
    <t xml:space="preserve">Value per share (quote currency)</t>
  </si>
  <si>
    <t xml:space="preserve">Upside vs price</t>
  </si>
  <si>
    <t xml:space="preserve">Street memo: PV of explicit-period SBC</t>
  </si>
  <si>
    <t xml:space="preserve">Street memo: PV of terminal SBC (Gordon)</t>
  </si>
  <si>
    <t xml:space="preserve">Street value per share</t>
  </si>
  <si>
    <t xml:space="preserve">Terminal value at hurdle: MAX(0,MIN(Gordon@hurdle,cap))</t>
  </si>
  <si>
    <t xml:space="preserve">Hurdle entry price (quote currency)</t>
  </si>
  <si>
    <t xml:space="preserve">AIZ owner-FCF component DCF: base case (millions, USD)</t>
  </si>
  <si>
    <t xml:space="preserve">AIZ owner-FCF component DCF: bull case (millions, USD)</t>
  </si>
  <si>
    <t xml:space="preserve">AIZ valuation summary</t>
  </si>
  <si>
    <t xml:space="preserve">Scenario</t>
  </si>
  <si>
    <t xml:space="preserve">Value per share</t>
  </si>
  <si>
    <t xml:space="preserve">Weight</t>
  </si>
  <si>
    <t xml:space="preserve">Hurdle entry price</t>
  </si>
  <si>
    <t xml:space="preserve">Bear</t>
  </si>
  <si>
    <t xml:space="preserve">Base</t>
  </si>
  <si>
    <t xml:space="preserve">Bull</t>
  </si>
  <si>
    <t xml:space="preserve">Probability-weighted value per share</t>
  </si>
  <si>
    <t xml:space="preserve">Street weighted value per share</t>
  </si>
  <si>
    <t xml:space="preserve">Margin of safety (1 - price/weighted)</t>
  </si>
  <si>
    <t xml:space="preserve">Band position (%; 0 = house, 100 = street)</t>
  </si>
  <si>
    <t xml:space="preserve">Weighted 15% hurdle entry price</t>
  </si>
  <si>
    <t xml:space="preserve">Required-return table (base case; each row rebuilds its own terminal value)</t>
  </si>
  <si>
    <t xml:space="preserve">Rate (%)</t>
  </si>
  <si>
    <t xml:space="preserve">Value per share at 9% (WACC)</t>
  </si>
  <si>
    <t xml:space="preserve">Value per share at 10%</t>
  </si>
  <si>
    <t xml:space="preserve">Value per share at 11%</t>
  </si>
  <si>
    <t xml:space="preserve">Value per share at 12%</t>
  </si>
  <si>
    <t xml:space="preserve">Value per share at 15%</t>
  </si>
  <si>
    <t xml:space="preserve">Sensitivity: value per share, rows WACC (%) x columns terminal growth (%)</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</si>
</sst>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rgb="FF0000FF"/>
      <name val="Cambria"/>
      <family val="0"/>
      <charset val="1"/>
    </font>
    <font>
      <sz val="11"/>
      <color rgb="FF008000"/>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6"/>
    <col collapsed="false" customWidth="true" hidden="false" outlineLevel="0" max="2" min="2" style="0" width="100"/>
  </cols>
  <sheetData>
    <row r="1" customFormat="false" ht="15" hidden="false" customHeight="false" outlineLevel="0" collapsed="false">
      <c r="A1" s="0" t="s">
        <v>0</v>
      </c>
      <c r="B1" s="0" t="s">
        <v>1</v>
      </c>
    </row>
    <row r="2" customFormat="false" ht="15" hidden="false" customHeight="false" outlineLevel="0" collapsed="false">
      <c r="A2" s="0" t="s">
        <v>2</v>
      </c>
      <c r="B2" s="0" t="s">
        <v>3</v>
      </c>
    </row>
    <row r="3" customFormat="false" ht="15" hidden="false" customHeight="false" outlineLevel="0" collapsed="false">
      <c r="A3" s="0" t="s">
        <v>4</v>
      </c>
      <c r="B3" s="0" t="s">
        <v>5</v>
      </c>
    </row>
    <row r="4" customFormat="false" ht="15" hidden="false" customHeight="false" outlineLevel="0" collapsed="false">
      <c r="A4" s="0" t="s">
        <v>6</v>
      </c>
      <c r="B4" s="0" t="n">
        <v>261.86</v>
      </c>
    </row>
    <row r="5" customFormat="false" ht="15" hidden="false" customHeight="false" outlineLevel="0" collapsed="false">
      <c r="A5" s="0" t="s">
        <v>7</v>
      </c>
      <c r="B5" s="0" t="s">
        <v>8</v>
      </c>
    </row>
    <row r="6" customFormat="false" ht="15" hidden="false" customHeight="false" outlineLevel="0" collapsed="false">
      <c r="A6" s="0" t="s">
        <v>9</v>
      </c>
      <c r="B6" s="0" t="s">
        <v>10</v>
      </c>
    </row>
    <row r="7" customFormat="false" ht="15" hidden="false" customHeight="false" outlineLevel="0" collapsed="false">
      <c r="A7" s="0" t="s">
        <v>11</v>
      </c>
      <c r="B7" s="0" t="s">
        <v>12</v>
      </c>
    </row>
    <row r="8" customFormat="false" ht="15" hidden="false" customHeight="false" outlineLevel="0" collapsed="false">
      <c r="A8" s="0" t="s">
        <v>13</v>
      </c>
      <c r="B8" s="0" t="s">
        <v>14</v>
      </c>
    </row>
    <row r="9" customFormat="false" ht="15" hidden="false" customHeight="false" outlineLevel="0" collapsed="false">
      <c r="A9" s="0" t="s">
        <v>15</v>
      </c>
      <c r="B9" s="0" t="s">
        <v>14</v>
      </c>
    </row>
    <row r="10" customFormat="false" ht="15" hidden="false" customHeight="false" outlineLevel="0" collapsed="false">
      <c r="A10" s="0" t="s">
        <v>16</v>
      </c>
      <c r="B10" s="0" t="s">
        <v>17</v>
      </c>
    </row>
    <row r="11" customFormat="false" ht="15" hidden="false" customHeight="false" outlineLevel="0" collapsed="false">
      <c r="A11" s="0" t="s">
        <v>18</v>
      </c>
      <c r="B11" s="0" t="s">
        <v>19</v>
      </c>
    </row>
    <row r="12" customFormat="false" ht="15" hidden="false" customHeight="false" outlineLevel="0" collapsed="false">
      <c r="A12" s="0" t="s">
        <v>20</v>
      </c>
      <c r="B12" s="0" t="s">
        <v>21</v>
      </c>
    </row>
    <row r="13" customFormat="false" ht="15" hidden="false" customHeight="false" outlineLevel="0" collapsed="false">
      <c r="A13" s="0" t="s">
        <v>22</v>
      </c>
      <c r="B13" s="0" t="s">
        <v>23</v>
      </c>
    </row>
    <row r="14" customFormat="false" ht="15" hidden="false" customHeight="false" outlineLevel="0" collapsed="false">
      <c r="A14" s="0" t="s">
        <v>24</v>
      </c>
      <c r="B14" s="0" t="s">
        <v>25</v>
      </c>
    </row>
    <row r="15" customFormat="false" ht="23.85" hidden="false" customHeight="false" outlineLevel="0" collapsed="false">
      <c r="A15" s="0" t="s">
        <v>26</v>
      </c>
      <c r="B15" s="1" t="s">
        <v>27</v>
      </c>
    </row>
    <row r="16" customFormat="false" ht="35.05" hidden="false" customHeight="false" outlineLevel="0" collapsed="false">
      <c r="A16" s="0" t="s">
        <v>28</v>
      </c>
      <c r="B16" s="1" t="s">
        <v>29</v>
      </c>
    </row>
    <row r="17" customFormat="false" ht="15" hidden="false" customHeight="false" outlineLevel="0" collapsed="false">
      <c r="A17" s="0" t="s">
        <v>30</v>
      </c>
      <c r="B17" s="0" t="s">
        <v>31</v>
      </c>
    </row>
    <row r="18" customFormat="false" ht="15" hidden="false" customHeight="false" outlineLevel="0" collapsed="false">
      <c r="A18" s="0" t="s">
        <v>32</v>
      </c>
      <c r="B18" s="0" t="s">
        <v>33</v>
      </c>
    </row>
    <row r="19" customFormat="false" ht="15" hidden="false" customHeight="false" outlineLevel="0" collapsed="false">
      <c r="A19" s="0" t="s">
        <v>34</v>
      </c>
      <c r="B19" s="0"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8"/>
  </cols>
  <sheetData>
    <row r="1" customFormat="false" ht="15" hidden="false" customHeight="false" outlineLevel="0" collapsed="false">
      <c r="A1" s="2" t="s">
        <v>36</v>
      </c>
      <c r="B1" s="2" t="s">
        <v>37</v>
      </c>
      <c r="C1" s="2" t="s">
        <v>38</v>
      </c>
    </row>
    <row r="2" customFormat="false" ht="15" hidden="false" customHeight="false" outlineLevel="0" collapsed="false">
      <c r="A2" s="0" t="s">
        <v>39</v>
      </c>
      <c r="B2" s="0" t="s">
        <v>5</v>
      </c>
    </row>
    <row r="3" customFormat="false" ht="15" hidden="false" customHeight="false" outlineLevel="0" collapsed="false">
      <c r="A3" s="0" t="s">
        <v>40</v>
      </c>
      <c r="B3" s="0" t="n">
        <v>261.86</v>
      </c>
    </row>
    <row r="4" customFormat="false" ht="15" hidden="false" customHeight="false" outlineLevel="0" collapsed="false">
      <c r="A4" s="0" t="s">
        <v>41</v>
      </c>
      <c r="B4" s="0" t="n">
        <v>159.05</v>
      </c>
    </row>
    <row r="5" customFormat="false" ht="15" hidden="false" customHeight="false" outlineLevel="0" collapsed="false">
      <c r="A5" s="0" t="s">
        <v>42</v>
      </c>
      <c r="B5" s="0" t="n">
        <v>365.68</v>
      </c>
    </row>
    <row r="6" customFormat="false" ht="15" hidden="false" customHeight="false" outlineLevel="0" collapsed="false">
      <c r="A6" s="0" t="s">
        <v>43</v>
      </c>
      <c r="B6" s="0" t="n">
        <v>562.48</v>
      </c>
    </row>
    <row r="7" customFormat="false" ht="15" hidden="false" customHeight="false" outlineLevel="0" collapsed="false">
      <c r="A7" s="0" t="s">
        <v>44</v>
      </c>
      <c r="B7" s="0" t="n">
        <v>383.39</v>
      </c>
    </row>
    <row r="8" customFormat="false" ht="15" hidden="false" customHeight="false" outlineLevel="0" collapsed="false">
      <c r="A8" s="0" t="s">
        <v>45</v>
      </c>
      <c r="B8" s="0" t="s">
        <v>46</v>
      </c>
    </row>
    <row r="9" customFormat="false" ht="15" hidden="false" customHeight="false" outlineLevel="0" collapsed="false">
      <c r="A9" s="0" t="s">
        <v>47</v>
      </c>
      <c r="B9" s="0" t="s">
        <v>5</v>
      </c>
    </row>
    <row r="10" customFormat="false" ht="15" hidden="false" customHeight="false" outlineLevel="0" collapsed="false">
      <c r="A10" s="0" t="s">
        <v>48</v>
      </c>
      <c r="B10" s="0" t="n">
        <v>261.86</v>
      </c>
    </row>
    <row r="11" customFormat="false" ht="15" hidden="false" customHeight="false" outlineLevel="0" collapsed="false">
      <c r="A11" s="0" t="s">
        <v>49</v>
      </c>
      <c r="B11" s="0" t="n">
        <v>210.1</v>
      </c>
    </row>
    <row r="12" customFormat="false" ht="15" hidden="false" customHeight="false" outlineLevel="0" collapsed="false">
      <c r="A12" s="0" t="s">
        <v>50</v>
      </c>
      <c r="B12" s="0" t="n">
        <v>334.61</v>
      </c>
    </row>
    <row r="13" customFormat="false" ht="15" hidden="false" customHeight="false" outlineLevel="0" collapsed="false">
      <c r="A13" s="0" t="s">
        <v>51</v>
      </c>
      <c r="B13" s="0" t="n">
        <v>433.95</v>
      </c>
    </row>
    <row r="14" customFormat="false" ht="15" hidden="false" customHeight="false" outlineLevel="0" collapsed="false">
      <c r="A14" s="0" t="s">
        <v>52</v>
      </c>
      <c r="B14" s="0" t="n">
        <v>339.51</v>
      </c>
    </row>
    <row r="16" customFormat="false" ht="15" hidden="false" customHeight="false" outlineLevel="0" collapsed="false">
      <c r="A16" s="2" t="s">
        <v>53</v>
      </c>
    </row>
    <row r="17" customFormat="false" ht="15" hidden="false" customHeight="false" outlineLevel="0" collapsed="false">
      <c r="A17" s="0" t="s">
        <v>54</v>
      </c>
      <c r="B17" s="0" t="n">
        <v>383.39</v>
      </c>
    </row>
    <row r="18" customFormat="false" ht="15" hidden="false" customHeight="false" outlineLevel="0" collapsed="false">
      <c r="A18" s="0" t="s">
        <v>55</v>
      </c>
      <c r="B18" s="0" t="n">
        <v>0</v>
      </c>
    </row>
    <row r="19" customFormat="false" ht="15" hidden="false" customHeight="false" outlineLevel="0" collapsed="false">
      <c r="A19" s="0" t="s">
        <v>56</v>
      </c>
      <c r="B19" s="0" t="n">
        <v>-43.88</v>
      </c>
      <c r="C19" s="0" t="s">
        <v>57</v>
      </c>
    </row>
    <row r="20" customFormat="false" ht="15" hidden="false" customHeight="false" outlineLevel="0" collapsed="false">
      <c r="A20" s="0" t="s">
        <v>58</v>
      </c>
      <c r="B20" s="0" t="n">
        <v>339.51</v>
      </c>
      <c r="C20" s="0" t="s">
        <v>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sheetData>
    <row r="1" customFormat="false" ht="15" hidden="false" customHeight="false" outlineLevel="0" collapsed="false">
      <c r="A1" s="2" t="s">
        <v>60</v>
      </c>
      <c r="B1" s="2" t="s">
        <v>61</v>
      </c>
      <c r="C1" s="2" t="s">
        <v>62</v>
      </c>
      <c r="D1" s="2" t="s">
        <v>63</v>
      </c>
      <c r="E1" s="2" t="s">
        <v>64</v>
      </c>
      <c r="F1" s="2" t="s">
        <v>65</v>
      </c>
      <c r="G1" s="2" t="s">
        <v>66</v>
      </c>
      <c r="H1" s="2" t="s">
        <v>67</v>
      </c>
      <c r="I1" s="2" t="s">
        <v>68</v>
      </c>
      <c r="J1" s="2" t="s">
        <v>69</v>
      </c>
      <c r="K1" s="2" t="s">
        <v>70</v>
      </c>
      <c r="L1" s="2" t="s">
        <v>71</v>
      </c>
      <c r="M1" s="2" t="s">
        <v>72</v>
      </c>
      <c r="N1" s="2" t="s">
        <v>73</v>
      </c>
      <c r="O1" s="2" t="s">
        <v>74</v>
      </c>
      <c r="P1" s="2" t="s">
        <v>75</v>
      </c>
      <c r="Q1" s="2" t="s">
        <v>76</v>
      </c>
      <c r="R1" s="2" t="s">
        <v>77</v>
      </c>
      <c r="S1" s="2" t="s">
        <v>78</v>
      </c>
      <c r="T1" s="2" t="s">
        <v>79</v>
      </c>
      <c r="U1" s="2" t="s">
        <v>80</v>
      </c>
      <c r="V1" s="2" t="s">
        <v>81</v>
      </c>
      <c r="W1" s="2" t="s">
        <v>82</v>
      </c>
      <c r="X1" s="2" t="s">
        <v>83</v>
      </c>
      <c r="Y1" s="2" t="s">
        <v>84</v>
      </c>
      <c r="Z1" s="2" t="s">
        <v>85</v>
      </c>
      <c r="AA1" s="2" t="s">
        <v>16</v>
      </c>
      <c r="AB1" s="2" t="s">
        <v>86</v>
      </c>
    </row>
    <row r="2" customFormat="false" ht="15" hidden="false" customHeight="false" outlineLevel="0" collapsed="false">
      <c r="A2" s="0" t="s">
        <v>87</v>
      </c>
      <c r="O2" s="0" t="n">
        <v>3832.597</v>
      </c>
      <c r="S2" s="0" t="n">
        <v>987.672</v>
      </c>
      <c r="AA2" s="0" t="s">
        <v>17</v>
      </c>
      <c r="AB2" s="0" t="s">
        <v>14</v>
      </c>
    </row>
    <row r="3" customFormat="false" ht="15" hidden="false" customHeight="false" outlineLevel="0" collapsed="false">
      <c r="A3" s="0" t="s">
        <v>88</v>
      </c>
      <c r="B3" s="0" t="n">
        <v>8453.515</v>
      </c>
      <c r="I3" s="0" t="n">
        <v>653.746</v>
      </c>
      <c r="J3" s="0" t="n">
        <v>7.73342213268682</v>
      </c>
      <c r="K3" s="0" t="n">
        <v>5.38</v>
      </c>
      <c r="L3" s="0" t="n">
        <v>1203.561</v>
      </c>
      <c r="M3" s="0" t="n">
        <v>58.676</v>
      </c>
      <c r="N3" s="0" t="n">
        <v>1144.885</v>
      </c>
      <c r="O3" s="0" t="n">
        <v>4088.903</v>
      </c>
      <c r="S3" s="0" t="n">
        <v>804.964</v>
      </c>
      <c r="T3" s="0" t="n">
        <v>121.559567</v>
      </c>
      <c r="AA3" s="0" t="s">
        <v>17</v>
      </c>
      <c r="AB3" s="0" t="s">
        <v>14</v>
      </c>
    </row>
    <row r="4" customFormat="false" ht="15" hidden="false" customHeight="false" outlineLevel="0" collapsed="false">
      <c r="A4" s="0" t="s">
        <v>89</v>
      </c>
      <c r="B4" s="0" t="n">
        <v>8601.228</v>
      </c>
      <c r="I4" s="0" t="n">
        <v>447.796</v>
      </c>
      <c r="J4" s="0" t="n">
        <v>5.20618683750739</v>
      </c>
      <c r="K4" s="0" t="n">
        <v>3.76</v>
      </c>
      <c r="L4" s="0" t="n">
        <v>999.135</v>
      </c>
      <c r="M4" s="0" t="n">
        <v>56.068</v>
      </c>
      <c r="N4" s="0" t="n">
        <v>943.067</v>
      </c>
      <c r="O4" s="0" t="n">
        <v>3709.505</v>
      </c>
      <c r="P4" s="0" t="n">
        <v>24514.586</v>
      </c>
      <c r="Q4" s="0" t="n">
        <v>20805.081</v>
      </c>
      <c r="S4" s="0" t="n">
        <v>1040.684</v>
      </c>
      <c r="T4" s="0" t="n">
        <v>117.368534</v>
      </c>
      <c r="AA4" s="0" t="s">
        <v>17</v>
      </c>
      <c r="AB4" s="0" t="s">
        <v>14</v>
      </c>
    </row>
    <row r="5" customFormat="false" ht="15" hidden="false" customHeight="false" outlineLevel="0" collapsed="false">
      <c r="A5" s="0" t="s">
        <v>90</v>
      </c>
      <c r="B5" s="0" t="n">
        <v>8700.501</v>
      </c>
      <c r="I5" s="0" t="n">
        <v>430.574</v>
      </c>
      <c r="J5" s="0" t="n">
        <v>4.94884145177387</v>
      </c>
      <c r="K5" s="0" t="n">
        <v>3.63</v>
      </c>
      <c r="L5" s="0" t="n">
        <v>269.925</v>
      </c>
      <c r="M5" s="0" t="n">
        <v>55.885</v>
      </c>
      <c r="N5" s="0" t="n">
        <v>214.04</v>
      </c>
      <c r="O5" s="0" t="n">
        <v>4707.156</v>
      </c>
      <c r="P5" s="0" t="n">
        <v>25860.667</v>
      </c>
      <c r="Q5" s="0" t="n">
        <v>21007.418</v>
      </c>
      <c r="S5" s="0" t="n">
        <v>1318.552</v>
      </c>
      <c r="T5" s="0" t="n">
        <v>116.648714</v>
      </c>
      <c r="AA5" s="0" t="s">
        <v>17</v>
      </c>
      <c r="AB5" s="0" t="s">
        <v>14</v>
      </c>
    </row>
    <row r="6" customFormat="false" ht="15" hidden="false" customHeight="false" outlineLevel="0" collapsed="false">
      <c r="A6" s="0" t="s">
        <v>91</v>
      </c>
      <c r="B6" s="0" t="n">
        <v>8527.722</v>
      </c>
      <c r="I6" s="0" t="n">
        <v>278.607</v>
      </c>
      <c r="J6" s="0" t="n">
        <v>3.26707413773573</v>
      </c>
      <c r="K6" s="0" t="n">
        <v>2.5</v>
      </c>
      <c r="L6" s="0" t="n">
        <v>540.742</v>
      </c>
      <c r="M6" s="0" t="n">
        <v>51.211</v>
      </c>
      <c r="N6" s="0" t="n">
        <v>489.531</v>
      </c>
      <c r="O6" s="0" t="n">
        <v>4633.136</v>
      </c>
      <c r="P6" s="0" t="n">
        <v>26345.501</v>
      </c>
      <c r="Q6" s="0" t="n">
        <v>21712.365</v>
      </c>
      <c r="S6" s="0" t="n">
        <v>1150.516</v>
      </c>
      <c r="T6" s="0" t="n">
        <v>102.000371</v>
      </c>
      <c r="AA6" s="0" t="s">
        <v>17</v>
      </c>
      <c r="AB6" s="0" t="s">
        <v>14</v>
      </c>
    </row>
    <row r="7" customFormat="false" ht="15" hidden="false" customHeight="false" outlineLevel="0" collapsed="false">
      <c r="A7" s="0" t="s">
        <v>92</v>
      </c>
      <c r="B7" s="0" t="n">
        <v>8272.804</v>
      </c>
      <c r="I7" s="0" t="n">
        <v>538.956</v>
      </c>
      <c r="J7" s="0" t="n">
        <v>6.51479232434372</v>
      </c>
      <c r="K7" s="0" t="n">
        <v>5.51</v>
      </c>
      <c r="L7" s="0" t="n">
        <v>855.304</v>
      </c>
      <c r="M7" s="0" t="n">
        <v>35.747</v>
      </c>
      <c r="N7" s="0" t="n">
        <v>819.557</v>
      </c>
      <c r="O7" s="0" t="n">
        <v>4873.95</v>
      </c>
      <c r="P7" s="0" t="n">
        <v>27019.862</v>
      </c>
      <c r="Q7" s="0" t="n">
        <v>22145.912</v>
      </c>
      <c r="S7" s="0" t="n">
        <v>1166.713</v>
      </c>
      <c r="T7" s="0" t="n">
        <v>88.524374</v>
      </c>
      <c r="U7" s="0" t="n">
        <v>36.888</v>
      </c>
      <c r="AA7" s="0" t="s">
        <v>17</v>
      </c>
      <c r="AB7" s="0" t="s">
        <v>14</v>
      </c>
    </row>
    <row r="8" customFormat="false" ht="15" hidden="false" customHeight="false" outlineLevel="0" collapsed="false">
      <c r="A8" s="0" t="s">
        <v>93</v>
      </c>
      <c r="B8" s="0" t="n">
        <v>8508.27</v>
      </c>
      <c r="I8" s="0" t="n">
        <v>483.705</v>
      </c>
      <c r="J8" s="0" t="n">
        <v>5.68511577559245</v>
      </c>
      <c r="K8" s="0" t="n">
        <v>5.67</v>
      </c>
      <c r="L8" s="0" t="n">
        <v>679.698</v>
      </c>
      <c r="M8" s="0" t="n">
        <v>56.457</v>
      </c>
      <c r="N8" s="0" t="n">
        <v>623.241</v>
      </c>
      <c r="O8" s="0" t="n">
        <v>5185.366</v>
      </c>
      <c r="P8" s="0" t="n">
        <v>28946.607</v>
      </c>
      <c r="Q8" s="0" t="n">
        <v>23761.241</v>
      </c>
      <c r="S8" s="0" t="n">
        <v>909.404</v>
      </c>
      <c r="T8" s="0" t="n">
        <v>78.664029</v>
      </c>
      <c r="U8" s="0" t="n">
        <v>37.589</v>
      </c>
      <c r="AA8" s="0" t="s">
        <v>17</v>
      </c>
      <c r="AB8" s="0" t="s">
        <v>14</v>
      </c>
    </row>
    <row r="9" customFormat="false" ht="15" hidden="false" customHeight="false" outlineLevel="0" collapsed="false">
      <c r="A9" s="0" t="s">
        <v>94</v>
      </c>
      <c r="B9" s="0" t="n">
        <v>9047.657</v>
      </c>
      <c r="I9" s="0" t="n">
        <v>488.907</v>
      </c>
      <c r="J9" s="0" t="n">
        <v>5.4036862803265</v>
      </c>
      <c r="K9" s="0" t="n">
        <v>6.3</v>
      </c>
      <c r="M9" s="0" t="n">
        <v>52.326</v>
      </c>
      <c r="O9" s="0" t="n">
        <v>4833.479</v>
      </c>
      <c r="P9" s="0" t="n">
        <v>29714.689</v>
      </c>
      <c r="Q9" s="0" t="n">
        <v>24881.21</v>
      </c>
      <c r="S9" s="0" t="n">
        <v>1717.184</v>
      </c>
      <c r="T9" s="0" t="n">
        <v>71.828208</v>
      </c>
      <c r="U9" s="0" t="n">
        <v>50.004</v>
      </c>
      <c r="AA9" s="0" t="s">
        <v>17</v>
      </c>
      <c r="AB9" s="0" t="s">
        <v>14</v>
      </c>
    </row>
    <row r="10" customFormat="false" ht="15" hidden="false" customHeight="false" outlineLevel="0" collapsed="false">
      <c r="A10" s="0" t="s">
        <v>95</v>
      </c>
      <c r="B10" s="0" t="n">
        <v>10381.653</v>
      </c>
      <c r="I10" s="0" t="n">
        <v>470.907</v>
      </c>
      <c r="J10" s="0" t="n">
        <v>4.53595395646531</v>
      </c>
      <c r="K10" s="0" t="n">
        <v>6.44</v>
      </c>
      <c r="M10" s="0" t="n">
        <v>83.603</v>
      </c>
      <c r="O10" s="0" t="n">
        <v>5181.3</v>
      </c>
      <c r="P10" s="0" t="n">
        <v>31562.466</v>
      </c>
      <c r="Q10" s="0" t="n">
        <v>26381.159</v>
      </c>
      <c r="S10" s="0" t="n">
        <v>1318.6</v>
      </c>
      <c r="T10" s="0" t="n">
        <v>69.299559</v>
      </c>
      <c r="U10" s="0" t="n">
        <v>49.354</v>
      </c>
      <c r="AA10" s="0" t="s">
        <v>17</v>
      </c>
      <c r="AB10" s="0" t="s">
        <v>14</v>
      </c>
    </row>
    <row r="11" customFormat="false" ht="15" hidden="false" customHeight="false" outlineLevel="0" collapsed="false">
      <c r="A11" s="0" t="s">
        <v>96</v>
      </c>
      <c r="B11" s="0" t="n">
        <v>10325.5</v>
      </c>
      <c r="I11" s="0" t="n">
        <v>141.6</v>
      </c>
      <c r="J11" s="0" t="n">
        <v>1.37136216163866</v>
      </c>
      <c r="K11" s="0" t="n">
        <v>2.05</v>
      </c>
      <c r="L11" s="0" t="n">
        <v>229.9</v>
      </c>
      <c r="M11" s="0" t="n">
        <v>114.9</v>
      </c>
      <c r="N11" s="0" t="n">
        <v>115</v>
      </c>
      <c r="O11" s="0" t="n">
        <v>4524</v>
      </c>
      <c r="P11" s="0" t="n">
        <v>30036.402</v>
      </c>
      <c r="Q11" s="0" t="n">
        <v>25512.435</v>
      </c>
      <c r="S11" s="0" t="n">
        <v>1288.3</v>
      </c>
      <c r="T11" s="0" t="n">
        <v>65.850386</v>
      </c>
      <c r="U11" s="0" t="n">
        <v>38.8</v>
      </c>
      <c r="AA11" s="0" t="s">
        <v>17</v>
      </c>
      <c r="AB11" s="0" t="s">
        <v>14</v>
      </c>
    </row>
    <row r="12" customFormat="false" ht="15" hidden="false" customHeight="false" outlineLevel="0" collapsed="false">
      <c r="A12" s="0" t="s">
        <v>97</v>
      </c>
      <c r="B12" s="0" t="n">
        <v>7531.8</v>
      </c>
      <c r="I12" s="0" t="n">
        <v>565.4</v>
      </c>
      <c r="J12" s="0" t="n">
        <v>7.50683767492499</v>
      </c>
      <c r="K12" s="0" t="n">
        <v>9.13</v>
      </c>
      <c r="L12" s="0" t="n">
        <v>108.6</v>
      </c>
      <c r="M12" s="0" t="n">
        <v>85.2</v>
      </c>
      <c r="N12" s="0" t="n">
        <v>23.4</v>
      </c>
      <c r="O12" s="0" t="n">
        <v>4098.1</v>
      </c>
      <c r="P12" s="0" t="n">
        <v>29709.1</v>
      </c>
      <c r="Q12" s="0" t="n">
        <v>25611</v>
      </c>
      <c r="S12" s="0" t="n">
        <v>1032</v>
      </c>
      <c r="T12" s="0" t="n">
        <v>55.94148</v>
      </c>
      <c r="U12" s="0" t="n">
        <v>41.6</v>
      </c>
      <c r="V12" s="0" t="n">
        <v>2.03</v>
      </c>
      <c r="AA12" s="0" t="s">
        <v>17</v>
      </c>
      <c r="AB12" s="0" t="s">
        <v>14</v>
      </c>
    </row>
    <row r="13" customFormat="false" ht="15" hidden="false" customHeight="false" outlineLevel="0" collapsed="false">
      <c r="A13" s="0" t="s">
        <v>98</v>
      </c>
      <c r="B13" s="0" t="n">
        <v>6415</v>
      </c>
      <c r="I13" s="0" t="n">
        <v>519.6</v>
      </c>
      <c r="J13" s="0" t="n">
        <v>8.09976617303196</v>
      </c>
      <c r="K13" s="0" t="n">
        <v>9.39</v>
      </c>
      <c r="L13" s="0" t="n">
        <v>530.4</v>
      </c>
      <c r="M13" s="0" t="n">
        <v>62.1</v>
      </c>
      <c r="N13" s="0" t="n">
        <v>468.3</v>
      </c>
      <c r="O13" s="0" t="n">
        <v>4281.5</v>
      </c>
      <c r="P13" s="0" t="n">
        <v>31843</v>
      </c>
      <c r="Q13" s="0" t="n">
        <v>27561.5</v>
      </c>
      <c r="R13" s="0" t="n">
        <v>1068.2</v>
      </c>
      <c r="S13" s="0" t="n">
        <v>996.8</v>
      </c>
      <c r="T13" s="0" t="n">
        <v>52.417812</v>
      </c>
      <c r="U13" s="0" t="n">
        <v>35.5</v>
      </c>
      <c r="V13" s="0" t="n">
        <v>2.15</v>
      </c>
      <c r="AA13" s="0" t="s">
        <v>17</v>
      </c>
      <c r="AB13" s="0" t="s">
        <v>14</v>
      </c>
    </row>
    <row r="14" customFormat="false" ht="15" hidden="false" customHeight="false" outlineLevel="0" collapsed="false">
      <c r="A14" s="0" t="s">
        <v>99</v>
      </c>
      <c r="B14" s="0" t="n">
        <v>8057.6</v>
      </c>
      <c r="I14" s="0" t="n">
        <v>251</v>
      </c>
      <c r="J14" s="0" t="n">
        <v>3.1150714853058</v>
      </c>
      <c r="K14" s="0" t="n">
        <v>3.98</v>
      </c>
      <c r="L14" s="0" t="n">
        <v>656.7</v>
      </c>
      <c r="M14" s="0" t="n">
        <v>82.8</v>
      </c>
      <c r="N14" s="0" t="n">
        <v>573.9</v>
      </c>
      <c r="O14" s="0" t="n">
        <v>5133.9</v>
      </c>
      <c r="P14" s="0" t="n">
        <v>41089.3</v>
      </c>
      <c r="Q14" s="0" t="n">
        <v>35955.4</v>
      </c>
      <c r="R14" s="0" t="n">
        <v>2006</v>
      </c>
      <c r="S14" s="0" t="n">
        <v>1254</v>
      </c>
      <c r="T14" s="0" t="n">
        <v>61.908979</v>
      </c>
      <c r="U14" s="0" t="n">
        <v>57.1</v>
      </c>
      <c r="V14" s="0" t="n">
        <v>2.28</v>
      </c>
      <c r="AA14" s="0" t="s">
        <v>17</v>
      </c>
      <c r="AB14" s="0" t="s">
        <v>14</v>
      </c>
    </row>
    <row r="15" customFormat="false" ht="15" hidden="false" customHeight="false" outlineLevel="0" collapsed="false">
      <c r="A15" s="0" t="s">
        <v>100</v>
      </c>
      <c r="B15" s="0" t="n">
        <v>9569.1</v>
      </c>
      <c r="I15" s="0" t="n">
        <v>382.6</v>
      </c>
      <c r="J15" s="0" t="n">
        <v>3.99828615021266</v>
      </c>
      <c r="K15" s="0" t="n">
        <v>5.84</v>
      </c>
      <c r="L15" s="0" t="n">
        <v>1413.4</v>
      </c>
      <c r="M15" s="0" t="n">
        <v>110.3</v>
      </c>
      <c r="N15" s="0" t="n">
        <v>1303.1</v>
      </c>
      <c r="O15" s="0" t="n">
        <v>5667.9</v>
      </c>
      <c r="P15" s="0" t="n">
        <v>44291.2</v>
      </c>
      <c r="Q15" s="0" t="n">
        <v>38609.1</v>
      </c>
      <c r="R15" s="0" t="n">
        <v>2006.9</v>
      </c>
      <c r="S15" s="0" t="n">
        <v>1867.1</v>
      </c>
      <c r="T15" s="0" t="n">
        <v>59.945893</v>
      </c>
      <c r="U15" s="0" t="n">
        <v>55.9</v>
      </c>
      <c r="V15" s="0" t="n">
        <v>2.43</v>
      </c>
      <c r="AA15" s="0" t="s">
        <v>17</v>
      </c>
      <c r="AB15" s="0" t="s">
        <v>14</v>
      </c>
    </row>
    <row r="16" customFormat="false" ht="15" hidden="false" customHeight="false" outlineLevel="0" collapsed="false">
      <c r="A16" s="0" t="s">
        <v>101</v>
      </c>
      <c r="B16" s="0" t="n">
        <v>9597.6</v>
      </c>
      <c r="I16" s="0" t="n">
        <v>440.8</v>
      </c>
      <c r="J16" s="0" t="n">
        <v>4.59281487038426</v>
      </c>
      <c r="K16" s="0" t="n">
        <v>6.98</v>
      </c>
      <c r="L16" s="0" t="n">
        <v>1342</v>
      </c>
      <c r="M16" s="0" t="n">
        <v>121.2</v>
      </c>
      <c r="N16" s="0" t="n">
        <v>1220.8</v>
      </c>
      <c r="O16" s="0" t="n">
        <v>5939.6</v>
      </c>
      <c r="P16" s="0" t="n">
        <v>44649.9</v>
      </c>
      <c r="Q16" s="0" t="n">
        <v>38695.1</v>
      </c>
      <c r="S16" s="0" t="n">
        <v>2207.6</v>
      </c>
      <c r="T16" s="0" t="n">
        <v>57.967808</v>
      </c>
      <c r="U16" s="0" t="n">
        <v>57.9</v>
      </c>
      <c r="V16" s="0" t="n">
        <v>2.55</v>
      </c>
      <c r="AA16" s="0" t="s">
        <v>17</v>
      </c>
      <c r="AB16" s="0" t="s">
        <v>14</v>
      </c>
    </row>
    <row r="17" customFormat="false" ht="15" hidden="false" customHeight="false" outlineLevel="0" collapsed="false">
      <c r="A17" s="0" t="s">
        <v>102</v>
      </c>
      <c r="B17" s="0" t="n">
        <v>10187.6</v>
      </c>
      <c r="I17" s="0" t="n">
        <v>1361.8</v>
      </c>
      <c r="J17" s="0" t="n">
        <v>13.3672307511092</v>
      </c>
      <c r="K17" s="0" t="n">
        <v>22.66</v>
      </c>
      <c r="L17" s="0" t="n">
        <v>781.7</v>
      </c>
      <c r="M17" s="0" t="n">
        <v>187.4</v>
      </c>
      <c r="N17" s="0" t="n">
        <v>594.3</v>
      </c>
      <c r="O17" s="0" t="n">
        <v>5464.1</v>
      </c>
      <c r="P17" s="0" t="n">
        <v>33920.6</v>
      </c>
      <c r="Q17" s="0" t="n">
        <v>28456.5</v>
      </c>
      <c r="S17" s="0" t="n">
        <v>2040.8</v>
      </c>
      <c r="T17" s="0" t="n">
        <v>55.754113</v>
      </c>
      <c r="U17" s="0" t="n">
        <v>66.7</v>
      </c>
      <c r="V17" s="0" t="n">
        <v>2.66</v>
      </c>
      <c r="AA17" s="0" t="s">
        <v>17</v>
      </c>
      <c r="AB17" s="0" t="s">
        <v>14</v>
      </c>
    </row>
    <row r="18" customFormat="false" ht="15" hidden="false" customHeight="false" outlineLevel="0" collapsed="false">
      <c r="A18" s="0" t="s">
        <v>103</v>
      </c>
      <c r="B18" s="0" t="n">
        <v>10193</v>
      </c>
      <c r="I18" s="0" t="n">
        <v>276.6</v>
      </c>
      <c r="J18" s="0" t="n">
        <v>2.71362699892083</v>
      </c>
      <c r="K18" s="0" t="n">
        <v>5.05</v>
      </c>
      <c r="L18" s="0" t="n">
        <v>596.9</v>
      </c>
      <c r="M18" s="0" t="n">
        <v>186.3</v>
      </c>
      <c r="N18" s="0" t="n">
        <v>410.6</v>
      </c>
      <c r="O18" s="0" t="n">
        <v>4228.7</v>
      </c>
      <c r="P18" s="0" t="n">
        <v>33117.3</v>
      </c>
      <c r="Q18" s="0" t="n">
        <v>28888.6</v>
      </c>
      <c r="S18" s="0" t="n">
        <v>1536.7</v>
      </c>
      <c r="T18" s="0" t="n">
        <v>52.830381</v>
      </c>
      <c r="U18" s="0" t="n">
        <v>62.6</v>
      </c>
      <c r="V18" s="0" t="n">
        <v>2.74</v>
      </c>
      <c r="AA18" s="0" t="s">
        <v>17</v>
      </c>
      <c r="AB18" s="0" t="s">
        <v>14</v>
      </c>
    </row>
    <row r="19" customFormat="false" ht="15" hidden="false" customHeight="false" outlineLevel="0" collapsed="false">
      <c r="A19" s="0" t="s">
        <v>104</v>
      </c>
      <c r="B19" s="0" t="n">
        <v>11131.6</v>
      </c>
      <c r="I19" s="0" t="n">
        <v>642.5</v>
      </c>
      <c r="J19" s="0" t="n">
        <v>5.77185669625211</v>
      </c>
      <c r="K19" s="0" t="n">
        <v>11.95</v>
      </c>
      <c r="L19" s="0" t="n">
        <v>1138.1</v>
      </c>
      <c r="M19" s="0" t="n">
        <v>202.5</v>
      </c>
      <c r="N19" s="0" t="n">
        <v>935.6</v>
      </c>
      <c r="O19" s="0" t="n">
        <v>4809.5</v>
      </c>
      <c r="P19" s="0" t="n">
        <v>33635.2</v>
      </c>
      <c r="Q19" s="0" t="n">
        <v>28825.7</v>
      </c>
      <c r="S19" s="0" t="n">
        <v>1627.4</v>
      </c>
      <c r="T19" s="0" t="n">
        <v>53.19831</v>
      </c>
      <c r="U19" s="0" t="n">
        <v>75.1</v>
      </c>
      <c r="V19" s="0" t="n">
        <v>2.82</v>
      </c>
      <c r="AA19" s="0" t="s">
        <v>17</v>
      </c>
      <c r="AB19" s="0" t="s">
        <v>14</v>
      </c>
    </row>
    <row r="20" customFormat="false" ht="15" hidden="false" customHeight="false" outlineLevel="0" collapsed="false">
      <c r="A20" s="0" t="s">
        <v>105</v>
      </c>
      <c r="B20" s="0" t="n">
        <v>11877.5</v>
      </c>
      <c r="I20" s="0" t="n">
        <v>760.2</v>
      </c>
      <c r="J20" s="0" t="n">
        <v>6.40033677120606</v>
      </c>
      <c r="K20" s="0" t="n">
        <v>14.46</v>
      </c>
      <c r="L20" s="0" t="n">
        <v>1332.7</v>
      </c>
      <c r="M20" s="0" t="n">
        <v>221.3</v>
      </c>
      <c r="N20" s="0" t="n">
        <v>1111.4</v>
      </c>
      <c r="O20" s="0" t="n">
        <v>5106.7</v>
      </c>
      <c r="P20" s="0" t="n">
        <v>35020.6</v>
      </c>
      <c r="Q20" s="0" t="n">
        <v>29913.9</v>
      </c>
      <c r="S20" s="0" t="n">
        <v>1807.7</v>
      </c>
      <c r="T20" s="0" t="n">
        <v>52.052961</v>
      </c>
      <c r="U20" s="0" t="n">
        <v>81.1</v>
      </c>
      <c r="V20" s="0" t="n">
        <v>2.96</v>
      </c>
      <c r="AA20" s="0" t="s">
        <v>17</v>
      </c>
      <c r="AB20" s="0" t="s">
        <v>14</v>
      </c>
    </row>
    <row r="21" customFormat="false" ht="15" hidden="false" customHeight="false" outlineLevel="0" collapsed="false">
      <c r="A21" s="0" t="s">
        <v>106</v>
      </c>
      <c r="B21" s="0" t="n">
        <v>12814.3</v>
      </c>
      <c r="I21" s="0" t="n">
        <v>872.7</v>
      </c>
      <c r="J21" s="0" t="n">
        <v>6.81036030060167</v>
      </c>
      <c r="K21" s="0" t="n">
        <v>16.93</v>
      </c>
      <c r="L21" s="0" t="n">
        <v>1833.9</v>
      </c>
      <c r="M21" s="0" t="n">
        <v>235.5</v>
      </c>
      <c r="N21" s="0" t="n">
        <v>1598.4</v>
      </c>
      <c r="O21" s="0" t="n">
        <v>5871.6</v>
      </c>
      <c r="P21" s="0" t="n">
        <v>36289.6</v>
      </c>
      <c r="Q21" s="0" t="n">
        <v>30418</v>
      </c>
      <c r="S21" s="0" t="n">
        <v>1834.1</v>
      </c>
      <c r="T21" s="0" t="n">
        <v>51.086649</v>
      </c>
      <c r="U21" s="0" t="n">
        <v>85.7</v>
      </c>
      <c r="V21" s="0" t="n">
        <v>3.28</v>
      </c>
      <c r="AA21" s="0" t="s">
        <v>17</v>
      </c>
      <c r="AB21" s="0"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s>
  <sheetData>
    <row r="1" customFormat="false" ht="15" hidden="false" customHeight="false" outlineLevel="0" collapsed="false">
      <c r="A1" s="2" t="s">
        <v>107</v>
      </c>
      <c r="B1" s="2" t="s">
        <v>37</v>
      </c>
    </row>
    <row r="2" customFormat="false" ht="15" hidden="false" customHeight="false" outlineLevel="0" collapsed="false">
      <c r="A2" s="0" t="s">
        <v>108</v>
      </c>
      <c r="B2" s="3" t="n">
        <v>261.86</v>
      </c>
    </row>
    <row r="3" customFormat="false" ht="15" hidden="false" customHeight="false" outlineLevel="0" collapsed="false">
      <c r="A3" s="0" t="s">
        <v>109</v>
      </c>
      <c r="B3" s="3" t="n">
        <v>49.8</v>
      </c>
    </row>
    <row r="4" customFormat="false" ht="15" hidden="false" customHeight="false" outlineLevel="0" collapsed="false">
      <c r="A4" s="0" t="s">
        <v>110</v>
      </c>
      <c r="B4" s="3" t="n">
        <v>0</v>
      </c>
    </row>
    <row r="5" customFormat="false" ht="15" hidden="false" customHeight="false" outlineLevel="0" collapsed="false">
      <c r="A5" s="0" t="s">
        <v>111</v>
      </c>
      <c r="B5" s="3" t="n">
        <v>0</v>
      </c>
    </row>
    <row r="6" customFormat="false" ht="15" hidden="false" customHeight="false" outlineLevel="0" collapsed="false">
      <c r="A6" s="0" t="s">
        <v>112</v>
      </c>
      <c r="B6" s="3" t="n">
        <v>15</v>
      </c>
    </row>
    <row r="7" customFormat="false" ht="15" hidden="false" customHeight="false" outlineLevel="0" collapsed="false">
      <c r="A7" s="0" t="s">
        <v>113</v>
      </c>
      <c r="B7" s="3" t="n">
        <v>12814.3</v>
      </c>
    </row>
    <row r="8" customFormat="false" ht="15" hidden="false" customHeight="false" outlineLevel="0" collapsed="false">
      <c r="A8" s="0" t="s">
        <v>114</v>
      </c>
      <c r="B8" s="3" t="s">
        <v>106</v>
      </c>
    </row>
    <row r="9" customFormat="false" ht="15" hidden="false" customHeight="false" outlineLevel="0" collapsed="false">
      <c r="A9" s="0" t="s">
        <v>115</v>
      </c>
      <c r="B9" s="3" t="s">
        <v>116</v>
      </c>
    </row>
    <row r="10" customFormat="false" ht="15" hidden="false" customHeight="false" outlineLevel="0" collapsed="false">
      <c r="A10" s="0" t="s">
        <v>117</v>
      </c>
      <c r="B10" s="3" t="n">
        <v>1</v>
      </c>
    </row>
    <row r="12" customFormat="false" ht="15" hidden="false" customHeight="false" outlineLevel="0" collapsed="false">
      <c r="A12" s="2" t="s">
        <v>118</v>
      </c>
      <c r="C12" s="2" t="s">
        <v>119</v>
      </c>
      <c r="D12" s="2" t="s">
        <v>120</v>
      </c>
      <c r="E12" s="2" t="s">
        <v>121</v>
      </c>
      <c r="F12" s="2" t="s">
        <v>122</v>
      </c>
      <c r="G12" s="2" t="s">
        <v>123</v>
      </c>
      <c r="H12" s="2" t="s">
        <v>124</v>
      </c>
      <c r="I12" s="2" t="s">
        <v>125</v>
      </c>
      <c r="J12" s="2" t="s">
        <v>126</v>
      </c>
      <c r="K12" s="2" t="s">
        <v>127</v>
      </c>
      <c r="L12" s="2" t="s">
        <v>128</v>
      </c>
    </row>
    <row r="13" customFormat="false" ht="15" hidden="false" customHeight="false" outlineLevel="0" collapsed="false">
      <c r="A13" s="0" t="s">
        <v>129</v>
      </c>
      <c r="C13" s="3" t="n">
        <v>8</v>
      </c>
      <c r="D13" s="3" t="n">
        <v>2</v>
      </c>
      <c r="E13" s="3" t="n">
        <v>-3</v>
      </c>
      <c r="F13" s="3" t="n">
        <v>2</v>
      </c>
      <c r="G13" s="3" t="n">
        <v>3</v>
      </c>
      <c r="H13" s="3" t="n">
        <v>3</v>
      </c>
      <c r="I13" s="3" t="n">
        <v>2.5</v>
      </c>
      <c r="J13" s="3" t="n">
        <v>2.5</v>
      </c>
      <c r="K13" s="3" t="n">
        <v>2.5</v>
      </c>
      <c r="L13" s="3" t="n">
        <v>2.5</v>
      </c>
    </row>
    <row r="14" customFormat="false" ht="15" hidden="false" customHeight="false" outlineLevel="0" collapsed="false">
      <c r="A14" s="0" t="s">
        <v>130</v>
      </c>
      <c r="C14" s="3" t="n">
        <v>11.82</v>
      </c>
      <c r="D14" s="3" t="n">
        <v>11.42</v>
      </c>
      <c r="E14" s="3" t="n">
        <v>11.02</v>
      </c>
      <c r="F14" s="3" t="n">
        <v>10.82</v>
      </c>
      <c r="G14" s="3" t="n">
        <v>10.82</v>
      </c>
      <c r="H14" s="3" t="n">
        <v>10.82</v>
      </c>
      <c r="I14" s="3" t="n">
        <v>10.82</v>
      </c>
      <c r="J14" s="3" t="n">
        <v>10.82</v>
      </c>
      <c r="K14" s="3" t="n">
        <v>10.82</v>
      </c>
      <c r="L14" s="3" t="n">
        <v>10.82</v>
      </c>
    </row>
    <row r="15" customFormat="false" ht="15" hidden="false" customHeight="false" outlineLevel="0" collapsed="false">
      <c r="A15" s="0" t="s">
        <v>131</v>
      </c>
      <c r="C15" s="3" t="n">
        <v>0.8</v>
      </c>
      <c r="D15" s="3" t="n">
        <v>0.78</v>
      </c>
      <c r="E15" s="3" t="n">
        <v>0.78</v>
      </c>
      <c r="F15" s="3" t="n">
        <v>0.78</v>
      </c>
      <c r="G15" s="3" t="n">
        <v>0.78</v>
      </c>
      <c r="H15" s="3" t="n">
        <v>0.78</v>
      </c>
      <c r="I15" s="3" t="n">
        <v>0.78</v>
      </c>
      <c r="J15" s="3" t="n">
        <v>0.78</v>
      </c>
      <c r="K15" s="3" t="n">
        <v>0.78</v>
      </c>
      <c r="L15" s="3" t="n">
        <v>0.78</v>
      </c>
    </row>
    <row r="16" customFormat="false" ht="15" hidden="false" customHeight="false" outlineLevel="0" collapsed="false">
      <c r="A16" s="0" t="s">
        <v>132</v>
      </c>
      <c r="C16" s="3" t="n">
        <v>0</v>
      </c>
      <c r="D16" s="3" t="n">
        <v>0</v>
      </c>
      <c r="E16" s="3" t="n">
        <v>0</v>
      </c>
      <c r="F16" s="3" t="n">
        <v>0</v>
      </c>
      <c r="G16" s="3" t="n">
        <v>0</v>
      </c>
      <c r="H16" s="3" t="n">
        <v>0</v>
      </c>
      <c r="I16" s="3" t="n">
        <v>0</v>
      </c>
      <c r="J16" s="3" t="n">
        <v>0</v>
      </c>
      <c r="K16" s="3" t="n">
        <v>0</v>
      </c>
      <c r="L16" s="3" t="n">
        <v>0</v>
      </c>
    </row>
    <row r="17" customFormat="false" ht="15" hidden="false" customHeight="false" outlineLevel="0" collapsed="false">
      <c r="A17" s="0" t="s">
        <v>133</v>
      </c>
      <c r="C17" s="3" t="n">
        <v>1.85</v>
      </c>
      <c r="D17" s="3" t="n">
        <v>1.85</v>
      </c>
      <c r="E17" s="3" t="n">
        <v>1.85</v>
      </c>
      <c r="F17" s="3" t="n">
        <v>1.85</v>
      </c>
      <c r="G17" s="3" t="n">
        <v>1.85</v>
      </c>
      <c r="H17" s="3" t="n">
        <v>1.85</v>
      </c>
      <c r="I17" s="3" t="n">
        <v>1.85</v>
      </c>
      <c r="J17" s="3" t="n">
        <v>1.85</v>
      </c>
      <c r="K17" s="3" t="n">
        <v>1.85</v>
      </c>
      <c r="L17" s="3" t="n">
        <v>1.85</v>
      </c>
    </row>
    <row r="18" customFormat="false" ht="15" hidden="false" customHeight="false" outlineLevel="0" collapsed="false">
      <c r="A18" s="0" t="s">
        <v>134</v>
      </c>
      <c r="C18" s="3" t="n">
        <v>1.85</v>
      </c>
      <c r="D18" s="3" t="n">
        <v>1.85</v>
      </c>
      <c r="E18" s="3" t="n">
        <v>1.85</v>
      </c>
      <c r="F18" s="3" t="n">
        <v>1.85</v>
      </c>
      <c r="G18" s="3" t="n">
        <v>1.85</v>
      </c>
      <c r="H18" s="3" t="n">
        <v>1.85</v>
      </c>
      <c r="I18" s="3" t="n">
        <v>1.85</v>
      </c>
      <c r="J18" s="3" t="n">
        <v>1.85</v>
      </c>
      <c r="K18" s="3" t="n">
        <v>1.85</v>
      </c>
      <c r="L18" s="3" t="n">
        <v>1.85</v>
      </c>
    </row>
    <row r="19" customFormat="false" ht="15" hidden="false" customHeight="false" outlineLevel="0" collapsed="false">
      <c r="A19" s="0" t="s">
        <v>135</v>
      </c>
      <c r="C19" s="3" t="n">
        <v>21</v>
      </c>
      <c r="D19" s="3" t="n">
        <v>21</v>
      </c>
      <c r="E19" s="3" t="n">
        <v>21</v>
      </c>
      <c r="F19" s="3" t="n">
        <v>21</v>
      </c>
      <c r="G19" s="3" t="n">
        <v>21</v>
      </c>
      <c r="H19" s="3" t="n">
        <v>21</v>
      </c>
      <c r="I19" s="3" t="n">
        <v>21</v>
      </c>
      <c r="J19" s="3" t="n">
        <v>21</v>
      </c>
      <c r="K19" s="3" t="n">
        <v>21</v>
      </c>
      <c r="L19" s="3" t="n">
        <v>21</v>
      </c>
    </row>
    <row r="20" customFormat="false" ht="15" hidden="false" customHeight="false" outlineLevel="0" collapsed="false">
      <c r="A20" s="0" t="s">
        <v>136</v>
      </c>
      <c r="B20" s="3" t="n">
        <v>9</v>
      </c>
    </row>
    <row r="21" customFormat="false" ht="15" hidden="false" customHeight="false" outlineLevel="0" collapsed="false">
      <c r="A21" s="0" t="s">
        <v>137</v>
      </c>
      <c r="B21" s="3" t="n">
        <v>2.5</v>
      </c>
    </row>
    <row r="22" customFormat="false" ht="15" hidden="false" customHeight="false" outlineLevel="0" collapsed="false">
      <c r="A22" s="0" t="s">
        <v>138</v>
      </c>
      <c r="B22" s="3" t="n">
        <v>13</v>
      </c>
    </row>
    <row r="23" customFormat="false" ht="15" hidden="false" customHeight="false" outlineLevel="0" collapsed="false">
      <c r="A23" s="0" t="s">
        <v>139</v>
      </c>
      <c r="B23" s="3" t="n">
        <v>-35</v>
      </c>
    </row>
    <row r="24" customFormat="false" ht="15" hidden="false" customHeight="false" outlineLevel="0" collapsed="false">
      <c r="A24" s="0" t="s">
        <v>140</v>
      </c>
      <c r="B24" s="3" t="n">
        <v>0.2</v>
      </c>
    </row>
    <row r="26" customFormat="false" ht="15" hidden="false" customHeight="false" outlineLevel="0" collapsed="false">
      <c r="A26" s="2" t="s">
        <v>141</v>
      </c>
      <c r="C26" s="2" t="s">
        <v>119</v>
      </c>
      <c r="D26" s="2" t="s">
        <v>120</v>
      </c>
      <c r="E26" s="2" t="s">
        <v>121</v>
      </c>
      <c r="F26" s="2" t="s">
        <v>122</v>
      </c>
      <c r="G26" s="2" t="s">
        <v>123</v>
      </c>
      <c r="H26" s="2" t="s">
        <v>124</v>
      </c>
      <c r="I26" s="2" t="s">
        <v>125</v>
      </c>
      <c r="J26" s="2" t="s">
        <v>126</v>
      </c>
      <c r="K26" s="2" t="s">
        <v>127</v>
      </c>
      <c r="L26" s="2" t="s">
        <v>128</v>
      </c>
    </row>
    <row r="27" customFormat="false" ht="15" hidden="false" customHeight="false" outlineLevel="0" collapsed="false">
      <c r="A27" s="0" t="s">
        <v>129</v>
      </c>
      <c r="C27" s="3" t="n">
        <v>9</v>
      </c>
      <c r="D27" s="3" t="n">
        <v>7</v>
      </c>
      <c r="E27" s="3" t="n">
        <v>6</v>
      </c>
      <c r="F27" s="3" t="n">
        <v>5.5</v>
      </c>
      <c r="G27" s="3" t="n">
        <v>5</v>
      </c>
      <c r="H27" s="3" t="n">
        <v>4.5</v>
      </c>
      <c r="I27" s="3" t="n">
        <v>4</v>
      </c>
      <c r="J27" s="3" t="n">
        <v>3.5</v>
      </c>
      <c r="K27" s="3" t="n">
        <v>3</v>
      </c>
      <c r="L27" s="3" t="n">
        <v>3</v>
      </c>
    </row>
    <row r="28" customFormat="false" ht="15" hidden="false" customHeight="false" outlineLevel="0" collapsed="false">
      <c r="A28" s="0" t="s">
        <v>130</v>
      </c>
      <c r="C28" s="3" t="n">
        <v>12.42</v>
      </c>
      <c r="D28" s="3" t="n">
        <v>12.52</v>
      </c>
      <c r="E28" s="3" t="n">
        <v>12.62</v>
      </c>
      <c r="F28" s="3" t="n">
        <v>12.72</v>
      </c>
      <c r="G28" s="3" t="n">
        <v>12.82</v>
      </c>
      <c r="H28" s="3" t="n">
        <v>12.82</v>
      </c>
      <c r="I28" s="3" t="n">
        <v>12.82</v>
      </c>
      <c r="J28" s="3" t="n">
        <v>12.82</v>
      </c>
      <c r="K28" s="3" t="n">
        <v>12.82</v>
      </c>
      <c r="L28" s="3" t="n">
        <v>12.82</v>
      </c>
    </row>
    <row r="29" customFormat="false" ht="15" hidden="false" customHeight="false" outlineLevel="0" collapsed="false">
      <c r="A29" s="0" t="s">
        <v>131</v>
      </c>
      <c r="C29" s="3" t="n">
        <v>0.8</v>
      </c>
      <c r="D29" s="3" t="n">
        <v>0.78</v>
      </c>
      <c r="E29" s="3" t="n">
        <v>0.78</v>
      </c>
      <c r="F29" s="3" t="n">
        <v>0.78</v>
      </c>
      <c r="G29" s="3" t="n">
        <v>0.78</v>
      </c>
      <c r="H29" s="3" t="n">
        <v>0.78</v>
      </c>
      <c r="I29" s="3" t="n">
        <v>0.78</v>
      </c>
      <c r="J29" s="3" t="n">
        <v>0.78</v>
      </c>
      <c r="K29" s="3" t="n">
        <v>0.78</v>
      </c>
      <c r="L29" s="3" t="n">
        <v>0.78</v>
      </c>
    </row>
    <row r="30" customFormat="false" ht="15" hidden="false" customHeight="false" outlineLevel="0" collapsed="false">
      <c r="A30" s="0" t="s">
        <v>132</v>
      </c>
      <c r="C30" s="3" t="n">
        <v>0</v>
      </c>
      <c r="D30" s="3" t="n">
        <v>0</v>
      </c>
      <c r="E30" s="3" t="n">
        <v>0</v>
      </c>
      <c r="F30" s="3" t="n">
        <v>0</v>
      </c>
      <c r="G30" s="3" t="n">
        <v>0</v>
      </c>
      <c r="H30" s="3" t="n">
        <v>0</v>
      </c>
      <c r="I30" s="3" t="n">
        <v>0</v>
      </c>
      <c r="J30" s="3" t="n">
        <v>0</v>
      </c>
      <c r="K30" s="3" t="n">
        <v>0</v>
      </c>
      <c r="L30" s="3" t="n">
        <v>0</v>
      </c>
    </row>
    <row r="31" customFormat="false" ht="15" hidden="false" customHeight="false" outlineLevel="0" collapsed="false">
      <c r="A31" s="0" t="s">
        <v>133</v>
      </c>
      <c r="C31" s="3" t="n">
        <v>1.85</v>
      </c>
      <c r="D31" s="3" t="n">
        <v>1.85</v>
      </c>
      <c r="E31" s="3" t="n">
        <v>1.85</v>
      </c>
      <c r="F31" s="3" t="n">
        <v>1.85</v>
      </c>
      <c r="G31" s="3" t="n">
        <v>1.85</v>
      </c>
      <c r="H31" s="3" t="n">
        <v>1.85</v>
      </c>
      <c r="I31" s="3" t="n">
        <v>1.85</v>
      </c>
      <c r="J31" s="3" t="n">
        <v>1.85</v>
      </c>
      <c r="K31" s="3" t="n">
        <v>1.85</v>
      </c>
      <c r="L31" s="3" t="n">
        <v>1.85</v>
      </c>
    </row>
    <row r="32" customFormat="false" ht="15" hidden="false" customHeight="false" outlineLevel="0" collapsed="false">
      <c r="A32" s="0" t="s">
        <v>134</v>
      </c>
      <c r="C32" s="3" t="n">
        <v>1.85</v>
      </c>
      <c r="D32" s="3" t="n">
        <v>1.85</v>
      </c>
      <c r="E32" s="3" t="n">
        <v>1.85</v>
      </c>
      <c r="F32" s="3" t="n">
        <v>1.85</v>
      </c>
      <c r="G32" s="3" t="n">
        <v>1.85</v>
      </c>
      <c r="H32" s="3" t="n">
        <v>1.85</v>
      </c>
      <c r="I32" s="3" t="n">
        <v>1.85</v>
      </c>
      <c r="J32" s="3" t="n">
        <v>1.85</v>
      </c>
      <c r="K32" s="3" t="n">
        <v>1.85</v>
      </c>
      <c r="L32" s="3" t="n">
        <v>1.85</v>
      </c>
    </row>
    <row r="33" customFormat="false" ht="15" hidden="false" customHeight="false" outlineLevel="0" collapsed="false">
      <c r="A33" s="0" t="s">
        <v>135</v>
      </c>
      <c r="C33" s="3" t="n">
        <v>21</v>
      </c>
      <c r="D33" s="3" t="n">
        <v>21</v>
      </c>
      <c r="E33" s="3" t="n">
        <v>21</v>
      </c>
      <c r="F33" s="3" t="n">
        <v>21</v>
      </c>
      <c r="G33" s="3" t="n">
        <v>21</v>
      </c>
      <c r="H33" s="3" t="n">
        <v>21</v>
      </c>
      <c r="I33" s="3" t="n">
        <v>21</v>
      </c>
      <c r="J33" s="3" t="n">
        <v>21</v>
      </c>
      <c r="K33" s="3" t="n">
        <v>21</v>
      </c>
      <c r="L33" s="3" t="n">
        <v>21</v>
      </c>
    </row>
    <row r="34" customFormat="false" ht="15" hidden="false" customHeight="false" outlineLevel="0" collapsed="false">
      <c r="A34" s="0" t="s">
        <v>136</v>
      </c>
      <c r="B34" s="3" t="n">
        <v>9</v>
      </c>
    </row>
    <row r="35" customFormat="false" ht="15" hidden="false" customHeight="false" outlineLevel="0" collapsed="false">
      <c r="A35" s="0" t="s">
        <v>137</v>
      </c>
      <c r="B35" s="3" t="n">
        <v>3</v>
      </c>
    </row>
    <row r="36" customFormat="false" ht="15" hidden="false" customHeight="false" outlineLevel="0" collapsed="false">
      <c r="A36" s="0" t="s">
        <v>138</v>
      </c>
      <c r="B36" s="3" t="n">
        <v>15</v>
      </c>
    </row>
    <row r="37" customFormat="false" ht="15" hidden="false" customHeight="false" outlineLevel="0" collapsed="false">
      <c r="A37" s="0" t="s">
        <v>139</v>
      </c>
      <c r="B37" s="3" t="n">
        <v>-30</v>
      </c>
    </row>
    <row r="38" customFormat="false" ht="15" hidden="false" customHeight="false" outlineLevel="0" collapsed="false">
      <c r="A38" s="0" t="s">
        <v>140</v>
      </c>
      <c r="B38" s="3" t="n">
        <v>0.5</v>
      </c>
    </row>
    <row r="40" customFormat="false" ht="15" hidden="false" customHeight="false" outlineLevel="0" collapsed="false">
      <c r="A40" s="2" t="s">
        <v>142</v>
      </c>
      <c r="C40" s="2" t="s">
        <v>119</v>
      </c>
      <c r="D40" s="2" t="s">
        <v>120</v>
      </c>
      <c r="E40" s="2" t="s">
        <v>121</v>
      </c>
      <c r="F40" s="2" t="s">
        <v>122</v>
      </c>
      <c r="G40" s="2" t="s">
        <v>123</v>
      </c>
      <c r="H40" s="2" t="s">
        <v>124</v>
      </c>
      <c r="I40" s="2" t="s">
        <v>125</v>
      </c>
      <c r="J40" s="2" t="s">
        <v>126</v>
      </c>
      <c r="K40" s="2" t="s">
        <v>127</v>
      </c>
      <c r="L40" s="2" t="s">
        <v>128</v>
      </c>
    </row>
    <row r="41" customFormat="false" ht="15" hidden="false" customHeight="false" outlineLevel="0" collapsed="false">
      <c r="A41" s="0" t="s">
        <v>129</v>
      </c>
      <c r="C41" s="3" t="n">
        <v>10.5</v>
      </c>
      <c r="D41" s="3" t="n">
        <v>9</v>
      </c>
      <c r="E41" s="3" t="n">
        <v>8</v>
      </c>
      <c r="F41" s="3" t="n">
        <v>7</v>
      </c>
      <c r="G41" s="3" t="n">
        <v>6.5</v>
      </c>
      <c r="H41" s="3" t="n">
        <v>5.5</v>
      </c>
      <c r="I41" s="3" t="n">
        <v>5</v>
      </c>
      <c r="J41" s="3" t="n">
        <v>4.5</v>
      </c>
      <c r="K41" s="3" t="n">
        <v>4</v>
      </c>
      <c r="L41" s="3" t="n">
        <v>3.5</v>
      </c>
    </row>
    <row r="42" customFormat="false" ht="15" hidden="false" customHeight="false" outlineLevel="0" collapsed="false">
      <c r="A42" s="0" t="s">
        <v>130</v>
      </c>
      <c r="C42" s="3" t="n">
        <v>12.82</v>
      </c>
      <c r="D42" s="3" t="n">
        <v>13.12</v>
      </c>
      <c r="E42" s="3" t="n">
        <v>13.42</v>
      </c>
      <c r="F42" s="3" t="n">
        <v>13.72</v>
      </c>
      <c r="G42" s="3" t="n">
        <v>13.92</v>
      </c>
      <c r="H42" s="3" t="n">
        <v>14.02</v>
      </c>
      <c r="I42" s="3" t="n">
        <v>14.02</v>
      </c>
      <c r="J42" s="3" t="n">
        <v>14.02</v>
      </c>
      <c r="K42" s="3" t="n">
        <v>14.02</v>
      </c>
      <c r="L42" s="3" t="n">
        <v>14.02</v>
      </c>
    </row>
    <row r="43" customFormat="false" ht="15" hidden="false" customHeight="false" outlineLevel="0" collapsed="false">
      <c r="A43" s="0" t="s">
        <v>131</v>
      </c>
      <c r="C43" s="3" t="n">
        <v>0.8</v>
      </c>
      <c r="D43" s="3" t="n">
        <v>0.78</v>
      </c>
      <c r="E43" s="3" t="n">
        <v>0.78</v>
      </c>
      <c r="F43" s="3" t="n">
        <v>0.78</v>
      </c>
      <c r="G43" s="3" t="n">
        <v>0.78</v>
      </c>
      <c r="H43" s="3" t="n">
        <v>0.78</v>
      </c>
      <c r="I43" s="3" t="n">
        <v>0.78</v>
      </c>
      <c r="J43" s="3" t="n">
        <v>0.78</v>
      </c>
      <c r="K43" s="3" t="n">
        <v>0.78</v>
      </c>
      <c r="L43" s="3" t="n">
        <v>0.78</v>
      </c>
    </row>
    <row r="44" customFormat="false" ht="15" hidden="false" customHeight="false" outlineLevel="0" collapsed="false">
      <c r="A44" s="0" t="s">
        <v>132</v>
      </c>
      <c r="C44" s="3" t="n">
        <v>0</v>
      </c>
      <c r="D44" s="3" t="n">
        <v>0</v>
      </c>
      <c r="E44" s="3" t="n">
        <v>0</v>
      </c>
      <c r="F44" s="3" t="n">
        <v>0</v>
      </c>
      <c r="G44" s="3" t="n">
        <v>0</v>
      </c>
      <c r="H44" s="3" t="n">
        <v>0</v>
      </c>
      <c r="I44" s="3" t="n">
        <v>0</v>
      </c>
      <c r="J44" s="3" t="n">
        <v>0</v>
      </c>
      <c r="K44" s="3" t="n">
        <v>0</v>
      </c>
      <c r="L44" s="3" t="n">
        <v>0</v>
      </c>
    </row>
    <row r="45" customFormat="false" ht="15" hidden="false" customHeight="false" outlineLevel="0" collapsed="false">
      <c r="A45" s="0" t="s">
        <v>133</v>
      </c>
      <c r="C45" s="3" t="n">
        <v>1.85</v>
      </c>
      <c r="D45" s="3" t="n">
        <v>1.85</v>
      </c>
      <c r="E45" s="3" t="n">
        <v>1.85</v>
      </c>
      <c r="F45" s="3" t="n">
        <v>1.85</v>
      </c>
      <c r="G45" s="3" t="n">
        <v>1.85</v>
      </c>
      <c r="H45" s="3" t="n">
        <v>1.85</v>
      </c>
      <c r="I45" s="3" t="n">
        <v>1.85</v>
      </c>
      <c r="J45" s="3" t="n">
        <v>1.85</v>
      </c>
      <c r="K45" s="3" t="n">
        <v>1.85</v>
      </c>
      <c r="L45" s="3" t="n">
        <v>1.85</v>
      </c>
    </row>
    <row r="46" customFormat="false" ht="15" hidden="false" customHeight="false" outlineLevel="0" collapsed="false">
      <c r="A46" s="0" t="s">
        <v>134</v>
      </c>
      <c r="C46" s="3" t="n">
        <v>1.85</v>
      </c>
      <c r="D46" s="3" t="n">
        <v>1.85</v>
      </c>
      <c r="E46" s="3" t="n">
        <v>1.85</v>
      </c>
      <c r="F46" s="3" t="n">
        <v>1.85</v>
      </c>
      <c r="G46" s="3" t="n">
        <v>1.85</v>
      </c>
      <c r="H46" s="3" t="n">
        <v>1.85</v>
      </c>
      <c r="I46" s="3" t="n">
        <v>1.85</v>
      </c>
      <c r="J46" s="3" t="n">
        <v>1.85</v>
      </c>
      <c r="K46" s="3" t="n">
        <v>1.85</v>
      </c>
      <c r="L46" s="3" t="n">
        <v>1.85</v>
      </c>
    </row>
    <row r="47" customFormat="false" ht="15" hidden="false" customHeight="false" outlineLevel="0" collapsed="false">
      <c r="A47" s="0" t="s">
        <v>135</v>
      </c>
      <c r="C47" s="3" t="n">
        <v>21</v>
      </c>
      <c r="D47" s="3" t="n">
        <v>21</v>
      </c>
      <c r="E47" s="3" t="n">
        <v>21</v>
      </c>
      <c r="F47" s="3" t="n">
        <v>21</v>
      </c>
      <c r="G47" s="3" t="n">
        <v>21</v>
      </c>
      <c r="H47" s="3" t="n">
        <v>21</v>
      </c>
      <c r="I47" s="3" t="n">
        <v>21</v>
      </c>
      <c r="J47" s="3" t="n">
        <v>21</v>
      </c>
      <c r="K47" s="3" t="n">
        <v>21</v>
      </c>
      <c r="L47" s="3" t="n">
        <v>21</v>
      </c>
    </row>
    <row r="48" customFormat="false" ht="15" hidden="false" customHeight="false" outlineLevel="0" collapsed="false">
      <c r="A48" s="0" t="s">
        <v>136</v>
      </c>
      <c r="B48" s="3" t="n">
        <v>9</v>
      </c>
    </row>
    <row r="49" customFormat="false" ht="15" hidden="false" customHeight="false" outlineLevel="0" collapsed="false">
      <c r="A49" s="0" t="s">
        <v>137</v>
      </c>
      <c r="B49" s="3" t="n">
        <v>3</v>
      </c>
    </row>
    <row r="50" customFormat="false" ht="15" hidden="false" customHeight="false" outlineLevel="0" collapsed="false">
      <c r="A50" s="0" t="s">
        <v>138</v>
      </c>
      <c r="B50" s="3" t="n">
        <v>16</v>
      </c>
    </row>
    <row r="51" customFormat="false" ht="15" hidden="false" customHeight="false" outlineLevel="0" collapsed="false">
      <c r="A51" s="0" t="s">
        <v>139</v>
      </c>
      <c r="B51" s="3" t="n">
        <v>-25</v>
      </c>
    </row>
    <row r="52" customFormat="false" ht="15" hidden="false" customHeight="false" outlineLevel="0" collapsed="false">
      <c r="A52" s="0" t="s">
        <v>140</v>
      </c>
      <c r="B52" s="3" t="n">
        <v>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143</v>
      </c>
    </row>
    <row r="3" customFormat="false" ht="15" hidden="false" customHeight="false" outlineLevel="0" collapsed="false">
      <c r="A3" s="0" t="s">
        <v>144</v>
      </c>
      <c r="B3" s="0" t="s">
        <v>106</v>
      </c>
      <c r="C3" s="2" t="s">
        <v>119</v>
      </c>
      <c r="D3" s="2" t="s">
        <v>120</v>
      </c>
      <c r="E3" s="2" t="s">
        <v>121</v>
      </c>
      <c r="F3" s="2" t="s">
        <v>122</v>
      </c>
      <c r="G3" s="2" t="s">
        <v>123</v>
      </c>
      <c r="H3" s="2" t="s">
        <v>124</v>
      </c>
      <c r="I3" s="2" t="s">
        <v>125</v>
      </c>
      <c r="J3" s="2" t="s">
        <v>126</v>
      </c>
      <c r="K3" s="2" t="s">
        <v>127</v>
      </c>
      <c r="L3" s="2" t="s">
        <v>128</v>
      </c>
    </row>
    <row r="4" customFormat="false" ht="15" hidden="false" customHeight="false" outlineLevel="0" collapsed="false">
      <c r="A4" s="0" t="s">
        <v>145</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129</v>
      </c>
      <c r="C5" s="4" t="n">
        <f aca="false">Assumptions!C13</f>
        <v>8</v>
      </c>
      <c r="D5" s="4" t="n">
        <f aca="false">Assumptions!D13</f>
        <v>2</v>
      </c>
      <c r="E5" s="4" t="n">
        <f aca="false">Assumptions!E13</f>
        <v>-3</v>
      </c>
      <c r="F5" s="4" t="n">
        <f aca="false">Assumptions!F13</f>
        <v>2</v>
      </c>
      <c r="G5" s="4" t="n">
        <f aca="false">Assumptions!G13</f>
        <v>3</v>
      </c>
      <c r="H5" s="4" t="n">
        <f aca="false">Assumptions!H13</f>
        <v>3</v>
      </c>
      <c r="I5" s="4" t="n">
        <f aca="false">Assumptions!I13</f>
        <v>2.5</v>
      </c>
      <c r="J5" s="4" t="n">
        <f aca="false">Assumptions!J13</f>
        <v>2.5</v>
      </c>
      <c r="K5" s="4" t="n">
        <f aca="false">Assumptions!K13</f>
        <v>2.5</v>
      </c>
      <c r="L5" s="4" t="n">
        <f aca="false">Assumptions!L13</f>
        <v>2.5</v>
      </c>
    </row>
    <row r="6" customFormat="false" ht="15" hidden="false" customHeight="false" outlineLevel="0" collapsed="false">
      <c r="A6" s="0" t="s">
        <v>61</v>
      </c>
      <c r="B6" s="3" t="n">
        <v>12814.3</v>
      </c>
      <c r="C6" s="0" t="n">
        <f aca="false">B6*(1+C5/100)</f>
        <v>13839.444</v>
      </c>
      <c r="D6" s="0" t="n">
        <f aca="false">C6*(1+D5/100)</f>
        <v>14116.23288</v>
      </c>
      <c r="E6" s="0" t="n">
        <f aca="false">D6*(1+E5/100)</f>
        <v>13692.7458936</v>
      </c>
      <c r="F6" s="0" t="n">
        <f aca="false">E6*(1+F5/100)</f>
        <v>13966.600811472</v>
      </c>
      <c r="G6" s="0" t="n">
        <f aca="false">F6*(1+G5/100)</f>
        <v>14385.5988358162</v>
      </c>
      <c r="H6" s="0" t="n">
        <f aca="false">G6*(1+H5/100)</f>
        <v>14817.1668008906</v>
      </c>
      <c r="I6" s="0" t="n">
        <f aca="false">H6*(1+I5/100)</f>
        <v>15187.5959709129</v>
      </c>
      <c r="J6" s="0" t="n">
        <f aca="false">I6*(1+J5/100)</f>
        <v>15567.2858701857</v>
      </c>
      <c r="K6" s="0" t="n">
        <f aca="false">J6*(1+K5/100)</f>
        <v>15956.4680169404</v>
      </c>
      <c r="L6" s="0" t="n">
        <f aca="false">K6*(1+L5/100)</f>
        <v>16355.3797173639</v>
      </c>
    </row>
    <row r="7" customFormat="false" ht="15" hidden="false" customHeight="false" outlineLevel="0" collapsed="false">
      <c r="A7" s="0" t="s">
        <v>130</v>
      </c>
      <c r="C7" s="4" t="n">
        <f aca="false">Assumptions!C14</f>
        <v>11.82</v>
      </c>
      <c r="D7" s="4" t="n">
        <f aca="false">Assumptions!D14</f>
        <v>11.42</v>
      </c>
      <c r="E7" s="4" t="n">
        <f aca="false">Assumptions!E14</f>
        <v>11.02</v>
      </c>
      <c r="F7" s="4" t="n">
        <f aca="false">Assumptions!F14</f>
        <v>10.82</v>
      </c>
      <c r="G7" s="4" t="n">
        <f aca="false">Assumptions!G14</f>
        <v>10.82</v>
      </c>
      <c r="H7" s="4" t="n">
        <f aca="false">Assumptions!H14</f>
        <v>10.82</v>
      </c>
      <c r="I7" s="4" t="n">
        <f aca="false">Assumptions!I14</f>
        <v>10.82</v>
      </c>
      <c r="J7" s="4" t="n">
        <f aca="false">Assumptions!J14</f>
        <v>10.82</v>
      </c>
      <c r="K7" s="4" t="n">
        <f aca="false">Assumptions!K14</f>
        <v>10.82</v>
      </c>
      <c r="L7" s="4" t="n">
        <f aca="false">Assumptions!L14</f>
        <v>10.82</v>
      </c>
    </row>
    <row r="8" customFormat="false" ht="15" hidden="false" customHeight="false" outlineLevel="0" collapsed="false">
      <c r="A8" s="0" t="s">
        <v>67</v>
      </c>
      <c r="C8" s="0" t="n">
        <f aca="false">C6*C7/100</f>
        <v>1635.8222808</v>
      </c>
      <c r="D8" s="0" t="n">
        <f aca="false">D6*D7/100</f>
        <v>1612.073794896</v>
      </c>
      <c r="E8" s="0" t="n">
        <f aca="false">E6*E7/100</f>
        <v>1508.94059747472</v>
      </c>
      <c r="F8" s="0" t="n">
        <f aca="false">F6*F7/100</f>
        <v>1511.18620780127</v>
      </c>
      <c r="G8" s="0" t="n">
        <f aca="false">G6*G7/100</f>
        <v>1556.52179403531</v>
      </c>
      <c r="H8" s="0" t="n">
        <f aca="false">H6*H7/100</f>
        <v>1603.21744785637</v>
      </c>
      <c r="I8" s="0" t="n">
        <f aca="false">I6*I7/100</f>
        <v>1643.29788405278</v>
      </c>
      <c r="J8" s="0" t="n">
        <f aca="false">J6*J7/100</f>
        <v>1684.3803311541</v>
      </c>
      <c r="K8" s="0" t="n">
        <f aca="false">K6*K7/100</f>
        <v>1726.48983943295</v>
      </c>
      <c r="L8" s="0" t="n">
        <f aca="false">L6*L7/100</f>
        <v>1769.65208541877</v>
      </c>
    </row>
    <row r="9" customFormat="false" ht="15" hidden="false" customHeight="false" outlineLevel="0" collapsed="false">
      <c r="A9" s="0" t="s">
        <v>131</v>
      </c>
      <c r="C9" s="4" t="n">
        <f aca="false">Assumptions!C15</f>
        <v>0.8</v>
      </c>
      <c r="D9" s="4" t="n">
        <f aca="false">Assumptions!D15</f>
        <v>0.78</v>
      </c>
      <c r="E9" s="4" t="n">
        <f aca="false">Assumptions!E15</f>
        <v>0.78</v>
      </c>
      <c r="F9" s="4" t="n">
        <f aca="false">Assumptions!F15</f>
        <v>0.78</v>
      </c>
      <c r="G9" s="4" t="n">
        <f aca="false">Assumptions!G15</f>
        <v>0.78</v>
      </c>
      <c r="H9" s="4" t="n">
        <f aca="false">Assumptions!H15</f>
        <v>0.78</v>
      </c>
      <c r="I9" s="4" t="n">
        <f aca="false">Assumptions!I15</f>
        <v>0.78</v>
      </c>
      <c r="J9" s="4" t="n">
        <f aca="false">Assumptions!J15</f>
        <v>0.78</v>
      </c>
      <c r="K9" s="4" t="n">
        <f aca="false">Assumptions!K15</f>
        <v>0.78</v>
      </c>
      <c r="L9" s="4" t="n">
        <f aca="false">Assumptions!L15</f>
        <v>0.78</v>
      </c>
    </row>
    <row r="10" customFormat="false" ht="15" hidden="false" customHeight="false" outlineLevel="0" collapsed="false">
      <c r="A10" s="0" t="s">
        <v>146</v>
      </c>
      <c r="C10" s="0" t="n">
        <f aca="false">-C6*C9/100</f>
        <v>-110.715552</v>
      </c>
      <c r="D10" s="0" t="n">
        <f aca="false">-D6*D9/100</f>
        <v>-110.106616464</v>
      </c>
      <c r="E10" s="0" t="n">
        <f aca="false">-E6*E9/100</f>
        <v>-106.80341797008</v>
      </c>
      <c r="F10" s="0" t="n">
        <f aca="false">-F6*F9/100</f>
        <v>-108.939486329482</v>
      </c>
      <c r="G10" s="0" t="n">
        <f aca="false">-G6*G9/100</f>
        <v>-112.207670919366</v>
      </c>
      <c r="H10" s="0" t="n">
        <f aca="false">-H6*H9/100</f>
        <v>-115.573901046947</v>
      </c>
      <c r="I10" s="0" t="n">
        <f aca="false">-I6*I9/100</f>
        <v>-118.463248573121</v>
      </c>
      <c r="J10" s="0" t="n">
        <f aca="false">-J6*J9/100</f>
        <v>-121.424829787449</v>
      </c>
      <c r="K10" s="0" t="n">
        <f aca="false">-K6*K9/100</f>
        <v>-124.460450532135</v>
      </c>
      <c r="L10" s="0" t="n">
        <f aca="false">-L6*L9/100</f>
        <v>-127.571961795438</v>
      </c>
    </row>
    <row r="11" customFormat="false" ht="15" hidden="false" customHeight="false" outlineLevel="0" collapsed="false">
      <c r="A11" s="0" t="s">
        <v>147</v>
      </c>
      <c r="C11" s="0" t="n">
        <f aca="false">C8+C10+C24</f>
        <v>1525.1067288</v>
      </c>
      <c r="D11" s="0" t="n">
        <f aca="false">D8+D10+D24</f>
        <v>1501.967178432</v>
      </c>
      <c r="E11" s="0" t="n">
        <f aca="false">E8+E10+E24</f>
        <v>1402.13717950464</v>
      </c>
      <c r="F11" s="0" t="n">
        <f aca="false">F8+F10+F24</f>
        <v>1402.24672147179</v>
      </c>
      <c r="G11" s="0" t="n">
        <f aca="false">G8+G10+G24</f>
        <v>1444.31412311594</v>
      </c>
      <c r="H11" s="0" t="n">
        <f aca="false">H8+H10+H24</f>
        <v>1487.64354680942</v>
      </c>
      <c r="I11" s="0" t="n">
        <f aca="false">I8+I10+I24</f>
        <v>1524.83463547966</v>
      </c>
      <c r="J11" s="0" t="n">
        <f aca="false">J8+J10+J24</f>
        <v>1562.95550136665</v>
      </c>
      <c r="K11" s="0" t="n">
        <f aca="false">K8+K10+K24</f>
        <v>1602.02938890081</v>
      </c>
      <c r="L11" s="0" t="n">
        <f aca="false">L8+L10+L24</f>
        <v>1642.08012362333</v>
      </c>
    </row>
    <row r="12" customFormat="false" ht="15" hidden="false" customHeight="false" outlineLevel="0" collapsed="false">
      <c r="A12" s="0" t="s">
        <v>148</v>
      </c>
      <c r="C12" s="4" t="n">
        <f aca="false">-C6*Assumptions!C17/100</f>
        <v>-256.029714</v>
      </c>
      <c r="D12" s="4" t="n">
        <f aca="false">-D6*Assumptions!D17/100</f>
        <v>-261.15030828</v>
      </c>
      <c r="E12" s="4" t="n">
        <f aca="false">-E6*Assumptions!E17/100</f>
        <v>-253.3157990316</v>
      </c>
      <c r="F12" s="4" t="n">
        <f aca="false">-F6*Assumptions!F17/100</f>
        <v>-258.382115012232</v>
      </c>
      <c r="G12" s="4" t="n">
        <f aca="false">-G6*Assumptions!G17/100</f>
        <v>-266.133578462599</v>
      </c>
      <c r="H12" s="4" t="n">
        <f aca="false">-H6*Assumptions!H17/100</f>
        <v>-274.117585816477</v>
      </c>
      <c r="I12" s="4" t="n">
        <f aca="false">-I6*Assumptions!I17/100</f>
        <v>-280.970525461889</v>
      </c>
      <c r="J12" s="4" t="n">
        <f aca="false">-J6*Assumptions!J17/100</f>
        <v>-287.994788598436</v>
      </c>
      <c r="K12" s="4" t="n">
        <f aca="false">-K6*Assumptions!K17/100</f>
        <v>-295.194658313397</v>
      </c>
      <c r="L12" s="4" t="n">
        <f aca="false">-L6*Assumptions!L17/100</f>
        <v>-302.574524771232</v>
      </c>
    </row>
    <row r="13" customFormat="false" ht="15" hidden="false" customHeight="false" outlineLevel="0" collapsed="false">
      <c r="A13" s="0" t="s">
        <v>149</v>
      </c>
      <c r="C13" s="0" t="n">
        <f aca="false">C11+C12</f>
        <v>1269.0770148</v>
      </c>
      <c r="D13" s="0" t="n">
        <f aca="false">D11+D12</f>
        <v>1240.816870152</v>
      </c>
      <c r="E13" s="0" t="n">
        <f aca="false">E11+E12</f>
        <v>1148.82138047304</v>
      </c>
      <c r="F13" s="0" t="n">
        <f aca="false">F11+F12</f>
        <v>1143.86460645956</v>
      </c>
      <c r="G13" s="0" t="n">
        <f aca="false">G11+G12</f>
        <v>1178.18054465334</v>
      </c>
      <c r="H13" s="0" t="n">
        <f aca="false">H11+H12</f>
        <v>1213.52596099294</v>
      </c>
      <c r="I13" s="0" t="n">
        <f aca="false">I11+I12</f>
        <v>1243.86411001777</v>
      </c>
      <c r="J13" s="0" t="n">
        <f aca="false">J11+J12</f>
        <v>1274.96071276821</v>
      </c>
      <c r="K13" s="0" t="n">
        <f aca="false">K11+K12</f>
        <v>1306.83473058742</v>
      </c>
      <c r="L13" s="0" t="n">
        <f aca="false">L11+L12</f>
        <v>1339.5055988521</v>
      </c>
    </row>
    <row r="14" customFormat="false" ht="15" hidden="false" customHeight="false" outlineLevel="0" collapsed="false">
      <c r="A14" s="0" t="s">
        <v>135</v>
      </c>
      <c r="C14" s="4" t="n">
        <f aca="false">Assumptions!C19</f>
        <v>21</v>
      </c>
      <c r="D14" s="4" t="n">
        <f aca="false">Assumptions!D19</f>
        <v>21</v>
      </c>
      <c r="E14" s="4" t="n">
        <f aca="false">Assumptions!E19</f>
        <v>21</v>
      </c>
      <c r="F14" s="4" t="n">
        <f aca="false">Assumptions!F19</f>
        <v>21</v>
      </c>
      <c r="G14" s="4" t="n">
        <f aca="false">Assumptions!G19</f>
        <v>21</v>
      </c>
      <c r="H14" s="4" t="n">
        <f aca="false">Assumptions!H19</f>
        <v>21</v>
      </c>
      <c r="I14" s="4" t="n">
        <f aca="false">Assumptions!I19</f>
        <v>21</v>
      </c>
      <c r="J14" s="4" t="n">
        <f aca="false">Assumptions!J19</f>
        <v>21</v>
      </c>
      <c r="K14" s="4" t="n">
        <f aca="false">Assumptions!K19</f>
        <v>21</v>
      </c>
      <c r="L14" s="4" t="n">
        <f aca="false">Assumptions!L19</f>
        <v>21</v>
      </c>
    </row>
    <row r="15" customFormat="false" ht="15" hidden="false" customHeight="false" outlineLevel="0" collapsed="false">
      <c r="A15" s="0" t="s">
        <v>150</v>
      </c>
      <c r="C15" s="0" t="n">
        <f aca="false">C13-MAX(0,C13)*C14/100</f>
        <v>1002.570841692</v>
      </c>
      <c r="D15" s="0" t="n">
        <f aca="false">D13-MAX(0,D13)*D14/100</f>
        <v>980.24532742008</v>
      </c>
      <c r="E15" s="0" t="n">
        <f aca="false">E13-MAX(0,E13)*E14/100</f>
        <v>907.568890573701</v>
      </c>
      <c r="F15" s="0" t="n">
        <f aca="false">F13-MAX(0,F13)*F14/100</f>
        <v>903.65303910305</v>
      </c>
      <c r="G15" s="0" t="n">
        <f aca="false">G13-MAX(0,G13)*G14/100</f>
        <v>930.762630276141</v>
      </c>
      <c r="H15" s="0" t="n">
        <f aca="false">H13-MAX(0,H13)*H14/100</f>
        <v>958.685509184426</v>
      </c>
      <c r="I15" s="0" t="n">
        <f aca="false">I13-MAX(0,I13)*I14/100</f>
        <v>982.652646914037</v>
      </c>
      <c r="J15" s="0" t="n">
        <f aca="false">J13-MAX(0,J13)*J14/100</f>
        <v>1007.21896308689</v>
      </c>
      <c r="K15" s="0" t="n">
        <f aca="false">K13-MAX(0,K13)*K14/100</f>
        <v>1032.39943716406</v>
      </c>
      <c r="L15" s="0" t="n">
        <f aca="false">L13-MAX(0,L13)*L14/100</f>
        <v>1058.20942309316</v>
      </c>
    </row>
    <row r="16" customFormat="false" ht="15" hidden="false" customHeight="false" outlineLevel="0" collapsed="false">
      <c r="A16" s="0" t="s">
        <v>151</v>
      </c>
      <c r="C16" s="0" t="n">
        <f aca="false">-C12</f>
        <v>256.029714</v>
      </c>
      <c r="D16" s="0" t="n">
        <f aca="false">-D12</f>
        <v>261.15030828</v>
      </c>
      <c r="E16" s="0" t="n">
        <f aca="false">-E12</f>
        <v>253.3157990316</v>
      </c>
      <c r="F16" s="0" t="n">
        <f aca="false">-F12</f>
        <v>258.382115012232</v>
      </c>
      <c r="G16" s="0" t="n">
        <f aca="false">-G12</f>
        <v>266.133578462599</v>
      </c>
      <c r="H16" s="0" t="n">
        <f aca="false">-H12</f>
        <v>274.117585816477</v>
      </c>
      <c r="I16" s="0" t="n">
        <f aca="false">-I12</f>
        <v>280.970525461889</v>
      </c>
      <c r="J16" s="0" t="n">
        <f aca="false">-J12</f>
        <v>287.994788598436</v>
      </c>
      <c r="K16" s="0" t="n">
        <f aca="false">-K12</f>
        <v>295.194658313397</v>
      </c>
      <c r="L16" s="0" t="n">
        <f aca="false">-L12</f>
        <v>302.574524771232</v>
      </c>
    </row>
    <row r="17" customFormat="false" ht="15" hidden="false" customHeight="false" outlineLevel="0" collapsed="false">
      <c r="A17" s="0" t="s">
        <v>152</v>
      </c>
      <c r="C17" s="4" t="n">
        <f aca="false">-C6*Assumptions!C18/100</f>
        <v>-256.029714</v>
      </c>
      <c r="D17" s="4" t="n">
        <f aca="false">-D6*Assumptions!D18/100</f>
        <v>-261.15030828</v>
      </c>
      <c r="E17" s="4" t="n">
        <f aca="false">-E6*Assumptions!E18/100</f>
        <v>-253.3157990316</v>
      </c>
      <c r="F17" s="4" t="n">
        <f aca="false">-F6*Assumptions!F18/100</f>
        <v>-258.382115012232</v>
      </c>
      <c r="G17" s="4" t="n">
        <f aca="false">-G6*Assumptions!G18/100</f>
        <v>-266.133578462599</v>
      </c>
      <c r="H17" s="4" t="n">
        <f aca="false">-H6*Assumptions!H18/100</f>
        <v>-274.117585816477</v>
      </c>
      <c r="I17" s="4" t="n">
        <f aca="false">-I6*Assumptions!I18/100</f>
        <v>-280.970525461889</v>
      </c>
      <c r="J17" s="4" t="n">
        <f aca="false">-J6*Assumptions!J18/100</f>
        <v>-287.994788598436</v>
      </c>
      <c r="K17" s="4" t="n">
        <f aca="false">-K6*Assumptions!K18/100</f>
        <v>-295.194658313397</v>
      </c>
      <c r="L17" s="4" t="n">
        <f aca="false">-L6*Assumptions!L18/100</f>
        <v>-302.574524771232</v>
      </c>
    </row>
    <row r="18" customFormat="false" ht="15" hidden="false" customHeight="false" outlineLevel="0" collapsed="false">
      <c r="A18" s="0" t="s">
        <v>153</v>
      </c>
      <c r="C18" s="4" t="n">
        <f aca="false">(C6-B6)*Assumptions!$B$23/100</f>
        <v>-358.8004</v>
      </c>
      <c r="D18" s="4" t="n">
        <f aca="false">(D6-C6)*Assumptions!$B$23/100</f>
        <v>-96.876108</v>
      </c>
      <c r="E18" s="4" t="n">
        <f aca="false">(E6-D6)*Assumptions!$B$23/100</f>
        <v>148.22044524</v>
      </c>
      <c r="F18" s="4" t="n">
        <f aca="false">(F6-E6)*Assumptions!$B$23/100</f>
        <v>-95.8492212552002</v>
      </c>
      <c r="G18" s="4" t="n">
        <f aca="false">(G6-F6)*Assumptions!$B$23/100</f>
        <v>-146.649308520456</v>
      </c>
      <c r="H18" s="4" t="n">
        <f aca="false">(H6-G6)*Assumptions!$B$23/100</f>
        <v>-151.04878777607</v>
      </c>
      <c r="I18" s="4" t="n">
        <f aca="false">(I6-H6)*Assumptions!$B$23/100</f>
        <v>-129.650209507793</v>
      </c>
      <c r="J18" s="4" t="n">
        <f aca="false">(J6-I6)*Assumptions!$B$23/100</f>
        <v>-132.891464745488</v>
      </c>
      <c r="K18" s="4" t="n">
        <f aca="false">(K6-J6)*Assumptions!$B$23/100</f>
        <v>-136.213751364125</v>
      </c>
      <c r="L18" s="4" t="n">
        <f aca="false">(L6-K6)*Assumptions!$B$23/100</f>
        <v>-139.619095148228</v>
      </c>
    </row>
    <row r="19" customFormat="false" ht="15" hidden="false" customHeight="false" outlineLevel="0" collapsed="false">
      <c r="A19" s="0" t="s">
        <v>154</v>
      </c>
      <c r="C19" s="0" t="n">
        <f aca="false">C15+C16+C17+C18</f>
        <v>643.770441692</v>
      </c>
      <c r="D19" s="0" t="n">
        <f aca="false">D15+D16+D17+D18</f>
        <v>883.36921942008</v>
      </c>
      <c r="E19" s="0" t="n">
        <f aca="false">E15+E16+E17+E18</f>
        <v>1055.7893358137</v>
      </c>
      <c r="F19" s="0" t="n">
        <f aca="false">F15+F16+F17+F18</f>
        <v>807.80381784785</v>
      </c>
      <c r="G19" s="0" t="n">
        <f aca="false">G15+G16+G17+G18</f>
        <v>784.113321755685</v>
      </c>
      <c r="H19" s="0" t="n">
        <f aca="false">H15+H16+H17+H18</f>
        <v>807.636721408355</v>
      </c>
      <c r="I19" s="0" t="n">
        <f aca="false">I15+I16+I17+I18</f>
        <v>853.002437406244</v>
      </c>
      <c r="J19" s="0" t="n">
        <f aca="false">J15+J16+J17+J18</f>
        <v>874.327498341399</v>
      </c>
      <c r="K19" s="0" t="n">
        <f aca="false">K15+K16+K17+K18</f>
        <v>896.185685799935</v>
      </c>
      <c r="L19" s="0" t="n">
        <f aca="false">L15+L16+L17+L18</f>
        <v>918.590327944933</v>
      </c>
    </row>
    <row r="20" customFormat="false" ht="15" hidden="false" customHeight="false" outlineLevel="0" collapsed="false">
      <c r="A20" s="0" t="s">
        <v>155</v>
      </c>
      <c r="C20" s="0" t="n">
        <f aca="false">1/(1+$B$27/100)^C4</f>
        <v>0.91743119266055</v>
      </c>
      <c r="D20" s="0" t="n">
        <f aca="false">1/(1+$B$27/100)^D4</f>
        <v>0.84167999326656</v>
      </c>
      <c r="E20" s="0" t="n">
        <f aca="false">1/(1+$B$27/100)^E4</f>
        <v>0.772183480061064</v>
      </c>
      <c r="F20" s="0" t="n">
        <f aca="false">1/(1+$B$27/100)^F4</f>
        <v>0.708425211065196</v>
      </c>
      <c r="G20" s="0" t="n">
        <f aca="false">1/(1+$B$27/100)^G4</f>
        <v>0.649931386298345</v>
      </c>
      <c r="H20" s="0" t="n">
        <f aca="false">1/(1+$B$27/100)^H4</f>
        <v>0.596267326879216</v>
      </c>
      <c r="I20" s="0" t="n">
        <f aca="false">1/(1+$B$27/100)^I4</f>
        <v>0.547034244843317</v>
      </c>
      <c r="J20" s="0" t="n">
        <f aca="false">1/(1+$B$27/100)^J4</f>
        <v>0.501866279672768</v>
      </c>
      <c r="K20" s="0" t="n">
        <f aca="false">1/(1+$B$27/100)^K4</f>
        <v>0.460427779516301</v>
      </c>
      <c r="L20" s="0" t="n">
        <f aca="false">1/(1+$B$27/100)^L4</f>
        <v>0.422410806895689</v>
      </c>
    </row>
    <row r="21" customFormat="false" ht="15" hidden="false" customHeight="false" outlineLevel="0" collapsed="false">
      <c r="A21" s="0" t="s">
        <v>156</v>
      </c>
      <c r="C21" s="0" t="n">
        <f aca="false">C19*C20</f>
        <v>590.615084121101</v>
      </c>
      <c r="D21" s="0" t="n">
        <f aca="false">D19*D20</f>
        <v>743.514198653379</v>
      </c>
      <c r="E21" s="0" t="n">
        <f aca="false">E19*E20</f>
        <v>815.263083539984</v>
      </c>
      <c r="F21" s="0" t="n">
        <f aca="false">F19*F20</f>
        <v>572.268590158134</v>
      </c>
      <c r="G21" s="0" t="n">
        <f aca="false">G19*G20</f>
        <v>509.619858223673</v>
      </c>
      <c r="H21" s="0" t="n">
        <f aca="false">H19*H20</f>
        <v>481.567388963654</v>
      </c>
      <c r="I21" s="0" t="n">
        <f aca="false">I19*I20</f>
        <v>466.621544196033</v>
      </c>
      <c r="J21" s="0" t="n">
        <f aca="false">J19*J20</f>
        <v>438.795488808196</v>
      </c>
      <c r="K21" s="0" t="n">
        <f aca="false">K19*K20</f>
        <v>412.628785347157</v>
      </c>
      <c r="L21" s="0" t="n">
        <f aca="false">L19*L20</f>
        <v>388.022481633794</v>
      </c>
    </row>
    <row r="23" customFormat="false" ht="15" hidden="false" customHeight="false" outlineLevel="0" collapsed="false">
      <c r="A23" s="0" t="s">
        <v>132</v>
      </c>
      <c r="C23" s="4" t="n">
        <f aca="false">Assumptions!C16</f>
        <v>0</v>
      </c>
      <c r="D23" s="4" t="n">
        <f aca="false">Assumptions!D16</f>
        <v>0</v>
      </c>
      <c r="E23" s="4" t="n">
        <f aca="false">Assumptions!E16</f>
        <v>0</v>
      </c>
      <c r="F23" s="4" t="n">
        <f aca="false">Assumptions!F16</f>
        <v>0</v>
      </c>
      <c r="G23" s="4" t="n">
        <f aca="false">Assumptions!G16</f>
        <v>0</v>
      </c>
      <c r="H23" s="4" t="n">
        <f aca="false">Assumptions!H16</f>
        <v>0</v>
      </c>
      <c r="I23" s="4" t="n">
        <f aca="false">Assumptions!I16</f>
        <v>0</v>
      </c>
      <c r="J23" s="4" t="n">
        <f aca="false">Assumptions!J16</f>
        <v>0</v>
      </c>
      <c r="K23" s="4" t="n">
        <f aca="false">Assumptions!K16</f>
        <v>0</v>
      </c>
      <c r="L23" s="4" t="n">
        <f aca="false">Assumptions!L16</f>
        <v>0</v>
      </c>
    </row>
    <row r="24" customFormat="false" ht="15" hidden="false" customHeight="false" outlineLevel="0" collapsed="false">
      <c r="A24" s="0" t="s">
        <v>157</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158</v>
      </c>
    </row>
    <row r="27" customFormat="false" ht="15" hidden="false" customHeight="false" outlineLevel="0" collapsed="false">
      <c r="A27" s="0" t="s">
        <v>136</v>
      </c>
      <c r="B27" s="4" t="n">
        <f aca="false">Assumptions!$B$20</f>
        <v>9</v>
      </c>
    </row>
    <row r="28" customFormat="false" ht="15" hidden="false" customHeight="false" outlineLevel="0" collapsed="false">
      <c r="A28" s="0" t="s">
        <v>137</v>
      </c>
      <c r="B28" s="4" t="n">
        <f aca="false">Assumptions!$B$21</f>
        <v>2.5</v>
      </c>
    </row>
    <row r="29" customFormat="false" ht="15" hidden="false" customHeight="false" outlineLevel="0" collapsed="false">
      <c r="A29" s="0" t="s">
        <v>138</v>
      </c>
      <c r="B29" s="4" t="n">
        <f aca="false">Assumptions!$B$22</f>
        <v>13</v>
      </c>
    </row>
    <row r="30" customFormat="false" ht="15" hidden="false" customHeight="false" outlineLevel="0" collapsed="false">
      <c r="A30" s="0" t="s">
        <v>159</v>
      </c>
      <c r="B30" s="0" t="n">
        <f aca="false">SUM(C21:L21)</f>
        <v>5418.91650364511</v>
      </c>
    </row>
    <row r="31" customFormat="false" ht="15" hidden="false" customHeight="false" outlineLevel="0" collapsed="false">
      <c r="A31" s="0" t="s">
        <v>160</v>
      </c>
      <c r="B31" s="0" t="n">
        <f aca="false">L19</f>
        <v>918.590327944933</v>
      </c>
    </row>
    <row r="32" customFormat="false" ht="15" hidden="false" customHeight="false" outlineLevel="0" collapsed="false">
      <c r="A32" s="0" t="s">
        <v>161</v>
      </c>
      <c r="B32" s="0" t="n">
        <f aca="false">IF(B27&gt;B28,B31*(1+B28/100)/((B27-B28)/100),B31*B29)</f>
        <v>14485.462863747</v>
      </c>
    </row>
    <row r="33" customFormat="false" ht="15" hidden="false" customHeight="false" outlineLevel="0" collapsed="false">
      <c r="A33" s="0" t="s">
        <v>162</v>
      </c>
      <c r="B33" s="0" t="n">
        <f aca="false">B31*B29</f>
        <v>11941.6742632841</v>
      </c>
    </row>
    <row r="34" customFormat="false" ht="15" hidden="false" customHeight="false" outlineLevel="0" collapsed="false">
      <c r="A34" s="0" t="s">
        <v>163</v>
      </c>
      <c r="B34" s="0" t="n">
        <f aca="false">MAX(0,MIN(B32,B33))</f>
        <v>11941.6742632841</v>
      </c>
    </row>
    <row r="35" customFormat="false" ht="15" hidden="false" customHeight="false" outlineLevel="0" collapsed="false">
      <c r="A35" s="0" t="s">
        <v>164</v>
      </c>
      <c r="B35" s="0" t="n">
        <f aca="false">B34/(1+B27/100)^L4</f>
        <v>5044.29226123933</v>
      </c>
    </row>
    <row r="36" customFormat="false" ht="15" hidden="false" customHeight="false" outlineLevel="0" collapsed="false">
      <c r="A36" s="0" t="s">
        <v>165</v>
      </c>
      <c r="B36" s="0" t="n">
        <f aca="false">B30+B35</f>
        <v>10463.2087648844</v>
      </c>
    </row>
    <row r="37" customFormat="false" ht="15" hidden="false" customHeight="false" outlineLevel="0" collapsed="false">
      <c r="A37" s="0" t="s">
        <v>166</v>
      </c>
      <c r="B37" s="0" t="n">
        <f aca="false">B36+Assumptions!$B$5-Assumptions!$B$4</f>
        <v>10463.2087648844</v>
      </c>
    </row>
    <row r="38" customFormat="false" ht="15" hidden="false" customHeight="false" outlineLevel="0" collapsed="false">
      <c r="A38" s="0" t="s">
        <v>167</v>
      </c>
      <c r="B38" s="0" t="n">
        <f aca="false">B37/Assumptions!$B$3*Assumptions!$B$10</f>
        <v>210.104593672378</v>
      </c>
    </row>
    <row r="39" customFormat="false" ht="15" hidden="false" customHeight="false" outlineLevel="0" collapsed="false">
      <c r="A39" s="0" t="s">
        <v>168</v>
      </c>
      <c r="B39" s="4" t="n">
        <f aca="false">B38/Assumptions!$B$2-1</f>
        <v>-0.19764533081655</v>
      </c>
    </row>
    <row r="41" customFormat="false" ht="15" hidden="false" customHeight="false" outlineLevel="0" collapsed="false">
      <c r="A41" s="0" t="s">
        <v>169</v>
      </c>
      <c r="B41" s="0" t="n">
        <f aca="false">SUMPRODUCT(-C10:L10/(1+$B$27/100)^C4:L4)</f>
        <v>732.671284342098</v>
      </c>
    </row>
    <row r="42" customFormat="false" ht="15" hidden="false" customHeight="false" outlineLevel="0" collapsed="false">
      <c r="A42" s="0" t="s">
        <v>170</v>
      </c>
      <c r="B42" s="0" t="n">
        <f aca="false">IF(B27&gt;B28,-L10*(1+B28/100)/((B27-B28)/100),-L10*20)/(1+B27/100)^L4</f>
        <v>849.768764650139</v>
      </c>
    </row>
    <row r="43" customFormat="false" ht="15" hidden="false" customHeight="false" outlineLevel="0" collapsed="false">
      <c r="A43" s="0" t="s">
        <v>171</v>
      </c>
      <c r="B43" s="0" t="n">
        <f aca="false">(B37+B41+B42)/Assumptions!$B$3*Assumptions!$B$10</f>
        <v>241.880498270616</v>
      </c>
    </row>
    <row r="45" customFormat="false" ht="15" hidden="false" customHeight="false" outlineLevel="0" collapsed="false">
      <c r="A45" s="0" t="s">
        <v>112</v>
      </c>
      <c r="B45" s="4" t="n">
        <f aca="false">Assumptions!$B$6</f>
        <v>15</v>
      </c>
    </row>
    <row r="46" customFormat="false" ht="15" hidden="false" customHeight="false" outlineLevel="0" collapsed="false">
      <c r="A46" s="0" t="s">
        <v>172</v>
      </c>
      <c r="B46" s="0" t="n">
        <f aca="false">MAX(0,MIN(IF(B45&gt;B28,B31*(1+B28/100)/((B45-B28)/100),B31*B29),B31*B29))</f>
        <v>7532.44068914845</v>
      </c>
    </row>
    <row r="47" customFormat="false" ht="15" hidden="false" customHeight="false" outlineLevel="0" collapsed="false">
      <c r="A47" s="0" t="s">
        <v>173</v>
      </c>
      <c r="B47" s="0" t="n">
        <f aca="false">(SUMPRODUCT(C19:L19/(1+B45/100)^C4:L4)+B46/(1+B45/100)^L4+Assumptions!$B$5-Assumptions!$B$4)/Assumptions!$B$3*Assumptions!$B$10</f>
        <v>121.94851394232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174</v>
      </c>
    </row>
    <row r="3" customFormat="false" ht="15" hidden="false" customHeight="false" outlineLevel="0" collapsed="false">
      <c r="A3" s="0" t="s">
        <v>144</v>
      </c>
      <c r="B3" s="0" t="s">
        <v>106</v>
      </c>
      <c r="C3" s="2" t="s">
        <v>119</v>
      </c>
      <c r="D3" s="2" t="s">
        <v>120</v>
      </c>
      <c r="E3" s="2" t="s">
        <v>121</v>
      </c>
      <c r="F3" s="2" t="s">
        <v>122</v>
      </c>
      <c r="G3" s="2" t="s">
        <v>123</v>
      </c>
      <c r="H3" s="2" t="s">
        <v>124</v>
      </c>
      <c r="I3" s="2" t="s">
        <v>125</v>
      </c>
      <c r="J3" s="2" t="s">
        <v>126</v>
      </c>
      <c r="K3" s="2" t="s">
        <v>127</v>
      </c>
      <c r="L3" s="2" t="s">
        <v>128</v>
      </c>
    </row>
    <row r="4" customFormat="false" ht="15" hidden="false" customHeight="false" outlineLevel="0" collapsed="false">
      <c r="A4" s="0" t="s">
        <v>145</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129</v>
      </c>
      <c r="C5" s="4" t="n">
        <f aca="false">Assumptions!C27</f>
        <v>9</v>
      </c>
      <c r="D5" s="4" t="n">
        <f aca="false">Assumptions!D27</f>
        <v>7</v>
      </c>
      <c r="E5" s="4" t="n">
        <f aca="false">Assumptions!E27</f>
        <v>6</v>
      </c>
      <c r="F5" s="4" t="n">
        <f aca="false">Assumptions!F27</f>
        <v>5.5</v>
      </c>
      <c r="G5" s="4" t="n">
        <f aca="false">Assumptions!G27</f>
        <v>5</v>
      </c>
      <c r="H5" s="4" t="n">
        <f aca="false">Assumptions!H27</f>
        <v>4.5</v>
      </c>
      <c r="I5" s="4" t="n">
        <f aca="false">Assumptions!I27</f>
        <v>4</v>
      </c>
      <c r="J5" s="4" t="n">
        <f aca="false">Assumptions!J27</f>
        <v>3.5</v>
      </c>
      <c r="K5" s="4" t="n">
        <f aca="false">Assumptions!K27</f>
        <v>3</v>
      </c>
      <c r="L5" s="4" t="n">
        <f aca="false">Assumptions!L27</f>
        <v>3</v>
      </c>
    </row>
    <row r="6" customFormat="false" ht="15" hidden="false" customHeight="false" outlineLevel="0" collapsed="false">
      <c r="A6" s="0" t="s">
        <v>61</v>
      </c>
      <c r="B6" s="3" t="n">
        <v>12814.3</v>
      </c>
      <c r="C6" s="0" t="n">
        <f aca="false">B6*(1+C5/100)</f>
        <v>13967.587</v>
      </c>
      <c r="D6" s="0" t="n">
        <f aca="false">C6*(1+D5/100)</f>
        <v>14945.31809</v>
      </c>
      <c r="E6" s="0" t="n">
        <f aca="false">D6*(1+E5/100)</f>
        <v>15842.0371754</v>
      </c>
      <c r="F6" s="0" t="n">
        <f aca="false">E6*(1+F5/100)</f>
        <v>16713.349220047</v>
      </c>
      <c r="G6" s="0" t="n">
        <f aca="false">F6*(1+G5/100)</f>
        <v>17549.0166810494</v>
      </c>
      <c r="H6" s="0" t="n">
        <f aca="false">G6*(1+H5/100)</f>
        <v>18338.7224316966</v>
      </c>
      <c r="I6" s="0" t="n">
        <f aca="false">H6*(1+I5/100)</f>
        <v>19072.2713289644</v>
      </c>
      <c r="J6" s="0" t="n">
        <f aca="false">I6*(1+J5/100)</f>
        <v>19739.8008254782</v>
      </c>
      <c r="K6" s="0" t="n">
        <f aca="false">J6*(1+K5/100)</f>
        <v>20331.9948502425</v>
      </c>
      <c r="L6" s="0" t="n">
        <f aca="false">K6*(1+L5/100)</f>
        <v>20941.9546957498</v>
      </c>
    </row>
    <row r="7" customFormat="false" ht="15" hidden="false" customHeight="false" outlineLevel="0" collapsed="false">
      <c r="A7" s="0" t="s">
        <v>130</v>
      </c>
      <c r="C7" s="4" t="n">
        <f aca="false">Assumptions!C28</f>
        <v>12.42</v>
      </c>
      <c r="D7" s="4" t="n">
        <f aca="false">Assumptions!D28</f>
        <v>12.52</v>
      </c>
      <c r="E7" s="4" t="n">
        <f aca="false">Assumptions!E28</f>
        <v>12.62</v>
      </c>
      <c r="F7" s="4" t="n">
        <f aca="false">Assumptions!F28</f>
        <v>12.72</v>
      </c>
      <c r="G7" s="4" t="n">
        <f aca="false">Assumptions!G28</f>
        <v>12.82</v>
      </c>
      <c r="H7" s="4" t="n">
        <f aca="false">Assumptions!H28</f>
        <v>12.82</v>
      </c>
      <c r="I7" s="4" t="n">
        <f aca="false">Assumptions!I28</f>
        <v>12.82</v>
      </c>
      <c r="J7" s="4" t="n">
        <f aca="false">Assumptions!J28</f>
        <v>12.82</v>
      </c>
      <c r="K7" s="4" t="n">
        <f aca="false">Assumptions!K28</f>
        <v>12.82</v>
      </c>
      <c r="L7" s="4" t="n">
        <f aca="false">Assumptions!L28</f>
        <v>12.82</v>
      </c>
    </row>
    <row r="8" customFormat="false" ht="15" hidden="false" customHeight="false" outlineLevel="0" collapsed="false">
      <c r="A8" s="0" t="s">
        <v>67</v>
      </c>
      <c r="C8" s="0" t="n">
        <f aca="false">C6*C7/100</f>
        <v>1734.7743054</v>
      </c>
      <c r="D8" s="0" t="n">
        <f aca="false">D6*D7/100</f>
        <v>1871.153824868</v>
      </c>
      <c r="E8" s="0" t="n">
        <f aca="false">E6*E7/100</f>
        <v>1999.26509153548</v>
      </c>
      <c r="F8" s="0" t="n">
        <f aca="false">F6*F7/100</f>
        <v>2125.93802078998</v>
      </c>
      <c r="G8" s="0" t="n">
        <f aca="false">G6*G7/100</f>
        <v>2249.78393851053</v>
      </c>
      <c r="H8" s="0" t="n">
        <f aca="false">H6*H7/100</f>
        <v>2351.0242157435</v>
      </c>
      <c r="I8" s="0" t="n">
        <f aca="false">I6*I7/100</f>
        <v>2445.06518437324</v>
      </c>
      <c r="J8" s="0" t="n">
        <f aca="false">J6*J7/100</f>
        <v>2530.6424658263</v>
      </c>
      <c r="K8" s="0" t="n">
        <f aca="false">K6*K7/100</f>
        <v>2606.56173980109</v>
      </c>
      <c r="L8" s="0" t="n">
        <f aca="false">L6*L7/100</f>
        <v>2684.75859199513</v>
      </c>
    </row>
    <row r="9" customFormat="false" ht="15" hidden="false" customHeight="false" outlineLevel="0" collapsed="false">
      <c r="A9" s="0" t="s">
        <v>131</v>
      </c>
      <c r="C9" s="4" t="n">
        <f aca="false">Assumptions!C29</f>
        <v>0.8</v>
      </c>
      <c r="D9" s="4" t="n">
        <f aca="false">Assumptions!D29</f>
        <v>0.78</v>
      </c>
      <c r="E9" s="4" t="n">
        <f aca="false">Assumptions!E29</f>
        <v>0.78</v>
      </c>
      <c r="F9" s="4" t="n">
        <f aca="false">Assumptions!F29</f>
        <v>0.78</v>
      </c>
      <c r="G9" s="4" t="n">
        <f aca="false">Assumptions!G29</f>
        <v>0.78</v>
      </c>
      <c r="H9" s="4" t="n">
        <f aca="false">Assumptions!H29</f>
        <v>0.78</v>
      </c>
      <c r="I9" s="4" t="n">
        <f aca="false">Assumptions!I29</f>
        <v>0.78</v>
      </c>
      <c r="J9" s="4" t="n">
        <f aca="false">Assumptions!J29</f>
        <v>0.78</v>
      </c>
      <c r="K9" s="4" t="n">
        <f aca="false">Assumptions!K29</f>
        <v>0.78</v>
      </c>
      <c r="L9" s="4" t="n">
        <f aca="false">Assumptions!L29</f>
        <v>0.78</v>
      </c>
    </row>
    <row r="10" customFormat="false" ht="15" hidden="false" customHeight="false" outlineLevel="0" collapsed="false">
      <c r="A10" s="0" t="s">
        <v>146</v>
      </c>
      <c r="C10" s="0" t="n">
        <f aca="false">-C6*C9/100</f>
        <v>-111.740696</v>
      </c>
      <c r="D10" s="0" t="n">
        <f aca="false">-D6*D9/100</f>
        <v>-116.573481102</v>
      </c>
      <c r="E10" s="0" t="n">
        <f aca="false">-E6*E9/100</f>
        <v>-123.56788996812</v>
      </c>
      <c r="F10" s="0" t="n">
        <f aca="false">-F6*F9/100</f>
        <v>-130.364123916367</v>
      </c>
      <c r="G10" s="0" t="n">
        <f aca="false">-G6*G9/100</f>
        <v>-136.882330112185</v>
      </c>
      <c r="H10" s="0" t="n">
        <f aca="false">-H6*H9/100</f>
        <v>-143.042034967233</v>
      </c>
      <c r="I10" s="0" t="n">
        <f aca="false">-I6*I9/100</f>
        <v>-148.763716365923</v>
      </c>
      <c r="J10" s="0" t="n">
        <f aca="false">-J6*J9/100</f>
        <v>-153.97044643873</v>
      </c>
      <c r="K10" s="0" t="n">
        <f aca="false">-K6*K9/100</f>
        <v>-158.589559831892</v>
      </c>
      <c r="L10" s="0" t="n">
        <f aca="false">-L6*L9/100</f>
        <v>-163.347246626849</v>
      </c>
    </row>
    <row r="11" customFormat="false" ht="15" hidden="false" customHeight="false" outlineLevel="0" collapsed="false">
      <c r="A11" s="0" t="s">
        <v>147</v>
      </c>
      <c r="C11" s="0" t="n">
        <f aca="false">C8+C10+C24</f>
        <v>1623.0336094</v>
      </c>
      <c r="D11" s="0" t="n">
        <f aca="false">D8+D10+D24</f>
        <v>1754.580343766</v>
      </c>
      <c r="E11" s="0" t="n">
        <f aca="false">E8+E10+E24</f>
        <v>1875.69720156736</v>
      </c>
      <c r="F11" s="0" t="n">
        <f aca="false">F8+F10+F24</f>
        <v>1995.57389687361</v>
      </c>
      <c r="G11" s="0" t="n">
        <f aca="false">G8+G10+G24</f>
        <v>2112.90160839834</v>
      </c>
      <c r="H11" s="0" t="n">
        <f aca="false">H8+H10+H24</f>
        <v>2207.98218077627</v>
      </c>
      <c r="I11" s="0" t="n">
        <f aca="false">I8+I10+I24</f>
        <v>2296.30146800732</v>
      </c>
      <c r="J11" s="0" t="n">
        <f aca="false">J8+J10+J24</f>
        <v>2376.67201938757</v>
      </c>
      <c r="K11" s="0" t="n">
        <f aca="false">K8+K10+K24</f>
        <v>2447.9721799692</v>
      </c>
      <c r="L11" s="0" t="n">
        <f aca="false">L8+L10+L24</f>
        <v>2521.41134536828</v>
      </c>
    </row>
    <row r="12" customFormat="false" ht="15" hidden="false" customHeight="false" outlineLevel="0" collapsed="false">
      <c r="A12" s="0" t="s">
        <v>148</v>
      </c>
      <c r="C12" s="4" t="n">
        <f aca="false">-C6*Assumptions!C31/100</f>
        <v>-258.4003595</v>
      </c>
      <c r="D12" s="4" t="n">
        <f aca="false">-D6*Assumptions!D31/100</f>
        <v>-276.488384665</v>
      </c>
      <c r="E12" s="4" t="n">
        <f aca="false">-E6*Assumptions!E31/100</f>
        <v>-293.0776877449</v>
      </c>
      <c r="F12" s="4" t="n">
        <f aca="false">-F6*Assumptions!F31/100</f>
        <v>-309.196960570869</v>
      </c>
      <c r="G12" s="4" t="n">
        <f aca="false">-G6*Assumptions!G31/100</f>
        <v>-324.656808599413</v>
      </c>
      <c r="H12" s="4" t="n">
        <f aca="false">-H6*Assumptions!H31/100</f>
        <v>-339.266364986387</v>
      </c>
      <c r="I12" s="4" t="n">
        <f aca="false">-I6*Assumptions!I31/100</f>
        <v>-352.837019585842</v>
      </c>
      <c r="J12" s="4" t="n">
        <f aca="false">-J6*Assumptions!J31/100</f>
        <v>-365.186315271347</v>
      </c>
      <c r="K12" s="4" t="n">
        <f aca="false">-K6*Assumptions!K31/100</f>
        <v>-376.141904729487</v>
      </c>
      <c r="L12" s="4" t="n">
        <f aca="false">-L6*Assumptions!L31/100</f>
        <v>-387.426161871372</v>
      </c>
    </row>
    <row r="13" customFormat="false" ht="15" hidden="false" customHeight="false" outlineLevel="0" collapsed="false">
      <c r="A13" s="0" t="s">
        <v>149</v>
      </c>
      <c r="C13" s="0" t="n">
        <f aca="false">C11+C12</f>
        <v>1364.6332499</v>
      </c>
      <c r="D13" s="0" t="n">
        <f aca="false">D11+D12</f>
        <v>1478.091959101</v>
      </c>
      <c r="E13" s="0" t="n">
        <f aca="false">E11+E12</f>
        <v>1582.61951382246</v>
      </c>
      <c r="F13" s="0" t="n">
        <f aca="false">F11+F12</f>
        <v>1686.37693630274</v>
      </c>
      <c r="G13" s="0" t="n">
        <f aca="false">G11+G12</f>
        <v>1788.24479979893</v>
      </c>
      <c r="H13" s="0" t="n">
        <f aca="false">H11+H12</f>
        <v>1868.71581578988</v>
      </c>
      <c r="I13" s="0" t="n">
        <f aca="false">I11+I12</f>
        <v>1943.46444842148</v>
      </c>
      <c r="J13" s="0" t="n">
        <f aca="false">J11+J12</f>
        <v>2011.48570411623</v>
      </c>
      <c r="K13" s="0" t="n">
        <f aca="false">K11+K12</f>
        <v>2071.83027523972</v>
      </c>
      <c r="L13" s="0" t="n">
        <f aca="false">L11+L12</f>
        <v>2133.98518349691</v>
      </c>
    </row>
    <row r="14" customFormat="false" ht="15" hidden="false" customHeight="false" outlineLevel="0" collapsed="false">
      <c r="A14" s="0" t="s">
        <v>135</v>
      </c>
      <c r="C14" s="4" t="n">
        <f aca="false">Assumptions!C33</f>
        <v>21</v>
      </c>
      <c r="D14" s="4" t="n">
        <f aca="false">Assumptions!D33</f>
        <v>21</v>
      </c>
      <c r="E14" s="4" t="n">
        <f aca="false">Assumptions!E33</f>
        <v>21</v>
      </c>
      <c r="F14" s="4" t="n">
        <f aca="false">Assumptions!F33</f>
        <v>21</v>
      </c>
      <c r="G14" s="4" t="n">
        <f aca="false">Assumptions!G33</f>
        <v>21</v>
      </c>
      <c r="H14" s="4" t="n">
        <f aca="false">Assumptions!H33</f>
        <v>21</v>
      </c>
      <c r="I14" s="4" t="n">
        <f aca="false">Assumptions!I33</f>
        <v>21</v>
      </c>
      <c r="J14" s="4" t="n">
        <f aca="false">Assumptions!J33</f>
        <v>21</v>
      </c>
      <c r="K14" s="4" t="n">
        <f aca="false">Assumptions!K33</f>
        <v>21</v>
      </c>
      <c r="L14" s="4" t="n">
        <f aca="false">Assumptions!L33</f>
        <v>21</v>
      </c>
    </row>
    <row r="15" customFormat="false" ht="15" hidden="false" customHeight="false" outlineLevel="0" collapsed="false">
      <c r="A15" s="0" t="s">
        <v>150</v>
      </c>
      <c r="C15" s="0" t="n">
        <f aca="false">C13-MAX(0,C13)*C14/100</f>
        <v>1078.060267421</v>
      </c>
      <c r="D15" s="0" t="n">
        <f aca="false">D13-MAX(0,D13)*D14/100</f>
        <v>1167.69264768979</v>
      </c>
      <c r="E15" s="0" t="n">
        <f aca="false">E13-MAX(0,E13)*E14/100</f>
        <v>1250.26941591974</v>
      </c>
      <c r="F15" s="0" t="n">
        <f aca="false">F13-MAX(0,F13)*F14/100</f>
        <v>1332.23777967917</v>
      </c>
      <c r="G15" s="0" t="n">
        <f aca="false">G13-MAX(0,G13)*G14/100</f>
        <v>1412.71339184115</v>
      </c>
      <c r="H15" s="0" t="n">
        <f aca="false">H13-MAX(0,H13)*H14/100</f>
        <v>1476.28549447401</v>
      </c>
      <c r="I15" s="0" t="n">
        <f aca="false">I13-MAX(0,I13)*I14/100</f>
        <v>1535.33691425297</v>
      </c>
      <c r="J15" s="0" t="n">
        <f aca="false">J13-MAX(0,J13)*J14/100</f>
        <v>1589.07370625182</v>
      </c>
      <c r="K15" s="0" t="n">
        <f aca="false">K13-MAX(0,K13)*K14/100</f>
        <v>1636.74591743937</v>
      </c>
      <c r="L15" s="0" t="n">
        <f aca="false">L13-MAX(0,L13)*L14/100</f>
        <v>1685.84829496256</v>
      </c>
    </row>
    <row r="16" customFormat="false" ht="15" hidden="false" customHeight="false" outlineLevel="0" collapsed="false">
      <c r="A16" s="0" t="s">
        <v>151</v>
      </c>
      <c r="C16" s="0" t="n">
        <f aca="false">-C12</f>
        <v>258.4003595</v>
      </c>
      <c r="D16" s="0" t="n">
        <f aca="false">-D12</f>
        <v>276.488384665</v>
      </c>
      <c r="E16" s="0" t="n">
        <f aca="false">-E12</f>
        <v>293.0776877449</v>
      </c>
      <c r="F16" s="0" t="n">
        <f aca="false">-F12</f>
        <v>309.196960570869</v>
      </c>
      <c r="G16" s="0" t="n">
        <f aca="false">-G12</f>
        <v>324.656808599413</v>
      </c>
      <c r="H16" s="0" t="n">
        <f aca="false">-H12</f>
        <v>339.266364986387</v>
      </c>
      <c r="I16" s="0" t="n">
        <f aca="false">-I12</f>
        <v>352.837019585842</v>
      </c>
      <c r="J16" s="0" t="n">
        <f aca="false">-J12</f>
        <v>365.186315271347</v>
      </c>
      <c r="K16" s="0" t="n">
        <f aca="false">-K12</f>
        <v>376.141904729487</v>
      </c>
      <c r="L16" s="0" t="n">
        <f aca="false">-L12</f>
        <v>387.426161871372</v>
      </c>
    </row>
    <row r="17" customFormat="false" ht="15" hidden="false" customHeight="false" outlineLevel="0" collapsed="false">
      <c r="A17" s="0" t="s">
        <v>152</v>
      </c>
      <c r="C17" s="4" t="n">
        <f aca="false">-C6*Assumptions!C32/100</f>
        <v>-258.4003595</v>
      </c>
      <c r="D17" s="4" t="n">
        <f aca="false">-D6*Assumptions!D32/100</f>
        <v>-276.488384665</v>
      </c>
      <c r="E17" s="4" t="n">
        <f aca="false">-E6*Assumptions!E32/100</f>
        <v>-293.0776877449</v>
      </c>
      <c r="F17" s="4" t="n">
        <f aca="false">-F6*Assumptions!F32/100</f>
        <v>-309.196960570869</v>
      </c>
      <c r="G17" s="4" t="n">
        <f aca="false">-G6*Assumptions!G32/100</f>
        <v>-324.656808599413</v>
      </c>
      <c r="H17" s="4" t="n">
        <f aca="false">-H6*Assumptions!H32/100</f>
        <v>-339.266364986387</v>
      </c>
      <c r="I17" s="4" t="n">
        <f aca="false">-I6*Assumptions!I32/100</f>
        <v>-352.837019585842</v>
      </c>
      <c r="J17" s="4" t="n">
        <f aca="false">-J6*Assumptions!J32/100</f>
        <v>-365.186315271347</v>
      </c>
      <c r="K17" s="4" t="n">
        <f aca="false">-K6*Assumptions!K32/100</f>
        <v>-376.141904729487</v>
      </c>
      <c r="L17" s="4" t="n">
        <f aca="false">-L6*Assumptions!L32/100</f>
        <v>-387.426161871372</v>
      </c>
    </row>
    <row r="18" customFormat="false" ht="15" hidden="false" customHeight="false" outlineLevel="0" collapsed="false">
      <c r="A18" s="0" t="s">
        <v>153</v>
      </c>
      <c r="C18" s="4" t="n">
        <f aca="false">(C6-B6)*Assumptions!$B$37/100</f>
        <v>-345.9861</v>
      </c>
      <c r="D18" s="4" t="n">
        <f aca="false">(D6-C6)*Assumptions!$B$37/100</f>
        <v>-293.319327</v>
      </c>
      <c r="E18" s="4" t="n">
        <f aca="false">(E6-D6)*Assumptions!$B$37/100</f>
        <v>-269.01572562</v>
      </c>
      <c r="F18" s="4" t="n">
        <f aca="false">(F6-E6)*Assumptions!$B$37/100</f>
        <v>-261.3936133941</v>
      </c>
      <c r="G18" s="4" t="n">
        <f aca="false">(G6-F6)*Assumptions!$B$37/100</f>
        <v>-250.700238300705</v>
      </c>
      <c r="H18" s="4" t="n">
        <f aca="false">(H6-G6)*Assumptions!$B$37/100</f>
        <v>-236.911725194166</v>
      </c>
      <c r="I18" s="4" t="n">
        <f aca="false">(I6-H6)*Assumptions!$B$37/100</f>
        <v>-220.06466918036</v>
      </c>
      <c r="J18" s="4" t="n">
        <f aca="false">(J6-I6)*Assumptions!$B$37/100</f>
        <v>-200.258848954126</v>
      </c>
      <c r="K18" s="4" t="n">
        <f aca="false">(K6-J6)*Assumptions!$B$37/100</f>
        <v>-177.658207429304</v>
      </c>
      <c r="L18" s="4" t="n">
        <f aca="false">(L6-K6)*Assumptions!$B$37/100</f>
        <v>-182.987953652183</v>
      </c>
    </row>
    <row r="19" customFormat="false" ht="15" hidden="false" customHeight="false" outlineLevel="0" collapsed="false">
      <c r="A19" s="0" t="s">
        <v>154</v>
      </c>
      <c r="C19" s="0" t="n">
        <f aca="false">C15+C16+C17+C18</f>
        <v>732.074167421</v>
      </c>
      <c r="D19" s="0" t="n">
        <f aca="false">D15+D16+D17+D18</f>
        <v>874.37332068979</v>
      </c>
      <c r="E19" s="0" t="n">
        <f aca="false">E15+E16+E17+E18</f>
        <v>981.253690299743</v>
      </c>
      <c r="F19" s="0" t="n">
        <f aca="false">F15+F16+F17+F18</f>
        <v>1070.84416628507</v>
      </c>
      <c r="G19" s="0" t="n">
        <f aca="false">G15+G16+G17+G18</f>
        <v>1162.01315354045</v>
      </c>
      <c r="H19" s="0" t="n">
        <f aca="false">H15+H16+H17+H18</f>
        <v>1239.37376927984</v>
      </c>
      <c r="I19" s="0" t="n">
        <f aca="false">I15+I16+I17+I18</f>
        <v>1315.27224507261</v>
      </c>
      <c r="J19" s="0" t="n">
        <f aca="false">J15+J16+J17+J18</f>
        <v>1388.81485729769</v>
      </c>
      <c r="K19" s="0" t="n">
        <f aca="false">K15+K16+K17+K18</f>
        <v>1459.08771001007</v>
      </c>
      <c r="L19" s="0" t="n">
        <f aca="false">L15+L16+L17+L18</f>
        <v>1502.86034131037</v>
      </c>
    </row>
    <row r="20" customFormat="false" ht="15" hidden="false" customHeight="false" outlineLevel="0" collapsed="false">
      <c r="A20" s="0" t="s">
        <v>155</v>
      </c>
      <c r="C20" s="0" t="n">
        <f aca="false">1/(1+$B$27/100)^C4</f>
        <v>0.91743119266055</v>
      </c>
      <c r="D20" s="0" t="n">
        <f aca="false">1/(1+$B$27/100)^D4</f>
        <v>0.84167999326656</v>
      </c>
      <c r="E20" s="0" t="n">
        <f aca="false">1/(1+$B$27/100)^E4</f>
        <v>0.772183480061064</v>
      </c>
      <c r="F20" s="0" t="n">
        <f aca="false">1/(1+$B$27/100)^F4</f>
        <v>0.708425211065196</v>
      </c>
      <c r="G20" s="0" t="n">
        <f aca="false">1/(1+$B$27/100)^G4</f>
        <v>0.649931386298345</v>
      </c>
      <c r="H20" s="0" t="n">
        <f aca="false">1/(1+$B$27/100)^H4</f>
        <v>0.596267326879216</v>
      </c>
      <c r="I20" s="0" t="n">
        <f aca="false">1/(1+$B$27/100)^I4</f>
        <v>0.547034244843317</v>
      </c>
      <c r="J20" s="0" t="n">
        <f aca="false">1/(1+$B$27/100)^J4</f>
        <v>0.501866279672768</v>
      </c>
      <c r="K20" s="0" t="n">
        <f aca="false">1/(1+$B$27/100)^K4</f>
        <v>0.460427779516301</v>
      </c>
      <c r="L20" s="0" t="n">
        <f aca="false">1/(1+$B$27/100)^L4</f>
        <v>0.422410806895689</v>
      </c>
    </row>
    <row r="21" customFormat="false" ht="15" hidden="false" customHeight="false" outlineLevel="0" collapsed="false">
      <c r="A21" s="0" t="s">
        <v>156</v>
      </c>
      <c r="C21" s="0" t="n">
        <f aca="false">C19*C20</f>
        <v>671.627676533027</v>
      </c>
      <c r="D21" s="0" t="n">
        <f aca="false">D19*D20</f>
        <v>735.942530670642</v>
      </c>
      <c r="E21" s="0" t="n">
        <f aca="false">E19*E20</f>
        <v>757.707889398417</v>
      </c>
      <c r="F21" s="0" t="n">
        <f aca="false">F19*F20</f>
        <v>758.613004518433</v>
      </c>
      <c r="G21" s="0" t="n">
        <f aca="false">G19*G20</f>
        <v>755.228819777456</v>
      </c>
      <c r="H21" s="0" t="n">
        <f aca="false">H19*H20</f>
        <v>738.998084412708</v>
      </c>
      <c r="I21" s="0" t="n">
        <f aca="false">I19*I20</f>
        <v>719.498959346668</v>
      </c>
      <c r="J21" s="0" t="n">
        <f aca="false">J19*J20</f>
        <v>696.99934558626</v>
      </c>
      <c r="K21" s="0" t="n">
        <f aca="false">K19*K20</f>
        <v>671.804514439461</v>
      </c>
      <c r="L21" s="0" t="n">
        <f aca="false">L19*L20</f>
        <v>634.824449424445</v>
      </c>
    </row>
    <row r="23" customFormat="false" ht="15" hidden="false" customHeight="false" outlineLevel="0" collapsed="false">
      <c r="A23" s="0" t="s">
        <v>132</v>
      </c>
      <c r="C23" s="4" t="n">
        <f aca="false">Assumptions!C30</f>
        <v>0</v>
      </c>
      <c r="D23" s="4" t="n">
        <f aca="false">Assumptions!D30</f>
        <v>0</v>
      </c>
      <c r="E23" s="4" t="n">
        <f aca="false">Assumptions!E30</f>
        <v>0</v>
      </c>
      <c r="F23" s="4" t="n">
        <f aca="false">Assumptions!F30</f>
        <v>0</v>
      </c>
      <c r="G23" s="4" t="n">
        <f aca="false">Assumptions!G30</f>
        <v>0</v>
      </c>
      <c r="H23" s="4" t="n">
        <f aca="false">Assumptions!H30</f>
        <v>0</v>
      </c>
      <c r="I23" s="4" t="n">
        <f aca="false">Assumptions!I30</f>
        <v>0</v>
      </c>
      <c r="J23" s="4" t="n">
        <f aca="false">Assumptions!J30</f>
        <v>0</v>
      </c>
      <c r="K23" s="4" t="n">
        <f aca="false">Assumptions!K30</f>
        <v>0</v>
      </c>
      <c r="L23" s="4" t="n">
        <f aca="false">Assumptions!L30</f>
        <v>0</v>
      </c>
    </row>
    <row r="24" customFormat="false" ht="15" hidden="false" customHeight="false" outlineLevel="0" collapsed="false">
      <c r="A24" s="0" t="s">
        <v>157</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158</v>
      </c>
    </row>
    <row r="27" customFormat="false" ht="15" hidden="false" customHeight="false" outlineLevel="0" collapsed="false">
      <c r="A27" s="0" t="s">
        <v>136</v>
      </c>
      <c r="B27" s="4" t="n">
        <f aca="false">Assumptions!$B$34</f>
        <v>9</v>
      </c>
    </row>
    <row r="28" customFormat="false" ht="15" hidden="false" customHeight="false" outlineLevel="0" collapsed="false">
      <c r="A28" s="0" t="s">
        <v>137</v>
      </c>
      <c r="B28" s="4" t="n">
        <f aca="false">Assumptions!$B$35</f>
        <v>3</v>
      </c>
    </row>
    <row r="29" customFormat="false" ht="15" hidden="false" customHeight="false" outlineLevel="0" collapsed="false">
      <c r="A29" s="0" t="s">
        <v>138</v>
      </c>
      <c r="B29" s="4" t="n">
        <f aca="false">Assumptions!$B$36</f>
        <v>15</v>
      </c>
    </row>
    <row r="30" customFormat="false" ht="15" hidden="false" customHeight="false" outlineLevel="0" collapsed="false">
      <c r="A30" s="0" t="s">
        <v>159</v>
      </c>
      <c r="B30" s="0" t="n">
        <f aca="false">SUM(C21:L21)</f>
        <v>7141.24527410752</v>
      </c>
    </row>
    <row r="31" customFormat="false" ht="15" hidden="false" customHeight="false" outlineLevel="0" collapsed="false">
      <c r="A31" s="0" t="s">
        <v>160</v>
      </c>
      <c r="B31" s="0" t="n">
        <f aca="false">L19</f>
        <v>1502.86034131037</v>
      </c>
    </row>
    <row r="32" customFormat="false" ht="15" hidden="false" customHeight="false" outlineLevel="0" collapsed="false">
      <c r="A32" s="0" t="s">
        <v>161</v>
      </c>
      <c r="B32" s="0" t="n">
        <f aca="false">IF(B27&gt;B28,B31*(1+B28/100)/((B27-B28)/100),B31*B29)</f>
        <v>25799.1025258281</v>
      </c>
    </row>
    <row r="33" customFormat="false" ht="15" hidden="false" customHeight="false" outlineLevel="0" collapsed="false">
      <c r="A33" s="0" t="s">
        <v>162</v>
      </c>
      <c r="B33" s="0" t="n">
        <f aca="false">B31*B29</f>
        <v>22542.9051196556</v>
      </c>
    </row>
    <row r="34" customFormat="false" ht="15" hidden="false" customHeight="false" outlineLevel="0" collapsed="false">
      <c r="A34" s="0" t="s">
        <v>163</v>
      </c>
      <c r="B34" s="0" t="n">
        <f aca="false">MAX(0,MIN(B32,B33))</f>
        <v>22542.9051196556</v>
      </c>
    </row>
    <row r="35" customFormat="false" ht="15" hidden="false" customHeight="false" outlineLevel="0" collapsed="false">
      <c r="A35" s="0" t="s">
        <v>164</v>
      </c>
      <c r="B35" s="0" t="n">
        <f aca="false">B34/(1+B27/100)^L4</f>
        <v>9522.36674136667</v>
      </c>
    </row>
    <row r="36" customFormat="false" ht="15" hidden="false" customHeight="false" outlineLevel="0" collapsed="false">
      <c r="A36" s="0" t="s">
        <v>165</v>
      </c>
      <c r="B36" s="0" t="n">
        <f aca="false">B30+B35</f>
        <v>16663.6120154742</v>
      </c>
    </row>
    <row r="37" customFormat="false" ht="15" hidden="false" customHeight="false" outlineLevel="0" collapsed="false">
      <c r="A37" s="0" t="s">
        <v>166</v>
      </c>
      <c r="B37" s="0" t="n">
        <f aca="false">B36+Assumptions!$B$5-Assumptions!$B$4</f>
        <v>16663.6120154742</v>
      </c>
    </row>
    <row r="38" customFormat="false" ht="15" hidden="false" customHeight="false" outlineLevel="0" collapsed="false">
      <c r="A38" s="0" t="s">
        <v>167</v>
      </c>
      <c r="B38" s="0" t="n">
        <f aca="false">B37/Assumptions!$B$3*Assumptions!$B$10</f>
        <v>334.61068304165</v>
      </c>
    </row>
    <row r="39" customFormat="false" ht="15" hidden="false" customHeight="false" outlineLevel="0" collapsed="false">
      <c r="A39" s="0" t="s">
        <v>168</v>
      </c>
      <c r="B39" s="4" t="n">
        <f aca="false">B38/Assumptions!$B$2-1</f>
        <v>0.277822817695144</v>
      </c>
    </row>
    <row r="41" customFormat="false" ht="15" hidden="false" customHeight="false" outlineLevel="0" collapsed="false">
      <c r="A41" s="0" t="s">
        <v>169</v>
      </c>
      <c r="B41" s="0" t="n">
        <f aca="false">SUMPRODUCT(-C10:L10/(1+$B$27/100)^C4:L4)</f>
        <v>863.327799995774</v>
      </c>
    </row>
    <row r="42" customFormat="false" ht="15" hidden="false" customHeight="false" outlineLevel="0" collapsed="false">
      <c r="A42" s="0" t="s">
        <v>170</v>
      </c>
      <c r="B42" s="0" t="n">
        <f aca="false">IF(B27&gt;B28,-L10*(1+B28/100)/((B27-B28)/100),-L10*20)/(1+B27/100)^L4</f>
        <v>1184.49385865652</v>
      </c>
    </row>
    <row r="43" customFormat="false" ht="15" hidden="false" customHeight="false" outlineLevel="0" collapsed="false">
      <c r="A43" s="0" t="s">
        <v>171</v>
      </c>
      <c r="B43" s="0" t="n">
        <f aca="false">(B37+B41+B42)/Assumptions!$B$3*Assumptions!$B$10</f>
        <v>375.731599882058</v>
      </c>
    </row>
    <row r="45" customFormat="false" ht="15" hidden="false" customHeight="false" outlineLevel="0" collapsed="false">
      <c r="A45" s="0" t="s">
        <v>112</v>
      </c>
      <c r="B45" s="4" t="n">
        <f aca="false">Assumptions!$B$6</f>
        <v>15</v>
      </c>
    </row>
    <row r="46" customFormat="false" ht="15" hidden="false" customHeight="false" outlineLevel="0" collapsed="false">
      <c r="A46" s="0" t="s">
        <v>172</v>
      </c>
      <c r="B46" s="0" t="n">
        <f aca="false">MAX(0,MIN(IF(B45&gt;B28,B31*(1+B28/100)/((B45-B28)/100),B31*B29),B31*B29))</f>
        <v>12899.551262914</v>
      </c>
    </row>
    <row r="47" customFormat="false" ht="15" hidden="false" customHeight="false" outlineLevel="0" collapsed="false">
      <c r="A47" s="0" t="s">
        <v>173</v>
      </c>
      <c r="B47" s="0" t="n">
        <f aca="false">(SUMPRODUCT(C19:L19/(1+B45/100)^C4:L4)+B46/(1+B45/100)^L4+Assumptions!$B$5-Assumptions!$B$4)/Assumptions!$B$3*Assumptions!$B$10</f>
        <v>172.530393446951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2"/>
  </cols>
  <sheetData>
    <row r="1" customFormat="false" ht="15" hidden="false" customHeight="false" outlineLevel="0" collapsed="false">
      <c r="A1" s="2" t="s">
        <v>175</v>
      </c>
    </row>
    <row r="3" customFormat="false" ht="15" hidden="false" customHeight="false" outlineLevel="0" collapsed="false">
      <c r="A3" s="0" t="s">
        <v>144</v>
      </c>
      <c r="B3" s="0" t="s">
        <v>106</v>
      </c>
      <c r="C3" s="2" t="s">
        <v>119</v>
      </c>
      <c r="D3" s="2" t="s">
        <v>120</v>
      </c>
      <c r="E3" s="2" t="s">
        <v>121</v>
      </c>
      <c r="F3" s="2" t="s">
        <v>122</v>
      </c>
      <c r="G3" s="2" t="s">
        <v>123</v>
      </c>
      <c r="H3" s="2" t="s">
        <v>124</v>
      </c>
      <c r="I3" s="2" t="s">
        <v>125</v>
      </c>
      <c r="J3" s="2" t="s">
        <v>126</v>
      </c>
      <c r="K3" s="2" t="s">
        <v>127</v>
      </c>
      <c r="L3" s="2" t="s">
        <v>128</v>
      </c>
    </row>
    <row r="4" customFormat="false" ht="15" hidden="false" customHeight="false" outlineLevel="0" collapsed="false">
      <c r="A4" s="0" t="s">
        <v>145</v>
      </c>
      <c r="B4" s="0" t="n">
        <v>0</v>
      </c>
      <c r="C4" s="0" t="n">
        <f aca="false">B4+1</f>
        <v>1</v>
      </c>
      <c r="D4" s="0" t="n">
        <f aca="false">C4+1</f>
        <v>2</v>
      </c>
      <c r="E4" s="0" t="n">
        <f aca="false">D4+1</f>
        <v>3</v>
      </c>
      <c r="F4" s="0" t="n">
        <f aca="false">E4+1</f>
        <v>4</v>
      </c>
      <c r="G4" s="0" t="n">
        <f aca="false">F4+1</f>
        <v>5</v>
      </c>
      <c r="H4" s="0" t="n">
        <f aca="false">G4+1</f>
        <v>6</v>
      </c>
      <c r="I4" s="0" t="n">
        <f aca="false">H4+1</f>
        <v>7</v>
      </c>
      <c r="J4" s="0" t="n">
        <f aca="false">I4+1</f>
        <v>8</v>
      </c>
      <c r="K4" s="0" t="n">
        <f aca="false">J4+1</f>
        <v>9</v>
      </c>
      <c r="L4" s="0" t="n">
        <f aca="false">K4+1</f>
        <v>10</v>
      </c>
    </row>
    <row r="5" customFormat="false" ht="15" hidden="false" customHeight="false" outlineLevel="0" collapsed="false">
      <c r="A5" s="0" t="s">
        <v>129</v>
      </c>
      <c r="C5" s="4" t="n">
        <f aca="false">Assumptions!C41</f>
        <v>10.5</v>
      </c>
      <c r="D5" s="4" t="n">
        <f aca="false">Assumptions!D41</f>
        <v>9</v>
      </c>
      <c r="E5" s="4" t="n">
        <f aca="false">Assumptions!E41</f>
        <v>8</v>
      </c>
      <c r="F5" s="4" t="n">
        <f aca="false">Assumptions!F41</f>
        <v>7</v>
      </c>
      <c r="G5" s="4" t="n">
        <f aca="false">Assumptions!G41</f>
        <v>6.5</v>
      </c>
      <c r="H5" s="4" t="n">
        <f aca="false">Assumptions!H41</f>
        <v>5.5</v>
      </c>
      <c r="I5" s="4" t="n">
        <f aca="false">Assumptions!I41</f>
        <v>5</v>
      </c>
      <c r="J5" s="4" t="n">
        <f aca="false">Assumptions!J41</f>
        <v>4.5</v>
      </c>
      <c r="K5" s="4" t="n">
        <f aca="false">Assumptions!K41</f>
        <v>4</v>
      </c>
      <c r="L5" s="4" t="n">
        <f aca="false">Assumptions!L41</f>
        <v>3.5</v>
      </c>
    </row>
    <row r="6" customFormat="false" ht="15" hidden="false" customHeight="false" outlineLevel="0" collapsed="false">
      <c r="A6" s="0" t="s">
        <v>61</v>
      </c>
      <c r="B6" s="3" t="n">
        <v>12814.3</v>
      </c>
      <c r="C6" s="0" t="n">
        <f aca="false">B6*(1+C5/100)</f>
        <v>14159.8015</v>
      </c>
      <c r="D6" s="0" t="n">
        <f aca="false">C6*(1+D5/100)</f>
        <v>15434.183635</v>
      </c>
      <c r="E6" s="0" t="n">
        <f aca="false">D6*(1+E5/100)</f>
        <v>16668.9183258</v>
      </c>
      <c r="F6" s="0" t="n">
        <f aca="false">E6*(1+F5/100)</f>
        <v>17835.742608606</v>
      </c>
      <c r="G6" s="0" t="n">
        <f aca="false">F6*(1+G5/100)</f>
        <v>18995.0658781654</v>
      </c>
      <c r="H6" s="0" t="n">
        <f aca="false">G6*(1+H5/100)</f>
        <v>20039.7945014645</v>
      </c>
      <c r="I6" s="0" t="n">
        <f aca="false">H6*(1+I5/100)</f>
        <v>21041.7842265377</v>
      </c>
      <c r="J6" s="0" t="n">
        <f aca="false">I6*(1+J5/100)</f>
        <v>21988.6645167319</v>
      </c>
      <c r="K6" s="0" t="n">
        <f aca="false">J6*(1+K5/100)</f>
        <v>22868.2110974012</v>
      </c>
      <c r="L6" s="0" t="n">
        <f aca="false">K6*(1+L5/100)</f>
        <v>23668.5984858102</v>
      </c>
    </row>
    <row r="7" customFormat="false" ht="15" hidden="false" customHeight="false" outlineLevel="0" collapsed="false">
      <c r="A7" s="0" t="s">
        <v>130</v>
      </c>
      <c r="C7" s="4" t="n">
        <f aca="false">Assumptions!C42</f>
        <v>12.82</v>
      </c>
      <c r="D7" s="4" t="n">
        <f aca="false">Assumptions!D42</f>
        <v>13.12</v>
      </c>
      <c r="E7" s="4" t="n">
        <f aca="false">Assumptions!E42</f>
        <v>13.42</v>
      </c>
      <c r="F7" s="4" t="n">
        <f aca="false">Assumptions!F42</f>
        <v>13.72</v>
      </c>
      <c r="G7" s="4" t="n">
        <f aca="false">Assumptions!G42</f>
        <v>13.92</v>
      </c>
      <c r="H7" s="4" t="n">
        <f aca="false">Assumptions!H42</f>
        <v>14.02</v>
      </c>
      <c r="I7" s="4" t="n">
        <f aca="false">Assumptions!I42</f>
        <v>14.02</v>
      </c>
      <c r="J7" s="4" t="n">
        <f aca="false">Assumptions!J42</f>
        <v>14.02</v>
      </c>
      <c r="K7" s="4" t="n">
        <f aca="false">Assumptions!K42</f>
        <v>14.02</v>
      </c>
      <c r="L7" s="4" t="n">
        <f aca="false">Assumptions!L42</f>
        <v>14.02</v>
      </c>
    </row>
    <row r="8" customFormat="false" ht="15" hidden="false" customHeight="false" outlineLevel="0" collapsed="false">
      <c r="A8" s="0" t="s">
        <v>67</v>
      </c>
      <c r="C8" s="0" t="n">
        <f aca="false">C6*C7/100</f>
        <v>1815.2865523</v>
      </c>
      <c r="D8" s="0" t="n">
        <f aca="false">D6*D7/100</f>
        <v>2024.964892912</v>
      </c>
      <c r="E8" s="0" t="n">
        <f aca="false">E6*E7/100</f>
        <v>2236.96883932236</v>
      </c>
      <c r="F8" s="0" t="n">
        <f aca="false">F6*F7/100</f>
        <v>2447.06388590074</v>
      </c>
      <c r="G8" s="0" t="n">
        <f aca="false">G6*G7/100</f>
        <v>2644.11317024062</v>
      </c>
      <c r="H8" s="0" t="n">
        <f aca="false">H6*H7/100</f>
        <v>2809.57918910532</v>
      </c>
      <c r="I8" s="0" t="n">
        <f aca="false">I6*I7/100</f>
        <v>2950.05814856059</v>
      </c>
      <c r="J8" s="0" t="n">
        <f aca="false">J6*J7/100</f>
        <v>3082.81076524581</v>
      </c>
      <c r="K8" s="0" t="n">
        <f aca="false">K6*K7/100</f>
        <v>3206.12319585565</v>
      </c>
      <c r="L8" s="0" t="n">
        <f aca="false">L6*L7/100</f>
        <v>3318.33750771059</v>
      </c>
    </row>
    <row r="9" customFormat="false" ht="15" hidden="false" customHeight="false" outlineLevel="0" collapsed="false">
      <c r="A9" s="0" t="s">
        <v>131</v>
      </c>
      <c r="C9" s="4" t="n">
        <f aca="false">Assumptions!C43</f>
        <v>0.8</v>
      </c>
      <c r="D9" s="4" t="n">
        <f aca="false">Assumptions!D43</f>
        <v>0.78</v>
      </c>
      <c r="E9" s="4" t="n">
        <f aca="false">Assumptions!E43</f>
        <v>0.78</v>
      </c>
      <c r="F9" s="4" t="n">
        <f aca="false">Assumptions!F43</f>
        <v>0.78</v>
      </c>
      <c r="G9" s="4" t="n">
        <f aca="false">Assumptions!G43</f>
        <v>0.78</v>
      </c>
      <c r="H9" s="4" t="n">
        <f aca="false">Assumptions!H43</f>
        <v>0.78</v>
      </c>
      <c r="I9" s="4" t="n">
        <f aca="false">Assumptions!I43</f>
        <v>0.78</v>
      </c>
      <c r="J9" s="4" t="n">
        <f aca="false">Assumptions!J43</f>
        <v>0.78</v>
      </c>
      <c r="K9" s="4" t="n">
        <f aca="false">Assumptions!K43</f>
        <v>0.78</v>
      </c>
      <c r="L9" s="4" t="n">
        <f aca="false">Assumptions!L43</f>
        <v>0.78</v>
      </c>
    </row>
    <row r="10" customFormat="false" ht="15" hidden="false" customHeight="false" outlineLevel="0" collapsed="false">
      <c r="A10" s="0" t="s">
        <v>146</v>
      </c>
      <c r="C10" s="0" t="n">
        <f aca="false">-C6*C9/100</f>
        <v>-113.278412</v>
      </c>
      <c r="D10" s="0" t="n">
        <f aca="false">-D6*D9/100</f>
        <v>-120.386632353</v>
      </c>
      <c r="E10" s="0" t="n">
        <f aca="false">-E6*E9/100</f>
        <v>-130.01756294124</v>
      </c>
      <c r="F10" s="0" t="n">
        <f aca="false">-F6*F9/100</f>
        <v>-139.118792347127</v>
      </c>
      <c r="G10" s="0" t="n">
        <f aca="false">-G6*G9/100</f>
        <v>-148.16151384969</v>
      </c>
      <c r="H10" s="0" t="n">
        <f aca="false">-H6*H9/100</f>
        <v>-156.310397111423</v>
      </c>
      <c r="I10" s="0" t="n">
        <f aca="false">-I6*I9/100</f>
        <v>-164.125916966994</v>
      </c>
      <c r="J10" s="0" t="n">
        <f aca="false">-J6*J9/100</f>
        <v>-171.511583230509</v>
      </c>
      <c r="K10" s="0" t="n">
        <f aca="false">-K6*K9/100</f>
        <v>-178.372046559729</v>
      </c>
      <c r="L10" s="0" t="n">
        <f aca="false">-L6*L9/100</f>
        <v>-184.61506818932</v>
      </c>
    </row>
    <row r="11" customFormat="false" ht="15" hidden="false" customHeight="false" outlineLevel="0" collapsed="false">
      <c r="A11" s="0" t="s">
        <v>147</v>
      </c>
      <c r="C11" s="0" t="n">
        <f aca="false">C8+C10+C24</f>
        <v>1702.0081403</v>
      </c>
      <c r="D11" s="0" t="n">
        <f aca="false">D8+D10+D24</f>
        <v>1904.578260559</v>
      </c>
      <c r="E11" s="0" t="n">
        <f aca="false">E8+E10+E24</f>
        <v>2106.95127638112</v>
      </c>
      <c r="F11" s="0" t="n">
        <f aca="false">F8+F10+F24</f>
        <v>2307.94509355362</v>
      </c>
      <c r="G11" s="0" t="n">
        <f aca="false">G8+G10+G24</f>
        <v>2495.95165639093</v>
      </c>
      <c r="H11" s="0" t="n">
        <f aca="false">H8+H10+H24</f>
        <v>2653.2687919939</v>
      </c>
      <c r="I11" s="0" t="n">
        <f aca="false">I8+I10+I24</f>
        <v>2785.93223159359</v>
      </c>
      <c r="J11" s="0" t="n">
        <f aca="false">J8+J10+J24</f>
        <v>2911.29918201531</v>
      </c>
      <c r="K11" s="0" t="n">
        <f aca="false">K8+K10+K24</f>
        <v>3027.75114929592</v>
      </c>
      <c r="L11" s="0" t="n">
        <f aca="false">L8+L10+L24</f>
        <v>3133.72243952127</v>
      </c>
    </row>
    <row r="12" customFormat="false" ht="15" hidden="false" customHeight="false" outlineLevel="0" collapsed="false">
      <c r="A12" s="0" t="s">
        <v>148</v>
      </c>
      <c r="C12" s="4" t="n">
        <f aca="false">-C6*Assumptions!C45/100</f>
        <v>-261.95632775</v>
      </c>
      <c r="D12" s="4" t="n">
        <f aca="false">-D6*Assumptions!D45/100</f>
        <v>-285.5323972475</v>
      </c>
      <c r="E12" s="4" t="n">
        <f aca="false">-E6*Assumptions!E45/100</f>
        <v>-308.3749890273</v>
      </c>
      <c r="F12" s="4" t="n">
        <f aca="false">-F6*Assumptions!F45/100</f>
        <v>-329.961238259211</v>
      </c>
      <c r="G12" s="4" t="n">
        <f aca="false">-G6*Assumptions!G45/100</f>
        <v>-351.40871874606</v>
      </c>
      <c r="H12" s="4" t="n">
        <f aca="false">-H6*Assumptions!H45/100</f>
        <v>-370.736198277093</v>
      </c>
      <c r="I12" s="4" t="n">
        <f aca="false">-I6*Assumptions!I45/100</f>
        <v>-389.273008190948</v>
      </c>
      <c r="J12" s="4" t="n">
        <f aca="false">-J6*Assumptions!J45/100</f>
        <v>-406.79029355954</v>
      </c>
      <c r="K12" s="4" t="n">
        <f aca="false">-K6*Assumptions!K45/100</f>
        <v>-423.061905301922</v>
      </c>
      <c r="L12" s="4" t="n">
        <f aca="false">-L6*Assumptions!L45/100</f>
        <v>-437.869071987489</v>
      </c>
    </row>
    <row r="13" customFormat="false" ht="15" hidden="false" customHeight="false" outlineLevel="0" collapsed="false">
      <c r="A13" s="0" t="s">
        <v>149</v>
      </c>
      <c r="C13" s="0" t="n">
        <f aca="false">C11+C12</f>
        <v>1440.05181255</v>
      </c>
      <c r="D13" s="0" t="n">
        <f aca="false">D11+D12</f>
        <v>1619.0458633115</v>
      </c>
      <c r="E13" s="0" t="n">
        <f aca="false">E11+E12</f>
        <v>1798.57628735382</v>
      </c>
      <c r="F13" s="0" t="n">
        <f aca="false">F11+F12</f>
        <v>1977.98385529441</v>
      </c>
      <c r="G13" s="0" t="n">
        <f aca="false">G11+G12</f>
        <v>2144.54293764487</v>
      </c>
      <c r="H13" s="0" t="n">
        <f aca="false">H11+H12</f>
        <v>2282.53259371681</v>
      </c>
      <c r="I13" s="0" t="n">
        <f aca="false">I11+I12</f>
        <v>2396.65922340265</v>
      </c>
      <c r="J13" s="0" t="n">
        <f aca="false">J11+J12</f>
        <v>2504.50888845577</v>
      </c>
      <c r="K13" s="0" t="n">
        <f aca="false">K11+K12</f>
        <v>2604.689243994</v>
      </c>
      <c r="L13" s="0" t="n">
        <f aca="false">L11+L12</f>
        <v>2695.85336753379</v>
      </c>
    </row>
    <row r="14" customFormat="false" ht="15" hidden="false" customHeight="false" outlineLevel="0" collapsed="false">
      <c r="A14" s="0" t="s">
        <v>135</v>
      </c>
      <c r="C14" s="4" t="n">
        <f aca="false">Assumptions!C47</f>
        <v>21</v>
      </c>
      <c r="D14" s="4" t="n">
        <f aca="false">Assumptions!D47</f>
        <v>21</v>
      </c>
      <c r="E14" s="4" t="n">
        <f aca="false">Assumptions!E47</f>
        <v>21</v>
      </c>
      <c r="F14" s="4" t="n">
        <f aca="false">Assumptions!F47</f>
        <v>21</v>
      </c>
      <c r="G14" s="4" t="n">
        <f aca="false">Assumptions!G47</f>
        <v>21</v>
      </c>
      <c r="H14" s="4" t="n">
        <f aca="false">Assumptions!H47</f>
        <v>21</v>
      </c>
      <c r="I14" s="4" t="n">
        <f aca="false">Assumptions!I47</f>
        <v>21</v>
      </c>
      <c r="J14" s="4" t="n">
        <f aca="false">Assumptions!J47</f>
        <v>21</v>
      </c>
      <c r="K14" s="4" t="n">
        <f aca="false">Assumptions!K47</f>
        <v>21</v>
      </c>
      <c r="L14" s="4" t="n">
        <f aca="false">Assumptions!L47</f>
        <v>21</v>
      </c>
    </row>
    <row r="15" customFormat="false" ht="15" hidden="false" customHeight="false" outlineLevel="0" collapsed="false">
      <c r="A15" s="0" t="s">
        <v>150</v>
      </c>
      <c r="C15" s="0" t="n">
        <f aca="false">C13-MAX(0,C13)*C14/100</f>
        <v>1137.6409319145</v>
      </c>
      <c r="D15" s="0" t="n">
        <f aca="false">D13-MAX(0,D13)*D14/100</f>
        <v>1279.04623201609</v>
      </c>
      <c r="E15" s="0" t="n">
        <f aca="false">E13-MAX(0,E13)*E14/100</f>
        <v>1420.87526700952</v>
      </c>
      <c r="F15" s="0" t="n">
        <f aca="false">F13-MAX(0,F13)*F14/100</f>
        <v>1562.60724568258</v>
      </c>
      <c r="G15" s="0" t="n">
        <f aca="false">G13-MAX(0,G13)*G14/100</f>
        <v>1694.18892073945</v>
      </c>
      <c r="H15" s="0" t="n">
        <f aca="false">H13-MAX(0,H13)*H14/100</f>
        <v>1803.20074903628</v>
      </c>
      <c r="I15" s="0" t="n">
        <f aca="false">I13-MAX(0,I13)*I14/100</f>
        <v>1893.36078648809</v>
      </c>
      <c r="J15" s="0" t="n">
        <f aca="false">J13-MAX(0,J13)*J14/100</f>
        <v>1978.56202188005</v>
      </c>
      <c r="K15" s="0" t="n">
        <f aca="false">K13-MAX(0,K13)*K14/100</f>
        <v>2057.70450275526</v>
      </c>
      <c r="L15" s="0" t="n">
        <f aca="false">L13-MAX(0,L13)*L14/100</f>
        <v>2129.72416035169</v>
      </c>
    </row>
    <row r="16" customFormat="false" ht="15" hidden="false" customHeight="false" outlineLevel="0" collapsed="false">
      <c r="A16" s="0" t="s">
        <v>151</v>
      </c>
      <c r="C16" s="0" t="n">
        <f aca="false">-C12</f>
        <v>261.95632775</v>
      </c>
      <c r="D16" s="0" t="n">
        <f aca="false">-D12</f>
        <v>285.5323972475</v>
      </c>
      <c r="E16" s="0" t="n">
        <f aca="false">-E12</f>
        <v>308.3749890273</v>
      </c>
      <c r="F16" s="0" t="n">
        <f aca="false">-F12</f>
        <v>329.961238259211</v>
      </c>
      <c r="G16" s="0" t="n">
        <f aca="false">-G12</f>
        <v>351.40871874606</v>
      </c>
      <c r="H16" s="0" t="n">
        <f aca="false">-H12</f>
        <v>370.736198277093</v>
      </c>
      <c r="I16" s="0" t="n">
        <f aca="false">-I12</f>
        <v>389.273008190948</v>
      </c>
      <c r="J16" s="0" t="n">
        <f aca="false">-J12</f>
        <v>406.79029355954</v>
      </c>
      <c r="K16" s="0" t="n">
        <f aca="false">-K12</f>
        <v>423.061905301922</v>
      </c>
      <c r="L16" s="0" t="n">
        <f aca="false">-L12</f>
        <v>437.869071987489</v>
      </c>
    </row>
    <row r="17" customFormat="false" ht="15" hidden="false" customHeight="false" outlineLevel="0" collapsed="false">
      <c r="A17" s="0" t="s">
        <v>152</v>
      </c>
      <c r="C17" s="4" t="n">
        <f aca="false">-C6*Assumptions!C46/100</f>
        <v>-261.95632775</v>
      </c>
      <c r="D17" s="4" t="n">
        <f aca="false">-D6*Assumptions!D46/100</f>
        <v>-285.5323972475</v>
      </c>
      <c r="E17" s="4" t="n">
        <f aca="false">-E6*Assumptions!E46/100</f>
        <v>-308.3749890273</v>
      </c>
      <c r="F17" s="4" t="n">
        <f aca="false">-F6*Assumptions!F46/100</f>
        <v>-329.961238259211</v>
      </c>
      <c r="G17" s="4" t="n">
        <f aca="false">-G6*Assumptions!G46/100</f>
        <v>-351.40871874606</v>
      </c>
      <c r="H17" s="4" t="n">
        <f aca="false">-H6*Assumptions!H46/100</f>
        <v>-370.736198277093</v>
      </c>
      <c r="I17" s="4" t="n">
        <f aca="false">-I6*Assumptions!I46/100</f>
        <v>-389.273008190948</v>
      </c>
      <c r="J17" s="4" t="n">
        <f aca="false">-J6*Assumptions!J46/100</f>
        <v>-406.79029355954</v>
      </c>
      <c r="K17" s="4" t="n">
        <f aca="false">-K6*Assumptions!K46/100</f>
        <v>-423.061905301922</v>
      </c>
      <c r="L17" s="4" t="n">
        <f aca="false">-L6*Assumptions!L46/100</f>
        <v>-437.869071987489</v>
      </c>
    </row>
    <row r="18" customFormat="false" ht="15" hidden="false" customHeight="false" outlineLevel="0" collapsed="false">
      <c r="A18" s="0" t="s">
        <v>153</v>
      </c>
      <c r="C18" s="4" t="n">
        <f aca="false">(C6-B6)*Assumptions!$B$51/100</f>
        <v>-336.375375</v>
      </c>
      <c r="D18" s="4" t="n">
        <f aca="false">(D6-C6)*Assumptions!$B$51/100</f>
        <v>-318.59553375</v>
      </c>
      <c r="E18" s="4" t="n">
        <f aca="false">(E6-D6)*Assumptions!$B$51/100</f>
        <v>-308.6836727</v>
      </c>
      <c r="F18" s="4" t="n">
        <f aca="false">(F6-E6)*Assumptions!$B$51/100</f>
        <v>-291.706070701501</v>
      </c>
      <c r="G18" s="4" t="n">
        <f aca="false">(G6-F6)*Assumptions!$B$51/100</f>
        <v>-289.830817389848</v>
      </c>
      <c r="H18" s="4" t="n">
        <f aca="false">(H6-G6)*Assumptions!$B$51/100</f>
        <v>-261.182155824774</v>
      </c>
      <c r="I18" s="4" t="n">
        <f aca="false">(I6-H6)*Assumptions!$B$51/100</f>
        <v>-250.497431268306</v>
      </c>
      <c r="J18" s="4" t="n">
        <f aca="false">(J6-I6)*Assumptions!$B$51/100</f>
        <v>-236.720072548549</v>
      </c>
      <c r="K18" s="4" t="n">
        <f aca="false">(K6-J6)*Assumptions!$B$51/100</f>
        <v>-219.886645167319</v>
      </c>
      <c r="L18" s="4" t="n">
        <f aca="false">(L6-K6)*Assumptions!$B$51/100</f>
        <v>-200.09684710226</v>
      </c>
    </row>
    <row r="19" customFormat="false" ht="15" hidden="false" customHeight="false" outlineLevel="0" collapsed="false">
      <c r="A19" s="0" t="s">
        <v>154</v>
      </c>
      <c r="C19" s="0" t="n">
        <f aca="false">C15+C16+C17+C18</f>
        <v>801.2655569145</v>
      </c>
      <c r="D19" s="0" t="n">
        <f aca="false">D15+D16+D17+D18</f>
        <v>960.450698266085</v>
      </c>
      <c r="E19" s="0" t="n">
        <f aca="false">E15+E16+E17+E18</f>
        <v>1112.19159430952</v>
      </c>
      <c r="F19" s="0" t="n">
        <f aca="false">F15+F16+F17+F18</f>
        <v>1270.90117498108</v>
      </c>
      <c r="G19" s="0" t="n">
        <f aca="false">G15+G16+G17+G18</f>
        <v>1404.3581033496</v>
      </c>
      <c r="H19" s="0" t="n">
        <f aca="false">H15+H16+H17+H18</f>
        <v>1542.0185932115</v>
      </c>
      <c r="I19" s="0" t="n">
        <f aca="false">I15+I16+I17+I18</f>
        <v>1642.86335521978</v>
      </c>
      <c r="J19" s="0" t="n">
        <f aca="false">J15+J16+J17+J18</f>
        <v>1741.84194933151</v>
      </c>
      <c r="K19" s="0" t="n">
        <f aca="false">K15+K16+K17+K18</f>
        <v>1837.81785758794</v>
      </c>
      <c r="L19" s="0" t="n">
        <f aca="false">L15+L16+L17+L18</f>
        <v>1929.62731324943</v>
      </c>
    </row>
    <row r="20" customFormat="false" ht="15" hidden="false" customHeight="false" outlineLevel="0" collapsed="false">
      <c r="A20" s="0" t="s">
        <v>155</v>
      </c>
      <c r="C20" s="0" t="n">
        <f aca="false">1/(1+$B$27/100)^C4</f>
        <v>0.91743119266055</v>
      </c>
      <c r="D20" s="0" t="n">
        <f aca="false">1/(1+$B$27/100)^D4</f>
        <v>0.84167999326656</v>
      </c>
      <c r="E20" s="0" t="n">
        <f aca="false">1/(1+$B$27/100)^E4</f>
        <v>0.772183480061064</v>
      </c>
      <c r="F20" s="0" t="n">
        <f aca="false">1/(1+$B$27/100)^F4</f>
        <v>0.708425211065196</v>
      </c>
      <c r="G20" s="0" t="n">
        <f aca="false">1/(1+$B$27/100)^G4</f>
        <v>0.649931386298345</v>
      </c>
      <c r="H20" s="0" t="n">
        <f aca="false">1/(1+$B$27/100)^H4</f>
        <v>0.596267326879216</v>
      </c>
      <c r="I20" s="0" t="n">
        <f aca="false">1/(1+$B$27/100)^I4</f>
        <v>0.547034244843317</v>
      </c>
      <c r="J20" s="0" t="n">
        <f aca="false">1/(1+$B$27/100)^J4</f>
        <v>0.501866279672768</v>
      </c>
      <c r="K20" s="0" t="n">
        <f aca="false">1/(1+$B$27/100)^K4</f>
        <v>0.460427779516301</v>
      </c>
      <c r="L20" s="0" t="n">
        <f aca="false">1/(1+$B$27/100)^L4</f>
        <v>0.422410806895689</v>
      </c>
    </row>
    <row r="21" customFormat="false" ht="15" hidden="false" customHeight="false" outlineLevel="0" collapsed="false">
      <c r="A21" s="0" t="s">
        <v>156</v>
      </c>
      <c r="C21" s="0" t="n">
        <f aca="false">C19*C20</f>
        <v>735.106015517889</v>
      </c>
      <c r="D21" s="0" t="n">
        <f aca="false">D19*D20</f>
        <v>808.392137249461</v>
      </c>
      <c r="E21" s="0" t="n">
        <f aca="false">E19*E20</f>
        <v>858.815975788587</v>
      </c>
      <c r="F21" s="0" t="n">
        <f aca="false">F19*F20</f>
        <v>900.338433128978</v>
      </c>
      <c r="G21" s="0" t="n">
        <f aca="false">G19*G20</f>
        <v>912.736408969322</v>
      </c>
      <c r="H21" s="0" t="n">
        <f aca="false">H19*H20</f>
        <v>919.455304572271</v>
      </c>
      <c r="I21" s="0" t="n">
        <f aca="false">I19*I20</f>
        <v>898.702514903413</v>
      </c>
      <c r="J21" s="0" t="n">
        <f aca="false">J19*J20</f>
        <v>874.171738888965</v>
      </c>
      <c r="K21" s="0" t="n">
        <f aca="false">K19*K20</f>
        <v>846.182395324619</v>
      </c>
      <c r="L21" s="0" t="n">
        <f aca="false">L19*L20</f>
        <v>815.095430397652</v>
      </c>
    </row>
    <row r="23" customFormat="false" ht="15" hidden="false" customHeight="false" outlineLevel="0" collapsed="false">
      <c r="A23" s="0" t="s">
        <v>132</v>
      </c>
      <c r="C23" s="4" t="n">
        <f aca="false">Assumptions!C44</f>
        <v>0</v>
      </c>
      <c r="D23" s="4" t="n">
        <f aca="false">Assumptions!D44</f>
        <v>0</v>
      </c>
      <c r="E23" s="4" t="n">
        <f aca="false">Assumptions!E44</f>
        <v>0</v>
      </c>
      <c r="F23" s="4" t="n">
        <f aca="false">Assumptions!F44</f>
        <v>0</v>
      </c>
      <c r="G23" s="4" t="n">
        <f aca="false">Assumptions!G44</f>
        <v>0</v>
      </c>
      <c r="H23" s="4" t="n">
        <f aca="false">Assumptions!H44</f>
        <v>0</v>
      </c>
      <c r="I23" s="4" t="n">
        <f aca="false">Assumptions!I44</f>
        <v>0</v>
      </c>
      <c r="J23" s="4" t="n">
        <f aca="false">Assumptions!J44</f>
        <v>0</v>
      </c>
      <c r="K23" s="4" t="n">
        <f aca="false">Assumptions!K44</f>
        <v>0</v>
      </c>
      <c r="L23" s="4" t="n">
        <f aca="false">Assumptions!L44</f>
        <v>0</v>
      </c>
    </row>
    <row r="24" customFormat="false" ht="15" hidden="false" customHeight="false" outlineLevel="0" collapsed="false">
      <c r="A24" s="0" t="s">
        <v>157</v>
      </c>
      <c r="C24" s="0" t="n">
        <f aca="false">-C6*C23/100</f>
        <v>-0</v>
      </c>
      <c r="D24" s="0" t="n">
        <f aca="false">-D6*D23/100</f>
        <v>-0</v>
      </c>
      <c r="E24" s="0" t="n">
        <f aca="false">-E6*E23/100</f>
        <v>-0</v>
      </c>
      <c r="F24" s="0" t="n">
        <f aca="false">-F6*F23/100</f>
        <v>-0</v>
      </c>
      <c r="G24" s="0" t="n">
        <f aca="false">-G6*G23/100</f>
        <v>-0</v>
      </c>
      <c r="H24" s="0" t="n">
        <f aca="false">-H6*H23/100</f>
        <v>-0</v>
      </c>
      <c r="I24" s="0" t="n">
        <f aca="false">-I6*I23/100</f>
        <v>-0</v>
      </c>
      <c r="J24" s="0" t="n">
        <f aca="false">-J6*J23/100</f>
        <v>-0</v>
      </c>
      <c r="K24" s="0" t="n">
        <f aca="false">-K6*K23/100</f>
        <v>-0</v>
      </c>
      <c r="L24" s="0" t="n">
        <f aca="false">-L6*L23/100</f>
        <v>-0</v>
      </c>
    </row>
    <row r="26" customFormat="false" ht="15" hidden="false" customHeight="false" outlineLevel="0" collapsed="false">
      <c r="A26" s="2" t="s">
        <v>158</v>
      </c>
    </row>
    <row r="27" customFormat="false" ht="15" hidden="false" customHeight="false" outlineLevel="0" collapsed="false">
      <c r="A27" s="0" t="s">
        <v>136</v>
      </c>
      <c r="B27" s="4" t="n">
        <f aca="false">Assumptions!$B$48</f>
        <v>9</v>
      </c>
    </row>
    <row r="28" customFormat="false" ht="15" hidden="false" customHeight="false" outlineLevel="0" collapsed="false">
      <c r="A28" s="0" t="s">
        <v>137</v>
      </c>
      <c r="B28" s="4" t="n">
        <f aca="false">Assumptions!$B$49</f>
        <v>3</v>
      </c>
    </row>
    <row r="29" customFormat="false" ht="15" hidden="false" customHeight="false" outlineLevel="0" collapsed="false">
      <c r="A29" s="0" t="s">
        <v>138</v>
      </c>
      <c r="B29" s="4" t="n">
        <f aca="false">Assumptions!$B$50</f>
        <v>16</v>
      </c>
    </row>
    <row r="30" customFormat="false" ht="15" hidden="false" customHeight="false" outlineLevel="0" collapsed="false">
      <c r="A30" s="0" t="s">
        <v>159</v>
      </c>
      <c r="B30" s="0" t="n">
        <f aca="false">SUM(C21:L21)</f>
        <v>8568.99635474116</v>
      </c>
    </row>
    <row r="31" customFormat="false" ht="15" hidden="false" customHeight="false" outlineLevel="0" collapsed="false">
      <c r="A31" s="0" t="s">
        <v>160</v>
      </c>
      <c r="B31" s="0" t="n">
        <f aca="false">L19</f>
        <v>1929.62731324943</v>
      </c>
    </row>
    <row r="32" customFormat="false" ht="15" hidden="false" customHeight="false" outlineLevel="0" collapsed="false">
      <c r="A32" s="0" t="s">
        <v>161</v>
      </c>
      <c r="B32" s="0" t="n">
        <f aca="false">IF(B27&gt;B28,B31*(1+B28/100)/((B27-B28)/100),B31*B29)</f>
        <v>33125.2688774486</v>
      </c>
    </row>
    <row r="33" customFormat="false" ht="15" hidden="false" customHeight="false" outlineLevel="0" collapsed="false">
      <c r="A33" s="0" t="s">
        <v>162</v>
      </c>
      <c r="B33" s="0" t="n">
        <f aca="false">B31*B29</f>
        <v>30874.0370119909</v>
      </c>
    </row>
    <row r="34" customFormat="false" ht="15" hidden="false" customHeight="false" outlineLevel="0" collapsed="false">
      <c r="A34" s="0" t="s">
        <v>163</v>
      </c>
      <c r="B34" s="0" t="n">
        <f aca="false">MAX(0,MIN(B32,B33))</f>
        <v>30874.0370119909</v>
      </c>
    </row>
    <row r="35" customFormat="false" ht="15" hidden="false" customHeight="false" outlineLevel="0" collapsed="false">
      <c r="A35" s="0" t="s">
        <v>164</v>
      </c>
      <c r="B35" s="0" t="n">
        <f aca="false">B34/(1+B27/100)^L4</f>
        <v>13041.5268863624</v>
      </c>
    </row>
    <row r="36" customFormat="false" ht="15" hidden="false" customHeight="false" outlineLevel="0" collapsed="false">
      <c r="A36" s="0" t="s">
        <v>165</v>
      </c>
      <c r="B36" s="0" t="n">
        <f aca="false">B30+B35</f>
        <v>21610.5232411036</v>
      </c>
    </row>
    <row r="37" customFormat="false" ht="15" hidden="false" customHeight="false" outlineLevel="0" collapsed="false">
      <c r="A37" s="0" t="s">
        <v>166</v>
      </c>
      <c r="B37" s="0" t="n">
        <f aca="false">B36+Assumptions!$B$5-Assumptions!$B$4</f>
        <v>21610.5232411036</v>
      </c>
    </row>
    <row r="38" customFormat="false" ht="15" hidden="false" customHeight="false" outlineLevel="0" collapsed="false">
      <c r="A38" s="0" t="s">
        <v>167</v>
      </c>
      <c r="B38" s="0" t="n">
        <f aca="false">B37/Assumptions!$B$3*Assumptions!$B$10</f>
        <v>433.946249821357</v>
      </c>
    </row>
    <row r="39" customFormat="false" ht="15" hidden="false" customHeight="false" outlineLevel="0" collapsed="false">
      <c r="A39" s="0" t="s">
        <v>168</v>
      </c>
      <c r="B39" s="4" t="n">
        <f aca="false">B38/Assumptions!$B$2-1</f>
        <v>0.657168906367361</v>
      </c>
    </row>
    <row r="41" customFormat="false" ht="15" hidden="false" customHeight="false" outlineLevel="0" collapsed="false">
      <c r="A41" s="0" t="s">
        <v>169</v>
      </c>
      <c r="B41" s="0" t="n">
        <f aca="false">SUMPRODUCT(-C10:L10/(1+$B$27/100)^C4:L4)</f>
        <v>929.671665814397</v>
      </c>
    </row>
    <row r="42" customFormat="false" ht="15" hidden="false" customHeight="false" outlineLevel="0" collapsed="false">
      <c r="A42" s="0" t="s">
        <v>170</v>
      </c>
      <c r="B42" s="0" t="n">
        <f aca="false">IF(B27&gt;B28,-L10*(1+B28/100)/((B27-B28)/100),-L10*20)/(1+B27/100)^L4</f>
        <v>1338.71503194203</v>
      </c>
    </row>
    <row r="43" customFormat="false" ht="15" hidden="false" customHeight="false" outlineLevel="0" collapsed="false">
      <c r="A43" s="0" t="s">
        <v>171</v>
      </c>
      <c r="B43" s="0" t="n">
        <f aca="false">(B37+B41+B42)/Assumptions!$B$3*Assumptions!$B$10</f>
        <v>479.496183511245</v>
      </c>
    </row>
    <row r="45" customFormat="false" ht="15" hidden="false" customHeight="false" outlineLevel="0" collapsed="false">
      <c r="A45" s="0" t="s">
        <v>112</v>
      </c>
      <c r="B45" s="4" t="n">
        <f aca="false">Assumptions!$B$6</f>
        <v>15</v>
      </c>
    </row>
    <row r="46" customFormat="false" ht="15" hidden="false" customHeight="false" outlineLevel="0" collapsed="false">
      <c r="A46" s="0" t="s">
        <v>172</v>
      </c>
      <c r="B46" s="0" t="n">
        <f aca="false">MAX(0,MIN(IF(B45&gt;B28,B31*(1+B28/100)/((B45-B28)/100),B31*B29),B31*B29))</f>
        <v>16562.6344387243</v>
      </c>
    </row>
    <row r="47" customFormat="false" ht="15" hidden="false" customHeight="false" outlineLevel="0" collapsed="false">
      <c r="A47" s="0" t="s">
        <v>173</v>
      </c>
      <c r="B47" s="0" t="n">
        <f aca="false">(SUMPRODUCT(C19:L19/(1+B45/100)^C4:L4)+B46/(1+B45/100)^L4+Assumptions!$B$5-Assumptions!$B$4)/Assumptions!$B$3*Assumptions!$B$10</f>
        <v>211.370278547969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0"/>
  </cols>
  <sheetData>
    <row r="1" customFormat="false" ht="15" hidden="false" customHeight="false" outlineLevel="0" collapsed="false">
      <c r="A1" s="2" t="s">
        <v>176</v>
      </c>
    </row>
    <row r="3" customFormat="false" ht="15" hidden="false" customHeight="false" outlineLevel="0" collapsed="false">
      <c r="A3" s="2" t="s">
        <v>177</v>
      </c>
      <c r="B3" s="2" t="s">
        <v>178</v>
      </c>
      <c r="C3" s="2" t="s">
        <v>168</v>
      </c>
      <c r="D3" s="2" t="s">
        <v>179</v>
      </c>
      <c r="E3" s="2" t="s">
        <v>171</v>
      </c>
      <c r="F3" s="2" t="s">
        <v>180</v>
      </c>
    </row>
    <row r="4" customFormat="false" ht="15" hidden="false" customHeight="false" outlineLevel="0" collapsed="false">
      <c r="A4" s="0" t="s">
        <v>181</v>
      </c>
      <c r="B4" s="4" t="n">
        <f aca="false">DCF_Bear!$B$38</f>
        <v>210.104593672378</v>
      </c>
      <c r="C4" s="0" t="n">
        <f aca="false">B4/Assumptions!$B$2-1</f>
        <v>-0.19764533081655</v>
      </c>
      <c r="D4" s="4" t="n">
        <f aca="false">Assumptions!$B$24</f>
        <v>0.2</v>
      </c>
      <c r="E4" s="4" t="n">
        <f aca="false">DCF_Bear!$B$43</f>
        <v>241.880498270616</v>
      </c>
      <c r="F4" s="4" t="n">
        <f aca="false">DCF_Bear!$B$47</f>
        <v>121.94851394232</v>
      </c>
    </row>
    <row r="5" customFormat="false" ht="15" hidden="false" customHeight="false" outlineLevel="0" collapsed="false">
      <c r="A5" s="0" t="s">
        <v>182</v>
      </c>
      <c r="B5" s="4" t="n">
        <f aca="false">DCF_Base!$B$38</f>
        <v>334.61068304165</v>
      </c>
      <c r="C5" s="0" t="n">
        <f aca="false">B5/Assumptions!$B$2-1</f>
        <v>0.277822817695144</v>
      </c>
      <c r="D5" s="4" t="n">
        <f aca="false">Assumptions!$B$38</f>
        <v>0.5</v>
      </c>
      <c r="E5" s="4" t="n">
        <f aca="false">DCF_Base!$B$43</f>
        <v>375.731599882058</v>
      </c>
      <c r="F5" s="4" t="n">
        <f aca="false">DCF_Base!$B$47</f>
        <v>172.530393446951</v>
      </c>
    </row>
    <row r="6" customFormat="false" ht="15" hidden="false" customHeight="false" outlineLevel="0" collapsed="false">
      <c r="A6" s="0" t="s">
        <v>183</v>
      </c>
      <c r="B6" s="4" t="n">
        <f aca="false">DCF_Bull!$B$38</f>
        <v>433.946249821357</v>
      </c>
      <c r="C6" s="0" t="n">
        <f aca="false">B6/Assumptions!$B$2-1</f>
        <v>0.657168906367361</v>
      </c>
      <c r="D6" s="4" t="n">
        <f aca="false">Assumptions!$B$52</f>
        <v>0.3</v>
      </c>
      <c r="E6" s="4" t="n">
        <f aca="false">DCF_Bull!$B$43</f>
        <v>479.496183511245</v>
      </c>
      <c r="F6" s="4" t="n">
        <f aca="false">DCF_Bull!$B$47</f>
        <v>211.370278547969</v>
      </c>
    </row>
    <row r="8" customFormat="false" ht="15" hidden="false" customHeight="false" outlineLevel="0" collapsed="false">
      <c r="A8" s="0" t="s">
        <v>184</v>
      </c>
      <c r="B8" s="0" t="n">
        <f aca="false">SUMPRODUCT(B4:B6,D4:D6)</f>
        <v>339.510135201708</v>
      </c>
    </row>
    <row r="9" customFormat="false" ht="15" hidden="false" customHeight="false" outlineLevel="0" collapsed="false">
      <c r="A9" s="0" t="s">
        <v>185</v>
      </c>
      <c r="B9" s="0" t="n">
        <f aca="false">SUMPRODUCT(E4:E6,D4:D6)</f>
        <v>380.090754648526</v>
      </c>
    </row>
    <row r="10" customFormat="false" ht="15" hidden="false" customHeight="false" outlineLevel="0" collapsed="false">
      <c r="A10" s="0" t="s">
        <v>186</v>
      </c>
      <c r="B10" s="0" t="n">
        <f aca="false">1-Assumptions!$B$2/B8</f>
        <v>0.228712274393738</v>
      </c>
    </row>
    <row r="11" customFormat="false" ht="15" hidden="false" customHeight="false" outlineLevel="0" collapsed="false">
      <c r="A11" s="0" t="s">
        <v>187</v>
      </c>
      <c r="B11" s="0" t="n">
        <f aca="false">IF(ABS(B9-B8)&gt;0.01*ABS(B8),(Assumptions!$B$2-B8)/(B9-B8)*100,"n/a")</f>
        <v>-191.347831206646</v>
      </c>
    </row>
    <row r="12" customFormat="false" ht="15" hidden="false" customHeight="false" outlineLevel="0" collapsed="false">
      <c r="A12" s="0" t="s">
        <v>188</v>
      </c>
      <c r="B12" s="0" t="n">
        <f aca="false">SUMPRODUCT(F4:F6,D4:D6)</f>
        <v>174.06598307633</v>
      </c>
    </row>
    <row r="14" customFormat="false" ht="15" hidden="false" customHeight="false" outlineLevel="0" collapsed="false">
      <c r="A14" s="2" t="s">
        <v>189</v>
      </c>
      <c r="C14" s="0" t="s">
        <v>190</v>
      </c>
    </row>
    <row r="15" customFormat="false" ht="15" hidden="false" customHeight="false" outlineLevel="0" collapsed="false">
      <c r="A15" s="0" t="s">
        <v>191</v>
      </c>
      <c r="B15" s="0" t="n">
        <f aca="false">(SUMPRODUCT(DCF_Base!$C$19:$L$19/(1+$C$15/100)^DCF_Base!$C$4:$L$4)+MAX(0,MIN(IF($C$15&gt;DCF_Base!$B$28,DCF_Base!$L$19*(1+DCF_Base!$B$28/100)/(($C$15-DCF_Base!$B$28)/100),DCF_Base!$L$19*DCF_Base!$B$29),DCF_Base!$L$19*DCF_Base!$B$29))/(1+$C$15/100)^DCF_Base!$L$4+Assumptions!$B$5-Assumptions!$B$4)/Assumptions!$B$3*Assumptions!$B$10</f>
        <v>334.61068304165</v>
      </c>
      <c r="C15" s="3" t="n">
        <v>9</v>
      </c>
    </row>
    <row r="16" customFormat="false" ht="15" hidden="false" customHeight="false" outlineLevel="0" collapsed="false">
      <c r="A16" s="0" t="s">
        <v>192</v>
      </c>
      <c r="B16" s="0" t="n">
        <f aca="false">(SUMPRODUCT(DCF_Base!$C$19:$L$19/(1+$C$16/100)^DCF_Base!$C$4:$L$4)+MAX(0,MIN(IF($C$16&gt;DCF_Base!$B$28,DCF_Base!$L$19*(1+DCF_Base!$B$28/100)/(($C$16-DCF_Base!$B$28)/100),DCF_Base!$L$19*DCF_Base!$B$29),DCF_Base!$L$19*DCF_Base!$B$29))/(1+$C$16/100)^DCF_Base!$L$4+Assumptions!$B$5-Assumptions!$B$4)/Assumptions!$B$3*Assumptions!$B$10</f>
        <v>307.72399795561</v>
      </c>
      <c r="C16" s="3" t="n">
        <v>10</v>
      </c>
    </row>
    <row r="17" customFormat="false" ht="15" hidden="false" customHeight="false" outlineLevel="0" collapsed="false">
      <c r="A17" s="0" t="s">
        <v>193</v>
      </c>
      <c r="B17" s="0" t="n">
        <f aca="false">(SUMPRODUCT(DCF_Base!$C$19:$L$19/(1+$C$17/100)^DCF_Base!$C$4:$L$4)+MAX(0,MIN(IF($C$17&gt;DCF_Base!$B$28,DCF_Base!$L$19*(1+DCF_Base!$B$28/100)/(($C$17-DCF_Base!$B$28)/100),DCF_Base!$L$19*DCF_Base!$B$29),DCF_Base!$L$19*DCF_Base!$B$29))/(1+$C$17/100)^DCF_Base!$L$4+Assumptions!$B$5-Assumptions!$B$4)/Assumptions!$B$3*Assumptions!$B$10</f>
        <v>266.960914567269</v>
      </c>
      <c r="C17" s="3" t="n">
        <v>11</v>
      </c>
    </row>
    <row r="18" customFormat="false" ht="15" hidden="false" customHeight="false" outlineLevel="0" collapsed="false">
      <c r="A18" s="0" t="s">
        <v>194</v>
      </c>
      <c r="B18" s="0" t="n">
        <f aca="false">(SUMPRODUCT(DCF_Base!$C$19:$L$19/(1+$C$18/100)^DCF_Base!$C$4:$L$4)+MAX(0,MIN(IF($C$18&gt;DCF_Base!$B$28,DCF_Base!$L$19*(1+DCF_Base!$B$28/100)/(($C$18-DCF_Base!$B$28)/100),DCF_Base!$L$19*DCF_Base!$B$29),DCF_Base!$L$19*DCF_Base!$B$29))/(1+$C$18/100)^DCF_Base!$L$4+Assumptions!$B$5-Assumptions!$B$4)/Assumptions!$B$3*Assumptions!$B$10</f>
        <v>235.353297358124</v>
      </c>
      <c r="C18" s="3" t="n">
        <v>12</v>
      </c>
    </row>
    <row r="19" customFormat="false" ht="15" hidden="false" customHeight="false" outlineLevel="0" collapsed="false">
      <c r="A19" s="0" t="s">
        <v>195</v>
      </c>
      <c r="B19" s="0" t="n">
        <f aca="false">(SUMPRODUCT(DCF_Base!$C$19:$L$19/(1+$C$19/100)^DCF_Base!$C$4:$L$4)+MAX(0,MIN(IF($C$19&gt;DCF_Base!$B$28,DCF_Base!$L$19*(1+DCF_Base!$B$28/100)/(($C$19-DCF_Base!$B$28)/100),DCF_Base!$L$19*DCF_Base!$B$29),DCF_Base!$L$19*DCF_Base!$B$29))/(1+$C$19/100)^DCF_Base!$L$4+Assumptions!$B$5-Assumptions!$B$4)/Assumptions!$B$3*Assumptions!$B$10</f>
        <v>172.530393446951</v>
      </c>
      <c r="C19" s="3" t="n">
        <v>15</v>
      </c>
    </row>
    <row r="21" customFormat="false" ht="15" hidden="false" customHeight="false" outlineLevel="0" collapsed="false">
      <c r="A21" s="2" t="s">
        <v>196</v>
      </c>
    </row>
    <row r="22" customFormat="false" ht="15" hidden="false" customHeight="false" outlineLevel="0" collapsed="false">
      <c r="B22" s="3" t="n">
        <v>2</v>
      </c>
      <c r="C22" s="3" t="n">
        <v>2.5</v>
      </c>
      <c r="D22" s="3" t="n">
        <v>3</v>
      </c>
      <c r="E22" s="3" t="n">
        <v>3.5</v>
      </c>
      <c r="F22" s="3" t="n">
        <v>4</v>
      </c>
    </row>
    <row r="23" customFormat="false" ht="15" hidden="false" customHeight="false" outlineLevel="0" collapsed="false">
      <c r="A23" s="3" t="n">
        <v>7</v>
      </c>
      <c r="B23" s="0" t="n">
        <f aca="false">(SUMPRODUCT(DCF_Base!$C$19:$L$19/(1+$A$23/100)^DCF_Base!$C$4:$L$4)+MAX(0,MIN(IF($A$23&gt;$B$22,DCF_Base!$L$19*(1+$B$22/100)/(($A$23-$B$22)/100),DCF_Base!$L$19*DCF_Base!$B$29),DCF_Base!$L$19*DCF_Base!$B$29))/(1+$A$23/100)^DCF_Base!$L$4+Assumptions!$B$5-Assumptions!$B$4)/Assumptions!$B$3*Assumptions!$B$10</f>
        <v>388.852606473036</v>
      </c>
      <c r="C23" s="0" t="n">
        <f aca="false">(SUMPRODUCT(DCF_Base!$C$19:$L$19/(1+$A$23/100)^DCF_Base!$C$4:$L$4)+MAX(0,MIN(IF($A$23&gt;$C$22,DCF_Base!$L$19*(1+$C$22/100)/(($A$23-$C$22)/100),DCF_Base!$L$19*DCF_Base!$B$29),DCF_Base!$L$19*DCF_Base!$B$29))/(1+$A$23/100)^DCF_Base!$L$4+Assumptions!$B$5-Assumptions!$B$4)/Assumptions!$B$3*Assumptions!$B$10</f>
        <v>388.852606473036</v>
      </c>
      <c r="D23" s="0" t="n">
        <f aca="false">(SUMPRODUCT(DCF_Base!$C$19:$L$19/(1+$A$23/100)^DCF_Base!$C$4:$L$4)+MAX(0,MIN(IF($A$23&gt;$D$22,DCF_Base!$L$19*(1+$D$22/100)/(($A$23-$D$22)/100),DCF_Base!$L$19*DCF_Base!$B$29),DCF_Base!$L$19*DCF_Base!$B$29))/(1+$A$23/100)^DCF_Base!$L$4+Assumptions!$B$5-Assumptions!$B$4)/Assumptions!$B$3*Assumptions!$B$10</f>
        <v>388.852606473036</v>
      </c>
      <c r="E23" s="0" t="n">
        <f aca="false">(SUMPRODUCT(DCF_Base!$C$19:$L$19/(1+$A$23/100)^DCF_Base!$C$4:$L$4)+MAX(0,MIN(IF($A$23&gt;$E$22,DCF_Base!$L$19*(1+$E$22/100)/(($A$23-$E$22)/100),DCF_Base!$L$19*DCF_Base!$B$29),DCF_Base!$L$19*DCF_Base!$B$29))/(1+$A$23/100)^DCF_Base!$L$4+Assumptions!$B$5-Assumptions!$B$4)/Assumptions!$B$3*Assumptions!$B$10</f>
        <v>388.852606473036</v>
      </c>
      <c r="F23" s="0" t="n">
        <f aca="false">(SUMPRODUCT(DCF_Base!$C$19:$L$19/(1+$A$23/100)^DCF_Base!$C$4:$L$4)+MAX(0,MIN(IF($A$23&gt;$F$22,DCF_Base!$L$19*(1+$F$22/100)/(($A$23-$F$22)/100),DCF_Base!$L$19*DCF_Base!$B$29),DCF_Base!$L$19*DCF_Base!$B$29))/(1+$A$23/100)^DCF_Base!$L$4+Assumptions!$B$5-Assumptions!$B$4)/Assumptions!$B$3*Assumptions!$B$10</f>
        <v>388.852606473036</v>
      </c>
    </row>
    <row r="24" customFormat="false" ht="15" hidden="false" customHeight="false" outlineLevel="0" collapsed="false">
      <c r="A24" s="3" t="n">
        <v>8</v>
      </c>
      <c r="B24" s="0" t="n">
        <f aca="false">(SUMPRODUCT(DCF_Base!$C$19:$L$19/(1+$A$24/100)^DCF_Base!$C$4:$L$4)+MAX(0,MIN(IF($A$24&gt;$B$22,DCF_Base!$L$19*(1+$B$22/100)/(($A$24-$B$22)/100),DCF_Base!$L$19*DCF_Base!$B$29),DCF_Base!$L$19*DCF_Base!$B$29))/(1+$A$24/100)^DCF_Base!$L$4+Assumptions!$B$5-Assumptions!$B$4)/Assumptions!$B$3*Assumptions!$B$10</f>
        <v>360.460391457105</v>
      </c>
      <c r="C24" s="0" t="n">
        <f aca="false">(SUMPRODUCT(DCF_Base!$C$19:$L$19/(1+$A$24/100)^DCF_Base!$C$4:$L$4)+MAX(0,MIN(IF($A$24&gt;$C$22,DCF_Base!$L$19*(1+$C$22/100)/(($A$24-$C$22)/100),DCF_Base!$L$19*DCF_Base!$B$29),DCF_Base!$L$19*DCF_Base!$B$29))/(1+$A$24/100)^DCF_Base!$L$4+Assumptions!$B$5-Assumptions!$B$4)/Assumptions!$B$3*Assumptions!$B$10</f>
        <v>360.460391457105</v>
      </c>
      <c r="D24" s="0" t="n">
        <f aca="false">(SUMPRODUCT(DCF_Base!$C$19:$L$19/(1+$A$24/100)^DCF_Base!$C$4:$L$4)+MAX(0,MIN(IF($A$24&gt;$D$22,DCF_Base!$L$19*(1+$D$22/100)/(($A$24-$D$22)/100),DCF_Base!$L$19*DCF_Base!$B$29),DCF_Base!$L$19*DCF_Base!$B$29))/(1+$A$24/100)^DCF_Base!$L$4+Assumptions!$B$5-Assumptions!$B$4)/Assumptions!$B$3*Assumptions!$B$10</f>
        <v>360.460391457105</v>
      </c>
      <c r="E24" s="0" t="n">
        <f aca="false">(SUMPRODUCT(DCF_Base!$C$19:$L$19/(1+$A$24/100)^DCF_Base!$C$4:$L$4)+MAX(0,MIN(IF($A$24&gt;$E$22,DCF_Base!$L$19*(1+$E$22/100)/(($A$24-$E$22)/100),DCF_Base!$L$19*DCF_Base!$B$29),DCF_Base!$L$19*DCF_Base!$B$29))/(1+$A$24/100)^DCF_Base!$L$4+Assumptions!$B$5-Assumptions!$B$4)/Assumptions!$B$3*Assumptions!$B$10</f>
        <v>360.460391457105</v>
      </c>
      <c r="F24" s="0" t="n">
        <f aca="false">(SUMPRODUCT(DCF_Base!$C$19:$L$19/(1+$A$24/100)^DCF_Base!$C$4:$L$4)+MAX(0,MIN(IF($A$24&gt;$F$22,DCF_Base!$L$19*(1+$F$22/100)/(($A$24-$F$22)/100),DCF_Base!$L$19*DCF_Base!$B$29),DCF_Base!$L$19*DCF_Base!$B$29))/(1+$A$24/100)^DCF_Base!$L$4+Assumptions!$B$5-Assumptions!$B$4)/Assumptions!$B$3*Assumptions!$B$10</f>
        <v>360.460391457105</v>
      </c>
    </row>
    <row r="25" customFormat="false" ht="15" hidden="false" customHeight="false" outlineLevel="0" collapsed="false">
      <c r="A25" s="3" t="n">
        <v>9</v>
      </c>
      <c r="B25" s="0" t="n">
        <f aca="false">(SUMPRODUCT(DCF_Base!$C$19:$L$19/(1+$A$25/100)^DCF_Base!$C$4:$L$4)+MAX(0,MIN(IF($A$25&gt;$B$22,DCF_Base!$L$19*(1+$B$22/100)/(($A$25-$B$22)/100),DCF_Base!$L$19*DCF_Base!$B$29),DCF_Base!$L$19*DCF_Base!$B$29))/(1+$A$25/100)^DCF_Base!$L$4+Assumptions!$B$5-Assumptions!$B$4)/Assumptions!$B$3*Assumptions!$B$10</f>
        <v>329.147477797034</v>
      </c>
      <c r="C25" s="0" t="n">
        <f aca="false">(SUMPRODUCT(DCF_Base!$C$19:$L$19/(1+$A$25/100)^DCF_Base!$C$4:$L$4)+MAX(0,MIN(IF($A$25&gt;$C$22,DCF_Base!$L$19*(1+$C$22/100)/(($A$25-$C$22)/100),DCF_Base!$L$19*DCF_Base!$B$29),DCF_Base!$L$19*DCF_Base!$B$29))/(1+$A$25/100)^DCF_Base!$L$4+Assumptions!$B$5-Assumptions!$B$4)/Assumptions!$B$3*Assumptions!$B$10</f>
        <v>334.61068304165</v>
      </c>
      <c r="D25" s="0" t="n">
        <f aca="false">(SUMPRODUCT(DCF_Base!$C$19:$L$19/(1+$A$25/100)^DCF_Base!$C$4:$L$4)+MAX(0,MIN(IF($A$25&gt;$D$22,DCF_Base!$L$19*(1+$D$22/100)/(($A$25-$D$22)/100),DCF_Base!$L$19*DCF_Base!$B$29),DCF_Base!$L$19*DCF_Base!$B$29))/(1+$A$25/100)^DCF_Base!$L$4+Assumptions!$B$5-Assumptions!$B$4)/Assumptions!$B$3*Assumptions!$B$10</f>
        <v>334.61068304165</v>
      </c>
      <c r="E25" s="0" t="n">
        <f aca="false">(SUMPRODUCT(DCF_Base!$C$19:$L$19/(1+$A$25/100)^DCF_Base!$C$4:$L$4)+MAX(0,MIN(IF($A$25&gt;$E$22,DCF_Base!$L$19*(1+$E$22/100)/(($A$25-$E$22)/100),DCF_Base!$L$19*DCF_Base!$B$29),DCF_Base!$L$19*DCF_Base!$B$29))/(1+$A$25/100)^DCF_Base!$L$4+Assumptions!$B$5-Assumptions!$B$4)/Assumptions!$B$3*Assumptions!$B$10</f>
        <v>334.61068304165</v>
      </c>
      <c r="F25" s="0" t="n">
        <f aca="false">(SUMPRODUCT(DCF_Base!$C$19:$L$19/(1+$A$25/100)^DCF_Base!$C$4:$L$4)+MAX(0,MIN(IF($A$25&gt;$F$22,DCF_Base!$L$19*(1+$F$22/100)/(($A$25-$F$22)/100),DCF_Base!$L$19*DCF_Base!$B$29),DCF_Base!$L$19*DCF_Base!$B$29))/(1+$A$25/100)^DCF_Base!$L$4+Assumptions!$B$5-Assumptions!$B$4)/Assumptions!$B$3*Assumptions!$B$10</f>
        <v>334.61068304165</v>
      </c>
    </row>
    <row r="26" customFormat="false" ht="15" hidden="false" customHeight="false" outlineLevel="0" collapsed="false">
      <c r="A26" s="3" t="n">
        <v>10</v>
      </c>
      <c r="B26" s="0" t="n">
        <f aca="false">(SUMPRODUCT(DCF_Base!$C$19:$L$19/(1+$A$26/100)^DCF_Base!$C$4:$L$4)+MAX(0,MIN(IF($A$26&gt;$B$22,DCF_Base!$L$19*(1+$B$22/100)/(($A$26-$B$22)/100),DCF_Base!$L$19*DCF_Base!$B$29),DCF_Base!$L$19*DCF_Base!$B$29))/(1+$A$26/100)^DCF_Base!$L$4+Assumptions!$B$5-Assumptions!$B$4)/Assumptions!$B$3*Assumptions!$B$10</f>
        <v>284.869741949579</v>
      </c>
      <c r="C26" s="0" t="n">
        <f aca="false">(SUMPRODUCT(DCF_Base!$C$19:$L$19/(1+$A$26/100)^DCF_Base!$C$4:$L$4)+MAX(0,MIN(IF($A$26&gt;$C$22,DCF_Base!$L$19*(1+$C$22/100)/(($A$26-$C$22)/100),DCF_Base!$L$19*DCF_Base!$B$29),DCF_Base!$L$19*DCF_Base!$B$29))/(1+$A$26/100)^DCF_Base!$L$4+Assumptions!$B$5-Assumptions!$B$4)/Assumptions!$B$3*Assumptions!$B$10</f>
        <v>295.53506141906</v>
      </c>
      <c r="D26" s="0" t="n">
        <f aca="false">(SUMPRODUCT(DCF_Base!$C$19:$L$19/(1+$A$26/100)^DCF_Base!$C$4:$L$4)+MAX(0,MIN(IF($A$26&gt;$D$22,DCF_Base!$L$19*(1+$D$22/100)/(($A$26-$D$22)/100),DCF_Base!$L$19*DCF_Base!$B$29),DCF_Base!$L$19*DCF_Base!$B$29))/(1+$A$26/100)^DCF_Base!$L$4+Assumptions!$B$5-Assumptions!$B$4)/Assumptions!$B$3*Assumptions!$B$10</f>
        <v>307.72399795561</v>
      </c>
      <c r="E26" s="0" t="n">
        <f aca="false">(SUMPRODUCT(DCF_Base!$C$19:$L$19/(1+$A$26/100)^DCF_Base!$C$4:$L$4)+MAX(0,MIN(IF($A$26&gt;$E$22,DCF_Base!$L$19*(1+$E$22/100)/(($A$26-$E$22)/100),DCF_Base!$L$19*DCF_Base!$B$29),DCF_Base!$L$19*DCF_Base!$B$29))/(1+$A$26/100)^DCF_Base!$L$4+Assumptions!$B$5-Assumptions!$B$4)/Assumptions!$B$3*Assumptions!$B$10</f>
        <v>311.048253374669</v>
      </c>
      <c r="F26" s="0" t="n">
        <f aca="false">(SUMPRODUCT(DCF_Base!$C$19:$L$19/(1+$A$26/100)^DCF_Base!$C$4:$L$4)+MAX(0,MIN(IF($A$26&gt;$F$22,DCF_Base!$L$19*(1+$F$22/100)/(($A$26-$F$22)/100),DCF_Base!$L$19*DCF_Base!$B$29),DCF_Base!$L$19*DCF_Base!$B$29))/(1+$A$26/100)^DCF_Base!$L$4+Assumptions!$B$5-Assumptions!$B$4)/Assumptions!$B$3*Assumptions!$B$10</f>
        <v>311.048253374669</v>
      </c>
    </row>
    <row r="27" customFormat="false" ht="15" hidden="false" customHeight="false" outlineLevel="0" collapsed="false">
      <c r="A27" s="3" t="n">
        <v>11</v>
      </c>
      <c r="B27" s="0" t="n">
        <f aca="false">(SUMPRODUCT(DCF_Base!$C$19:$L$19/(1+$A$27/100)^DCF_Base!$C$4:$L$4)+MAX(0,MIN(IF($A$27&gt;$B$22,DCF_Base!$L$19*(1+$B$22/100)/(($A$27-$B$22)/100),DCF_Base!$L$19*DCF_Base!$B$29),DCF_Base!$L$19*DCF_Base!$B$29))/(1+$A$27/100)^DCF_Base!$L$4+Assumptions!$B$5-Assumptions!$B$4)/Assumptions!$B$3*Assumptions!$B$10</f>
        <v>250.575781383632</v>
      </c>
      <c r="C27" s="0" t="n">
        <f aca="false">(SUMPRODUCT(DCF_Base!$C$19:$L$19/(1+$A$27/100)^DCF_Base!$C$4:$L$4)+MAX(0,MIN(IF($A$27&gt;$C$22,DCF_Base!$L$19*(1+$C$22/100)/(($A$27-$C$22)/100),DCF_Base!$L$19*DCF_Base!$B$29),DCF_Base!$L$19*DCF_Base!$B$29))/(1+$A$27/100)^DCF_Base!$L$4+Assumptions!$B$5-Assumptions!$B$4)/Assumptions!$B$3*Assumptions!$B$10</f>
        <v>258.286432293578</v>
      </c>
      <c r="D27" s="0" t="n">
        <f aca="false">(SUMPRODUCT(DCF_Base!$C$19:$L$19/(1+$A$27/100)^DCF_Base!$C$4:$L$4)+MAX(0,MIN(IF($A$27&gt;$D$22,DCF_Base!$L$19*(1+$D$22/100)/(($A$27-$D$22)/100),DCF_Base!$L$19*DCF_Base!$B$29),DCF_Base!$L$19*DCF_Base!$B$29))/(1+$A$27/100)^DCF_Base!$L$4+Assumptions!$B$5-Assumptions!$B$4)/Assumptions!$B$3*Assumptions!$B$10</f>
        <v>266.960914567269</v>
      </c>
      <c r="E27" s="0" t="n">
        <f aca="false">(SUMPRODUCT(DCF_Base!$C$19:$L$19/(1+$A$27/100)^DCF_Base!$C$4:$L$4)+MAX(0,MIN(IF($A$27&gt;$E$22,DCF_Base!$L$19*(1+$E$22/100)/(($A$27-$E$22)/100),DCF_Base!$L$19*DCF_Base!$B$29),DCF_Base!$L$19*DCF_Base!$B$29))/(1+$A$27/100)^DCF_Base!$L$4+Assumptions!$B$5-Assumptions!$B$4)/Assumptions!$B$3*Assumptions!$B$10</f>
        <v>276.791994477451</v>
      </c>
      <c r="F27" s="0" t="n">
        <f aca="false">(SUMPRODUCT(DCF_Base!$C$19:$L$19/(1+$A$27/100)^DCF_Base!$C$4:$L$4)+MAX(0,MIN(IF($A$27&gt;$F$22,DCF_Base!$L$19*(1+$F$22/100)/(($A$27-$F$22)/100),DCF_Base!$L$19*DCF_Base!$B$29),DCF_Base!$L$19*DCF_Base!$B$29))/(1+$A$27/100)^DCF_Base!$L$4+Assumptions!$B$5-Assumptions!$B$4)/Assumptions!$B$3*Assumptions!$B$10</f>
        <v>288.027514374802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2026-09-25T09:53:53Z</dcterms:created>
  <dc:creator>openpyxl</dc:creator>
  <dc:description/>
  <dc:language>en-NZ</dc:language>
  <cp:lastModifiedBy/>
  <dcterms:modified xsi:type="dcterms:W3CDTF">2026-09-25T09:53:53Z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