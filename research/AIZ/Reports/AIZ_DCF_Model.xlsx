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<sst xmlns="http://schemas.openxmlformats.org/spreadsheetml/2006/main" count="390" uniqueCount="175">
  <si>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</si>
  <si>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AIZ</t>
  </si>
  <si>
    <t xml:space="preserve">Company</t>
  </si>
  <si>
    <t xml:space="preserve">Assurant, Inc.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</si>
  <si>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</si>
  <si>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</si>
  <si>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</si>
  <si>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</si>
  <si>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2026-09-24T20:00:03Z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</si>
  <si>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</si>
  <si>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</si>
  <si>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</si>
  <si>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</si>
  <si>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</si>
  <si>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</si>
  <si>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</si>
  <si>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</si>
  <si>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</si>
  <si>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</si>
  <si>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</si>
  <si>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</si>
  <si>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2026-09-25T09:32:50Z</t>
  </si>
  <si>
    <t xml:space="preserve">Drivers file</t>
  </si>
  <si>
    <t xml:space="preserve">AIZ_Drivers.json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</si>
  <si>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</si>
  <si>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</si>
  <si>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</si>
  <si>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Assurant is legally an insurance holding company but economically a fee/premium-based protection distribution business (Global Lifestyle mobile/device protection and extended service contracts, Global Housing lender-placed and renters insurance) with short-tail claims and a small claims reserve ($2.1B) relative to a large but matched unearned-premium/DAC book ($20.9B/$10.2B) -- not a long-duration investment-float compounder. Owner FCF has been a clean, growing, non-noisy series over FY2022-2025 ($328.5M -&gt; $1,498.9M) tracking revenue and margin expansion, so this model uses the standard owner-FCF component DCF rather than the routing table's literal BVPS-compounding default for insurers -- see inputs.notes for the full balance-sheet evidence. A literal BVPS-compounding model would understate AIZ badly because book value has been held flat for two decades by a &gt;100%-of-earnings payout policy (buybacks + a 21-year dividend-growth streak), not by weak underlying earnings power.
key_risks_to_valuation: Partner concentration in Global Lifestyle -- loss or repricing of a major carrier/OEM relationship; Global Housing catastrophe and reserve-development volatility, flagged as increasing with climate change; Secular erosion of device-protection attach rates as smartphone replacement cycles lengthen and devices become more durable; Competitive intensity from privately-held Asurion (larger scale in mobile protection) and InsurTech entrants; Model-choice risk: if AIZ's claims tail lengthens or reserve volatility increases materially, the owner-FCF treatment used here would need to revert toward a book-value/reserve-adequacy framing</t>
  </si>
  <si>
    <t xml:space="preserve">Data sources</t>
  </si>
  <si>
    <t xml:space="preserve">price: Yahoo Finance chart API at inputs.price_as_of; 52-week range 206.03-303.94
financials: research/AIZ/Reports/AIZ_Metrics.csv (XBRL-sourced core_metrics) plus SEC XBRL companyfacts API (CIK0001267238) for total debt (us-gaap:UnsecuredDebt), capex (us-gaap:PaymentsToAcquirePropertyPlantAndEquipment), D&amp;A, tax and reserve/UPR/DAC balance-sheet detail not carried in the CSV
qualitative: research/AIZ/Reports/AIZ_Analysis.json</t>
  </si>
  <si>
    <t xml:space="preserve">Scenario narrative: bear</t>
  </si>
  <si>
    <t xml:space="preserve">A concentrated carrier/OEM partner is lost or repriced, device-protection attach rates erode secularly as replacement cycles lengthen, Global Housing catastrophe/reserve development worsens beyond the guided headwind, and competitive pricing from Asurion/InsurTechs compresses margin toward 10%.</t>
  </si>
  <si>
    <t xml:space="preserve">Scenario narrative: base</t>
  </si>
  <si>
    <t xml:space="preserve">Global Lifestyle scales recently won mobile/device partnerships into low-double-digit segment growth per FY2026 guidance; Global Housing grows modestly through normal catastrophe/reserve noise; EBITDA margin continues its FY2023-2025 expansion trend toward a mature ~12.2% on operating leverage and AI-enabled claims automation; revenue growth decelerates from ~8.5% to a 3% terminal rate.</t>
  </si>
  <si>
    <t xml:space="preserve">Scenario narrative: bull</t>
  </si>
  <si>
    <t xml:space="preserve">Partnership wins scale faster and stickier than guided, international Connected Living expansion and vehicle+mobile bundling add a second growth leg, Global Housing avoids major catastrophe years, and margin expands further to ~13.2% as buybacks accelerate.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</si>
  <si>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</si>
  <si>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</si>
  <si>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</si>
  <si>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</si>
  <si>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</si>
  <si>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</si>
  <si>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</si>
  <si>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</si>
  <si>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</si>
  <si>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</si>
  <si>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</si>
  <si>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</si>
  <si>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</si>
  <si>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</si>
  <si>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</si>
  <si>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</si>
  <si>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</si>
  <si>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</si>
  <si>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</si>
  <si>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</si>
  <si>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</si>
  <si>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</si>
  <si>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</si>
  <si>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</si>
  <si>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</si>
  <si>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</si>
  <si>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</si>
  <si>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</si>
  <si>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</si>
  <si>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</si>
  <si>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</si>
  <si>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</si>
  <si>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</si>
  <si>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</si>
  <si>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</si>
  <si>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</si>
  <si>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</si>
  <si>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</si>
  <si>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</si>
  <si>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</si>
  <si>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</si>
  <si>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</si>
  <si>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</si>
  <si>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</si>
  <si>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</si>
  <si>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</si>
  <si>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</si>
  <si>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</si>
  <si>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</si>
  <si>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</si>
  <si>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</si>
  <si>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</si>
  <si>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</si>
  <si>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</si>
  <si>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</si>
  <si>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</si>
  <si>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</si>
  <si>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</si>
  <si>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</si>
  <si>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</si>
  <si>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</si>
  <si>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</si>
  <si>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</si>
  <si>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</si>
  <si>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</si>
  <si>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</si>
  <si>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</si>
  <si>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</si>
  <si>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</si>
  <si>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</si>
  <si>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</si>
  <si>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</si>
  <si>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</si>
  <si>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</si>
  <si>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</si>
  <si>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</si>
  <si>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</si>
  <si>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</si>
  <si>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</si>
  <si>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</si>
  <si>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</si>
  <si>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</si>
  <si>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</si>
  <si>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</si>
  <si>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AIZ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</si>
  <si>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</si>
  <si>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</si>
  <si>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</si>
  <si>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</si>
  <si>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</si>
  <si>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</si>
  <si>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</si>
  <si>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</si>
  <si>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</si>
  <si>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</si>
  <si>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</si>
  <si>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</si>
  <si>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</si>
  <si>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</si>
  <si>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</si>
  <si>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</si>
  <si>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</si>
  <si>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</si>
  <si>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</si>
  <si>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</si>
  <si>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</si>
  <si>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</si>
  <si>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</si>
  <si>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</si>
  <si>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</si>
  <si>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</si>
  <si>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</si>
  <si>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</si>
  <si>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</si>
  <si>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</si>
  <si>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AIZ owner-FCF component DCF: base case (millions, USD)</t>
  </si>
  <si>
    <t xml:space="preserve">AIZ owner-FCF component DCF: bull case (millions, USD)</t>
  </si>
  <si>
    <t xml:space="preserve">AIZ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</si>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</sst>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261.86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3832.597</v>
      </c>
      <c r="S2" s="0" t="n">
        <v>987.672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8453.515</v>
      </c>
      <c r="I3" s="0" t="n">
        <v>653.746</v>
      </c>
      <c r="J3" s="0" t="n">
        <v>7.73342213268682</v>
      </c>
      <c r="K3" s="0" t="n">
        <v>5.38</v>
      </c>
      <c r="L3" s="0" t="n">
        <v>1203.561</v>
      </c>
      <c r="M3" s="0" t="n">
        <v>58.676</v>
      </c>
      <c r="N3" s="0" t="n">
        <v>1144.885</v>
      </c>
      <c r="O3" s="0" t="n">
        <v>4088.903</v>
      </c>
      <c r="S3" s="0" t="n">
        <v>804.964</v>
      </c>
      <c r="T3" s="0" t="n">
        <v>121.559567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8601.228</v>
      </c>
      <c r="I4" s="0" t="n">
        <v>447.796</v>
      </c>
      <c r="J4" s="0" t="n">
        <v>5.20618683750739</v>
      </c>
      <c r="K4" s="0" t="n">
        <v>3.76</v>
      </c>
      <c r="L4" s="0" t="n">
        <v>999.135</v>
      </c>
      <c r="M4" s="0" t="n">
        <v>56.068</v>
      </c>
      <c r="N4" s="0" t="n">
        <v>943.067</v>
      </c>
      <c r="O4" s="0" t="n">
        <v>3709.505</v>
      </c>
      <c r="P4" s="0" t="n">
        <v>24514.586</v>
      </c>
      <c r="Q4" s="0" t="n">
        <v>20805.081</v>
      </c>
      <c r="S4" s="0" t="n">
        <v>1040.684</v>
      </c>
      <c r="T4" s="0" t="n">
        <v>117.368534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8700.501</v>
      </c>
      <c r="I5" s="0" t="n">
        <v>430.574</v>
      </c>
      <c r="J5" s="0" t="n">
        <v>4.94884145177387</v>
      </c>
      <c r="K5" s="0" t="n">
        <v>3.63</v>
      </c>
      <c r="L5" s="0" t="n">
        <v>269.925</v>
      </c>
      <c r="M5" s="0" t="n">
        <v>55.885</v>
      </c>
      <c r="N5" s="0" t="n">
        <v>214.04</v>
      </c>
      <c r="O5" s="0" t="n">
        <v>4707.156</v>
      </c>
      <c r="P5" s="0" t="n">
        <v>25860.667</v>
      </c>
      <c r="Q5" s="0" t="n">
        <v>21007.418</v>
      </c>
      <c r="S5" s="0" t="n">
        <v>1318.552</v>
      </c>
      <c r="T5" s="0" t="n">
        <v>116.648714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8527.722</v>
      </c>
      <c r="I6" s="0" t="n">
        <v>278.607</v>
      </c>
      <c r="J6" s="0" t="n">
        <v>3.26707413773573</v>
      </c>
      <c r="K6" s="0" t="n">
        <v>2.5</v>
      </c>
      <c r="L6" s="0" t="n">
        <v>540.742</v>
      </c>
      <c r="M6" s="0" t="n">
        <v>51.211</v>
      </c>
      <c r="N6" s="0" t="n">
        <v>489.531</v>
      </c>
      <c r="O6" s="0" t="n">
        <v>4633.136</v>
      </c>
      <c r="P6" s="0" t="n">
        <v>26345.501</v>
      </c>
      <c r="Q6" s="0" t="n">
        <v>21712.365</v>
      </c>
      <c r="S6" s="0" t="n">
        <v>1150.516</v>
      </c>
      <c r="T6" s="0" t="n">
        <v>102.000371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8272.804</v>
      </c>
      <c r="I7" s="0" t="n">
        <v>538.956</v>
      </c>
      <c r="J7" s="0" t="n">
        <v>6.51479232434372</v>
      </c>
      <c r="K7" s="0" t="n">
        <v>5.51</v>
      </c>
      <c r="L7" s="0" t="n">
        <v>855.304</v>
      </c>
      <c r="M7" s="0" t="n">
        <v>35.747</v>
      </c>
      <c r="N7" s="0" t="n">
        <v>819.557</v>
      </c>
      <c r="O7" s="0" t="n">
        <v>4873.95</v>
      </c>
      <c r="P7" s="0" t="n">
        <v>27019.862</v>
      </c>
      <c r="Q7" s="0" t="n">
        <v>22145.912</v>
      </c>
      <c r="S7" s="0" t="n">
        <v>1166.713</v>
      </c>
      <c r="T7" s="0" t="n">
        <v>88.524374</v>
      </c>
      <c r="U7" s="0" t="n">
        <v>36.888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8508.27</v>
      </c>
      <c r="I8" s="0" t="n">
        <v>483.705</v>
      </c>
      <c r="J8" s="0" t="n">
        <v>5.68511577559245</v>
      </c>
      <c r="K8" s="0" t="n">
        <v>5.67</v>
      </c>
      <c r="L8" s="0" t="n">
        <v>679.698</v>
      </c>
      <c r="M8" s="0" t="n">
        <v>56.457</v>
      </c>
      <c r="N8" s="0" t="n">
        <v>623.241</v>
      </c>
      <c r="O8" s="0" t="n">
        <v>5185.366</v>
      </c>
      <c r="P8" s="0" t="n">
        <v>28946.607</v>
      </c>
      <c r="Q8" s="0" t="n">
        <v>23761.241</v>
      </c>
      <c r="S8" s="0" t="n">
        <v>909.404</v>
      </c>
      <c r="T8" s="0" t="n">
        <v>78.664029</v>
      </c>
      <c r="U8" s="0" t="n">
        <v>37.589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9047.657</v>
      </c>
      <c r="I9" s="0" t="n">
        <v>488.907</v>
      </c>
      <c r="J9" s="0" t="n">
        <v>5.4036862803265</v>
      </c>
      <c r="K9" s="0" t="n">
        <v>6.3</v>
      </c>
      <c r="M9" s="0" t="n">
        <v>52.326</v>
      </c>
      <c r="O9" s="0" t="n">
        <v>4833.479</v>
      </c>
      <c r="P9" s="0" t="n">
        <v>29714.689</v>
      </c>
      <c r="Q9" s="0" t="n">
        <v>24881.21</v>
      </c>
      <c r="S9" s="0" t="n">
        <v>1717.184</v>
      </c>
      <c r="T9" s="0" t="n">
        <v>71.828208</v>
      </c>
      <c r="U9" s="0" t="n">
        <v>50.004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10381.653</v>
      </c>
      <c r="I10" s="0" t="n">
        <v>470.907</v>
      </c>
      <c r="J10" s="0" t="n">
        <v>4.53595395646531</v>
      </c>
      <c r="K10" s="0" t="n">
        <v>6.44</v>
      </c>
      <c r="M10" s="0" t="n">
        <v>83.603</v>
      </c>
      <c r="O10" s="0" t="n">
        <v>5181.3</v>
      </c>
      <c r="P10" s="0" t="n">
        <v>31562.466</v>
      </c>
      <c r="Q10" s="0" t="n">
        <v>26381.159</v>
      </c>
      <c r="S10" s="0" t="n">
        <v>1318.6</v>
      </c>
      <c r="T10" s="0" t="n">
        <v>69.299559</v>
      </c>
      <c r="U10" s="0" t="n">
        <v>49.354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10325.5</v>
      </c>
      <c r="I11" s="0" t="n">
        <v>141.6</v>
      </c>
      <c r="J11" s="0" t="n">
        <v>1.37136216163866</v>
      </c>
      <c r="K11" s="0" t="n">
        <v>2.05</v>
      </c>
      <c r="L11" s="0" t="n">
        <v>229.9</v>
      </c>
      <c r="M11" s="0" t="n">
        <v>114.9</v>
      </c>
      <c r="N11" s="0" t="n">
        <v>115</v>
      </c>
      <c r="O11" s="0" t="n">
        <v>4524</v>
      </c>
      <c r="P11" s="0" t="n">
        <v>30036.402</v>
      </c>
      <c r="Q11" s="0" t="n">
        <v>25512.435</v>
      </c>
      <c r="S11" s="0" t="n">
        <v>1288.3</v>
      </c>
      <c r="T11" s="0" t="n">
        <v>65.850386</v>
      </c>
      <c r="U11" s="0" t="n">
        <v>38.8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7531.8</v>
      </c>
      <c r="I12" s="0" t="n">
        <v>565.4</v>
      </c>
      <c r="J12" s="0" t="n">
        <v>7.50683767492499</v>
      </c>
      <c r="K12" s="0" t="n">
        <v>9.13</v>
      </c>
      <c r="L12" s="0" t="n">
        <v>108.6</v>
      </c>
      <c r="M12" s="0" t="n">
        <v>85.2</v>
      </c>
      <c r="N12" s="0" t="n">
        <v>23.4</v>
      </c>
      <c r="O12" s="0" t="n">
        <v>4098.1</v>
      </c>
      <c r="P12" s="0" t="n">
        <v>29709.1</v>
      </c>
      <c r="Q12" s="0" t="n">
        <v>25611</v>
      </c>
      <c r="S12" s="0" t="n">
        <v>1032</v>
      </c>
      <c r="T12" s="0" t="n">
        <v>55.94148</v>
      </c>
      <c r="U12" s="0" t="n">
        <v>41.6</v>
      </c>
      <c r="V12" s="0" t="n">
        <v>2.03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6415</v>
      </c>
      <c r="I13" s="0" t="n">
        <v>519.6</v>
      </c>
      <c r="J13" s="0" t="n">
        <v>8.09976617303196</v>
      </c>
      <c r="K13" s="0" t="n">
        <v>9.39</v>
      </c>
      <c r="L13" s="0" t="n">
        <v>530.4</v>
      </c>
      <c r="M13" s="0" t="n">
        <v>62.1</v>
      </c>
      <c r="N13" s="0" t="n">
        <v>468.3</v>
      </c>
      <c r="O13" s="0" t="n">
        <v>4281.5</v>
      </c>
      <c r="P13" s="0" t="n">
        <v>31843</v>
      </c>
      <c r="Q13" s="0" t="n">
        <v>27561.5</v>
      </c>
      <c r="R13" s="0" t="n">
        <v>1068.2</v>
      </c>
      <c r="S13" s="0" t="n">
        <v>996.8</v>
      </c>
      <c r="T13" s="0" t="n">
        <v>52.417812</v>
      </c>
      <c r="U13" s="0" t="n">
        <v>35.5</v>
      </c>
      <c r="V13" s="0" t="n">
        <v>2.15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8057.6</v>
      </c>
      <c r="I14" s="0" t="n">
        <v>251</v>
      </c>
      <c r="J14" s="0" t="n">
        <v>3.1150714853058</v>
      </c>
      <c r="K14" s="0" t="n">
        <v>3.98</v>
      </c>
      <c r="L14" s="0" t="n">
        <v>656.7</v>
      </c>
      <c r="M14" s="0" t="n">
        <v>82.8</v>
      </c>
      <c r="N14" s="0" t="n">
        <v>573.9</v>
      </c>
      <c r="O14" s="0" t="n">
        <v>5133.9</v>
      </c>
      <c r="P14" s="0" t="n">
        <v>41089.3</v>
      </c>
      <c r="Q14" s="0" t="n">
        <v>35955.4</v>
      </c>
      <c r="R14" s="0" t="n">
        <v>2006</v>
      </c>
      <c r="S14" s="0" t="n">
        <v>1254</v>
      </c>
      <c r="T14" s="0" t="n">
        <v>61.908979</v>
      </c>
      <c r="U14" s="0" t="n">
        <v>57.1</v>
      </c>
      <c r="V14" s="0" t="n">
        <v>2.28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9569.1</v>
      </c>
      <c r="I15" s="0" t="n">
        <v>382.6</v>
      </c>
      <c r="J15" s="0" t="n">
        <v>3.99828615021266</v>
      </c>
      <c r="K15" s="0" t="n">
        <v>5.84</v>
      </c>
      <c r="L15" s="0" t="n">
        <v>1413.4</v>
      </c>
      <c r="M15" s="0" t="n">
        <v>110.3</v>
      </c>
      <c r="N15" s="0" t="n">
        <v>1303.1</v>
      </c>
      <c r="O15" s="0" t="n">
        <v>5667.9</v>
      </c>
      <c r="P15" s="0" t="n">
        <v>44291.2</v>
      </c>
      <c r="Q15" s="0" t="n">
        <v>38609.1</v>
      </c>
      <c r="R15" s="0" t="n">
        <v>2006.9</v>
      </c>
      <c r="S15" s="0" t="n">
        <v>1867.1</v>
      </c>
      <c r="T15" s="0" t="n">
        <v>59.945893</v>
      </c>
      <c r="U15" s="0" t="n">
        <v>55.9</v>
      </c>
      <c r="V15" s="0" t="n">
        <v>2.43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9597.6</v>
      </c>
      <c r="I16" s="0" t="n">
        <v>440.8</v>
      </c>
      <c r="J16" s="0" t="n">
        <v>4.59281487038426</v>
      </c>
      <c r="K16" s="0" t="n">
        <v>6.98</v>
      </c>
      <c r="L16" s="0" t="n">
        <v>1342</v>
      </c>
      <c r="M16" s="0" t="n">
        <v>121.2</v>
      </c>
      <c r="N16" s="0" t="n">
        <v>1220.8</v>
      </c>
      <c r="O16" s="0" t="n">
        <v>5939.6</v>
      </c>
      <c r="P16" s="0" t="n">
        <v>44649.9</v>
      </c>
      <c r="Q16" s="0" t="n">
        <v>38695.1</v>
      </c>
      <c r="S16" s="0" t="n">
        <v>2207.6</v>
      </c>
      <c r="T16" s="0" t="n">
        <v>57.967808</v>
      </c>
      <c r="U16" s="0" t="n">
        <v>57.9</v>
      </c>
      <c r="V16" s="0" t="n">
        <v>2.55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10187.6</v>
      </c>
      <c r="I17" s="0" t="n">
        <v>1361.8</v>
      </c>
      <c r="J17" s="0" t="n">
        <v>13.3672307511092</v>
      </c>
      <c r="K17" s="0" t="n">
        <v>22.66</v>
      </c>
      <c r="L17" s="0" t="n">
        <v>781.7</v>
      </c>
      <c r="M17" s="0" t="n">
        <v>187.4</v>
      </c>
      <c r="N17" s="0" t="n">
        <v>594.3</v>
      </c>
      <c r="O17" s="0" t="n">
        <v>5464.1</v>
      </c>
      <c r="P17" s="0" t="n">
        <v>33920.6</v>
      </c>
      <c r="Q17" s="0" t="n">
        <v>28456.5</v>
      </c>
      <c r="S17" s="0" t="n">
        <v>2040.8</v>
      </c>
      <c r="T17" s="0" t="n">
        <v>55.754113</v>
      </c>
      <c r="U17" s="0" t="n">
        <v>66.7</v>
      </c>
      <c r="V17" s="0" t="n">
        <v>2.66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10193</v>
      </c>
      <c r="I18" s="0" t="n">
        <v>276.6</v>
      </c>
      <c r="J18" s="0" t="n">
        <v>2.71362699892083</v>
      </c>
      <c r="K18" s="0" t="n">
        <v>5.05</v>
      </c>
      <c r="L18" s="0" t="n">
        <v>596.9</v>
      </c>
      <c r="M18" s="0" t="n">
        <v>186.3</v>
      </c>
      <c r="N18" s="0" t="n">
        <v>410.6</v>
      </c>
      <c r="O18" s="0" t="n">
        <v>4228.7</v>
      </c>
      <c r="P18" s="0" t="n">
        <v>33117.3</v>
      </c>
      <c r="Q18" s="0" t="n">
        <v>28888.6</v>
      </c>
      <c r="S18" s="0" t="n">
        <v>1536.7</v>
      </c>
      <c r="T18" s="0" t="n">
        <v>52.830381</v>
      </c>
      <c r="U18" s="0" t="n">
        <v>62.6</v>
      </c>
      <c r="V18" s="0" t="n">
        <v>2.74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11131.6</v>
      </c>
      <c r="I19" s="0" t="n">
        <v>642.5</v>
      </c>
      <c r="J19" s="0" t="n">
        <v>5.77185669625211</v>
      </c>
      <c r="K19" s="0" t="n">
        <v>11.95</v>
      </c>
      <c r="L19" s="0" t="n">
        <v>1138.1</v>
      </c>
      <c r="M19" s="0" t="n">
        <v>202.5</v>
      </c>
      <c r="N19" s="0" t="n">
        <v>935.6</v>
      </c>
      <c r="O19" s="0" t="n">
        <v>4809.5</v>
      </c>
      <c r="P19" s="0" t="n">
        <v>33635.2</v>
      </c>
      <c r="Q19" s="0" t="n">
        <v>28825.7</v>
      </c>
      <c r="S19" s="0" t="n">
        <v>1627.4</v>
      </c>
      <c r="T19" s="0" t="n">
        <v>53.19831</v>
      </c>
      <c r="U19" s="0" t="n">
        <v>75.1</v>
      </c>
      <c r="V19" s="0" t="n">
        <v>2.82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11877.5</v>
      </c>
      <c r="I20" s="0" t="n">
        <v>760.2</v>
      </c>
      <c r="J20" s="0" t="n">
        <v>6.40033677120606</v>
      </c>
      <c r="K20" s="0" t="n">
        <v>14.46</v>
      </c>
      <c r="L20" s="0" t="n">
        <v>1332.7</v>
      </c>
      <c r="M20" s="0" t="n">
        <v>221.3</v>
      </c>
      <c r="N20" s="0" t="n">
        <v>1111.4</v>
      </c>
      <c r="O20" s="0" t="n">
        <v>5106.7</v>
      </c>
      <c r="P20" s="0" t="n">
        <v>35020.6</v>
      </c>
      <c r="Q20" s="0" t="n">
        <v>29913.9</v>
      </c>
      <c r="S20" s="0" t="n">
        <v>1807.7</v>
      </c>
      <c r="T20" s="0" t="n">
        <v>52.052961</v>
      </c>
      <c r="U20" s="0" t="n">
        <v>81.1</v>
      </c>
      <c r="V20" s="0" t="n">
        <v>2.96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12814.3</v>
      </c>
      <c r="I21" s="0" t="n">
        <v>872.7</v>
      </c>
      <c r="J21" s="0" t="n">
        <v>6.81036030060167</v>
      </c>
      <c r="K21" s="0" t="n">
        <v>16.93</v>
      </c>
      <c r="L21" s="0" t="n">
        <v>1833.9</v>
      </c>
      <c r="M21" s="0" t="n">
        <v>235.5</v>
      </c>
      <c r="N21" s="0" t="n">
        <v>1598.4</v>
      </c>
      <c r="O21" s="0" t="n">
        <v>5871.6</v>
      </c>
      <c r="P21" s="0" t="n">
        <v>36289.6</v>
      </c>
      <c r="Q21" s="0" t="n">
        <v>30418</v>
      </c>
      <c r="S21" s="0" t="n">
        <v>1834.1</v>
      </c>
      <c r="T21" s="0" t="n">
        <v>51.086649</v>
      </c>
      <c r="U21" s="0" t="n">
        <v>85.7</v>
      </c>
      <c r="V21" s="0" t="n">
        <v>3.28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261.86</v>
      </c>
    </row>
    <row r="3" customFormat="false" ht="15" hidden="false" customHeight="false" outlineLevel="0" collapsed="false">
      <c r="A3" s="0" t="s">
        <v>86</v>
      </c>
      <c r="B3" s="3" t="n">
        <v>49.831</v>
      </c>
    </row>
    <row r="4" customFormat="false" ht="15" hidden="false" customHeight="false" outlineLevel="0" collapsed="false">
      <c r="A4" s="0" t="s">
        <v>87</v>
      </c>
      <c r="B4" s="3" t="n">
        <v>509.4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12814.3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4</v>
      </c>
      <c r="D13" s="3" t="n">
        <v>3</v>
      </c>
      <c r="E13" s="3" t="n">
        <v>2.5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10.4</v>
      </c>
      <c r="D14" s="3" t="n">
        <v>10.2</v>
      </c>
      <c r="E14" s="3" t="n">
        <v>10</v>
      </c>
      <c r="F14" s="3" t="n">
        <v>9.8</v>
      </c>
      <c r="G14" s="3" t="n">
        <v>9.6</v>
      </c>
      <c r="H14" s="3" t="n">
        <v>9.5</v>
      </c>
      <c r="I14" s="3" t="n">
        <v>9.5</v>
      </c>
      <c r="J14" s="3" t="n">
        <v>9.5</v>
      </c>
      <c r="K14" s="3" t="n">
        <v>9.5</v>
      </c>
      <c r="L14" s="3" t="n">
        <v>9.5</v>
      </c>
    </row>
    <row r="15" customFormat="false" ht="15" hidden="false" customHeight="false" outlineLevel="0" collapsed="false">
      <c r="A15" s="0" t="s">
        <v>108</v>
      </c>
      <c r="C15" s="3" t="n">
        <v>0.85</v>
      </c>
      <c r="D15" s="3" t="n">
        <v>0.85</v>
      </c>
      <c r="E15" s="3" t="n">
        <v>0.85</v>
      </c>
      <c r="F15" s="3" t="n">
        <v>0.85</v>
      </c>
      <c r="G15" s="3" t="n">
        <v>0.85</v>
      </c>
      <c r="H15" s="3" t="n">
        <v>0.85</v>
      </c>
      <c r="I15" s="3" t="n">
        <v>0.85</v>
      </c>
      <c r="J15" s="3" t="n">
        <v>0.85</v>
      </c>
      <c r="K15" s="3" t="n">
        <v>0.85</v>
      </c>
      <c r="L15" s="3" t="n">
        <v>0.85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</row>
    <row r="18" customFormat="false" ht="15" hidden="false" customHeight="false" outlineLevel="0" collapsed="false">
      <c r="A18" s="0" t="s">
        <v>111</v>
      </c>
      <c r="C18" s="3" t="n">
        <v>1.95</v>
      </c>
      <c r="D18" s="3" t="n">
        <v>1.95</v>
      </c>
      <c r="E18" s="3" t="n">
        <v>1.95</v>
      </c>
      <c r="F18" s="3" t="n">
        <v>1.95</v>
      </c>
      <c r="G18" s="3" t="n">
        <v>1.95</v>
      </c>
      <c r="H18" s="3" t="n">
        <v>1.95</v>
      </c>
      <c r="I18" s="3" t="n">
        <v>1.95</v>
      </c>
      <c r="J18" s="3" t="n">
        <v>1.95</v>
      </c>
      <c r="K18" s="3" t="n">
        <v>1.95</v>
      </c>
      <c r="L18" s="3" t="n">
        <v>1.95</v>
      </c>
    </row>
    <row r="19" customFormat="false" ht="15" hidden="false" customHeight="false" outlineLevel="0" collapsed="false">
      <c r="A19" s="0" t="s">
        <v>112</v>
      </c>
      <c r="C19" s="3" t="n">
        <v>26</v>
      </c>
      <c r="D19" s="3" t="n">
        <v>26.5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113</v>
      </c>
      <c r="B20" s="3" t="n">
        <v>9.5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11</v>
      </c>
    </row>
    <row r="23" customFormat="false" ht="15" hidden="false" customHeight="false" outlineLevel="0" collapsed="false">
      <c r="A23" s="0" t="s">
        <v>116</v>
      </c>
      <c r="B23" s="3" t="n">
        <v>6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7.5</v>
      </c>
      <c r="D27" s="3" t="n">
        <v>7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10.9</v>
      </c>
      <c r="D28" s="3" t="n">
        <v>11.2</v>
      </c>
      <c r="E28" s="3" t="n">
        <v>11.5</v>
      </c>
      <c r="F28" s="3" t="n">
        <v>11.8</v>
      </c>
      <c r="G28" s="3" t="n">
        <v>12</v>
      </c>
      <c r="H28" s="3" t="n">
        <v>12.1</v>
      </c>
      <c r="I28" s="3" t="n">
        <v>12.2</v>
      </c>
      <c r="J28" s="3" t="n">
        <v>12.2</v>
      </c>
      <c r="K28" s="3" t="n">
        <v>12.2</v>
      </c>
      <c r="L28" s="3" t="n">
        <v>12.2</v>
      </c>
    </row>
    <row r="29" customFormat="false" ht="15" hidden="false" customHeight="false" outlineLevel="0" collapsed="false">
      <c r="A29" s="0" t="s">
        <v>108</v>
      </c>
      <c r="C29" s="3" t="n">
        <v>0.78</v>
      </c>
      <c r="D29" s="3" t="n">
        <v>0.76</v>
      </c>
      <c r="E29" s="3" t="n">
        <v>0.74</v>
      </c>
      <c r="F29" s="3" t="n">
        <v>0.72</v>
      </c>
      <c r="G29" s="3" t="n">
        <v>0.7</v>
      </c>
      <c r="H29" s="3" t="n">
        <v>0.68</v>
      </c>
      <c r="I29" s="3" t="n">
        <v>0.66</v>
      </c>
      <c r="J29" s="3" t="n">
        <v>0.64</v>
      </c>
      <c r="K29" s="3" t="n">
        <v>0.62</v>
      </c>
      <c r="L29" s="3" t="n">
        <v>0.6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1.95</v>
      </c>
      <c r="D31" s="3" t="n">
        <v>1.95</v>
      </c>
      <c r="E31" s="3" t="n">
        <v>1.93</v>
      </c>
      <c r="F31" s="3" t="n">
        <v>1.92</v>
      </c>
      <c r="G31" s="3" t="n">
        <v>1.9</v>
      </c>
      <c r="H31" s="3" t="n">
        <v>1.9</v>
      </c>
      <c r="I31" s="3" t="n">
        <v>1.9</v>
      </c>
      <c r="J31" s="3" t="n">
        <v>1.9</v>
      </c>
      <c r="K31" s="3" t="n">
        <v>1.9</v>
      </c>
      <c r="L31" s="3" t="n">
        <v>1.9</v>
      </c>
    </row>
    <row r="32" customFormat="false" ht="15" hidden="false" customHeight="false" outlineLevel="0" collapsed="false">
      <c r="A32" s="0" t="s">
        <v>111</v>
      </c>
      <c r="C32" s="3" t="n">
        <v>1.85</v>
      </c>
      <c r="D32" s="3" t="n">
        <v>1.85</v>
      </c>
      <c r="E32" s="3" t="n">
        <v>1.85</v>
      </c>
      <c r="F32" s="3" t="n">
        <v>1.85</v>
      </c>
      <c r="G32" s="3" t="n">
        <v>1.85</v>
      </c>
      <c r="H32" s="3" t="n">
        <v>1.85</v>
      </c>
      <c r="I32" s="3" t="n">
        <v>1.85</v>
      </c>
      <c r="J32" s="3" t="n">
        <v>1.85</v>
      </c>
      <c r="K32" s="3" t="n">
        <v>1.85</v>
      </c>
      <c r="L32" s="3" t="n">
        <v>1.85</v>
      </c>
    </row>
    <row r="33" customFormat="false" ht="15" hidden="false" customHeight="false" outlineLevel="0" collapsed="false">
      <c r="A33" s="0" t="s">
        <v>112</v>
      </c>
      <c r="C33" s="3" t="n">
        <v>24</v>
      </c>
      <c r="D33" s="3" t="n">
        <v>24.5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113</v>
      </c>
      <c r="B34" s="3" t="n">
        <v>8.5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10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12</v>
      </c>
      <c r="D41" s="3" t="n">
        <v>11</v>
      </c>
      <c r="E41" s="3" t="n">
        <v>9.5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11.3</v>
      </c>
      <c r="D42" s="3" t="n">
        <v>11.8</v>
      </c>
      <c r="E42" s="3" t="n">
        <v>12.3</v>
      </c>
      <c r="F42" s="3" t="n">
        <v>12.7</v>
      </c>
      <c r="G42" s="3" t="n">
        <v>13</v>
      </c>
      <c r="H42" s="3" t="n">
        <v>13.2</v>
      </c>
      <c r="I42" s="3" t="n">
        <v>13.2</v>
      </c>
      <c r="J42" s="3" t="n">
        <v>13.2</v>
      </c>
      <c r="K42" s="3" t="n">
        <v>13.2</v>
      </c>
      <c r="L42" s="3" t="n">
        <v>13.2</v>
      </c>
    </row>
    <row r="43" customFormat="false" ht="15" hidden="false" customHeight="false" outlineLevel="0" collapsed="false">
      <c r="A43" s="0" t="s">
        <v>108</v>
      </c>
      <c r="C43" s="3" t="n">
        <v>0.75</v>
      </c>
      <c r="D43" s="3" t="n">
        <v>0.72</v>
      </c>
      <c r="E43" s="3" t="n">
        <v>0.7</v>
      </c>
      <c r="F43" s="3" t="n">
        <v>0.68</v>
      </c>
      <c r="G43" s="3" t="n">
        <v>0.65</v>
      </c>
      <c r="H43" s="3" t="n">
        <v>0.63</v>
      </c>
      <c r="I43" s="3" t="n">
        <v>0.61</v>
      </c>
      <c r="J43" s="3" t="n">
        <v>0.59</v>
      </c>
      <c r="K43" s="3" t="n">
        <v>0.57</v>
      </c>
      <c r="L43" s="3" t="n">
        <v>0.55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1.93</v>
      </c>
      <c r="D45" s="3" t="n">
        <v>1.9</v>
      </c>
      <c r="E45" s="3" t="n">
        <v>1.88</v>
      </c>
      <c r="F45" s="3" t="n">
        <v>1.86</v>
      </c>
      <c r="G45" s="3" t="n">
        <v>1.85</v>
      </c>
      <c r="H45" s="3" t="n">
        <v>1.85</v>
      </c>
      <c r="I45" s="3" t="n">
        <v>1.85</v>
      </c>
      <c r="J45" s="3" t="n">
        <v>1.85</v>
      </c>
      <c r="K45" s="3" t="n">
        <v>1.85</v>
      </c>
      <c r="L45" s="3" t="n">
        <v>1.85</v>
      </c>
    </row>
    <row r="46" customFormat="false" ht="15" hidden="false" customHeight="false" outlineLevel="0" collapsed="false">
      <c r="A46" s="0" t="s">
        <v>111</v>
      </c>
      <c r="C46" s="3" t="n">
        <v>1.8</v>
      </c>
      <c r="D46" s="3" t="n">
        <v>1.8</v>
      </c>
      <c r="E46" s="3" t="n">
        <v>1.8</v>
      </c>
      <c r="F46" s="3" t="n">
        <v>1.8</v>
      </c>
      <c r="G46" s="3" t="n">
        <v>1.8</v>
      </c>
      <c r="H46" s="3" t="n">
        <v>1.8</v>
      </c>
      <c r="I46" s="3" t="n">
        <v>1.8</v>
      </c>
      <c r="J46" s="3" t="n">
        <v>1.8</v>
      </c>
      <c r="K46" s="3" t="n">
        <v>1.8</v>
      </c>
      <c r="L46" s="3" t="n">
        <v>1.8</v>
      </c>
    </row>
    <row r="47" customFormat="false" ht="15" hidden="false" customHeight="false" outlineLevel="0" collapsed="false">
      <c r="A47" s="0" t="s">
        <v>112</v>
      </c>
      <c r="C47" s="3" t="n">
        <v>23</v>
      </c>
      <c r="D47" s="3" t="n">
        <v>23.5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8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17</v>
      </c>
    </row>
    <row r="51" customFormat="false" ht="15" hidden="false" customHeight="false" outlineLevel="0" collapsed="false">
      <c r="A51" s="0" t="s">
        <v>116</v>
      </c>
      <c r="B51" s="3" t="n">
        <v>12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4</v>
      </c>
      <c r="D5" s="4" t="n">
        <f aca="false">Assumptions!D13</f>
        <v>3</v>
      </c>
      <c r="E5" s="4" t="n">
        <f aca="false">Assumptions!E13</f>
        <v>2.5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12814.3</v>
      </c>
      <c r="C6" s="0" t="n">
        <f aca="false">B6*(1+C5/100)</f>
        <v>13326.872</v>
      </c>
      <c r="D6" s="0" t="n">
        <f aca="false">C6*(1+D5/100)</f>
        <v>13726.67816</v>
      </c>
      <c r="E6" s="0" t="n">
        <f aca="false">D6*(1+E5/100)</f>
        <v>14069.845114</v>
      </c>
      <c r="F6" s="0" t="n">
        <f aca="false">E6*(1+F5/100)</f>
        <v>14351.24201628</v>
      </c>
      <c r="G6" s="0" t="n">
        <f aca="false">F6*(1+G5/100)</f>
        <v>14638.2668566056</v>
      </c>
      <c r="H6" s="0" t="n">
        <f aca="false">G6*(1+H5/100)</f>
        <v>14931.0321937377</v>
      </c>
      <c r="I6" s="0" t="n">
        <f aca="false">H6*(1+I5/100)</f>
        <v>15229.6528376125</v>
      </c>
      <c r="J6" s="0" t="n">
        <f aca="false">I6*(1+J5/100)</f>
        <v>15534.2458943647</v>
      </c>
      <c r="K6" s="0" t="n">
        <f aca="false">J6*(1+K5/100)</f>
        <v>15844.930812252</v>
      </c>
      <c r="L6" s="0" t="n">
        <f aca="false">K6*(1+L5/100)</f>
        <v>16161.8294284971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10.4</v>
      </c>
      <c r="D7" s="4" t="n">
        <f aca="false">Assumptions!D14</f>
        <v>10.2</v>
      </c>
      <c r="E7" s="4" t="n">
        <f aca="false">Assumptions!E14</f>
        <v>10</v>
      </c>
      <c r="F7" s="4" t="n">
        <f aca="false">Assumptions!F14</f>
        <v>9.8</v>
      </c>
      <c r="G7" s="4" t="n">
        <f aca="false">Assumptions!G14</f>
        <v>9.6</v>
      </c>
      <c r="H7" s="4" t="n">
        <f aca="false">Assumptions!H14</f>
        <v>9.5</v>
      </c>
      <c r="I7" s="4" t="n">
        <f aca="false">Assumptions!I14</f>
        <v>9.5</v>
      </c>
      <c r="J7" s="4" t="n">
        <f aca="false">Assumptions!J14</f>
        <v>9.5</v>
      </c>
      <c r="K7" s="4" t="n">
        <f aca="false">Assumptions!K14</f>
        <v>9.5</v>
      </c>
      <c r="L7" s="4" t="n">
        <f aca="false">Assumptions!L14</f>
        <v>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1385.994688</v>
      </c>
      <c r="D8" s="0" t="n">
        <f aca="false">D6*D7/100</f>
        <v>1400.12117232</v>
      </c>
      <c r="E8" s="0" t="n">
        <f aca="false">E6*E7/100</f>
        <v>1406.9845114</v>
      </c>
      <c r="F8" s="0" t="n">
        <f aca="false">F6*F7/100</f>
        <v>1406.42171759544</v>
      </c>
      <c r="G8" s="0" t="n">
        <f aca="false">G6*G7/100</f>
        <v>1405.27361823414</v>
      </c>
      <c r="H8" s="0" t="n">
        <f aca="false">H6*H7/100</f>
        <v>1418.44805840508</v>
      </c>
      <c r="I8" s="0" t="n">
        <f aca="false">I6*I7/100</f>
        <v>1446.81701957318</v>
      </c>
      <c r="J8" s="0" t="n">
        <f aca="false">J6*J7/100</f>
        <v>1475.75335996465</v>
      </c>
      <c r="K8" s="0" t="n">
        <f aca="false">K6*K7/100</f>
        <v>1505.26842716394</v>
      </c>
      <c r="L8" s="0" t="n">
        <f aca="false">L6*L7/100</f>
        <v>1535.37379570722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0.85</v>
      </c>
      <c r="D9" s="4" t="n">
        <f aca="false">Assumptions!D15</f>
        <v>0.85</v>
      </c>
      <c r="E9" s="4" t="n">
        <f aca="false">Assumptions!E15</f>
        <v>0.85</v>
      </c>
      <c r="F9" s="4" t="n">
        <f aca="false">Assumptions!F15</f>
        <v>0.85</v>
      </c>
      <c r="G9" s="4" t="n">
        <f aca="false">Assumptions!G15</f>
        <v>0.85</v>
      </c>
      <c r="H9" s="4" t="n">
        <f aca="false">Assumptions!H15</f>
        <v>0.85</v>
      </c>
      <c r="I9" s="4" t="n">
        <f aca="false">Assumptions!I15</f>
        <v>0.85</v>
      </c>
      <c r="J9" s="4" t="n">
        <f aca="false">Assumptions!J15</f>
        <v>0.85</v>
      </c>
      <c r="K9" s="4" t="n">
        <f aca="false">Assumptions!K15</f>
        <v>0.85</v>
      </c>
      <c r="L9" s="4" t="n">
        <f aca="false">Assumptions!L15</f>
        <v>0.85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-113.278412</v>
      </c>
      <c r="D10" s="0" t="n">
        <f aca="false">-D6*D9/100</f>
        <v>-116.67676436</v>
      </c>
      <c r="E10" s="0" t="n">
        <f aca="false">-E6*E9/100</f>
        <v>-119.593683469</v>
      </c>
      <c r="F10" s="0" t="n">
        <f aca="false">-F6*F9/100</f>
        <v>-121.98555713838</v>
      </c>
      <c r="G10" s="0" t="n">
        <f aca="false">-G6*G9/100</f>
        <v>-124.425268281148</v>
      </c>
      <c r="H10" s="0" t="n">
        <f aca="false">-H6*H9/100</f>
        <v>-126.913773646771</v>
      </c>
      <c r="I10" s="0" t="n">
        <f aca="false">-I6*I9/100</f>
        <v>-129.452049119706</v>
      </c>
      <c r="J10" s="0" t="n">
        <f aca="false">-J6*J9/100</f>
        <v>-132.0410901021</v>
      </c>
      <c r="K10" s="0" t="n">
        <f aca="false">-K6*K9/100</f>
        <v>-134.681911904142</v>
      </c>
      <c r="L10" s="0" t="n">
        <f aca="false">-L6*L9/100</f>
        <v>-137.375550142225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1272.716276</v>
      </c>
      <c r="D11" s="0" t="n">
        <f aca="false">D8+D10+D24</f>
        <v>1283.44440796</v>
      </c>
      <c r="E11" s="0" t="n">
        <f aca="false">E8+E10+E24</f>
        <v>1287.390827931</v>
      </c>
      <c r="F11" s="0" t="n">
        <f aca="false">F8+F10+F24</f>
        <v>1284.43616045706</v>
      </c>
      <c r="G11" s="0" t="n">
        <f aca="false">G8+G10+G24</f>
        <v>1280.84834995299</v>
      </c>
      <c r="H11" s="0" t="n">
        <f aca="false">H8+H10+H24</f>
        <v>1291.53428475831</v>
      </c>
      <c r="I11" s="0" t="n">
        <f aca="false">I8+I10+I24</f>
        <v>1317.36497045348</v>
      </c>
      <c r="J11" s="0" t="n">
        <f aca="false">J8+J10+J24</f>
        <v>1343.71226986255</v>
      </c>
      <c r="K11" s="0" t="n">
        <f aca="false">K8+K10+K24</f>
        <v>1370.5865152598</v>
      </c>
      <c r="L11" s="0" t="n">
        <f aca="false">L8+L10+L24</f>
        <v>1397.99824556499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-266.53744</v>
      </c>
      <c r="D12" s="4" t="n">
        <f aca="false">-D6*Assumptions!D17/100</f>
        <v>-274.5335632</v>
      </c>
      <c r="E12" s="4" t="n">
        <f aca="false">-E6*Assumptions!E17/100</f>
        <v>-281.39690228</v>
      </c>
      <c r="F12" s="4" t="n">
        <f aca="false">-F6*Assumptions!F17/100</f>
        <v>-287.0248403256</v>
      </c>
      <c r="G12" s="4" t="n">
        <f aca="false">-G6*Assumptions!G17/100</f>
        <v>-292.765337132112</v>
      </c>
      <c r="H12" s="4" t="n">
        <f aca="false">-H6*Assumptions!H17/100</f>
        <v>-298.620643874754</v>
      </c>
      <c r="I12" s="4" t="n">
        <f aca="false">-I6*Assumptions!I17/100</f>
        <v>-304.593056752249</v>
      </c>
      <c r="J12" s="4" t="n">
        <f aca="false">-J6*Assumptions!J17/100</f>
        <v>-310.684917887294</v>
      </c>
      <c r="K12" s="4" t="n">
        <f aca="false">-K6*Assumptions!K17/100</f>
        <v>-316.89861624504</v>
      </c>
      <c r="L12" s="4" t="n">
        <f aca="false">-L6*Assumptions!L17/100</f>
        <v>-323.236588569941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1006.178836</v>
      </c>
      <c r="D13" s="0" t="n">
        <f aca="false">D11+D12</f>
        <v>1008.91084476</v>
      </c>
      <c r="E13" s="0" t="n">
        <f aca="false">E11+E12</f>
        <v>1005.993925651</v>
      </c>
      <c r="F13" s="0" t="n">
        <f aca="false">F11+F12</f>
        <v>997.41132013146</v>
      </c>
      <c r="G13" s="0" t="n">
        <f aca="false">G11+G12</f>
        <v>988.083012820878</v>
      </c>
      <c r="H13" s="0" t="n">
        <f aca="false">H11+H12</f>
        <v>992.913640883558</v>
      </c>
      <c r="I13" s="0" t="n">
        <f aca="false">I11+I12</f>
        <v>1012.77191370123</v>
      </c>
      <c r="J13" s="0" t="n">
        <f aca="false">J11+J12</f>
        <v>1033.02735197525</v>
      </c>
      <c r="K13" s="0" t="n">
        <f aca="false">K11+K12</f>
        <v>1053.68789901476</v>
      </c>
      <c r="L13" s="0" t="n">
        <f aca="false">L11+L12</f>
        <v>1074.76165699505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26</v>
      </c>
      <c r="D14" s="4" t="n">
        <f aca="false">Assumptions!D19</f>
        <v>26.5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744.57233864</v>
      </c>
      <c r="D15" s="0" t="n">
        <f aca="false">D13-MAX(0,D13)*D14/100</f>
        <v>741.5494708986</v>
      </c>
      <c r="E15" s="0" t="n">
        <f aca="false">E13-MAX(0,E13)*E14/100</f>
        <v>734.37556572523</v>
      </c>
      <c r="F15" s="0" t="n">
        <f aca="false">F13-MAX(0,F13)*F14/100</f>
        <v>728.110263695966</v>
      </c>
      <c r="G15" s="0" t="n">
        <f aca="false">G13-MAX(0,G13)*G14/100</f>
        <v>721.300599359241</v>
      </c>
      <c r="H15" s="0" t="n">
        <f aca="false">H13-MAX(0,H13)*H14/100</f>
        <v>724.826957844997</v>
      </c>
      <c r="I15" s="0" t="n">
        <f aca="false">I13-MAX(0,I13)*I14/100</f>
        <v>739.323497001897</v>
      </c>
      <c r="J15" s="0" t="n">
        <f aca="false">J13-MAX(0,J13)*J14/100</f>
        <v>754.109966941935</v>
      </c>
      <c r="K15" s="0" t="n">
        <f aca="false">K13-MAX(0,K13)*K14/100</f>
        <v>769.192166280774</v>
      </c>
      <c r="L15" s="0" t="n">
        <f aca="false">L13-MAX(0,L13)*L14/100</f>
        <v>784.576009606389</v>
      </c>
    </row>
    <row r="16" customFormat="false" ht="15" hidden="false" customHeight="false" outlineLevel="0" collapsed="false">
      <c r="A16" s="0" t="s">
        <v>128</v>
      </c>
      <c r="C16" s="0" t="n">
        <f aca="false">-C12</f>
        <v>266.53744</v>
      </c>
      <c r="D16" s="0" t="n">
        <f aca="false">-D12</f>
        <v>274.5335632</v>
      </c>
      <c r="E16" s="0" t="n">
        <f aca="false">-E12</f>
        <v>281.39690228</v>
      </c>
      <c r="F16" s="0" t="n">
        <f aca="false">-F12</f>
        <v>287.0248403256</v>
      </c>
      <c r="G16" s="0" t="n">
        <f aca="false">-G12</f>
        <v>292.765337132112</v>
      </c>
      <c r="H16" s="0" t="n">
        <f aca="false">-H12</f>
        <v>298.620643874754</v>
      </c>
      <c r="I16" s="0" t="n">
        <f aca="false">-I12</f>
        <v>304.593056752249</v>
      </c>
      <c r="J16" s="0" t="n">
        <f aca="false">-J12</f>
        <v>310.684917887294</v>
      </c>
      <c r="K16" s="0" t="n">
        <f aca="false">-K12</f>
        <v>316.89861624504</v>
      </c>
      <c r="L16" s="0" t="n">
        <f aca="false">-L12</f>
        <v>323.236588569941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-259.874004</v>
      </c>
      <c r="D17" s="4" t="n">
        <f aca="false">-D6*Assumptions!D18/100</f>
        <v>-267.67022412</v>
      </c>
      <c r="E17" s="4" t="n">
        <f aca="false">-E6*Assumptions!E18/100</f>
        <v>-274.361979723</v>
      </c>
      <c r="F17" s="4" t="n">
        <f aca="false">-F6*Assumptions!F18/100</f>
        <v>-279.84921931746</v>
      </c>
      <c r="G17" s="4" t="n">
        <f aca="false">-G6*Assumptions!G18/100</f>
        <v>-285.446203703809</v>
      </c>
      <c r="H17" s="4" t="n">
        <f aca="false">-H6*Assumptions!H18/100</f>
        <v>-291.155127777885</v>
      </c>
      <c r="I17" s="4" t="n">
        <f aca="false">-I6*Assumptions!I18/100</f>
        <v>-296.978230333443</v>
      </c>
      <c r="J17" s="4" t="n">
        <f aca="false">-J6*Assumptions!J18/100</f>
        <v>-302.917794940112</v>
      </c>
      <c r="K17" s="4" t="n">
        <f aca="false">-K6*Assumptions!K18/100</f>
        <v>-308.976150838914</v>
      </c>
      <c r="L17" s="4" t="n">
        <f aca="false">-L6*Assumptions!L18/100</f>
        <v>-315.155673855693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30.75432</v>
      </c>
      <c r="D18" s="4" t="n">
        <f aca="false">(D6-C6)*Assumptions!$B$23/100</f>
        <v>23.9883696</v>
      </c>
      <c r="E18" s="4" t="n">
        <f aca="false">(E6-D6)*Assumptions!$B$23/100</f>
        <v>20.5900172399999</v>
      </c>
      <c r="F18" s="4" t="n">
        <f aca="false">(F6-E6)*Assumptions!$B$23/100</f>
        <v>16.8838141368001</v>
      </c>
      <c r="G18" s="4" t="n">
        <f aca="false">(G6-F6)*Assumptions!$B$23/100</f>
        <v>17.2214904195361</v>
      </c>
      <c r="H18" s="4" t="n">
        <f aca="false">(H6-G6)*Assumptions!$B$23/100</f>
        <v>17.5659202279267</v>
      </c>
      <c r="I18" s="4" t="n">
        <f aca="false">(I6-H6)*Assumptions!$B$23/100</f>
        <v>17.9172386324852</v>
      </c>
      <c r="J18" s="4" t="n">
        <f aca="false">(J6-I6)*Assumptions!$B$23/100</f>
        <v>18.275583405135</v>
      </c>
      <c r="K18" s="4" t="n">
        <f aca="false">(K6-J6)*Assumptions!$B$23/100</f>
        <v>18.6410950732377</v>
      </c>
      <c r="L18" s="4" t="n">
        <f aca="false">(L6-K6)*Assumptions!$B$23/100</f>
        <v>19.0139169747024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781.99009464</v>
      </c>
      <c r="D19" s="0" t="n">
        <f aca="false">D15+D16+D17+D18</f>
        <v>772.4011795786</v>
      </c>
      <c r="E19" s="0" t="n">
        <f aca="false">E15+E16+E17+E18</f>
        <v>762.00050552223</v>
      </c>
      <c r="F19" s="0" t="n">
        <f aca="false">F15+F16+F17+F18</f>
        <v>752.169698840906</v>
      </c>
      <c r="G19" s="0" t="n">
        <f aca="false">G15+G16+G17+G18</f>
        <v>745.84122320708</v>
      </c>
      <c r="H19" s="0" t="n">
        <f aca="false">H15+H16+H17+H18</f>
        <v>749.858394169793</v>
      </c>
      <c r="I19" s="0" t="n">
        <f aca="false">I15+I16+I17+I18</f>
        <v>764.855562053189</v>
      </c>
      <c r="J19" s="0" t="n">
        <f aca="false">J15+J16+J17+J18</f>
        <v>780.152673294253</v>
      </c>
      <c r="K19" s="0" t="n">
        <f aca="false">K15+K16+K17+K18</f>
        <v>795.755726760138</v>
      </c>
      <c r="L19" s="0" t="n">
        <f aca="false">L15+L16+L17+L18</f>
        <v>811.67084129534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714.146205150685</v>
      </c>
      <c r="D21" s="0" t="n">
        <f aca="false">D19*D20</f>
        <v>644.191054880924</v>
      </c>
      <c r="E21" s="0" t="n">
        <f aca="false">E19*E20</f>
        <v>580.380619772766</v>
      </c>
      <c r="F21" s="0" t="n">
        <f aca="false">F19*F20</f>
        <v>523.189906851064</v>
      </c>
      <c r="G21" s="0" t="n">
        <f aca="false">G19*G20</f>
        <v>473.778978888801</v>
      </c>
      <c r="H21" s="0" t="n">
        <f aca="false">H19*H20</f>
        <v>435.005294082633</v>
      </c>
      <c r="I21" s="0" t="n">
        <f aca="false">I19*I20</f>
        <v>405.210410926289</v>
      </c>
      <c r="J21" s="0" t="n">
        <f aca="false">J19*J20</f>
        <v>377.456273191611</v>
      </c>
      <c r="K21" s="0" t="n">
        <f aca="false">K19*K20</f>
        <v>351.603103794925</v>
      </c>
      <c r="L21" s="0" t="n">
        <f aca="false">L19*L20</f>
        <v>327.52069942541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4832.48254696511</v>
      </c>
    </row>
    <row r="31" customFormat="false" ht="15" hidden="false" customHeight="false" outlineLevel="0" collapsed="false">
      <c r="A31" s="0" t="s">
        <v>137</v>
      </c>
      <c r="B31" s="0" t="n">
        <f aca="false">L19</f>
        <v>811.67084129534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11038.7234416166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8928.37925424874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8928.37925424874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3602.72769367951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8435.21024064462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7925.81024064462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159.053806679469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-0.392599837014172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776.770979863494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753.888574151922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189.77082126909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6368.49429324036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98.8204426197379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7.5</v>
      </c>
      <c r="D5" s="4" t="n">
        <f aca="false">Assumptions!D27</f>
        <v>7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12814.3</v>
      </c>
      <c r="C6" s="0" t="n">
        <f aca="false">B6*(1+C5/100)</f>
        <v>13775.3725</v>
      </c>
      <c r="D6" s="0" t="n">
        <f aca="false">C6*(1+D5/100)</f>
        <v>14739.648575</v>
      </c>
      <c r="E6" s="0" t="n">
        <f aca="false">D6*(1+E5/100)</f>
        <v>15624.0274895</v>
      </c>
      <c r="F6" s="0" t="n">
        <f aca="false">E6*(1+F5/100)</f>
        <v>16483.3490014225</v>
      </c>
      <c r="G6" s="0" t="n">
        <f aca="false">F6*(1+G5/100)</f>
        <v>17307.5164514936</v>
      </c>
      <c r="H6" s="0" t="n">
        <f aca="false">G6*(1+H5/100)</f>
        <v>18086.3546918108</v>
      </c>
      <c r="I6" s="0" t="n">
        <f aca="false">H6*(1+I5/100)</f>
        <v>18809.8088794833</v>
      </c>
      <c r="J6" s="0" t="n">
        <f aca="false">I6*(1+J5/100)</f>
        <v>19468.1521902652</v>
      </c>
      <c r="K6" s="0" t="n">
        <f aca="false">J6*(1+K5/100)</f>
        <v>20052.1967559731</v>
      </c>
      <c r="L6" s="0" t="n">
        <f aca="false">K6*(1+L5/100)</f>
        <v>20653.7626586523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10.9</v>
      </c>
      <c r="D7" s="4" t="n">
        <f aca="false">Assumptions!D28</f>
        <v>11.2</v>
      </c>
      <c r="E7" s="4" t="n">
        <f aca="false">Assumptions!E28</f>
        <v>11.5</v>
      </c>
      <c r="F7" s="4" t="n">
        <f aca="false">Assumptions!F28</f>
        <v>11.8</v>
      </c>
      <c r="G7" s="4" t="n">
        <f aca="false">Assumptions!G28</f>
        <v>12</v>
      </c>
      <c r="H7" s="4" t="n">
        <f aca="false">Assumptions!H28</f>
        <v>12.1</v>
      </c>
      <c r="I7" s="4" t="n">
        <f aca="false">Assumptions!I28</f>
        <v>12.2</v>
      </c>
      <c r="J7" s="4" t="n">
        <f aca="false">Assumptions!J28</f>
        <v>12.2</v>
      </c>
      <c r="K7" s="4" t="n">
        <f aca="false">Assumptions!K28</f>
        <v>12.2</v>
      </c>
      <c r="L7" s="4" t="n">
        <f aca="false">Assumptions!L28</f>
        <v>12.2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1501.5156025</v>
      </c>
      <c r="D8" s="0" t="n">
        <f aca="false">D6*D7/100</f>
        <v>1650.8406404</v>
      </c>
      <c r="E8" s="0" t="n">
        <f aca="false">E6*E7/100</f>
        <v>1796.7631612925</v>
      </c>
      <c r="F8" s="0" t="n">
        <f aca="false">F6*F7/100</f>
        <v>1945.03518216786</v>
      </c>
      <c r="G8" s="0" t="n">
        <f aca="false">G6*G7/100</f>
        <v>2076.90197417924</v>
      </c>
      <c r="H8" s="0" t="n">
        <f aca="false">H6*H7/100</f>
        <v>2188.44891770911</v>
      </c>
      <c r="I8" s="0" t="n">
        <f aca="false">I6*I7/100</f>
        <v>2294.79668329696</v>
      </c>
      <c r="J8" s="0" t="n">
        <f aca="false">J6*J7/100</f>
        <v>2375.11456721235</v>
      </c>
      <c r="K8" s="0" t="n">
        <f aca="false">K6*K7/100</f>
        <v>2446.36800422872</v>
      </c>
      <c r="L8" s="0" t="n">
        <f aca="false">L6*L7/100</f>
        <v>2519.75904435558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0.78</v>
      </c>
      <c r="D9" s="4" t="n">
        <f aca="false">Assumptions!D29</f>
        <v>0.76</v>
      </c>
      <c r="E9" s="4" t="n">
        <f aca="false">Assumptions!E29</f>
        <v>0.74</v>
      </c>
      <c r="F9" s="4" t="n">
        <f aca="false">Assumptions!F29</f>
        <v>0.72</v>
      </c>
      <c r="G9" s="4" t="n">
        <f aca="false">Assumptions!G29</f>
        <v>0.7</v>
      </c>
      <c r="H9" s="4" t="n">
        <f aca="false">Assumptions!H29</f>
        <v>0.68</v>
      </c>
      <c r="I9" s="4" t="n">
        <f aca="false">Assumptions!I29</f>
        <v>0.66</v>
      </c>
      <c r="J9" s="4" t="n">
        <f aca="false">Assumptions!J29</f>
        <v>0.64</v>
      </c>
      <c r="K9" s="4" t="n">
        <f aca="false">Assumptions!K29</f>
        <v>0.62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-107.4479055</v>
      </c>
      <c r="D10" s="0" t="n">
        <f aca="false">-D6*D9/100</f>
        <v>-112.02132917</v>
      </c>
      <c r="E10" s="0" t="n">
        <f aca="false">-E6*E9/100</f>
        <v>-115.6178034223</v>
      </c>
      <c r="F10" s="0" t="n">
        <f aca="false">-F6*F9/100</f>
        <v>-118.680112810242</v>
      </c>
      <c r="G10" s="0" t="n">
        <f aca="false">-G6*G9/100</f>
        <v>-121.152615160455</v>
      </c>
      <c r="H10" s="0" t="n">
        <f aca="false">-H6*H9/100</f>
        <v>-122.987211904314</v>
      </c>
      <c r="I10" s="0" t="n">
        <f aca="false">-I6*I9/100</f>
        <v>-124.14473860459</v>
      </c>
      <c r="J10" s="0" t="n">
        <f aca="false">-J6*J9/100</f>
        <v>-124.596174017697</v>
      </c>
      <c r="K10" s="0" t="n">
        <f aca="false">-K6*K9/100</f>
        <v>-124.323619887033</v>
      </c>
      <c r="L10" s="0" t="n">
        <f aca="false">-L6*L9/100</f>
        <v>-123.922575951914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1394.067697</v>
      </c>
      <c r="D11" s="0" t="n">
        <f aca="false">D8+D10+D24</f>
        <v>1538.81931123</v>
      </c>
      <c r="E11" s="0" t="n">
        <f aca="false">E8+E10+E24</f>
        <v>1681.1453578702</v>
      </c>
      <c r="F11" s="0" t="n">
        <f aca="false">F8+F10+F24</f>
        <v>1826.35506935761</v>
      </c>
      <c r="G11" s="0" t="n">
        <f aca="false">G8+G10+G24</f>
        <v>1955.74935901878</v>
      </c>
      <c r="H11" s="0" t="n">
        <f aca="false">H8+H10+H24</f>
        <v>2065.4617058048</v>
      </c>
      <c r="I11" s="0" t="n">
        <f aca="false">I8+I10+I24</f>
        <v>2170.65194469237</v>
      </c>
      <c r="J11" s="0" t="n">
        <f aca="false">J8+J10+J24</f>
        <v>2250.51839319466</v>
      </c>
      <c r="K11" s="0" t="n">
        <f aca="false">K8+K10+K24</f>
        <v>2322.04438434169</v>
      </c>
      <c r="L11" s="0" t="n">
        <f aca="false">L8+L10+L24</f>
        <v>2395.83646840367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-268.61976375</v>
      </c>
      <c r="D12" s="4" t="n">
        <f aca="false">-D6*Assumptions!D31/100</f>
        <v>-287.4231472125</v>
      </c>
      <c r="E12" s="4" t="n">
        <f aca="false">-E6*Assumptions!E31/100</f>
        <v>-301.54373054735</v>
      </c>
      <c r="F12" s="4" t="n">
        <f aca="false">-F6*Assumptions!F31/100</f>
        <v>-316.480300827312</v>
      </c>
      <c r="G12" s="4" t="n">
        <f aca="false">-G6*Assumptions!G31/100</f>
        <v>-328.842812578379</v>
      </c>
      <c r="H12" s="4" t="n">
        <f aca="false">-H6*Assumptions!H31/100</f>
        <v>-343.640739144406</v>
      </c>
      <c r="I12" s="4" t="n">
        <f aca="false">-I6*Assumptions!I31/100</f>
        <v>-357.386368710182</v>
      </c>
      <c r="J12" s="4" t="n">
        <f aca="false">-J6*Assumptions!J31/100</f>
        <v>-369.894891615039</v>
      </c>
      <c r="K12" s="4" t="n">
        <f aca="false">-K6*Assumptions!K31/100</f>
        <v>-380.99173836349</v>
      </c>
      <c r="L12" s="4" t="n">
        <f aca="false">-L6*Assumptions!L31/100</f>
        <v>-392.421490514394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1125.44793325</v>
      </c>
      <c r="D13" s="0" t="n">
        <f aca="false">D11+D12</f>
        <v>1251.3961640175</v>
      </c>
      <c r="E13" s="0" t="n">
        <f aca="false">E11+E12</f>
        <v>1379.60162732285</v>
      </c>
      <c r="F13" s="0" t="n">
        <f aca="false">F11+F12</f>
        <v>1509.8747685303</v>
      </c>
      <c r="G13" s="0" t="n">
        <f aca="false">G11+G12</f>
        <v>1626.9065464404</v>
      </c>
      <c r="H13" s="0" t="n">
        <f aca="false">H11+H12</f>
        <v>1721.82096666039</v>
      </c>
      <c r="I13" s="0" t="n">
        <f aca="false">I11+I12</f>
        <v>1813.26557598219</v>
      </c>
      <c r="J13" s="0" t="n">
        <f aca="false">J11+J12</f>
        <v>1880.62350157962</v>
      </c>
      <c r="K13" s="0" t="n">
        <f aca="false">K11+K12</f>
        <v>1941.0526459782</v>
      </c>
      <c r="L13" s="0" t="n">
        <f aca="false">L11+L12</f>
        <v>2003.41497788928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24</v>
      </c>
      <c r="D14" s="4" t="n">
        <f aca="false">Assumptions!D33</f>
        <v>24.5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855.34042927</v>
      </c>
      <c r="D15" s="0" t="n">
        <f aca="false">D13-MAX(0,D13)*D14/100</f>
        <v>944.804103833213</v>
      </c>
      <c r="E15" s="0" t="n">
        <f aca="false">E13-MAX(0,E13)*E14/100</f>
        <v>1034.70122049214</v>
      </c>
      <c r="F15" s="0" t="n">
        <f aca="false">F13-MAX(0,F13)*F14/100</f>
        <v>1132.40607639773</v>
      </c>
      <c r="G15" s="0" t="n">
        <f aca="false">G13-MAX(0,G13)*G14/100</f>
        <v>1220.1799098303</v>
      </c>
      <c r="H15" s="0" t="n">
        <f aca="false">H13-MAX(0,H13)*H14/100</f>
        <v>1291.36572499529</v>
      </c>
      <c r="I15" s="0" t="n">
        <f aca="false">I13-MAX(0,I13)*I14/100</f>
        <v>1359.94918198664</v>
      </c>
      <c r="J15" s="0" t="n">
        <f aca="false">J13-MAX(0,J13)*J14/100</f>
        <v>1410.46762618471</v>
      </c>
      <c r="K15" s="0" t="n">
        <f aca="false">K13-MAX(0,K13)*K14/100</f>
        <v>1455.78948448365</v>
      </c>
      <c r="L15" s="0" t="n">
        <f aca="false">L13-MAX(0,L13)*L14/100</f>
        <v>1502.56123341696</v>
      </c>
    </row>
    <row r="16" customFormat="false" ht="15" hidden="false" customHeight="false" outlineLevel="0" collapsed="false">
      <c r="A16" s="0" t="s">
        <v>128</v>
      </c>
      <c r="C16" s="0" t="n">
        <f aca="false">-C12</f>
        <v>268.61976375</v>
      </c>
      <c r="D16" s="0" t="n">
        <f aca="false">-D12</f>
        <v>287.4231472125</v>
      </c>
      <c r="E16" s="0" t="n">
        <f aca="false">-E12</f>
        <v>301.54373054735</v>
      </c>
      <c r="F16" s="0" t="n">
        <f aca="false">-F12</f>
        <v>316.480300827312</v>
      </c>
      <c r="G16" s="0" t="n">
        <f aca="false">-G12</f>
        <v>328.842812578379</v>
      </c>
      <c r="H16" s="0" t="n">
        <f aca="false">-H12</f>
        <v>343.640739144406</v>
      </c>
      <c r="I16" s="0" t="n">
        <f aca="false">-I12</f>
        <v>357.386368710182</v>
      </c>
      <c r="J16" s="0" t="n">
        <f aca="false">-J12</f>
        <v>369.894891615039</v>
      </c>
      <c r="K16" s="0" t="n">
        <f aca="false">-K12</f>
        <v>380.99173836349</v>
      </c>
      <c r="L16" s="0" t="n">
        <f aca="false">-L12</f>
        <v>392.421490514394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-254.84439125</v>
      </c>
      <c r="D17" s="4" t="n">
        <f aca="false">-D6*Assumptions!D32/100</f>
        <v>-272.6834986375</v>
      </c>
      <c r="E17" s="4" t="n">
        <f aca="false">-E6*Assumptions!E32/100</f>
        <v>-289.04450855575</v>
      </c>
      <c r="F17" s="4" t="n">
        <f aca="false">-F6*Assumptions!F32/100</f>
        <v>-304.941956526316</v>
      </c>
      <c r="G17" s="4" t="n">
        <f aca="false">-G6*Assumptions!G32/100</f>
        <v>-320.189054352632</v>
      </c>
      <c r="H17" s="4" t="n">
        <f aca="false">-H6*Assumptions!H32/100</f>
        <v>-334.597561798501</v>
      </c>
      <c r="I17" s="4" t="n">
        <f aca="false">-I6*Assumptions!I32/100</f>
        <v>-347.981464270441</v>
      </c>
      <c r="J17" s="4" t="n">
        <f aca="false">-J6*Assumptions!J32/100</f>
        <v>-360.160815519906</v>
      </c>
      <c r="K17" s="4" t="n">
        <f aca="false">-K6*Assumptions!K32/100</f>
        <v>-370.965639985503</v>
      </c>
      <c r="L17" s="4" t="n">
        <f aca="false">-L6*Assumptions!L32/100</f>
        <v>-382.094609185068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96.10725</v>
      </c>
      <c r="D18" s="4" t="n">
        <f aca="false">(D6-C6)*Assumptions!$B$37/100</f>
        <v>96.4276075000002</v>
      </c>
      <c r="E18" s="4" t="n">
        <f aca="false">(E6-D6)*Assumptions!$B$37/100</f>
        <v>88.4378914500001</v>
      </c>
      <c r="F18" s="4" t="n">
        <f aca="false">(F6-E6)*Assumptions!$B$37/100</f>
        <v>85.9321511922501</v>
      </c>
      <c r="G18" s="4" t="n">
        <f aca="false">(G6-F6)*Assumptions!$B$37/100</f>
        <v>82.4167450071127</v>
      </c>
      <c r="H18" s="4" t="n">
        <f aca="false">(H6-G6)*Assumptions!$B$37/100</f>
        <v>77.8838240317211</v>
      </c>
      <c r="I18" s="4" t="n">
        <f aca="false">(I6-H6)*Assumptions!$B$37/100</f>
        <v>72.3454187672433</v>
      </c>
      <c r="J18" s="4" t="n">
        <f aca="false">(J6-I6)*Assumptions!$B$37/100</f>
        <v>65.8343310781915</v>
      </c>
      <c r="K18" s="4" t="n">
        <f aca="false">(K6-J6)*Assumptions!$B$37/100</f>
        <v>58.4044565707954</v>
      </c>
      <c r="L18" s="4" t="n">
        <f aca="false">(L6-K6)*Assumptions!$B$37/100</f>
        <v>60.1565902679195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965.22305177</v>
      </c>
      <c r="D19" s="0" t="n">
        <f aca="false">D15+D16+D17+D18</f>
        <v>1055.97135990821</v>
      </c>
      <c r="E19" s="0" t="n">
        <f aca="false">E15+E16+E17+E18</f>
        <v>1135.63833393374</v>
      </c>
      <c r="F19" s="0" t="n">
        <f aca="false">F15+F16+F17+F18</f>
        <v>1229.87657189097</v>
      </c>
      <c r="G19" s="0" t="n">
        <f aca="false">G15+G16+G17+G18</f>
        <v>1311.25041306316</v>
      </c>
      <c r="H19" s="0" t="n">
        <f aca="false">H15+H16+H17+H18</f>
        <v>1378.29272637292</v>
      </c>
      <c r="I19" s="0" t="n">
        <f aca="false">I15+I16+I17+I18</f>
        <v>1441.69950519363</v>
      </c>
      <c r="J19" s="0" t="n">
        <f aca="false">J15+J16+J17+J18</f>
        <v>1486.03603335804</v>
      </c>
      <c r="K19" s="0" t="n">
        <f aca="false">K15+K16+K17+K18</f>
        <v>1524.22003943243</v>
      </c>
      <c r="L19" s="0" t="n">
        <f aca="false">L15+L16+L17+L18</f>
        <v>1573.0447050142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889.606499327189</v>
      </c>
      <c r="D21" s="0" t="n">
        <f aca="false">D19*D20</f>
        <v>897.000454380609</v>
      </c>
      <c r="E21" s="0" t="n">
        <f aca="false">E19*E20</f>
        <v>889.100448525104</v>
      </c>
      <c r="F21" s="0" t="n">
        <f aca="false">F19*F20</f>
        <v>887.447307100152</v>
      </c>
      <c r="G21" s="0" t="n">
        <f aca="false">G19*G20</f>
        <v>872.041085992726</v>
      </c>
      <c r="H21" s="0" t="n">
        <f aca="false">H19*H20</f>
        <v>844.817760024011</v>
      </c>
      <c r="I21" s="0" t="n">
        <f aca="false">I19*I20</f>
        <v>814.454040379897</v>
      </c>
      <c r="J21" s="0" t="n">
        <f aca="false">J19*J20</f>
        <v>773.733560775807</v>
      </c>
      <c r="K21" s="0" t="n">
        <f aca="false">K19*K20</f>
        <v>731.4422176315</v>
      </c>
      <c r="L21" s="0" t="n">
        <f aca="false">L19*L20</f>
        <v>695.734730228797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8295.37810436579</v>
      </c>
    </row>
    <row r="31" customFormat="false" ht="15" hidden="false" customHeight="false" outlineLevel="0" collapsed="false">
      <c r="A31" s="0" t="s">
        <v>137</v>
      </c>
      <c r="B31" s="0" t="n">
        <f aca="false">L19</f>
        <v>1573.0447050142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29458.8372029933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23595.670575213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23595.670575213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10436.020953432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18731.3990577978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18221.9990577978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365.675965920767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0.396455991448741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775.774051544726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1026.42586137188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401.842206070806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13501.9670513719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180.880196377283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12</v>
      </c>
      <c r="D5" s="4" t="n">
        <f aca="false">Assumptions!D41</f>
        <v>11</v>
      </c>
      <c r="E5" s="4" t="n">
        <f aca="false">Assumptions!E41</f>
        <v>9.5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12814.3</v>
      </c>
      <c r="C6" s="0" t="n">
        <f aca="false">B6*(1+C5/100)</f>
        <v>14352.016</v>
      </c>
      <c r="D6" s="0" t="n">
        <f aca="false">C6*(1+D5/100)</f>
        <v>15930.73776</v>
      </c>
      <c r="E6" s="0" t="n">
        <f aca="false">D6*(1+E5/100)</f>
        <v>17444.1578472</v>
      </c>
      <c r="F6" s="0" t="n">
        <f aca="false">E6*(1+F5/100)</f>
        <v>18839.690474976</v>
      </c>
      <c r="G6" s="0" t="n">
        <f aca="false">F6*(1+G5/100)</f>
        <v>20158.4688082243</v>
      </c>
      <c r="H6" s="0" t="n">
        <f aca="false">G6*(1+H5/100)</f>
        <v>21367.9769367178</v>
      </c>
      <c r="I6" s="0" t="n">
        <f aca="false">H6*(1+I5/100)</f>
        <v>22436.3757835537</v>
      </c>
      <c r="J6" s="0" t="n">
        <f aca="false">I6*(1+J5/100)</f>
        <v>23446.0126938136</v>
      </c>
      <c r="K6" s="0" t="n">
        <f aca="false">J6*(1+K5/100)</f>
        <v>24383.8532015661</v>
      </c>
      <c r="L6" s="0" t="n">
        <f aca="false">K6*(1+L5/100)</f>
        <v>25237.288063621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11.3</v>
      </c>
      <c r="D7" s="4" t="n">
        <f aca="false">Assumptions!D42</f>
        <v>11.8</v>
      </c>
      <c r="E7" s="4" t="n">
        <f aca="false">Assumptions!E42</f>
        <v>12.3</v>
      </c>
      <c r="F7" s="4" t="n">
        <f aca="false">Assumptions!F42</f>
        <v>12.7</v>
      </c>
      <c r="G7" s="4" t="n">
        <f aca="false">Assumptions!G42</f>
        <v>13</v>
      </c>
      <c r="H7" s="4" t="n">
        <f aca="false">Assumptions!H42</f>
        <v>13.2</v>
      </c>
      <c r="I7" s="4" t="n">
        <f aca="false">Assumptions!I42</f>
        <v>13.2</v>
      </c>
      <c r="J7" s="4" t="n">
        <f aca="false">Assumptions!J42</f>
        <v>13.2</v>
      </c>
      <c r="K7" s="4" t="n">
        <f aca="false">Assumptions!K42</f>
        <v>13.2</v>
      </c>
      <c r="L7" s="4" t="n">
        <f aca="false">Assumptions!L42</f>
        <v>13.2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1621.777808</v>
      </c>
      <c r="D8" s="0" t="n">
        <f aca="false">D6*D7/100</f>
        <v>1879.82705568</v>
      </c>
      <c r="E8" s="0" t="n">
        <f aca="false">E6*E7/100</f>
        <v>2145.6314152056</v>
      </c>
      <c r="F8" s="0" t="n">
        <f aca="false">F6*F7/100</f>
        <v>2392.64069032195</v>
      </c>
      <c r="G8" s="0" t="n">
        <f aca="false">G6*G7/100</f>
        <v>2620.60094506916</v>
      </c>
      <c r="H8" s="0" t="n">
        <f aca="false">H6*H7/100</f>
        <v>2820.57295564675</v>
      </c>
      <c r="I8" s="0" t="n">
        <f aca="false">I6*I7/100</f>
        <v>2961.60160342909</v>
      </c>
      <c r="J8" s="0" t="n">
        <f aca="false">J6*J7/100</f>
        <v>3094.87367558339</v>
      </c>
      <c r="K8" s="0" t="n">
        <f aca="false">K6*K7/100</f>
        <v>3218.66862260673</v>
      </c>
      <c r="L8" s="0" t="n">
        <f aca="false">L6*L7/100</f>
        <v>3331.32202439797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0.75</v>
      </c>
      <c r="D9" s="4" t="n">
        <f aca="false">Assumptions!D43</f>
        <v>0.72</v>
      </c>
      <c r="E9" s="4" t="n">
        <f aca="false">Assumptions!E43</f>
        <v>0.7</v>
      </c>
      <c r="F9" s="4" t="n">
        <f aca="false">Assumptions!F43</f>
        <v>0.68</v>
      </c>
      <c r="G9" s="4" t="n">
        <f aca="false">Assumptions!G43</f>
        <v>0.65</v>
      </c>
      <c r="H9" s="4" t="n">
        <f aca="false">Assumptions!H43</f>
        <v>0.63</v>
      </c>
      <c r="I9" s="4" t="n">
        <f aca="false">Assumptions!I43</f>
        <v>0.61</v>
      </c>
      <c r="J9" s="4" t="n">
        <f aca="false">Assumptions!J43</f>
        <v>0.59</v>
      </c>
      <c r="K9" s="4" t="n">
        <f aca="false">Assumptions!K43</f>
        <v>0.57</v>
      </c>
      <c r="L9" s="4" t="n">
        <f aca="false">Assumptions!L43</f>
        <v>0.55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-107.64012</v>
      </c>
      <c r="D10" s="0" t="n">
        <f aca="false">-D6*D9/100</f>
        <v>-114.701311872</v>
      </c>
      <c r="E10" s="0" t="n">
        <f aca="false">-E6*E9/100</f>
        <v>-122.1091049304</v>
      </c>
      <c r="F10" s="0" t="n">
        <f aca="false">-F6*F9/100</f>
        <v>-128.109895229837</v>
      </c>
      <c r="G10" s="0" t="n">
        <f aca="false">-G6*G9/100</f>
        <v>-131.030047253458</v>
      </c>
      <c r="H10" s="0" t="n">
        <f aca="false">-H6*H9/100</f>
        <v>-134.618254701322</v>
      </c>
      <c r="I10" s="0" t="n">
        <f aca="false">-I6*I9/100</f>
        <v>-136.861892279677</v>
      </c>
      <c r="J10" s="0" t="n">
        <f aca="false">-J6*J9/100</f>
        <v>-138.3314748935</v>
      </c>
      <c r="K10" s="0" t="n">
        <f aca="false">-K6*K9/100</f>
        <v>-138.987963248927</v>
      </c>
      <c r="L10" s="0" t="n">
        <f aca="false">-L6*L9/100</f>
        <v>-138.805084349915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1514.137688</v>
      </c>
      <c r="D11" s="0" t="n">
        <f aca="false">D8+D10+D24</f>
        <v>1765.125743808</v>
      </c>
      <c r="E11" s="0" t="n">
        <f aca="false">E8+E10+E24</f>
        <v>2023.5223102752</v>
      </c>
      <c r="F11" s="0" t="n">
        <f aca="false">F8+F10+F24</f>
        <v>2264.53079509212</v>
      </c>
      <c r="G11" s="0" t="n">
        <f aca="false">G8+G10+G24</f>
        <v>2489.57089781571</v>
      </c>
      <c r="H11" s="0" t="n">
        <f aca="false">H8+H10+H24</f>
        <v>2685.95470094543</v>
      </c>
      <c r="I11" s="0" t="n">
        <f aca="false">I8+I10+I24</f>
        <v>2824.73971114941</v>
      </c>
      <c r="J11" s="0" t="n">
        <f aca="false">J8+J10+J24</f>
        <v>2956.54220068989</v>
      </c>
      <c r="K11" s="0" t="n">
        <f aca="false">K8+K10+K24</f>
        <v>3079.6806593578</v>
      </c>
      <c r="L11" s="0" t="n">
        <f aca="false">L8+L10+L24</f>
        <v>3192.51694004805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-276.9939088</v>
      </c>
      <c r="D12" s="4" t="n">
        <f aca="false">-D6*Assumptions!D45/100</f>
        <v>-302.68401744</v>
      </c>
      <c r="E12" s="4" t="n">
        <f aca="false">-E6*Assumptions!E45/100</f>
        <v>-327.95016752736</v>
      </c>
      <c r="F12" s="4" t="n">
        <f aca="false">-F6*Assumptions!F45/100</f>
        <v>-350.418242834554</v>
      </c>
      <c r="G12" s="4" t="n">
        <f aca="false">-G6*Assumptions!G45/100</f>
        <v>-372.93167295215</v>
      </c>
      <c r="H12" s="4" t="n">
        <f aca="false">-H6*Assumptions!H45/100</f>
        <v>-395.307573329279</v>
      </c>
      <c r="I12" s="4" t="n">
        <f aca="false">-I6*Assumptions!I45/100</f>
        <v>-415.072951995743</v>
      </c>
      <c r="J12" s="4" t="n">
        <f aca="false">-J6*Assumptions!J45/100</f>
        <v>-433.751234835552</v>
      </c>
      <c r="K12" s="4" t="n">
        <f aca="false">-K6*Assumptions!K45/100</f>
        <v>-451.101284228974</v>
      </c>
      <c r="L12" s="4" t="n">
        <f aca="false">-L6*Assumptions!L45/100</f>
        <v>-466.889829176988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1237.1437792</v>
      </c>
      <c r="D13" s="0" t="n">
        <f aca="false">D11+D12</f>
        <v>1462.441726368</v>
      </c>
      <c r="E13" s="0" t="n">
        <f aca="false">E11+E12</f>
        <v>1695.57214274784</v>
      </c>
      <c r="F13" s="0" t="n">
        <f aca="false">F11+F12</f>
        <v>1914.11255225756</v>
      </c>
      <c r="G13" s="0" t="n">
        <f aca="false">G11+G12</f>
        <v>2116.63922486356</v>
      </c>
      <c r="H13" s="0" t="n">
        <f aca="false">H11+H12</f>
        <v>2290.64712761615</v>
      </c>
      <c r="I13" s="0" t="n">
        <f aca="false">I11+I12</f>
        <v>2409.66675915367</v>
      </c>
      <c r="J13" s="0" t="n">
        <f aca="false">J11+J12</f>
        <v>2522.79096585434</v>
      </c>
      <c r="K13" s="0" t="n">
        <f aca="false">K11+K12</f>
        <v>2628.57937512883</v>
      </c>
      <c r="L13" s="0" t="n">
        <f aca="false">L11+L12</f>
        <v>2725.62711087106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23</v>
      </c>
      <c r="D14" s="4" t="n">
        <f aca="false">Assumptions!D47</f>
        <v>23.5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952.600709984</v>
      </c>
      <c r="D15" s="0" t="n">
        <f aca="false">D13-MAX(0,D13)*D14/100</f>
        <v>1118.76792067152</v>
      </c>
      <c r="E15" s="0" t="n">
        <f aca="false">E13-MAX(0,E13)*E14/100</f>
        <v>1288.63482848836</v>
      </c>
      <c r="F15" s="0" t="n">
        <f aca="false">F13-MAX(0,F13)*F14/100</f>
        <v>1454.72553971575</v>
      </c>
      <c r="G15" s="0" t="n">
        <f aca="false">G13-MAX(0,G13)*G14/100</f>
        <v>1608.6458108963</v>
      </c>
      <c r="H15" s="0" t="n">
        <f aca="false">H13-MAX(0,H13)*H14/100</f>
        <v>1740.89181698827</v>
      </c>
      <c r="I15" s="0" t="n">
        <f aca="false">I13-MAX(0,I13)*I14/100</f>
        <v>1831.34673695679</v>
      </c>
      <c r="J15" s="0" t="n">
        <f aca="false">J13-MAX(0,J13)*J14/100</f>
        <v>1917.3211340493</v>
      </c>
      <c r="K15" s="0" t="n">
        <f aca="false">K13-MAX(0,K13)*K14/100</f>
        <v>1997.72032509791</v>
      </c>
      <c r="L15" s="0" t="n">
        <f aca="false">L13-MAX(0,L13)*L14/100</f>
        <v>2071.47660426201</v>
      </c>
    </row>
    <row r="16" customFormat="false" ht="15" hidden="false" customHeight="false" outlineLevel="0" collapsed="false">
      <c r="A16" s="0" t="s">
        <v>128</v>
      </c>
      <c r="C16" s="0" t="n">
        <f aca="false">-C12</f>
        <v>276.9939088</v>
      </c>
      <c r="D16" s="0" t="n">
        <f aca="false">-D12</f>
        <v>302.68401744</v>
      </c>
      <c r="E16" s="0" t="n">
        <f aca="false">-E12</f>
        <v>327.95016752736</v>
      </c>
      <c r="F16" s="0" t="n">
        <f aca="false">-F12</f>
        <v>350.418242834554</v>
      </c>
      <c r="G16" s="0" t="n">
        <f aca="false">-G12</f>
        <v>372.93167295215</v>
      </c>
      <c r="H16" s="0" t="n">
        <f aca="false">-H12</f>
        <v>395.307573329279</v>
      </c>
      <c r="I16" s="0" t="n">
        <f aca="false">-I12</f>
        <v>415.072951995743</v>
      </c>
      <c r="J16" s="0" t="n">
        <f aca="false">-J12</f>
        <v>433.751234835552</v>
      </c>
      <c r="K16" s="0" t="n">
        <f aca="false">-K12</f>
        <v>451.101284228974</v>
      </c>
      <c r="L16" s="0" t="n">
        <f aca="false">-L12</f>
        <v>466.889829176988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-258.336288</v>
      </c>
      <c r="D17" s="4" t="n">
        <f aca="false">-D6*Assumptions!D46/100</f>
        <v>-286.75327968</v>
      </c>
      <c r="E17" s="4" t="n">
        <f aca="false">-E6*Assumptions!E46/100</f>
        <v>-313.9948412496</v>
      </c>
      <c r="F17" s="4" t="n">
        <f aca="false">-F6*Assumptions!F46/100</f>
        <v>-339.114428549568</v>
      </c>
      <c r="G17" s="4" t="n">
        <f aca="false">-G6*Assumptions!G46/100</f>
        <v>-362.852438548038</v>
      </c>
      <c r="H17" s="4" t="n">
        <f aca="false">-H6*Assumptions!H46/100</f>
        <v>-384.62358486092</v>
      </c>
      <c r="I17" s="4" t="n">
        <f aca="false">-I6*Assumptions!I46/100</f>
        <v>-403.854764103966</v>
      </c>
      <c r="J17" s="4" t="n">
        <f aca="false">-J6*Assumptions!J46/100</f>
        <v>-422.028228488645</v>
      </c>
      <c r="K17" s="4" t="n">
        <f aca="false">-K6*Assumptions!K46/100</f>
        <v>-438.909357628191</v>
      </c>
      <c r="L17" s="4" t="n">
        <f aca="false">-L6*Assumptions!L46/100</f>
        <v>-454.271185145177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184.52592</v>
      </c>
      <c r="D18" s="4" t="n">
        <f aca="false">(D6-C6)*Assumptions!$B$51/100</f>
        <v>189.4466112</v>
      </c>
      <c r="E18" s="4" t="n">
        <f aca="false">(E6-D6)*Assumptions!$B$51/100</f>
        <v>181.610410464</v>
      </c>
      <c r="F18" s="4" t="n">
        <f aca="false">(F6-E6)*Assumptions!$B$51/100</f>
        <v>167.46391533312</v>
      </c>
      <c r="G18" s="4" t="n">
        <f aca="false">(G6-F6)*Assumptions!$B$51/100</f>
        <v>158.253399989799</v>
      </c>
      <c r="H18" s="4" t="n">
        <f aca="false">(H6-G6)*Assumptions!$B$51/100</f>
        <v>145.140975419215</v>
      </c>
      <c r="I18" s="4" t="n">
        <f aca="false">(I6-H6)*Assumptions!$B$51/100</f>
        <v>128.207861620307</v>
      </c>
      <c r="J18" s="4" t="n">
        <f aca="false">(J6-I6)*Assumptions!$B$51/100</f>
        <v>121.15642923119</v>
      </c>
      <c r="K18" s="4" t="n">
        <f aca="false">(K6-J6)*Assumptions!$B$51/100</f>
        <v>112.540860930306</v>
      </c>
      <c r="L18" s="4" t="n">
        <f aca="false">(L6-K6)*Assumptions!$B$51/100</f>
        <v>102.412183446577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1155.784250784</v>
      </c>
      <c r="D19" s="0" t="n">
        <f aca="false">D15+D16+D17+D18</f>
        <v>1324.14526963152</v>
      </c>
      <c r="E19" s="0" t="n">
        <f aca="false">E15+E16+E17+E18</f>
        <v>1484.20056523012</v>
      </c>
      <c r="F19" s="0" t="n">
        <f aca="false">F15+F16+F17+F18</f>
        <v>1633.49326933385</v>
      </c>
      <c r="G19" s="0" t="n">
        <f aca="false">G15+G16+G17+G18</f>
        <v>1776.97844529021</v>
      </c>
      <c r="H19" s="0" t="n">
        <f aca="false">H15+H16+H17+H18</f>
        <v>1896.71678087585</v>
      </c>
      <c r="I19" s="0" t="n">
        <f aca="false">I15+I16+I17+I18</f>
        <v>1970.77278646887</v>
      </c>
      <c r="J19" s="0" t="n">
        <f aca="false">J15+J16+J17+J18</f>
        <v>2050.2005696274</v>
      </c>
      <c r="K19" s="0" t="n">
        <f aca="false">K15+K16+K17+K18</f>
        <v>2122.453112629</v>
      </c>
      <c r="L19" s="0" t="n">
        <f aca="false">L15+L16+L17+L18</f>
        <v>2186.5074317404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1070.17060257778</v>
      </c>
      <c r="D21" s="0" t="n">
        <f aca="false">D19*D20</f>
        <v>1135.24114337407</v>
      </c>
      <c r="E21" s="0" t="n">
        <f aca="false">E19*E20</f>
        <v>1178.20626082003</v>
      </c>
      <c r="F21" s="0" t="n">
        <f aca="false">F19*F20</f>
        <v>1200.66631730246</v>
      </c>
      <c r="G21" s="0" t="n">
        <f aca="false">G19*G20</f>
        <v>1209.38167135568</v>
      </c>
      <c r="H21" s="0" t="n">
        <f aca="false">H19*H20</f>
        <v>1195.25330610745</v>
      </c>
      <c r="I21" s="0" t="n">
        <f aca="false">I19*I20</f>
        <v>1149.92699214858</v>
      </c>
      <c r="J21" s="0" t="n">
        <f aca="false">J19*J20</f>
        <v>1107.65957475791</v>
      </c>
      <c r="K21" s="0" t="n">
        <f aca="false">K19*K20</f>
        <v>1061.75497737761</v>
      </c>
      <c r="L21" s="0" t="n">
        <f aca="false">L19*L20</f>
        <v>1012.77600403092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11321.0368498525</v>
      </c>
    </row>
    <row r="31" customFormat="false" ht="15" hidden="false" customHeight="false" outlineLevel="0" collapsed="false">
      <c r="A31" s="0" t="s">
        <v>137</v>
      </c>
      <c r="B31" s="0" t="n">
        <f aca="false">L19</f>
        <v>2186.5074317404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50289.6709300291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37170.6263395867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37170.6263395867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17217.1920685256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28538.2289183781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28028.8289183781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562.477753173287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1.14800944463945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851.528578335361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1478.7530572303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609.241447170311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19678.5668856636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251.436586366415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159.053806679469</v>
      </c>
      <c r="C4" s="0" t="n">
        <f aca="false">B4/Assumptions!$B$2-1</f>
        <v>-0.392599837014172</v>
      </c>
      <c r="D4" s="4" t="n">
        <f aca="false">Assumptions!$B$24</f>
        <v>0.2</v>
      </c>
      <c r="E4" s="4" t="n">
        <f aca="false">DCF_Bear!$B$43</f>
        <v>189.77082126909</v>
      </c>
      <c r="F4" s="4" t="n">
        <f aca="false">DCF_Bear!$B$47</f>
        <v>98.8204426197379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365.675965920767</v>
      </c>
      <c r="C5" s="0" t="n">
        <f aca="false">B5/Assumptions!$B$2-1</f>
        <v>0.396455991448741</v>
      </c>
      <c r="D5" s="4" t="n">
        <f aca="false">Assumptions!$B$38</f>
        <v>0.5</v>
      </c>
      <c r="E5" s="4" t="n">
        <f aca="false">DCF_Base!$B$43</f>
        <v>401.842206070806</v>
      </c>
      <c r="F5" s="4" t="n">
        <f aca="false">DCF_Base!$B$47</f>
        <v>180.880196377283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562.477753173287</v>
      </c>
      <c r="C6" s="0" t="n">
        <f aca="false">B6/Assumptions!$B$2-1</f>
        <v>1.14800944463945</v>
      </c>
      <c r="D6" s="4" t="n">
        <f aca="false">Assumptions!$B$52</f>
        <v>0.3</v>
      </c>
      <c r="E6" s="4" t="n">
        <f aca="false">DCF_Bull!$B$43</f>
        <v>609.241447170311</v>
      </c>
      <c r="F6" s="4" t="n">
        <f aca="false">DCF_Bull!$B$47</f>
        <v>251.436586366415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383.392070248264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421.647701440314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0.316991611666788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-317.68413292712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185.635162622513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365.675965920767</v>
      </c>
      <c r="C15" s="3" t="n">
        <v>8.5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352.289681238025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323.815531498948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280.842672937033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247.46252971908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180.880196377283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425.92299685066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425.92299685066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425.92299685066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425.92299685066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425.92299685066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394.387010069744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394.387010069744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394.387010069744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394.387010069744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394.387010069744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365.675965920767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365.675965920767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365.675965920767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365.675965920767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365.675965920767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321.672385070666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334.95626957284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339.505545087283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339.505545087283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339.505545087283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280.729543006402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290.179765902161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300.890018517354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313.130307220432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315.622673698435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2026-09-25T09:32:50Z</dcterms:created>
  <dc:creator>openpyxl</dc:creator>
  <dc:description/>
  <dc:language>en-NZ</dc:language>
  <cp:lastModifiedBy/>
  <dcterms:modified xsi:type="dcterms:W3CDTF">2026-09-25T09:32:50Z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