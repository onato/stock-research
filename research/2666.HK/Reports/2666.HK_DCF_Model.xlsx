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<sst xmlns="http://schemas.openxmlformats.org/spreadsheetml/2006/main" count="363" uniqueCount="171">
  <si>
    <t xml:space="preserve">Ticker</t>
  </si>
  <si>
    <t xml:space="preserve">2666.HK</t>
  </si>
  <si>
    <t xml:space="preserve">Company</t>
  </si>
  <si>
    <t xml:space="preserve">Genertec Universal Medical Group Company Limited</t>
  </si>
  <si>
    <t xml:space="preserve">Valuation date</t>
  </si>
  <si>
    <t xml:space="preserve">2026-10-22</t>
  </si>
  <si>
    <t xml:space="preserve">Current price</t>
  </si>
  <si>
    <t xml:space="preserve">Price as of</t>
  </si>
  <si>
    <t xml:space="preserve">2026-10-22T03:43:52Z (HKEX regular session, intraday)</t>
  </si>
  <si>
    <t xml:space="preserve">Balance sheet date</t>
  </si>
  <si>
    <t xml:space="preserve">2026-06-30</t>
  </si>
  <si>
    <t xml:space="preserve">Model</t>
  </si>
  <si>
    <t xml:space="preserve">Lender FCFE at cost of equity (engine route)</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</si>
  <si>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</si>
  <si>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</si>
  <si>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</si>
  <si>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</si>
  <si>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</si>
  <si>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</si>
  <si>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</si>
  <si>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</si>
  <si>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</si>
  <si>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2026-10-22T04:04:16Z</t>
  </si>
  <si>
    <t xml:space="preserve">Drivers file</t>
  </si>
  <si>
    <t xml:space="preserve">2666.HK_Drivers.json</t>
  </si>
  <si>
    <t xml:space="preserve">Convention</t>
  </si>
  <si>
    <t xml:space="preserve">Percents stored as percents; formulas divide by 100. Blue = input, green = link, black = formula.</t>
  </si>
  <si>
    <t xml:space="preserve">Methodology</t>
  </si>
  <si>
    <t xml:space="preserve">summary: Value the equity flow a lender actually produces (attributable profit less the equity it must retain to carry asset growth), at the cost of equity, with borrowings treated as operating funding of the RMB71bn lease book rather than net debt. The hospital business is consolidated into the same flow because it is funded from the same balance sheet and, at 17% of PBT, is a margin driver rather than a separable franchise. The quote at 0.38x book and ~8% dividend yield means the market already assumes something close to the bear case; the valuation question is how much of the SOE/policy discount is permanent, which the bear-heavy weighting and the 11.5-13.5% costs of equity are meant to carry.
key_risks_to_valuation: DRG/DIP reimbursement reform turning the integrated-hospital segment structurally loss-making (segment PBT already -39% FY2025, -24% H1 FY2026 on growing revenue); the bear margin path assumes this; Finance NIM normalising from 4.4% back toward the FY2023 3.2% level once the funding-cost tailwind ends, with credit costs rising if hospital borrowers (including related-party and SOE hospitals) come under reimbursement stress; NPL ~1% and 339% coverage have not been through a credit cycle; Refinancing: RMB49.5bn of bank lines, bonds (CULC approved for up to RMB8bn), perpetuals and sale-and-leaseback funding; any loss of central-SOE funding access would hit both the spread and the going-concern premise of the lender; SOE capital allocation: SASAC-mandated hospital consolidation or sub-CoE hospital capex could absorb retained earnings beyond the modelled 4-5.5% of revenue; the 30% payout is the floor the model relies on, not the full FCFE; Dilution: the FY2025 convertible conversion and placements added 6.5% to the share count; a further discounted placement to 'optimise the financial structure' is not modelled; CNY/HKD: the HKD per-share values move one-for-one with the 1.1756 bridge; CNY depreciation lowers the HKD value and the HKD-declared dividend coverage</t>
  </si>
  <si>
    <t xml:space="preserve">Data sources</t>
  </si>
  <si>
    <t xml:space="preserve">price: Yahoo Finance chart API for 2666.HK at inputs.price_as_of (HKEX intraday); 52-week range 4.32-6.67 HKD. FX bridge from USDHKD=X and USDCNY=X at the same timestamp.
financials: research/2666.HK/Reports/2666.HK_Metrics.csv (FY2017-FY2025 + H1 FY2023-H1 FY2026 from core_metrics); FY2025 Annual Report (P&amp;L profit split lines 7680-7705, balance sheet 2757-2770, cash flow 8129-8247, dividend 5282); H1 FY2026 Interim Report (results summary 319-379, segment results 4054-4075, share capital note 15 lines 5612-5640, dividend 3387).
qualitative: research/2666.HK/Reports/2666.HK_Analysis.json (2026-10-22); financial-parser flag that statutory OCF/FCF are not usable as owner cash flow.</t>
  </si>
  <si>
    <t xml:space="preserve">Scenario narrative: bear</t>
  </si>
  <si>
    <t xml:space="preserve">Reimbursement reform deepens, the hospital segment loses money at PBT, D&amp;A keeps rising on commissioned capex, NIM normalises to ~3.2% and credit costs rise; ROE falls to ~7-8%; SOE-directed capex keeps retention at 5.5% of revenue; revenue -8% then flat for three years. CoE 13.5%, terminal growth 1.5%. This case lands near the current quote, i.e. the market is pricing roughly this path.</t>
  </si>
  <si>
    <t xml:space="preserve">Scenario narrative: base</t>
  </si>
  <si>
    <t xml:space="preserve">Revenue dips 5% in FY2026 (H1 -6.3%) then grows 2-3.5% as the lease book stabilises around RMB71bn and hospital volumes recover; attributable profit holds ~RMB2.2bn in FY2026 (H1 +2.8%) on lower funding costs and cost control, then compounds at ~3% with the (PBT+D&amp;A) margin drifting from 27.3% to 26% as the mix shifts to healthcare. FCFE is attributable profit less ~RMB600-740m/yr of equity retained for 3% asset growth and hospital capex above D&amp;A; 30% payout continues and the balance of retention keeps deleveraging. Discounted at an 11.5% CNY cost of equity, terminal growth 2.5%.</t>
  </si>
  <si>
    <t xml:space="preserve">Scenario narrative: bull</t>
  </si>
  <si>
    <t xml:space="preserve">Healthcare-technology and specialty-medical growth plus a plateau in DRG/DIP pressure lift the margin toward 28%; revenue regrows 4-5% from FY2027; finance NIM holds ~4.3% with benign credit; only 3.5% of revenue needs retaining; governance discount narrows (CoE 10.5%, terminal growth 3%).</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</si>
  <si>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</si>
  <si>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</si>
  <si>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</si>
  <si>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</si>
  <si>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</si>
  <si>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</si>
  <si>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</si>
  <si>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</si>
  <si>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</si>
  <si>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</si>
  <si>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</si>
  <si>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</si>
  <si>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</si>
  <si>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</si>
  <si>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</si>
  <si>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</si>
  <si>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</si>
  <si>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</si>
  <si>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</si>
  <si>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</si>
  <si>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</si>
  <si>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</si>
  <si>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</si>
  <si>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</si>
  <si>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</si>
  <si>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</si>
  <si>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</si>
  <si>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EPSBasic</t>
  </si>
  <si>
    <t xml:space="preserve">HealthcareRevenue</t>
  </si>
  <si>
    <t xml:space="preserve">NPLRatio</t>
  </si>
  <si>
    <t xml:space="preserve">NetInterestMargin</t>
  </si>
  <si>
    <t xml:space="preserve">ROE</t>
  </si>
  <si>
    <t xml:space="preserve">TotalEquity</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</si>
  <si>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</si>
  <si>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</si>
  <si>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</si>
  <si>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</si>
  <si>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</si>
  <si>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</si>
  <si>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</si>
  <si>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</si>
  <si>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</si>
  <si>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</si>
  <si>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</si>
  <si>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</si>
  <si>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</si>
  <si>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</si>
  <si>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</si>
  <si>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</si>
  <si>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</si>
  <si>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</si>
  <si>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</si>
  <si>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</si>
  <si>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</si>
  <si>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</si>
  <si>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</si>
  <si>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</si>
  <si>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</si>
  <si>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</si>
  <si>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</si>
  <si>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</si>
  <si>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</si>
  <si>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</si>
  <si>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</si>
  <si>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</si>
  <si>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</si>
  <si>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</si>
  <si>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</si>
  <si>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</si>
  <si>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</si>
  <si>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</si>
  <si>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</si>
  <si>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</si>
  <si>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</si>
  <si>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</si>
  <si>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</si>
  <si>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</si>
  <si>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</si>
  <si>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</si>
  <si>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2666.HK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</si>
  <si>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</si>
  <si>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</si>
  <si>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</si>
  <si>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</si>
  <si>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</si>
  <si>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</si>
  <si>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</si>
  <si>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</si>
  <si>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</si>
  <si>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</si>
  <si>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</si>
  <si>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</si>
  <si>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</si>
  <si>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</si>
  <si>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</si>
  <si>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</si>
  <si>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</si>
  <si>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</si>
  <si>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</si>
  <si>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</si>
  <si>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</si>
  <si>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</si>
  <si>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</si>
  <si>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</si>
  <si>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</si>
  <si>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</si>
  <si>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</si>
  <si>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</si>
  <si>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</si>
  <si>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</si>
  <si>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2666.HK owner-FCF component DCF: base case (millions, CNY)</t>
  </si>
  <si>
    <t xml:space="preserve">2666.HK owner-FCF component DCF: bull case (millions, CNY)</t>
  </si>
  <si>
    <t xml:space="preserve">2666.HK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</si>
  <si>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</si>
  <si>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</si>
  <si>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</si>
  <si>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</si>
  <si>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</si>
  <si>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</si>
  <si>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</si>
  <si>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</si>
  <si>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</si>
  <si>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</si>
  <si>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</si>
  <si>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</si>
  <si>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</si>
  <si>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</si>
  <si>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</si>
  <si>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</si>
  <si>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</si>
  <si>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11.5%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</si>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</sst>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4.48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row>
    <row r="2" customFormat="false" ht="15" hidden="false" customHeight="false" outlineLevel="0" collapsed="false">
      <c r="A2" s="0" t="s">
        <v>70</v>
      </c>
      <c r="B2" s="0" t="n">
        <v>3418.829</v>
      </c>
      <c r="C2" s="0" t="n">
        <v>-1244.64</v>
      </c>
      <c r="D2" s="0" t="n">
        <v>2174.189</v>
      </c>
      <c r="E2" s="0" t="n">
        <v>63.594552</v>
      </c>
      <c r="F2" s="0" t="n">
        <v>1576.583</v>
      </c>
      <c r="G2" s="0" t="n">
        <v>46.114708</v>
      </c>
      <c r="I2" s="0" t="n">
        <v>1148.658</v>
      </c>
      <c r="J2" s="0" t="n">
        <v>33.597995</v>
      </c>
      <c r="K2" s="0" t="n">
        <v>0.67</v>
      </c>
      <c r="L2" s="0" t="n">
        <v>-5072.151</v>
      </c>
      <c r="M2" s="0" t="n">
        <v>18.892</v>
      </c>
      <c r="N2" s="0" t="n">
        <v>-5091.043</v>
      </c>
      <c r="O2" s="0" t="n">
        <v>7468.601</v>
      </c>
      <c r="P2" s="0" t="n">
        <v>37732.513</v>
      </c>
      <c r="Q2" s="0" t="n">
        <v>30263.687</v>
      </c>
      <c r="R2" s="0" t="n">
        <v>26882.695</v>
      </c>
      <c r="S2" s="0" t="n">
        <v>1749.884</v>
      </c>
      <c r="T2" s="0" t="n">
        <v>1716.30458</v>
      </c>
      <c r="U2" s="0" t="n">
        <v>0</v>
      </c>
      <c r="AA2" s="0" t="s">
        <v>18</v>
      </c>
      <c r="AB2" s="0" t="s">
        <v>14</v>
      </c>
      <c r="AC2" s="0" t="n">
        <v>0.67</v>
      </c>
      <c r="AH2" s="0" t="n">
        <v>7468.826</v>
      </c>
    </row>
    <row r="3" customFormat="false" ht="15" hidden="false" customHeight="false" outlineLevel="0" collapsed="false">
      <c r="A3" s="0" t="s">
        <v>71</v>
      </c>
      <c r="B3" s="0" t="n">
        <v>4296.866</v>
      </c>
      <c r="C3" s="0" t="n">
        <v>-1705.442</v>
      </c>
      <c r="D3" s="0" t="n">
        <v>2591.424</v>
      </c>
      <c r="E3" s="0" t="n">
        <v>60.30963</v>
      </c>
      <c r="F3" s="0" t="n">
        <v>1859.458</v>
      </c>
      <c r="G3" s="0" t="n">
        <v>43.27475</v>
      </c>
      <c r="I3" s="0" t="n">
        <v>1352.173</v>
      </c>
      <c r="J3" s="0" t="n">
        <v>31.468819</v>
      </c>
      <c r="K3" s="0" t="n">
        <v>0.79</v>
      </c>
      <c r="L3" s="0" t="n">
        <v>-5728.645</v>
      </c>
      <c r="M3" s="0" t="n">
        <v>17.64</v>
      </c>
      <c r="N3" s="0" t="n">
        <v>-5746.285</v>
      </c>
      <c r="O3" s="0" t="n">
        <v>8395.611</v>
      </c>
      <c r="P3" s="0" t="n">
        <v>47256.927</v>
      </c>
      <c r="Q3" s="0" t="n">
        <v>37000.119</v>
      </c>
      <c r="R3" s="0" t="n">
        <v>32981.989</v>
      </c>
      <c r="S3" s="0" t="n">
        <v>2173.473</v>
      </c>
      <c r="T3" s="0" t="n">
        <v>1716.30458</v>
      </c>
      <c r="U3" s="0" t="n">
        <v>0</v>
      </c>
      <c r="AA3" s="0" t="s">
        <v>18</v>
      </c>
      <c r="AB3" s="0" t="s">
        <v>14</v>
      </c>
      <c r="AC3" s="0" t="n">
        <v>0.79</v>
      </c>
      <c r="AH3" s="0" t="n">
        <v>10256.808</v>
      </c>
    </row>
    <row r="4" customFormat="false" ht="15" hidden="false" customHeight="false" outlineLevel="0" collapsed="false">
      <c r="A4" s="0" t="s">
        <v>72</v>
      </c>
      <c r="B4" s="0" t="n">
        <v>6815.587</v>
      </c>
      <c r="C4" s="0" t="n">
        <v>-3636.505</v>
      </c>
      <c r="D4" s="0" t="n">
        <v>3179.082</v>
      </c>
      <c r="E4" s="0" t="n">
        <v>46.644288</v>
      </c>
      <c r="F4" s="0" t="n">
        <v>2223.841</v>
      </c>
      <c r="G4" s="0" t="n">
        <v>32.628752</v>
      </c>
      <c r="I4" s="0" t="n">
        <v>1488.736</v>
      </c>
      <c r="J4" s="0" t="n">
        <v>21.843108</v>
      </c>
      <c r="K4" s="0" t="n">
        <v>0.87</v>
      </c>
      <c r="L4" s="0" t="n">
        <v>-1823.905</v>
      </c>
      <c r="M4" s="0" t="n">
        <v>208.24</v>
      </c>
      <c r="N4" s="0" t="n">
        <v>-2032.145</v>
      </c>
      <c r="O4" s="0" t="n">
        <v>9489.304</v>
      </c>
      <c r="P4" s="0" t="n">
        <v>57852.542</v>
      </c>
      <c r="Q4" s="0" t="n">
        <v>44405.334</v>
      </c>
      <c r="R4" s="0" t="n">
        <v>38002.843</v>
      </c>
      <c r="S4" s="0" t="n">
        <v>3385.867</v>
      </c>
      <c r="T4" s="0" t="n">
        <v>1716.390081</v>
      </c>
      <c r="U4" s="0" t="n">
        <v>0</v>
      </c>
      <c r="AA4" s="0" t="s">
        <v>18</v>
      </c>
      <c r="AB4" s="0" t="s">
        <v>14</v>
      </c>
      <c r="AC4" s="0" t="n">
        <v>0.87</v>
      </c>
      <c r="AD4" s="0" t="n">
        <v>2046.942</v>
      </c>
      <c r="AE4" s="0" t="n">
        <v>0.9</v>
      </c>
      <c r="AF4" s="0" t="n">
        <v>3.79</v>
      </c>
      <c r="AG4" s="0" t="n">
        <v>16.65</v>
      </c>
      <c r="AH4" s="0" t="n">
        <v>13447.208</v>
      </c>
    </row>
    <row r="5" customFormat="false" ht="15" hidden="false" customHeight="false" outlineLevel="0" collapsed="false">
      <c r="A5" s="0" t="s">
        <v>73</v>
      </c>
      <c r="B5" s="0" t="n">
        <v>8521.238</v>
      </c>
      <c r="C5" s="0" t="n">
        <v>-4967.263</v>
      </c>
      <c r="D5" s="0" t="n">
        <v>3553.975</v>
      </c>
      <c r="E5" s="0" t="n">
        <v>41.707261</v>
      </c>
      <c r="F5" s="0" t="n">
        <v>2395.572</v>
      </c>
      <c r="G5" s="0" t="n">
        <v>28.112957</v>
      </c>
      <c r="I5" s="0" t="n">
        <v>1647.537</v>
      </c>
      <c r="J5" s="0" t="n">
        <v>19.334479</v>
      </c>
      <c r="K5" s="0" t="n">
        <v>0.96</v>
      </c>
      <c r="L5" s="0" t="n">
        <v>-971.721</v>
      </c>
      <c r="M5" s="0" t="n">
        <v>401.394</v>
      </c>
      <c r="N5" s="0" t="n">
        <v>-1373.115</v>
      </c>
      <c r="O5" s="0" t="n">
        <v>10770.514</v>
      </c>
      <c r="P5" s="0" t="n">
        <v>61511.013</v>
      </c>
      <c r="Q5" s="0" t="n">
        <v>46545.678</v>
      </c>
      <c r="R5" s="0" t="n">
        <v>39981.341</v>
      </c>
      <c r="S5" s="0" t="n">
        <v>2036.535</v>
      </c>
      <c r="T5" s="0" t="n">
        <v>1716.30458</v>
      </c>
      <c r="U5" s="0" t="n">
        <v>5.798</v>
      </c>
      <c r="AA5" s="0" t="s">
        <v>18</v>
      </c>
      <c r="AB5" s="0" t="s">
        <v>14</v>
      </c>
      <c r="AC5" s="0" t="n">
        <v>0.96</v>
      </c>
      <c r="AD5" s="0" t="n">
        <v>3623.001</v>
      </c>
      <c r="AE5" s="0" t="n">
        <v>1</v>
      </c>
      <c r="AF5" s="0" t="n">
        <v>4.27</v>
      </c>
      <c r="AG5" s="0" t="n">
        <v>16.26</v>
      </c>
      <c r="AH5" s="0" t="n">
        <v>14965.335</v>
      </c>
    </row>
    <row r="6" customFormat="false" ht="15" hidden="false" customHeight="false" outlineLevel="0" collapsed="false">
      <c r="A6" s="0" t="s">
        <v>74</v>
      </c>
      <c r="B6" s="0" t="n">
        <v>9914.273</v>
      </c>
      <c r="C6" s="0" t="n">
        <v>-5714.834</v>
      </c>
      <c r="D6" s="0" t="n">
        <v>4199.439</v>
      </c>
      <c r="E6" s="0" t="n">
        <v>42.357508</v>
      </c>
      <c r="F6" s="0" t="n">
        <v>2720.94</v>
      </c>
      <c r="G6" s="0" t="n">
        <v>27.444675</v>
      </c>
      <c r="I6" s="0" t="n">
        <v>1835.233</v>
      </c>
      <c r="J6" s="0" t="n">
        <v>18.511019</v>
      </c>
      <c r="K6" s="0" t="n">
        <v>0.91</v>
      </c>
      <c r="L6" s="0" t="n">
        <v>-1400.57</v>
      </c>
      <c r="M6" s="0" t="n">
        <v>385.066</v>
      </c>
      <c r="N6" s="0" t="n">
        <v>-1785.636</v>
      </c>
      <c r="O6" s="0" t="n">
        <v>13103.989</v>
      </c>
      <c r="P6" s="0" t="n">
        <v>69899.801</v>
      </c>
      <c r="Q6" s="0" t="n">
        <v>52276.546</v>
      </c>
      <c r="R6" s="0" t="n">
        <v>44172.571</v>
      </c>
      <c r="S6" s="0" t="n">
        <v>2342.078</v>
      </c>
      <c r="T6" s="0" t="n">
        <v>2037.750407</v>
      </c>
      <c r="U6" s="0" t="n">
        <v>5.798</v>
      </c>
      <c r="AA6" s="0" t="s">
        <v>18</v>
      </c>
      <c r="AB6" s="0" t="s">
        <v>14</v>
      </c>
      <c r="AC6" s="0" t="n">
        <v>0.99</v>
      </c>
      <c r="AD6" s="0" t="n">
        <v>4608.377</v>
      </c>
      <c r="AE6" s="0" t="n">
        <v>0.98</v>
      </c>
      <c r="AF6" s="0" t="n">
        <v>4.05</v>
      </c>
      <c r="AG6" s="0" t="n">
        <v>15.37</v>
      </c>
      <c r="AH6" s="0" t="n">
        <v>17623.255</v>
      </c>
    </row>
    <row r="7" customFormat="false" ht="15" hidden="false" customHeight="false" outlineLevel="0" collapsed="false">
      <c r="A7" s="0" t="s">
        <v>75</v>
      </c>
      <c r="B7" s="0" t="n">
        <v>12073.172</v>
      </c>
      <c r="C7" s="0" t="n">
        <v>-7578.878</v>
      </c>
      <c r="D7" s="0" t="n">
        <v>4494.294</v>
      </c>
      <c r="E7" s="0" t="n">
        <v>37.225462</v>
      </c>
      <c r="F7" s="0" t="n">
        <v>2738.919</v>
      </c>
      <c r="G7" s="0" t="n">
        <v>22.685993</v>
      </c>
      <c r="I7" s="0" t="n">
        <v>1888.417</v>
      </c>
      <c r="J7" s="0" t="n">
        <v>15.641432</v>
      </c>
      <c r="K7" s="0" t="n">
        <v>0.93</v>
      </c>
      <c r="L7" s="0" t="n">
        <v>2032.068</v>
      </c>
      <c r="M7" s="0" t="n">
        <v>617.87</v>
      </c>
      <c r="N7" s="0" t="n">
        <v>1414.198</v>
      </c>
      <c r="O7" s="0" t="n">
        <v>13980.382</v>
      </c>
      <c r="P7" s="0" t="n">
        <v>76980.328</v>
      </c>
      <c r="Q7" s="0" t="n">
        <v>57259.507</v>
      </c>
      <c r="R7" s="0" t="n">
        <v>46911.383</v>
      </c>
      <c r="S7" s="0" t="n">
        <v>2705.342</v>
      </c>
      <c r="T7" s="0" t="n">
        <v>2077.100171</v>
      </c>
      <c r="U7" s="0" t="n">
        <v>0.442</v>
      </c>
      <c r="AA7" s="0" t="s">
        <v>18</v>
      </c>
      <c r="AB7" s="0" t="s">
        <v>14</v>
      </c>
      <c r="AC7" s="0" t="n">
        <v>1</v>
      </c>
      <c r="AD7" s="0" t="n">
        <v>6372.252</v>
      </c>
      <c r="AE7" s="0" t="n">
        <v>0.99</v>
      </c>
      <c r="AF7" s="0" t="n">
        <v>3.67</v>
      </c>
      <c r="AG7" s="0" t="n">
        <v>13.95</v>
      </c>
      <c r="AH7" s="0" t="n">
        <v>19720.821</v>
      </c>
    </row>
    <row r="8" customFormat="false" ht="15" hidden="false" customHeight="false" outlineLevel="0" collapsed="false">
      <c r="A8" s="0" t="s">
        <v>76</v>
      </c>
      <c r="B8" s="0" t="n">
        <v>13650.203</v>
      </c>
      <c r="C8" s="0" t="n">
        <v>-9078.344</v>
      </c>
      <c r="D8" s="0" t="n">
        <v>4571.859</v>
      </c>
      <c r="E8" s="0" t="n">
        <v>33.492974</v>
      </c>
      <c r="F8" s="0" t="n">
        <v>2905.267</v>
      </c>
      <c r="G8" s="0" t="n">
        <v>21.283691</v>
      </c>
      <c r="I8" s="0" t="n">
        <v>2020.918</v>
      </c>
      <c r="J8" s="0" t="n">
        <v>14.80504</v>
      </c>
      <c r="K8" s="0" t="n">
        <v>0.99</v>
      </c>
      <c r="L8" s="0" t="n">
        <v>4993.965</v>
      </c>
      <c r="M8" s="0" t="n">
        <v>896.833</v>
      </c>
      <c r="N8" s="0" t="n">
        <v>4097.132</v>
      </c>
      <c r="O8" s="0" t="n">
        <v>15677.741</v>
      </c>
      <c r="P8" s="0" t="n">
        <v>80344.744</v>
      </c>
      <c r="Q8" s="0" t="n">
        <v>59976.786</v>
      </c>
      <c r="R8" s="0" t="n">
        <v>47649.6</v>
      </c>
      <c r="S8" s="0" t="n">
        <v>2848.973</v>
      </c>
      <c r="T8" s="0" t="n">
        <v>2082.889415</v>
      </c>
      <c r="U8" s="0" t="n">
        <v>1.059</v>
      </c>
      <c r="AA8" s="0" t="s">
        <v>18</v>
      </c>
      <c r="AB8" s="0" t="s">
        <v>14</v>
      </c>
      <c r="AC8" s="0" t="n">
        <v>1.07</v>
      </c>
      <c r="AD8" s="0" t="n">
        <v>7832.842</v>
      </c>
      <c r="AE8" s="0" t="n">
        <v>0.98</v>
      </c>
      <c r="AF8" s="0" t="n">
        <v>3.16</v>
      </c>
      <c r="AG8" s="0" t="n">
        <v>13.63</v>
      </c>
      <c r="AH8" s="0" t="n">
        <v>20367.958</v>
      </c>
    </row>
    <row r="9" customFormat="false" ht="15" hidden="false" customHeight="false" outlineLevel="0" collapsed="false">
      <c r="A9" s="0" t="s">
        <v>77</v>
      </c>
      <c r="B9" s="0" t="n">
        <v>13663.485</v>
      </c>
      <c r="C9" s="0" t="n">
        <v>-9071.645</v>
      </c>
      <c r="D9" s="0" t="n">
        <v>4591.84</v>
      </c>
      <c r="E9" s="0" t="n">
        <v>33.606653</v>
      </c>
      <c r="F9" s="0" t="n">
        <v>2957.83</v>
      </c>
      <c r="G9" s="0" t="n">
        <v>21.647698</v>
      </c>
      <c r="I9" s="0" t="n">
        <v>2031.74</v>
      </c>
      <c r="J9" s="0" t="n">
        <v>14.869852</v>
      </c>
      <c r="K9" s="0" t="n">
        <v>1.02</v>
      </c>
      <c r="L9" s="0" t="n">
        <v>1138.308</v>
      </c>
      <c r="M9" s="0" t="n">
        <v>1255.068</v>
      </c>
      <c r="N9" s="0" t="n">
        <v>-116.76</v>
      </c>
      <c r="O9" s="0" t="n">
        <v>17175.729</v>
      </c>
      <c r="P9" s="0" t="n">
        <v>86032.295</v>
      </c>
      <c r="Q9" s="0" t="n">
        <v>63162.55</v>
      </c>
      <c r="R9" s="0" t="n">
        <v>52014.954</v>
      </c>
      <c r="S9" s="0" t="n">
        <v>2379.306</v>
      </c>
      <c r="T9" s="0" t="n">
        <v>2010.24798</v>
      </c>
      <c r="U9" s="0" t="n">
        <v>0</v>
      </c>
      <c r="AA9" s="0" t="s">
        <v>18</v>
      </c>
      <c r="AB9" s="0" t="s">
        <v>14</v>
      </c>
      <c r="AC9" s="0" t="n">
        <v>1.07</v>
      </c>
      <c r="AD9" s="0" t="n">
        <v>8488.276</v>
      </c>
      <c r="AE9" s="0" t="n">
        <v>0.99</v>
      </c>
      <c r="AF9" s="0" t="n">
        <v>3.58</v>
      </c>
      <c r="AG9" s="0" t="n">
        <v>12.37</v>
      </c>
      <c r="AH9" s="0" t="n">
        <v>22869.745</v>
      </c>
    </row>
    <row r="10" customFormat="false" ht="15" hidden="false" customHeight="false" outlineLevel="0" collapsed="false">
      <c r="A10" s="0" t="s">
        <v>78</v>
      </c>
      <c r="B10" s="0" t="n">
        <v>14939.517</v>
      </c>
      <c r="C10" s="0" t="n">
        <v>-9909.481</v>
      </c>
      <c r="D10" s="0" t="n">
        <v>5030.036</v>
      </c>
      <c r="E10" s="0" t="n">
        <v>33.669335</v>
      </c>
      <c r="F10" s="0" t="n">
        <v>3088.494</v>
      </c>
      <c r="G10" s="0" t="n">
        <v>20.673319</v>
      </c>
      <c r="I10" s="0" t="n">
        <v>2156.763</v>
      </c>
      <c r="J10" s="0" t="n">
        <v>14.436631</v>
      </c>
      <c r="K10" s="0" t="n">
        <v>1.08</v>
      </c>
      <c r="L10" s="0" t="n">
        <v>5776.332</v>
      </c>
      <c r="M10" s="0" t="n">
        <v>988.913</v>
      </c>
      <c r="N10" s="0" t="n">
        <v>4787.419</v>
      </c>
      <c r="O10" s="0" t="n">
        <v>19280.621</v>
      </c>
      <c r="P10" s="0" t="n">
        <v>84317.664</v>
      </c>
      <c r="Q10" s="0" t="n">
        <v>59278.687</v>
      </c>
      <c r="R10" s="0" t="n">
        <v>48227.349</v>
      </c>
      <c r="S10" s="0" t="n">
        <v>2107.784</v>
      </c>
      <c r="T10" s="0" t="n">
        <v>2013.085664</v>
      </c>
      <c r="U10" s="0" t="n">
        <v>0</v>
      </c>
      <c r="AA10" s="0" t="s">
        <v>18</v>
      </c>
      <c r="AB10" s="0" t="s">
        <v>14</v>
      </c>
      <c r="AC10" s="0" t="n">
        <v>1.13</v>
      </c>
      <c r="AD10" s="0" t="n">
        <v>9901.835</v>
      </c>
      <c r="AE10" s="0" t="n">
        <v>0.99</v>
      </c>
      <c r="AF10" s="0" t="n">
        <v>4.34</v>
      </c>
      <c r="AG10" s="0" t="n">
        <v>11.83</v>
      </c>
      <c r="AH10" s="0" t="n">
        <v>25038.977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79</v>
      </c>
      <c r="B1" s="2" t="s">
        <v>80</v>
      </c>
    </row>
    <row r="2" customFormat="false" ht="15" hidden="false" customHeight="false" outlineLevel="0" collapsed="false">
      <c r="A2" s="0" t="s">
        <v>81</v>
      </c>
      <c r="B2" s="3" t="n">
        <v>4.48</v>
      </c>
    </row>
    <row r="3" customFormat="false" ht="15" hidden="false" customHeight="false" outlineLevel="0" collapsed="false">
      <c r="A3" s="0" t="s">
        <v>82</v>
      </c>
      <c r="B3" s="3" t="n">
        <v>2014.205</v>
      </c>
    </row>
    <row r="4" customFormat="false" ht="15" hidden="false" customHeight="false" outlineLevel="0" collapsed="false">
      <c r="A4" s="0" t="s">
        <v>83</v>
      </c>
      <c r="B4" s="3" t="n">
        <v>0</v>
      </c>
    </row>
    <row r="5" customFormat="false" ht="15" hidden="false" customHeight="false" outlineLevel="0" collapsed="false">
      <c r="A5" s="0" t="s">
        <v>84</v>
      </c>
      <c r="B5" s="3" t="n">
        <v>0</v>
      </c>
    </row>
    <row r="6" customFormat="false" ht="15" hidden="false" customHeight="false" outlineLevel="0" collapsed="false">
      <c r="A6" s="0" t="s">
        <v>85</v>
      </c>
      <c r="B6" s="3" t="n">
        <v>15</v>
      </c>
    </row>
    <row r="7" customFormat="false" ht="15" hidden="false" customHeight="false" outlineLevel="0" collapsed="false">
      <c r="A7" s="0" t="s">
        <v>86</v>
      </c>
      <c r="B7" s="3" t="n">
        <v>14939.517</v>
      </c>
    </row>
    <row r="8" customFormat="false" ht="15" hidden="false" customHeight="false" outlineLevel="0" collapsed="false">
      <c r="A8" s="0" t="s">
        <v>87</v>
      </c>
      <c r="B8" s="3" t="s">
        <v>78</v>
      </c>
    </row>
    <row r="9" customFormat="false" ht="15" hidden="false" customHeight="false" outlineLevel="0" collapsed="false">
      <c r="A9" s="0" t="s">
        <v>88</v>
      </c>
      <c r="B9" s="3" t="s">
        <v>89</v>
      </c>
    </row>
    <row r="10" customFormat="false" ht="15" hidden="false" customHeight="false" outlineLevel="0" collapsed="false">
      <c r="A10" s="0" t="s">
        <v>90</v>
      </c>
      <c r="B10" s="3" t="n">
        <v>1.1756</v>
      </c>
    </row>
    <row r="12" customFormat="false" ht="15" hidden="false" customHeight="false" outlineLevel="0" collapsed="false">
      <c r="A12" s="2" t="s">
        <v>91</v>
      </c>
      <c r="C12" s="2" t="s">
        <v>92</v>
      </c>
      <c r="D12" s="2" t="s">
        <v>93</v>
      </c>
      <c r="E12" s="2" t="s">
        <v>94</v>
      </c>
      <c r="F12" s="2" t="s">
        <v>95</v>
      </c>
      <c r="G12" s="2" t="s">
        <v>96</v>
      </c>
      <c r="H12" s="2" t="s">
        <v>97</v>
      </c>
      <c r="I12" s="2" t="s">
        <v>98</v>
      </c>
      <c r="J12" s="2" t="s">
        <v>99</v>
      </c>
      <c r="K12" s="2" t="s">
        <v>100</v>
      </c>
      <c r="L12" s="2" t="s">
        <v>101</v>
      </c>
    </row>
    <row r="13" customFormat="false" ht="15" hidden="false" customHeight="false" outlineLevel="0" collapsed="false">
      <c r="A13" s="0" t="s">
        <v>102</v>
      </c>
      <c r="C13" s="3" t="n">
        <v>-8</v>
      </c>
      <c r="D13" s="3" t="n">
        <v>-2</v>
      </c>
      <c r="E13" s="3" t="n">
        <v>0</v>
      </c>
      <c r="F13" s="3" t="n">
        <v>1</v>
      </c>
      <c r="G13" s="3" t="n">
        <v>1.5</v>
      </c>
      <c r="H13" s="3" t="n">
        <v>2</v>
      </c>
      <c r="I13" s="3" t="n">
        <v>2</v>
      </c>
      <c r="J13" s="3" t="n">
        <v>2</v>
      </c>
      <c r="K13" s="3" t="n">
        <v>2</v>
      </c>
      <c r="L13" s="3" t="n">
        <v>2</v>
      </c>
    </row>
    <row r="14" customFormat="false" ht="15" hidden="false" customHeight="false" outlineLevel="0" collapsed="false">
      <c r="A14" s="0" t="s">
        <v>103</v>
      </c>
      <c r="C14" s="3" t="n">
        <v>26</v>
      </c>
      <c r="D14" s="3" t="n">
        <v>24</v>
      </c>
      <c r="E14" s="3" t="n">
        <v>22.5</v>
      </c>
      <c r="F14" s="3" t="n">
        <v>21.5</v>
      </c>
      <c r="G14" s="3" t="n">
        <v>21</v>
      </c>
      <c r="H14" s="3" t="n">
        <v>20.5</v>
      </c>
      <c r="I14" s="3" t="n">
        <v>20.5</v>
      </c>
      <c r="J14" s="3" t="n">
        <v>20.5</v>
      </c>
      <c r="K14" s="3" t="n">
        <v>20.5</v>
      </c>
      <c r="L14" s="3" t="n">
        <v>20.5</v>
      </c>
    </row>
    <row r="15" customFormat="false" ht="15" hidden="false" customHeight="false" outlineLevel="0" collapsed="false">
      <c r="A15" s="0" t="s">
        <v>104</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105</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106</v>
      </c>
      <c r="C17" s="3" t="n">
        <v>6</v>
      </c>
      <c r="D17" s="3" t="n">
        <v>6.2</v>
      </c>
      <c r="E17" s="3" t="n">
        <v>6.3</v>
      </c>
      <c r="F17" s="3" t="n">
        <v>6.3</v>
      </c>
      <c r="G17" s="3" t="n">
        <v>6.3</v>
      </c>
      <c r="H17" s="3" t="n">
        <v>6.3</v>
      </c>
      <c r="I17" s="3" t="n">
        <v>6.3</v>
      </c>
      <c r="J17" s="3" t="n">
        <v>6.3</v>
      </c>
      <c r="K17" s="3" t="n">
        <v>6.3</v>
      </c>
      <c r="L17" s="3" t="n">
        <v>6.3</v>
      </c>
    </row>
    <row r="18" customFormat="false" ht="15" hidden="false" customHeight="false" outlineLevel="0" collapsed="false">
      <c r="A18" s="0" t="s">
        <v>107</v>
      </c>
      <c r="C18" s="3" t="n">
        <v>11.5</v>
      </c>
      <c r="D18" s="3" t="n">
        <v>11.7</v>
      </c>
      <c r="E18" s="3" t="n">
        <v>11.8</v>
      </c>
      <c r="F18" s="3" t="n">
        <v>11.8</v>
      </c>
      <c r="G18" s="3" t="n">
        <v>11.8</v>
      </c>
      <c r="H18" s="3" t="n">
        <v>11.8</v>
      </c>
      <c r="I18" s="3" t="n">
        <v>11.8</v>
      </c>
      <c r="J18" s="3" t="n">
        <v>11.8</v>
      </c>
      <c r="K18" s="3" t="n">
        <v>11.8</v>
      </c>
      <c r="L18" s="3" t="n">
        <v>11.8</v>
      </c>
    </row>
    <row r="19" customFormat="false" ht="15" hidden="false" customHeight="false" outlineLevel="0" collapsed="false">
      <c r="A19" s="0" t="s">
        <v>108</v>
      </c>
      <c r="C19" s="3" t="n">
        <v>29</v>
      </c>
      <c r="D19" s="3" t="n">
        <v>29</v>
      </c>
      <c r="E19" s="3" t="n">
        <v>29</v>
      </c>
      <c r="F19" s="3" t="n">
        <v>29</v>
      </c>
      <c r="G19" s="3" t="n">
        <v>29</v>
      </c>
      <c r="H19" s="3" t="n">
        <v>29</v>
      </c>
      <c r="I19" s="3" t="n">
        <v>29</v>
      </c>
      <c r="J19" s="3" t="n">
        <v>29</v>
      </c>
      <c r="K19" s="3" t="n">
        <v>29</v>
      </c>
      <c r="L19" s="3" t="n">
        <v>29</v>
      </c>
    </row>
    <row r="20" customFormat="false" ht="15" hidden="false" customHeight="false" outlineLevel="0" collapsed="false">
      <c r="A20" s="0" t="s">
        <v>109</v>
      </c>
      <c r="B20" s="3" t="n">
        <v>13.5</v>
      </c>
    </row>
    <row r="21" customFormat="false" ht="15" hidden="false" customHeight="false" outlineLevel="0" collapsed="false">
      <c r="A21" s="0" t="s">
        <v>110</v>
      </c>
      <c r="B21" s="3" t="n">
        <v>1.5</v>
      </c>
    </row>
    <row r="22" customFormat="false" ht="15" hidden="false" customHeight="false" outlineLevel="0" collapsed="false">
      <c r="A22" s="0" t="s">
        <v>111</v>
      </c>
      <c r="B22" s="3" t="n">
        <v>12</v>
      </c>
    </row>
    <row r="23" customFormat="false" ht="15" hidden="false" customHeight="false" outlineLevel="0" collapsed="false">
      <c r="A23" s="0" t="s">
        <v>112</v>
      </c>
      <c r="B23" s="3" t="n">
        <v>0</v>
      </c>
    </row>
    <row r="24" customFormat="false" ht="15" hidden="false" customHeight="false" outlineLevel="0" collapsed="false">
      <c r="A24" s="0" t="s">
        <v>113</v>
      </c>
      <c r="B24" s="3" t="n">
        <v>0.35</v>
      </c>
    </row>
    <row r="26" customFormat="false" ht="15" hidden="false" customHeight="false" outlineLevel="0" collapsed="false">
      <c r="A26" s="2" t="s">
        <v>114</v>
      </c>
      <c r="C26" s="2" t="s">
        <v>92</v>
      </c>
      <c r="D26" s="2" t="s">
        <v>93</v>
      </c>
      <c r="E26" s="2" t="s">
        <v>94</v>
      </c>
      <c r="F26" s="2" t="s">
        <v>95</v>
      </c>
      <c r="G26" s="2" t="s">
        <v>96</v>
      </c>
      <c r="H26" s="2" t="s">
        <v>97</v>
      </c>
      <c r="I26" s="2" t="s">
        <v>98</v>
      </c>
      <c r="J26" s="2" t="s">
        <v>99</v>
      </c>
      <c r="K26" s="2" t="s">
        <v>100</v>
      </c>
      <c r="L26" s="2" t="s">
        <v>101</v>
      </c>
    </row>
    <row r="27" customFormat="false" ht="15" hidden="false" customHeight="false" outlineLevel="0" collapsed="false">
      <c r="A27" s="0" t="s">
        <v>102</v>
      </c>
      <c r="C27" s="3" t="n">
        <v>-5</v>
      </c>
      <c r="D27" s="3" t="n">
        <v>2</v>
      </c>
      <c r="E27" s="3" t="n">
        <v>3</v>
      </c>
      <c r="F27" s="3" t="n">
        <v>3.5</v>
      </c>
      <c r="G27" s="3" t="n">
        <v>3.5</v>
      </c>
      <c r="H27" s="3" t="n">
        <v>3</v>
      </c>
      <c r="I27" s="3" t="n">
        <v>3</v>
      </c>
      <c r="J27" s="3" t="n">
        <v>3</v>
      </c>
      <c r="K27" s="3" t="n">
        <v>3</v>
      </c>
      <c r="L27" s="3" t="n">
        <v>3</v>
      </c>
    </row>
    <row r="28" customFormat="false" ht="15" hidden="false" customHeight="false" outlineLevel="0" collapsed="false">
      <c r="A28" s="0" t="s">
        <v>103</v>
      </c>
      <c r="C28" s="3" t="n">
        <v>27.3</v>
      </c>
      <c r="D28" s="3" t="n">
        <v>27</v>
      </c>
      <c r="E28" s="3" t="n">
        <v>26.8</v>
      </c>
      <c r="F28" s="3" t="n">
        <v>26.5</v>
      </c>
      <c r="G28" s="3" t="n">
        <v>26.3</v>
      </c>
      <c r="H28" s="3" t="n">
        <v>26</v>
      </c>
      <c r="I28" s="3" t="n">
        <v>26</v>
      </c>
      <c r="J28" s="3" t="n">
        <v>26</v>
      </c>
      <c r="K28" s="3" t="n">
        <v>26</v>
      </c>
      <c r="L28" s="3" t="n">
        <v>26</v>
      </c>
    </row>
    <row r="29" customFormat="false" ht="15" hidden="false" customHeight="false" outlineLevel="0" collapsed="false">
      <c r="A29" s="0" t="s">
        <v>104</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105</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106</v>
      </c>
      <c r="C31" s="3" t="n">
        <v>5.85</v>
      </c>
      <c r="D31" s="3" t="n">
        <v>5.9</v>
      </c>
      <c r="E31" s="3" t="n">
        <v>5.9</v>
      </c>
      <c r="F31" s="3" t="n">
        <v>5.9</v>
      </c>
      <c r="G31" s="3" t="n">
        <v>5.9</v>
      </c>
      <c r="H31" s="3" t="n">
        <v>5.9</v>
      </c>
      <c r="I31" s="3" t="n">
        <v>5.9</v>
      </c>
      <c r="J31" s="3" t="n">
        <v>5.9</v>
      </c>
      <c r="K31" s="3" t="n">
        <v>5.9</v>
      </c>
      <c r="L31" s="3" t="n">
        <v>5.9</v>
      </c>
    </row>
    <row r="32" customFormat="false" ht="15" hidden="false" customHeight="false" outlineLevel="0" collapsed="false">
      <c r="A32" s="0" t="s">
        <v>107</v>
      </c>
      <c r="C32" s="3" t="n">
        <v>10</v>
      </c>
      <c r="D32" s="3" t="n">
        <v>10</v>
      </c>
      <c r="E32" s="3" t="n">
        <v>10</v>
      </c>
      <c r="F32" s="3" t="n">
        <v>10</v>
      </c>
      <c r="G32" s="3" t="n">
        <v>10</v>
      </c>
      <c r="H32" s="3" t="n">
        <v>9.9</v>
      </c>
      <c r="I32" s="3" t="n">
        <v>9.9</v>
      </c>
      <c r="J32" s="3" t="n">
        <v>9.9</v>
      </c>
      <c r="K32" s="3" t="n">
        <v>9.9</v>
      </c>
      <c r="L32" s="3" t="n">
        <v>9.9</v>
      </c>
    </row>
    <row r="33" customFormat="false" ht="15" hidden="false" customHeight="false" outlineLevel="0" collapsed="false">
      <c r="A33" s="0" t="s">
        <v>108</v>
      </c>
      <c r="C33" s="3" t="n">
        <v>28.5</v>
      </c>
      <c r="D33" s="3" t="n">
        <v>28.5</v>
      </c>
      <c r="E33" s="3" t="n">
        <v>28.5</v>
      </c>
      <c r="F33" s="3" t="n">
        <v>28.5</v>
      </c>
      <c r="G33" s="3" t="n">
        <v>28.5</v>
      </c>
      <c r="H33" s="3" t="n">
        <v>28.5</v>
      </c>
      <c r="I33" s="3" t="n">
        <v>28.5</v>
      </c>
      <c r="J33" s="3" t="n">
        <v>28.5</v>
      </c>
      <c r="K33" s="3" t="n">
        <v>28.5</v>
      </c>
      <c r="L33" s="3" t="n">
        <v>28.5</v>
      </c>
    </row>
    <row r="34" customFormat="false" ht="15" hidden="false" customHeight="false" outlineLevel="0" collapsed="false">
      <c r="A34" s="0" t="s">
        <v>109</v>
      </c>
      <c r="B34" s="3" t="n">
        <v>11.5</v>
      </c>
    </row>
    <row r="35" customFormat="false" ht="15" hidden="false" customHeight="false" outlineLevel="0" collapsed="false">
      <c r="A35" s="0" t="s">
        <v>110</v>
      </c>
      <c r="B35" s="3" t="n">
        <v>2.5</v>
      </c>
    </row>
    <row r="36" customFormat="false" ht="15" hidden="false" customHeight="false" outlineLevel="0" collapsed="false">
      <c r="A36" s="0" t="s">
        <v>111</v>
      </c>
      <c r="B36" s="3" t="n">
        <v>12</v>
      </c>
    </row>
    <row r="37" customFormat="false" ht="15" hidden="false" customHeight="false" outlineLevel="0" collapsed="false">
      <c r="A37" s="0" t="s">
        <v>112</v>
      </c>
      <c r="B37" s="3" t="n">
        <v>0</v>
      </c>
    </row>
    <row r="38" customFormat="false" ht="15" hidden="false" customHeight="false" outlineLevel="0" collapsed="false">
      <c r="A38" s="0" t="s">
        <v>113</v>
      </c>
      <c r="B38" s="3" t="n">
        <v>0.45</v>
      </c>
    </row>
    <row r="40" customFormat="false" ht="15" hidden="false" customHeight="false" outlineLevel="0" collapsed="false">
      <c r="A40" s="2" t="s">
        <v>115</v>
      </c>
      <c r="C40" s="2" t="s">
        <v>92</v>
      </c>
      <c r="D40" s="2" t="s">
        <v>93</v>
      </c>
      <c r="E40" s="2" t="s">
        <v>94</v>
      </c>
      <c r="F40" s="2" t="s">
        <v>95</v>
      </c>
      <c r="G40" s="2" t="s">
        <v>96</v>
      </c>
      <c r="H40" s="2" t="s">
        <v>97</v>
      </c>
      <c r="I40" s="2" t="s">
        <v>98</v>
      </c>
      <c r="J40" s="2" t="s">
        <v>99</v>
      </c>
      <c r="K40" s="2" t="s">
        <v>100</v>
      </c>
      <c r="L40" s="2" t="s">
        <v>101</v>
      </c>
    </row>
    <row r="41" customFormat="false" ht="15" hidden="false" customHeight="false" outlineLevel="0" collapsed="false">
      <c r="A41" s="0" t="s">
        <v>102</v>
      </c>
      <c r="C41" s="3" t="n">
        <v>-3</v>
      </c>
      <c r="D41" s="3" t="n">
        <v>4</v>
      </c>
      <c r="E41" s="3" t="n">
        <v>5</v>
      </c>
      <c r="F41" s="3" t="n">
        <v>5</v>
      </c>
      <c r="G41" s="3" t="n">
        <v>4.5</v>
      </c>
      <c r="H41" s="3" t="n">
        <v>4</v>
      </c>
      <c r="I41" s="3" t="n">
        <v>4</v>
      </c>
      <c r="J41" s="3" t="n">
        <v>3.5</v>
      </c>
      <c r="K41" s="3" t="n">
        <v>3.5</v>
      </c>
      <c r="L41" s="3" t="n">
        <v>3.5</v>
      </c>
    </row>
    <row r="42" customFormat="false" ht="15" hidden="false" customHeight="false" outlineLevel="0" collapsed="false">
      <c r="A42" s="0" t="s">
        <v>103</v>
      </c>
      <c r="C42" s="3" t="n">
        <v>27.5</v>
      </c>
      <c r="D42" s="3" t="n">
        <v>27.5</v>
      </c>
      <c r="E42" s="3" t="n">
        <v>27.8</v>
      </c>
      <c r="F42" s="3" t="n">
        <v>28</v>
      </c>
      <c r="G42" s="3" t="n">
        <v>28</v>
      </c>
      <c r="H42" s="3" t="n">
        <v>28</v>
      </c>
      <c r="I42" s="3" t="n">
        <v>28</v>
      </c>
      <c r="J42" s="3" t="n">
        <v>28</v>
      </c>
      <c r="K42" s="3" t="n">
        <v>28</v>
      </c>
      <c r="L42" s="3" t="n">
        <v>28</v>
      </c>
    </row>
    <row r="43" customFormat="false" ht="15" hidden="false" customHeight="false" outlineLevel="0" collapsed="false">
      <c r="A43" s="0" t="s">
        <v>104</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105</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106</v>
      </c>
      <c r="C45" s="3" t="n">
        <v>5.8</v>
      </c>
      <c r="D45" s="3" t="n">
        <v>5.8</v>
      </c>
      <c r="E45" s="3" t="n">
        <v>5.8</v>
      </c>
      <c r="F45" s="3" t="n">
        <v>5.8</v>
      </c>
      <c r="G45" s="3" t="n">
        <v>5.8</v>
      </c>
      <c r="H45" s="3" t="n">
        <v>5.8</v>
      </c>
      <c r="I45" s="3" t="n">
        <v>5.8</v>
      </c>
      <c r="J45" s="3" t="n">
        <v>5.8</v>
      </c>
      <c r="K45" s="3" t="n">
        <v>5.8</v>
      </c>
      <c r="L45" s="3" t="n">
        <v>5.8</v>
      </c>
    </row>
    <row r="46" customFormat="false" ht="15" hidden="false" customHeight="false" outlineLevel="0" collapsed="false">
      <c r="A46" s="0" t="s">
        <v>107</v>
      </c>
      <c r="C46" s="3" t="n">
        <v>9.3</v>
      </c>
      <c r="D46" s="3" t="n">
        <v>9.3</v>
      </c>
      <c r="E46" s="3" t="n">
        <v>9.3</v>
      </c>
      <c r="F46" s="3" t="n">
        <v>9.3</v>
      </c>
      <c r="G46" s="3" t="n">
        <v>9.3</v>
      </c>
      <c r="H46" s="3" t="n">
        <v>9.3</v>
      </c>
      <c r="I46" s="3" t="n">
        <v>9.3</v>
      </c>
      <c r="J46" s="3" t="n">
        <v>9.3</v>
      </c>
      <c r="K46" s="3" t="n">
        <v>9.3</v>
      </c>
      <c r="L46" s="3" t="n">
        <v>9.3</v>
      </c>
    </row>
    <row r="47" customFormat="false" ht="15" hidden="false" customHeight="false" outlineLevel="0" collapsed="false">
      <c r="A47" s="0" t="s">
        <v>108</v>
      </c>
      <c r="C47" s="3" t="n">
        <v>28</v>
      </c>
      <c r="D47" s="3" t="n">
        <v>28</v>
      </c>
      <c r="E47" s="3" t="n">
        <v>28</v>
      </c>
      <c r="F47" s="3" t="n">
        <v>28</v>
      </c>
      <c r="G47" s="3" t="n">
        <v>28</v>
      </c>
      <c r="H47" s="3" t="n">
        <v>28</v>
      </c>
      <c r="I47" s="3" t="n">
        <v>28</v>
      </c>
      <c r="J47" s="3" t="n">
        <v>28</v>
      </c>
      <c r="K47" s="3" t="n">
        <v>28</v>
      </c>
      <c r="L47" s="3" t="n">
        <v>28</v>
      </c>
    </row>
    <row r="48" customFormat="false" ht="15" hidden="false" customHeight="false" outlineLevel="0" collapsed="false">
      <c r="A48" s="0" t="s">
        <v>109</v>
      </c>
      <c r="B48" s="3" t="n">
        <v>10.5</v>
      </c>
    </row>
    <row r="49" customFormat="false" ht="15" hidden="false" customHeight="false" outlineLevel="0" collapsed="false">
      <c r="A49" s="0" t="s">
        <v>110</v>
      </c>
      <c r="B49" s="3" t="n">
        <v>3</v>
      </c>
    </row>
    <row r="50" customFormat="false" ht="15" hidden="false" customHeight="false" outlineLevel="0" collapsed="false">
      <c r="A50" s="0" t="s">
        <v>111</v>
      </c>
      <c r="B50" s="3" t="n">
        <v>12</v>
      </c>
    </row>
    <row r="51" customFormat="false" ht="15" hidden="false" customHeight="false" outlineLevel="0" collapsed="false">
      <c r="A51" s="0" t="s">
        <v>112</v>
      </c>
      <c r="B51" s="3" t="n">
        <v>0</v>
      </c>
    </row>
    <row r="52" customFormat="false" ht="15" hidden="false" customHeight="false" outlineLevel="0" collapsed="false">
      <c r="A52" s="0" t="s">
        <v>113</v>
      </c>
      <c r="B52" s="3" t="n">
        <v>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116</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Assumptions!C13</f>
        <v>-8</v>
      </c>
      <c r="D5" s="4" t="n">
        <f aca="false">Assumptions!D13</f>
        <v>-2</v>
      </c>
      <c r="E5" s="4" t="n">
        <f aca="false">Assumptions!E13</f>
        <v>0</v>
      </c>
      <c r="F5" s="4" t="n">
        <f aca="false">Assumptions!F13</f>
        <v>1</v>
      </c>
      <c r="G5" s="4" t="n">
        <f aca="false">Assumptions!G13</f>
        <v>1.5</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14939.517</v>
      </c>
      <c r="C6" s="0" t="n">
        <f aca="false">B6*(1+C5/100)</f>
        <v>13744.35564</v>
      </c>
      <c r="D6" s="0" t="n">
        <f aca="false">C6*(1+D5/100)</f>
        <v>13469.4685272</v>
      </c>
      <c r="E6" s="0" t="n">
        <f aca="false">D6*(1+E5/100)</f>
        <v>13469.4685272</v>
      </c>
      <c r="F6" s="0" t="n">
        <f aca="false">E6*(1+F5/100)</f>
        <v>13604.163212472</v>
      </c>
      <c r="G6" s="0" t="n">
        <f aca="false">F6*(1+G5/100)</f>
        <v>13808.2256606591</v>
      </c>
      <c r="H6" s="0" t="n">
        <f aca="false">G6*(1+H5/100)</f>
        <v>14084.3901738723</v>
      </c>
      <c r="I6" s="0" t="n">
        <f aca="false">H6*(1+I5/100)</f>
        <v>14366.0779773497</v>
      </c>
      <c r="J6" s="0" t="n">
        <f aca="false">I6*(1+J5/100)</f>
        <v>14653.3995368967</v>
      </c>
      <c r="K6" s="0" t="n">
        <f aca="false">J6*(1+K5/100)</f>
        <v>14946.4675276346</v>
      </c>
      <c r="L6" s="0" t="n">
        <f aca="false">K6*(1+L5/100)</f>
        <v>15245.3968781873</v>
      </c>
    </row>
    <row r="7" customFormat="false" ht="15" hidden="false" customHeight="false" outlineLevel="0" collapsed="false">
      <c r="A7" s="0" t="s">
        <v>103</v>
      </c>
      <c r="C7" s="4" t="n">
        <f aca="false">Assumptions!C14</f>
        <v>26</v>
      </c>
      <c r="D7" s="4" t="n">
        <f aca="false">Assumptions!D14</f>
        <v>24</v>
      </c>
      <c r="E7" s="4" t="n">
        <f aca="false">Assumptions!E14</f>
        <v>22.5</v>
      </c>
      <c r="F7" s="4" t="n">
        <f aca="false">Assumptions!F14</f>
        <v>21.5</v>
      </c>
      <c r="G7" s="4" t="n">
        <f aca="false">Assumptions!G14</f>
        <v>21</v>
      </c>
      <c r="H7" s="4" t="n">
        <f aca="false">Assumptions!H14</f>
        <v>20.5</v>
      </c>
      <c r="I7" s="4" t="n">
        <f aca="false">Assumptions!I14</f>
        <v>20.5</v>
      </c>
      <c r="J7" s="4" t="n">
        <f aca="false">Assumptions!J14</f>
        <v>20.5</v>
      </c>
      <c r="K7" s="4" t="n">
        <f aca="false">Assumptions!K14</f>
        <v>20.5</v>
      </c>
      <c r="L7" s="4" t="n">
        <f aca="false">Assumptions!L14</f>
        <v>20.5</v>
      </c>
    </row>
    <row r="8" customFormat="false" ht="15" hidden="false" customHeight="false" outlineLevel="0" collapsed="false">
      <c r="A8" s="0" t="s">
        <v>44</v>
      </c>
      <c r="C8" s="0" t="n">
        <f aca="false">C6*C7/100</f>
        <v>3573.5324664</v>
      </c>
      <c r="D8" s="0" t="n">
        <f aca="false">D6*D7/100</f>
        <v>3232.672446528</v>
      </c>
      <c r="E8" s="0" t="n">
        <f aca="false">E6*E7/100</f>
        <v>3030.63041862</v>
      </c>
      <c r="F8" s="0" t="n">
        <f aca="false">F6*F7/100</f>
        <v>2924.89509068148</v>
      </c>
      <c r="G8" s="0" t="n">
        <f aca="false">G6*G7/100</f>
        <v>2899.72738873841</v>
      </c>
      <c r="H8" s="0" t="n">
        <f aca="false">H6*H7/100</f>
        <v>2887.29998564381</v>
      </c>
      <c r="I8" s="0" t="n">
        <f aca="false">I6*I7/100</f>
        <v>2945.04598535669</v>
      </c>
      <c r="J8" s="0" t="n">
        <f aca="false">J6*J7/100</f>
        <v>3003.94690506382</v>
      </c>
      <c r="K8" s="0" t="n">
        <f aca="false">K6*K7/100</f>
        <v>3064.0258431651</v>
      </c>
      <c r="L8" s="0" t="n">
        <f aca="false">L6*L7/100</f>
        <v>3125.3063600284</v>
      </c>
    </row>
    <row r="9" customFormat="false" ht="15" hidden="false" customHeight="false" outlineLevel="0" collapsed="false">
      <c r="A9" s="0" t="s">
        <v>104</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3573.5324664</v>
      </c>
      <c r="D11" s="0" t="n">
        <f aca="false">D8+D10+D24</f>
        <v>3232.672446528</v>
      </c>
      <c r="E11" s="0" t="n">
        <f aca="false">E8+E10+E24</f>
        <v>3030.63041862</v>
      </c>
      <c r="F11" s="0" t="n">
        <f aca="false">F8+F10+F24</f>
        <v>2924.89509068148</v>
      </c>
      <c r="G11" s="0" t="n">
        <f aca="false">G8+G10+G24</f>
        <v>2899.72738873841</v>
      </c>
      <c r="H11" s="0" t="n">
        <f aca="false">H8+H10+H24</f>
        <v>2887.29998564381</v>
      </c>
      <c r="I11" s="0" t="n">
        <f aca="false">I8+I10+I24</f>
        <v>2945.04598535669</v>
      </c>
      <c r="J11" s="0" t="n">
        <f aca="false">J8+J10+J24</f>
        <v>3003.94690506382</v>
      </c>
      <c r="K11" s="0" t="n">
        <f aca="false">K8+K10+K24</f>
        <v>3064.0258431651</v>
      </c>
      <c r="L11" s="0" t="n">
        <f aca="false">L8+L10+L24</f>
        <v>3125.3063600284</v>
      </c>
    </row>
    <row r="12" customFormat="false" ht="15" hidden="false" customHeight="false" outlineLevel="0" collapsed="false">
      <c r="A12" s="0" t="s">
        <v>121</v>
      </c>
      <c r="C12" s="4" t="n">
        <f aca="false">-C6*Assumptions!C17/100</f>
        <v>-824.6613384</v>
      </c>
      <c r="D12" s="4" t="n">
        <f aca="false">-D6*Assumptions!D17/100</f>
        <v>-835.1070486864</v>
      </c>
      <c r="E12" s="4" t="n">
        <f aca="false">-E6*Assumptions!E17/100</f>
        <v>-848.5765172136</v>
      </c>
      <c r="F12" s="4" t="n">
        <f aca="false">-F6*Assumptions!F17/100</f>
        <v>-857.062282385736</v>
      </c>
      <c r="G12" s="4" t="n">
        <f aca="false">-G6*Assumptions!G17/100</f>
        <v>-869.918216621522</v>
      </c>
      <c r="H12" s="4" t="n">
        <f aca="false">-H6*Assumptions!H17/100</f>
        <v>-887.316580953952</v>
      </c>
      <c r="I12" s="4" t="n">
        <f aca="false">-I6*Assumptions!I17/100</f>
        <v>-905.062912573031</v>
      </c>
      <c r="J12" s="4" t="n">
        <f aca="false">-J6*Assumptions!J17/100</f>
        <v>-923.164170824492</v>
      </c>
      <c r="K12" s="4" t="n">
        <f aca="false">-K6*Assumptions!K17/100</f>
        <v>-941.627454240982</v>
      </c>
      <c r="L12" s="4" t="n">
        <f aca="false">-L6*Assumptions!L17/100</f>
        <v>-960.460003325801</v>
      </c>
    </row>
    <row r="13" customFormat="false" ht="15" hidden="false" customHeight="false" outlineLevel="0" collapsed="false">
      <c r="A13" s="0" t="s">
        <v>122</v>
      </c>
      <c r="C13" s="0" t="n">
        <f aca="false">C11+C12</f>
        <v>2748.871128</v>
      </c>
      <c r="D13" s="0" t="n">
        <f aca="false">D11+D12</f>
        <v>2397.5653978416</v>
      </c>
      <c r="E13" s="0" t="n">
        <f aca="false">E11+E12</f>
        <v>2182.0539014064</v>
      </c>
      <c r="F13" s="0" t="n">
        <f aca="false">F11+F12</f>
        <v>2067.83280829574</v>
      </c>
      <c r="G13" s="0" t="n">
        <f aca="false">G11+G12</f>
        <v>2029.80917211688</v>
      </c>
      <c r="H13" s="0" t="n">
        <f aca="false">H11+H12</f>
        <v>1999.98340468986</v>
      </c>
      <c r="I13" s="0" t="n">
        <f aca="false">I11+I12</f>
        <v>2039.98307278366</v>
      </c>
      <c r="J13" s="0" t="n">
        <f aca="false">J11+J12</f>
        <v>2080.78273423933</v>
      </c>
      <c r="K13" s="0" t="n">
        <f aca="false">K11+K12</f>
        <v>2122.39838892412</v>
      </c>
      <c r="L13" s="0" t="n">
        <f aca="false">L11+L12</f>
        <v>2164.8463567026</v>
      </c>
    </row>
    <row r="14" customFormat="false" ht="15" hidden="false" customHeight="false" outlineLevel="0" collapsed="false">
      <c r="A14" s="0" t="s">
        <v>108</v>
      </c>
      <c r="C14" s="4" t="n">
        <f aca="false">Assumptions!C19</f>
        <v>29</v>
      </c>
      <c r="D14" s="4" t="n">
        <f aca="false">Assumptions!D19</f>
        <v>29</v>
      </c>
      <c r="E14" s="4" t="n">
        <f aca="false">Assumptions!E19</f>
        <v>29</v>
      </c>
      <c r="F14" s="4" t="n">
        <f aca="false">Assumptions!F19</f>
        <v>29</v>
      </c>
      <c r="G14" s="4" t="n">
        <f aca="false">Assumptions!G19</f>
        <v>29</v>
      </c>
      <c r="H14" s="4" t="n">
        <f aca="false">Assumptions!H19</f>
        <v>29</v>
      </c>
      <c r="I14" s="4" t="n">
        <f aca="false">Assumptions!I19</f>
        <v>29</v>
      </c>
      <c r="J14" s="4" t="n">
        <f aca="false">Assumptions!J19</f>
        <v>29</v>
      </c>
      <c r="K14" s="4" t="n">
        <f aca="false">Assumptions!K19</f>
        <v>29</v>
      </c>
      <c r="L14" s="4" t="n">
        <f aca="false">Assumptions!L19</f>
        <v>29</v>
      </c>
    </row>
    <row r="15" customFormat="false" ht="15" hidden="false" customHeight="false" outlineLevel="0" collapsed="false">
      <c r="A15" s="0" t="s">
        <v>123</v>
      </c>
      <c r="C15" s="0" t="n">
        <f aca="false">C13-MAX(0,C13)*C14/100</f>
        <v>1951.69850088</v>
      </c>
      <c r="D15" s="0" t="n">
        <f aca="false">D13-MAX(0,D13)*D14/100</f>
        <v>1702.27143246754</v>
      </c>
      <c r="E15" s="0" t="n">
        <f aca="false">E13-MAX(0,E13)*E14/100</f>
        <v>1549.25826999854</v>
      </c>
      <c r="F15" s="0" t="n">
        <f aca="false">F13-MAX(0,F13)*F14/100</f>
        <v>1468.16129388998</v>
      </c>
      <c r="G15" s="0" t="n">
        <f aca="false">G13-MAX(0,G13)*G14/100</f>
        <v>1441.16451220299</v>
      </c>
      <c r="H15" s="0" t="n">
        <f aca="false">H13-MAX(0,H13)*H14/100</f>
        <v>1419.9882173298</v>
      </c>
      <c r="I15" s="0" t="n">
        <f aca="false">I13-MAX(0,I13)*I14/100</f>
        <v>1448.3879816764</v>
      </c>
      <c r="J15" s="0" t="n">
        <f aca="false">J13-MAX(0,J13)*J14/100</f>
        <v>1477.35574130992</v>
      </c>
      <c r="K15" s="0" t="n">
        <f aca="false">K13-MAX(0,K13)*K14/100</f>
        <v>1506.90285613612</v>
      </c>
      <c r="L15" s="0" t="n">
        <f aca="false">L13-MAX(0,L13)*L14/100</f>
        <v>1537.04091325885</v>
      </c>
    </row>
    <row r="16" customFormat="false" ht="15" hidden="false" customHeight="false" outlineLevel="0" collapsed="false">
      <c r="A16" s="0" t="s">
        <v>124</v>
      </c>
      <c r="C16" s="0" t="n">
        <f aca="false">-C12</f>
        <v>824.6613384</v>
      </c>
      <c r="D16" s="0" t="n">
        <f aca="false">-D12</f>
        <v>835.1070486864</v>
      </c>
      <c r="E16" s="0" t="n">
        <f aca="false">-E12</f>
        <v>848.5765172136</v>
      </c>
      <c r="F16" s="0" t="n">
        <f aca="false">-F12</f>
        <v>857.062282385736</v>
      </c>
      <c r="G16" s="0" t="n">
        <f aca="false">-G12</f>
        <v>869.918216621522</v>
      </c>
      <c r="H16" s="0" t="n">
        <f aca="false">-H12</f>
        <v>887.316580953952</v>
      </c>
      <c r="I16" s="0" t="n">
        <f aca="false">-I12</f>
        <v>905.062912573031</v>
      </c>
      <c r="J16" s="0" t="n">
        <f aca="false">-J12</f>
        <v>923.164170824492</v>
      </c>
      <c r="K16" s="0" t="n">
        <f aca="false">-K12</f>
        <v>941.627454240982</v>
      </c>
      <c r="L16" s="0" t="n">
        <f aca="false">-L12</f>
        <v>960.460003325801</v>
      </c>
    </row>
    <row r="17" customFormat="false" ht="15" hidden="false" customHeight="false" outlineLevel="0" collapsed="false">
      <c r="A17" s="0" t="s">
        <v>125</v>
      </c>
      <c r="C17" s="4" t="n">
        <f aca="false">-C6*Assumptions!C18/100</f>
        <v>-1580.6008986</v>
      </c>
      <c r="D17" s="4" t="n">
        <f aca="false">-D6*Assumptions!D18/100</f>
        <v>-1575.9278176824</v>
      </c>
      <c r="E17" s="4" t="n">
        <f aca="false">-E6*Assumptions!E18/100</f>
        <v>-1589.3972862096</v>
      </c>
      <c r="F17" s="4" t="n">
        <f aca="false">-F6*Assumptions!F18/100</f>
        <v>-1605.2912590717</v>
      </c>
      <c r="G17" s="4" t="n">
        <f aca="false">-G6*Assumptions!G18/100</f>
        <v>-1629.37062795777</v>
      </c>
      <c r="H17" s="4" t="n">
        <f aca="false">-H6*Assumptions!H18/100</f>
        <v>-1661.95804051693</v>
      </c>
      <c r="I17" s="4" t="n">
        <f aca="false">-I6*Assumptions!I18/100</f>
        <v>-1695.19720132727</v>
      </c>
      <c r="J17" s="4" t="n">
        <f aca="false">-J6*Assumptions!J18/100</f>
        <v>-1729.10114535381</v>
      </c>
      <c r="K17" s="4" t="n">
        <f aca="false">-K6*Assumptions!K18/100</f>
        <v>-1763.68316826089</v>
      </c>
      <c r="L17" s="4" t="n">
        <f aca="false">-L6*Assumptions!L18/100</f>
        <v>-1798.9568316261</v>
      </c>
    </row>
    <row r="18" customFormat="false" ht="15" hidden="false" customHeight="false" outlineLevel="0" collapsed="false">
      <c r="A18" s="0" t="s">
        <v>126</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127</v>
      </c>
      <c r="C19" s="0" t="n">
        <f aca="false">C15+C16+C17+C18</f>
        <v>1195.75894068</v>
      </c>
      <c r="D19" s="0" t="n">
        <f aca="false">D15+D16+D17+D18</f>
        <v>961.450663471536</v>
      </c>
      <c r="E19" s="0" t="n">
        <f aca="false">E15+E16+E17+E18</f>
        <v>808.437501002544</v>
      </c>
      <c r="F19" s="0" t="n">
        <f aca="false">F15+F16+F17+F18</f>
        <v>719.932317204019</v>
      </c>
      <c r="G19" s="0" t="n">
        <f aca="false">G15+G16+G17+G18</f>
        <v>681.712100866738</v>
      </c>
      <c r="H19" s="0" t="n">
        <f aca="false">H15+H16+H17+H18</f>
        <v>645.346757766827</v>
      </c>
      <c r="I19" s="0" t="n">
        <f aca="false">I15+I16+I17+I18</f>
        <v>658.253692922164</v>
      </c>
      <c r="J19" s="0" t="n">
        <f aca="false">J15+J16+J17+J18</f>
        <v>671.418766780606</v>
      </c>
      <c r="K19" s="0" t="n">
        <f aca="false">K15+K16+K17+K18</f>
        <v>684.847142116219</v>
      </c>
      <c r="L19" s="0" t="n">
        <f aca="false">L15+L16+L17+L18</f>
        <v>698.544084958543</v>
      </c>
    </row>
    <row r="20" customFormat="false" ht="15" hidden="false" customHeight="false" outlineLevel="0" collapsed="false">
      <c r="A20" s="0" t="s">
        <v>128</v>
      </c>
      <c r="C20" s="0" t="n">
        <f aca="false">1/(1+$B$27/100)^C4</f>
        <v>0.881057268722467</v>
      </c>
      <c r="D20" s="0" t="n">
        <f aca="false">1/(1+$B$27/100)^D4</f>
        <v>0.776261910768693</v>
      </c>
      <c r="E20" s="0" t="n">
        <f aca="false">1/(1+$B$27/100)^E4</f>
        <v>0.683931198915148</v>
      </c>
      <c r="F20" s="0" t="n">
        <f aca="false">1/(1+$B$27/100)^F4</f>
        <v>0.602582554110263</v>
      </c>
      <c r="G20" s="0" t="n">
        <f aca="false">1/(1+$B$27/100)^G4</f>
        <v>0.530909739304196</v>
      </c>
      <c r="H20" s="0" t="n">
        <f aca="false">1/(1+$B$27/100)^H4</f>
        <v>0.467761884849512</v>
      </c>
      <c r="I20" s="0" t="n">
        <f aca="false">1/(1+$B$27/100)^I4</f>
        <v>0.412125008677984</v>
      </c>
      <c r="J20" s="0" t="n">
        <f aca="false">1/(1+$B$27/100)^J4</f>
        <v>0.363105734518048</v>
      </c>
      <c r="K20" s="0" t="n">
        <f aca="false">1/(1+$B$27/100)^K4</f>
        <v>0.319916946711936</v>
      </c>
      <c r="L20" s="0" t="n">
        <f aca="false">1/(1+$B$27/100)^L4</f>
        <v>0.28186515128805</v>
      </c>
    </row>
    <row r="21" customFormat="false" ht="15" hidden="false" customHeight="false" outlineLevel="0" collapsed="false">
      <c r="A21" s="0" t="s">
        <v>129</v>
      </c>
      <c r="C21" s="0" t="n">
        <f aca="false">C19*C20</f>
        <v>1053.53210632599</v>
      </c>
      <c r="D21" s="0" t="n">
        <f aca="false">D19*D20</f>
        <v>746.337529136242</v>
      </c>
      <c r="E21" s="0" t="n">
        <f aca="false">E19*E20</f>
        <v>552.915629308636</v>
      </c>
      <c r="F21" s="0" t="n">
        <f aca="false">F19*F20</f>
        <v>433.818654487317</v>
      </c>
      <c r="G21" s="0" t="n">
        <f aca="false">G19*G20</f>
        <v>361.927593751676</v>
      </c>
      <c r="H21" s="0" t="n">
        <f aca="false">H19*H20</f>
        <v>301.868615794533</v>
      </c>
      <c r="I21" s="0" t="n">
        <f aca="false">I19*I20</f>
        <v>271.282808907862</v>
      </c>
      <c r="J21" s="0" t="n">
        <f aca="false">J19*J20</f>
        <v>243.796004481074</v>
      </c>
      <c r="K21" s="0" t="n">
        <f aca="false">K19*K20</f>
        <v>219.094206670216</v>
      </c>
      <c r="L21" s="0" t="n">
        <f aca="false">L19*L20</f>
        <v>196.895234188212</v>
      </c>
    </row>
    <row r="23" customFormat="false" ht="15" hidden="false" customHeight="false" outlineLevel="0" collapsed="false">
      <c r="A23" s="0" t="s">
        <v>105</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Assumptions!$B$20</f>
        <v>13.5</v>
      </c>
    </row>
    <row r="28" customFormat="false" ht="15" hidden="false" customHeight="false" outlineLevel="0" collapsed="false">
      <c r="A28" s="0" t="s">
        <v>110</v>
      </c>
      <c r="B28" s="4" t="n">
        <f aca="false">Assumptions!$B$21</f>
        <v>1.5</v>
      </c>
    </row>
    <row r="29" customFormat="false" ht="15" hidden="false" customHeight="false" outlineLevel="0" collapsed="false">
      <c r="A29" s="0" t="s">
        <v>111</v>
      </c>
      <c r="B29" s="4" t="n">
        <f aca="false">Assumptions!$B$22</f>
        <v>12</v>
      </c>
    </row>
    <row r="30" customFormat="false" ht="15" hidden="false" customHeight="false" outlineLevel="0" collapsed="false">
      <c r="A30" s="0" t="s">
        <v>132</v>
      </c>
      <c r="B30" s="0" t="n">
        <f aca="false">SUM(C21:L21)</f>
        <v>4381.46838305176</v>
      </c>
    </row>
    <row r="31" customFormat="false" ht="15" hidden="false" customHeight="false" outlineLevel="0" collapsed="false">
      <c r="A31" s="0" t="s">
        <v>133</v>
      </c>
      <c r="B31" s="0" t="n">
        <f aca="false">L19</f>
        <v>698.544084958543</v>
      </c>
    </row>
    <row r="32" customFormat="false" ht="15" hidden="false" customHeight="false" outlineLevel="0" collapsed="false">
      <c r="A32" s="0" t="s">
        <v>134</v>
      </c>
      <c r="B32" s="0" t="n">
        <f aca="false">IF(B27&gt;B28,B31*(1+B28/100)/((B27-B28)/100),B31*B29)</f>
        <v>5908.51871860768</v>
      </c>
    </row>
    <row r="33" customFormat="false" ht="15" hidden="false" customHeight="false" outlineLevel="0" collapsed="false">
      <c r="A33" s="0" t="s">
        <v>135</v>
      </c>
      <c r="B33" s="0" t="n">
        <f aca="false">B31*B29</f>
        <v>8382.52901950252</v>
      </c>
    </row>
    <row r="34" customFormat="false" ht="15" hidden="false" customHeight="false" outlineLevel="0" collapsed="false">
      <c r="A34" s="0" t="s">
        <v>136</v>
      </c>
      <c r="B34" s="0" t="n">
        <f aca="false">MAX(0,MIN(B32,B33))</f>
        <v>5908.51871860768</v>
      </c>
    </row>
    <row r="35" customFormat="false" ht="15" hidden="false" customHeight="false" outlineLevel="0" collapsed="false">
      <c r="A35" s="0" t="s">
        <v>137</v>
      </c>
      <c r="B35" s="0" t="n">
        <f aca="false">B34/(1+B27/100)^L4</f>
        <v>1665.40552250863</v>
      </c>
    </row>
    <row r="36" customFormat="false" ht="15" hidden="false" customHeight="false" outlineLevel="0" collapsed="false">
      <c r="A36" s="0" t="s">
        <v>138</v>
      </c>
      <c r="B36" s="0" t="n">
        <f aca="false">B30+B35</f>
        <v>6046.87390556039</v>
      </c>
    </row>
    <row r="37" customFormat="false" ht="15" hidden="false" customHeight="false" outlineLevel="0" collapsed="false">
      <c r="A37" s="0" t="s">
        <v>139</v>
      </c>
      <c r="B37" s="0" t="n">
        <f aca="false">B36+Assumptions!$B$5-Assumptions!$B$4</f>
        <v>6046.87390556039</v>
      </c>
    </row>
    <row r="38" customFormat="false" ht="15" hidden="false" customHeight="false" outlineLevel="0" collapsed="false">
      <c r="A38" s="0" t="s">
        <v>140</v>
      </c>
      <c r="B38" s="0" t="n">
        <f aca="false">B37/Assumptions!$B$3*Assumptions!$B$10</f>
        <v>3.52928572979254</v>
      </c>
    </row>
    <row r="39" customFormat="false" ht="15" hidden="false" customHeight="false" outlineLevel="0" collapsed="false">
      <c r="A39" s="0" t="s">
        <v>141</v>
      </c>
      <c r="B39" s="4" t="n">
        <f aca="false">B38/Assumptions!$B$2-1</f>
        <v>-0.212213006742736</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3.52928572979254</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5252.01663876238</v>
      </c>
    </row>
    <row r="47" customFormat="false" ht="15" hidden="false" customHeight="false" outlineLevel="0" collapsed="false">
      <c r="A47" s="0" t="s">
        <v>146</v>
      </c>
      <c r="B47" s="0" t="n">
        <f aca="false">(SUMPRODUCT(C19:L19/(1+B45/100)^C4:L4)+B46/(1+B45/100)^L4+Assumptions!$B$5-Assumptions!$B$4)/Assumptions!$B$3*Assumptions!$B$10</f>
        <v>3.18699692415034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Assumptions!C27</f>
        <v>-5</v>
      </c>
      <c r="D5" s="4" t="n">
        <f aca="false">Assumptions!D27</f>
        <v>2</v>
      </c>
      <c r="E5" s="4" t="n">
        <f aca="false">Assumptions!E27</f>
        <v>3</v>
      </c>
      <c r="F5" s="4" t="n">
        <f aca="false">Assumptions!F27</f>
        <v>3.5</v>
      </c>
      <c r="G5" s="4" t="n">
        <f aca="false">Assumptions!G27</f>
        <v>3.5</v>
      </c>
      <c r="H5" s="4" t="n">
        <f aca="false">Assumptions!H27</f>
        <v>3</v>
      </c>
      <c r="I5" s="4" t="n">
        <f aca="false">Assumptions!I27</f>
        <v>3</v>
      </c>
      <c r="J5" s="4" t="n">
        <f aca="false">Assumptions!J27</f>
        <v>3</v>
      </c>
      <c r="K5" s="4" t="n">
        <f aca="false">Assumptions!K27</f>
        <v>3</v>
      </c>
      <c r="L5" s="4" t="n">
        <f aca="false">Assumptions!L27</f>
        <v>3</v>
      </c>
    </row>
    <row r="6" customFormat="false" ht="15" hidden="false" customHeight="false" outlineLevel="0" collapsed="false">
      <c r="A6" s="0" t="s">
        <v>38</v>
      </c>
      <c r="B6" s="3" t="n">
        <v>14939.517</v>
      </c>
      <c r="C6" s="0" t="n">
        <f aca="false">B6*(1+C5/100)</f>
        <v>14192.54115</v>
      </c>
      <c r="D6" s="0" t="n">
        <f aca="false">C6*(1+D5/100)</f>
        <v>14476.391973</v>
      </c>
      <c r="E6" s="0" t="n">
        <f aca="false">D6*(1+E5/100)</f>
        <v>14910.68373219</v>
      </c>
      <c r="F6" s="0" t="n">
        <f aca="false">E6*(1+F5/100)</f>
        <v>15432.5576628167</v>
      </c>
      <c r="G6" s="0" t="n">
        <f aca="false">F6*(1+G5/100)</f>
        <v>15972.6971810152</v>
      </c>
      <c r="H6" s="0" t="n">
        <f aca="false">G6*(1+H5/100)</f>
        <v>16451.8780964457</v>
      </c>
      <c r="I6" s="0" t="n">
        <f aca="false">H6*(1+I5/100)</f>
        <v>16945.4344393391</v>
      </c>
      <c r="J6" s="0" t="n">
        <f aca="false">I6*(1+J5/100)</f>
        <v>17453.7974725192</v>
      </c>
      <c r="K6" s="0" t="n">
        <f aca="false">J6*(1+K5/100)</f>
        <v>17977.4113966948</v>
      </c>
      <c r="L6" s="0" t="n">
        <f aca="false">K6*(1+L5/100)</f>
        <v>18516.7337385957</v>
      </c>
    </row>
    <row r="7" customFormat="false" ht="15" hidden="false" customHeight="false" outlineLevel="0" collapsed="false">
      <c r="A7" s="0" t="s">
        <v>103</v>
      </c>
      <c r="C7" s="4" t="n">
        <f aca="false">Assumptions!C28</f>
        <v>27.3</v>
      </c>
      <c r="D7" s="4" t="n">
        <f aca="false">Assumptions!D28</f>
        <v>27</v>
      </c>
      <c r="E7" s="4" t="n">
        <f aca="false">Assumptions!E28</f>
        <v>26.8</v>
      </c>
      <c r="F7" s="4" t="n">
        <f aca="false">Assumptions!F28</f>
        <v>26.5</v>
      </c>
      <c r="G7" s="4" t="n">
        <f aca="false">Assumptions!G28</f>
        <v>26.3</v>
      </c>
      <c r="H7" s="4" t="n">
        <f aca="false">Assumptions!H28</f>
        <v>26</v>
      </c>
      <c r="I7" s="4" t="n">
        <f aca="false">Assumptions!I28</f>
        <v>26</v>
      </c>
      <c r="J7" s="4" t="n">
        <f aca="false">Assumptions!J28</f>
        <v>26</v>
      </c>
      <c r="K7" s="4" t="n">
        <f aca="false">Assumptions!K28</f>
        <v>26</v>
      </c>
      <c r="L7" s="4" t="n">
        <f aca="false">Assumptions!L28</f>
        <v>26</v>
      </c>
    </row>
    <row r="8" customFormat="false" ht="15" hidden="false" customHeight="false" outlineLevel="0" collapsed="false">
      <c r="A8" s="0" t="s">
        <v>44</v>
      </c>
      <c r="C8" s="0" t="n">
        <f aca="false">C6*C7/100</f>
        <v>3874.56373395</v>
      </c>
      <c r="D8" s="0" t="n">
        <f aca="false">D6*D7/100</f>
        <v>3908.62583271</v>
      </c>
      <c r="E8" s="0" t="n">
        <f aca="false">E6*E7/100</f>
        <v>3996.06324022692</v>
      </c>
      <c r="F8" s="0" t="n">
        <f aca="false">F6*F7/100</f>
        <v>4089.62778064641</v>
      </c>
      <c r="G8" s="0" t="n">
        <f aca="false">G6*G7/100</f>
        <v>4200.81935860701</v>
      </c>
      <c r="H8" s="0" t="n">
        <f aca="false">H6*H7/100</f>
        <v>4277.48830507588</v>
      </c>
      <c r="I8" s="0" t="n">
        <f aca="false">I6*I7/100</f>
        <v>4405.81295422816</v>
      </c>
      <c r="J8" s="0" t="n">
        <f aca="false">J6*J7/100</f>
        <v>4537.987342855</v>
      </c>
      <c r="K8" s="0" t="n">
        <f aca="false">K6*K7/100</f>
        <v>4674.12696314065</v>
      </c>
      <c r="L8" s="0" t="n">
        <f aca="false">L6*L7/100</f>
        <v>4814.35077203487</v>
      </c>
    </row>
    <row r="9" customFormat="false" ht="15" hidden="false" customHeight="false" outlineLevel="0" collapsed="false">
      <c r="A9" s="0" t="s">
        <v>104</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3874.56373395</v>
      </c>
      <c r="D11" s="0" t="n">
        <f aca="false">D8+D10+D24</f>
        <v>3908.62583271</v>
      </c>
      <c r="E11" s="0" t="n">
        <f aca="false">E8+E10+E24</f>
        <v>3996.06324022692</v>
      </c>
      <c r="F11" s="0" t="n">
        <f aca="false">F8+F10+F24</f>
        <v>4089.62778064641</v>
      </c>
      <c r="G11" s="0" t="n">
        <f aca="false">G8+G10+G24</f>
        <v>4200.81935860701</v>
      </c>
      <c r="H11" s="0" t="n">
        <f aca="false">H8+H10+H24</f>
        <v>4277.48830507588</v>
      </c>
      <c r="I11" s="0" t="n">
        <f aca="false">I8+I10+I24</f>
        <v>4405.81295422816</v>
      </c>
      <c r="J11" s="0" t="n">
        <f aca="false">J8+J10+J24</f>
        <v>4537.987342855</v>
      </c>
      <c r="K11" s="0" t="n">
        <f aca="false">K8+K10+K24</f>
        <v>4674.12696314065</v>
      </c>
      <c r="L11" s="0" t="n">
        <f aca="false">L8+L10+L24</f>
        <v>4814.35077203487</v>
      </c>
    </row>
    <row r="12" customFormat="false" ht="15" hidden="false" customHeight="false" outlineLevel="0" collapsed="false">
      <c r="A12" s="0" t="s">
        <v>121</v>
      </c>
      <c r="C12" s="4" t="n">
        <f aca="false">-C6*Assumptions!C31/100</f>
        <v>-830.263657275</v>
      </c>
      <c r="D12" s="4" t="n">
        <f aca="false">-D6*Assumptions!D31/100</f>
        <v>-854.107126407</v>
      </c>
      <c r="E12" s="4" t="n">
        <f aca="false">-E6*Assumptions!E31/100</f>
        <v>-879.73034019921</v>
      </c>
      <c r="F12" s="4" t="n">
        <f aca="false">-F6*Assumptions!F31/100</f>
        <v>-910.520902106182</v>
      </c>
      <c r="G12" s="4" t="n">
        <f aca="false">-G6*Assumptions!G31/100</f>
        <v>-942.389133679899</v>
      </c>
      <c r="H12" s="4" t="n">
        <f aca="false">-H6*Assumptions!H31/100</f>
        <v>-970.660807690295</v>
      </c>
      <c r="I12" s="4" t="n">
        <f aca="false">-I6*Assumptions!I31/100</f>
        <v>-999.780631921004</v>
      </c>
      <c r="J12" s="4" t="n">
        <f aca="false">-J6*Assumptions!J31/100</f>
        <v>-1029.77405087863</v>
      </c>
      <c r="K12" s="4" t="n">
        <f aca="false">-K6*Assumptions!K31/100</f>
        <v>-1060.66727240499</v>
      </c>
      <c r="L12" s="4" t="n">
        <f aca="false">-L6*Assumptions!L31/100</f>
        <v>-1092.48729057714</v>
      </c>
    </row>
    <row r="13" customFormat="false" ht="15" hidden="false" customHeight="false" outlineLevel="0" collapsed="false">
      <c r="A13" s="0" t="s">
        <v>122</v>
      </c>
      <c r="C13" s="0" t="n">
        <f aca="false">C11+C12</f>
        <v>3044.300076675</v>
      </c>
      <c r="D13" s="0" t="n">
        <f aca="false">D11+D12</f>
        <v>3054.518706303</v>
      </c>
      <c r="E13" s="0" t="n">
        <f aca="false">E11+E12</f>
        <v>3116.33290002771</v>
      </c>
      <c r="F13" s="0" t="n">
        <f aca="false">F11+F12</f>
        <v>3179.10687854023</v>
      </c>
      <c r="G13" s="0" t="n">
        <f aca="false">G11+G12</f>
        <v>3258.43022492711</v>
      </c>
      <c r="H13" s="0" t="n">
        <f aca="false">H11+H12</f>
        <v>3306.82749738558</v>
      </c>
      <c r="I13" s="0" t="n">
        <f aca="false">I11+I12</f>
        <v>3406.03232230715</v>
      </c>
      <c r="J13" s="0" t="n">
        <f aca="false">J11+J12</f>
        <v>3508.21329197637</v>
      </c>
      <c r="K13" s="0" t="n">
        <f aca="false">K11+K12</f>
        <v>3613.45969073566</v>
      </c>
      <c r="L13" s="0" t="n">
        <f aca="false">L11+L12</f>
        <v>3721.86348145773</v>
      </c>
    </row>
    <row r="14" customFormat="false" ht="15" hidden="false" customHeight="false" outlineLevel="0" collapsed="false">
      <c r="A14" s="0" t="s">
        <v>108</v>
      </c>
      <c r="C14" s="4" t="n">
        <f aca="false">Assumptions!C33</f>
        <v>28.5</v>
      </c>
      <c r="D14" s="4" t="n">
        <f aca="false">Assumptions!D33</f>
        <v>28.5</v>
      </c>
      <c r="E14" s="4" t="n">
        <f aca="false">Assumptions!E33</f>
        <v>28.5</v>
      </c>
      <c r="F14" s="4" t="n">
        <f aca="false">Assumptions!F33</f>
        <v>28.5</v>
      </c>
      <c r="G14" s="4" t="n">
        <f aca="false">Assumptions!G33</f>
        <v>28.5</v>
      </c>
      <c r="H14" s="4" t="n">
        <f aca="false">Assumptions!H33</f>
        <v>28.5</v>
      </c>
      <c r="I14" s="4" t="n">
        <f aca="false">Assumptions!I33</f>
        <v>28.5</v>
      </c>
      <c r="J14" s="4" t="n">
        <f aca="false">Assumptions!J33</f>
        <v>28.5</v>
      </c>
      <c r="K14" s="4" t="n">
        <f aca="false">Assumptions!K33</f>
        <v>28.5</v>
      </c>
      <c r="L14" s="4" t="n">
        <f aca="false">Assumptions!L33</f>
        <v>28.5</v>
      </c>
    </row>
    <row r="15" customFormat="false" ht="15" hidden="false" customHeight="false" outlineLevel="0" collapsed="false">
      <c r="A15" s="0" t="s">
        <v>123</v>
      </c>
      <c r="C15" s="0" t="n">
        <f aca="false">C13-MAX(0,C13)*C14/100</f>
        <v>2176.67455482263</v>
      </c>
      <c r="D15" s="0" t="n">
        <f aca="false">D13-MAX(0,D13)*D14/100</f>
        <v>2183.98087500665</v>
      </c>
      <c r="E15" s="0" t="n">
        <f aca="false">E13-MAX(0,E13)*E14/100</f>
        <v>2228.17802351981</v>
      </c>
      <c r="F15" s="0" t="n">
        <f aca="false">F13-MAX(0,F13)*F14/100</f>
        <v>2273.06141815626</v>
      </c>
      <c r="G15" s="0" t="n">
        <f aca="false">G13-MAX(0,G13)*G14/100</f>
        <v>2329.77761082288</v>
      </c>
      <c r="H15" s="0" t="n">
        <f aca="false">H13-MAX(0,H13)*H14/100</f>
        <v>2364.38166063069</v>
      </c>
      <c r="I15" s="0" t="n">
        <f aca="false">I13-MAX(0,I13)*I14/100</f>
        <v>2435.31311044961</v>
      </c>
      <c r="J15" s="0" t="n">
        <f aca="false">J13-MAX(0,J13)*J14/100</f>
        <v>2508.3725037631</v>
      </c>
      <c r="K15" s="0" t="n">
        <f aca="false">K13-MAX(0,K13)*K14/100</f>
        <v>2583.62367887599</v>
      </c>
      <c r="L15" s="0" t="n">
        <f aca="false">L13-MAX(0,L13)*L14/100</f>
        <v>2661.13238924227</v>
      </c>
    </row>
    <row r="16" customFormat="false" ht="15" hidden="false" customHeight="false" outlineLevel="0" collapsed="false">
      <c r="A16" s="0" t="s">
        <v>124</v>
      </c>
      <c r="C16" s="0" t="n">
        <f aca="false">-C12</f>
        <v>830.263657275</v>
      </c>
      <c r="D16" s="0" t="n">
        <f aca="false">-D12</f>
        <v>854.107126407</v>
      </c>
      <c r="E16" s="0" t="n">
        <f aca="false">-E12</f>
        <v>879.73034019921</v>
      </c>
      <c r="F16" s="0" t="n">
        <f aca="false">-F12</f>
        <v>910.520902106182</v>
      </c>
      <c r="G16" s="0" t="n">
        <f aca="false">-G12</f>
        <v>942.389133679899</v>
      </c>
      <c r="H16" s="0" t="n">
        <f aca="false">-H12</f>
        <v>970.660807690295</v>
      </c>
      <c r="I16" s="0" t="n">
        <f aca="false">-I12</f>
        <v>999.780631921004</v>
      </c>
      <c r="J16" s="0" t="n">
        <f aca="false">-J12</f>
        <v>1029.77405087863</v>
      </c>
      <c r="K16" s="0" t="n">
        <f aca="false">-K12</f>
        <v>1060.66727240499</v>
      </c>
      <c r="L16" s="0" t="n">
        <f aca="false">-L12</f>
        <v>1092.48729057714</v>
      </c>
    </row>
    <row r="17" customFormat="false" ht="15" hidden="false" customHeight="false" outlineLevel="0" collapsed="false">
      <c r="A17" s="0" t="s">
        <v>125</v>
      </c>
      <c r="C17" s="4" t="n">
        <f aca="false">-C6*Assumptions!C32/100</f>
        <v>-1419.254115</v>
      </c>
      <c r="D17" s="4" t="n">
        <f aca="false">-D6*Assumptions!D32/100</f>
        <v>-1447.6391973</v>
      </c>
      <c r="E17" s="4" t="n">
        <f aca="false">-E6*Assumptions!E32/100</f>
        <v>-1491.068373219</v>
      </c>
      <c r="F17" s="4" t="n">
        <f aca="false">-F6*Assumptions!F32/100</f>
        <v>-1543.25576628166</v>
      </c>
      <c r="G17" s="4" t="n">
        <f aca="false">-G6*Assumptions!G32/100</f>
        <v>-1597.26971810152</v>
      </c>
      <c r="H17" s="4" t="n">
        <f aca="false">-H6*Assumptions!H32/100</f>
        <v>-1628.73593154812</v>
      </c>
      <c r="I17" s="4" t="n">
        <f aca="false">-I6*Assumptions!I32/100</f>
        <v>-1677.59800949457</v>
      </c>
      <c r="J17" s="4" t="n">
        <f aca="false">-J6*Assumptions!J32/100</f>
        <v>-1727.9259497794</v>
      </c>
      <c r="K17" s="4" t="n">
        <f aca="false">-K6*Assumptions!K32/100</f>
        <v>-1779.76372827279</v>
      </c>
      <c r="L17" s="4" t="n">
        <f aca="false">-L6*Assumptions!L32/100</f>
        <v>-1833.15664012097</v>
      </c>
    </row>
    <row r="18" customFormat="false" ht="15" hidden="false" customHeight="false" outlineLevel="0" collapsed="false">
      <c r="A18" s="0" t="s">
        <v>126</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127</v>
      </c>
      <c r="C19" s="0" t="n">
        <f aca="false">C15+C16+C17+C18</f>
        <v>1587.68409709762</v>
      </c>
      <c r="D19" s="0" t="n">
        <f aca="false">D15+D16+D17+D18</f>
        <v>1590.44880411365</v>
      </c>
      <c r="E19" s="0" t="n">
        <f aca="false">E15+E16+E17+E18</f>
        <v>1616.83999050002</v>
      </c>
      <c r="F19" s="0" t="n">
        <f aca="false">F15+F16+F17+F18</f>
        <v>1640.32655398078</v>
      </c>
      <c r="G19" s="0" t="n">
        <f aca="false">G15+G16+G17+G18</f>
        <v>1674.89702640126</v>
      </c>
      <c r="H19" s="0" t="n">
        <f aca="false">H15+H16+H17+H18</f>
        <v>1706.30653677286</v>
      </c>
      <c r="I19" s="0" t="n">
        <f aca="false">I15+I16+I17+I18</f>
        <v>1757.49573287605</v>
      </c>
      <c r="J19" s="0" t="n">
        <f aca="false">J15+J16+J17+J18</f>
        <v>1810.22060486233</v>
      </c>
      <c r="K19" s="0" t="n">
        <f aca="false">K15+K16+K17+K18</f>
        <v>1864.5272230082</v>
      </c>
      <c r="L19" s="0" t="n">
        <f aca="false">L15+L16+L17+L18</f>
        <v>1920.46303969845</v>
      </c>
    </row>
    <row r="20" customFormat="false" ht="15" hidden="false" customHeight="false" outlineLevel="0" collapsed="false">
      <c r="A20" s="0" t="s">
        <v>128</v>
      </c>
      <c r="C20" s="0" t="n">
        <f aca="false">1/(1+$B$27/100)^C4</f>
        <v>0.896860986547085</v>
      </c>
      <c r="D20" s="0" t="n">
        <f aca="false">1/(1+$B$27/100)^D4</f>
        <v>0.804359629190211</v>
      </c>
      <c r="E20" s="0" t="n">
        <f aca="false">1/(1+$B$27/100)^E4</f>
        <v>0.72139877057418</v>
      </c>
      <c r="F20" s="0" t="n">
        <f aca="false">1/(1+$B$27/100)^F4</f>
        <v>0.646994413071014</v>
      </c>
      <c r="G20" s="0" t="n">
        <f aca="false">1/(1+$B$27/100)^G4</f>
        <v>0.580264047597322</v>
      </c>
      <c r="H20" s="0" t="n">
        <f aca="false">1/(1+$B$27/100)^H4</f>
        <v>0.520416186185939</v>
      </c>
      <c r="I20" s="0" t="n">
        <f aca="false">1/(1+$B$27/100)^I4</f>
        <v>0.466740974157793</v>
      </c>
      <c r="J20" s="0" t="n">
        <f aca="false">1/(1+$B$27/100)^J4</f>
        <v>0.418601770545106</v>
      </c>
      <c r="K20" s="0" t="n">
        <f aca="false">1/(1+$B$27/100)^K4</f>
        <v>0.37542759690144</v>
      </c>
      <c r="L20" s="0" t="n">
        <f aca="false">1/(1+$B$27/100)^L4</f>
        <v>0.336706364934027</v>
      </c>
    </row>
    <row r="21" customFormat="false" ht="15" hidden="false" customHeight="false" outlineLevel="0" collapsed="false">
      <c r="A21" s="0" t="s">
        <v>129</v>
      </c>
      <c r="C21" s="0" t="n">
        <f aca="false">C19*C20</f>
        <v>1423.93192564809</v>
      </c>
      <c r="D21" s="0" t="n">
        <f aca="false">D19*D20</f>
        <v>1279.29281032287</v>
      </c>
      <c r="E21" s="0" t="n">
        <f aca="false">E19*E20</f>
        <v>1166.38638136189</v>
      </c>
      <c r="F21" s="0" t="n">
        <f aca="false">F19*F20</f>
        <v>1061.28211603759</v>
      </c>
      <c r="G21" s="0" t="n">
        <f aca="false">G19*G20</f>
        <v>971.882527848312</v>
      </c>
      <c r="H21" s="0" t="n">
        <f aca="false">H19*H20</f>
        <v>887.989540331471</v>
      </c>
      <c r="I21" s="0" t="n">
        <f aca="false">I19*I20</f>
        <v>820.295270440731</v>
      </c>
      <c r="J21" s="0" t="n">
        <f aca="false">J19*J20</f>
        <v>757.761550272604</v>
      </c>
      <c r="K21" s="0" t="n">
        <f aca="false">K19*K20</f>
        <v>699.994974691284</v>
      </c>
      <c r="L21" s="0" t="n">
        <f aca="false">L19*L20</f>
        <v>646.632129087016</v>
      </c>
    </row>
    <row r="23" customFormat="false" ht="15" hidden="false" customHeight="false" outlineLevel="0" collapsed="false">
      <c r="A23" s="0" t="s">
        <v>105</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Assumptions!$B$34</f>
        <v>11.5</v>
      </c>
    </row>
    <row r="28" customFormat="false" ht="15" hidden="false" customHeight="false" outlineLevel="0" collapsed="false">
      <c r="A28" s="0" t="s">
        <v>110</v>
      </c>
      <c r="B28" s="4" t="n">
        <f aca="false">Assumptions!$B$35</f>
        <v>2.5</v>
      </c>
    </row>
    <row r="29" customFormat="false" ht="15" hidden="false" customHeight="false" outlineLevel="0" collapsed="false">
      <c r="A29" s="0" t="s">
        <v>111</v>
      </c>
      <c r="B29" s="4" t="n">
        <f aca="false">Assumptions!$B$36</f>
        <v>12</v>
      </c>
    </row>
    <row r="30" customFormat="false" ht="15" hidden="false" customHeight="false" outlineLevel="0" collapsed="false">
      <c r="A30" s="0" t="s">
        <v>132</v>
      </c>
      <c r="B30" s="0" t="n">
        <f aca="false">SUM(C21:L21)</f>
        <v>9715.44922604186</v>
      </c>
    </row>
    <row r="31" customFormat="false" ht="15" hidden="false" customHeight="false" outlineLevel="0" collapsed="false">
      <c r="A31" s="0" t="s">
        <v>133</v>
      </c>
      <c r="B31" s="0" t="n">
        <f aca="false">L19</f>
        <v>1920.46303969845</v>
      </c>
    </row>
    <row r="32" customFormat="false" ht="15" hidden="false" customHeight="false" outlineLevel="0" collapsed="false">
      <c r="A32" s="0" t="s">
        <v>134</v>
      </c>
      <c r="B32" s="0" t="n">
        <f aca="false">IF(B27&gt;B28,B31*(1+B28/100)/((B27-B28)/100),B31*B29)</f>
        <v>21871.9401743434</v>
      </c>
    </row>
    <row r="33" customFormat="false" ht="15" hidden="false" customHeight="false" outlineLevel="0" collapsed="false">
      <c r="A33" s="0" t="s">
        <v>135</v>
      </c>
      <c r="B33" s="0" t="n">
        <f aca="false">B31*B29</f>
        <v>23045.5564763814</v>
      </c>
    </row>
    <row r="34" customFormat="false" ht="15" hidden="false" customHeight="false" outlineLevel="0" collapsed="false">
      <c r="A34" s="0" t="s">
        <v>136</v>
      </c>
      <c r="B34" s="0" t="n">
        <f aca="false">MAX(0,MIN(B32,B33))</f>
        <v>21871.9401743434</v>
      </c>
    </row>
    <row r="35" customFormat="false" ht="15" hidden="false" customHeight="false" outlineLevel="0" collapsed="false">
      <c r="A35" s="0" t="s">
        <v>137</v>
      </c>
      <c r="B35" s="0" t="n">
        <f aca="false">B34/(1+B27/100)^L4</f>
        <v>7364.42147015768</v>
      </c>
    </row>
    <row r="36" customFormat="false" ht="15" hidden="false" customHeight="false" outlineLevel="0" collapsed="false">
      <c r="A36" s="0" t="s">
        <v>138</v>
      </c>
      <c r="B36" s="0" t="n">
        <f aca="false">B30+B35</f>
        <v>17079.8706961995</v>
      </c>
    </row>
    <row r="37" customFormat="false" ht="15" hidden="false" customHeight="false" outlineLevel="0" collapsed="false">
      <c r="A37" s="0" t="s">
        <v>139</v>
      </c>
      <c r="B37" s="0" t="n">
        <f aca="false">B36+Assumptions!$B$5-Assumptions!$B$4</f>
        <v>17079.8706961995</v>
      </c>
    </row>
    <row r="38" customFormat="false" ht="15" hidden="false" customHeight="false" outlineLevel="0" collapsed="false">
      <c r="A38" s="0" t="s">
        <v>140</v>
      </c>
      <c r="B38" s="0" t="n">
        <f aca="false">B37/Assumptions!$B$3*Assumptions!$B$10</f>
        <v>9.96874498397739</v>
      </c>
    </row>
    <row r="39" customFormat="false" ht="15" hidden="false" customHeight="false" outlineLevel="0" collapsed="false">
      <c r="A39" s="0" t="s">
        <v>141</v>
      </c>
      <c r="B39" s="4" t="n">
        <f aca="false">B38/Assumptions!$B$2-1</f>
        <v>1.22516629106638</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9.96874498397739</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15747.7969255273</v>
      </c>
    </row>
    <row r="47" customFormat="false" ht="15" hidden="false" customHeight="false" outlineLevel="0" collapsed="false">
      <c r="A47" s="0" t="s">
        <v>146</v>
      </c>
      <c r="B47" s="0" t="n">
        <f aca="false">(SUMPRODUCT(C19:L19/(1+B45/100)^C4:L4)+B46/(1+B45/100)^L4+Assumptions!$B$5-Assumptions!$B$4)/Assumptions!$B$3*Assumptions!$B$10</f>
        <v>7.18150626414256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Assumptions!C41</f>
        <v>-3</v>
      </c>
      <c r="D5" s="4" t="n">
        <f aca="false">Assumptions!D41</f>
        <v>4</v>
      </c>
      <c r="E5" s="4" t="n">
        <f aca="false">Assumptions!E41</f>
        <v>5</v>
      </c>
      <c r="F5" s="4" t="n">
        <f aca="false">Assumptions!F41</f>
        <v>5</v>
      </c>
      <c r="G5" s="4" t="n">
        <f aca="false">Assumptions!G41</f>
        <v>4.5</v>
      </c>
      <c r="H5" s="4" t="n">
        <f aca="false">Assumptions!H41</f>
        <v>4</v>
      </c>
      <c r="I5" s="4" t="n">
        <f aca="false">Assumptions!I41</f>
        <v>4</v>
      </c>
      <c r="J5" s="4" t="n">
        <f aca="false">Assumptions!J41</f>
        <v>3.5</v>
      </c>
      <c r="K5" s="4" t="n">
        <f aca="false">Assumptions!K41</f>
        <v>3.5</v>
      </c>
      <c r="L5" s="4" t="n">
        <f aca="false">Assumptions!L41</f>
        <v>3.5</v>
      </c>
    </row>
    <row r="6" customFormat="false" ht="15" hidden="false" customHeight="false" outlineLevel="0" collapsed="false">
      <c r="A6" s="0" t="s">
        <v>38</v>
      </c>
      <c r="B6" s="3" t="n">
        <v>14939.517</v>
      </c>
      <c r="C6" s="0" t="n">
        <f aca="false">B6*(1+C5/100)</f>
        <v>14491.33149</v>
      </c>
      <c r="D6" s="0" t="n">
        <f aca="false">C6*(1+D5/100)</f>
        <v>15070.9847496</v>
      </c>
      <c r="E6" s="0" t="n">
        <f aca="false">D6*(1+E5/100)</f>
        <v>15824.53398708</v>
      </c>
      <c r="F6" s="0" t="n">
        <f aca="false">E6*(1+F5/100)</f>
        <v>16615.760686434</v>
      </c>
      <c r="G6" s="0" t="n">
        <f aca="false">F6*(1+G5/100)</f>
        <v>17363.4699173235</v>
      </c>
      <c r="H6" s="0" t="n">
        <f aca="false">G6*(1+H5/100)</f>
        <v>18058.0087140165</v>
      </c>
      <c r="I6" s="0" t="n">
        <f aca="false">H6*(1+I5/100)</f>
        <v>18780.3290625771</v>
      </c>
      <c r="J6" s="0" t="n">
        <f aca="false">I6*(1+J5/100)</f>
        <v>19437.6405797673</v>
      </c>
      <c r="K6" s="0" t="n">
        <f aca="false">J6*(1+K5/100)</f>
        <v>20117.9580000592</v>
      </c>
      <c r="L6" s="0" t="n">
        <f aca="false">K6*(1+L5/100)</f>
        <v>20822.0865300613</v>
      </c>
    </row>
    <row r="7" customFormat="false" ht="15" hidden="false" customHeight="false" outlineLevel="0" collapsed="false">
      <c r="A7" s="0" t="s">
        <v>103</v>
      </c>
      <c r="C7" s="4" t="n">
        <f aca="false">Assumptions!C42</f>
        <v>27.5</v>
      </c>
      <c r="D7" s="4" t="n">
        <f aca="false">Assumptions!D42</f>
        <v>27.5</v>
      </c>
      <c r="E7" s="4" t="n">
        <f aca="false">Assumptions!E42</f>
        <v>27.8</v>
      </c>
      <c r="F7" s="4" t="n">
        <f aca="false">Assumptions!F42</f>
        <v>28</v>
      </c>
      <c r="G7" s="4" t="n">
        <f aca="false">Assumptions!G42</f>
        <v>28</v>
      </c>
      <c r="H7" s="4" t="n">
        <f aca="false">Assumptions!H42</f>
        <v>28</v>
      </c>
      <c r="I7" s="4" t="n">
        <f aca="false">Assumptions!I42</f>
        <v>28</v>
      </c>
      <c r="J7" s="4" t="n">
        <f aca="false">Assumptions!J42</f>
        <v>28</v>
      </c>
      <c r="K7" s="4" t="n">
        <f aca="false">Assumptions!K42</f>
        <v>28</v>
      </c>
      <c r="L7" s="4" t="n">
        <f aca="false">Assumptions!L42</f>
        <v>28</v>
      </c>
    </row>
    <row r="8" customFormat="false" ht="15" hidden="false" customHeight="false" outlineLevel="0" collapsed="false">
      <c r="A8" s="0" t="s">
        <v>44</v>
      </c>
      <c r="C8" s="0" t="n">
        <f aca="false">C6*C7/100</f>
        <v>3985.11615975</v>
      </c>
      <c r="D8" s="0" t="n">
        <f aca="false">D6*D7/100</f>
        <v>4144.52080614</v>
      </c>
      <c r="E8" s="0" t="n">
        <f aca="false">E6*E7/100</f>
        <v>4399.22044840824</v>
      </c>
      <c r="F8" s="0" t="n">
        <f aca="false">F6*F7/100</f>
        <v>4652.41299220152</v>
      </c>
      <c r="G8" s="0" t="n">
        <f aca="false">G6*G7/100</f>
        <v>4861.77157685059</v>
      </c>
      <c r="H8" s="0" t="n">
        <f aca="false">H6*H7/100</f>
        <v>5056.24243992461</v>
      </c>
      <c r="I8" s="0" t="n">
        <f aca="false">I6*I7/100</f>
        <v>5258.4921375216</v>
      </c>
      <c r="J8" s="0" t="n">
        <f aca="false">J6*J7/100</f>
        <v>5442.53936233485</v>
      </c>
      <c r="K8" s="0" t="n">
        <f aca="false">K6*K7/100</f>
        <v>5633.02824001657</v>
      </c>
      <c r="L8" s="0" t="n">
        <f aca="false">L6*L7/100</f>
        <v>5830.18422841715</v>
      </c>
    </row>
    <row r="9" customFormat="false" ht="15" hidden="false" customHeight="false" outlineLevel="0" collapsed="false">
      <c r="A9" s="0" t="s">
        <v>104</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3985.11615975</v>
      </c>
      <c r="D11" s="0" t="n">
        <f aca="false">D8+D10+D24</f>
        <v>4144.52080614</v>
      </c>
      <c r="E11" s="0" t="n">
        <f aca="false">E8+E10+E24</f>
        <v>4399.22044840824</v>
      </c>
      <c r="F11" s="0" t="n">
        <f aca="false">F8+F10+F24</f>
        <v>4652.41299220152</v>
      </c>
      <c r="G11" s="0" t="n">
        <f aca="false">G8+G10+G24</f>
        <v>4861.77157685059</v>
      </c>
      <c r="H11" s="0" t="n">
        <f aca="false">H8+H10+H24</f>
        <v>5056.24243992461</v>
      </c>
      <c r="I11" s="0" t="n">
        <f aca="false">I8+I10+I24</f>
        <v>5258.4921375216</v>
      </c>
      <c r="J11" s="0" t="n">
        <f aca="false">J8+J10+J24</f>
        <v>5442.53936233485</v>
      </c>
      <c r="K11" s="0" t="n">
        <f aca="false">K8+K10+K24</f>
        <v>5633.02824001657</v>
      </c>
      <c r="L11" s="0" t="n">
        <f aca="false">L8+L10+L24</f>
        <v>5830.18422841715</v>
      </c>
    </row>
    <row r="12" customFormat="false" ht="15" hidden="false" customHeight="false" outlineLevel="0" collapsed="false">
      <c r="A12" s="0" t="s">
        <v>121</v>
      </c>
      <c r="C12" s="4" t="n">
        <f aca="false">-C6*Assumptions!C45/100</f>
        <v>-840.49722642</v>
      </c>
      <c r="D12" s="4" t="n">
        <f aca="false">-D6*Assumptions!D45/100</f>
        <v>-874.1171154768</v>
      </c>
      <c r="E12" s="4" t="n">
        <f aca="false">-E6*Assumptions!E45/100</f>
        <v>-917.82297125064</v>
      </c>
      <c r="F12" s="4" t="n">
        <f aca="false">-F6*Assumptions!F45/100</f>
        <v>-963.714119813172</v>
      </c>
      <c r="G12" s="4" t="n">
        <f aca="false">-G6*Assumptions!G45/100</f>
        <v>-1007.08125520476</v>
      </c>
      <c r="H12" s="4" t="n">
        <f aca="false">-H6*Assumptions!H45/100</f>
        <v>-1047.36450541296</v>
      </c>
      <c r="I12" s="4" t="n">
        <f aca="false">-I6*Assumptions!I45/100</f>
        <v>-1089.25908562947</v>
      </c>
      <c r="J12" s="4" t="n">
        <f aca="false">-J6*Assumptions!J45/100</f>
        <v>-1127.38315362651</v>
      </c>
      <c r="K12" s="4" t="n">
        <f aca="false">-K6*Assumptions!K45/100</f>
        <v>-1166.84156400343</v>
      </c>
      <c r="L12" s="4" t="n">
        <f aca="false">-L6*Assumptions!L45/100</f>
        <v>-1207.68101874355</v>
      </c>
    </row>
    <row r="13" customFormat="false" ht="15" hidden="false" customHeight="false" outlineLevel="0" collapsed="false">
      <c r="A13" s="0" t="s">
        <v>122</v>
      </c>
      <c r="C13" s="0" t="n">
        <f aca="false">C11+C12</f>
        <v>3144.61893333</v>
      </c>
      <c r="D13" s="0" t="n">
        <f aca="false">D11+D12</f>
        <v>3270.4036906632</v>
      </c>
      <c r="E13" s="0" t="n">
        <f aca="false">E11+E12</f>
        <v>3481.3974771576</v>
      </c>
      <c r="F13" s="0" t="n">
        <f aca="false">F11+F12</f>
        <v>3688.69887238835</v>
      </c>
      <c r="G13" s="0" t="n">
        <f aca="false">G11+G12</f>
        <v>3854.69032164582</v>
      </c>
      <c r="H13" s="0" t="n">
        <f aca="false">H11+H12</f>
        <v>4008.87793451166</v>
      </c>
      <c r="I13" s="0" t="n">
        <f aca="false">I11+I12</f>
        <v>4169.23305189212</v>
      </c>
      <c r="J13" s="0" t="n">
        <f aca="false">J11+J12</f>
        <v>4315.15620870835</v>
      </c>
      <c r="K13" s="0" t="n">
        <f aca="false">K11+K12</f>
        <v>4466.18667601314</v>
      </c>
      <c r="L13" s="0" t="n">
        <f aca="false">L11+L12</f>
        <v>4622.5032096736</v>
      </c>
    </row>
    <row r="14" customFormat="false" ht="15" hidden="false" customHeight="false" outlineLevel="0" collapsed="false">
      <c r="A14" s="0" t="s">
        <v>108</v>
      </c>
      <c r="C14" s="4" t="n">
        <f aca="false">Assumptions!C47</f>
        <v>28</v>
      </c>
      <c r="D14" s="4" t="n">
        <f aca="false">Assumptions!D47</f>
        <v>28</v>
      </c>
      <c r="E14" s="4" t="n">
        <f aca="false">Assumptions!E47</f>
        <v>28</v>
      </c>
      <c r="F14" s="4" t="n">
        <f aca="false">Assumptions!F47</f>
        <v>28</v>
      </c>
      <c r="G14" s="4" t="n">
        <f aca="false">Assumptions!G47</f>
        <v>28</v>
      </c>
      <c r="H14" s="4" t="n">
        <f aca="false">Assumptions!H47</f>
        <v>28</v>
      </c>
      <c r="I14" s="4" t="n">
        <f aca="false">Assumptions!I47</f>
        <v>28</v>
      </c>
      <c r="J14" s="4" t="n">
        <f aca="false">Assumptions!J47</f>
        <v>28</v>
      </c>
      <c r="K14" s="4" t="n">
        <f aca="false">Assumptions!K47</f>
        <v>28</v>
      </c>
      <c r="L14" s="4" t="n">
        <f aca="false">Assumptions!L47</f>
        <v>28</v>
      </c>
    </row>
    <row r="15" customFormat="false" ht="15" hidden="false" customHeight="false" outlineLevel="0" collapsed="false">
      <c r="A15" s="0" t="s">
        <v>123</v>
      </c>
      <c r="C15" s="0" t="n">
        <f aca="false">C13-MAX(0,C13)*C14/100</f>
        <v>2264.1256319976</v>
      </c>
      <c r="D15" s="0" t="n">
        <f aca="false">D13-MAX(0,D13)*D14/100</f>
        <v>2354.6906572775</v>
      </c>
      <c r="E15" s="0" t="n">
        <f aca="false">E13-MAX(0,E13)*E14/100</f>
        <v>2506.60618355347</v>
      </c>
      <c r="F15" s="0" t="n">
        <f aca="false">F13-MAX(0,F13)*F14/100</f>
        <v>2655.86318811961</v>
      </c>
      <c r="G15" s="0" t="n">
        <f aca="false">G13-MAX(0,G13)*G14/100</f>
        <v>2775.37703158499</v>
      </c>
      <c r="H15" s="0" t="n">
        <f aca="false">H13-MAX(0,H13)*H14/100</f>
        <v>2886.39211284839</v>
      </c>
      <c r="I15" s="0" t="n">
        <f aca="false">I13-MAX(0,I13)*I14/100</f>
        <v>3001.84779736233</v>
      </c>
      <c r="J15" s="0" t="n">
        <f aca="false">J13-MAX(0,J13)*J14/100</f>
        <v>3106.91247027001</v>
      </c>
      <c r="K15" s="0" t="n">
        <f aca="false">K13-MAX(0,K13)*K14/100</f>
        <v>3215.65440672946</v>
      </c>
      <c r="L15" s="0" t="n">
        <f aca="false">L13-MAX(0,L13)*L14/100</f>
        <v>3328.20231096499</v>
      </c>
    </row>
    <row r="16" customFormat="false" ht="15" hidden="false" customHeight="false" outlineLevel="0" collapsed="false">
      <c r="A16" s="0" t="s">
        <v>124</v>
      </c>
      <c r="C16" s="0" t="n">
        <f aca="false">-C12</f>
        <v>840.49722642</v>
      </c>
      <c r="D16" s="0" t="n">
        <f aca="false">-D12</f>
        <v>874.1171154768</v>
      </c>
      <c r="E16" s="0" t="n">
        <f aca="false">-E12</f>
        <v>917.82297125064</v>
      </c>
      <c r="F16" s="0" t="n">
        <f aca="false">-F12</f>
        <v>963.714119813172</v>
      </c>
      <c r="G16" s="0" t="n">
        <f aca="false">-G12</f>
        <v>1007.08125520476</v>
      </c>
      <c r="H16" s="0" t="n">
        <f aca="false">-H12</f>
        <v>1047.36450541296</v>
      </c>
      <c r="I16" s="0" t="n">
        <f aca="false">-I12</f>
        <v>1089.25908562947</v>
      </c>
      <c r="J16" s="0" t="n">
        <f aca="false">-J12</f>
        <v>1127.38315362651</v>
      </c>
      <c r="K16" s="0" t="n">
        <f aca="false">-K12</f>
        <v>1166.84156400343</v>
      </c>
      <c r="L16" s="0" t="n">
        <f aca="false">-L12</f>
        <v>1207.68101874355</v>
      </c>
    </row>
    <row r="17" customFormat="false" ht="15" hidden="false" customHeight="false" outlineLevel="0" collapsed="false">
      <c r="A17" s="0" t="s">
        <v>125</v>
      </c>
      <c r="C17" s="4" t="n">
        <f aca="false">-C6*Assumptions!C46/100</f>
        <v>-1347.69382857</v>
      </c>
      <c r="D17" s="4" t="n">
        <f aca="false">-D6*Assumptions!D46/100</f>
        <v>-1401.6015817128</v>
      </c>
      <c r="E17" s="4" t="n">
        <f aca="false">-E6*Assumptions!E46/100</f>
        <v>-1471.68166079844</v>
      </c>
      <c r="F17" s="4" t="n">
        <f aca="false">-F6*Assumptions!F46/100</f>
        <v>-1545.26574383836</v>
      </c>
      <c r="G17" s="4" t="n">
        <f aca="false">-G6*Assumptions!G46/100</f>
        <v>-1614.80270231109</v>
      </c>
      <c r="H17" s="4" t="n">
        <f aca="false">-H6*Assumptions!H46/100</f>
        <v>-1679.39481040353</v>
      </c>
      <c r="I17" s="4" t="n">
        <f aca="false">-I6*Assumptions!I46/100</f>
        <v>-1746.57060281967</v>
      </c>
      <c r="J17" s="4" t="n">
        <f aca="false">-J6*Assumptions!J46/100</f>
        <v>-1807.70057391836</v>
      </c>
      <c r="K17" s="4" t="n">
        <f aca="false">-K6*Assumptions!K46/100</f>
        <v>-1870.9700940055</v>
      </c>
      <c r="L17" s="4" t="n">
        <f aca="false">-L6*Assumptions!L46/100</f>
        <v>-1936.4540472957</v>
      </c>
    </row>
    <row r="18" customFormat="false" ht="15" hidden="false" customHeight="false" outlineLevel="0" collapsed="false">
      <c r="A18" s="0" t="s">
        <v>126</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127</v>
      </c>
      <c r="C19" s="0" t="n">
        <f aca="false">C15+C16+C17+C18</f>
        <v>1756.9290298476</v>
      </c>
      <c r="D19" s="0" t="n">
        <f aca="false">D15+D16+D17+D18</f>
        <v>1827.2061910415</v>
      </c>
      <c r="E19" s="0" t="n">
        <f aca="false">E15+E16+E17+E18</f>
        <v>1952.74749400567</v>
      </c>
      <c r="F19" s="0" t="n">
        <f aca="false">F15+F16+F17+F18</f>
        <v>2074.31156409442</v>
      </c>
      <c r="G19" s="0" t="n">
        <f aca="false">G15+G16+G17+G18</f>
        <v>2167.65558447867</v>
      </c>
      <c r="H19" s="0" t="n">
        <f aca="false">H15+H16+H17+H18</f>
        <v>2254.36180785782</v>
      </c>
      <c r="I19" s="0" t="n">
        <f aca="false">I15+I16+I17+I18</f>
        <v>2344.53628017213</v>
      </c>
      <c r="J19" s="0" t="n">
        <f aca="false">J15+J16+J17+J18</f>
        <v>2426.59504997815</v>
      </c>
      <c r="K19" s="0" t="n">
        <f aca="false">K15+K16+K17+K18</f>
        <v>2511.52587672739</v>
      </c>
      <c r="L19" s="0" t="n">
        <f aca="false">L15+L16+L17+L18</f>
        <v>2599.42928241285</v>
      </c>
    </row>
    <row r="20" customFormat="false" ht="15" hidden="false" customHeight="false" outlineLevel="0" collapsed="false">
      <c r="A20" s="0" t="s">
        <v>128</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129</v>
      </c>
      <c r="C21" s="0" t="n">
        <f aca="false">C19*C20</f>
        <v>1589.98102248652</v>
      </c>
      <c r="D21" s="0" t="n">
        <f aca="false">D19*D20</f>
        <v>1496.45272704613</v>
      </c>
      <c r="E21" s="0" t="n">
        <f aca="false">E19*E20</f>
        <v>1447.30230934467</v>
      </c>
      <c r="F21" s="0" t="n">
        <f aca="false">F19*F20</f>
        <v>1391.31310687033</v>
      </c>
      <c r="G21" s="0" t="n">
        <f aca="false">G19*G20</f>
        <v>1315.7666938276</v>
      </c>
      <c r="H21" s="0" t="n">
        <f aca="false">H19*H20</f>
        <v>1238.36865301421</v>
      </c>
      <c r="I21" s="0" t="n">
        <f aca="false">I19*I20</f>
        <v>1165.52343813102</v>
      </c>
      <c r="J21" s="0" t="n">
        <f aca="false">J19*J20</f>
        <v>1091.68937417702</v>
      </c>
      <c r="K21" s="0" t="n">
        <f aca="false">K19*K20</f>
        <v>1022.53258124273</v>
      </c>
      <c r="L21" s="0" t="n">
        <f aca="false">L19*L20</f>
        <v>957.756761616495</v>
      </c>
    </row>
    <row r="23" customFormat="false" ht="15" hidden="false" customHeight="false" outlineLevel="0" collapsed="false">
      <c r="A23" s="0" t="s">
        <v>105</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130</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131</v>
      </c>
    </row>
    <row r="27" customFormat="false" ht="15" hidden="false" customHeight="false" outlineLevel="0" collapsed="false">
      <c r="A27" s="0" t="s">
        <v>109</v>
      </c>
      <c r="B27" s="4" t="n">
        <f aca="false">Assumptions!$B$48</f>
        <v>10.5</v>
      </c>
    </row>
    <row r="28" customFormat="false" ht="15" hidden="false" customHeight="false" outlineLevel="0" collapsed="false">
      <c r="A28" s="0" t="s">
        <v>110</v>
      </c>
      <c r="B28" s="4" t="n">
        <f aca="false">Assumptions!$B$49</f>
        <v>3</v>
      </c>
    </row>
    <row r="29" customFormat="false" ht="15" hidden="false" customHeight="false" outlineLevel="0" collapsed="false">
      <c r="A29" s="0" t="s">
        <v>111</v>
      </c>
      <c r="B29" s="4" t="n">
        <f aca="false">Assumptions!$B$50</f>
        <v>12</v>
      </c>
    </row>
    <row r="30" customFormat="false" ht="15" hidden="false" customHeight="false" outlineLevel="0" collapsed="false">
      <c r="A30" s="0" t="s">
        <v>132</v>
      </c>
      <c r="B30" s="0" t="n">
        <f aca="false">SUM(C21:L21)</f>
        <v>12716.6866677567</v>
      </c>
    </row>
    <row r="31" customFormat="false" ht="15" hidden="false" customHeight="false" outlineLevel="0" collapsed="false">
      <c r="A31" s="0" t="s">
        <v>133</v>
      </c>
      <c r="B31" s="0" t="n">
        <f aca="false">L19</f>
        <v>2599.42928241285</v>
      </c>
    </row>
    <row r="32" customFormat="false" ht="15" hidden="false" customHeight="false" outlineLevel="0" collapsed="false">
      <c r="A32" s="0" t="s">
        <v>134</v>
      </c>
      <c r="B32" s="0" t="n">
        <f aca="false">IF(B27&gt;B28,B31*(1+B28/100)/((B27-B28)/100),B31*B29)</f>
        <v>35698.8288118031</v>
      </c>
    </row>
    <row r="33" customFormat="false" ht="15" hidden="false" customHeight="false" outlineLevel="0" collapsed="false">
      <c r="A33" s="0" t="s">
        <v>135</v>
      </c>
      <c r="B33" s="0" t="n">
        <f aca="false">B31*B29</f>
        <v>31193.1513889542</v>
      </c>
    </row>
    <row r="34" customFormat="false" ht="15" hidden="false" customHeight="false" outlineLevel="0" collapsed="false">
      <c r="A34" s="0" t="s">
        <v>136</v>
      </c>
      <c r="B34" s="0" t="n">
        <f aca="false">MAX(0,MIN(B32,B33))</f>
        <v>31193.1513889542</v>
      </c>
    </row>
    <row r="35" customFormat="false" ht="15" hidden="false" customHeight="false" outlineLevel="0" collapsed="false">
      <c r="A35" s="0" t="s">
        <v>137</v>
      </c>
      <c r="B35" s="0" t="n">
        <f aca="false">B34/(1+B27/100)^L4</f>
        <v>11493.0811393979</v>
      </c>
    </row>
    <row r="36" customFormat="false" ht="15" hidden="false" customHeight="false" outlineLevel="0" collapsed="false">
      <c r="A36" s="0" t="s">
        <v>138</v>
      </c>
      <c r="B36" s="0" t="n">
        <f aca="false">B30+B35</f>
        <v>24209.7678071547</v>
      </c>
    </row>
    <row r="37" customFormat="false" ht="15" hidden="false" customHeight="false" outlineLevel="0" collapsed="false">
      <c r="A37" s="0" t="s">
        <v>139</v>
      </c>
      <c r="B37" s="0" t="n">
        <f aca="false">B36+Assumptions!$B$5-Assumptions!$B$4</f>
        <v>24209.7678071547</v>
      </c>
    </row>
    <row r="38" customFormat="false" ht="15" hidden="false" customHeight="false" outlineLevel="0" collapsed="false">
      <c r="A38" s="0" t="s">
        <v>140</v>
      </c>
      <c r="B38" s="0" t="n">
        <f aca="false">B37/Assumptions!$B$3*Assumptions!$B$10</f>
        <v>14.1301421821965</v>
      </c>
    </row>
    <row r="39" customFormat="false" ht="15" hidden="false" customHeight="false" outlineLevel="0" collapsed="false">
      <c r="A39" s="0" t="s">
        <v>141</v>
      </c>
      <c r="B39" s="4" t="n">
        <f aca="false">B38/Assumptions!$B$2-1</f>
        <v>2.15404959424028</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14.1301421821965</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22311.7680073769</v>
      </c>
    </row>
    <row r="47" customFormat="false" ht="15" hidden="false" customHeight="false" outlineLevel="0" collapsed="false">
      <c r="A47" s="0" t="s">
        <v>146</v>
      </c>
      <c r="B47" s="0" t="n">
        <f aca="false">(SUMPRODUCT(C19:L19/(1+B45/100)^C4:L4)+B46/(1+B45/100)^L4+Assumptions!$B$5-Assumptions!$B$4)/Assumptions!$B$3*Assumptions!$B$10</f>
        <v>9.32559731059075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149</v>
      </c>
    </row>
    <row r="3" customFormat="false" ht="15" hidden="false" customHeight="false" outlineLevel="0" collapsed="false">
      <c r="A3" s="2" t="s">
        <v>150</v>
      </c>
      <c r="B3" s="2" t="s">
        <v>151</v>
      </c>
      <c r="C3" s="2" t="s">
        <v>141</v>
      </c>
      <c r="D3" s="2" t="s">
        <v>152</v>
      </c>
      <c r="E3" s="2" t="s">
        <v>144</v>
      </c>
      <c r="F3" s="2" t="s">
        <v>153</v>
      </c>
    </row>
    <row r="4" customFormat="false" ht="15" hidden="false" customHeight="false" outlineLevel="0" collapsed="false">
      <c r="A4" s="0" t="s">
        <v>154</v>
      </c>
      <c r="B4" s="4" t="n">
        <f aca="false">DCF_Bear!$B$38</f>
        <v>3.52928572979254</v>
      </c>
      <c r="C4" s="0" t="n">
        <f aca="false">B4/Assumptions!$B$2-1</f>
        <v>-0.212213006742736</v>
      </c>
      <c r="D4" s="4" t="n">
        <f aca="false">Assumptions!$B$24</f>
        <v>0.35</v>
      </c>
      <c r="E4" s="4" t="n">
        <f aca="false">DCF_Bear!$B$43</f>
        <v>3.52928572979254</v>
      </c>
      <c r="F4" s="4" t="n">
        <f aca="false">DCF_Bear!$B$47</f>
        <v>3.18699692415034</v>
      </c>
    </row>
    <row r="5" customFormat="false" ht="15" hidden="false" customHeight="false" outlineLevel="0" collapsed="false">
      <c r="A5" s="0" t="s">
        <v>155</v>
      </c>
      <c r="B5" s="4" t="n">
        <f aca="false">DCF_Base!$B$38</f>
        <v>9.96874498397739</v>
      </c>
      <c r="C5" s="0" t="n">
        <f aca="false">B5/Assumptions!$B$2-1</f>
        <v>1.22516629106638</v>
      </c>
      <c r="D5" s="4" t="n">
        <f aca="false">Assumptions!$B$38</f>
        <v>0.45</v>
      </c>
      <c r="E5" s="4" t="n">
        <f aca="false">DCF_Base!$B$43</f>
        <v>9.96874498397739</v>
      </c>
      <c r="F5" s="4" t="n">
        <f aca="false">DCF_Base!$B$47</f>
        <v>7.18150626414256</v>
      </c>
    </row>
    <row r="6" customFormat="false" ht="15" hidden="false" customHeight="false" outlineLevel="0" collapsed="false">
      <c r="A6" s="0" t="s">
        <v>156</v>
      </c>
      <c r="B6" s="4" t="n">
        <f aca="false">DCF_Bull!$B$38</f>
        <v>14.1301421821965</v>
      </c>
      <c r="C6" s="0" t="n">
        <f aca="false">B6/Assumptions!$B$2-1</f>
        <v>2.15404959424028</v>
      </c>
      <c r="D6" s="4" t="n">
        <f aca="false">Assumptions!$B$52</f>
        <v>0.2</v>
      </c>
      <c r="E6" s="4" t="n">
        <f aca="false">DCF_Bull!$B$43</f>
        <v>14.1301421821965</v>
      </c>
      <c r="F6" s="4" t="n">
        <f aca="false">DCF_Bull!$B$47</f>
        <v>9.32559731059075</v>
      </c>
    </row>
    <row r="8" customFormat="false" ht="15" hidden="false" customHeight="false" outlineLevel="0" collapsed="false">
      <c r="A8" s="0" t="s">
        <v>157</v>
      </c>
      <c r="B8" s="0" t="n">
        <f aca="false">SUMPRODUCT(B4:B6,D4:D6)</f>
        <v>8.54721368465651</v>
      </c>
    </row>
    <row r="9" customFormat="false" ht="15" hidden="false" customHeight="false" outlineLevel="0" collapsed="false">
      <c r="A9" s="0" t="s">
        <v>158</v>
      </c>
      <c r="B9" s="0" t="n">
        <f aca="false">SUMPRODUCT(E4:E6,D4:D6)</f>
        <v>8.54721368465651</v>
      </c>
    </row>
    <row r="10" customFormat="false" ht="15" hidden="false" customHeight="false" outlineLevel="0" collapsed="false">
      <c r="A10" s="0" t="s">
        <v>159</v>
      </c>
      <c r="B10" s="0" t="n">
        <f aca="false">1-Assumptions!$B$2/B8</f>
        <v>0.475852580117161</v>
      </c>
    </row>
    <row r="11" customFormat="false" ht="15" hidden="false" customHeight="false" outlineLevel="0" collapsed="false">
      <c r="A11" s="0" t="s">
        <v>160</v>
      </c>
      <c r="B11" s="0" t="str">
        <f aca="false">IF(ABS(B9-B8)&gt;0.01*ABS(B8),(Assumptions!$B$2-B8)/(B9-B8)*100,"n/a")</f>
        <v>n/a</v>
      </c>
    </row>
    <row r="12" customFormat="false" ht="15" hidden="false" customHeight="false" outlineLevel="0" collapsed="false">
      <c r="A12" s="0" t="s">
        <v>161</v>
      </c>
      <c r="B12" s="0" t="n">
        <f aca="false">SUMPRODUCT(F4:F6,D4:D6)</f>
        <v>6.21224620443492</v>
      </c>
    </row>
    <row r="14" customFormat="false" ht="15" hidden="false" customHeight="false" outlineLevel="0" collapsed="false">
      <c r="A14" s="2" t="s">
        <v>162</v>
      </c>
      <c r="C14" s="0" t="s">
        <v>163</v>
      </c>
    </row>
    <row r="15" customFormat="false" ht="15" hidden="false" customHeight="false" outlineLevel="0" collapsed="false">
      <c r="A15" s="0" t="s">
        <v>164</v>
      </c>
      <c r="B15" s="0" t="n">
        <f aca="false">(SUMPRODUCT(DCF_Base!$C$19:$L$19/(1+$C$15/100)^DCF_Base!$C$4:$L$4)+MAX(0,MIN(IF($C$15&gt;DCF_Base!$B$28,DCF_Base!$L$19*(1+DCF_Base!$B$28/100)/(($C$15-DCF_Base!$B$28)/100),DCF_Base!$L$19*DCF_Base!$B$29),DCF_Base!$L$19*DCF_Base!$B$29))/(1+$C$15/100)^DCF_Base!$L$4+Assumptions!$B$5-Assumptions!$B$4)/Assumptions!$B$3*Assumptions!$B$10</f>
        <v>12.0151509637085</v>
      </c>
      <c r="C15" s="3" t="n">
        <v>9</v>
      </c>
    </row>
    <row r="16" customFormat="false" ht="15" hidden="false" customHeight="false" outlineLevel="0" collapsed="false">
      <c r="A16" s="0" t="s">
        <v>165</v>
      </c>
      <c r="B16" s="0" t="n">
        <f aca="false">(SUMPRODUCT(DCF_Base!$C$19:$L$19/(1+$C$16/100)^DCF_Base!$C$4:$L$4)+MAX(0,MIN(IF($C$16&gt;DCF_Base!$B$28,DCF_Base!$L$19*(1+DCF_Base!$B$28/100)/(($C$16-DCF_Base!$B$28)/100),DCF_Base!$L$19*DCF_Base!$B$29),DCF_Base!$L$19*DCF_Base!$B$29))/(1+$C$16/100)^DCF_Base!$L$4+Assumptions!$B$5-Assumptions!$B$4)/Assumptions!$B$3*Assumptions!$B$10</f>
        <v>11.2403777933986</v>
      </c>
      <c r="C16" s="3" t="n">
        <v>10</v>
      </c>
    </row>
    <row r="17" customFormat="false" ht="15" hidden="false" customHeight="false" outlineLevel="0" collapsed="false">
      <c r="A17" s="0" t="s">
        <v>166</v>
      </c>
      <c r="B17" s="0" t="n">
        <f aca="false">(SUMPRODUCT(DCF_Base!$C$19:$L$19/(1+$C$17/100)^DCF_Base!$C$4:$L$4)+MAX(0,MIN(IF($C$17&gt;DCF_Base!$B$28,DCF_Base!$L$19*(1+DCF_Base!$B$28/100)/(($C$17-DCF_Base!$B$28)/100),DCF_Base!$L$19*DCF_Base!$B$29),DCF_Base!$L$19*DCF_Base!$B$29))/(1+$C$17/100)^DCF_Base!$L$4+Assumptions!$B$5-Assumptions!$B$4)/Assumptions!$B$3*Assumptions!$B$10</f>
        <v>10.5313024444815</v>
      </c>
      <c r="C17" s="3" t="n">
        <v>11</v>
      </c>
    </row>
    <row r="18" customFormat="false" ht="15" hidden="false" customHeight="false" outlineLevel="0" collapsed="false">
      <c r="A18" s="0" t="s">
        <v>167</v>
      </c>
      <c r="B18" s="0" t="n">
        <f aca="false">(SUMPRODUCT(DCF_Base!$C$19:$L$19/(1+$C$18/100)^DCF_Base!$C$4:$L$4)+MAX(0,MIN(IF($C$18&gt;DCF_Base!$B$28,DCF_Base!$L$19*(1+DCF_Base!$B$28/100)/(($C$18-DCF_Base!$B$28)/100),DCF_Base!$L$19*DCF_Base!$B$29),DCF_Base!$L$19*DCF_Base!$B$29))/(1+$C$18/100)^DCF_Base!$L$4+Assumptions!$B$5-Assumptions!$B$4)/Assumptions!$B$3*Assumptions!$B$10</f>
        <v>9.96874498397739</v>
      </c>
      <c r="C18" s="3" t="n">
        <v>11.5</v>
      </c>
    </row>
    <row r="19" customFormat="false" ht="15" hidden="false" customHeight="false" outlineLevel="0" collapsed="false">
      <c r="A19" s="0" t="s">
        <v>168</v>
      </c>
      <c r="B19" s="0" t="n">
        <f aca="false">(SUMPRODUCT(DCF_Base!$C$19:$L$19/(1+$C$19/100)^DCF_Base!$C$4:$L$4)+MAX(0,MIN(IF($C$19&gt;DCF_Base!$B$28,DCF_Base!$L$19*(1+DCF_Base!$B$28/100)/(($C$19-DCF_Base!$B$28)/100),DCF_Base!$L$19*DCF_Base!$B$29),DCF_Base!$L$19*DCF_Base!$B$29))/(1+$C$19/100)^DCF_Base!$L$4+Assumptions!$B$5-Assumptions!$B$4)/Assumptions!$B$3*Assumptions!$B$10</f>
        <v>9.44468429742443</v>
      </c>
      <c r="C19" s="3" t="n">
        <v>12</v>
      </c>
    </row>
    <row r="20" customFormat="false" ht="15" hidden="false" customHeight="false" outlineLevel="0" collapsed="false">
      <c r="A20" s="0" t="s">
        <v>169</v>
      </c>
      <c r="B20" s="0" t="n">
        <f aca="false">(SUMPRODUCT(DCF_Base!$C$19:$L$19/(1+$C$20/100)^DCF_Base!$C$4:$L$4)+MAX(0,MIN(IF($C$20&gt;DCF_Base!$B$28,DCF_Base!$L$19*(1+DCF_Base!$B$28/100)/(($C$20-DCF_Base!$B$28)/100),DCF_Base!$L$19*DCF_Base!$B$29),DCF_Base!$L$19*DCF_Base!$B$29))/(1+$C$20/100)^DCF_Base!$L$4+Assumptions!$B$5-Assumptions!$B$4)/Assumptions!$B$3*Assumptions!$B$10</f>
        <v>7.18150626414256</v>
      </c>
      <c r="C20" s="3" t="n">
        <v>15</v>
      </c>
    </row>
    <row r="22" customFormat="false" ht="15" hidden="false" customHeight="false" outlineLevel="0" collapsed="false">
      <c r="A22" s="2" t="s">
        <v>170</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9.5</v>
      </c>
      <c r="B24" s="0" t="n">
        <f aca="false">(SUMPRODUCT(DCF_Base!$C$19:$L$19/(1+$A$24/100)^DCF_Base!$C$4:$L$4)+MAX(0,MIN(IF($A$24&gt;$B$23,DCF_Base!$L$19*(1+$B$23/100)/(($A$24-$B$23)/100),DCF_Base!$L$19*DCF_Base!$B$29),DCF_Base!$L$19*DCF_Base!$B$29))/(1+$A$24/100)^DCF_Base!$L$4+Assumptions!$B$5-Assumptions!$B$4)/Assumptions!$B$3*Assumptions!$B$10</f>
        <v>11.6191253586608</v>
      </c>
      <c r="C24" s="0" t="n">
        <f aca="false">(SUMPRODUCT(DCF_Base!$C$19:$L$19/(1+$A$24/100)^DCF_Base!$C$4:$L$4)+MAX(0,MIN(IF($A$24&gt;$C$23,DCF_Base!$L$19*(1+$C$23/100)/(($A$24-$C$23)/100),DCF_Base!$L$19*DCF_Base!$B$29),DCF_Base!$L$19*DCF_Base!$B$29))/(1+$A$24/100)^DCF_Base!$L$4+Assumptions!$B$5-Assumptions!$B$4)/Assumptions!$B$3*Assumptions!$B$10</f>
        <v>11.6191253586608</v>
      </c>
      <c r="D24" s="0" t="n">
        <f aca="false">(SUMPRODUCT(DCF_Base!$C$19:$L$19/(1+$A$24/100)^DCF_Base!$C$4:$L$4)+MAX(0,MIN(IF($A$24&gt;$D$23,DCF_Base!$L$19*(1+$D$23/100)/(($A$24-$D$23)/100),DCF_Base!$L$19*DCF_Base!$B$29),DCF_Base!$L$19*DCF_Base!$B$29))/(1+$A$24/100)^DCF_Base!$L$4+Assumptions!$B$5-Assumptions!$B$4)/Assumptions!$B$3*Assumptions!$B$10</f>
        <v>11.6191253586608</v>
      </c>
      <c r="E24" s="0" t="n">
        <f aca="false">(SUMPRODUCT(DCF_Base!$C$19:$L$19/(1+$A$24/100)^DCF_Base!$C$4:$L$4)+MAX(0,MIN(IF($A$24&gt;$E$23,DCF_Base!$L$19*(1+$E$23/100)/(($A$24-$E$23)/100),DCF_Base!$L$19*DCF_Base!$B$29),DCF_Base!$L$19*DCF_Base!$B$29))/(1+$A$24/100)^DCF_Base!$L$4+Assumptions!$B$5-Assumptions!$B$4)/Assumptions!$B$3*Assumptions!$B$10</f>
        <v>11.6191253586608</v>
      </c>
      <c r="F24" s="0" t="n">
        <f aca="false">(SUMPRODUCT(DCF_Base!$C$19:$L$19/(1+$A$24/100)^DCF_Base!$C$4:$L$4)+MAX(0,MIN(IF($A$24&gt;$F$23,DCF_Base!$L$19*(1+$F$23/100)/(($A$24-$F$23)/100),DCF_Base!$L$19*DCF_Base!$B$29),DCF_Base!$L$19*DCF_Base!$B$29))/(1+$A$24/100)^DCF_Base!$L$4+Assumptions!$B$5-Assumptions!$B$4)/Assumptions!$B$3*Assumptions!$B$10</f>
        <v>11.6191253586608</v>
      </c>
    </row>
    <row r="25" customFormat="false" ht="15" hidden="false" customHeight="false" outlineLevel="0" collapsed="false">
      <c r="A25" s="3" t="n">
        <v>10.5</v>
      </c>
      <c r="B25" s="0" t="n">
        <f aca="false">(SUMPRODUCT(DCF_Base!$C$19:$L$19/(1+$A$25/100)^DCF_Base!$C$4:$L$4)+MAX(0,MIN(IF($A$25&gt;$B$23,DCF_Base!$L$19*(1+$B$23/100)/(($A$25-$B$23)/100),DCF_Base!$L$19*DCF_Base!$B$29),DCF_Base!$L$19*DCF_Base!$B$29))/(1+$A$25/100)^DCF_Base!$L$4+Assumptions!$B$5-Assumptions!$B$4)/Assumptions!$B$3*Assumptions!$B$10</f>
        <v>10.5797724709084</v>
      </c>
      <c r="C25" s="0" t="n">
        <f aca="false">(SUMPRODUCT(DCF_Base!$C$19:$L$19/(1+$A$25/100)^DCF_Base!$C$4:$L$4)+MAX(0,MIN(IF($A$25&gt;$C$23,DCF_Base!$L$19*(1+$C$23/100)/(($A$25-$C$23)/100),DCF_Base!$L$19*DCF_Base!$B$29),DCF_Base!$L$19*DCF_Base!$B$29))/(1+$A$25/100)^DCF_Base!$L$4+Assumptions!$B$5-Assumptions!$B$4)/Assumptions!$B$3*Assumptions!$B$10</f>
        <v>10.8780427139136</v>
      </c>
      <c r="D25" s="0" t="n">
        <f aca="false">(SUMPRODUCT(DCF_Base!$C$19:$L$19/(1+$A$25/100)^DCF_Base!$C$4:$L$4)+MAX(0,MIN(IF($A$25&gt;$D$23,DCF_Base!$L$19*(1+$D$23/100)/(($A$25-$D$23)/100),DCF_Base!$L$19*DCF_Base!$B$29),DCF_Base!$L$19*DCF_Base!$B$29))/(1+$A$25/100)^DCF_Base!$L$4+Assumptions!$B$5-Assumptions!$B$4)/Assumptions!$B$3*Assumptions!$B$10</f>
        <v>10.8780427139136</v>
      </c>
      <c r="E25" s="0" t="n">
        <f aca="false">(SUMPRODUCT(DCF_Base!$C$19:$L$19/(1+$A$25/100)^DCF_Base!$C$4:$L$4)+MAX(0,MIN(IF($A$25&gt;$E$23,DCF_Base!$L$19*(1+$E$23/100)/(($A$25-$E$23)/100),DCF_Base!$L$19*DCF_Base!$B$29),DCF_Base!$L$19*DCF_Base!$B$29))/(1+$A$25/100)^DCF_Base!$L$4+Assumptions!$B$5-Assumptions!$B$4)/Assumptions!$B$3*Assumptions!$B$10</f>
        <v>10.8780427139136</v>
      </c>
      <c r="F25" s="0" t="n">
        <f aca="false">(SUMPRODUCT(DCF_Base!$C$19:$L$19/(1+$A$25/100)^DCF_Base!$C$4:$L$4)+MAX(0,MIN(IF($A$25&gt;$F$23,DCF_Base!$L$19*(1+$F$23/100)/(($A$25-$F$23)/100),DCF_Base!$L$19*DCF_Base!$B$29),DCF_Base!$L$19*DCF_Base!$B$29))/(1+$A$25/100)^DCF_Base!$L$4+Assumptions!$B$5-Assumptions!$B$4)/Assumptions!$B$3*Assumptions!$B$10</f>
        <v>10.8780427139136</v>
      </c>
    </row>
    <row r="26" customFormat="false" ht="15" hidden="false" customHeight="false" outlineLevel="0" collapsed="false">
      <c r="A26" s="3" t="n">
        <v>11.5</v>
      </c>
      <c r="B26" s="0" t="n">
        <f aca="false">(SUMPRODUCT(DCF_Base!$C$19:$L$19/(1+$A$26/100)^DCF_Base!$C$4:$L$4)+MAX(0,MIN(IF($A$26&gt;$B$23,DCF_Base!$L$19*(1+$B$23/100)/(($A$26-$B$23)/100),DCF_Base!$L$19*DCF_Base!$B$29),DCF_Base!$L$19*DCF_Base!$B$29))/(1+$A$26/100)^DCF_Base!$L$4+Assumptions!$B$5-Assumptions!$B$4)/Assumptions!$B$3*Assumptions!$B$10</f>
        <v>9.50117616097913</v>
      </c>
      <c r="C26" s="0" t="n">
        <f aca="false">(SUMPRODUCT(DCF_Base!$C$19:$L$19/(1+$A$26/100)^DCF_Base!$C$4:$L$4)+MAX(0,MIN(IF($A$26&gt;$C$23,DCF_Base!$L$19*(1+$C$23/100)/(($A$26-$C$23)/100),DCF_Base!$L$19*DCF_Base!$B$29),DCF_Base!$L$19*DCF_Base!$B$29))/(1+$A$26/100)^DCF_Base!$L$4+Assumptions!$B$5-Assumptions!$B$4)/Assumptions!$B$3*Assumptions!$B$10</f>
        <v>9.72265612976778</v>
      </c>
      <c r="D26" s="0" t="n">
        <f aca="false">(SUMPRODUCT(DCF_Base!$C$19:$L$19/(1+$A$26/100)^DCF_Base!$C$4:$L$4)+MAX(0,MIN(IF($A$26&gt;$D$23,DCF_Base!$L$19*(1+$D$23/100)/(($A$26-$D$23)/100),DCF_Base!$L$19*DCF_Base!$B$29),DCF_Base!$L$19*DCF_Base!$B$29))/(1+$A$26/100)^DCF_Base!$L$4+Assumptions!$B$5-Assumptions!$B$4)/Assumptions!$B$3*Assumptions!$B$10</f>
        <v>9.96874498397739</v>
      </c>
      <c r="E26" s="0" t="n">
        <f aca="false">(SUMPRODUCT(DCF_Base!$C$19:$L$19/(1+$A$26/100)^DCF_Base!$C$4:$L$4)+MAX(0,MIN(IF($A$26&gt;$E$23,DCF_Base!$L$19*(1+$E$23/100)/(($A$26-$E$23)/100),DCF_Base!$L$19*DCF_Base!$B$29),DCF_Base!$L$19*DCF_Base!$B$29))/(1+$A$26/100)^DCF_Base!$L$4+Assumptions!$B$5-Assumptions!$B$4)/Assumptions!$B$3*Assumptions!$B$10</f>
        <v>10.1993843137075</v>
      </c>
      <c r="F26" s="0" t="n">
        <f aca="false">(SUMPRODUCT(DCF_Base!$C$19:$L$19/(1+$A$26/100)^DCF_Base!$C$4:$L$4)+MAX(0,MIN(IF($A$26&gt;$F$23,DCF_Base!$L$19*(1+$F$23/100)/(($A$26-$F$23)/100),DCF_Base!$L$19*DCF_Base!$B$29),DCF_Base!$L$19*DCF_Base!$B$29))/(1+$A$26/100)^DCF_Base!$L$4+Assumptions!$B$5-Assumptions!$B$4)/Assumptions!$B$3*Assumptions!$B$10</f>
        <v>10.1993843137075</v>
      </c>
    </row>
    <row r="27" customFormat="false" ht="15" hidden="false" customHeight="false" outlineLevel="0" collapsed="false">
      <c r="A27" s="3" t="n">
        <v>12.5</v>
      </c>
      <c r="B27" s="0" t="n">
        <f aca="false">(SUMPRODUCT(DCF_Base!$C$19:$L$19/(1+$A$27/100)^DCF_Base!$C$4:$L$4)+MAX(0,MIN(IF($A$27&gt;$B$23,DCF_Base!$L$19*(1+$B$23/100)/(($A$27-$B$23)/100),DCF_Base!$L$19*DCF_Base!$B$29),DCF_Base!$L$19*DCF_Base!$B$29))/(1+$A$27/100)^DCF_Base!$L$4+Assumptions!$B$5-Assumptions!$B$4)/Assumptions!$B$3*Assumptions!$B$10</f>
        <v>8.62006265192442</v>
      </c>
      <c r="C27" s="0" t="n">
        <f aca="false">(SUMPRODUCT(DCF_Base!$C$19:$L$19/(1+$A$27/100)^DCF_Base!$C$4:$L$4)+MAX(0,MIN(IF($A$27&gt;$C$23,DCF_Base!$L$19*(1+$C$23/100)/(($A$27-$C$23)/100),DCF_Base!$L$19*DCF_Base!$B$29),DCF_Base!$L$19*DCF_Base!$B$29))/(1+$A$27/100)^DCF_Base!$L$4+Assumptions!$B$5-Assumptions!$B$4)/Assumptions!$B$3*Assumptions!$B$10</f>
        <v>8.78816631579772</v>
      </c>
      <c r="D27" s="0" t="n">
        <f aca="false">(SUMPRODUCT(DCF_Base!$C$19:$L$19/(1+$A$27/100)^DCF_Base!$C$4:$L$4)+MAX(0,MIN(IF($A$27&gt;$D$23,DCF_Base!$L$19*(1+$D$23/100)/(($A$27-$D$23)/100),DCF_Base!$L$19*DCF_Base!$B$29),DCF_Base!$L$19*DCF_Base!$B$29))/(1+$A$27/100)^DCF_Base!$L$4+Assumptions!$B$5-Assumptions!$B$4)/Assumptions!$B$3*Assumptions!$B$10</f>
        <v>8.97308034605834</v>
      </c>
      <c r="E27" s="0" t="n">
        <f aca="false">(SUMPRODUCT(DCF_Base!$C$19:$L$19/(1+$A$27/100)^DCF_Base!$C$4:$L$4)+MAX(0,MIN(IF($A$27&gt;$E$23,DCF_Base!$L$19*(1+$E$23/100)/(($A$27-$E$23)/100),DCF_Base!$L$19*DCF_Base!$B$29),DCF_Base!$L$19*DCF_Base!$B$29))/(1+$A$27/100)^DCF_Base!$L$4+Assumptions!$B$5-Assumptions!$B$4)/Assumptions!$B$3*Assumptions!$B$10</f>
        <v>9.17745901108324</v>
      </c>
      <c r="F27" s="0" t="n">
        <f aca="false">(SUMPRODUCT(DCF_Base!$C$19:$L$19/(1+$A$27/100)^DCF_Base!$C$4:$L$4)+MAX(0,MIN(IF($A$27&gt;$F$23,DCF_Base!$L$19*(1+$F$23/100)/(($A$27-$F$23)/100),DCF_Base!$L$19*DCF_Base!$B$29),DCF_Base!$L$19*DCF_Base!$B$29))/(1+$A$27/100)^DCF_Base!$L$4+Assumptions!$B$5-Assumptions!$B$4)/Assumptions!$B$3*Assumptions!$B$10</f>
        <v>9.40454641666647</v>
      </c>
    </row>
    <row r="28" customFormat="false" ht="15" hidden="false" customHeight="false" outlineLevel="0" collapsed="false">
      <c r="A28" s="3" t="n">
        <v>13.5</v>
      </c>
      <c r="B28" s="0" t="n">
        <f aca="false">(SUMPRODUCT(DCF_Base!$C$19:$L$19/(1+$A$28/100)^DCF_Base!$C$4:$L$4)+MAX(0,MIN(IF($A$28&gt;$B$23,DCF_Base!$L$19*(1+$B$23/100)/(($A$28-$B$23)/100),DCF_Base!$L$19*DCF_Base!$B$29),DCF_Base!$L$19*DCF_Base!$B$29))/(1+$A$28/100)^DCF_Base!$L$4+Assumptions!$B$5-Assumptions!$B$4)/Assumptions!$B$3*Assumptions!$B$10</f>
        <v>7.88695843309176</v>
      </c>
      <c r="C28" s="0" t="n">
        <f aca="false">(SUMPRODUCT(DCF_Base!$C$19:$L$19/(1+$A$28/100)^DCF_Base!$C$4:$L$4)+MAX(0,MIN(IF($A$28&gt;$C$23,DCF_Base!$L$19*(1+$C$23/100)/(($A$28-$C$23)/100),DCF_Base!$L$19*DCF_Base!$B$29),DCF_Base!$L$19*DCF_Base!$B$29))/(1+$A$28/100)^DCF_Base!$L$4+Assumptions!$B$5-Assumptions!$B$4)/Assumptions!$B$3*Assumptions!$B$10</f>
        <v>8.01688262527133</v>
      </c>
      <c r="D28" s="0" t="n">
        <f aca="false">(SUMPRODUCT(DCF_Base!$C$19:$L$19/(1+$A$28/100)^DCF_Base!$C$4:$L$4)+MAX(0,MIN(IF($A$28&gt;$D$23,DCF_Base!$L$19*(1+$D$23/100)/(($A$28-$D$23)/100),DCF_Base!$L$19*DCF_Base!$B$29),DCF_Base!$L$19*DCF_Base!$B$29))/(1+$A$28/100)^DCF_Base!$L$4+Assumptions!$B$5-Assumptions!$B$4)/Assumptions!$B$3*Assumptions!$B$10</f>
        <v>8.15861810764904</v>
      </c>
      <c r="E28" s="0" t="n">
        <f aca="false">(SUMPRODUCT(DCF_Base!$C$19:$L$19/(1+$A$28/100)^DCF_Base!$C$4:$L$4)+MAX(0,MIN(IF($A$28&gt;$E$23,DCF_Base!$L$19*(1+$E$23/100)/(($A$28-$E$23)/100),DCF_Base!$L$19*DCF_Base!$B$29),DCF_Base!$L$19*DCF_Base!$B$29))/(1+$A$28/100)^DCF_Base!$L$4+Assumptions!$B$5-Assumptions!$B$4)/Assumptions!$B$3*Assumptions!$B$10</f>
        <v>8.31385220739606</v>
      </c>
      <c r="F28" s="0" t="n">
        <f aca="false">(SUMPRODUCT(DCF_Base!$C$19:$L$19/(1+$A$28/100)^DCF_Base!$C$4:$L$4)+MAX(0,MIN(IF($A$28&gt;$F$23,DCF_Base!$L$19*(1+$F$23/100)/(($A$28-$F$23)/100),DCF_Base!$L$19*DCF_Base!$B$29),DCF_Base!$L$19*DCF_Base!$B$29))/(1+$A$28/100)^DCF_Base!$L$4+Assumptions!$B$5-Assumptions!$B$4)/Assumptions!$B$3*Assumptions!$B$10</f>
        <v>8.48460971711777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2026-10-22T04:04:16Z</dcterms:created>
  <dc:creator>openpyxl</dc:creator>
  <dc:description/>
  <dc:language>en-NZ</dc:language>
  <cp:lastModifiedBy/>
  <dcterms:modified xsi:type="dcterms:W3CDTF">2026-10-22T04:04:16Z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