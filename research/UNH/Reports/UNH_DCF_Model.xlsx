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<sst xmlns="http://schemas.openxmlformats.org/spreadsheetml/2006/main" count="390" uniqueCount="175">
  <si>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</si>
  <si>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UNH</t>
  </si>
  <si>
    <t xml:space="preserve">Company</t>
  </si>
  <si>
    <t xml:space="preserve">UnitedHealth Group Incorporated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</si>
  <si>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</si>
  <si>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</si>
  <si>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</si>
  <si>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</si>
  <si>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</si>
  <si>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</si>
  <si>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</si>
  <si>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</si>
  <si>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</si>
  <si>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</si>
  <si>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</si>
  <si>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</si>
  <si>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</si>
  <si>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</si>
  <si>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</si>
  <si>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</si>
  <si>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</si>
  <si>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2026-10-02T21:15:35Z</t>
  </si>
  <si>
    <t xml:space="preserve">Drivers file</t>
  </si>
  <si>
    <t xml:space="preserve">UNH_Drivers.json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</si>
  <si>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</si>
  <si>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</si>
  <si>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</si>
  <si>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Trough-aware owner-FCF DCF. FY2025 is treated as an underwriting-cycle trough and excluded from margin base rates; value rests on a partial (not full) recovery to a mid-cycle margin haircut for structural MA and PBM regulatory drag. Investment income on the regulated float stays in the flows; only unrestricted cash is credited. NCI and an expected legal cost are deducted once in the bridge. Risk is charged in the scenario flows and weights at a single 8.0% USD WACC.
key_risks_to_valuation: DOJ criminal/civil MA risk-adjustment probe (expanded to Optum Rx and physician reimbursement): fines, FCA liability, a corporate integrity agreement or, in the tail, program exclusion; MA medical cost trend re-acceleration beyond the 88.1% FY2026 MCR guide stalling the margin recovery; V28 risk-adjustment phase-in and star-ratings pressure capping MA margins below the pre-2024 level; PBM reform (rebate delinking) compressing Optum Rx economics; Change Healthcare MDL liability (uncapped, no settlement), and antitrust action against Optum's vertical integration; Regulated-capital assumption: if a larger share of cash &amp; equivalents is trapped in regulated subsidiaries than assumed, the net-debt credit overstates value by up to ~$30/share</t>
  </si>
  <si>
    <t xml:space="preserve">Data sources</t>
  </si>
  <si>
    <t xml:space="preserve">price: Yahoo Finance chart API at inputs.price_as_of; 52-week range 255.97-461.62
financials: research/UNH/Reports/UNH_Metrics.csv (SEC XBRL); SEC companyfacts API (CIK 731766) for investment income, interest expense, NCI, diluted shares, debt split, investments, claims payable, lease cost
qualitative: research/UNH/Reports/UNH_Analysis.json (2026-10-03): FY2026 guidance (adj EPS $19.50-$20.00 raised, MCR 88.1% +/-25bps, UHC OE &gt;= $12B, Optum Health OE &gt;= $2.2B), DOJ and Change Healthcare litigation status</t>
  </si>
  <si>
    <t xml:space="preserve">Scenario narrative: bear</t>
  </si>
  <si>
    <t xml:space="preserve">The DOJ criminal/civil probe ends in a corporate integrity agreement that permanently curbs in-home health-assessment coding and Optum's internal referral economics, PBM delinking legislation passes, and the MA cost trend re-accelerates beyond the 88.1% guide so the recovery stalls in 2027. UNH keeps ceding MA members to protect margin, Optum Health shrinks further, and brand damage from the claims-denial backlash invites more regulation. Revenue grows only 2-4.5% and EBITDA margin stalls at ~6.8% (operating margin ~5.9%), a permanent step down from the integrated-model economics; exit multiple de-rates to 13x.</t>
  </si>
  <si>
    <t xml:space="preserve">Scenario narrative: base</t>
  </si>
  <si>
    <t xml:space="preserve">The 2026 repricing works roughly as guided: MCR settles near 88%, MA margins clear 3% and rebuild toward 4-5% by 2028, and Optum Health stabilises at lower revenue but positive margins after shedding ~1M risk patients. Revenue growth returns to health-spend-plus (6-6.5%) from 2027 as Optum Rx specialty growth and modest MA re-expansion resume, but the pre-crisis 13-16% EPS algorithm holds only for the 2027-28 recovery leg and is not sustained: V28 risk-adjustment, tighter MA coding practices under DOJ scrutiny and PBM transparency rules hold mature margins ~1pp below the FY2017-23 mid-cycle. DOJ and Change Healthcare MDL resolve with a civil payment (in the bridge), no exclusion and no forced divestiture.</t>
  </si>
  <si>
    <t xml:space="preserve">Scenario narrative: bull</t>
  </si>
  <si>
    <t xml:space="preserve">Q2 2026's 86.7% MCR proves the trend has turned, not seasonal noise: MA margins return to the 5-6% pre-2024 level, Hemsley's cost programme and AI-driven admin productivity lift Optum Insight and UHC operating leverage, and Optum Health's re-underwritten VBC book grows profitably again. Revenue compounds 7-8% for three years on aging-population MA penetration and Optum Rx share, and EBITDA margin returns to ~9% (operating margin ~8.3%), essentially the FY2019-23 level. DOJ settles cheaply; PBM reform is watered down.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</si>
  <si>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</si>
  <si>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</si>
  <si>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</si>
  <si>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</si>
  <si>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</si>
  <si>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</si>
  <si>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</si>
  <si>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</si>
  <si>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</si>
  <si>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</si>
  <si>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</si>
  <si>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</si>
  <si>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</si>
  <si>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</si>
  <si>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</si>
  <si>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</si>
  <si>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</si>
  <si>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</si>
  <si>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</si>
  <si>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</si>
  <si>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</si>
  <si>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</si>
  <si>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</si>
  <si>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</si>
  <si>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</si>
  <si>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</si>
  <si>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</si>
  <si>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</si>
  <si>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</si>
  <si>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</si>
  <si>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</si>
  <si>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</si>
  <si>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</si>
  <si>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</si>
  <si>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</si>
  <si>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</si>
  <si>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</si>
  <si>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</si>
  <si>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</si>
  <si>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</si>
  <si>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</si>
  <si>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</si>
  <si>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</si>
  <si>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</si>
  <si>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</si>
  <si>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</si>
  <si>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</si>
  <si>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</si>
  <si>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</si>
  <si>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</si>
  <si>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</si>
  <si>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</si>
  <si>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</si>
  <si>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</si>
  <si>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</si>
  <si>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</si>
  <si>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</si>
  <si>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</si>
  <si>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</si>
  <si>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</si>
  <si>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</si>
  <si>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</si>
  <si>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</si>
  <si>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</si>
  <si>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</si>
  <si>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</si>
  <si>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</si>
  <si>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</si>
  <si>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</si>
  <si>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</si>
  <si>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</si>
  <si>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</si>
  <si>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</si>
  <si>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</si>
  <si>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</si>
  <si>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</si>
  <si>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</si>
  <si>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</si>
  <si>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</si>
  <si>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</si>
  <si>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</si>
  <si>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</si>
  <si>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</si>
  <si>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</si>
  <si>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UNH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</si>
  <si>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</si>
  <si>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</si>
  <si>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</si>
  <si>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</si>
  <si>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</si>
  <si>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</si>
  <si>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</si>
  <si>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</si>
  <si>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</si>
  <si>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</si>
  <si>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</si>
  <si>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</si>
  <si>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</si>
  <si>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</si>
  <si>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</si>
  <si>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</si>
  <si>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</si>
  <si>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</si>
  <si>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</si>
  <si>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</si>
  <si>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</si>
  <si>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</si>
  <si>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</si>
  <si>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</si>
  <si>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</si>
  <si>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</si>
  <si>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</si>
  <si>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</si>
  <si>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</si>
  <si>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</si>
  <si>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UNH owner-FCF component DCF: base case (millions, USD)</t>
  </si>
  <si>
    <t xml:space="preserve">UNH owner-FCF component DCF: bull case (millions, USD)</t>
  </si>
  <si>
    <t xml:space="preserve">UNH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</si>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</sst>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371.9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20810</v>
      </c>
      <c r="S2" s="0" t="n">
        <v>10320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75431</v>
      </c>
      <c r="F3" s="0" t="n">
        <v>7849</v>
      </c>
      <c r="G3" s="0" t="n">
        <v>10.405536185388</v>
      </c>
      <c r="H3" s="0" t="n">
        <v>8645</v>
      </c>
      <c r="I3" s="0" t="n">
        <v>4654</v>
      </c>
      <c r="J3" s="0" t="n">
        <v>6.16987710622953</v>
      </c>
      <c r="K3" s="0" t="n">
        <v>3.55</v>
      </c>
      <c r="L3" s="0" t="n">
        <v>5877</v>
      </c>
      <c r="M3" s="0" t="n">
        <v>871</v>
      </c>
      <c r="N3" s="0" t="n">
        <v>5006</v>
      </c>
      <c r="O3" s="0" t="n">
        <v>20063</v>
      </c>
      <c r="S3" s="0" t="n">
        <v>8865</v>
      </c>
      <c r="T3" s="0" t="n">
        <v>1361</v>
      </c>
      <c r="U3" s="0" t="n">
        <v>505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81186</v>
      </c>
      <c r="F4" s="0" t="n">
        <v>5263</v>
      </c>
      <c r="G4" s="0" t="n">
        <v>6.48264479097381</v>
      </c>
      <c r="H4" s="0" t="n">
        <v>6244</v>
      </c>
      <c r="I4" s="0" t="n">
        <v>2977</v>
      </c>
      <c r="J4" s="0" t="n">
        <v>3.66688837976991</v>
      </c>
      <c r="K4" s="0" t="n">
        <v>2.45</v>
      </c>
      <c r="L4" s="0" t="n">
        <v>4238</v>
      </c>
      <c r="M4" s="0" t="n">
        <v>791</v>
      </c>
      <c r="N4" s="0" t="n">
        <v>3447</v>
      </c>
      <c r="O4" s="0" t="n">
        <v>20780</v>
      </c>
      <c r="P4" s="0" t="n">
        <v>55815</v>
      </c>
      <c r="Q4" s="0" t="n">
        <v>35035</v>
      </c>
      <c r="R4" s="0" t="n">
        <v>12794</v>
      </c>
      <c r="S4" s="0" t="n">
        <v>7426</v>
      </c>
      <c r="T4" s="0" t="n">
        <v>1241</v>
      </c>
      <c r="U4" s="0" t="n">
        <v>305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87138</v>
      </c>
      <c r="F5" s="0" t="n">
        <v>6359</v>
      </c>
      <c r="G5" s="0" t="n">
        <v>7.29761986733687</v>
      </c>
      <c r="H5" s="0" t="n">
        <v>7350</v>
      </c>
      <c r="I5" s="0" t="n">
        <v>3822</v>
      </c>
      <c r="J5" s="0" t="n">
        <v>4.38614611306204</v>
      </c>
      <c r="K5" s="0" t="n">
        <v>3.27</v>
      </c>
      <c r="L5" s="0" t="n">
        <v>5625</v>
      </c>
      <c r="M5" s="0" t="n">
        <v>739</v>
      </c>
      <c r="N5" s="0" t="n">
        <v>4886</v>
      </c>
      <c r="O5" s="0" t="n">
        <v>23606</v>
      </c>
      <c r="P5" s="0" t="n">
        <v>59045</v>
      </c>
      <c r="Q5" s="0" t="n">
        <v>35439</v>
      </c>
      <c r="R5" s="0" t="n">
        <v>11173</v>
      </c>
      <c r="S5" s="0" t="n">
        <v>9800</v>
      </c>
      <c r="T5" s="0" t="n">
        <v>1179</v>
      </c>
      <c r="U5" s="0" t="n">
        <v>334</v>
      </c>
      <c r="V5" s="0" t="n">
        <v>0.03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94155</v>
      </c>
      <c r="F6" s="0" t="n">
        <v>7864</v>
      </c>
      <c r="G6" s="0" t="n">
        <v>8.35218522648824</v>
      </c>
      <c r="H6" s="0" t="n">
        <v>8928</v>
      </c>
      <c r="I6" s="0" t="n">
        <v>4634</v>
      </c>
      <c r="J6" s="0" t="n">
        <v>4.92167171153948</v>
      </c>
      <c r="K6" s="0" t="n">
        <v>4.14</v>
      </c>
      <c r="L6" s="0" t="n">
        <v>6273</v>
      </c>
      <c r="M6" s="0" t="n">
        <v>878</v>
      </c>
      <c r="N6" s="0" t="n">
        <v>5395</v>
      </c>
      <c r="O6" s="0" t="n">
        <v>25825</v>
      </c>
      <c r="P6" s="0" t="n">
        <v>63063</v>
      </c>
      <c r="Q6" s="0" t="n">
        <v>37238</v>
      </c>
      <c r="R6" s="0" t="n">
        <v>11142</v>
      </c>
      <c r="S6" s="0" t="n">
        <v>9123</v>
      </c>
      <c r="T6" s="0" t="n">
        <v>1131</v>
      </c>
      <c r="U6" s="0" t="n">
        <v>326</v>
      </c>
      <c r="V6" s="0" t="n">
        <v>0.405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101862</v>
      </c>
      <c r="F7" s="0" t="n">
        <v>8464</v>
      </c>
      <c r="G7" s="0" t="n">
        <v>8.30928118434745</v>
      </c>
      <c r="H7" s="0" t="n">
        <v>9588</v>
      </c>
      <c r="I7" s="0" t="n">
        <v>5142</v>
      </c>
      <c r="J7" s="0" t="n">
        <v>5.04800612593509</v>
      </c>
      <c r="K7" s="0" t="n">
        <v>4.81</v>
      </c>
      <c r="L7" s="0" t="n">
        <v>6968</v>
      </c>
      <c r="M7" s="0" t="n">
        <v>1067</v>
      </c>
      <c r="N7" s="0" t="n">
        <v>5901</v>
      </c>
      <c r="O7" s="0" t="n">
        <v>28292</v>
      </c>
      <c r="P7" s="0" t="n">
        <v>67889</v>
      </c>
      <c r="Q7" s="0" t="n">
        <v>39597</v>
      </c>
      <c r="R7" s="0" t="n">
        <v>11638</v>
      </c>
      <c r="S7" s="0" t="n">
        <v>9429</v>
      </c>
      <c r="T7" s="0" t="n">
        <v>1087</v>
      </c>
      <c r="U7" s="0" t="n">
        <v>401</v>
      </c>
      <c r="V7" s="0" t="n">
        <v>0.6125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110618</v>
      </c>
      <c r="F8" s="0" t="n">
        <v>9254</v>
      </c>
      <c r="G8" s="0" t="n">
        <v>8.36572709685585</v>
      </c>
      <c r="H8" s="0" t="n">
        <v>10563</v>
      </c>
      <c r="I8" s="0" t="n">
        <v>5526</v>
      </c>
      <c r="J8" s="0" t="n">
        <v>4.99557034117413</v>
      </c>
      <c r="K8" s="0" t="n">
        <v>5.38</v>
      </c>
      <c r="L8" s="0" t="n">
        <v>7155</v>
      </c>
      <c r="M8" s="0" t="n">
        <v>1070</v>
      </c>
      <c r="N8" s="0" t="n">
        <v>6085</v>
      </c>
      <c r="O8" s="0" t="n">
        <v>31178</v>
      </c>
      <c r="P8" s="0" t="n">
        <v>80885</v>
      </c>
      <c r="Q8" s="0" t="n">
        <v>47586</v>
      </c>
      <c r="R8" s="0" t="n">
        <v>16754</v>
      </c>
      <c r="S8" s="0" t="n">
        <v>8406</v>
      </c>
      <c r="T8" s="0" t="n">
        <v>1046</v>
      </c>
      <c r="U8" s="0" t="n">
        <v>421</v>
      </c>
      <c r="V8" s="0" t="n">
        <v>0.8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122489</v>
      </c>
      <c r="F9" s="0" t="n">
        <v>9623</v>
      </c>
      <c r="G9" s="0" t="n">
        <v>7.85621566018173</v>
      </c>
      <c r="H9" s="0" t="n">
        <v>10998</v>
      </c>
      <c r="I9" s="0" t="n">
        <v>5673</v>
      </c>
      <c r="J9" s="0" t="n">
        <v>4.63143629223849</v>
      </c>
      <c r="K9" s="0" t="n">
        <v>5.59</v>
      </c>
      <c r="L9" s="0" t="n">
        <v>6991</v>
      </c>
      <c r="M9" s="0" t="n">
        <v>1307</v>
      </c>
      <c r="N9" s="0" t="n">
        <v>5684</v>
      </c>
      <c r="O9" s="0" t="n">
        <v>32149</v>
      </c>
      <c r="P9" s="0" t="n">
        <v>81882</v>
      </c>
      <c r="Q9" s="0" t="n">
        <v>48558</v>
      </c>
      <c r="R9" s="0" t="n">
        <v>16860</v>
      </c>
      <c r="S9" s="0" t="n">
        <v>7276</v>
      </c>
      <c r="T9" s="0" t="n">
        <v>1023</v>
      </c>
      <c r="U9" s="0" t="n">
        <v>331</v>
      </c>
      <c r="V9" s="0" t="n">
        <v>1.0525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130474</v>
      </c>
      <c r="F10" s="0" t="n">
        <v>10274</v>
      </c>
      <c r="G10" s="0" t="n">
        <v>7.87436577402394</v>
      </c>
      <c r="H10" s="0" t="n">
        <v>11752</v>
      </c>
      <c r="I10" s="0" t="n">
        <v>5619</v>
      </c>
      <c r="J10" s="0" t="n">
        <v>4.30660514738569</v>
      </c>
      <c r="K10" s="0" t="n">
        <v>5.78</v>
      </c>
      <c r="L10" s="0" t="n">
        <v>8051</v>
      </c>
      <c r="M10" s="0" t="n">
        <v>1525</v>
      </c>
      <c r="N10" s="0" t="n">
        <v>6526</v>
      </c>
      <c r="O10" s="0" t="n">
        <v>32454</v>
      </c>
      <c r="P10" s="0" t="n">
        <v>86300</v>
      </c>
      <c r="Q10" s="0" t="n">
        <v>52540</v>
      </c>
      <c r="R10" s="0" t="n">
        <v>17406</v>
      </c>
      <c r="S10" s="0" t="n">
        <v>7495</v>
      </c>
      <c r="T10" s="0" t="n">
        <v>986</v>
      </c>
      <c r="U10" s="0" t="n">
        <v>364</v>
      </c>
      <c r="V10" s="0" t="n">
        <v>1.405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157107</v>
      </c>
      <c r="F11" s="0" t="n">
        <v>11021</v>
      </c>
      <c r="G11" s="0" t="n">
        <v>7.01496432367749</v>
      </c>
      <c r="H11" s="0" t="n">
        <v>12714</v>
      </c>
      <c r="I11" s="0" t="n">
        <v>5868</v>
      </c>
      <c r="J11" s="0" t="n">
        <v>3.73503408505032</v>
      </c>
      <c r="K11" s="0" t="n">
        <v>6.1</v>
      </c>
      <c r="L11" s="0" t="n">
        <v>9740</v>
      </c>
      <c r="M11" s="0" t="n">
        <v>1556</v>
      </c>
      <c r="N11" s="0" t="n">
        <v>8184</v>
      </c>
      <c r="O11" s="0" t="n">
        <v>33725</v>
      </c>
      <c r="P11" s="0" t="n">
        <v>111254</v>
      </c>
      <c r="Q11" s="0" t="n">
        <v>75793</v>
      </c>
      <c r="R11" s="0" t="n">
        <v>31965</v>
      </c>
      <c r="S11" s="0" t="n">
        <v>10923</v>
      </c>
      <c r="T11" s="0" t="n">
        <v>967</v>
      </c>
      <c r="U11" s="0" t="n">
        <v>406</v>
      </c>
      <c r="V11" s="0" t="n">
        <v>1.875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184840</v>
      </c>
      <c r="C12" s="0" t="n">
        <v>24416</v>
      </c>
      <c r="F12" s="0" t="n">
        <v>12930</v>
      </c>
      <c r="G12" s="0" t="n">
        <v>6.99523912573036</v>
      </c>
      <c r="H12" s="0" t="n">
        <v>14985</v>
      </c>
      <c r="I12" s="0" t="n">
        <v>7073</v>
      </c>
      <c r="J12" s="0" t="n">
        <v>3.82655269422203</v>
      </c>
      <c r="K12" s="0" t="n">
        <v>7.37</v>
      </c>
      <c r="L12" s="0" t="n">
        <v>9795</v>
      </c>
      <c r="M12" s="0" t="n">
        <v>1705</v>
      </c>
      <c r="N12" s="0" t="n">
        <v>8090</v>
      </c>
      <c r="O12" s="0" t="n">
        <v>38177</v>
      </c>
      <c r="P12" s="0" t="n">
        <v>122810</v>
      </c>
      <c r="Q12" s="0" t="n">
        <v>82621</v>
      </c>
      <c r="R12" s="0" t="n">
        <v>32970</v>
      </c>
      <c r="S12" s="0" t="n">
        <v>10430</v>
      </c>
      <c r="T12" s="0" t="n">
        <v>968</v>
      </c>
      <c r="U12" s="0" t="n">
        <v>485</v>
      </c>
      <c r="V12" s="0" t="n">
        <v>2.375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201159</v>
      </c>
      <c r="C13" s="0" t="n">
        <v>24112</v>
      </c>
      <c r="F13" s="0" t="n">
        <v>15209</v>
      </c>
      <c r="G13" s="0" t="n">
        <v>7.56068582564041</v>
      </c>
      <c r="H13" s="0" t="n">
        <v>17454</v>
      </c>
      <c r="I13" s="0" t="n">
        <v>10823</v>
      </c>
      <c r="J13" s="0" t="n">
        <v>5.38032103957566</v>
      </c>
      <c r="K13" s="0" t="n">
        <v>10.95</v>
      </c>
      <c r="L13" s="0" t="n">
        <v>13596</v>
      </c>
      <c r="M13" s="0" t="n">
        <v>2023</v>
      </c>
      <c r="N13" s="0" t="n">
        <v>11573</v>
      </c>
      <c r="O13" s="0" t="n">
        <v>49833</v>
      </c>
      <c r="P13" s="0" t="n">
        <v>139058</v>
      </c>
      <c r="Q13" s="0" t="n">
        <v>87036</v>
      </c>
      <c r="R13" s="0" t="n">
        <v>31692</v>
      </c>
      <c r="S13" s="0" t="n">
        <v>11981</v>
      </c>
      <c r="T13" s="0" t="n">
        <v>985</v>
      </c>
      <c r="U13" s="0" t="n">
        <v>597</v>
      </c>
      <c r="V13" s="0" t="n">
        <v>2.875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226247</v>
      </c>
      <c r="C14" s="0" t="n">
        <v>26998</v>
      </c>
      <c r="F14" s="0" t="n">
        <v>17344</v>
      </c>
      <c r="G14" s="0" t="n">
        <v>7.66595800165306</v>
      </c>
      <c r="H14" s="0" t="n">
        <v>19772</v>
      </c>
      <c r="I14" s="0" t="n">
        <v>12382</v>
      </c>
      <c r="J14" s="0" t="n">
        <v>5.47277974956574</v>
      </c>
      <c r="K14" s="0" t="n">
        <v>12.45</v>
      </c>
      <c r="L14" s="0" t="n">
        <v>15713</v>
      </c>
      <c r="M14" s="0" t="n">
        <v>2063</v>
      </c>
      <c r="N14" s="0" t="n">
        <v>13650</v>
      </c>
      <c r="O14" s="0" t="n">
        <v>54319</v>
      </c>
      <c r="P14" s="0" t="n">
        <v>152221</v>
      </c>
      <c r="Q14" s="0" t="n">
        <v>95994</v>
      </c>
      <c r="R14" s="0" t="n">
        <v>36554</v>
      </c>
      <c r="S14" s="0" t="n">
        <v>10866</v>
      </c>
      <c r="T14" s="0" t="n">
        <v>983</v>
      </c>
      <c r="U14" s="0" t="n">
        <v>638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242155</v>
      </c>
      <c r="C15" s="0" t="n">
        <v>28117</v>
      </c>
      <c r="F15" s="0" t="n">
        <v>19685</v>
      </c>
      <c r="G15" s="0" t="n">
        <v>8.12909087154922</v>
      </c>
      <c r="H15" s="0" t="n">
        <v>22405</v>
      </c>
      <c r="I15" s="0" t="n">
        <v>14239</v>
      </c>
      <c r="J15" s="0" t="n">
        <v>5.88011810617167</v>
      </c>
      <c r="K15" s="0" t="n">
        <v>14.55</v>
      </c>
      <c r="L15" s="0" t="n">
        <v>18463</v>
      </c>
      <c r="M15" s="0" t="n">
        <v>2071</v>
      </c>
      <c r="N15" s="0" t="n">
        <v>16392</v>
      </c>
      <c r="O15" s="0" t="n">
        <v>60436</v>
      </c>
      <c r="P15" s="0" t="n">
        <v>173889</v>
      </c>
      <c r="Q15" s="0" t="n">
        <v>111727</v>
      </c>
      <c r="R15" s="0" t="n">
        <v>40678</v>
      </c>
      <c r="S15" s="0" t="n">
        <v>10985</v>
      </c>
      <c r="T15" s="0" t="n">
        <v>966</v>
      </c>
      <c r="U15" s="0" t="n">
        <v>697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257141</v>
      </c>
      <c r="C16" s="0" t="n">
        <v>30745</v>
      </c>
      <c r="F16" s="0" t="n">
        <v>22405</v>
      </c>
      <c r="G16" s="0" t="n">
        <v>8.71311848363349</v>
      </c>
      <c r="H16" s="0" t="n">
        <v>25296</v>
      </c>
      <c r="I16" s="0" t="n">
        <v>15769</v>
      </c>
      <c r="J16" s="0" t="n">
        <v>6.13243317868407</v>
      </c>
      <c r="K16" s="0" t="n">
        <v>16.23</v>
      </c>
      <c r="L16" s="0" t="n">
        <v>22174</v>
      </c>
      <c r="M16" s="0" t="n">
        <v>2051</v>
      </c>
      <c r="N16" s="0" t="n">
        <v>20123</v>
      </c>
      <c r="O16" s="0" t="n">
        <v>68328</v>
      </c>
      <c r="P16" s="0" t="n">
        <v>197289</v>
      </c>
      <c r="Q16" s="0" t="n">
        <v>126750</v>
      </c>
      <c r="R16" s="0" t="n">
        <v>43467</v>
      </c>
      <c r="S16" s="0" t="n">
        <v>16921</v>
      </c>
      <c r="T16" s="0" t="n">
        <v>961</v>
      </c>
      <c r="U16" s="0" t="n">
        <v>679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287597</v>
      </c>
      <c r="C17" s="0" t="n">
        <v>31034</v>
      </c>
      <c r="F17" s="0" t="n">
        <v>23970</v>
      </c>
      <c r="G17" s="0" t="n">
        <v>8.33457928977006</v>
      </c>
      <c r="H17" s="0" t="n">
        <v>27073</v>
      </c>
      <c r="I17" s="0" t="n">
        <v>17732</v>
      </c>
      <c r="J17" s="0" t="n">
        <v>6.16557196354621</v>
      </c>
      <c r="K17" s="0" t="n">
        <v>18.33</v>
      </c>
      <c r="L17" s="0" t="n">
        <v>22343</v>
      </c>
      <c r="M17" s="0" t="n">
        <v>2454</v>
      </c>
      <c r="N17" s="0" t="n">
        <v>19889</v>
      </c>
      <c r="O17" s="0" t="n">
        <v>75045</v>
      </c>
      <c r="P17" s="0" t="n">
        <v>212206</v>
      </c>
      <c r="Q17" s="0" t="n">
        <v>135727</v>
      </c>
      <c r="R17" s="0" t="n">
        <v>46003</v>
      </c>
      <c r="S17" s="0" t="n">
        <v>21375</v>
      </c>
      <c r="T17" s="0" t="n">
        <v>956</v>
      </c>
      <c r="U17" s="0" t="n">
        <v>800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324162</v>
      </c>
      <c r="C18" s="0" t="n">
        <v>33703</v>
      </c>
      <c r="F18" s="0" t="n">
        <v>28435</v>
      </c>
      <c r="G18" s="0" t="n">
        <v>8.77184864357945</v>
      </c>
      <c r="H18" s="0" t="n">
        <v>31835</v>
      </c>
      <c r="I18" s="0" t="n">
        <v>20639</v>
      </c>
      <c r="J18" s="0" t="n">
        <v>6.36687828925044</v>
      </c>
      <c r="K18" s="0" t="n">
        <v>21.47</v>
      </c>
      <c r="L18" s="0" t="n">
        <v>26206</v>
      </c>
      <c r="M18" s="0" t="n">
        <v>2802</v>
      </c>
      <c r="N18" s="0" t="n">
        <v>23404</v>
      </c>
      <c r="O18" s="0" t="n">
        <v>81450</v>
      </c>
      <c r="P18" s="0" t="n">
        <v>245705</v>
      </c>
      <c r="Q18" s="0" t="n">
        <v>159358</v>
      </c>
      <c r="R18" s="0" t="n">
        <v>57623</v>
      </c>
      <c r="S18" s="0" t="n">
        <v>23365</v>
      </c>
      <c r="T18" s="0" t="n">
        <v>950</v>
      </c>
      <c r="U18" s="0" t="n">
        <v>925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371622</v>
      </c>
      <c r="C19" s="0" t="n">
        <v>38770</v>
      </c>
      <c r="F19" s="0" t="n">
        <v>32358</v>
      </c>
      <c r="G19" s="0" t="n">
        <v>8.70723477081551</v>
      </c>
      <c r="H19" s="0" t="n">
        <v>36330</v>
      </c>
      <c r="I19" s="0" t="n">
        <v>23144</v>
      </c>
      <c r="J19" s="0" t="n">
        <v>6.227833658933</v>
      </c>
      <c r="K19" s="0" t="n">
        <v>24.12</v>
      </c>
      <c r="L19" s="0" t="n">
        <v>29068</v>
      </c>
      <c r="M19" s="0" t="n">
        <v>3386</v>
      </c>
      <c r="N19" s="0" t="n">
        <v>25682</v>
      </c>
      <c r="O19" s="0" t="n">
        <v>94421</v>
      </c>
      <c r="P19" s="0" t="n">
        <v>273720</v>
      </c>
      <c r="Q19" s="0" t="n">
        <v>174801</v>
      </c>
      <c r="R19" s="0" t="n">
        <v>62537</v>
      </c>
      <c r="S19" s="0" t="n">
        <v>25427</v>
      </c>
      <c r="T19" s="0" t="n">
        <v>938</v>
      </c>
      <c r="U19" s="0" t="n">
        <v>1059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400278</v>
      </c>
      <c r="C20" s="0" t="n">
        <v>46694</v>
      </c>
      <c r="F20" s="0" t="n">
        <v>32287</v>
      </c>
      <c r="G20" s="0" t="n">
        <v>8.06614402989922</v>
      </c>
      <c r="H20" s="0" t="n">
        <v>36386</v>
      </c>
      <c r="I20" s="0" t="n">
        <v>15242</v>
      </c>
      <c r="J20" s="0" t="n">
        <v>3.80785354178846</v>
      </c>
      <c r="K20" s="0" t="n">
        <v>15.64</v>
      </c>
      <c r="L20" s="0" t="n">
        <v>24204</v>
      </c>
      <c r="M20" s="0" t="n">
        <v>3499</v>
      </c>
      <c r="N20" s="0" t="n">
        <v>20705</v>
      </c>
      <c r="O20" s="0" t="n">
        <v>98268</v>
      </c>
      <c r="P20" s="0" t="n">
        <v>298278</v>
      </c>
      <c r="Q20" s="0" t="n">
        <v>195687</v>
      </c>
      <c r="R20" s="0" t="n">
        <v>76904</v>
      </c>
      <c r="S20" s="0" t="n">
        <v>25312</v>
      </c>
      <c r="T20" s="0" t="n">
        <v>929</v>
      </c>
      <c r="U20" s="0" t="n">
        <v>1018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447567</v>
      </c>
      <c r="C21" s="0" t="n">
        <v>50655</v>
      </c>
      <c r="F21" s="0" t="n">
        <v>18964</v>
      </c>
      <c r="G21" s="0" t="n">
        <v>4.23713097703808</v>
      </c>
      <c r="H21" s="0" t="n">
        <v>23325</v>
      </c>
      <c r="I21" s="0" t="n">
        <v>12807</v>
      </c>
      <c r="J21" s="0" t="n">
        <v>2.86147101998137</v>
      </c>
      <c r="K21" s="0" t="n">
        <v>13.28</v>
      </c>
      <c r="L21" s="0" t="n">
        <v>19697</v>
      </c>
      <c r="M21" s="0" t="n">
        <v>3622</v>
      </c>
      <c r="N21" s="0" t="n">
        <v>16075</v>
      </c>
      <c r="O21" s="0" t="n">
        <v>100090</v>
      </c>
      <c r="P21" s="0" t="n">
        <v>309581</v>
      </c>
      <c r="Q21" s="0" t="n">
        <v>207883</v>
      </c>
      <c r="R21" s="0" t="n">
        <v>78389</v>
      </c>
      <c r="S21" s="0" t="n">
        <v>24365</v>
      </c>
      <c r="T21" s="0" t="n">
        <v>911</v>
      </c>
      <c r="U21" s="0" t="n">
        <v>971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371.9</v>
      </c>
    </row>
    <row r="3" customFormat="false" ht="15" hidden="false" customHeight="false" outlineLevel="0" collapsed="false">
      <c r="A3" s="0" t="s">
        <v>86</v>
      </c>
      <c r="B3" s="3" t="n">
        <v>906</v>
      </c>
    </row>
    <row r="4" customFormat="false" ht="15" hidden="false" customHeight="false" outlineLevel="0" collapsed="false">
      <c r="A4" s="0" t="s">
        <v>87</v>
      </c>
      <c r="B4" s="3" t="n">
        <v>44743</v>
      </c>
    </row>
    <row r="5" customFormat="false" ht="15" hidden="false" customHeight="false" outlineLevel="0" collapsed="false">
      <c r="A5" s="0" t="s">
        <v>88</v>
      </c>
      <c r="B5" s="3" t="n">
        <v>-12000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447567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0</v>
      </c>
      <c r="D13" s="3" t="n">
        <v>2</v>
      </c>
      <c r="E13" s="3" t="n">
        <v>4</v>
      </c>
      <c r="F13" s="3" t="n">
        <v>4.5</v>
      </c>
      <c r="G13" s="3" t="n">
        <v>4.5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6.4</v>
      </c>
      <c r="D14" s="3" t="n">
        <v>6.5</v>
      </c>
      <c r="E14" s="3" t="n">
        <v>6.6</v>
      </c>
      <c r="F14" s="3" t="n">
        <v>6.7</v>
      </c>
      <c r="G14" s="3" t="n">
        <v>6.8</v>
      </c>
      <c r="H14" s="3" t="n">
        <v>6.8</v>
      </c>
      <c r="I14" s="3" t="n">
        <v>6.8</v>
      </c>
      <c r="J14" s="3" t="n">
        <v>6.8</v>
      </c>
      <c r="K14" s="3" t="n">
        <v>6.8</v>
      </c>
      <c r="L14" s="3" t="n">
        <v>6.8</v>
      </c>
    </row>
    <row r="15" customFormat="false" ht="15" hidden="false" customHeight="false" outlineLevel="0" collapsed="false">
      <c r="A15" s="0" t="s">
        <v>108</v>
      </c>
      <c r="C15" s="3" t="n">
        <v>0.24</v>
      </c>
      <c r="D15" s="3" t="n">
        <v>0.24</v>
      </c>
      <c r="E15" s="3" t="n">
        <v>0.24</v>
      </c>
      <c r="F15" s="3" t="n">
        <v>0.23</v>
      </c>
      <c r="G15" s="3" t="n">
        <v>0.23</v>
      </c>
      <c r="H15" s="3" t="n">
        <v>0.23</v>
      </c>
      <c r="I15" s="3" t="n">
        <v>0.22</v>
      </c>
      <c r="J15" s="3" t="n">
        <v>0.22</v>
      </c>
      <c r="K15" s="3" t="n">
        <v>0.22</v>
      </c>
      <c r="L15" s="3" t="n">
        <v>0.22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0.93</v>
      </c>
      <c r="D17" s="3" t="n">
        <v>0.93</v>
      </c>
      <c r="E17" s="3" t="n">
        <v>0.93</v>
      </c>
      <c r="F17" s="3" t="n">
        <v>0.93</v>
      </c>
      <c r="G17" s="3" t="n">
        <v>0.93</v>
      </c>
      <c r="H17" s="3" t="n">
        <v>0.93</v>
      </c>
      <c r="I17" s="3" t="n">
        <v>0.93</v>
      </c>
      <c r="J17" s="3" t="n">
        <v>0.93</v>
      </c>
      <c r="K17" s="3" t="n">
        <v>0.93</v>
      </c>
      <c r="L17" s="3" t="n">
        <v>0.93</v>
      </c>
    </row>
    <row r="18" customFormat="false" ht="15" hidden="false" customHeight="false" outlineLevel="0" collapsed="false">
      <c r="A18" s="0" t="s">
        <v>111</v>
      </c>
      <c r="C18" s="3" t="n">
        <v>0.78</v>
      </c>
      <c r="D18" s="3" t="n">
        <v>0.8</v>
      </c>
      <c r="E18" s="3" t="n">
        <v>0.82</v>
      </c>
      <c r="F18" s="3" t="n">
        <v>0.82</v>
      </c>
      <c r="G18" s="3" t="n">
        <v>0.82</v>
      </c>
      <c r="H18" s="3" t="n">
        <v>0.82</v>
      </c>
      <c r="I18" s="3" t="n">
        <v>0.82</v>
      </c>
      <c r="J18" s="3" t="n">
        <v>0.82</v>
      </c>
      <c r="K18" s="3" t="n">
        <v>0.82</v>
      </c>
      <c r="L18" s="3" t="n">
        <v>0.82</v>
      </c>
    </row>
    <row r="19" customFormat="false" ht="15" hidden="false" customHeight="false" outlineLevel="0" collapsed="false">
      <c r="A19" s="0" t="s">
        <v>112</v>
      </c>
      <c r="C19" s="3" t="n">
        <v>20</v>
      </c>
      <c r="D19" s="3" t="n">
        <v>21.5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0.5</v>
      </c>
      <c r="D27" s="3" t="n">
        <v>5</v>
      </c>
      <c r="E27" s="3" t="n">
        <v>6.5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6.75</v>
      </c>
      <c r="D28" s="3" t="n">
        <v>7.3</v>
      </c>
      <c r="E28" s="3" t="n">
        <v>7.6</v>
      </c>
      <c r="F28" s="3" t="n">
        <v>7.8</v>
      </c>
      <c r="G28" s="3" t="n">
        <v>7.8</v>
      </c>
      <c r="H28" s="3" t="n">
        <v>7.8</v>
      </c>
      <c r="I28" s="3" t="n">
        <v>7.8</v>
      </c>
      <c r="J28" s="3" t="n">
        <v>7.8</v>
      </c>
      <c r="K28" s="3" t="n">
        <v>7.8</v>
      </c>
      <c r="L28" s="3" t="n">
        <v>7.8</v>
      </c>
    </row>
    <row r="29" customFormat="false" ht="15" hidden="false" customHeight="false" outlineLevel="0" collapsed="false">
      <c r="A29" s="0" t="s">
        <v>108</v>
      </c>
      <c r="C29" s="3" t="n">
        <v>0.24</v>
      </c>
      <c r="D29" s="3" t="n">
        <v>0.24</v>
      </c>
      <c r="E29" s="3" t="n">
        <v>0.24</v>
      </c>
      <c r="F29" s="3" t="n">
        <v>0.23</v>
      </c>
      <c r="G29" s="3" t="n">
        <v>0.23</v>
      </c>
      <c r="H29" s="3" t="n">
        <v>0.23</v>
      </c>
      <c r="I29" s="3" t="n">
        <v>0.22</v>
      </c>
      <c r="J29" s="3" t="n">
        <v>0.22</v>
      </c>
      <c r="K29" s="3" t="n">
        <v>0.22</v>
      </c>
      <c r="L29" s="3" t="n">
        <v>0.22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0.93</v>
      </c>
      <c r="D31" s="3" t="n">
        <v>0.93</v>
      </c>
      <c r="E31" s="3" t="n">
        <v>0.93</v>
      </c>
      <c r="F31" s="3" t="n">
        <v>0.93</v>
      </c>
      <c r="G31" s="3" t="n">
        <v>0.93</v>
      </c>
      <c r="H31" s="3" t="n">
        <v>0.93</v>
      </c>
      <c r="I31" s="3" t="n">
        <v>0.93</v>
      </c>
      <c r="J31" s="3" t="n">
        <v>0.93</v>
      </c>
      <c r="K31" s="3" t="n">
        <v>0.93</v>
      </c>
      <c r="L31" s="3" t="n">
        <v>0.93</v>
      </c>
    </row>
    <row r="32" customFormat="false" ht="15" hidden="false" customHeight="false" outlineLevel="0" collapsed="false">
      <c r="A32" s="0" t="s">
        <v>111</v>
      </c>
      <c r="C32" s="3" t="n">
        <v>0.78</v>
      </c>
      <c r="D32" s="3" t="n">
        <v>0.8</v>
      </c>
      <c r="E32" s="3" t="n">
        <v>0.82</v>
      </c>
      <c r="F32" s="3" t="n">
        <v>0.82</v>
      </c>
      <c r="G32" s="3" t="n">
        <v>0.82</v>
      </c>
      <c r="H32" s="3" t="n">
        <v>0.82</v>
      </c>
      <c r="I32" s="3" t="n">
        <v>0.82</v>
      </c>
      <c r="J32" s="3" t="n">
        <v>0.82</v>
      </c>
      <c r="K32" s="3" t="n">
        <v>0.82</v>
      </c>
      <c r="L32" s="3" t="n">
        <v>0.82</v>
      </c>
    </row>
    <row r="33" customFormat="false" ht="15" hidden="false" customHeight="false" outlineLevel="0" collapsed="false">
      <c r="A33" s="0" t="s">
        <v>112</v>
      </c>
      <c r="C33" s="3" t="n">
        <v>20</v>
      </c>
      <c r="D33" s="3" t="n">
        <v>21.5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17</v>
      </c>
    </row>
    <row r="37" customFormat="false" ht="15" hidden="false" customHeight="false" outlineLevel="0" collapsed="false">
      <c r="A37" s="0" t="s">
        <v>116</v>
      </c>
      <c r="B37" s="3" t="n">
        <v>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</v>
      </c>
      <c r="D41" s="3" t="n">
        <v>7</v>
      </c>
      <c r="E41" s="3" t="n">
        <v>8</v>
      </c>
      <c r="F41" s="3" t="n">
        <v>8</v>
      </c>
      <c r="G41" s="3" t="n">
        <v>7.5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7</v>
      </c>
      <c r="D42" s="3" t="n">
        <v>8</v>
      </c>
      <c r="E42" s="3" t="n">
        <v>8.5</v>
      </c>
      <c r="F42" s="3" t="n">
        <v>8.8</v>
      </c>
      <c r="G42" s="3" t="n">
        <v>9</v>
      </c>
      <c r="H42" s="3" t="n">
        <v>9</v>
      </c>
      <c r="I42" s="3" t="n">
        <v>9</v>
      </c>
      <c r="J42" s="3" t="n">
        <v>9</v>
      </c>
      <c r="K42" s="3" t="n">
        <v>9</v>
      </c>
      <c r="L42" s="3" t="n">
        <v>9</v>
      </c>
    </row>
    <row r="43" customFormat="false" ht="15" hidden="false" customHeight="false" outlineLevel="0" collapsed="false">
      <c r="A43" s="0" t="s">
        <v>108</v>
      </c>
      <c r="C43" s="3" t="n">
        <v>0.24</v>
      </c>
      <c r="D43" s="3" t="n">
        <v>0.24</v>
      </c>
      <c r="E43" s="3" t="n">
        <v>0.24</v>
      </c>
      <c r="F43" s="3" t="n">
        <v>0.23</v>
      </c>
      <c r="G43" s="3" t="n">
        <v>0.23</v>
      </c>
      <c r="H43" s="3" t="n">
        <v>0.23</v>
      </c>
      <c r="I43" s="3" t="n">
        <v>0.22</v>
      </c>
      <c r="J43" s="3" t="n">
        <v>0.22</v>
      </c>
      <c r="K43" s="3" t="n">
        <v>0.22</v>
      </c>
      <c r="L43" s="3" t="n">
        <v>0.22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0.93</v>
      </c>
      <c r="D45" s="3" t="n">
        <v>0.93</v>
      </c>
      <c r="E45" s="3" t="n">
        <v>0.93</v>
      </c>
      <c r="F45" s="3" t="n">
        <v>0.93</v>
      </c>
      <c r="G45" s="3" t="n">
        <v>0.93</v>
      </c>
      <c r="H45" s="3" t="n">
        <v>0.93</v>
      </c>
      <c r="I45" s="3" t="n">
        <v>0.93</v>
      </c>
      <c r="J45" s="3" t="n">
        <v>0.93</v>
      </c>
      <c r="K45" s="3" t="n">
        <v>0.93</v>
      </c>
      <c r="L45" s="3" t="n">
        <v>0.93</v>
      </c>
    </row>
    <row r="46" customFormat="false" ht="15" hidden="false" customHeight="false" outlineLevel="0" collapsed="false">
      <c r="A46" s="0" t="s">
        <v>111</v>
      </c>
      <c r="C46" s="3" t="n">
        <v>0.78</v>
      </c>
      <c r="D46" s="3" t="n">
        <v>0.8</v>
      </c>
      <c r="E46" s="3" t="n">
        <v>0.82</v>
      </c>
      <c r="F46" s="3" t="n">
        <v>0.82</v>
      </c>
      <c r="G46" s="3" t="n">
        <v>0.82</v>
      </c>
      <c r="H46" s="3" t="n">
        <v>0.82</v>
      </c>
      <c r="I46" s="3" t="n">
        <v>0.82</v>
      </c>
      <c r="J46" s="3" t="n">
        <v>0.82</v>
      </c>
      <c r="K46" s="3" t="n">
        <v>0.82</v>
      </c>
      <c r="L46" s="3" t="n">
        <v>0.82</v>
      </c>
    </row>
    <row r="47" customFormat="false" ht="15" hidden="false" customHeight="false" outlineLevel="0" collapsed="false">
      <c r="A47" s="0" t="s">
        <v>112</v>
      </c>
      <c r="C47" s="3" t="n">
        <v>20</v>
      </c>
      <c r="D47" s="3" t="n">
        <v>21.5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0</v>
      </c>
      <c r="D5" s="4" t="n">
        <f aca="false">Assumptions!D13</f>
        <v>2</v>
      </c>
      <c r="E5" s="4" t="n">
        <f aca="false">Assumptions!E13</f>
        <v>4</v>
      </c>
      <c r="F5" s="4" t="n">
        <f aca="false">Assumptions!F13</f>
        <v>4.5</v>
      </c>
      <c r="G5" s="4" t="n">
        <f aca="false">Assumptions!G13</f>
        <v>4.5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447567</v>
      </c>
      <c r="C6" s="0" t="n">
        <f aca="false">B6*(1+C5/100)</f>
        <v>447567</v>
      </c>
      <c r="D6" s="0" t="n">
        <f aca="false">C6*(1+D5/100)</f>
        <v>456518.34</v>
      </c>
      <c r="E6" s="0" t="n">
        <f aca="false">D6*(1+E5/100)</f>
        <v>474779.0736</v>
      </c>
      <c r="F6" s="0" t="n">
        <f aca="false">E6*(1+F5/100)</f>
        <v>496144.131912</v>
      </c>
      <c r="G6" s="0" t="n">
        <f aca="false">F6*(1+G5/100)</f>
        <v>518470.61784804</v>
      </c>
      <c r="H6" s="0" t="n">
        <f aca="false">G6*(1+H5/100)</f>
        <v>539209.442561962</v>
      </c>
      <c r="I6" s="0" t="n">
        <f aca="false">H6*(1+I5/100)</f>
        <v>558081.77305163</v>
      </c>
      <c r="J6" s="0" t="n">
        <f aca="false">I6*(1+J5/100)</f>
        <v>574824.226243179</v>
      </c>
      <c r="K6" s="0" t="n">
        <f aca="false">J6*(1+K5/100)</f>
        <v>592068.953030475</v>
      </c>
      <c r="L6" s="0" t="n">
        <f aca="false">K6*(1+L5/100)</f>
        <v>609831.021621389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6.4</v>
      </c>
      <c r="D7" s="4" t="n">
        <f aca="false">Assumptions!D14</f>
        <v>6.5</v>
      </c>
      <c r="E7" s="4" t="n">
        <f aca="false">Assumptions!E14</f>
        <v>6.6</v>
      </c>
      <c r="F7" s="4" t="n">
        <f aca="false">Assumptions!F14</f>
        <v>6.7</v>
      </c>
      <c r="G7" s="4" t="n">
        <f aca="false">Assumptions!G14</f>
        <v>6.8</v>
      </c>
      <c r="H7" s="4" t="n">
        <f aca="false">Assumptions!H14</f>
        <v>6.8</v>
      </c>
      <c r="I7" s="4" t="n">
        <f aca="false">Assumptions!I14</f>
        <v>6.8</v>
      </c>
      <c r="J7" s="4" t="n">
        <f aca="false">Assumptions!J14</f>
        <v>6.8</v>
      </c>
      <c r="K7" s="4" t="n">
        <f aca="false">Assumptions!K14</f>
        <v>6.8</v>
      </c>
      <c r="L7" s="4" t="n">
        <f aca="false">Assumptions!L14</f>
        <v>6.8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28644.288</v>
      </c>
      <c r="D8" s="0" t="n">
        <f aca="false">D6*D7/100</f>
        <v>29673.6921</v>
      </c>
      <c r="E8" s="0" t="n">
        <f aca="false">E6*E7/100</f>
        <v>31335.4188576</v>
      </c>
      <c r="F8" s="0" t="n">
        <f aca="false">F6*F7/100</f>
        <v>33241.656838104</v>
      </c>
      <c r="G8" s="0" t="n">
        <f aca="false">G6*G7/100</f>
        <v>35256.0020136667</v>
      </c>
      <c r="H8" s="0" t="n">
        <f aca="false">H6*H7/100</f>
        <v>36666.2420942134</v>
      </c>
      <c r="I8" s="0" t="n">
        <f aca="false">I6*I7/100</f>
        <v>37949.5605675109</v>
      </c>
      <c r="J8" s="0" t="n">
        <f aca="false">J6*J7/100</f>
        <v>39088.0473845362</v>
      </c>
      <c r="K8" s="0" t="n">
        <f aca="false">K6*K7/100</f>
        <v>40260.6888060723</v>
      </c>
      <c r="L8" s="0" t="n">
        <f aca="false">L6*L7/100</f>
        <v>41468.5094702544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0.24</v>
      </c>
      <c r="D9" s="4" t="n">
        <f aca="false">Assumptions!D15</f>
        <v>0.24</v>
      </c>
      <c r="E9" s="4" t="n">
        <f aca="false">Assumptions!E15</f>
        <v>0.24</v>
      </c>
      <c r="F9" s="4" t="n">
        <f aca="false">Assumptions!F15</f>
        <v>0.23</v>
      </c>
      <c r="G9" s="4" t="n">
        <f aca="false">Assumptions!G15</f>
        <v>0.23</v>
      </c>
      <c r="H9" s="4" t="n">
        <f aca="false">Assumptions!H15</f>
        <v>0.23</v>
      </c>
      <c r="I9" s="4" t="n">
        <f aca="false">Assumptions!I15</f>
        <v>0.22</v>
      </c>
      <c r="J9" s="4" t="n">
        <f aca="false">Assumptions!J15</f>
        <v>0.22</v>
      </c>
      <c r="K9" s="4" t="n">
        <f aca="false">Assumptions!K15</f>
        <v>0.22</v>
      </c>
      <c r="L9" s="4" t="n">
        <f aca="false">Assumptions!L15</f>
        <v>0.22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-1074.1608</v>
      </c>
      <c r="D10" s="0" t="n">
        <f aca="false">-D6*D9/100</f>
        <v>-1095.644016</v>
      </c>
      <c r="E10" s="0" t="n">
        <f aca="false">-E6*E9/100</f>
        <v>-1139.46977664</v>
      </c>
      <c r="F10" s="0" t="n">
        <f aca="false">-F6*F9/100</f>
        <v>-1141.1315033976</v>
      </c>
      <c r="G10" s="0" t="n">
        <f aca="false">-G6*G9/100</f>
        <v>-1192.48242105049</v>
      </c>
      <c r="H10" s="0" t="n">
        <f aca="false">-H6*H9/100</f>
        <v>-1240.18171789251</v>
      </c>
      <c r="I10" s="0" t="n">
        <f aca="false">-I6*I9/100</f>
        <v>-1227.77990071359</v>
      </c>
      <c r="J10" s="0" t="n">
        <f aca="false">-J6*J9/100</f>
        <v>-1264.61329773499</v>
      </c>
      <c r="K10" s="0" t="n">
        <f aca="false">-K6*K9/100</f>
        <v>-1302.55169666704</v>
      </c>
      <c r="L10" s="0" t="n">
        <f aca="false">-L6*L9/100</f>
        <v>-1341.62824756706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27570.1272</v>
      </c>
      <c r="D11" s="0" t="n">
        <f aca="false">D8+D10+D24</f>
        <v>28578.048084</v>
      </c>
      <c r="E11" s="0" t="n">
        <f aca="false">E8+E10+E24</f>
        <v>30195.94908096</v>
      </c>
      <c r="F11" s="0" t="n">
        <f aca="false">F8+F10+F24</f>
        <v>32100.5253347064</v>
      </c>
      <c r="G11" s="0" t="n">
        <f aca="false">G8+G10+G24</f>
        <v>34063.5195926162</v>
      </c>
      <c r="H11" s="0" t="n">
        <f aca="false">H8+H10+H24</f>
        <v>35426.0603763209</v>
      </c>
      <c r="I11" s="0" t="n">
        <f aca="false">I8+I10+I24</f>
        <v>36721.7806667973</v>
      </c>
      <c r="J11" s="0" t="n">
        <f aca="false">J8+J10+J24</f>
        <v>37823.4340868012</v>
      </c>
      <c r="K11" s="0" t="n">
        <f aca="false">K8+K10+K24</f>
        <v>38958.1371094052</v>
      </c>
      <c r="L11" s="0" t="n">
        <f aca="false">L8+L10+L24</f>
        <v>40126.8812226874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-4162.3731</v>
      </c>
      <c r="D12" s="4" t="n">
        <f aca="false">-D6*Assumptions!D17/100</f>
        <v>-4245.620562</v>
      </c>
      <c r="E12" s="4" t="n">
        <f aca="false">-E6*Assumptions!E17/100</f>
        <v>-4415.44538448</v>
      </c>
      <c r="F12" s="4" t="n">
        <f aca="false">-F6*Assumptions!F17/100</f>
        <v>-4614.1404267816</v>
      </c>
      <c r="G12" s="4" t="n">
        <f aca="false">-G6*Assumptions!G17/100</f>
        <v>-4821.77674598677</v>
      </c>
      <c r="H12" s="4" t="n">
        <f aca="false">-H6*Assumptions!H17/100</f>
        <v>-5014.64781582624</v>
      </c>
      <c r="I12" s="4" t="n">
        <f aca="false">-I6*Assumptions!I17/100</f>
        <v>-5190.16048938016</v>
      </c>
      <c r="J12" s="4" t="n">
        <f aca="false">-J6*Assumptions!J17/100</f>
        <v>-5345.86530406157</v>
      </c>
      <c r="K12" s="4" t="n">
        <f aca="false">-K6*Assumptions!K17/100</f>
        <v>-5506.24126318341</v>
      </c>
      <c r="L12" s="4" t="n">
        <f aca="false">-L6*Assumptions!L17/100</f>
        <v>-5671.42850107892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23407.7541</v>
      </c>
      <c r="D13" s="0" t="n">
        <f aca="false">D11+D12</f>
        <v>24332.427522</v>
      </c>
      <c r="E13" s="0" t="n">
        <f aca="false">E11+E12</f>
        <v>25780.50369648</v>
      </c>
      <c r="F13" s="0" t="n">
        <f aca="false">F11+F12</f>
        <v>27486.3849079248</v>
      </c>
      <c r="G13" s="0" t="n">
        <f aca="false">G11+G12</f>
        <v>29241.7428466295</v>
      </c>
      <c r="H13" s="0" t="n">
        <f aca="false">H11+H12</f>
        <v>30411.4125604946</v>
      </c>
      <c r="I13" s="0" t="n">
        <f aca="false">I11+I12</f>
        <v>31531.6201774171</v>
      </c>
      <c r="J13" s="0" t="n">
        <f aca="false">J11+J12</f>
        <v>32477.5687827396</v>
      </c>
      <c r="K13" s="0" t="n">
        <f aca="false">K11+K12</f>
        <v>33451.8958462218</v>
      </c>
      <c r="L13" s="0" t="n">
        <f aca="false">L11+L12</f>
        <v>34455.4527216085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20</v>
      </c>
      <c r="D14" s="4" t="n">
        <f aca="false">Assumptions!D19</f>
        <v>21.5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18726.20328</v>
      </c>
      <c r="D15" s="0" t="n">
        <f aca="false">D13-MAX(0,D13)*D14/100</f>
        <v>19100.95560477</v>
      </c>
      <c r="E15" s="0" t="n">
        <f aca="false">E13-MAX(0,E13)*E14/100</f>
        <v>20108.7928832544</v>
      </c>
      <c r="F15" s="0" t="n">
        <f aca="false">F13-MAX(0,F13)*F14/100</f>
        <v>21439.3802281813</v>
      </c>
      <c r="G15" s="0" t="n">
        <f aca="false">G13-MAX(0,G13)*G14/100</f>
        <v>22808.559420371</v>
      </c>
      <c r="H15" s="0" t="n">
        <f aca="false">H13-MAX(0,H13)*H14/100</f>
        <v>23720.9017971858</v>
      </c>
      <c r="I15" s="0" t="n">
        <f aca="false">I13-MAX(0,I13)*I14/100</f>
        <v>24594.6637383853</v>
      </c>
      <c r="J15" s="0" t="n">
        <f aca="false">J13-MAX(0,J13)*J14/100</f>
        <v>25332.5036505369</v>
      </c>
      <c r="K15" s="0" t="n">
        <f aca="false">K13-MAX(0,K13)*K14/100</f>
        <v>26092.478760053</v>
      </c>
      <c r="L15" s="0" t="n">
        <f aca="false">L13-MAX(0,L13)*L14/100</f>
        <v>26875.2531228546</v>
      </c>
    </row>
    <row r="16" customFormat="false" ht="15" hidden="false" customHeight="false" outlineLevel="0" collapsed="false">
      <c r="A16" s="0" t="s">
        <v>128</v>
      </c>
      <c r="C16" s="0" t="n">
        <f aca="false">-C12</f>
        <v>4162.3731</v>
      </c>
      <c r="D16" s="0" t="n">
        <f aca="false">-D12</f>
        <v>4245.620562</v>
      </c>
      <c r="E16" s="0" t="n">
        <f aca="false">-E12</f>
        <v>4415.44538448</v>
      </c>
      <c r="F16" s="0" t="n">
        <f aca="false">-F12</f>
        <v>4614.1404267816</v>
      </c>
      <c r="G16" s="0" t="n">
        <f aca="false">-G12</f>
        <v>4821.77674598677</v>
      </c>
      <c r="H16" s="0" t="n">
        <f aca="false">-H12</f>
        <v>5014.64781582624</v>
      </c>
      <c r="I16" s="0" t="n">
        <f aca="false">-I12</f>
        <v>5190.16048938016</v>
      </c>
      <c r="J16" s="0" t="n">
        <f aca="false">-J12</f>
        <v>5345.86530406157</v>
      </c>
      <c r="K16" s="0" t="n">
        <f aca="false">-K12</f>
        <v>5506.24126318341</v>
      </c>
      <c r="L16" s="0" t="n">
        <f aca="false">-L12</f>
        <v>5671.42850107892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-3491.0226</v>
      </c>
      <c r="D17" s="4" t="n">
        <f aca="false">-D6*Assumptions!D18/100</f>
        <v>-3652.14672</v>
      </c>
      <c r="E17" s="4" t="n">
        <f aca="false">-E6*Assumptions!E18/100</f>
        <v>-3893.18840352</v>
      </c>
      <c r="F17" s="4" t="n">
        <f aca="false">-F6*Assumptions!F18/100</f>
        <v>-4068.3818816784</v>
      </c>
      <c r="G17" s="4" t="n">
        <f aca="false">-G6*Assumptions!G18/100</f>
        <v>-4251.45906635393</v>
      </c>
      <c r="H17" s="4" t="n">
        <f aca="false">-H6*Assumptions!H18/100</f>
        <v>-4421.51742900809</v>
      </c>
      <c r="I17" s="4" t="n">
        <f aca="false">-I6*Assumptions!I18/100</f>
        <v>-4576.27053902337</v>
      </c>
      <c r="J17" s="4" t="n">
        <f aca="false">-J6*Assumptions!J18/100</f>
        <v>-4713.55865519407</v>
      </c>
      <c r="K17" s="4" t="n">
        <f aca="false">-K6*Assumptions!K18/100</f>
        <v>-4854.96541484989</v>
      </c>
      <c r="L17" s="4" t="n">
        <f aca="false">-L6*Assumptions!L18/100</f>
        <v>-5000.61437729539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447.567000000001</v>
      </c>
      <c r="E18" s="4" t="n">
        <f aca="false">(E6-D6)*Assumptions!$B$23/100</f>
        <v>913.036680000002</v>
      </c>
      <c r="F18" s="4" t="n">
        <f aca="false">(F6-E6)*Assumptions!$B$23/100</f>
        <v>1068.2529156</v>
      </c>
      <c r="G18" s="4" t="n">
        <f aca="false">(G6-F6)*Assumptions!$B$23/100</f>
        <v>1116.324296802</v>
      </c>
      <c r="H18" s="4" t="n">
        <f aca="false">(H6-G6)*Assumptions!$B$23/100</f>
        <v>1036.94123569608</v>
      </c>
      <c r="I18" s="4" t="n">
        <f aca="false">(I6-H6)*Assumptions!$B$23/100</f>
        <v>943.616524483432</v>
      </c>
      <c r="J18" s="4" t="n">
        <f aca="false">(J6-I6)*Assumptions!$B$23/100</f>
        <v>837.122659577447</v>
      </c>
      <c r="K18" s="4" t="n">
        <f aca="false">(K6-J6)*Assumptions!$B$23/100</f>
        <v>862.236339364771</v>
      </c>
      <c r="L18" s="4" t="n">
        <f aca="false">(L6-K6)*Assumptions!$B$23/100</f>
        <v>888.103429545712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19397.55378</v>
      </c>
      <c r="D19" s="0" t="n">
        <f aca="false">D15+D16+D17+D18</f>
        <v>20141.99644677</v>
      </c>
      <c r="E19" s="0" t="n">
        <f aca="false">E15+E16+E17+E18</f>
        <v>21544.0865442144</v>
      </c>
      <c r="F19" s="0" t="n">
        <f aca="false">F15+F16+F17+F18</f>
        <v>23053.3916888845</v>
      </c>
      <c r="G19" s="0" t="n">
        <f aca="false">G15+G16+G17+G18</f>
        <v>24495.2013968058</v>
      </c>
      <c r="H19" s="0" t="n">
        <f aca="false">H15+H16+H17+H18</f>
        <v>25350.9734197001</v>
      </c>
      <c r="I19" s="0" t="n">
        <f aca="false">I15+I16+I17+I18</f>
        <v>26152.1702132256</v>
      </c>
      <c r="J19" s="0" t="n">
        <f aca="false">J15+J16+J17+J18</f>
        <v>26801.9329589819</v>
      </c>
      <c r="K19" s="0" t="n">
        <f aca="false">K15+K16+K17+K18</f>
        <v>27605.9909477513</v>
      </c>
      <c r="L19" s="0" t="n">
        <f aca="false">L15+L16+L17+L18</f>
        <v>28434.1706761839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17960.6979444444</v>
      </c>
      <c r="D21" s="0" t="n">
        <f aca="false">D19*D20</f>
        <v>17268.5154721965</v>
      </c>
      <c r="E21" s="0" t="n">
        <f aca="false">E19*E20</f>
        <v>17102.3905021262</v>
      </c>
      <c r="F21" s="0" t="n">
        <f aca="false">F19*F20</f>
        <v>16944.9310995398</v>
      </c>
      <c r="G21" s="0" t="n">
        <f aca="false">G19*G20</f>
        <v>16671.0224786238</v>
      </c>
      <c r="H21" s="0" t="n">
        <f aca="false">H19*H20</f>
        <v>15975.4134610159</v>
      </c>
      <c r="I21" s="0" t="n">
        <f aca="false">I19*I20</f>
        <v>15259.5401346776</v>
      </c>
      <c r="J21" s="0" t="n">
        <f aca="false">J19*J20</f>
        <v>14480.2504222459</v>
      </c>
      <c r="K21" s="0" t="n">
        <f aca="false">K19*K20</f>
        <v>13809.868458253</v>
      </c>
      <c r="L21" s="0" t="n">
        <f aca="false">L19*L20</f>
        <v>13170.5226962968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158643.15266942</v>
      </c>
    </row>
    <row r="31" customFormat="false" ht="15" hidden="false" customHeight="false" outlineLevel="0" collapsed="false">
      <c r="A31" s="0" t="s">
        <v>137</v>
      </c>
      <c r="B31" s="0" t="n">
        <f aca="false">L19</f>
        <v>28434.1706761839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529909.54441979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369644.21879039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369644.21879039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171216.795051859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329859.947721279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273116.947721279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301.453584681323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-0.189423004352452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7943.01600161923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11581.2600799294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323.003558281266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233160.199544708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129.075199672032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0.5</v>
      </c>
      <c r="D5" s="4" t="n">
        <f aca="false">Assumptions!D27</f>
        <v>5</v>
      </c>
      <c r="E5" s="4" t="n">
        <f aca="false">Assumptions!E27</f>
        <v>6.5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447567</v>
      </c>
      <c r="C6" s="0" t="n">
        <f aca="false">B6*(1+C5/100)</f>
        <v>449804.835</v>
      </c>
      <c r="D6" s="0" t="n">
        <f aca="false">C6*(1+D5/100)</f>
        <v>472295.07675</v>
      </c>
      <c r="E6" s="0" t="n">
        <f aca="false">D6*(1+E5/100)</f>
        <v>502994.25673875</v>
      </c>
      <c r="F6" s="0" t="n">
        <f aca="false">E6*(1+F5/100)</f>
        <v>535688.883426769</v>
      </c>
      <c r="G6" s="0" t="n">
        <f aca="false">F6*(1+G5/100)</f>
        <v>567830.216432375</v>
      </c>
      <c r="H6" s="0" t="n">
        <f aca="false">G6*(1+H5/100)</f>
        <v>599060.878336155</v>
      </c>
      <c r="I6" s="0" t="n">
        <f aca="false">H6*(1+I5/100)</f>
        <v>629013.922252963</v>
      </c>
      <c r="J6" s="0" t="n">
        <f aca="false">I6*(1+J5/100)</f>
        <v>657319.548754346</v>
      </c>
      <c r="K6" s="0" t="n">
        <f aca="false">J6*(1+K5/100)</f>
        <v>683612.33070452</v>
      </c>
      <c r="L6" s="0" t="n">
        <f aca="false">K6*(1+L5/100)</f>
        <v>707538.762279179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6.75</v>
      </c>
      <c r="D7" s="4" t="n">
        <f aca="false">Assumptions!D28</f>
        <v>7.3</v>
      </c>
      <c r="E7" s="4" t="n">
        <f aca="false">Assumptions!E28</f>
        <v>7.6</v>
      </c>
      <c r="F7" s="4" t="n">
        <f aca="false">Assumptions!F28</f>
        <v>7.8</v>
      </c>
      <c r="G7" s="4" t="n">
        <f aca="false">Assumptions!G28</f>
        <v>7.8</v>
      </c>
      <c r="H7" s="4" t="n">
        <f aca="false">Assumptions!H28</f>
        <v>7.8</v>
      </c>
      <c r="I7" s="4" t="n">
        <f aca="false">Assumptions!I28</f>
        <v>7.8</v>
      </c>
      <c r="J7" s="4" t="n">
        <f aca="false">Assumptions!J28</f>
        <v>7.8</v>
      </c>
      <c r="K7" s="4" t="n">
        <f aca="false">Assumptions!K28</f>
        <v>7.8</v>
      </c>
      <c r="L7" s="4" t="n">
        <f aca="false">Assumptions!L28</f>
        <v>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30361.8263625</v>
      </c>
      <c r="D8" s="0" t="n">
        <f aca="false">D6*D7/100</f>
        <v>34477.54060275</v>
      </c>
      <c r="E8" s="0" t="n">
        <f aca="false">E6*E7/100</f>
        <v>38227.563512145</v>
      </c>
      <c r="F8" s="0" t="n">
        <f aca="false">F6*F7/100</f>
        <v>41783.732907288</v>
      </c>
      <c r="G8" s="0" t="n">
        <f aca="false">G6*G7/100</f>
        <v>44290.7568817252</v>
      </c>
      <c r="H8" s="0" t="n">
        <f aca="false">H6*H7/100</f>
        <v>46726.7485102201</v>
      </c>
      <c r="I8" s="0" t="n">
        <f aca="false">I6*I7/100</f>
        <v>49063.0859357311</v>
      </c>
      <c r="J8" s="0" t="n">
        <f aca="false">J6*J7/100</f>
        <v>51270.924802839</v>
      </c>
      <c r="K8" s="0" t="n">
        <f aca="false">K6*K7/100</f>
        <v>53321.7617949526</v>
      </c>
      <c r="L8" s="0" t="n">
        <f aca="false">L6*L7/100</f>
        <v>55188.0234577759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0.24</v>
      </c>
      <c r="D9" s="4" t="n">
        <f aca="false">Assumptions!D29</f>
        <v>0.24</v>
      </c>
      <c r="E9" s="4" t="n">
        <f aca="false">Assumptions!E29</f>
        <v>0.24</v>
      </c>
      <c r="F9" s="4" t="n">
        <f aca="false">Assumptions!F29</f>
        <v>0.23</v>
      </c>
      <c r="G9" s="4" t="n">
        <f aca="false">Assumptions!G29</f>
        <v>0.23</v>
      </c>
      <c r="H9" s="4" t="n">
        <f aca="false">Assumptions!H29</f>
        <v>0.23</v>
      </c>
      <c r="I9" s="4" t="n">
        <f aca="false">Assumptions!I29</f>
        <v>0.22</v>
      </c>
      <c r="J9" s="4" t="n">
        <f aca="false">Assumptions!J29</f>
        <v>0.22</v>
      </c>
      <c r="K9" s="4" t="n">
        <f aca="false">Assumptions!K29</f>
        <v>0.22</v>
      </c>
      <c r="L9" s="4" t="n">
        <f aca="false">Assumptions!L29</f>
        <v>0.22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-1079.531604</v>
      </c>
      <c r="D10" s="0" t="n">
        <f aca="false">-D6*D9/100</f>
        <v>-1133.5081842</v>
      </c>
      <c r="E10" s="0" t="n">
        <f aca="false">-E6*E9/100</f>
        <v>-1207.186216173</v>
      </c>
      <c r="F10" s="0" t="n">
        <f aca="false">-F6*F9/100</f>
        <v>-1232.08443188157</v>
      </c>
      <c r="G10" s="0" t="n">
        <f aca="false">-G6*G9/100</f>
        <v>-1306.00949779446</v>
      </c>
      <c r="H10" s="0" t="n">
        <f aca="false">-H6*H9/100</f>
        <v>-1377.84002017316</v>
      </c>
      <c r="I10" s="0" t="n">
        <f aca="false">-I6*I9/100</f>
        <v>-1383.83062895652</v>
      </c>
      <c r="J10" s="0" t="n">
        <f aca="false">-J6*J9/100</f>
        <v>-1446.10300725956</v>
      </c>
      <c r="K10" s="0" t="n">
        <f aca="false">-K6*K9/100</f>
        <v>-1503.94712754994</v>
      </c>
      <c r="L10" s="0" t="n">
        <f aca="false">-L6*L9/100</f>
        <v>-1556.58527701419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29282.2947585</v>
      </c>
      <c r="D11" s="0" t="n">
        <f aca="false">D8+D10+D24</f>
        <v>33344.03241855</v>
      </c>
      <c r="E11" s="0" t="n">
        <f aca="false">E8+E10+E24</f>
        <v>37020.377295972</v>
      </c>
      <c r="F11" s="0" t="n">
        <f aca="false">F8+F10+F24</f>
        <v>40551.6484754064</v>
      </c>
      <c r="G11" s="0" t="n">
        <f aca="false">G8+G10+G24</f>
        <v>42984.7473839308</v>
      </c>
      <c r="H11" s="0" t="n">
        <f aca="false">H8+H10+H24</f>
        <v>45348.908490047</v>
      </c>
      <c r="I11" s="0" t="n">
        <f aca="false">I8+I10+I24</f>
        <v>47679.2553067746</v>
      </c>
      <c r="J11" s="0" t="n">
        <f aca="false">J8+J10+J24</f>
        <v>49824.8217955795</v>
      </c>
      <c r="K11" s="0" t="n">
        <f aca="false">K8+K10+K24</f>
        <v>51817.8146674026</v>
      </c>
      <c r="L11" s="0" t="n">
        <f aca="false">L8+L10+L24</f>
        <v>53631.4381807617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-4183.1849655</v>
      </c>
      <c r="D12" s="4" t="n">
        <f aca="false">-D6*Assumptions!D31/100</f>
        <v>-4392.344213775</v>
      </c>
      <c r="E12" s="4" t="n">
        <f aca="false">-E6*Assumptions!E31/100</f>
        <v>-4677.84658767038</v>
      </c>
      <c r="F12" s="4" t="n">
        <f aca="false">-F6*Assumptions!F31/100</f>
        <v>-4981.90661586895</v>
      </c>
      <c r="G12" s="4" t="n">
        <f aca="false">-G6*Assumptions!G31/100</f>
        <v>-5280.82101282109</v>
      </c>
      <c r="H12" s="4" t="n">
        <f aca="false">-H6*Assumptions!H31/100</f>
        <v>-5571.26616852625</v>
      </c>
      <c r="I12" s="4" t="n">
        <f aca="false">-I6*Assumptions!I31/100</f>
        <v>-5849.82947695256</v>
      </c>
      <c r="J12" s="4" t="n">
        <f aca="false">-J6*Assumptions!J31/100</f>
        <v>-6113.07180341542</v>
      </c>
      <c r="K12" s="4" t="n">
        <f aca="false">-K6*Assumptions!K31/100</f>
        <v>-6357.59467555204</v>
      </c>
      <c r="L12" s="4" t="n">
        <f aca="false">-L6*Assumptions!L31/100</f>
        <v>-6580.11048919636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25099.109793</v>
      </c>
      <c r="D13" s="0" t="n">
        <f aca="false">D11+D12</f>
        <v>28951.688204775</v>
      </c>
      <c r="E13" s="0" t="n">
        <f aca="false">E11+E12</f>
        <v>32342.5307083016</v>
      </c>
      <c r="F13" s="0" t="n">
        <f aca="false">F11+F12</f>
        <v>35569.7418595375</v>
      </c>
      <c r="G13" s="0" t="n">
        <f aca="false">G11+G12</f>
        <v>37703.9263711097</v>
      </c>
      <c r="H13" s="0" t="n">
        <f aca="false">H11+H12</f>
        <v>39777.6423215207</v>
      </c>
      <c r="I13" s="0" t="n">
        <f aca="false">I11+I12</f>
        <v>41829.425829822</v>
      </c>
      <c r="J13" s="0" t="n">
        <f aca="false">J11+J12</f>
        <v>43711.749992164</v>
      </c>
      <c r="K13" s="0" t="n">
        <f aca="false">K11+K12</f>
        <v>45460.2199918506</v>
      </c>
      <c r="L13" s="0" t="n">
        <f aca="false">L11+L12</f>
        <v>47051.3276915654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20</v>
      </c>
      <c r="D14" s="4" t="n">
        <f aca="false">Assumptions!D33</f>
        <v>21.5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20079.2878344</v>
      </c>
      <c r="D15" s="0" t="n">
        <f aca="false">D13-MAX(0,D13)*D14/100</f>
        <v>22727.0752407484</v>
      </c>
      <c r="E15" s="0" t="n">
        <f aca="false">E13-MAX(0,E13)*E14/100</f>
        <v>25227.1739524753</v>
      </c>
      <c r="F15" s="0" t="n">
        <f aca="false">F13-MAX(0,F13)*F14/100</f>
        <v>27744.3986504392</v>
      </c>
      <c r="G15" s="0" t="n">
        <f aca="false">G13-MAX(0,G13)*G14/100</f>
        <v>29409.0625694656</v>
      </c>
      <c r="H15" s="0" t="n">
        <f aca="false">H13-MAX(0,H13)*H14/100</f>
        <v>31026.5610107862</v>
      </c>
      <c r="I15" s="0" t="n">
        <f aca="false">I13-MAX(0,I13)*I14/100</f>
        <v>32626.9521472612</v>
      </c>
      <c r="J15" s="0" t="n">
        <f aca="false">J13-MAX(0,J13)*J14/100</f>
        <v>34095.164993888</v>
      </c>
      <c r="K15" s="0" t="n">
        <f aca="false">K13-MAX(0,K13)*K14/100</f>
        <v>35458.9715936435</v>
      </c>
      <c r="L15" s="0" t="n">
        <f aca="false">L13-MAX(0,L13)*L14/100</f>
        <v>36700.035599421</v>
      </c>
    </row>
    <row r="16" customFormat="false" ht="15" hidden="false" customHeight="false" outlineLevel="0" collapsed="false">
      <c r="A16" s="0" t="s">
        <v>128</v>
      </c>
      <c r="C16" s="0" t="n">
        <f aca="false">-C12</f>
        <v>4183.1849655</v>
      </c>
      <c r="D16" s="0" t="n">
        <f aca="false">-D12</f>
        <v>4392.344213775</v>
      </c>
      <c r="E16" s="0" t="n">
        <f aca="false">-E12</f>
        <v>4677.84658767038</v>
      </c>
      <c r="F16" s="0" t="n">
        <f aca="false">-F12</f>
        <v>4981.90661586895</v>
      </c>
      <c r="G16" s="0" t="n">
        <f aca="false">-G12</f>
        <v>5280.82101282109</v>
      </c>
      <c r="H16" s="0" t="n">
        <f aca="false">-H12</f>
        <v>5571.26616852625</v>
      </c>
      <c r="I16" s="0" t="n">
        <f aca="false">-I12</f>
        <v>5849.82947695256</v>
      </c>
      <c r="J16" s="0" t="n">
        <f aca="false">-J12</f>
        <v>6113.07180341542</v>
      </c>
      <c r="K16" s="0" t="n">
        <f aca="false">-K12</f>
        <v>6357.59467555204</v>
      </c>
      <c r="L16" s="0" t="n">
        <f aca="false">-L12</f>
        <v>6580.11048919636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-3508.477713</v>
      </c>
      <c r="D17" s="4" t="n">
        <f aca="false">-D6*Assumptions!D32/100</f>
        <v>-3778.360614</v>
      </c>
      <c r="E17" s="4" t="n">
        <f aca="false">-E6*Assumptions!E32/100</f>
        <v>-4124.55290525775</v>
      </c>
      <c r="F17" s="4" t="n">
        <f aca="false">-F6*Assumptions!F32/100</f>
        <v>-4392.6488440995</v>
      </c>
      <c r="G17" s="4" t="n">
        <f aca="false">-G6*Assumptions!G32/100</f>
        <v>-4656.20777474547</v>
      </c>
      <c r="H17" s="4" t="n">
        <f aca="false">-H6*Assumptions!H32/100</f>
        <v>-4912.29920235647</v>
      </c>
      <c r="I17" s="4" t="n">
        <f aca="false">-I6*Assumptions!I32/100</f>
        <v>-5157.9141624743</v>
      </c>
      <c r="J17" s="4" t="n">
        <f aca="false">-J6*Assumptions!J32/100</f>
        <v>-5390.02029978564</v>
      </c>
      <c r="K17" s="4" t="n">
        <f aca="false">-K6*Assumptions!K32/100</f>
        <v>-5605.62111177707</v>
      </c>
      <c r="L17" s="4" t="n">
        <f aca="false">-L6*Assumptions!L32/100</f>
        <v>-5801.81785068926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111.891749999998</v>
      </c>
      <c r="D18" s="4" t="n">
        <f aca="false">(D6-C6)*Assumptions!$B$37/100</f>
        <v>1124.5120875</v>
      </c>
      <c r="E18" s="4" t="n">
        <f aca="false">(E6-D6)*Assumptions!$B$37/100</f>
        <v>1534.9589994375</v>
      </c>
      <c r="F18" s="4" t="n">
        <f aca="false">(F6-E6)*Assumptions!$B$37/100</f>
        <v>1634.73133440094</v>
      </c>
      <c r="G18" s="4" t="n">
        <f aca="false">(G6-F6)*Assumptions!$B$37/100</f>
        <v>1607.06665028031</v>
      </c>
      <c r="H18" s="4" t="n">
        <f aca="false">(H6-G6)*Assumptions!$B$37/100</f>
        <v>1561.53309518903</v>
      </c>
      <c r="I18" s="4" t="n">
        <f aca="false">(I6-H6)*Assumptions!$B$37/100</f>
        <v>1497.65219584039</v>
      </c>
      <c r="J18" s="4" t="n">
        <f aca="false">(J6-I6)*Assumptions!$B$37/100</f>
        <v>1415.28132506916</v>
      </c>
      <c r="K18" s="4" t="n">
        <f aca="false">(K6-J6)*Assumptions!$B$37/100</f>
        <v>1314.6390975087</v>
      </c>
      <c r="L18" s="4" t="n">
        <f aca="false">(L6-K6)*Assumptions!$B$37/100</f>
        <v>1196.32157873291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20865.8868369</v>
      </c>
      <c r="D19" s="0" t="n">
        <f aca="false">D15+D16+D17+D18</f>
        <v>24465.5709280234</v>
      </c>
      <c r="E19" s="0" t="n">
        <f aca="false">E15+E16+E17+E18</f>
        <v>27315.4266343254</v>
      </c>
      <c r="F19" s="0" t="n">
        <f aca="false">F15+F16+F17+F18</f>
        <v>29968.3877566096</v>
      </c>
      <c r="G19" s="0" t="n">
        <f aca="false">G15+G16+G17+G18</f>
        <v>31640.7424578215</v>
      </c>
      <c r="H19" s="0" t="n">
        <f aca="false">H15+H16+H17+H18</f>
        <v>33247.061072145</v>
      </c>
      <c r="I19" s="0" t="n">
        <f aca="false">I15+I16+I17+I18</f>
        <v>34816.5196575799</v>
      </c>
      <c r="J19" s="0" t="n">
        <f aca="false">J15+J16+J17+J18</f>
        <v>36233.4978225869</v>
      </c>
      <c r="K19" s="0" t="n">
        <f aca="false">K15+K16+K17+K18</f>
        <v>37525.5842549271</v>
      </c>
      <c r="L19" s="0" t="n">
        <f aca="false">L15+L16+L17+L18</f>
        <v>38674.649816661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19320.2655897222</v>
      </c>
      <c r="D21" s="0" t="n">
        <f aca="false">D19*D20</f>
        <v>20975.2837174412</v>
      </c>
      <c r="E21" s="0" t="n">
        <f aca="false">E19*E20</f>
        <v>21683.8663395486</v>
      </c>
      <c r="F21" s="0" t="n">
        <f aca="false">F19*F20</f>
        <v>22027.6596412878</v>
      </c>
      <c r="G21" s="0" t="n">
        <f aca="false">G19*G20</f>
        <v>21534.1576584658</v>
      </c>
      <c r="H21" s="0" t="n">
        <f aca="false">H19*H20</f>
        <v>20951.2880707934</v>
      </c>
      <c r="I21" s="0" t="n">
        <f aca="false">I19*I20</f>
        <v>20315.1048166531</v>
      </c>
      <c r="J21" s="0" t="n">
        <f aca="false">J19*J20</f>
        <v>19575.8314502138</v>
      </c>
      <c r="K21" s="0" t="n">
        <f aca="false">K19*K20</f>
        <v>18772.1347645318</v>
      </c>
      <c r="L21" s="0" t="n">
        <f aca="false">L19*L20</f>
        <v>17913.8459490329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203069.437997691</v>
      </c>
    </row>
    <row r="31" customFormat="false" ht="15" hidden="false" customHeight="false" outlineLevel="0" collapsed="false">
      <c r="A31" s="0" t="s">
        <v>137</v>
      </c>
      <c r="B31" s="0" t="n">
        <f aca="false">L19</f>
        <v>38674.649816661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796697.786223216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657469.046883237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657469.046883237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304535.381133559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507604.81913125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450861.81913125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497.639976966059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0.338101578290022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8654.49459855037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14852.6033776062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523.586001222303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331957.41092634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190.19377759529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</v>
      </c>
      <c r="D5" s="4" t="n">
        <f aca="false">Assumptions!D41</f>
        <v>7</v>
      </c>
      <c r="E5" s="4" t="n">
        <f aca="false">Assumptions!E41</f>
        <v>8</v>
      </c>
      <c r="F5" s="4" t="n">
        <f aca="false">Assumptions!F41</f>
        <v>8</v>
      </c>
      <c r="G5" s="4" t="n">
        <f aca="false">Assumptions!G41</f>
        <v>7.5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447567</v>
      </c>
      <c r="C6" s="0" t="n">
        <f aca="false">B6*(1+C5/100)</f>
        <v>452042.67</v>
      </c>
      <c r="D6" s="0" t="n">
        <f aca="false">C6*(1+D5/100)</f>
        <v>483685.6569</v>
      </c>
      <c r="E6" s="0" t="n">
        <f aca="false">D6*(1+E5/100)</f>
        <v>522380.509452</v>
      </c>
      <c r="F6" s="0" t="n">
        <f aca="false">E6*(1+F5/100)</f>
        <v>564170.95020816</v>
      </c>
      <c r="G6" s="0" t="n">
        <f aca="false">F6*(1+G5/100)</f>
        <v>606483.771473772</v>
      </c>
      <c r="H6" s="0" t="n">
        <f aca="false">G6*(1+H5/100)</f>
        <v>648937.635476936</v>
      </c>
      <c r="I6" s="0" t="n">
        <f aca="false">H6*(1+I5/100)</f>
        <v>687873.893605553</v>
      </c>
      <c r="J6" s="0" t="n">
        <f aca="false">I6*(1+J5/100)</f>
        <v>722267.58828583</v>
      </c>
      <c r="K6" s="0" t="n">
        <f aca="false">J6*(1+K5/100)</f>
        <v>754769.629758693</v>
      </c>
      <c r="L6" s="0" t="n">
        <f aca="false">K6*(1+L5/100)</f>
        <v>784960.41494904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7</v>
      </c>
      <c r="D7" s="4" t="n">
        <f aca="false">Assumptions!D42</f>
        <v>8</v>
      </c>
      <c r="E7" s="4" t="n">
        <f aca="false">Assumptions!E42</f>
        <v>8.5</v>
      </c>
      <c r="F7" s="4" t="n">
        <f aca="false">Assumptions!F42</f>
        <v>8.8</v>
      </c>
      <c r="G7" s="4" t="n">
        <f aca="false">Assumptions!G42</f>
        <v>9</v>
      </c>
      <c r="H7" s="4" t="n">
        <f aca="false">Assumptions!H42</f>
        <v>9</v>
      </c>
      <c r="I7" s="4" t="n">
        <f aca="false">Assumptions!I42</f>
        <v>9</v>
      </c>
      <c r="J7" s="4" t="n">
        <f aca="false">Assumptions!J42</f>
        <v>9</v>
      </c>
      <c r="K7" s="4" t="n">
        <f aca="false">Assumptions!K42</f>
        <v>9</v>
      </c>
      <c r="L7" s="4" t="n">
        <f aca="false">Assumptions!L42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31642.9869</v>
      </c>
      <c r="D8" s="0" t="n">
        <f aca="false">D6*D7/100</f>
        <v>38694.852552</v>
      </c>
      <c r="E8" s="0" t="n">
        <f aca="false">E6*E7/100</f>
        <v>44402.34330342</v>
      </c>
      <c r="F8" s="0" t="n">
        <f aca="false">F6*F7/100</f>
        <v>49647.0436183181</v>
      </c>
      <c r="G8" s="0" t="n">
        <f aca="false">G6*G7/100</f>
        <v>54583.5394326395</v>
      </c>
      <c r="H8" s="0" t="n">
        <f aca="false">H6*H7/100</f>
        <v>58404.3871929243</v>
      </c>
      <c r="I8" s="0" t="n">
        <f aca="false">I6*I7/100</f>
        <v>61908.6504244997</v>
      </c>
      <c r="J8" s="0" t="n">
        <f aca="false">J6*J7/100</f>
        <v>65004.0829457247</v>
      </c>
      <c r="K8" s="0" t="n">
        <f aca="false">K6*K7/100</f>
        <v>67929.2666782823</v>
      </c>
      <c r="L8" s="0" t="n">
        <f aca="false">L6*L7/100</f>
        <v>70646.4373454136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0.24</v>
      </c>
      <c r="D9" s="4" t="n">
        <f aca="false">Assumptions!D43</f>
        <v>0.24</v>
      </c>
      <c r="E9" s="4" t="n">
        <f aca="false">Assumptions!E43</f>
        <v>0.24</v>
      </c>
      <c r="F9" s="4" t="n">
        <f aca="false">Assumptions!F43</f>
        <v>0.23</v>
      </c>
      <c r="G9" s="4" t="n">
        <f aca="false">Assumptions!G43</f>
        <v>0.23</v>
      </c>
      <c r="H9" s="4" t="n">
        <f aca="false">Assumptions!H43</f>
        <v>0.23</v>
      </c>
      <c r="I9" s="4" t="n">
        <f aca="false">Assumptions!I43</f>
        <v>0.22</v>
      </c>
      <c r="J9" s="4" t="n">
        <f aca="false">Assumptions!J43</f>
        <v>0.22</v>
      </c>
      <c r="K9" s="4" t="n">
        <f aca="false">Assumptions!K43</f>
        <v>0.22</v>
      </c>
      <c r="L9" s="4" t="n">
        <f aca="false">Assumptions!L43</f>
        <v>0.22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-1084.902408</v>
      </c>
      <c r="D10" s="0" t="n">
        <f aca="false">-D6*D9/100</f>
        <v>-1160.84557656</v>
      </c>
      <c r="E10" s="0" t="n">
        <f aca="false">-E6*E9/100</f>
        <v>-1253.7132226848</v>
      </c>
      <c r="F10" s="0" t="n">
        <f aca="false">-F6*F9/100</f>
        <v>-1297.59318547877</v>
      </c>
      <c r="G10" s="0" t="n">
        <f aca="false">-G6*G9/100</f>
        <v>-1394.91267438968</v>
      </c>
      <c r="H10" s="0" t="n">
        <f aca="false">-H6*H9/100</f>
        <v>-1492.55656159695</v>
      </c>
      <c r="I10" s="0" t="n">
        <f aca="false">-I6*I9/100</f>
        <v>-1513.32256593222</v>
      </c>
      <c r="J10" s="0" t="n">
        <f aca="false">-J6*J9/100</f>
        <v>-1588.98869422883</v>
      </c>
      <c r="K10" s="0" t="n">
        <f aca="false">-K6*K9/100</f>
        <v>-1660.49318546912</v>
      </c>
      <c r="L10" s="0" t="n">
        <f aca="false">-L6*L9/100</f>
        <v>-1726.91291288789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30558.084492</v>
      </c>
      <c r="D11" s="0" t="n">
        <f aca="false">D8+D10+D24</f>
        <v>37534.00697544</v>
      </c>
      <c r="E11" s="0" t="n">
        <f aca="false">E8+E10+E24</f>
        <v>43148.6300807352</v>
      </c>
      <c r="F11" s="0" t="n">
        <f aca="false">F8+F10+F24</f>
        <v>48349.4504328393</v>
      </c>
      <c r="G11" s="0" t="n">
        <f aca="false">G8+G10+G24</f>
        <v>53188.6267582498</v>
      </c>
      <c r="H11" s="0" t="n">
        <f aca="false">H8+H10+H24</f>
        <v>56911.8306313273</v>
      </c>
      <c r="I11" s="0" t="n">
        <f aca="false">I8+I10+I24</f>
        <v>60395.3278585675</v>
      </c>
      <c r="J11" s="0" t="n">
        <f aca="false">J8+J10+J24</f>
        <v>63415.0942514959</v>
      </c>
      <c r="K11" s="0" t="n">
        <f aca="false">K8+K10+K24</f>
        <v>66268.7734928132</v>
      </c>
      <c r="L11" s="0" t="n">
        <f aca="false">L8+L10+L24</f>
        <v>68919.5244325257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-4203.996831</v>
      </c>
      <c r="D12" s="4" t="n">
        <f aca="false">-D6*Assumptions!D45/100</f>
        <v>-4498.27660917</v>
      </c>
      <c r="E12" s="4" t="n">
        <f aca="false">-E6*Assumptions!E45/100</f>
        <v>-4858.1387379036</v>
      </c>
      <c r="F12" s="4" t="n">
        <f aca="false">-F6*Assumptions!F45/100</f>
        <v>-5246.78983693589</v>
      </c>
      <c r="G12" s="4" t="n">
        <f aca="false">-G6*Assumptions!G45/100</f>
        <v>-5640.29907470608</v>
      </c>
      <c r="H12" s="4" t="n">
        <f aca="false">-H6*Assumptions!H45/100</f>
        <v>-6035.12000993551</v>
      </c>
      <c r="I12" s="4" t="n">
        <f aca="false">-I6*Assumptions!I45/100</f>
        <v>-6397.22721053164</v>
      </c>
      <c r="J12" s="4" t="n">
        <f aca="false">-J6*Assumptions!J45/100</f>
        <v>-6717.08857105822</v>
      </c>
      <c r="K12" s="4" t="n">
        <f aca="false">-K6*Assumptions!K45/100</f>
        <v>-7019.35755675584</v>
      </c>
      <c r="L12" s="4" t="n">
        <f aca="false">-L6*Assumptions!L45/100</f>
        <v>-7300.13185902607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26354.087661</v>
      </c>
      <c r="D13" s="0" t="n">
        <f aca="false">D11+D12</f>
        <v>33035.73036627</v>
      </c>
      <c r="E13" s="0" t="n">
        <f aca="false">E11+E12</f>
        <v>38290.4913428316</v>
      </c>
      <c r="F13" s="0" t="n">
        <f aca="false">F11+F12</f>
        <v>43102.6605959034</v>
      </c>
      <c r="G13" s="0" t="n">
        <f aca="false">G11+G12</f>
        <v>47548.3276835437</v>
      </c>
      <c r="H13" s="0" t="n">
        <f aca="false">H11+H12</f>
        <v>50876.7106213918</v>
      </c>
      <c r="I13" s="0" t="n">
        <f aca="false">I11+I12</f>
        <v>53998.1006480359</v>
      </c>
      <c r="J13" s="0" t="n">
        <f aca="false">J11+J12</f>
        <v>56698.0056804377</v>
      </c>
      <c r="K13" s="0" t="n">
        <f aca="false">K11+K12</f>
        <v>59249.4159360574</v>
      </c>
      <c r="L13" s="0" t="n">
        <f aca="false">L11+L12</f>
        <v>61619.3925734996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20</v>
      </c>
      <c r="D14" s="4" t="n">
        <f aca="false">Assumptions!D47</f>
        <v>21.5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21083.2701288</v>
      </c>
      <c r="D15" s="0" t="n">
        <f aca="false">D13-MAX(0,D13)*D14/100</f>
        <v>25933.0483375219</v>
      </c>
      <c r="E15" s="0" t="n">
        <f aca="false">E13-MAX(0,E13)*E14/100</f>
        <v>29866.5832474087</v>
      </c>
      <c r="F15" s="0" t="n">
        <f aca="false">F13-MAX(0,F13)*F14/100</f>
        <v>33620.0752648047</v>
      </c>
      <c r="G15" s="0" t="n">
        <f aca="false">G13-MAX(0,G13)*G14/100</f>
        <v>37087.6955931641</v>
      </c>
      <c r="H15" s="0" t="n">
        <f aca="false">H13-MAX(0,H13)*H14/100</f>
        <v>39683.8342846856</v>
      </c>
      <c r="I15" s="0" t="n">
        <f aca="false">I13-MAX(0,I13)*I14/100</f>
        <v>42118.518505468</v>
      </c>
      <c r="J15" s="0" t="n">
        <f aca="false">J13-MAX(0,J13)*J14/100</f>
        <v>44224.4444307414</v>
      </c>
      <c r="K15" s="0" t="n">
        <f aca="false">K13-MAX(0,K13)*K14/100</f>
        <v>46214.5444301247</v>
      </c>
      <c r="L15" s="0" t="n">
        <f aca="false">L13-MAX(0,L13)*L14/100</f>
        <v>48063.1262073297</v>
      </c>
    </row>
    <row r="16" customFormat="false" ht="15" hidden="false" customHeight="false" outlineLevel="0" collapsed="false">
      <c r="A16" s="0" t="s">
        <v>128</v>
      </c>
      <c r="C16" s="0" t="n">
        <f aca="false">-C12</f>
        <v>4203.996831</v>
      </c>
      <c r="D16" s="0" t="n">
        <f aca="false">-D12</f>
        <v>4498.27660917</v>
      </c>
      <c r="E16" s="0" t="n">
        <f aca="false">-E12</f>
        <v>4858.1387379036</v>
      </c>
      <c r="F16" s="0" t="n">
        <f aca="false">-F12</f>
        <v>5246.78983693589</v>
      </c>
      <c r="G16" s="0" t="n">
        <f aca="false">-G12</f>
        <v>5640.29907470608</v>
      </c>
      <c r="H16" s="0" t="n">
        <f aca="false">-H12</f>
        <v>6035.12000993551</v>
      </c>
      <c r="I16" s="0" t="n">
        <f aca="false">-I12</f>
        <v>6397.22721053164</v>
      </c>
      <c r="J16" s="0" t="n">
        <f aca="false">-J12</f>
        <v>6717.08857105822</v>
      </c>
      <c r="K16" s="0" t="n">
        <f aca="false">-K12</f>
        <v>7019.35755675584</v>
      </c>
      <c r="L16" s="0" t="n">
        <f aca="false">-L12</f>
        <v>7300.13185902607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-3525.932826</v>
      </c>
      <c r="D17" s="4" t="n">
        <f aca="false">-D6*Assumptions!D46/100</f>
        <v>-3869.4852552</v>
      </c>
      <c r="E17" s="4" t="n">
        <f aca="false">-E6*Assumptions!E46/100</f>
        <v>-4283.5201775064</v>
      </c>
      <c r="F17" s="4" t="n">
        <f aca="false">-F6*Assumptions!F46/100</f>
        <v>-4626.20179170691</v>
      </c>
      <c r="G17" s="4" t="n">
        <f aca="false">-G6*Assumptions!G46/100</f>
        <v>-4973.16692608493</v>
      </c>
      <c r="H17" s="4" t="n">
        <f aca="false">-H6*Assumptions!H46/100</f>
        <v>-5321.28861091088</v>
      </c>
      <c r="I17" s="4" t="n">
        <f aca="false">-I6*Assumptions!I46/100</f>
        <v>-5640.56592756553</v>
      </c>
      <c r="J17" s="4" t="n">
        <f aca="false">-J6*Assumptions!J46/100</f>
        <v>-5922.59422394381</v>
      </c>
      <c r="K17" s="4" t="n">
        <f aca="false">-K6*Assumptions!K46/100</f>
        <v>-6189.11096402128</v>
      </c>
      <c r="L17" s="4" t="n">
        <f aca="false">-L6*Assumptions!L46/100</f>
        <v>-6436.67540258213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223.783499999999</v>
      </c>
      <c r="D18" s="4" t="n">
        <f aca="false">(D6-C6)*Assumptions!$B$51/100</f>
        <v>1582.149345</v>
      </c>
      <c r="E18" s="4" t="n">
        <f aca="false">(E6-D6)*Assumptions!$B$51/100</f>
        <v>1934.7426276</v>
      </c>
      <c r="F18" s="4" t="n">
        <f aca="false">(F6-E6)*Assumptions!$B$51/100</f>
        <v>2089.522037808</v>
      </c>
      <c r="G18" s="4" t="n">
        <f aca="false">(G6-F6)*Assumptions!$B$51/100</f>
        <v>2115.6410632806</v>
      </c>
      <c r="H18" s="4" t="n">
        <f aca="false">(H6-G6)*Assumptions!$B$51/100</f>
        <v>2122.69320015821</v>
      </c>
      <c r="I18" s="4" t="n">
        <f aca="false">(I6-H6)*Assumptions!$B$51/100</f>
        <v>1946.81290643081</v>
      </c>
      <c r="J18" s="4" t="n">
        <f aca="false">(J6-I6)*Assumptions!$B$51/100</f>
        <v>1719.68473401388</v>
      </c>
      <c r="K18" s="4" t="n">
        <f aca="false">(K6-J6)*Assumptions!$B$51/100</f>
        <v>1625.10207364312</v>
      </c>
      <c r="L18" s="4" t="n">
        <f aca="false">(L6-K6)*Assumptions!$B$51/100</f>
        <v>1509.53925951738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21985.1176338</v>
      </c>
      <c r="D19" s="0" t="n">
        <f aca="false">D15+D16+D17+D18</f>
        <v>28143.9890364919</v>
      </c>
      <c r="E19" s="0" t="n">
        <f aca="false">E15+E16+E17+E18</f>
        <v>32375.9444354059</v>
      </c>
      <c r="F19" s="0" t="n">
        <f aca="false">F15+F16+F17+F18</f>
        <v>36330.1853478417</v>
      </c>
      <c r="G19" s="0" t="n">
        <f aca="false">G15+G16+G17+G18</f>
        <v>39870.4688050659</v>
      </c>
      <c r="H19" s="0" t="n">
        <f aca="false">H15+H16+H17+H18</f>
        <v>42520.3588838684</v>
      </c>
      <c r="I19" s="0" t="n">
        <f aca="false">I15+I16+I17+I18</f>
        <v>44821.9926948649</v>
      </c>
      <c r="J19" s="0" t="n">
        <f aca="false">J15+J16+J17+J18</f>
        <v>46738.6235118697</v>
      </c>
      <c r="K19" s="0" t="n">
        <f aca="false">K15+K16+K17+K18</f>
        <v>48669.8930965024</v>
      </c>
      <c r="L19" s="0" t="n">
        <f aca="false">L15+L16+L17+L18</f>
        <v>50436.1219232911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20356.5904016667</v>
      </c>
      <c r="D21" s="0" t="n">
        <f aca="false">D19*D20</f>
        <v>24128.9343591323</v>
      </c>
      <c r="E21" s="0" t="n">
        <f aca="false">E19*E20</f>
        <v>25701.0685263027</v>
      </c>
      <c r="F21" s="0" t="n">
        <f aca="false">F19*F20</f>
        <v>26703.7707882919</v>
      </c>
      <c r="G21" s="0" t="n">
        <f aca="false">G19*G20</f>
        <v>27135.1711265862</v>
      </c>
      <c r="H21" s="0" t="n">
        <f aca="false">H19*H20</f>
        <v>26795.0386927831</v>
      </c>
      <c r="I21" s="0" t="n">
        <f aca="false">I19*I20</f>
        <v>26153.2022339632</v>
      </c>
      <c r="J21" s="0" t="n">
        <f aca="false">J19*J20</f>
        <v>25251.4239879156</v>
      </c>
      <c r="K21" s="0" t="n">
        <f aca="false">K19*K20</f>
        <v>24347.0637519239</v>
      </c>
      <c r="L21" s="0" t="n">
        <f aca="false">L19*L20</f>
        <v>23361.6832391136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249933.947107679</v>
      </c>
    </row>
    <row r="31" customFormat="false" ht="15" hidden="false" customHeight="false" outlineLevel="0" collapsed="false">
      <c r="A31" s="0" t="s">
        <v>137</v>
      </c>
      <c r="B31" s="0" t="n">
        <f aca="false">L19</f>
        <v>50436.1219232911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1038984.1116198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907850.194619239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907850.194619239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420510.298304045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670444.245411724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613701.245411724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677.374443059298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0.821388661089804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9210.74803631324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16477.8332042239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705.728285488147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432910.046508248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253.157157960999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301.453584681323</v>
      </c>
      <c r="C4" s="0" t="n">
        <f aca="false">B4/Assumptions!$B$2-1</f>
        <v>-0.189423004352452</v>
      </c>
      <c r="D4" s="4" t="n">
        <f aca="false">Assumptions!$B$24</f>
        <v>0.25</v>
      </c>
      <c r="E4" s="4" t="n">
        <f aca="false">DCF_Bear!$B$43</f>
        <v>323.003558281266</v>
      </c>
      <c r="F4" s="4" t="n">
        <f aca="false">DCF_Bear!$B$47</f>
        <v>129.075199672032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497.639976966059</v>
      </c>
      <c r="C5" s="0" t="n">
        <f aca="false">B5/Assumptions!$B$2-1</f>
        <v>0.338101578290022</v>
      </c>
      <c r="D5" s="4" t="n">
        <f aca="false">Assumptions!$B$38</f>
        <v>0.5</v>
      </c>
      <c r="E5" s="4" t="n">
        <f aca="false">DCF_Base!$B$43</f>
        <v>523.586001222303</v>
      </c>
      <c r="F5" s="4" t="n">
        <f aca="false">DCF_Base!$B$47</f>
        <v>190.19377759529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677.374443059298</v>
      </c>
      <c r="C6" s="0" t="n">
        <f aca="false">B6/Assumptions!$B$2-1</f>
        <v>0.821388661089804</v>
      </c>
      <c r="D6" s="4" t="n">
        <f aca="false">Assumptions!$B$52</f>
        <v>0.25</v>
      </c>
      <c r="E6" s="4" t="n">
        <f aca="false">DCF_Bull!$B$43</f>
        <v>705.728285488147</v>
      </c>
      <c r="F6" s="4" t="n">
        <f aca="false">DCF_Bull!$B$47</f>
        <v>253.157157960999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493.526995418185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518.975961553505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0.246444463114172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-477.925094369091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190.654978205903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497.639976966059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457.25184199125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382.832420253868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324.863462637031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279.859893045225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190.19377759529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590.830824701976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590.830824701976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590.830824701976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590.830824701976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590.830824701976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542.015887582556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542.015887582556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542.015887582556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542.015887582556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542.015887582556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497.639976966059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497.639976966059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497.639976966059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497.639976966059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497.639976966059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413.460919474238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435.059157276746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457.25184199125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457.25184199125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457.25184199125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350.504631546371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365.590932943203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382.832420253868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402.726444073866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420.450210749865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2026-10-02T21:15:35Z</dcterms:created>
  <dc:creator>openpyxl</dc:creator>
  <dc:description/>
  <dc:language>en-NZ</dc:language>
  <cp:lastModifiedBy/>
  <dcterms:modified xsi:type="dcterms:W3CDTF">2026-10-02T21:15:35Z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