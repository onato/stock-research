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<sst xmlns="http://schemas.openxmlformats.org/spreadsheetml/2006/main" count="357" uniqueCount="164">
  <si>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</si>
  <si>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0639.HK</t>
  </si>
  <si>
    <t xml:space="preserve">Company</t>
  </si>
  <si>
    <t xml:space="preserve">Shougang Fushan Resources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</si>
  <si>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</si>
  <si>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</si>
  <si>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</si>
  <si>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</si>
  <si>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</si>
  <si>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</si>
  <si>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</si>
  <si>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</si>
  <si>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</si>
  <si>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</si>
  <si>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</si>
  <si>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</si>
  <si>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</si>
  <si>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</si>
  <si>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</si>
  <si>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</si>
  <si>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</si>
  <si>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2026-10-11T03:07:57Z</t>
  </si>
  <si>
    <t xml:space="preserve">Drivers file</t>
  </si>
  <si>
    <t xml:space="preserve">0639.HK_Drivers.json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</si>
  <si>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</si>
  <si>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</si>
  <si>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</si>
  <si>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Discount rate 12.5% (10.0% base cost of equity + 2.5pt structural premium for 3.5x peak-to-trough EBITDA cyclicality, mining-licence/reserve single point of failure and single-province concentration; see inputs.wacc_rationale), raised from 10.0% at the 2026-10-11 sanity-check fix pass. The P/E trip itself is largely a trough-earnings artefact: FY2025 EPS (HK$0.124) is the cycle low, the market price alone sits at ~22x it, and ~HK$1.53/share of the value is net cash after the bridge items that earns nothing in P/E terms; on mid-cycle FY2023-24 EPS (HK$0.30-0.38) the weighted IV is ~8-10x. A WACC premium cannot clear the P/E rule: only the mine flows are discounted, so +2.5pt moves weighted IV HK$3.03 -&gt; HK$2.88. A depleting coking-coal asset wrapped around a large net-cash balance. Value = cash (net of declared dividends and the minorities' share) + PV of ~9-10 years of mid-cycle mine cash flows, with little or no terminal value. The valuation is NOT a growth DCF: revenue path is volume (reserve depletion) x mid-cycle price, and the terminal cap is 0-4x rather than a perpetuity.
key_risks_to_valuation: Reserve life: the 48.66 Mt recoverable reserve is a 2007 JORC estimate less output; a re-estimate could move mine life by years in either direction and is the largest single swing factor.; Coking-coal price: a 10% price move is roughly a 20-25% move in mine EBITDA at these margins.; Cash trapped in PRC subsidiaries: repatriation incurs withholding tax and the minority share is an estimate (11.35% pro-rata).; Related-party/SOE governance: Shougang Group is controlling shareholder and a major customer; capital allocation of the HK$9bn cash pile (dividends vs. acquisitions) is at the board's discretion.; Closure and restoration costs at end of mine life beyond the HK$535m restricted restoration fund.; Proposed 2026 Share Option Scheme (new-share issuance) -- provisioned at 0.2% of revenue.</t>
  </si>
  <si>
    <t xml:space="preserve">Data sources</t>
  </si>
  <si>
    <t xml:space="preserve">price: Yahoo Finance chart API at inputs.price_as_of; 52-week range 2.06-3.50 HKD
financials: 0639.HK_Metrics.csv (FY2017-FY2025, H1 FY2023-26); H1 FY2026 interim report (balance sheet 30 Jun 2026, operating data, dividends, share options); FY2025 annual report (resources and reserves table, production 5.25 Mt, tax/NCI/interest lines)
qualitative: H1 FY2026 MD&amp;A 'Future Prospects' (coking-coal supply/demand, H2 2026 view); FY2025 AR key audit matter on mining-right impairment</t>
  </si>
  <si>
    <t xml:space="preserve">Scenario narrative: bear</t>
  </si>
  <si>
    <t xml:space="preserve">China's steel output keeps falling (-3.0% H1 2026), property investment keeps contracting, Mongolian imports cap prices, and the trading business dilutes margin without adding value. Prices return to FY2025 (margin ~30%), unit costs keep rising, Shougang Group (the parent and 14-34% of self-produced revenue) presses on price, and reserves run out on the 2007 schedule. Value then collapses toward cash plus a few years of thin mine cash flow.</t>
  </si>
  <si>
    <t xml:space="preserve">Scenario narrative: base</t>
  </si>
  <si>
    <t xml:space="preserve">Mid-cycle coking-coal miner running out its reserves. FY2026 is a good year (H1 revenue +54%, ASP +16%, clean-coal volume +26%, recovery-rate gains), but the base does not capitalize it: prices normalize ~8% in FY2027 and the three Liulin mines produce ~5.4 Mt raw a year until Xingwu and Zhaiyadi exhaust in FY2033-34. With no debt and HK$9bn of net cash (~HK$1.77/share before bridge items), most of the per-share value is cash plus ~9 years of declining mine cash flows; there is essentially no terminal value.</t>
  </si>
  <si>
    <t xml:space="preserve">Scenario narrative: bull</t>
  </si>
  <si>
    <t xml:space="preserve">Supply-side discipline and mine-safety curtailments in Shanxi keep premium low-sulphur coking coal tight while infrastructure/'Two Priorities' spending and machinery exports hold steel demand; margins recover toward 45%. The real bull lever is reserves: the 2007 JORC estimate has never been updated, 112 Mt of in-place resource remains, and a reserve upgrade or a cash-funded acquisition of a further Shanxi mine (the rights-issue prospectus earmarked cash for 'future investment') would extend the business beyond FY2035.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</si>
  <si>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</si>
  <si>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</si>
  <si>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</si>
  <si>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</si>
  <si>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</si>
  <si>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</si>
  <si>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</si>
  <si>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</si>
  <si>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</si>
  <si>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</si>
  <si>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</si>
  <si>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</si>
  <si>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</si>
  <si>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</si>
  <si>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</si>
  <si>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</si>
  <si>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</si>
  <si>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</si>
  <si>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</si>
  <si>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</si>
  <si>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</si>
  <si>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</si>
  <si>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</si>
  <si>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</si>
  <si>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</si>
  <si>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</si>
  <si>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</si>
  <si>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</si>
  <si>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</si>
  <si>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</si>
  <si>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</si>
  <si>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</si>
  <si>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</si>
  <si>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</si>
  <si>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</si>
  <si>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</si>
  <si>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</si>
  <si>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</si>
  <si>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</si>
  <si>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</si>
  <si>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</si>
  <si>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</si>
  <si>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</si>
  <si>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</si>
  <si>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</si>
  <si>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</si>
  <si>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</si>
  <si>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</si>
  <si>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</si>
  <si>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</si>
  <si>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</si>
  <si>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</si>
  <si>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</si>
  <si>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</si>
  <si>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</si>
  <si>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</si>
  <si>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</si>
  <si>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</si>
  <si>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</si>
  <si>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</si>
  <si>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</si>
  <si>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</si>
  <si>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</si>
  <si>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</si>
  <si>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</si>
  <si>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</si>
  <si>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</si>
  <si>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</si>
  <si>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</si>
  <si>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</si>
  <si>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</si>
  <si>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</si>
  <si>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</si>
  <si>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0639.HK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</si>
  <si>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</si>
  <si>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</si>
  <si>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</si>
  <si>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</si>
  <si>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</si>
  <si>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</si>
  <si>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</si>
  <si>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</si>
  <si>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</si>
  <si>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</si>
  <si>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</si>
  <si>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</si>
  <si>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</si>
  <si>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</si>
  <si>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</si>
  <si>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</si>
  <si>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</si>
  <si>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</si>
  <si>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</si>
  <si>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</si>
  <si>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</si>
  <si>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</si>
  <si>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</si>
  <si>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</si>
  <si>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</si>
  <si>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</si>
  <si>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</si>
  <si>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</si>
  <si>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</si>
  <si>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</si>
  <si>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0639.HK owner-FCF component DCF: base case (millions, HKD)</t>
  </si>
  <si>
    <t xml:space="preserve">0639.HK owner-FCF component DCF: bull case (millions, HKD)</t>
  </si>
  <si>
    <t xml:space="preserve">0639.HK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</si>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</sst>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3471.922</v>
      </c>
      <c r="C2" s="0" t="n">
        <v>1596.518</v>
      </c>
      <c r="D2" s="0" t="n">
        <v>1875.404</v>
      </c>
      <c r="E2" s="0" t="n">
        <v>54</v>
      </c>
      <c r="F2" s="0" t="n">
        <v>1565.558</v>
      </c>
      <c r="G2" s="0" t="n">
        <v>45.1</v>
      </c>
      <c r="I2" s="0" t="n">
        <v>1080.649</v>
      </c>
      <c r="J2" s="0" t="n">
        <v>31.1</v>
      </c>
      <c r="K2" s="0" t="n">
        <v>0.2038</v>
      </c>
      <c r="L2" s="0" t="n">
        <v>1535.692</v>
      </c>
      <c r="M2" s="0" t="n">
        <v>445.358</v>
      </c>
      <c r="N2" s="0" t="n">
        <v>1090.334</v>
      </c>
      <c r="O2" s="0" t="n">
        <v>15934.812</v>
      </c>
      <c r="P2" s="0" t="n">
        <v>21694.645</v>
      </c>
      <c r="Q2" s="0" t="n">
        <v>4318.962</v>
      </c>
      <c r="R2" s="0" t="n">
        <v>0</v>
      </c>
      <c r="S2" s="0" t="n">
        <v>4864.467</v>
      </c>
      <c r="T2" s="0" t="n">
        <v>5301.837</v>
      </c>
      <c r="U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3686.176</v>
      </c>
      <c r="C3" s="0" t="n">
        <v>1785.634</v>
      </c>
      <c r="D3" s="0" t="n">
        <v>1900.542</v>
      </c>
      <c r="E3" s="0" t="n">
        <v>51.6</v>
      </c>
      <c r="F3" s="0" t="n">
        <v>1515.264</v>
      </c>
      <c r="G3" s="0" t="n">
        <v>41.1</v>
      </c>
      <c r="H3" s="0" t="n">
        <v>1903.092</v>
      </c>
      <c r="I3" s="0" t="n">
        <v>1100.488</v>
      </c>
      <c r="J3" s="0" t="n">
        <v>29.9</v>
      </c>
      <c r="K3" s="0" t="n">
        <v>0.2076</v>
      </c>
      <c r="L3" s="0" t="n">
        <v>1642.851</v>
      </c>
      <c r="M3" s="0" t="n">
        <v>913.435</v>
      </c>
      <c r="N3" s="0" t="n">
        <v>729.416</v>
      </c>
      <c r="O3" s="0" t="n">
        <v>15384.116</v>
      </c>
      <c r="P3" s="0" t="n">
        <v>21251.042</v>
      </c>
      <c r="Q3" s="0" t="n">
        <v>4475.236</v>
      </c>
      <c r="R3" s="0" t="n">
        <v>0</v>
      </c>
      <c r="S3" s="0" t="n">
        <v>4307.335</v>
      </c>
      <c r="T3" s="0" t="n">
        <v>5301.837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3869.308</v>
      </c>
      <c r="C4" s="0" t="n">
        <v>1880.565</v>
      </c>
      <c r="D4" s="0" t="n">
        <v>1988.743</v>
      </c>
      <c r="E4" s="0" t="n">
        <v>51.4</v>
      </c>
      <c r="F4" s="0" t="n">
        <v>1500.972</v>
      </c>
      <c r="G4" s="0" t="n">
        <v>38.8</v>
      </c>
      <c r="H4" s="0" t="n">
        <v>1946.522</v>
      </c>
      <c r="I4" s="0" t="n">
        <v>1140.413</v>
      </c>
      <c r="J4" s="0" t="n">
        <v>29.5</v>
      </c>
      <c r="K4" s="0" t="n">
        <v>0.2151</v>
      </c>
      <c r="L4" s="0" t="n">
        <v>1922.241</v>
      </c>
      <c r="M4" s="0" t="n">
        <v>628.292</v>
      </c>
      <c r="N4" s="0" t="n">
        <v>1293.949</v>
      </c>
      <c r="O4" s="0" t="n">
        <v>15681.58</v>
      </c>
      <c r="P4" s="0" t="n">
        <v>21472.71</v>
      </c>
      <c r="Q4" s="0" t="n">
        <v>4426.398</v>
      </c>
      <c r="R4" s="0" t="n">
        <v>0</v>
      </c>
      <c r="S4" s="0" t="n">
        <v>4761.884</v>
      </c>
      <c r="T4" s="0" t="n">
        <v>5301.837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3996.951</v>
      </c>
      <c r="C5" s="0" t="n">
        <v>2127.744</v>
      </c>
      <c r="D5" s="0" t="n">
        <v>1869.207</v>
      </c>
      <c r="E5" s="0" t="n">
        <v>46.8</v>
      </c>
      <c r="F5" s="0" t="n">
        <v>1517.57</v>
      </c>
      <c r="G5" s="0" t="n">
        <v>38</v>
      </c>
      <c r="H5" s="0" t="n">
        <v>2082.183</v>
      </c>
      <c r="I5" s="0" t="n">
        <v>1080.041</v>
      </c>
      <c r="J5" s="0" t="n">
        <v>27</v>
      </c>
      <c r="K5" s="0" t="n">
        <v>0.2062</v>
      </c>
      <c r="L5" s="0" t="n">
        <v>836.818</v>
      </c>
      <c r="M5" s="0" t="n">
        <v>469.074</v>
      </c>
      <c r="N5" s="0" t="n">
        <v>367.744</v>
      </c>
      <c r="O5" s="0" t="n">
        <v>15837.166</v>
      </c>
      <c r="P5" s="0" t="n">
        <v>21433.646</v>
      </c>
      <c r="Q5" s="0" t="n">
        <v>4142.576</v>
      </c>
      <c r="R5" s="0" t="n">
        <v>0</v>
      </c>
      <c r="S5" s="0" t="n">
        <v>4062.115</v>
      </c>
      <c r="T5" s="0" t="n">
        <v>5051.837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7075.818</v>
      </c>
      <c r="C6" s="0" t="n">
        <v>2681.244</v>
      </c>
      <c r="D6" s="0" t="n">
        <v>4394.574</v>
      </c>
      <c r="E6" s="0" t="n">
        <v>62.1</v>
      </c>
      <c r="F6" s="0" t="n">
        <v>4063.856</v>
      </c>
      <c r="G6" s="0" t="n">
        <v>57.4</v>
      </c>
      <c r="H6" s="0" t="n">
        <v>4665.066</v>
      </c>
      <c r="I6" s="0" t="n">
        <v>2538.495</v>
      </c>
      <c r="J6" s="0" t="n">
        <v>35.9</v>
      </c>
      <c r="K6" s="0" t="n">
        <v>0.5025</v>
      </c>
      <c r="L6" s="0" t="n">
        <v>3858.089</v>
      </c>
      <c r="M6" s="0" t="n">
        <v>495.363</v>
      </c>
      <c r="N6" s="0" t="n">
        <v>3362.726</v>
      </c>
      <c r="O6" s="0" t="n">
        <v>17300.083</v>
      </c>
      <c r="P6" s="0" t="n">
        <v>24779.977</v>
      </c>
      <c r="Q6" s="0" t="n">
        <v>5631.759</v>
      </c>
      <c r="R6" s="0" t="n">
        <v>0</v>
      </c>
      <c r="S6" s="0" t="n">
        <v>6425.886</v>
      </c>
      <c r="T6" s="0" t="n">
        <v>5051.837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8214.719</v>
      </c>
      <c r="C7" s="0" t="n">
        <v>2925.125</v>
      </c>
      <c r="D7" s="0" t="n">
        <v>5289.594</v>
      </c>
      <c r="E7" s="0" t="n">
        <v>64.4</v>
      </c>
      <c r="F7" s="0" t="n">
        <v>4520.186</v>
      </c>
      <c r="G7" s="0" t="n">
        <v>55</v>
      </c>
      <c r="H7" s="0" t="n">
        <v>5105.803</v>
      </c>
      <c r="I7" s="0" t="n">
        <v>2715.374</v>
      </c>
      <c r="J7" s="0" t="n">
        <v>33.1</v>
      </c>
      <c r="K7" s="0" t="n">
        <v>0.5375</v>
      </c>
      <c r="L7" s="0" t="n">
        <v>3847.566</v>
      </c>
      <c r="M7" s="0" t="n">
        <v>385.577</v>
      </c>
      <c r="N7" s="0" t="n">
        <v>3461.989</v>
      </c>
      <c r="O7" s="0" t="n">
        <v>16768.677</v>
      </c>
      <c r="P7" s="0" t="n">
        <v>23463.484</v>
      </c>
      <c r="Q7" s="0" t="n">
        <v>4786.265</v>
      </c>
      <c r="R7" s="0" t="n">
        <v>0</v>
      </c>
      <c r="S7" s="0" t="n">
        <v>6013.623</v>
      </c>
      <c r="T7" s="0" t="n">
        <v>5051.837</v>
      </c>
      <c r="U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5891.068</v>
      </c>
      <c r="C8" s="0" t="n">
        <v>2425.04</v>
      </c>
      <c r="D8" s="0" t="n">
        <v>3466.028</v>
      </c>
      <c r="E8" s="0" t="n">
        <v>58.8</v>
      </c>
      <c r="F8" s="0" t="n">
        <v>3048.2</v>
      </c>
      <c r="G8" s="0" t="n">
        <v>51.7</v>
      </c>
      <c r="H8" s="0" t="n">
        <v>3748.926</v>
      </c>
      <c r="I8" s="0" t="n">
        <v>1889.247</v>
      </c>
      <c r="J8" s="0" t="n">
        <v>32.1</v>
      </c>
      <c r="K8" s="0" t="n">
        <v>0.3755</v>
      </c>
      <c r="L8" s="0" t="n">
        <v>4543.011</v>
      </c>
      <c r="M8" s="0" t="n">
        <v>507.13</v>
      </c>
      <c r="N8" s="0" t="n">
        <v>4035.881</v>
      </c>
      <c r="O8" s="0" t="n">
        <v>16281.846</v>
      </c>
      <c r="P8" s="0" t="n">
        <v>22491.544</v>
      </c>
      <c r="Q8" s="0" t="n">
        <v>4021.026</v>
      </c>
      <c r="R8" s="0" t="n">
        <v>0</v>
      </c>
      <c r="S8" s="0" t="n">
        <v>7944.731</v>
      </c>
      <c r="T8" s="0" t="n">
        <v>4926.837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5057</v>
      </c>
      <c r="C9" s="0" t="n">
        <v>2468.686</v>
      </c>
      <c r="D9" s="0" t="n">
        <v>2588.314</v>
      </c>
      <c r="E9" s="0" t="n">
        <v>51.2</v>
      </c>
      <c r="F9" s="0" t="n">
        <v>2340.863</v>
      </c>
      <c r="G9" s="0" t="n">
        <v>46.3</v>
      </c>
      <c r="H9" s="0" t="n">
        <v>2890.372</v>
      </c>
      <c r="I9" s="0" t="n">
        <v>1494.066</v>
      </c>
      <c r="J9" s="0" t="n">
        <v>29.5</v>
      </c>
      <c r="K9" s="0" t="n">
        <v>0.3012</v>
      </c>
      <c r="L9" s="0" t="n">
        <v>2369.874</v>
      </c>
      <c r="M9" s="0" t="n">
        <v>447.701</v>
      </c>
      <c r="N9" s="0" t="n">
        <v>1922.173</v>
      </c>
      <c r="O9" s="0" t="n">
        <v>16480.074</v>
      </c>
      <c r="P9" s="0" t="n">
        <v>22948.823</v>
      </c>
      <c r="Q9" s="0" t="n">
        <v>4047.566</v>
      </c>
      <c r="R9" s="0" t="n">
        <v>0</v>
      </c>
      <c r="S9" s="0" t="n">
        <v>9181.322</v>
      </c>
      <c r="T9" s="0" t="n">
        <v>5091.065</v>
      </c>
      <c r="U9" s="0" t="n">
        <v>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5055.75</v>
      </c>
      <c r="C10" s="0" t="n">
        <v>3971.78</v>
      </c>
      <c r="D10" s="0" t="n">
        <v>1083.97</v>
      </c>
      <c r="E10" s="0" t="n">
        <v>21.4</v>
      </c>
      <c r="F10" s="0" t="n">
        <v>879.682</v>
      </c>
      <c r="G10" s="0" t="n">
        <v>17.4</v>
      </c>
      <c r="H10" s="0" t="n">
        <v>1450.887</v>
      </c>
      <c r="I10" s="0" t="n">
        <v>632.499</v>
      </c>
      <c r="J10" s="0" t="n">
        <v>12.5</v>
      </c>
      <c r="K10" s="0" t="n">
        <v>0.1242</v>
      </c>
      <c r="L10" s="0" t="n">
        <v>917.089</v>
      </c>
      <c r="M10" s="0" t="n">
        <v>358.774</v>
      </c>
      <c r="N10" s="0" t="n">
        <v>558.315</v>
      </c>
      <c r="O10" s="0" t="n">
        <v>16435.008</v>
      </c>
      <c r="P10" s="0" t="n">
        <v>22189.284</v>
      </c>
      <c r="Q10" s="0" t="n">
        <v>3805.083</v>
      </c>
      <c r="R10" s="0" t="n">
        <v>0</v>
      </c>
      <c r="S10" s="0" t="n">
        <v>7994.947</v>
      </c>
      <c r="T10" s="0" t="n">
        <v>5091.065</v>
      </c>
      <c r="U10" s="0" t="n">
        <v>0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2.78</v>
      </c>
    </row>
    <row r="3" customFormat="false" ht="15" hidden="false" customHeight="false" outlineLevel="0" collapsed="false">
      <c r="A3" s="0" t="s">
        <v>75</v>
      </c>
      <c r="B3" s="3" t="n">
        <v>5091.066</v>
      </c>
    </row>
    <row r="4" customFormat="false" ht="15" hidden="false" customHeight="false" outlineLevel="0" collapsed="false">
      <c r="A4" s="0" t="s">
        <v>76</v>
      </c>
      <c r="B4" s="3" t="n">
        <v>-9010.7</v>
      </c>
    </row>
    <row r="5" customFormat="false" ht="15" hidden="false" customHeight="false" outlineLevel="0" collapsed="false">
      <c r="A5" s="0" t="s">
        <v>77</v>
      </c>
      <c r="B5" s="3" t="n">
        <v>-1237.2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5055.75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24</v>
      </c>
      <c r="D13" s="3" t="n">
        <v>-18</v>
      </c>
      <c r="E13" s="3" t="n">
        <v>0</v>
      </c>
      <c r="F13" s="3" t="n">
        <v>1</v>
      </c>
      <c r="G13" s="3" t="n">
        <v>-1</v>
      </c>
      <c r="H13" s="3" t="n">
        <v>0</v>
      </c>
      <c r="I13" s="3" t="n">
        <v>-12</v>
      </c>
      <c r="J13" s="3" t="n">
        <v>-25</v>
      </c>
      <c r="K13" s="3" t="n">
        <v>-40</v>
      </c>
      <c r="L13" s="3" t="n">
        <v>-55</v>
      </c>
    </row>
    <row r="14" customFormat="false" ht="15" hidden="false" customHeight="false" outlineLevel="0" collapsed="false">
      <c r="A14" s="0" t="s">
        <v>96</v>
      </c>
      <c r="C14" s="3" t="n">
        <v>40</v>
      </c>
      <c r="D14" s="3" t="n">
        <v>32</v>
      </c>
      <c r="E14" s="3" t="n">
        <v>32</v>
      </c>
      <c r="F14" s="3" t="n">
        <v>32</v>
      </c>
      <c r="G14" s="3" t="n">
        <v>32</v>
      </c>
      <c r="H14" s="3" t="n">
        <v>32</v>
      </c>
      <c r="I14" s="3" t="n">
        <v>30</v>
      </c>
      <c r="J14" s="3" t="n">
        <v>27</v>
      </c>
      <c r="K14" s="3" t="n">
        <v>22</v>
      </c>
      <c r="L14" s="3" t="n">
        <v>15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11</v>
      </c>
      <c r="D17" s="3" t="n">
        <v>11</v>
      </c>
      <c r="E17" s="3" t="n">
        <v>11</v>
      </c>
      <c r="F17" s="3" t="n">
        <v>11</v>
      </c>
      <c r="G17" s="3" t="n">
        <v>11</v>
      </c>
      <c r="H17" s="3" t="n">
        <v>11</v>
      </c>
      <c r="I17" s="3" t="n">
        <v>11</v>
      </c>
      <c r="J17" s="3" t="n">
        <v>11</v>
      </c>
      <c r="K17" s="3" t="n">
        <v>11</v>
      </c>
      <c r="L17" s="3" t="n">
        <v>11</v>
      </c>
    </row>
    <row r="18" customFormat="false" ht="15" hidden="false" customHeight="false" outlineLevel="0" collapsed="false">
      <c r="A18" s="0" t="s">
        <v>100</v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7.5</v>
      </c>
      <c r="H18" s="3" t="n">
        <v>6.5</v>
      </c>
      <c r="I18" s="3" t="n">
        <v>5</v>
      </c>
      <c r="J18" s="3" t="n">
        <v>3</v>
      </c>
      <c r="K18" s="3" t="n">
        <v>2</v>
      </c>
      <c r="L18" s="3" t="n">
        <v>1</v>
      </c>
    </row>
    <row r="19" customFormat="false" ht="15" hidden="false" customHeight="false" outlineLevel="0" collapsed="false">
      <c r="A19" s="0" t="s">
        <v>101</v>
      </c>
      <c r="C19" s="3" t="n">
        <v>42</v>
      </c>
      <c r="D19" s="3" t="n">
        <v>42</v>
      </c>
      <c r="E19" s="3" t="n">
        <v>42</v>
      </c>
      <c r="F19" s="3" t="n">
        <v>42</v>
      </c>
      <c r="G19" s="3" t="n">
        <v>42</v>
      </c>
      <c r="H19" s="3" t="n">
        <v>42</v>
      </c>
      <c r="I19" s="3" t="n">
        <v>42</v>
      </c>
      <c r="J19" s="3" t="n">
        <v>42</v>
      </c>
      <c r="K19" s="3" t="n">
        <v>42</v>
      </c>
      <c r="L19" s="3" t="n">
        <v>42</v>
      </c>
    </row>
    <row r="20" customFormat="false" ht="15" hidden="false" customHeight="false" outlineLevel="0" collapsed="false">
      <c r="A20" s="0" t="s">
        <v>102</v>
      </c>
      <c r="B20" s="3" t="n">
        <v>12.5</v>
      </c>
    </row>
    <row r="21" customFormat="false" ht="15" hidden="false" customHeight="false" outlineLevel="0" collapsed="false">
      <c r="A21" s="0" t="s">
        <v>103</v>
      </c>
      <c r="B21" s="3" t="n">
        <v>0</v>
      </c>
    </row>
    <row r="22" customFormat="false" ht="15" hidden="false" customHeight="false" outlineLevel="0" collapsed="false">
      <c r="A22" s="0" t="s">
        <v>104</v>
      </c>
      <c r="B22" s="3" t="n">
        <v>0.01</v>
      </c>
    </row>
    <row r="23" customFormat="false" ht="15" hidden="false" customHeight="false" outlineLevel="0" collapsed="false">
      <c r="A23" s="0" t="s">
        <v>105</v>
      </c>
      <c r="B23" s="3" t="n">
        <v>-5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27.6</v>
      </c>
      <c r="D27" s="3" t="n">
        <v>-8</v>
      </c>
      <c r="E27" s="3" t="n">
        <v>1</v>
      </c>
      <c r="F27" s="3" t="n">
        <v>1</v>
      </c>
      <c r="G27" s="3" t="n">
        <v>-1</v>
      </c>
      <c r="H27" s="3" t="n">
        <v>1</v>
      </c>
      <c r="I27" s="3" t="n">
        <v>-1</v>
      </c>
      <c r="J27" s="3" t="n">
        <v>-14</v>
      </c>
      <c r="K27" s="3" t="n">
        <v>-31</v>
      </c>
      <c r="L27" s="3" t="n">
        <v>-49</v>
      </c>
    </row>
    <row r="28" customFormat="false" ht="15" hidden="false" customHeight="false" outlineLevel="0" collapsed="false">
      <c r="A28" s="0" t="s">
        <v>96</v>
      </c>
      <c r="C28" s="3" t="n">
        <v>42</v>
      </c>
      <c r="D28" s="3" t="n">
        <v>40</v>
      </c>
      <c r="E28" s="3" t="n">
        <v>40</v>
      </c>
      <c r="F28" s="3" t="n">
        <v>40</v>
      </c>
      <c r="G28" s="3" t="n">
        <v>40</v>
      </c>
      <c r="H28" s="3" t="n">
        <v>40</v>
      </c>
      <c r="I28" s="3" t="n">
        <v>39</v>
      </c>
      <c r="J28" s="3" t="n">
        <v>37</v>
      </c>
      <c r="K28" s="3" t="n">
        <v>33</v>
      </c>
      <c r="L28" s="3" t="n">
        <v>28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11</v>
      </c>
      <c r="D31" s="3" t="n">
        <v>11</v>
      </c>
      <c r="E31" s="3" t="n">
        <v>11</v>
      </c>
      <c r="F31" s="3" t="n">
        <v>11</v>
      </c>
      <c r="G31" s="3" t="n">
        <v>11</v>
      </c>
      <c r="H31" s="3" t="n">
        <v>11</v>
      </c>
      <c r="I31" s="3" t="n">
        <v>11</v>
      </c>
      <c r="J31" s="3" t="n">
        <v>11</v>
      </c>
      <c r="K31" s="3" t="n">
        <v>11</v>
      </c>
      <c r="L31" s="3" t="n">
        <v>11</v>
      </c>
    </row>
    <row r="32" customFormat="false" ht="15" hidden="false" customHeight="false" outlineLevel="0" collapsed="false">
      <c r="A32" s="0" t="s">
        <v>100</v>
      </c>
      <c r="C32" s="3" t="n">
        <v>7.5</v>
      </c>
      <c r="D32" s="3" t="n">
        <v>7.5</v>
      </c>
      <c r="E32" s="3" t="n">
        <v>7.5</v>
      </c>
      <c r="F32" s="3" t="n">
        <v>7.5</v>
      </c>
      <c r="G32" s="3" t="n">
        <v>7.5</v>
      </c>
      <c r="H32" s="3" t="n">
        <v>7</v>
      </c>
      <c r="I32" s="3" t="n">
        <v>6</v>
      </c>
      <c r="J32" s="3" t="n">
        <v>4</v>
      </c>
      <c r="K32" s="3" t="n">
        <v>2</v>
      </c>
      <c r="L32" s="3" t="n">
        <v>1</v>
      </c>
    </row>
    <row r="33" customFormat="false" ht="15" hidden="false" customHeight="false" outlineLevel="0" collapsed="false">
      <c r="A33" s="0" t="s">
        <v>101</v>
      </c>
      <c r="C33" s="3" t="n">
        <v>42</v>
      </c>
      <c r="D33" s="3" t="n">
        <v>42</v>
      </c>
      <c r="E33" s="3" t="n">
        <v>42</v>
      </c>
      <c r="F33" s="3" t="n">
        <v>42</v>
      </c>
      <c r="G33" s="3" t="n">
        <v>42</v>
      </c>
      <c r="H33" s="3" t="n">
        <v>42</v>
      </c>
      <c r="I33" s="3" t="n">
        <v>42</v>
      </c>
      <c r="J33" s="3" t="n">
        <v>42</v>
      </c>
      <c r="K33" s="3" t="n">
        <v>42</v>
      </c>
      <c r="L33" s="3" t="n">
        <v>42</v>
      </c>
    </row>
    <row r="34" customFormat="false" ht="15" hidden="false" customHeight="false" outlineLevel="0" collapsed="false">
      <c r="A34" s="0" t="s">
        <v>102</v>
      </c>
      <c r="B34" s="3" t="n">
        <v>12.5</v>
      </c>
    </row>
    <row r="35" customFormat="false" ht="15" hidden="false" customHeight="false" outlineLevel="0" collapsed="false">
      <c r="A35" s="0" t="s">
        <v>103</v>
      </c>
      <c r="B35" s="3" t="n">
        <v>0</v>
      </c>
    </row>
    <row r="36" customFormat="false" ht="15" hidden="false" customHeight="false" outlineLevel="0" collapsed="false">
      <c r="A36" s="0" t="s">
        <v>104</v>
      </c>
      <c r="B36" s="3" t="n">
        <v>1</v>
      </c>
    </row>
    <row r="37" customFormat="false" ht="15" hidden="false" customHeight="false" outlineLevel="0" collapsed="false">
      <c r="A37" s="0" t="s">
        <v>105</v>
      </c>
      <c r="B37" s="3" t="n">
        <v>-5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30</v>
      </c>
      <c r="D41" s="3" t="n">
        <v>3</v>
      </c>
      <c r="E41" s="3" t="n">
        <v>2</v>
      </c>
      <c r="F41" s="3" t="n">
        <v>2</v>
      </c>
      <c r="G41" s="3" t="n">
        <v>1</v>
      </c>
      <c r="H41" s="3" t="n">
        <v>1</v>
      </c>
      <c r="I41" s="3" t="n">
        <v>1</v>
      </c>
      <c r="J41" s="3" t="n">
        <v>-5</v>
      </c>
      <c r="K41" s="3" t="n">
        <v>-15</v>
      </c>
      <c r="L41" s="3" t="n">
        <v>-25</v>
      </c>
    </row>
    <row r="42" customFormat="false" ht="15" hidden="false" customHeight="false" outlineLevel="0" collapsed="false">
      <c r="A42" s="0" t="s">
        <v>96</v>
      </c>
      <c r="C42" s="3" t="n">
        <v>43</v>
      </c>
      <c r="D42" s="3" t="n">
        <v>45</v>
      </c>
      <c r="E42" s="3" t="n">
        <v>45</v>
      </c>
      <c r="F42" s="3" t="n">
        <v>45</v>
      </c>
      <c r="G42" s="3" t="n">
        <v>45</v>
      </c>
      <c r="H42" s="3" t="n">
        <v>45</v>
      </c>
      <c r="I42" s="3" t="n">
        <v>44</v>
      </c>
      <c r="J42" s="3" t="n">
        <v>43</v>
      </c>
      <c r="K42" s="3" t="n">
        <v>41</v>
      </c>
      <c r="L42" s="3" t="n">
        <v>38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11</v>
      </c>
      <c r="D45" s="3" t="n">
        <v>11</v>
      </c>
      <c r="E45" s="3" t="n">
        <v>11</v>
      </c>
      <c r="F45" s="3" t="n">
        <v>11</v>
      </c>
      <c r="G45" s="3" t="n">
        <v>11</v>
      </c>
      <c r="H45" s="3" t="n">
        <v>11</v>
      </c>
      <c r="I45" s="3" t="n">
        <v>11</v>
      </c>
      <c r="J45" s="3" t="n">
        <v>11</v>
      </c>
      <c r="K45" s="3" t="n">
        <v>11</v>
      </c>
      <c r="L45" s="3" t="n">
        <v>11</v>
      </c>
    </row>
    <row r="46" customFormat="false" ht="15" hidden="false" customHeight="false" outlineLevel="0" collapsed="false">
      <c r="A46" s="0" t="s">
        <v>100</v>
      </c>
      <c r="C46" s="3" t="n">
        <v>7.5</v>
      </c>
      <c r="D46" s="3" t="n">
        <v>7.5</v>
      </c>
      <c r="E46" s="3" t="n">
        <v>7.5</v>
      </c>
      <c r="F46" s="3" t="n">
        <v>7.5</v>
      </c>
      <c r="G46" s="3" t="n">
        <v>7.5</v>
      </c>
      <c r="H46" s="3" t="n">
        <v>7.5</v>
      </c>
      <c r="I46" s="3" t="n">
        <v>7</v>
      </c>
      <c r="J46" s="3" t="n">
        <v>6</v>
      </c>
      <c r="K46" s="3" t="n">
        <v>5</v>
      </c>
      <c r="L46" s="3" t="n">
        <v>4</v>
      </c>
    </row>
    <row r="47" customFormat="false" ht="15" hidden="false" customHeight="false" outlineLevel="0" collapsed="false">
      <c r="A47" s="0" t="s">
        <v>101</v>
      </c>
      <c r="C47" s="3" t="n">
        <v>42</v>
      </c>
      <c r="D47" s="3" t="n">
        <v>42</v>
      </c>
      <c r="E47" s="3" t="n">
        <v>42</v>
      </c>
      <c r="F47" s="3" t="n">
        <v>42</v>
      </c>
      <c r="G47" s="3" t="n">
        <v>42</v>
      </c>
      <c r="H47" s="3" t="n">
        <v>42</v>
      </c>
      <c r="I47" s="3" t="n">
        <v>42</v>
      </c>
      <c r="J47" s="3" t="n">
        <v>42</v>
      </c>
      <c r="K47" s="3" t="n">
        <v>42</v>
      </c>
      <c r="L47" s="3" t="n">
        <v>42</v>
      </c>
    </row>
    <row r="48" customFormat="false" ht="15" hidden="false" customHeight="false" outlineLevel="0" collapsed="false">
      <c r="A48" s="0" t="s">
        <v>102</v>
      </c>
      <c r="B48" s="3" t="n">
        <v>12.5</v>
      </c>
    </row>
    <row r="49" customFormat="false" ht="15" hidden="false" customHeight="false" outlineLevel="0" collapsed="false">
      <c r="A49" s="0" t="s">
        <v>103</v>
      </c>
      <c r="B49" s="3" t="n">
        <v>0</v>
      </c>
    </row>
    <row r="50" customFormat="false" ht="15" hidden="false" customHeight="false" outlineLevel="0" collapsed="false">
      <c r="A50" s="0" t="s">
        <v>104</v>
      </c>
      <c r="B50" s="3" t="n">
        <v>4</v>
      </c>
    </row>
    <row r="51" customFormat="false" ht="15" hidden="false" customHeight="false" outlineLevel="0" collapsed="false">
      <c r="A51" s="0" t="s">
        <v>105</v>
      </c>
      <c r="B51" s="3" t="n">
        <v>-5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24</v>
      </c>
      <c r="D5" s="4" t="n">
        <f aca="false">Assumptions!D13</f>
        <v>-18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-12</v>
      </c>
      <c r="J5" s="4" t="n">
        <f aca="false">Assumptions!J13</f>
        <v>-25</v>
      </c>
      <c r="K5" s="4" t="n">
        <f aca="false">Assumptions!K13</f>
        <v>-40</v>
      </c>
      <c r="L5" s="4" t="n">
        <f aca="false">Assumptions!L13</f>
        <v>-55</v>
      </c>
    </row>
    <row r="6" customFormat="false" ht="15" hidden="false" customHeight="false" outlineLevel="0" collapsed="false">
      <c r="A6" s="0" t="s">
        <v>37</v>
      </c>
      <c r="B6" s="3" t="n">
        <v>5055.75</v>
      </c>
      <c r="C6" s="0" t="n">
        <f aca="false">B6*(1+C5/100)</f>
        <v>6269.13</v>
      </c>
      <c r="D6" s="0" t="n">
        <f aca="false">C6*(1+D5/100)</f>
        <v>5140.6866</v>
      </c>
      <c r="E6" s="0" t="n">
        <f aca="false">D6*(1+E5/100)</f>
        <v>5140.6866</v>
      </c>
      <c r="F6" s="0" t="n">
        <f aca="false">E6*(1+F5/100)</f>
        <v>5192.093466</v>
      </c>
      <c r="G6" s="0" t="n">
        <f aca="false">F6*(1+G5/100)</f>
        <v>5140.17253134</v>
      </c>
      <c r="H6" s="0" t="n">
        <f aca="false">G6*(1+H5/100)</f>
        <v>5140.17253134</v>
      </c>
      <c r="I6" s="0" t="n">
        <f aca="false">H6*(1+I5/100)</f>
        <v>4523.3518275792</v>
      </c>
      <c r="J6" s="0" t="n">
        <f aca="false">I6*(1+J5/100)</f>
        <v>3392.5138706844</v>
      </c>
      <c r="K6" s="0" t="n">
        <f aca="false">J6*(1+K5/100)</f>
        <v>2035.50832241064</v>
      </c>
      <c r="L6" s="0" t="n">
        <f aca="false">K6*(1+L5/100)</f>
        <v>915.978745084788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40</v>
      </c>
      <c r="D7" s="4" t="n">
        <f aca="false">Assumptions!D14</f>
        <v>32</v>
      </c>
      <c r="E7" s="4" t="n">
        <f aca="false">Assumptions!E14</f>
        <v>32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30</v>
      </c>
      <c r="J7" s="4" t="n">
        <f aca="false">Assumptions!J14</f>
        <v>27</v>
      </c>
      <c r="K7" s="4" t="n">
        <f aca="false">Assumptions!K14</f>
        <v>22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2507.652</v>
      </c>
      <c r="D8" s="0" t="n">
        <f aca="false">D6*D7/100</f>
        <v>1645.019712</v>
      </c>
      <c r="E8" s="0" t="n">
        <f aca="false">E6*E7/100</f>
        <v>1645.019712</v>
      </c>
      <c r="F8" s="0" t="n">
        <f aca="false">F6*F7/100</f>
        <v>1661.46990912</v>
      </c>
      <c r="G8" s="0" t="n">
        <f aca="false">G6*G7/100</f>
        <v>1644.8552100288</v>
      </c>
      <c r="H8" s="0" t="n">
        <f aca="false">H6*H7/100</f>
        <v>1644.8552100288</v>
      </c>
      <c r="I8" s="0" t="n">
        <f aca="false">I6*I7/100</f>
        <v>1357.00554827376</v>
      </c>
      <c r="J8" s="0" t="n">
        <f aca="false">J6*J7/100</f>
        <v>915.978745084788</v>
      </c>
      <c r="K8" s="0" t="n">
        <f aca="false">K6*K7/100</f>
        <v>447.811830930341</v>
      </c>
      <c r="L8" s="0" t="n">
        <f aca="false">L6*L7/100</f>
        <v>137.396811762718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-10.2813732</v>
      </c>
      <c r="E10" s="0" t="n">
        <f aca="false">-E6*E9/100</f>
        <v>-10.2813732</v>
      </c>
      <c r="F10" s="0" t="n">
        <f aca="false">-F6*F9/100</f>
        <v>-10.384186932</v>
      </c>
      <c r="G10" s="0" t="n">
        <f aca="false">-G6*G9/100</f>
        <v>-10.28034506268</v>
      </c>
      <c r="H10" s="0" t="n">
        <f aca="false">-H6*H9/100</f>
        <v>-10.28034506268</v>
      </c>
      <c r="I10" s="0" t="n">
        <f aca="false">-I6*I9/100</f>
        <v>-9.0467036551584</v>
      </c>
      <c r="J10" s="0" t="n">
        <f aca="false">-J6*J9/100</f>
        <v>-6.7850277413688</v>
      </c>
      <c r="K10" s="0" t="n">
        <f aca="false">-K6*K9/100</f>
        <v>-4.07101664482128</v>
      </c>
      <c r="L10" s="0" t="n">
        <f aca="false">-L6*L9/100</f>
        <v>-1.83195749016958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2507.652</v>
      </c>
      <c r="D11" s="0" t="n">
        <f aca="false">D8+D10+D24</f>
        <v>1634.7383388</v>
      </c>
      <c r="E11" s="0" t="n">
        <f aca="false">E8+E10+E24</f>
        <v>1634.7383388</v>
      </c>
      <c r="F11" s="0" t="n">
        <f aca="false">F8+F10+F24</f>
        <v>1651.085722188</v>
      </c>
      <c r="G11" s="0" t="n">
        <f aca="false">G8+G10+G24</f>
        <v>1634.57486496612</v>
      </c>
      <c r="H11" s="0" t="n">
        <f aca="false">H8+H10+H24</f>
        <v>1634.57486496612</v>
      </c>
      <c r="I11" s="0" t="n">
        <f aca="false">I8+I10+I24</f>
        <v>1347.9588446186</v>
      </c>
      <c r="J11" s="0" t="n">
        <f aca="false">J8+J10+J24</f>
        <v>909.193717343419</v>
      </c>
      <c r="K11" s="0" t="n">
        <f aca="false">K8+K10+K24</f>
        <v>443.74081428552</v>
      </c>
      <c r="L11" s="0" t="n">
        <f aca="false">L8+L10+L24</f>
        <v>135.564854272549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-689.6043</v>
      </c>
      <c r="D12" s="4" t="n">
        <f aca="false">-D6*Assumptions!D17/100</f>
        <v>-565.475526</v>
      </c>
      <c r="E12" s="4" t="n">
        <f aca="false">-E6*Assumptions!E17/100</f>
        <v>-565.475526</v>
      </c>
      <c r="F12" s="4" t="n">
        <f aca="false">-F6*Assumptions!F17/100</f>
        <v>-571.13028126</v>
      </c>
      <c r="G12" s="4" t="n">
        <f aca="false">-G6*Assumptions!G17/100</f>
        <v>-565.4189784474</v>
      </c>
      <c r="H12" s="4" t="n">
        <f aca="false">-H6*Assumptions!H17/100</f>
        <v>-565.4189784474</v>
      </c>
      <c r="I12" s="4" t="n">
        <f aca="false">-I6*Assumptions!I17/100</f>
        <v>-497.568701033712</v>
      </c>
      <c r="J12" s="4" t="n">
        <f aca="false">-J6*Assumptions!J17/100</f>
        <v>-373.176525775284</v>
      </c>
      <c r="K12" s="4" t="n">
        <f aca="false">-K6*Assumptions!K17/100</f>
        <v>-223.90591546517</v>
      </c>
      <c r="L12" s="4" t="n">
        <f aca="false">-L6*Assumptions!L17/100</f>
        <v>-100.757661959327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1818.0477</v>
      </c>
      <c r="D13" s="0" t="n">
        <f aca="false">D11+D12</f>
        <v>1069.2628128</v>
      </c>
      <c r="E13" s="0" t="n">
        <f aca="false">E11+E12</f>
        <v>1069.2628128</v>
      </c>
      <c r="F13" s="0" t="n">
        <f aca="false">F11+F12</f>
        <v>1079.955440928</v>
      </c>
      <c r="G13" s="0" t="n">
        <f aca="false">G11+G12</f>
        <v>1069.15588651872</v>
      </c>
      <c r="H13" s="0" t="n">
        <f aca="false">H11+H12</f>
        <v>1069.15588651872</v>
      </c>
      <c r="I13" s="0" t="n">
        <f aca="false">I11+I12</f>
        <v>850.39014358489</v>
      </c>
      <c r="J13" s="0" t="n">
        <f aca="false">J11+J12</f>
        <v>536.017191568135</v>
      </c>
      <c r="K13" s="0" t="n">
        <f aca="false">K11+K12</f>
        <v>219.834898820349</v>
      </c>
      <c r="L13" s="0" t="n">
        <f aca="false">L11+L12</f>
        <v>34.807192313222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42</v>
      </c>
      <c r="F14" s="4" t="n">
        <f aca="false">Assumptions!F19</f>
        <v>42</v>
      </c>
      <c r="G14" s="4" t="n">
        <f aca="false">Assumptions!G19</f>
        <v>42</v>
      </c>
      <c r="H14" s="4" t="n">
        <f aca="false">Assumptions!H19</f>
        <v>42</v>
      </c>
      <c r="I14" s="4" t="n">
        <f aca="false">Assumptions!I19</f>
        <v>42</v>
      </c>
      <c r="J14" s="4" t="n">
        <f aca="false">Assumptions!J19</f>
        <v>42</v>
      </c>
      <c r="K14" s="4" t="n">
        <f aca="false">Assumptions!K19</f>
        <v>42</v>
      </c>
      <c r="L14" s="4" t="n">
        <f aca="false">Assumptions!L19</f>
        <v>42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1054.467666</v>
      </c>
      <c r="D15" s="0" t="n">
        <f aca="false">D13-MAX(0,D13)*D14/100</f>
        <v>620.172431424</v>
      </c>
      <c r="E15" s="0" t="n">
        <f aca="false">E13-MAX(0,E13)*E14/100</f>
        <v>620.172431424</v>
      </c>
      <c r="F15" s="0" t="n">
        <f aca="false">F13-MAX(0,F13)*F14/100</f>
        <v>626.37415573824</v>
      </c>
      <c r="G15" s="0" t="n">
        <f aca="false">G13-MAX(0,G13)*G14/100</f>
        <v>620.110414180858</v>
      </c>
      <c r="H15" s="0" t="n">
        <f aca="false">H13-MAX(0,H13)*H14/100</f>
        <v>620.110414180858</v>
      </c>
      <c r="I15" s="0" t="n">
        <f aca="false">I13-MAX(0,I13)*I14/100</f>
        <v>493.226283279236</v>
      </c>
      <c r="J15" s="0" t="n">
        <f aca="false">J13-MAX(0,J13)*J14/100</f>
        <v>310.889971109519</v>
      </c>
      <c r="K15" s="0" t="n">
        <f aca="false">K13-MAX(0,K13)*K14/100</f>
        <v>127.504241315803</v>
      </c>
      <c r="L15" s="0" t="n">
        <f aca="false">L13-MAX(0,L13)*L14/100</f>
        <v>20.1881715416687</v>
      </c>
    </row>
    <row r="16" customFormat="false" ht="15" hidden="false" customHeight="false" outlineLevel="0" collapsed="false">
      <c r="A16" s="0" t="s">
        <v>117</v>
      </c>
      <c r="C16" s="0" t="n">
        <f aca="false">-C12</f>
        <v>689.6043</v>
      </c>
      <c r="D16" s="0" t="n">
        <f aca="false">-D12</f>
        <v>565.475526</v>
      </c>
      <c r="E16" s="0" t="n">
        <f aca="false">-E12</f>
        <v>565.475526</v>
      </c>
      <c r="F16" s="0" t="n">
        <f aca="false">-F12</f>
        <v>571.13028126</v>
      </c>
      <c r="G16" s="0" t="n">
        <f aca="false">-G12</f>
        <v>565.4189784474</v>
      </c>
      <c r="H16" s="0" t="n">
        <f aca="false">-H12</f>
        <v>565.4189784474</v>
      </c>
      <c r="I16" s="0" t="n">
        <f aca="false">-I12</f>
        <v>497.568701033712</v>
      </c>
      <c r="J16" s="0" t="n">
        <f aca="false">-J12</f>
        <v>373.176525775284</v>
      </c>
      <c r="K16" s="0" t="n">
        <f aca="false">-K12</f>
        <v>223.90591546517</v>
      </c>
      <c r="L16" s="0" t="n">
        <f aca="false">-L12</f>
        <v>100.757661959327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-470.18475</v>
      </c>
      <c r="D17" s="4" t="n">
        <f aca="false">-D6*Assumptions!D18/100</f>
        <v>-385.551495</v>
      </c>
      <c r="E17" s="4" t="n">
        <f aca="false">-E6*Assumptions!E18/100</f>
        <v>-385.551495</v>
      </c>
      <c r="F17" s="4" t="n">
        <f aca="false">-F6*Assumptions!F18/100</f>
        <v>-389.40700995</v>
      </c>
      <c r="G17" s="4" t="n">
        <f aca="false">-G6*Assumptions!G18/100</f>
        <v>-385.5129398505</v>
      </c>
      <c r="H17" s="4" t="n">
        <f aca="false">-H6*Assumptions!H18/100</f>
        <v>-334.1112145371</v>
      </c>
      <c r="I17" s="4" t="n">
        <f aca="false">-I6*Assumptions!I18/100</f>
        <v>-226.16759137896</v>
      </c>
      <c r="J17" s="4" t="n">
        <f aca="false">-J6*Assumptions!J18/100</f>
        <v>-101.775416120532</v>
      </c>
      <c r="K17" s="4" t="n">
        <f aca="false">-K6*Assumptions!K18/100</f>
        <v>-40.7101664482128</v>
      </c>
      <c r="L17" s="4" t="n">
        <f aca="false">-L6*Assumptions!L18/100</f>
        <v>-9.15978745084788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-60.669</v>
      </c>
      <c r="D18" s="4" t="n">
        <f aca="false">(D6-C6)*Assumptions!$B$23/100</f>
        <v>56.42217</v>
      </c>
      <c r="E18" s="4" t="n">
        <f aca="false">(E6-D6)*Assumptions!$B$23/100</f>
        <v>-0</v>
      </c>
      <c r="F18" s="4" t="n">
        <f aca="false">(F6-E6)*Assumptions!$B$23/100</f>
        <v>-2.57034330000001</v>
      </c>
      <c r="G18" s="4" t="n">
        <f aca="false">(G6-F6)*Assumptions!$B$23/100</f>
        <v>2.596046733</v>
      </c>
      <c r="H18" s="4" t="n">
        <f aca="false">(H6-G6)*Assumptions!$B$23/100</f>
        <v>-0</v>
      </c>
      <c r="I18" s="4" t="n">
        <f aca="false">(I6-H6)*Assumptions!$B$23/100</f>
        <v>30.84103518804</v>
      </c>
      <c r="J18" s="4" t="n">
        <f aca="false">(J6-I6)*Assumptions!$B$23/100</f>
        <v>56.54189784474</v>
      </c>
      <c r="K18" s="4" t="n">
        <f aca="false">(K6-J6)*Assumptions!$B$23/100</f>
        <v>67.850277413688</v>
      </c>
      <c r="L18" s="4" t="n">
        <f aca="false">(L6-K6)*Assumptions!$B$23/100</f>
        <v>55.9764788662926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1213.218216</v>
      </c>
      <c r="D19" s="0" t="n">
        <f aca="false">D15+D16+D17+D18</f>
        <v>856.518632424</v>
      </c>
      <c r="E19" s="0" t="n">
        <f aca="false">E15+E16+E17+E18</f>
        <v>800.096462424</v>
      </c>
      <c r="F19" s="0" t="n">
        <f aca="false">F15+F16+F17+F18</f>
        <v>805.52708374824</v>
      </c>
      <c r="G19" s="0" t="n">
        <f aca="false">G15+G16+G17+G18</f>
        <v>802.612499510758</v>
      </c>
      <c r="H19" s="0" t="n">
        <f aca="false">H15+H16+H17+H18</f>
        <v>851.418178091158</v>
      </c>
      <c r="I19" s="0" t="n">
        <f aca="false">I15+I16+I17+I18</f>
        <v>795.468428122028</v>
      </c>
      <c r="J19" s="0" t="n">
        <f aca="false">J15+J16+J17+J18</f>
        <v>638.832978609011</v>
      </c>
      <c r="K19" s="0" t="n">
        <f aca="false">K15+K16+K17+K18</f>
        <v>378.550267746448</v>
      </c>
      <c r="L19" s="0" t="n">
        <f aca="false">L15+L16+L17+L18</f>
        <v>167.76252491644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1078.416192</v>
      </c>
      <c r="D21" s="0" t="n">
        <f aca="false">D19*D20</f>
        <v>676.755462656</v>
      </c>
      <c r="E21" s="0" t="n">
        <f aca="false">E19*E20</f>
        <v>561.933317916445</v>
      </c>
      <c r="F21" s="0" t="n">
        <f aca="false">F19*F20</f>
        <v>502.886592750006</v>
      </c>
      <c r="G21" s="0" t="n">
        <f aca="false">G19*G20</f>
        <v>445.392917474784</v>
      </c>
      <c r="H21" s="0" t="n">
        <f aca="false">H19*H20</f>
        <v>419.979201600043</v>
      </c>
      <c r="I21" s="0" t="n">
        <f aca="false">I19*I20</f>
        <v>348.782984998014</v>
      </c>
      <c r="J21" s="0" t="n">
        <f aca="false">J19*J20</f>
        <v>248.981539617077</v>
      </c>
      <c r="K21" s="0" t="n">
        <f aca="false">K19*K20</f>
        <v>131.144733728112</v>
      </c>
      <c r="L21" s="0" t="n">
        <f aca="false">L19*L20</f>
        <v>51.6618232693028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0.01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4465.93476600978</v>
      </c>
    </row>
    <row r="31" customFormat="false" ht="15" hidden="false" customHeight="false" outlineLevel="0" collapsed="false">
      <c r="A31" s="0" t="s">
        <v>126</v>
      </c>
      <c r="B31" s="0" t="n">
        <f aca="false">L19</f>
        <v>167.76252491644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1342.10019933152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1.6776252491644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1.6776252491644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0.516618232693028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4466.45138424248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12239.9513842425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2.40420206381973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-0.135179113733909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41.1887071221869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4.51315401415929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2.41317893843427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1.6776252491644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2.33492686599754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27.6</v>
      </c>
      <c r="D5" s="4" t="n">
        <f aca="false">Assumptions!D27</f>
        <v>-8</v>
      </c>
      <c r="E5" s="4" t="n">
        <f aca="false">Assumptions!E27</f>
        <v>1</v>
      </c>
      <c r="F5" s="4" t="n">
        <f aca="false">Assumptions!F27</f>
        <v>1</v>
      </c>
      <c r="G5" s="4" t="n">
        <f aca="false">Assumptions!G27</f>
        <v>-1</v>
      </c>
      <c r="H5" s="4" t="n">
        <f aca="false">Assumptions!H27</f>
        <v>1</v>
      </c>
      <c r="I5" s="4" t="n">
        <f aca="false">Assumptions!I27</f>
        <v>-1</v>
      </c>
      <c r="J5" s="4" t="n">
        <f aca="false">Assumptions!J27</f>
        <v>-14</v>
      </c>
      <c r="K5" s="4" t="n">
        <f aca="false">Assumptions!K27</f>
        <v>-31</v>
      </c>
      <c r="L5" s="4" t="n">
        <f aca="false">Assumptions!L27</f>
        <v>-49</v>
      </c>
    </row>
    <row r="6" customFormat="false" ht="15" hidden="false" customHeight="false" outlineLevel="0" collapsed="false">
      <c r="A6" s="0" t="s">
        <v>37</v>
      </c>
      <c r="B6" s="3" t="n">
        <v>5055.75</v>
      </c>
      <c r="C6" s="0" t="n">
        <f aca="false">B6*(1+C5/100)</f>
        <v>6451.137</v>
      </c>
      <c r="D6" s="0" t="n">
        <f aca="false">C6*(1+D5/100)</f>
        <v>5935.04604</v>
      </c>
      <c r="E6" s="0" t="n">
        <f aca="false">D6*(1+E5/100)</f>
        <v>5994.3965004</v>
      </c>
      <c r="F6" s="0" t="n">
        <f aca="false">E6*(1+F5/100)</f>
        <v>6054.340465404</v>
      </c>
      <c r="G6" s="0" t="n">
        <f aca="false">F6*(1+G5/100)</f>
        <v>5993.79706074996</v>
      </c>
      <c r="H6" s="0" t="n">
        <f aca="false">G6*(1+H5/100)</f>
        <v>6053.73503135746</v>
      </c>
      <c r="I6" s="0" t="n">
        <f aca="false">H6*(1+I5/100)</f>
        <v>5993.19768104389</v>
      </c>
      <c r="J6" s="0" t="n">
        <f aca="false">I6*(1+J5/100)</f>
        <v>5154.15000569774</v>
      </c>
      <c r="K6" s="0" t="n">
        <f aca="false">J6*(1+K5/100)</f>
        <v>3556.36350393144</v>
      </c>
      <c r="L6" s="0" t="n">
        <f aca="false">K6*(1+L5/100)</f>
        <v>1813.74538700504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42</v>
      </c>
      <c r="D7" s="4" t="n">
        <f aca="false">Assumptions!D28</f>
        <v>40</v>
      </c>
      <c r="E7" s="4" t="n">
        <f aca="false">Assumptions!E28</f>
        <v>40</v>
      </c>
      <c r="F7" s="4" t="n">
        <f aca="false">Assumptions!F28</f>
        <v>40</v>
      </c>
      <c r="G7" s="4" t="n">
        <f aca="false">Assumptions!G28</f>
        <v>40</v>
      </c>
      <c r="H7" s="4" t="n">
        <f aca="false">Assumptions!H28</f>
        <v>40</v>
      </c>
      <c r="I7" s="4" t="n">
        <f aca="false">Assumptions!I28</f>
        <v>39</v>
      </c>
      <c r="J7" s="4" t="n">
        <f aca="false">Assumptions!J28</f>
        <v>37</v>
      </c>
      <c r="K7" s="4" t="n">
        <f aca="false">Assumptions!K28</f>
        <v>33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2709.47754</v>
      </c>
      <c r="D8" s="0" t="n">
        <f aca="false">D6*D7/100</f>
        <v>2374.018416</v>
      </c>
      <c r="E8" s="0" t="n">
        <f aca="false">E6*E7/100</f>
        <v>2397.75860016</v>
      </c>
      <c r="F8" s="0" t="n">
        <f aca="false">F6*F7/100</f>
        <v>2421.7361861616</v>
      </c>
      <c r="G8" s="0" t="n">
        <f aca="false">G6*G7/100</f>
        <v>2397.51882429998</v>
      </c>
      <c r="H8" s="0" t="n">
        <f aca="false">H6*H7/100</f>
        <v>2421.49401254298</v>
      </c>
      <c r="I8" s="0" t="n">
        <f aca="false">I6*I7/100</f>
        <v>2337.34709560712</v>
      </c>
      <c r="J8" s="0" t="n">
        <f aca="false">J6*J7/100</f>
        <v>1907.03550210816</v>
      </c>
      <c r="K8" s="0" t="n">
        <f aca="false">K6*K7/100</f>
        <v>1173.59995629738</v>
      </c>
      <c r="L8" s="0" t="n">
        <f aca="false">L6*L7/100</f>
        <v>507.84870836141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-11.87009208</v>
      </c>
      <c r="E10" s="0" t="n">
        <f aca="false">-E6*E9/100</f>
        <v>-11.9887930008</v>
      </c>
      <c r="F10" s="0" t="n">
        <f aca="false">-F6*F9/100</f>
        <v>-12.108680930808</v>
      </c>
      <c r="G10" s="0" t="n">
        <f aca="false">-G6*G9/100</f>
        <v>-11.9875941214999</v>
      </c>
      <c r="H10" s="0" t="n">
        <f aca="false">-H6*H9/100</f>
        <v>-12.1074700627149</v>
      </c>
      <c r="I10" s="0" t="n">
        <f aca="false">-I6*I9/100</f>
        <v>-11.9863953620878</v>
      </c>
      <c r="J10" s="0" t="n">
        <f aca="false">-J6*J9/100</f>
        <v>-10.3083000113955</v>
      </c>
      <c r="K10" s="0" t="n">
        <f aca="false">-K6*K9/100</f>
        <v>-7.11272700786288</v>
      </c>
      <c r="L10" s="0" t="n">
        <f aca="false">-L6*L9/100</f>
        <v>-3.62749077401007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2709.47754</v>
      </c>
      <c r="D11" s="0" t="n">
        <f aca="false">D8+D10+D24</f>
        <v>2362.14832392</v>
      </c>
      <c r="E11" s="0" t="n">
        <f aca="false">E8+E10+E24</f>
        <v>2385.7698071592</v>
      </c>
      <c r="F11" s="0" t="n">
        <f aca="false">F8+F10+F24</f>
        <v>2409.62750523079</v>
      </c>
      <c r="G11" s="0" t="n">
        <f aca="false">G8+G10+G24</f>
        <v>2385.53123017848</v>
      </c>
      <c r="H11" s="0" t="n">
        <f aca="false">H8+H10+H24</f>
        <v>2409.38654248027</v>
      </c>
      <c r="I11" s="0" t="n">
        <f aca="false">I8+I10+I24</f>
        <v>2325.36070024503</v>
      </c>
      <c r="J11" s="0" t="n">
        <f aca="false">J8+J10+J24</f>
        <v>1896.72720209677</v>
      </c>
      <c r="K11" s="0" t="n">
        <f aca="false">K8+K10+K24</f>
        <v>1166.48722928951</v>
      </c>
      <c r="L11" s="0" t="n">
        <f aca="false">L8+L10+L24</f>
        <v>504.2212175874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-709.62507</v>
      </c>
      <c r="D12" s="4" t="n">
        <f aca="false">-D6*Assumptions!D31/100</f>
        <v>-652.8550644</v>
      </c>
      <c r="E12" s="4" t="n">
        <f aca="false">-E6*Assumptions!E31/100</f>
        <v>-659.383615044</v>
      </c>
      <c r="F12" s="4" t="n">
        <f aca="false">-F6*Assumptions!F31/100</f>
        <v>-665.97745119444</v>
      </c>
      <c r="G12" s="4" t="n">
        <f aca="false">-G6*Assumptions!G31/100</f>
        <v>-659.317676682496</v>
      </c>
      <c r="H12" s="4" t="n">
        <f aca="false">-H6*Assumptions!H31/100</f>
        <v>-665.910853449321</v>
      </c>
      <c r="I12" s="4" t="n">
        <f aca="false">-I6*Assumptions!I31/100</f>
        <v>-659.251744914827</v>
      </c>
      <c r="J12" s="4" t="n">
        <f aca="false">-J6*Assumptions!J31/100</f>
        <v>-566.956500626752</v>
      </c>
      <c r="K12" s="4" t="n">
        <f aca="false">-K6*Assumptions!K31/100</f>
        <v>-391.199985432459</v>
      </c>
      <c r="L12" s="4" t="n">
        <f aca="false">-L6*Assumptions!L31/100</f>
        <v>-199.511992570554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1999.85247</v>
      </c>
      <c r="D13" s="0" t="n">
        <f aca="false">D11+D12</f>
        <v>1709.29325952</v>
      </c>
      <c r="E13" s="0" t="n">
        <f aca="false">E11+E12</f>
        <v>1726.3861921152</v>
      </c>
      <c r="F13" s="0" t="n">
        <f aca="false">F11+F12</f>
        <v>1743.65005403635</v>
      </c>
      <c r="G13" s="0" t="n">
        <f aca="false">G11+G12</f>
        <v>1726.21355349599</v>
      </c>
      <c r="H13" s="0" t="n">
        <f aca="false">H11+H12</f>
        <v>1743.47568903095</v>
      </c>
      <c r="I13" s="0" t="n">
        <f aca="false">I11+I12</f>
        <v>1666.1089553302</v>
      </c>
      <c r="J13" s="0" t="n">
        <f aca="false">J11+J12</f>
        <v>1329.77070147002</v>
      </c>
      <c r="K13" s="0" t="n">
        <f aca="false">K11+K12</f>
        <v>775.287243857054</v>
      </c>
      <c r="L13" s="0" t="n">
        <f aca="false">L11+L12</f>
        <v>304.709225016846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42</v>
      </c>
      <c r="D14" s="4" t="n">
        <f aca="false">Assumptions!D33</f>
        <v>42</v>
      </c>
      <c r="E14" s="4" t="n">
        <f aca="false">Assumptions!E33</f>
        <v>42</v>
      </c>
      <c r="F14" s="4" t="n">
        <f aca="false">Assumptions!F33</f>
        <v>42</v>
      </c>
      <c r="G14" s="4" t="n">
        <f aca="false">Assumptions!G33</f>
        <v>42</v>
      </c>
      <c r="H14" s="4" t="n">
        <f aca="false">Assumptions!H33</f>
        <v>42</v>
      </c>
      <c r="I14" s="4" t="n">
        <f aca="false">Assumptions!I33</f>
        <v>42</v>
      </c>
      <c r="J14" s="4" t="n">
        <f aca="false">Assumptions!J33</f>
        <v>42</v>
      </c>
      <c r="K14" s="4" t="n">
        <f aca="false">Assumptions!K33</f>
        <v>42</v>
      </c>
      <c r="L14" s="4" t="n">
        <f aca="false">Assumptions!L33</f>
        <v>42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1159.9144326</v>
      </c>
      <c r="D15" s="0" t="n">
        <f aca="false">D13-MAX(0,D13)*D14/100</f>
        <v>991.3900905216</v>
      </c>
      <c r="E15" s="0" t="n">
        <f aca="false">E13-MAX(0,E13)*E14/100</f>
        <v>1001.30399142682</v>
      </c>
      <c r="F15" s="0" t="n">
        <f aca="false">F13-MAX(0,F13)*F14/100</f>
        <v>1011.31703134108</v>
      </c>
      <c r="G15" s="0" t="n">
        <f aca="false">G13-MAX(0,G13)*G14/100</f>
        <v>1001.20386102767</v>
      </c>
      <c r="H15" s="0" t="n">
        <f aca="false">H13-MAX(0,H13)*H14/100</f>
        <v>1011.21589963795</v>
      </c>
      <c r="I15" s="0" t="n">
        <f aca="false">I13-MAX(0,I13)*I14/100</f>
        <v>966.343194091516</v>
      </c>
      <c r="J15" s="0" t="n">
        <f aca="false">J13-MAX(0,J13)*J14/100</f>
        <v>771.26700685261</v>
      </c>
      <c r="K15" s="0" t="n">
        <f aca="false">K13-MAX(0,K13)*K14/100</f>
        <v>449.666601437091</v>
      </c>
      <c r="L15" s="0" t="n">
        <f aca="false">L13-MAX(0,L13)*L14/100</f>
        <v>176.731350509771</v>
      </c>
    </row>
    <row r="16" customFormat="false" ht="15" hidden="false" customHeight="false" outlineLevel="0" collapsed="false">
      <c r="A16" s="0" t="s">
        <v>117</v>
      </c>
      <c r="C16" s="0" t="n">
        <f aca="false">-C12</f>
        <v>709.62507</v>
      </c>
      <c r="D16" s="0" t="n">
        <f aca="false">-D12</f>
        <v>652.8550644</v>
      </c>
      <c r="E16" s="0" t="n">
        <f aca="false">-E12</f>
        <v>659.383615044</v>
      </c>
      <c r="F16" s="0" t="n">
        <f aca="false">-F12</f>
        <v>665.97745119444</v>
      </c>
      <c r="G16" s="0" t="n">
        <f aca="false">-G12</f>
        <v>659.317676682496</v>
      </c>
      <c r="H16" s="0" t="n">
        <f aca="false">-H12</f>
        <v>665.910853449321</v>
      </c>
      <c r="I16" s="0" t="n">
        <f aca="false">-I12</f>
        <v>659.251744914827</v>
      </c>
      <c r="J16" s="0" t="n">
        <f aca="false">-J12</f>
        <v>566.956500626752</v>
      </c>
      <c r="K16" s="0" t="n">
        <f aca="false">-K12</f>
        <v>391.199985432459</v>
      </c>
      <c r="L16" s="0" t="n">
        <f aca="false">-L12</f>
        <v>199.511992570554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-483.835275</v>
      </c>
      <c r="D17" s="4" t="n">
        <f aca="false">-D6*Assumptions!D32/100</f>
        <v>-445.128453</v>
      </c>
      <c r="E17" s="4" t="n">
        <f aca="false">-E6*Assumptions!E32/100</f>
        <v>-449.57973753</v>
      </c>
      <c r="F17" s="4" t="n">
        <f aca="false">-F6*Assumptions!F32/100</f>
        <v>-454.0755349053</v>
      </c>
      <c r="G17" s="4" t="n">
        <f aca="false">-G6*Assumptions!G32/100</f>
        <v>-449.534779556247</v>
      </c>
      <c r="H17" s="4" t="n">
        <f aca="false">-H6*Assumptions!H32/100</f>
        <v>-423.761452195022</v>
      </c>
      <c r="I17" s="4" t="n">
        <f aca="false">-I6*Assumptions!I32/100</f>
        <v>-359.591860862633</v>
      </c>
      <c r="J17" s="4" t="n">
        <f aca="false">-J6*Assumptions!J32/100</f>
        <v>-206.16600022791</v>
      </c>
      <c r="K17" s="4" t="n">
        <f aca="false">-K6*Assumptions!K32/100</f>
        <v>-71.1272700786288</v>
      </c>
      <c r="L17" s="4" t="n">
        <f aca="false">-L6*Assumptions!L32/100</f>
        <v>-18.1374538700504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-69.76935</v>
      </c>
      <c r="D18" s="4" t="n">
        <f aca="false">(D6-C6)*Assumptions!$B$37/100</f>
        <v>25.804548</v>
      </c>
      <c r="E18" s="4" t="n">
        <f aca="false">(E6-D6)*Assumptions!$B$37/100</f>
        <v>-2.96752302</v>
      </c>
      <c r="F18" s="4" t="n">
        <f aca="false">(F6-E6)*Assumptions!$B$37/100</f>
        <v>-2.99719825020002</v>
      </c>
      <c r="G18" s="4" t="n">
        <f aca="false">(G6-F6)*Assumptions!$B$37/100</f>
        <v>3.02717023270202</v>
      </c>
      <c r="H18" s="4" t="n">
        <f aca="false">(H6-G6)*Assumptions!$B$37/100</f>
        <v>-2.99689853037498</v>
      </c>
      <c r="I18" s="4" t="n">
        <f aca="false">(I6-H6)*Assumptions!$B$37/100</f>
        <v>3.02686751567871</v>
      </c>
      <c r="J18" s="4" t="n">
        <f aca="false">(J6-I6)*Assumptions!$B$37/100</f>
        <v>41.9523837673072</v>
      </c>
      <c r="K18" s="4" t="n">
        <f aca="false">(K6-J6)*Assumptions!$B$37/100</f>
        <v>79.889325088315</v>
      </c>
      <c r="L18" s="4" t="n">
        <f aca="false">(L6-K6)*Assumptions!$B$37/100</f>
        <v>87.1309058463203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1315.9348776</v>
      </c>
      <c r="D19" s="0" t="n">
        <f aca="false">D15+D16+D17+D18</f>
        <v>1224.9212499216</v>
      </c>
      <c r="E19" s="0" t="n">
        <f aca="false">E15+E16+E17+E18</f>
        <v>1208.14034592082</v>
      </c>
      <c r="F19" s="0" t="n">
        <f aca="false">F15+F16+F17+F18</f>
        <v>1220.22174938002</v>
      </c>
      <c r="G19" s="0" t="n">
        <f aca="false">G15+G16+G17+G18</f>
        <v>1214.01392838662</v>
      </c>
      <c r="H19" s="0" t="n">
        <f aca="false">H15+H16+H17+H18</f>
        <v>1250.36840236187</v>
      </c>
      <c r="I19" s="0" t="n">
        <f aca="false">I15+I16+I17+I18</f>
        <v>1269.02994565939</v>
      </c>
      <c r="J19" s="0" t="n">
        <f aca="false">J15+J16+J17+J18</f>
        <v>1174.00989101876</v>
      </c>
      <c r="K19" s="0" t="n">
        <f aca="false">K15+K16+K17+K18</f>
        <v>849.628641879236</v>
      </c>
      <c r="L19" s="0" t="n">
        <f aca="false">L15+L16+L17+L18</f>
        <v>445.236795056594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1169.7198912</v>
      </c>
      <c r="D21" s="0" t="n">
        <f aca="false">D19*D20</f>
        <v>967.839012283734</v>
      </c>
      <c r="E21" s="0" t="n">
        <f aca="false">E19*E20</f>
        <v>848.515579028063</v>
      </c>
      <c r="F21" s="0" t="n">
        <f aca="false">F19*F20</f>
        <v>761.778430949639</v>
      </c>
      <c r="G21" s="0" t="n">
        <f aca="false">G19*G20</f>
        <v>673.691483435331</v>
      </c>
      <c r="H21" s="0" t="n">
        <f aca="false">H19*H20</f>
        <v>616.769452241643</v>
      </c>
      <c r="I21" s="0" t="n">
        <f aca="false">I19*I20</f>
        <v>556.421897904728</v>
      </c>
      <c r="J21" s="0" t="n">
        <f aca="false">J19*J20</f>
        <v>457.563713801992</v>
      </c>
      <c r="K21" s="0" t="n">
        <f aca="false">K19*K20</f>
        <v>294.344850606899</v>
      </c>
      <c r="L21" s="0" t="n">
        <f aca="false">L19*L20</f>
        <v>137.108955833023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6483.75326728505</v>
      </c>
    </row>
    <row r="31" customFormat="false" ht="15" hidden="false" customHeight="false" outlineLevel="0" collapsed="false">
      <c r="A31" s="0" t="s">
        <v>126</v>
      </c>
      <c r="B31" s="0" t="n">
        <f aca="false">L19</f>
        <v>445.236795056594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3561.89436045276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445.236795056594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445.236795056594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137.108955833023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6620.86222311807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14394.3622231181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2.82737686431841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0.0170420375246083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50.8372436091668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8.93657447615441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2.8391177881417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445.236795056594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2.71115788755043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30</v>
      </c>
      <c r="D5" s="4" t="n">
        <f aca="false">Assumptions!D41</f>
        <v>3</v>
      </c>
      <c r="E5" s="4" t="n">
        <f aca="false">Assumptions!E41</f>
        <v>2</v>
      </c>
      <c r="F5" s="4" t="n">
        <f aca="false">Assumptions!F41</f>
        <v>2</v>
      </c>
      <c r="G5" s="4" t="n">
        <f aca="false">Assumptions!G41</f>
        <v>1</v>
      </c>
      <c r="H5" s="4" t="n">
        <f aca="false">Assumptions!H41</f>
        <v>1</v>
      </c>
      <c r="I5" s="4" t="n">
        <f aca="false">Assumptions!I41</f>
        <v>1</v>
      </c>
      <c r="J5" s="4" t="n">
        <f aca="false">Assumptions!J41</f>
        <v>-5</v>
      </c>
      <c r="K5" s="4" t="n">
        <f aca="false">Assumptions!K41</f>
        <v>-15</v>
      </c>
      <c r="L5" s="4" t="n">
        <f aca="false">Assumptions!L41</f>
        <v>-25</v>
      </c>
    </row>
    <row r="6" customFormat="false" ht="15" hidden="false" customHeight="false" outlineLevel="0" collapsed="false">
      <c r="A6" s="0" t="s">
        <v>37</v>
      </c>
      <c r="B6" s="3" t="n">
        <v>5055.75</v>
      </c>
      <c r="C6" s="0" t="n">
        <f aca="false">B6*(1+C5/100)</f>
        <v>6572.475</v>
      </c>
      <c r="D6" s="0" t="n">
        <f aca="false">C6*(1+D5/100)</f>
        <v>6769.64925</v>
      </c>
      <c r="E6" s="0" t="n">
        <f aca="false">D6*(1+E5/100)</f>
        <v>6905.042235</v>
      </c>
      <c r="F6" s="0" t="n">
        <f aca="false">E6*(1+F5/100)</f>
        <v>7043.1430797</v>
      </c>
      <c r="G6" s="0" t="n">
        <f aca="false">F6*(1+G5/100)</f>
        <v>7113.574510497</v>
      </c>
      <c r="H6" s="0" t="n">
        <f aca="false">G6*(1+H5/100)</f>
        <v>7184.71025560197</v>
      </c>
      <c r="I6" s="0" t="n">
        <f aca="false">H6*(1+I5/100)</f>
        <v>7256.55735815799</v>
      </c>
      <c r="J6" s="0" t="n">
        <f aca="false">I6*(1+J5/100)</f>
        <v>6893.72949025009</v>
      </c>
      <c r="K6" s="0" t="n">
        <f aca="false">J6*(1+K5/100)</f>
        <v>5859.67006671258</v>
      </c>
      <c r="L6" s="0" t="n">
        <f aca="false">K6*(1+L5/100)</f>
        <v>4394.75255003443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43</v>
      </c>
      <c r="D7" s="4" t="n">
        <f aca="false">Assumptions!D42</f>
        <v>45</v>
      </c>
      <c r="E7" s="4" t="n">
        <f aca="false">Assumptions!E42</f>
        <v>45</v>
      </c>
      <c r="F7" s="4" t="n">
        <f aca="false">Assumptions!F42</f>
        <v>45</v>
      </c>
      <c r="G7" s="4" t="n">
        <f aca="false">Assumptions!G42</f>
        <v>45</v>
      </c>
      <c r="H7" s="4" t="n">
        <f aca="false">Assumptions!H42</f>
        <v>45</v>
      </c>
      <c r="I7" s="4" t="n">
        <f aca="false">Assumptions!I42</f>
        <v>44</v>
      </c>
      <c r="J7" s="4" t="n">
        <f aca="false">Assumptions!J42</f>
        <v>43</v>
      </c>
      <c r="K7" s="4" t="n">
        <f aca="false">Assumptions!K42</f>
        <v>41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2826.16425</v>
      </c>
      <c r="D8" s="0" t="n">
        <f aca="false">D6*D7/100</f>
        <v>3046.3421625</v>
      </c>
      <c r="E8" s="0" t="n">
        <f aca="false">E6*E7/100</f>
        <v>3107.26900575</v>
      </c>
      <c r="F8" s="0" t="n">
        <f aca="false">F6*F7/100</f>
        <v>3169.414385865</v>
      </c>
      <c r="G8" s="0" t="n">
        <f aca="false">G6*G7/100</f>
        <v>3201.10852972365</v>
      </c>
      <c r="H8" s="0" t="n">
        <f aca="false">H6*H7/100</f>
        <v>3233.11961502089</v>
      </c>
      <c r="I8" s="0" t="n">
        <f aca="false">I6*I7/100</f>
        <v>3192.88523758952</v>
      </c>
      <c r="J8" s="0" t="n">
        <f aca="false">J6*J7/100</f>
        <v>2964.30368080754</v>
      </c>
      <c r="K8" s="0" t="n">
        <f aca="false">K6*K7/100</f>
        <v>2402.46472735216</v>
      </c>
      <c r="L8" s="0" t="n">
        <f aca="false">L6*L7/100</f>
        <v>1670.00596901308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-13.5392985</v>
      </c>
      <c r="E10" s="0" t="n">
        <f aca="false">-E6*E9/100</f>
        <v>-13.81008447</v>
      </c>
      <c r="F10" s="0" t="n">
        <f aca="false">-F6*F9/100</f>
        <v>-14.0862861594</v>
      </c>
      <c r="G10" s="0" t="n">
        <f aca="false">-G6*G9/100</f>
        <v>-14.227149020994</v>
      </c>
      <c r="H10" s="0" t="n">
        <f aca="false">-H6*H9/100</f>
        <v>-14.3694205112039</v>
      </c>
      <c r="I10" s="0" t="n">
        <f aca="false">-I6*I9/100</f>
        <v>-14.513114716316</v>
      </c>
      <c r="J10" s="0" t="n">
        <f aca="false">-J6*J9/100</f>
        <v>-13.7874589805002</v>
      </c>
      <c r="K10" s="0" t="n">
        <f aca="false">-K6*K9/100</f>
        <v>-11.7193401334252</v>
      </c>
      <c r="L10" s="0" t="n">
        <f aca="false">-L6*L9/100</f>
        <v>-8.78950510006887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2826.16425</v>
      </c>
      <c r="D11" s="0" t="n">
        <f aca="false">D8+D10+D24</f>
        <v>3032.802864</v>
      </c>
      <c r="E11" s="0" t="n">
        <f aca="false">E8+E10+E24</f>
        <v>3093.45892128</v>
      </c>
      <c r="F11" s="0" t="n">
        <f aca="false">F8+F10+F24</f>
        <v>3155.3280997056</v>
      </c>
      <c r="G11" s="0" t="n">
        <f aca="false">G8+G10+G24</f>
        <v>3186.88138070266</v>
      </c>
      <c r="H11" s="0" t="n">
        <f aca="false">H8+H10+H24</f>
        <v>3218.75019450968</v>
      </c>
      <c r="I11" s="0" t="n">
        <f aca="false">I8+I10+I24</f>
        <v>3178.3721228732</v>
      </c>
      <c r="J11" s="0" t="n">
        <f aca="false">J8+J10+J24</f>
        <v>2950.51622182704</v>
      </c>
      <c r="K11" s="0" t="n">
        <f aca="false">K8+K10+K24</f>
        <v>2390.74538721873</v>
      </c>
      <c r="L11" s="0" t="n">
        <f aca="false">L8+L10+L24</f>
        <v>1661.21646391302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-722.97225</v>
      </c>
      <c r="D12" s="4" t="n">
        <f aca="false">-D6*Assumptions!D45/100</f>
        <v>-744.6614175</v>
      </c>
      <c r="E12" s="4" t="n">
        <f aca="false">-E6*Assumptions!E45/100</f>
        <v>-759.55464585</v>
      </c>
      <c r="F12" s="4" t="n">
        <f aca="false">-F6*Assumptions!F45/100</f>
        <v>-774.745738767</v>
      </c>
      <c r="G12" s="4" t="n">
        <f aca="false">-G6*Assumptions!G45/100</f>
        <v>-782.49319615467</v>
      </c>
      <c r="H12" s="4" t="n">
        <f aca="false">-H6*Assumptions!H45/100</f>
        <v>-790.318128116217</v>
      </c>
      <c r="I12" s="4" t="n">
        <f aca="false">-I6*Assumptions!I45/100</f>
        <v>-798.221309397379</v>
      </c>
      <c r="J12" s="4" t="n">
        <f aca="false">-J6*Assumptions!J45/100</f>
        <v>-758.31024392751</v>
      </c>
      <c r="K12" s="4" t="n">
        <f aca="false">-K6*Assumptions!K45/100</f>
        <v>-644.563707338383</v>
      </c>
      <c r="L12" s="4" t="n">
        <f aca="false">-L6*Assumptions!L45/100</f>
        <v>-483.422780503788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2103.192</v>
      </c>
      <c r="D13" s="0" t="n">
        <f aca="false">D11+D12</f>
        <v>2288.1414465</v>
      </c>
      <c r="E13" s="0" t="n">
        <f aca="false">E11+E12</f>
        <v>2333.90427543</v>
      </c>
      <c r="F13" s="0" t="n">
        <f aca="false">F11+F12</f>
        <v>2380.5823609386</v>
      </c>
      <c r="G13" s="0" t="n">
        <f aca="false">G11+G12</f>
        <v>2404.38818454799</v>
      </c>
      <c r="H13" s="0" t="n">
        <f aca="false">H11+H12</f>
        <v>2428.43206639347</v>
      </c>
      <c r="I13" s="0" t="n">
        <f aca="false">I11+I12</f>
        <v>2380.15081347582</v>
      </c>
      <c r="J13" s="0" t="n">
        <f aca="false">J11+J12</f>
        <v>2192.20597789953</v>
      </c>
      <c r="K13" s="0" t="n">
        <f aca="false">K11+K12</f>
        <v>1746.18167988035</v>
      </c>
      <c r="L13" s="0" t="n">
        <f aca="false">L11+L12</f>
        <v>1177.79368340923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42</v>
      </c>
      <c r="D14" s="4" t="n">
        <f aca="false">Assumptions!D47</f>
        <v>42</v>
      </c>
      <c r="E14" s="4" t="n">
        <f aca="false">Assumptions!E47</f>
        <v>42</v>
      </c>
      <c r="F14" s="4" t="n">
        <f aca="false">Assumptions!F47</f>
        <v>42</v>
      </c>
      <c r="G14" s="4" t="n">
        <f aca="false">Assumptions!G47</f>
        <v>42</v>
      </c>
      <c r="H14" s="4" t="n">
        <f aca="false">Assumptions!H47</f>
        <v>42</v>
      </c>
      <c r="I14" s="4" t="n">
        <f aca="false">Assumptions!I47</f>
        <v>42</v>
      </c>
      <c r="J14" s="4" t="n">
        <f aca="false">Assumptions!J47</f>
        <v>42</v>
      </c>
      <c r="K14" s="4" t="n">
        <f aca="false">Assumptions!K47</f>
        <v>42</v>
      </c>
      <c r="L14" s="4" t="n">
        <f aca="false">Assumptions!L47</f>
        <v>42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1219.85136</v>
      </c>
      <c r="D15" s="0" t="n">
        <f aca="false">D13-MAX(0,D13)*D14/100</f>
        <v>1327.12203897</v>
      </c>
      <c r="E15" s="0" t="n">
        <f aca="false">E13-MAX(0,E13)*E14/100</f>
        <v>1353.6644797494</v>
      </c>
      <c r="F15" s="0" t="n">
        <f aca="false">F13-MAX(0,F13)*F14/100</f>
        <v>1380.73776934439</v>
      </c>
      <c r="G15" s="0" t="n">
        <f aca="false">G13-MAX(0,G13)*G14/100</f>
        <v>1394.54514703783</v>
      </c>
      <c r="H15" s="0" t="n">
        <f aca="false">H13-MAX(0,H13)*H14/100</f>
        <v>1408.49059850821</v>
      </c>
      <c r="I15" s="0" t="n">
        <f aca="false">I13-MAX(0,I13)*I14/100</f>
        <v>1380.48747181598</v>
      </c>
      <c r="J15" s="0" t="n">
        <f aca="false">J13-MAX(0,J13)*J14/100</f>
        <v>1271.47946718173</v>
      </c>
      <c r="K15" s="0" t="n">
        <f aca="false">K13-MAX(0,K13)*K14/100</f>
        <v>1012.7853743306</v>
      </c>
      <c r="L15" s="0" t="n">
        <f aca="false">L13-MAX(0,L13)*L14/100</f>
        <v>683.120336377352</v>
      </c>
    </row>
    <row r="16" customFormat="false" ht="15" hidden="false" customHeight="false" outlineLevel="0" collapsed="false">
      <c r="A16" s="0" t="s">
        <v>117</v>
      </c>
      <c r="C16" s="0" t="n">
        <f aca="false">-C12</f>
        <v>722.97225</v>
      </c>
      <c r="D16" s="0" t="n">
        <f aca="false">-D12</f>
        <v>744.6614175</v>
      </c>
      <c r="E16" s="0" t="n">
        <f aca="false">-E12</f>
        <v>759.55464585</v>
      </c>
      <c r="F16" s="0" t="n">
        <f aca="false">-F12</f>
        <v>774.745738767</v>
      </c>
      <c r="G16" s="0" t="n">
        <f aca="false">-G12</f>
        <v>782.49319615467</v>
      </c>
      <c r="H16" s="0" t="n">
        <f aca="false">-H12</f>
        <v>790.318128116217</v>
      </c>
      <c r="I16" s="0" t="n">
        <f aca="false">-I12</f>
        <v>798.221309397379</v>
      </c>
      <c r="J16" s="0" t="n">
        <f aca="false">-J12</f>
        <v>758.31024392751</v>
      </c>
      <c r="K16" s="0" t="n">
        <f aca="false">-K12</f>
        <v>644.563707338383</v>
      </c>
      <c r="L16" s="0" t="n">
        <f aca="false">-L12</f>
        <v>483.422780503788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-492.935625</v>
      </c>
      <c r="D17" s="4" t="n">
        <f aca="false">-D6*Assumptions!D46/100</f>
        <v>-507.72369375</v>
      </c>
      <c r="E17" s="4" t="n">
        <f aca="false">-E6*Assumptions!E46/100</f>
        <v>-517.878167625</v>
      </c>
      <c r="F17" s="4" t="n">
        <f aca="false">-F6*Assumptions!F46/100</f>
        <v>-528.2357309775</v>
      </c>
      <c r="G17" s="4" t="n">
        <f aca="false">-G6*Assumptions!G46/100</f>
        <v>-533.518088287275</v>
      </c>
      <c r="H17" s="4" t="n">
        <f aca="false">-H6*Assumptions!H46/100</f>
        <v>-538.853269170148</v>
      </c>
      <c r="I17" s="4" t="n">
        <f aca="false">-I6*Assumptions!I46/100</f>
        <v>-507.959015071059</v>
      </c>
      <c r="J17" s="4" t="n">
        <f aca="false">-J6*Assumptions!J46/100</f>
        <v>-413.623769415005</v>
      </c>
      <c r="K17" s="4" t="n">
        <f aca="false">-K6*Assumptions!K46/100</f>
        <v>-292.983503335629</v>
      </c>
      <c r="L17" s="4" t="n">
        <f aca="false">-L6*Assumptions!L46/100</f>
        <v>-175.790102001377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-75.83625</v>
      </c>
      <c r="D18" s="4" t="n">
        <f aca="false">(D6-C6)*Assumptions!$B$51/100</f>
        <v>-9.8587125</v>
      </c>
      <c r="E18" s="4" t="n">
        <f aca="false">(E6-D6)*Assumptions!$B$51/100</f>
        <v>-6.76964925000002</v>
      </c>
      <c r="F18" s="4" t="n">
        <f aca="false">(F6-E6)*Assumptions!$B$51/100</f>
        <v>-6.90504223500002</v>
      </c>
      <c r="G18" s="4" t="n">
        <f aca="false">(G6-F6)*Assumptions!$B$51/100</f>
        <v>-3.52157153984999</v>
      </c>
      <c r="H18" s="4" t="n">
        <f aca="false">(H6-G6)*Assumptions!$B$51/100</f>
        <v>-3.55678725524849</v>
      </c>
      <c r="I18" s="4" t="n">
        <f aca="false">(I6-H6)*Assumptions!$B$51/100</f>
        <v>-3.59235512780101</v>
      </c>
      <c r="J18" s="4" t="n">
        <f aca="false">(J6-I6)*Assumptions!$B$51/100</f>
        <v>18.141393395395</v>
      </c>
      <c r="K18" s="4" t="n">
        <f aca="false">(K6-J6)*Assumptions!$B$51/100</f>
        <v>51.7029711768757</v>
      </c>
      <c r="L18" s="4" t="n">
        <f aca="false">(L6-K6)*Assumptions!$B$51/100</f>
        <v>73.2458758339072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1374.051735</v>
      </c>
      <c r="D19" s="0" t="n">
        <f aca="false">D15+D16+D17+D18</f>
        <v>1554.20105022</v>
      </c>
      <c r="E19" s="0" t="n">
        <f aca="false">E15+E16+E17+E18</f>
        <v>1588.5713087244</v>
      </c>
      <c r="F19" s="0" t="n">
        <f aca="false">F15+F16+F17+F18</f>
        <v>1620.34273489889</v>
      </c>
      <c r="G19" s="0" t="n">
        <f aca="false">G15+G16+G17+G18</f>
        <v>1639.99868336538</v>
      </c>
      <c r="H19" s="0" t="n">
        <f aca="false">H15+H16+H17+H18</f>
        <v>1656.39867019903</v>
      </c>
      <c r="I19" s="0" t="n">
        <f aca="false">I15+I16+I17+I18</f>
        <v>1667.1574110145</v>
      </c>
      <c r="J19" s="0" t="n">
        <f aca="false">J15+J16+J17+J18</f>
        <v>1634.30733508963</v>
      </c>
      <c r="K19" s="0" t="n">
        <f aca="false">K15+K16+K17+K18</f>
        <v>1416.06854951023</v>
      </c>
      <c r="L19" s="0" t="n">
        <f aca="false">L15+L16+L17+L18</f>
        <v>1063.99889071367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1221.37932</v>
      </c>
      <c r="D21" s="0" t="n">
        <f aca="false">D19*D20</f>
        <v>1228.01070634667</v>
      </c>
      <c r="E21" s="0" t="n">
        <f aca="false">E19*E20</f>
        <v>1115.70440338394</v>
      </c>
      <c r="F21" s="0" t="n">
        <f aca="false">F19*F20</f>
        <v>1011.57199240144</v>
      </c>
      <c r="G21" s="0" t="n">
        <f aca="false">G19*G20</f>
        <v>910.082759344217</v>
      </c>
      <c r="H21" s="0" t="n">
        <f aca="false">H19*H20</f>
        <v>817.052077277919</v>
      </c>
      <c r="I21" s="0" t="n">
        <f aca="false">I19*I20</f>
        <v>730.985816304448</v>
      </c>
      <c r="J21" s="0" t="n">
        <f aca="false">J19*J20</f>
        <v>636.962038785324</v>
      </c>
      <c r="K21" s="0" t="n">
        <f aca="false">K19*K20</f>
        <v>490.5819614706</v>
      </c>
      <c r="L21" s="0" t="n">
        <f aca="false">L19*L20</f>
        <v>327.654359507063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8489.98543482162</v>
      </c>
    </row>
    <row r="31" customFormat="false" ht="15" hidden="false" customHeight="false" outlineLevel="0" collapsed="false">
      <c r="A31" s="0" t="s">
        <v>126</v>
      </c>
      <c r="B31" s="0" t="n">
        <f aca="false">L19</f>
        <v>1063.99889071367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8511.99112570936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4255.99556285468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4255.99556285468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1310.61743802825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9800.60287284987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17574.1028728499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3.45194952743686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0.241708463106785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62.6778184654359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21.6535538830529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3.46851410788985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4255.99556285468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3.24578606510884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2.40420206381973</v>
      </c>
      <c r="C4" s="0" t="n">
        <f aca="false">B4/Assumptions!$B$2-1</f>
        <v>-0.135179113733909</v>
      </c>
      <c r="D4" s="4" t="n">
        <f aca="false">Assumptions!$B$24</f>
        <v>0.25</v>
      </c>
      <c r="E4" s="4" t="n">
        <f aca="false">DCF_Bear!$B$43</f>
        <v>2.41317893843427</v>
      </c>
      <c r="F4" s="4" t="n">
        <f aca="false">DCF_Bear!$B$47</f>
        <v>2.33492686599754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2.82737686431841</v>
      </c>
      <c r="C5" s="0" t="n">
        <f aca="false">B5/Assumptions!$B$2-1</f>
        <v>0.0170420375246083</v>
      </c>
      <c r="D5" s="4" t="n">
        <f aca="false">Assumptions!$B$38</f>
        <v>0.5</v>
      </c>
      <c r="E5" s="4" t="n">
        <f aca="false">DCF_Base!$B$43</f>
        <v>2.8391177881417</v>
      </c>
      <c r="F5" s="4" t="n">
        <f aca="false">DCF_Base!$B$47</f>
        <v>2.71115788755043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3.45194952743686</v>
      </c>
      <c r="C6" s="0" t="n">
        <f aca="false">B6/Assumptions!$B$2-1</f>
        <v>0.241708463106785</v>
      </c>
      <c r="D6" s="4" t="n">
        <f aca="false">Assumptions!$B$52</f>
        <v>0.25</v>
      </c>
      <c r="E6" s="4" t="n">
        <f aca="false">DCF_Bull!$B$43</f>
        <v>3.46851410788985</v>
      </c>
      <c r="F6" s="4" t="n">
        <f aca="false">DCF_Bull!$B$47</f>
        <v>3.24578606510884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2.87772632997335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2.88998215565188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0.0339595634774135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2.75075717655181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3.0238126891401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2.9631130378822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2.90622065078943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2.85283779825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2.82737686431841</v>
      </c>
      <c r="C19" s="3" t="n">
        <v>12.5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2.71115788755043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-1</v>
      </c>
      <c r="C23" s="3" t="n">
        <v>-0.5</v>
      </c>
      <c r="D23" s="3" t="n">
        <v>0</v>
      </c>
      <c r="E23" s="3" t="n">
        <v>0.5</v>
      </c>
      <c r="F23" s="3" t="n">
        <v>1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2.93421021136899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2.93421021136899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2.93421021136899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2.93421021136899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2.93421021136899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2.87910805279118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2.87910805279118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2.87910805279118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2.87910805279118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2.87910805279118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2.82737686431841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2.82737686431841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2.82737686431841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2.82737686431841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2.82737686431841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2.77875835568503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2.77875835568503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2.77875835568503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2.77875835568503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2.77875835568503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2.73301723612348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2.73301723612348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2.73301723612348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2.73301723612348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2.73301723612348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2026-10-11T03:07:57Z</dcterms:created>
  <dc:creator>openpyxl</dc:creator>
  <dc:description/>
  <dc:language>en-NZ</dc:language>
  <cp:lastModifiedBy/>
  <dcterms:modified xsi:type="dcterms:W3CDTF">2026-10-11T03:07:57Z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