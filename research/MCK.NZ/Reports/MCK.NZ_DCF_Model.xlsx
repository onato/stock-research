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<sst xmlns="http://schemas.openxmlformats.org/spreadsheetml/2006/main" count="362" uniqueCount="167">
  <si>
    <t xml:space="preserve">Ticker</t>
  </si>
  <si>
    <t xml:space="preserve">MCK.NZ</t>
  </si>
  <si>
    <t xml:space="preserve">Company</t>
  </si>
  <si>
    <t xml:space="preserve">Millennium &amp; Copthorne Hotels New Zealand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</si>
  <si>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</si>
  <si>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</si>
  <si>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</si>
  <si>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</si>
  <si>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2026-09-25T02:13:27Z regular trading (Yahoo Finance chart API); 52-week range 2.77-3.60</t>
  </si>
  <si>
    <t xml:space="preserve">Balance sheet date</t>
  </si>
  <si>
    <t xml:space="preserve">2026-06-30 (H1 FY2026, unaudited interim - bank debt $0, cash $14.4m; lease liabilities carried at the latest disclosed FY2025 annual-report figure since H1 lease liability was not separately re-disclosed in the interim presentation)</t>
  </si>
  <si>
    <t xml:space="preserve">Model</t>
  </si>
  <si>
    <t xml:space="preserve">owner_fcf_dcf_component (hotel operating business, ex-CDI, sum-of-parts)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</si>
  <si>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</si>
  <si>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</si>
  <si>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</si>
  <si>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</si>
  <si>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</si>
  <si>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</si>
  <si>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</si>
  <si>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</si>
  <si>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2026-09-25T14:21:41Z</t>
  </si>
  <si>
    <t xml:space="preserve">Drivers file</t>
  </si>
  <si>
    <t xml:space="preserve">MCK.NZ_Drivers.json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</si>
  <si>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</si>
  <si>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</si>
  <si>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</si>
  <si>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MCK is valued as a sum-of-parts: (1) the hotel/rental/Zenith operating business on an owner-FCF DCF, mid-cycle normalized because FY2024-25 capex and FCF are depressed by a near-complete refurbishment supercycle (hotel-only capex ran ~35% of revenue in FY2025 versus a 5-8% historical norm) rather than a steady-state signal - this Drivers file backs CDI.NZ's own reported revenue/EBITDA/capex/FCF out of MCK's consolidated figures each year (FY2022-FY2025) to isolate the hotel residual; (2) MCK's 65.05% stake in CDL Investments NZ (CDI.NZ), added via the equity bridge at CDI's own separately-published house DCF value rather than blended into the hotel margin/growth path, since CDI is a structurally distinct, highly cyclical NZ land-development business; (3) the 50%-owned, equity-accounted Sofitel Brisbane Central JV, added at book carrying value since its profit is excluded from operating flows. This mirrors the sum-of-parts precedent used for TGG.NZ and GXH.NZ in this research folder. A first-principles NTA/market-value cross-check exists independently of this DCF: management's own FY2025 disclosure puts fair-market-value net asset backing at NZD 5.24/share (book NTA NZD 3.66/share at H1 FY2026), and Northington Partners' independent valuation during the 2025 takeover defense assessed control value at NZD 4.40-5.00/share (midpoint 4.70) versus the failed NZD 2.80/share offer - both sit well above this DCF's weighted intrinsic value, which is unsurprising for a controlled company where minorities cannot access asset-backing value directly (no mechanism to force a sale, wind-up or a fresh full-value offer).
key_risks_to_valuation: CDLHH NZ's ~84% ordinary shareholding (over 91% of preference shares) with no disclosed near-term intention to launch a fresh Takeovers Code offer since its self-imposed standstill lapsed around January 2026 - minority holders have no mechanism to force any value-realising event, so this DCF's per-share value may simply never be realised in a transaction; Ongoing Takeovers Code 'creep' capacity (up to 5% of ordinary shares per rolling 12 months) that can keep eroding the already-thin ~16% free float and liquidity over time; Related-party transactions with the CDL/Hong Leong Group (the Grand Millennium Auckland ground lease renewed November 2025 with a Group-affiliated landlord) compound governance-quality concerns already flagged by the November 2023 NZMDT public censure for Audit Committee composition and disclosure breaches; The hotel-only revenue/EBITDA residual used as the DCF base is derived by subtracting CDI.NZ's own reported figures from MCK's consolidated figures - this is an approximation (it does not isolate minor items like the 49%-consolidated Copthorne Bay of Islands JV or small intra-group eliminations) rather than a segment note MCK itself discloses at this granularity; CDI.NZ's own valuation (the largest single equity-bridge item, ~NZD 77m) is itself subject to NZ residential land-cycle risk, which H1 FY2026 commentary described as 'more subdued than envisaged' - a further CDI derating would flow directly through the bridge; Capex normalization is a base-case assumption, not a certainty: seismic assessment/strengthening at Copthorne Wellington Oriental Bay and further aged-infrastructure replacement could keep hotel capex elevated well beyond the modelled 6.5-7% steady state, which is the bear case's central driver</t>
  </si>
  <si>
    <t xml:space="preserve">Data sources</t>
  </si>
  <si>
    <t xml:space="preserve">price: Yahoo Finance chart API at inputs.price_as_of; 52-week range as printed there
financials: MCK.NZ_Metrics.csv (core_metrics/metrics_normalized), MCK.NZ.duckdb kpis table, MCK.NZ_Annual_FY2025.txt and MCK.NZ_HalfYear_H1-2026.txt cash-flow/segment/JV notes, CDI.NZ_Metrics.csv and CDI.NZ_DCF.json for the CDI residual and stake valuation
qualitative: MCK.NZ_Analysis.json (business model, growth drivers, risks, bull/bear case, guidance)</t>
  </si>
  <si>
    <t xml:space="preserve">Scenario narrative: bear</t>
  </si>
  <si>
    <t xml:space="preserve">Domestic/corporate travel softness persists, capex stays structurally elevated (seismic, aged-infrastructure), margin recovery stalls at 18%, and the ~84%-controlled, ~16%-free-float governance structure caps any re-rating regardless of operating performance.</t>
  </si>
  <si>
    <t xml:space="preserve">Scenario narrative: base</t>
  </si>
  <si>
    <t xml:space="preserve">The refurbishment-driven inventory unlock fades into a normal, moderate NZ hotel growth trajectory; margins recover from the current disrupted level to a mature 25% as capex normalizes off its FY2025 supercycle peak.</t>
  </si>
  <si>
    <t xml:space="preserve">Scenario narrative: bull</t>
  </si>
  <si>
    <t xml:space="preserve">Tourism recovery, City Rail Link, and the loyalty programme drive above-trend ADR/occupancy with full margin recapture to 29%, plus optionality from the Downtown Carpark and Queenstown Lakefront developments not modelled in the base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</si>
  <si>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</si>
  <si>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</si>
  <si>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</si>
  <si>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</si>
  <si>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</si>
  <si>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</si>
  <si>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</si>
  <si>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</si>
  <si>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</si>
  <si>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</si>
  <si>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</si>
  <si>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</si>
  <si>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</si>
  <si>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</si>
  <si>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</si>
  <si>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</si>
  <si>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</si>
  <si>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</si>
  <si>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</si>
  <si>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</si>
  <si>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</si>
  <si>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</si>
  <si>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</si>
  <si>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</si>
  <si>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</si>
  <si>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</si>
  <si>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</si>
  <si>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NTAPerShare</t>
  </si>
  <si>
    <t xml:space="preserve">Occupancy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</si>
  <si>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</si>
  <si>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</si>
  <si>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</si>
  <si>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</si>
  <si>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</si>
  <si>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</si>
  <si>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</si>
  <si>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</si>
  <si>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</si>
  <si>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</si>
  <si>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</si>
  <si>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</si>
  <si>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</si>
  <si>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</si>
  <si>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</si>
  <si>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</si>
  <si>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</si>
  <si>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</si>
  <si>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</si>
  <si>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</si>
  <si>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</si>
  <si>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</si>
  <si>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</si>
  <si>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</si>
  <si>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</si>
  <si>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</si>
  <si>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</si>
  <si>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</si>
  <si>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</si>
  <si>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</si>
  <si>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</si>
  <si>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</si>
  <si>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</si>
  <si>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</si>
  <si>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</si>
  <si>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</si>
  <si>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</si>
  <si>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</si>
  <si>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</si>
  <si>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</si>
  <si>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</si>
  <si>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</si>
  <si>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</si>
  <si>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</si>
  <si>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</si>
  <si>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</si>
  <si>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</si>
  <si>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MCK.NZ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</si>
  <si>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</si>
  <si>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</si>
  <si>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</si>
  <si>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</si>
  <si>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</si>
  <si>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</si>
  <si>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</si>
  <si>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</si>
  <si>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</si>
  <si>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</si>
  <si>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</si>
  <si>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</si>
  <si>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</si>
  <si>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</si>
  <si>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</si>
  <si>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</si>
  <si>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</si>
  <si>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</si>
  <si>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</si>
  <si>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</si>
  <si>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</si>
  <si>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</si>
  <si>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</si>
  <si>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</si>
  <si>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</si>
  <si>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</si>
  <si>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</si>
  <si>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</si>
  <si>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</si>
  <si>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</si>
  <si>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MCK.NZ owner-FCF component DCF: base case (millions, NZD)</t>
  </si>
  <si>
    <t xml:space="preserve">MCK.NZ owner-FCF component DCF: bull case (millions, NZD)</t>
  </si>
  <si>
    <t xml:space="preserve">MCK.NZ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</si>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</sst>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172.035</v>
      </c>
      <c r="C2" s="0" t="n">
        <v>-72.702</v>
      </c>
      <c r="D2" s="0" t="n">
        <v>99.333</v>
      </c>
      <c r="E2" s="0" t="n">
        <v>57.7</v>
      </c>
      <c r="F2" s="0" t="n">
        <v>69.661</v>
      </c>
      <c r="G2" s="0" t="n">
        <v>40.5</v>
      </c>
      <c r="H2" s="0" t="n">
        <v>75.498</v>
      </c>
      <c r="I2" s="0" t="n">
        <v>40.447</v>
      </c>
      <c r="J2" s="0" t="n">
        <v>23.5</v>
      </c>
      <c r="K2" s="0" t="n">
        <v>0.2556</v>
      </c>
      <c r="L2" s="0" t="n">
        <v>71.009</v>
      </c>
      <c r="M2" s="0" t="n">
        <v>32.565</v>
      </c>
      <c r="N2" s="0" t="n">
        <v>38.444</v>
      </c>
      <c r="O2" s="0" t="n">
        <v>489.063</v>
      </c>
      <c r="P2" s="0" t="n">
        <v>713.905</v>
      </c>
      <c r="Q2" s="0" t="n">
        <v>161.624</v>
      </c>
      <c r="R2" s="0" t="n">
        <v>71.804</v>
      </c>
      <c r="S2" s="0" t="n">
        <v>101.118</v>
      </c>
      <c r="T2" s="0" t="n">
        <v>158.318</v>
      </c>
      <c r="U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187.267</v>
      </c>
      <c r="C3" s="0" t="n">
        <v>-74.847</v>
      </c>
      <c r="D3" s="0" t="n">
        <v>112.42</v>
      </c>
      <c r="E3" s="0" t="n">
        <v>60</v>
      </c>
      <c r="F3" s="0" t="n">
        <v>72.768</v>
      </c>
      <c r="G3" s="0" t="n">
        <v>38.9</v>
      </c>
      <c r="H3" s="0" t="n">
        <v>79.25</v>
      </c>
      <c r="I3" s="0" t="n">
        <v>43.116</v>
      </c>
      <c r="J3" s="0" t="n">
        <v>23</v>
      </c>
      <c r="K3" s="0" t="n">
        <v>0.2725</v>
      </c>
      <c r="L3" s="0" t="n">
        <v>52.922</v>
      </c>
      <c r="M3" s="0" t="n">
        <v>14.466</v>
      </c>
      <c r="N3" s="0" t="n">
        <v>38.456</v>
      </c>
      <c r="O3" s="0" t="n">
        <v>588.88</v>
      </c>
      <c r="P3" s="0" t="n">
        <v>828.225</v>
      </c>
      <c r="Q3" s="0" t="n">
        <v>164.535</v>
      </c>
      <c r="R3" s="0" t="n">
        <v>66</v>
      </c>
      <c r="S3" s="0" t="n">
        <v>123.085</v>
      </c>
      <c r="T3" s="0" t="n">
        <v>158.318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218.838</v>
      </c>
      <c r="C4" s="0" t="n">
        <v>-89.004</v>
      </c>
      <c r="D4" s="0" t="n">
        <v>129.834</v>
      </c>
      <c r="E4" s="0" t="n">
        <v>59.3</v>
      </c>
      <c r="F4" s="0" t="n">
        <v>83.078</v>
      </c>
      <c r="G4" s="0" t="n">
        <v>38</v>
      </c>
      <c r="H4" s="0" t="n">
        <v>91.266</v>
      </c>
      <c r="I4" s="0" t="n">
        <v>49.375</v>
      </c>
      <c r="J4" s="0" t="n">
        <v>22.6</v>
      </c>
      <c r="K4" s="0" t="n">
        <v>0.3121</v>
      </c>
      <c r="L4" s="0" t="n">
        <v>29.686</v>
      </c>
      <c r="M4" s="0" t="n">
        <v>14.375</v>
      </c>
      <c r="N4" s="0" t="n">
        <v>15.311</v>
      </c>
      <c r="O4" s="0" t="n">
        <v>640.259</v>
      </c>
      <c r="P4" s="0" t="n">
        <v>898.182</v>
      </c>
      <c r="Q4" s="0" t="n">
        <v>174.309</v>
      </c>
      <c r="R4" s="0" t="n">
        <v>64</v>
      </c>
      <c r="S4" s="0" t="n">
        <v>122.726</v>
      </c>
      <c r="T4" s="0" t="n">
        <v>158.318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229.669</v>
      </c>
      <c r="C5" s="0" t="n">
        <v>-97.628</v>
      </c>
      <c r="D5" s="0" t="n">
        <v>132.041</v>
      </c>
      <c r="E5" s="0" t="n">
        <v>57.5</v>
      </c>
      <c r="F5" s="0" t="n">
        <v>84.237</v>
      </c>
      <c r="G5" s="0" t="n">
        <v>36.7</v>
      </c>
      <c r="H5" s="0" t="n">
        <v>92.657</v>
      </c>
      <c r="I5" s="0" t="n">
        <v>49.662</v>
      </c>
      <c r="J5" s="0" t="n">
        <v>21.6</v>
      </c>
      <c r="K5" s="0" t="n">
        <v>0.3139</v>
      </c>
      <c r="L5" s="0" t="n">
        <v>63.536</v>
      </c>
      <c r="M5" s="0" t="n">
        <v>6.917</v>
      </c>
      <c r="N5" s="0" t="n">
        <v>56.619</v>
      </c>
      <c r="O5" s="0" t="n">
        <v>436.483</v>
      </c>
      <c r="P5" s="0" t="n">
        <v>669.691</v>
      </c>
      <c r="Q5" s="0" t="n">
        <v>145.752</v>
      </c>
      <c r="R5" s="0" t="n">
        <v>67</v>
      </c>
      <c r="S5" s="0" t="n">
        <v>165.231</v>
      </c>
      <c r="T5" s="0" t="n">
        <v>158.318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171.982</v>
      </c>
      <c r="C6" s="0" t="n">
        <v>-79.815</v>
      </c>
      <c r="D6" s="0" t="n">
        <v>92.167</v>
      </c>
      <c r="E6" s="0" t="n">
        <v>53.6</v>
      </c>
      <c r="F6" s="0" t="n">
        <v>53.046</v>
      </c>
      <c r="G6" s="0" t="n">
        <v>30.8</v>
      </c>
      <c r="H6" s="0" t="n">
        <v>60.847</v>
      </c>
      <c r="I6" s="0" t="n">
        <v>48.483</v>
      </c>
      <c r="J6" s="0" t="n">
        <v>28.2</v>
      </c>
      <c r="K6" s="0" t="n">
        <v>0.3064</v>
      </c>
      <c r="L6" s="0" t="n">
        <v>86.097</v>
      </c>
      <c r="M6" s="0" t="n">
        <v>9.281</v>
      </c>
      <c r="N6" s="0" t="n">
        <v>76.816</v>
      </c>
      <c r="O6" s="0" t="n">
        <v>474.67</v>
      </c>
      <c r="P6" s="0" t="n">
        <v>664.149</v>
      </c>
      <c r="Q6" s="0" t="n">
        <v>94.167</v>
      </c>
      <c r="R6" s="0" t="n">
        <v>38</v>
      </c>
      <c r="S6" s="0" t="n">
        <v>198.04</v>
      </c>
      <c r="T6" s="0" t="n">
        <v>158.318</v>
      </c>
      <c r="U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164.772</v>
      </c>
      <c r="C7" s="0" t="n">
        <v>-78.513</v>
      </c>
      <c r="D7" s="0" t="n">
        <v>86.259</v>
      </c>
      <c r="E7" s="0" t="n">
        <v>52.4</v>
      </c>
      <c r="F7" s="0" t="n">
        <v>64.406</v>
      </c>
      <c r="G7" s="0" t="n">
        <v>39.1</v>
      </c>
      <c r="H7" s="0" t="n">
        <v>71.823</v>
      </c>
      <c r="I7" s="0" t="n">
        <v>40.049</v>
      </c>
      <c r="J7" s="0" t="n">
        <v>24.3</v>
      </c>
      <c r="K7" s="0" t="n">
        <v>0.2531</v>
      </c>
      <c r="L7" s="0" t="n">
        <v>29.019</v>
      </c>
      <c r="M7" s="0" t="n">
        <v>24.058</v>
      </c>
      <c r="N7" s="0" t="n">
        <v>4.961</v>
      </c>
      <c r="O7" s="0" t="n">
        <v>514.189</v>
      </c>
      <c r="P7" s="0" t="n">
        <v>680.796</v>
      </c>
      <c r="Q7" s="0" t="n">
        <v>62.997</v>
      </c>
      <c r="R7" s="0" t="n">
        <v>1</v>
      </c>
      <c r="S7" s="0" t="n">
        <v>179.639</v>
      </c>
      <c r="T7" s="0" t="n">
        <v>158.318</v>
      </c>
      <c r="U7" s="0" t="n">
        <v>0</v>
      </c>
      <c r="AA7" s="0" t="s">
        <v>17</v>
      </c>
      <c r="AB7" s="0" t="s">
        <v>14</v>
      </c>
      <c r="AC7" s="0" t="n">
        <v>3.25</v>
      </c>
      <c r="AD7" s="0" t="n">
        <v>36.1</v>
      </c>
    </row>
    <row r="8" customFormat="false" ht="15" hidden="false" customHeight="false" outlineLevel="0" collapsed="false">
      <c r="A8" s="0" t="s">
        <v>71</v>
      </c>
      <c r="B8" s="0" t="n">
        <v>144.198</v>
      </c>
      <c r="F8" s="0" t="n">
        <v>43.242</v>
      </c>
      <c r="G8" s="0" t="n">
        <v>30</v>
      </c>
      <c r="I8" s="0" t="n">
        <v>21.713</v>
      </c>
      <c r="J8" s="0" t="n">
        <v>15.1</v>
      </c>
      <c r="K8" s="0" t="n">
        <v>0.1372</v>
      </c>
      <c r="P8" s="0" t="n">
        <v>709.186</v>
      </c>
      <c r="Q8" s="0" t="n">
        <v>66.485</v>
      </c>
      <c r="R8" s="0" t="n">
        <v>0</v>
      </c>
      <c r="S8" s="0" t="n">
        <v>173.333</v>
      </c>
      <c r="T8" s="0" t="n">
        <v>158.318</v>
      </c>
      <c r="U8" s="0" t="n">
        <v>0</v>
      </c>
      <c r="AA8" s="0" t="s">
        <v>17</v>
      </c>
      <c r="AB8" s="0" t="s">
        <v>14</v>
      </c>
      <c r="AC8" s="0" t="n">
        <v>3.35</v>
      </c>
      <c r="AD8" s="0" t="n">
        <v>43.7</v>
      </c>
    </row>
    <row r="9" customFormat="false" ht="15" hidden="false" customHeight="false" outlineLevel="0" collapsed="false">
      <c r="A9" s="0" t="s">
        <v>72</v>
      </c>
      <c r="B9" s="0" t="n">
        <v>145.7</v>
      </c>
      <c r="F9" s="0" t="n">
        <v>32.1</v>
      </c>
      <c r="G9" s="0" t="n">
        <v>22</v>
      </c>
      <c r="I9" s="0" t="n">
        <v>21.6</v>
      </c>
      <c r="J9" s="0" t="n">
        <v>14.8</v>
      </c>
      <c r="K9" s="0" t="n">
        <v>0.1365</v>
      </c>
      <c r="O9" s="0" t="n">
        <v>547.9</v>
      </c>
      <c r="P9" s="0" t="n">
        <v>746.79</v>
      </c>
      <c r="Q9" s="0" t="n">
        <v>84.338</v>
      </c>
      <c r="R9" s="0" t="n">
        <v>11.968</v>
      </c>
      <c r="S9" s="0" t="n">
        <v>75.331</v>
      </c>
      <c r="T9" s="0" t="n">
        <v>158.318</v>
      </c>
      <c r="U9" s="0" t="n">
        <v>0</v>
      </c>
      <c r="V9" s="0" t="n">
        <v>0.03</v>
      </c>
      <c r="AA9" s="0" t="s">
        <v>17</v>
      </c>
      <c r="AB9" s="0" t="s">
        <v>14</v>
      </c>
      <c r="AC9" s="0" t="n">
        <v>3.46</v>
      </c>
    </row>
    <row r="10" customFormat="false" ht="15" hidden="false" customHeight="false" outlineLevel="0" collapsed="false">
      <c r="A10" s="0" t="s">
        <v>73</v>
      </c>
      <c r="B10" s="0" t="n">
        <v>176.184</v>
      </c>
      <c r="C10" s="0" t="n">
        <v>-78.328</v>
      </c>
      <c r="D10" s="0" t="n">
        <v>97.856</v>
      </c>
      <c r="E10" s="0" t="n">
        <v>55.5</v>
      </c>
      <c r="F10" s="0" t="n">
        <v>42.461</v>
      </c>
      <c r="G10" s="0" t="n">
        <v>24.1</v>
      </c>
      <c r="H10" s="0" t="n">
        <v>50.212</v>
      </c>
      <c r="I10" s="0" t="n">
        <v>2.762</v>
      </c>
      <c r="J10" s="0" t="n">
        <v>1.6</v>
      </c>
      <c r="K10" s="0" t="n">
        <v>0.0175</v>
      </c>
      <c r="L10" s="0" t="n">
        <v>13.677</v>
      </c>
      <c r="M10" s="0" t="n">
        <v>29.465</v>
      </c>
      <c r="N10" s="0" t="n">
        <v>-15.788</v>
      </c>
      <c r="O10" s="0" t="n">
        <v>547.915</v>
      </c>
      <c r="P10" s="0" t="n">
        <v>762.266</v>
      </c>
      <c r="Q10" s="0" t="n">
        <v>97.361</v>
      </c>
      <c r="R10" s="0" t="n">
        <v>3</v>
      </c>
      <c r="S10" s="0" t="n">
        <v>41.297</v>
      </c>
      <c r="T10" s="0" t="n">
        <v>158.318</v>
      </c>
      <c r="U10" s="0" t="n">
        <v>0</v>
      </c>
      <c r="V10" s="0" t="n">
        <v>0</v>
      </c>
      <c r="AA10" s="0" t="s">
        <v>17</v>
      </c>
      <c r="AB10" s="0" t="s">
        <v>14</v>
      </c>
      <c r="AC10" s="0" t="n">
        <v>3.46</v>
      </c>
      <c r="AD10" s="0" t="n">
        <v>66</v>
      </c>
    </row>
    <row r="11" customFormat="false" ht="15" hidden="false" customHeight="false" outlineLevel="0" collapsed="false">
      <c r="A11" s="0" t="s">
        <v>74</v>
      </c>
      <c r="B11" s="0" t="n">
        <v>186.733</v>
      </c>
      <c r="C11" s="0" t="n">
        <v>-87.805</v>
      </c>
      <c r="D11" s="0" t="n">
        <v>98.928</v>
      </c>
      <c r="E11" s="0" t="n">
        <v>53</v>
      </c>
      <c r="F11" s="0" t="n">
        <v>30.625</v>
      </c>
      <c r="G11" s="0" t="n">
        <v>16.4</v>
      </c>
      <c r="H11" s="0" t="n">
        <v>40.281</v>
      </c>
      <c r="I11" s="0" t="n">
        <v>20.218</v>
      </c>
      <c r="J11" s="0" t="n">
        <v>10.8</v>
      </c>
      <c r="K11" s="0" t="n">
        <v>0.1278</v>
      </c>
      <c r="L11" s="0" t="n">
        <v>25.738</v>
      </c>
      <c r="M11" s="0" t="n">
        <v>52.787</v>
      </c>
      <c r="N11" s="0" t="n">
        <v>-27.049</v>
      </c>
      <c r="O11" s="0" t="n">
        <v>567.246</v>
      </c>
      <c r="P11" s="0" t="n">
        <v>800.463</v>
      </c>
      <c r="Q11" s="0" t="n">
        <v>115.444</v>
      </c>
      <c r="R11" s="0" t="n">
        <v>20</v>
      </c>
      <c r="S11" s="0" t="n">
        <v>24.233</v>
      </c>
      <c r="T11" s="0" t="n">
        <v>158.318</v>
      </c>
      <c r="U11" s="0" t="n">
        <v>0</v>
      </c>
      <c r="AA11" s="0" t="s">
        <v>17</v>
      </c>
      <c r="AB11" s="0" t="s">
        <v>14</v>
      </c>
      <c r="AC11" s="0" t="n">
        <v>3.58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3.06</v>
      </c>
    </row>
    <row r="3" customFormat="false" ht="15" hidden="false" customHeight="false" outlineLevel="0" collapsed="false">
      <c r="A3" s="0" t="s">
        <v>78</v>
      </c>
      <c r="B3" s="3" t="n">
        <v>158.318</v>
      </c>
    </row>
    <row r="4" customFormat="false" ht="15" hidden="false" customHeight="false" outlineLevel="0" collapsed="false">
      <c r="A4" s="0" t="s">
        <v>79</v>
      </c>
      <c r="B4" s="3" t="n">
        <v>-12.673</v>
      </c>
    </row>
    <row r="5" customFormat="false" ht="15" hidden="false" customHeight="false" outlineLevel="0" collapsed="false">
      <c r="A5" s="0" t="s">
        <v>80</v>
      </c>
      <c r="B5" s="3" t="n">
        <v>128.349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148.6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16</v>
      </c>
      <c r="D14" s="3" t="n">
        <v>16.5</v>
      </c>
      <c r="E14" s="3" t="n">
        <v>17</v>
      </c>
      <c r="F14" s="3" t="n">
        <v>17.5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6.5</v>
      </c>
      <c r="D17" s="3" t="n">
        <v>6.3</v>
      </c>
      <c r="E17" s="3" t="n">
        <v>6.1</v>
      </c>
      <c r="F17" s="3" t="n">
        <v>6</v>
      </c>
      <c r="G17" s="3" t="n">
        <v>6</v>
      </c>
      <c r="H17" s="3" t="n">
        <v>6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103</v>
      </c>
      <c r="C18" s="3" t="n">
        <v>25</v>
      </c>
      <c r="D18" s="3" t="n">
        <v>18</v>
      </c>
      <c r="E18" s="3" t="n">
        <v>12</v>
      </c>
      <c r="F18" s="3" t="n">
        <v>9</v>
      </c>
      <c r="G18" s="3" t="n">
        <v>8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104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11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8</v>
      </c>
      <c r="D27" s="3" t="n">
        <v>6</v>
      </c>
      <c r="E27" s="3" t="n">
        <v>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18.5</v>
      </c>
      <c r="D28" s="3" t="n">
        <v>20.5</v>
      </c>
      <c r="E28" s="3" t="n">
        <v>22.5</v>
      </c>
      <c r="F28" s="3" t="n">
        <v>24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6.1</v>
      </c>
      <c r="D31" s="3" t="n">
        <v>6</v>
      </c>
      <c r="E31" s="3" t="n">
        <v>5.8</v>
      </c>
      <c r="F31" s="3" t="n">
        <v>5.5</v>
      </c>
      <c r="G31" s="3" t="n">
        <v>5.5</v>
      </c>
      <c r="H31" s="3" t="n">
        <v>5.3</v>
      </c>
      <c r="I31" s="3" t="n">
        <v>5.3</v>
      </c>
      <c r="J31" s="3" t="n">
        <v>5.2</v>
      </c>
      <c r="K31" s="3" t="n">
        <v>5.2</v>
      </c>
      <c r="L31" s="3" t="n">
        <v>5.2</v>
      </c>
    </row>
    <row r="32" customFormat="false" ht="15" hidden="false" customHeight="false" outlineLevel="0" collapsed="false">
      <c r="A32" s="0" t="s">
        <v>103</v>
      </c>
      <c r="C32" s="3" t="n">
        <v>22</v>
      </c>
      <c r="D32" s="3" t="n">
        <v>15</v>
      </c>
      <c r="E32" s="3" t="n">
        <v>10</v>
      </c>
      <c r="F32" s="3" t="n">
        <v>8</v>
      </c>
      <c r="G32" s="3" t="n">
        <v>7</v>
      </c>
      <c r="H32" s="3" t="n">
        <v>7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104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13</v>
      </c>
      <c r="D41" s="3" t="n">
        <v>10</v>
      </c>
      <c r="E41" s="3" t="n">
        <v>7</v>
      </c>
      <c r="F41" s="3" t="n">
        <v>5.5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20</v>
      </c>
      <c r="D42" s="3" t="n">
        <v>23</v>
      </c>
      <c r="E42" s="3" t="n">
        <v>26</v>
      </c>
      <c r="F42" s="3" t="n">
        <v>28</v>
      </c>
      <c r="G42" s="3" t="n">
        <v>29</v>
      </c>
      <c r="H42" s="3" t="n">
        <v>29</v>
      </c>
      <c r="I42" s="3" t="n">
        <v>29</v>
      </c>
      <c r="J42" s="3" t="n">
        <v>29</v>
      </c>
      <c r="K42" s="3" t="n">
        <v>29</v>
      </c>
      <c r="L42" s="3" t="n">
        <v>29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6.1</v>
      </c>
      <c r="D45" s="3" t="n">
        <v>5.9</v>
      </c>
      <c r="E45" s="3" t="n">
        <v>5.6</v>
      </c>
      <c r="F45" s="3" t="n">
        <v>5.3</v>
      </c>
      <c r="G45" s="3" t="n">
        <v>5.2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103</v>
      </c>
      <c r="C46" s="3" t="n">
        <v>20</v>
      </c>
      <c r="D46" s="3" t="n">
        <v>13</v>
      </c>
      <c r="E46" s="3" t="n">
        <v>9</v>
      </c>
      <c r="F46" s="3" t="n">
        <v>7</v>
      </c>
      <c r="G46" s="3" t="n">
        <v>6</v>
      </c>
      <c r="H46" s="3" t="n">
        <v>6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104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105</v>
      </c>
      <c r="B48" s="3" t="n">
        <v>8.5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16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148.6</v>
      </c>
      <c r="C6" s="0" t="n">
        <f aca="false">B6*(1+C5/100)</f>
        <v>151.572</v>
      </c>
      <c r="D6" s="0" t="n">
        <f aca="false">C6*(1+D5/100)</f>
        <v>153.84558</v>
      </c>
      <c r="E6" s="0" t="n">
        <f aca="false">D6*(1+E5/100)</f>
        <v>156.1532637</v>
      </c>
      <c r="F6" s="0" t="n">
        <f aca="false">E6*(1+F5/100)</f>
        <v>158.4955626555</v>
      </c>
      <c r="G6" s="0" t="n">
        <f aca="false">F6*(1+G5/100)</f>
        <v>160.872996095332</v>
      </c>
      <c r="H6" s="0" t="n">
        <f aca="false">G6*(1+H5/100)</f>
        <v>163.286091036762</v>
      </c>
      <c r="I6" s="0" t="n">
        <f aca="false">H6*(1+I5/100)</f>
        <v>165.735382402314</v>
      </c>
      <c r="J6" s="0" t="n">
        <f aca="false">I6*(1+J5/100)</f>
        <v>168.221413138349</v>
      </c>
      <c r="K6" s="0" t="n">
        <f aca="false">J6*(1+K5/100)</f>
        <v>170.744734335424</v>
      </c>
      <c r="L6" s="0" t="n">
        <f aca="false">K6*(1+L5/100)</f>
        <v>173.305905350455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16</v>
      </c>
      <c r="D7" s="4" t="n">
        <f aca="false">Assumptions!D14</f>
        <v>16.5</v>
      </c>
      <c r="E7" s="4" t="n">
        <f aca="false">Assumptions!E14</f>
        <v>17</v>
      </c>
      <c r="F7" s="4" t="n">
        <f aca="false">Assumptions!F14</f>
        <v>17.5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24.25152</v>
      </c>
      <c r="D8" s="0" t="n">
        <f aca="false">D6*D7/100</f>
        <v>25.3845207</v>
      </c>
      <c r="E8" s="0" t="n">
        <f aca="false">E6*E7/100</f>
        <v>26.546054829</v>
      </c>
      <c r="F8" s="0" t="n">
        <f aca="false">F6*F7/100</f>
        <v>27.7367234647125</v>
      </c>
      <c r="G8" s="0" t="n">
        <f aca="false">G6*G7/100</f>
        <v>28.9571392971598</v>
      </c>
      <c r="H8" s="0" t="n">
        <f aca="false">H6*H7/100</f>
        <v>29.3914963866172</v>
      </c>
      <c r="I8" s="0" t="n">
        <f aca="false">I6*I7/100</f>
        <v>29.8323688324165</v>
      </c>
      <c r="J8" s="0" t="n">
        <f aca="false">J6*J7/100</f>
        <v>30.2798543649027</v>
      </c>
      <c r="K8" s="0" t="n">
        <f aca="false">K6*K7/100</f>
        <v>30.7340521803763</v>
      </c>
      <c r="L8" s="0" t="n">
        <f aca="false">L6*L7/100</f>
        <v>31.1950629630819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24.25152</v>
      </c>
      <c r="D11" s="0" t="n">
        <f aca="false">D8+D10+D24</f>
        <v>25.3845207</v>
      </c>
      <c r="E11" s="0" t="n">
        <f aca="false">E8+E10+E24</f>
        <v>26.546054829</v>
      </c>
      <c r="F11" s="0" t="n">
        <f aca="false">F8+F10+F24</f>
        <v>27.7367234647125</v>
      </c>
      <c r="G11" s="0" t="n">
        <f aca="false">G8+G10+G24</f>
        <v>28.9571392971598</v>
      </c>
      <c r="H11" s="0" t="n">
        <f aca="false">H8+H10+H24</f>
        <v>29.3914963866172</v>
      </c>
      <c r="I11" s="0" t="n">
        <f aca="false">I8+I10+I24</f>
        <v>29.8323688324165</v>
      </c>
      <c r="J11" s="0" t="n">
        <f aca="false">J8+J10+J24</f>
        <v>30.2798543649027</v>
      </c>
      <c r="K11" s="0" t="n">
        <f aca="false">K8+K10+K24</f>
        <v>30.7340521803763</v>
      </c>
      <c r="L11" s="0" t="n">
        <f aca="false">L8+L10+L24</f>
        <v>31.1950629630819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-9.85218</v>
      </c>
      <c r="D12" s="4" t="n">
        <f aca="false">-D6*Assumptions!D17/100</f>
        <v>-9.69227154</v>
      </c>
      <c r="E12" s="4" t="n">
        <f aca="false">-E6*Assumptions!E17/100</f>
        <v>-9.5253490857</v>
      </c>
      <c r="F12" s="4" t="n">
        <f aca="false">-F6*Assumptions!F17/100</f>
        <v>-9.50973375933</v>
      </c>
      <c r="G12" s="4" t="n">
        <f aca="false">-G6*Assumptions!G17/100</f>
        <v>-9.65237976571995</v>
      </c>
      <c r="H12" s="4" t="n">
        <f aca="false">-H6*Assumptions!H17/100</f>
        <v>-9.79716546220574</v>
      </c>
      <c r="I12" s="4" t="n">
        <f aca="false">-I6*Assumptions!I17/100</f>
        <v>-9.94412294413883</v>
      </c>
      <c r="J12" s="4" t="n">
        <f aca="false">-J6*Assumptions!J17/100</f>
        <v>-10.0932847883009</v>
      </c>
      <c r="K12" s="4" t="n">
        <f aca="false">-K6*Assumptions!K17/100</f>
        <v>-10.2446840601254</v>
      </c>
      <c r="L12" s="4" t="n">
        <f aca="false">-L6*Assumptions!L17/100</f>
        <v>-10.3983543210273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14.39934</v>
      </c>
      <c r="D13" s="0" t="n">
        <f aca="false">D11+D12</f>
        <v>15.69224916</v>
      </c>
      <c r="E13" s="0" t="n">
        <f aca="false">E11+E12</f>
        <v>17.0207057433</v>
      </c>
      <c r="F13" s="0" t="n">
        <f aca="false">F11+F12</f>
        <v>18.2269897053825</v>
      </c>
      <c r="G13" s="0" t="n">
        <f aca="false">G11+G12</f>
        <v>19.3047595314399</v>
      </c>
      <c r="H13" s="0" t="n">
        <f aca="false">H11+H12</f>
        <v>19.5943309244115</v>
      </c>
      <c r="I13" s="0" t="n">
        <f aca="false">I11+I12</f>
        <v>19.8882458882777</v>
      </c>
      <c r="J13" s="0" t="n">
        <f aca="false">J11+J12</f>
        <v>20.1865695766018</v>
      </c>
      <c r="K13" s="0" t="n">
        <f aca="false">K11+K12</f>
        <v>20.4893681202508</v>
      </c>
      <c r="L13" s="0" t="n">
        <f aca="false">L11+L12</f>
        <v>20.7967086420546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10.2235314</v>
      </c>
      <c r="D15" s="0" t="n">
        <f aca="false">D13-MAX(0,D13)*D14/100</f>
        <v>11.1414969036</v>
      </c>
      <c r="E15" s="0" t="n">
        <f aca="false">E13-MAX(0,E13)*E14/100</f>
        <v>12.084701077743</v>
      </c>
      <c r="F15" s="0" t="n">
        <f aca="false">F13-MAX(0,F13)*F14/100</f>
        <v>12.9411626908216</v>
      </c>
      <c r="G15" s="0" t="n">
        <f aca="false">G13-MAX(0,G13)*G14/100</f>
        <v>13.7063792673223</v>
      </c>
      <c r="H15" s="0" t="n">
        <f aca="false">H13-MAX(0,H13)*H14/100</f>
        <v>13.9119749563322</v>
      </c>
      <c r="I15" s="0" t="n">
        <f aca="false">I13-MAX(0,I13)*I14/100</f>
        <v>14.1206545806771</v>
      </c>
      <c r="J15" s="0" t="n">
        <f aca="false">J13-MAX(0,J13)*J14/100</f>
        <v>14.3324643993873</v>
      </c>
      <c r="K15" s="0" t="n">
        <f aca="false">K13-MAX(0,K13)*K14/100</f>
        <v>14.5474513653781</v>
      </c>
      <c r="L15" s="0" t="n">
        <f aca="false">L13-MAX(0,L13)*L14/100</f>
        <v>14.7656631358588</v>
      </c>
    </row>
    <row r="16" customFormat="false" ht="15" hidden="false" customHeight="false" outlineLevel="0" collapsed="false">
      <c r="A16" s="0" t="s">
        <v>120</v>
      </c>
      <c r="C16" s="0" t="n">
        <f aca="false">-C12</f>
        <v>9.85218</v>
      </c>
      <c r="D16" s="0" t="n">
        <f aca="false">-D12</f>
        <v>9.69227154</v>
      </c>
      <c r="E16" s="0" t="n">
        <f aca="false">-E12</f>
        <v>9.5253490857</v>
      </c>
      <c r="F16" s="0" t="n">
        <f aca="false">-F12</f>
        <v>9.50973375933</v>
      </c>
      <c r="G16" s="0" t="n">
        <f aca="false">-G12</f>
        <v>9.65237976571995</v>
      </c>
      <c r="H16" s="0" t="n">
        <f aca="false">-H12</f>
        <v>9.79716546220574</v>
      </c>
      <c r="I16" s="0" t="n">
        <f aca="false">-I12</f>
        <v>9.94412294413883</v>
      </c>
      <c r="J16" s="0" t="n">
        <f aca="false">-J12</f>
        <v>10.0932847883009</v>
      </c>
      <c r="K16" s="0" t="n">
        <f aca="false">-K12</f>
        <v>10.2446840601254</v>
      </c>
      <c r="L16" s="0" t="n">
        <f aca="false">-L12</f>
        <v>10.3983543210273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-37.893</v>
      </c>
      <c r="D17" s="4" t="n">
        <f aca="false">-D6*Assumptions!D18/100</f>
        <v>-27.6922044</v>
      </c>
      <c r="E17" s="4" t="n">
        <f aca="false">-E6*Assumptions!E18/100</f>
        <v>-18.738391644</v>
      </c>
      <c r="F17" s="4" t="n">
        <f aca="false">-F6*Assumptions!F18/100</f>
        <v>-14.264600638995</v>
      </c>
      <c r="G17" s="4" t="n">
        <f aca="false">-G6*Assumptions!G18/100</f>
        <v>-12.8698396876266</v>
      </c>
      <c r="H17" s="4" t="n">
        <f aca="false">-H6*Assumptions!H18/100</f>
        <v>-13.062887282941</v>
      </c>
      <c r="I17" s="4" t="n">
        <f aca="false">-I6*Assumptions!I18/100</f>
        <v>-13.2588305921851</v>
      </c>
      <c r="J17" s="4" t="n">
        <f aca="false">-J6*Assumptions!J18/100</f>
        <v>-13.4577130510679</v>
      </c>
      <c r="K17" s="4" t="n">
        <f aca="false">-K6*Assumptions!K18/100</f>
        <v>-13.6595787468339</v>
      </c>
      <c r="L17" s="4" t="n">
        <f aca="false">-L6*Assumptions!L18/100</f>
        <v>-13.8644724280364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-17.8172886</v>
      </c>
      <c r="D19" s="0" t="n">
        <f aca="false">D15+D16+D17+D18</f>
        <v>-6.85843595639999</v>
      </c>
      <c r="E19" s="0" t="n">
        <f aca="false">E15+E16+E17+E18</f>
        <v>2.871658519443</v>
      </c>
      <c r="F19" s="0" t="n">
        <f aca="false">F15+F16+F17+F18</f>
        <v>8.18629581115657</v>
      </c>
      <c r="G19" s="0" t="n">
        <f aca="false">G15+G16+G17+G18</f>
        <v>10.4889193454157</v>
      </c>
      <c r="H19" s="0" t="n">
        <f aca="false">H15+H16+H17+H18</f>
        <v>10.6462531355969</v>
      </c>
      <c r="I19" s="0" t="n">
        <f aca="false">I15+I16+I17+I18</f>
        <v>10.8059469326309</v>
      </c>
      <c r="J19" s="0" t="n">
        <f aca="false">J15+J16+J17+J18</f>
        <v>10.9680361366203</v>
      </c>
      <c r="K19" s="0" t="n">
        <f aca="false">K15+K16+K17+K18</f>
        <v>11.1325566786696</v>
      </c>
      <c r="L19" s="0" t="n">
        <f aca="false">L15+L16+L17+L18</f>
        <v>11.2995450288497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-16.2714964383562</v>
      </c>
      <c r="D21" s="0" t="n">
        <f aca="false">D19*D20</f>
        <v>-5.72001080577969</v>
      </c>
      <c r="E21" s="0" t="n">
        <f aca="false">E19*E20</f>
        <v>2.18720977113768</v>
      </c>
      <c r="F21" s="0" t="n">
        <f aca="false">F19*F20</f>
        <v>5.6941769250933</v>
      </c>
      <c r="G21" s="0" t="n">
        <f aca="false">G19*G20</f>
        <v>6.66285174711815</v>
      </c>
      <c r="H21" s="0" t="n">
        <f aca="false">H19*H20</f>
        <v>6.17606805783098</v>
      </c>
      <c r="I21" s="0" t="n">
        <f aca="false">I19*I20</f>
        <v>5.72484847369721</v>
      </c>
      <c r="J21" s="0" t="n">
        <f aca="false">J19*J20</f>
        <v>5.30659470392938</v>
      </c>
      <c r="K21" s="0" t="n">
        <f aca="false">K19*K20</f>
        <v>4.91889828720394</v>
      </c>
      <c r="L21" s="0" t="n">
        <f aca="false">L19*L20</f>
        <v>4.55952672284201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19.2386674447168</v>
      </c>
    </row>
    <row r="31" customFormat="false" ht="15" hidden="false" customHeight="false" outlineLevel="0" collapsed="false">
      <c r="A31" s="0" t="s">
        <v>129</v>
      </c>
      <c r="B31" s="0" t="n">
        <f aca="false">L19</f>
        <v>11.2995450288497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153.673812392356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124.294995317346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124.294995317346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50.1547939512621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69.3934613959789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210.415461395979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1.32906846597341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-0.565663900008689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1.32906846597341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88.6579686878974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1.0879958304059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8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148.6</v>
      </c>
      <c r="C6" s="0" t="n">
        <f aca="false">B6*(1+C5/100)</f>
        <v>160.488</v>
      </c>
      <c r="D6" s="0" t="n">
        <f aca="false">C6*(1+D5/100)</f>
        <v>170.11728</v>
      </c>
      <c r="E6" s="0" t="n">
        <f aca="false">D6*(1+E5/100)</f>
        <v>178.623144</v>
      </c>
      <c r="F6" s="0" t="n">
        <f aca="false">E6*(1+F5/100)</f>
        <v>185.76806976</v>
      </c>
      <c r="G6" s="0" t="n">
        <f aca="false">F6*(1+G5/100)</f>
        <v>192.2699522016</v>
      </c>
      <c r="H6" s="0" t="n">
        <f aca="false">G6*(1+H5/100)</f>
        <v>198.038050767648</v>
      </c>
      <c r="I6" s="0" t="n">
        <f aca="false">H6*(1+I5/100)</f>
        <v>203.979192290677</v>
      </c>
      <c r="J6" s="0" t="n">
        <f aca="false">I6*(1+J5/100)</f>
        <v>209.078672097944</v>
      </c>
      <c r="K6" s="0" t="n">
        <f aca="false">J6*(1+K5/100)</f>
        <v>214.305638900393</v>
      </c>
      <c r="L6" s="0" t="n">
        <f aca="false">K6*(1+L5/100)</f>
        <v>219.663279872903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18.5</v>
      </c>
      <c r="D7" s="4" t="n">
        <f aca="false">Assumptions!D28</f>
        <v>20.5</v>
      </c>
      <c r="E7" s="4" t="n">
        <f aca="false">Assumptions!E28</f>
        <v>22.5</v>
      </c>
      <c r="F7" s="4" t="n">
        <f aca="false">Assumptions!F28</f>
        <v>24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29.69028</v>
      </c>
      <c r="D8" s="0" t="n">
        <f aca="false">D6*D7/100</f>
        <v>34.8740424</v>
      </c>
      <c r="E8" s="0" t="n">
        <f aca="false">E6*E7/100</f>
        <v>40.1902074</v>
      </c>
      <c r="F8" s="0" t="n">
        <f aca="false">F6*F7/100</f>
        <v>44.5843367424</v>
      </c>
      <c r="G8" s="0" t="n">
        <f aca="false">G6*G7/100</f>
        <v>48.0674880504</v>
      </c>
      <c r="H8" s="0" t="n">
        <f aca="false">H6*H7/100</f>
        <v>49.509512691912</v>
      </c>
      <c r="I8" s="0" t="n">
        <f aca="false">I6*I7/100</f>
        <v>50.9947980726694</v>
      </c>
      <c r="J8" s="0" t="n">
        <f aca="false">J6*J7/100</f>
        <v>52.2696680244861</v>
      </c>
      <c r="K8" s="0" t="n">
        <f aca="false">K6*K7/100</f>
        <v>53.5764097250982</v>
      </c>
      <c r="L8" s="0" t="n">
        <f aca="false">L6*L7/100</f>
        <v>54.9158199682257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29.69028</v>
      </c>
      <c r="D11" s="0" t="n">
        <f aca="false">D8+D10+D24</f>
        <v>34.8740424</v>
      </c>
      <c r="E11" s="0" t="n">
        <f aca="false">E8+E10+E24</f>
        <v>40.1902074</v>
      </c>
      <c r="F11" s="0" t="n">
        <f aca="false">F8+F10+F24</f>
        <v>44.5843367424</v>
      </c>
      <c r="G11" s="0" t="n">
        <f aca="false">G8+G10+G24</f>
        <v>48.0674880504</v>
      </c>
      <c r="H11" s="0" t="n">
        <f aca="false">H8+H10+H24</f>
        <v>49.509512691912</v>
      </c>
      <c r="I11" s="0" t="n">
        <f aca="false">I8+I10+I24</f>
        <v>50.9947980726694</v>
      </c>
      <c r="J11" s="0" t="n">
        <f aca="false">J8+J10+J24</f>
        <v>52.2696680244861</v>
      </c>
      <c r="K11" s="0" t="n">
        <f aca="false">K8+K10+K24</f>
        <v>53.5764097250982</v>
      </c>
      <c r="L11" s="0" t="n">
        <f aca="false">L8+L10+L24</f>
        <v>54.9158199682257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-9.789768</v>
      </c>
      <c r="D12" s="4" t="n">
        <f aca="false">-D6*Assumptions!D31/100</f>
        <v>-10.2070368</v>
      </c>
      <c r="E12" s="4" t="n">
        <f aca="false">-E6*Assumptions!E31/100</f>
        <v>-10.360142352</v>
      </c>
      <c r="F12" s="4" t="n">
        <f aca="false">-F6*Assumptions!F31/100</f>
        <v>-10.2172438368</v>
      </c>
      <c r="G12" s="4" t="n">
        <f aca="false">-G6*Assumptions!G31/100</f>
        <v>-10.574847371088</v>
      </c>
      <c r="H12" s="4" t="n">
        <f aca="false">-H6*Assumptions!H31/100</f>
        <v>-10.4960166906853</v>
      </c>
      <c r="I12" s="4" t="n">
        <f aca="false">-I6*Assumptions!I31/100</f>
        <v>-10.8108971914059</v>
      </c>
      <c r="J12" s="4" t="n">
        <f aca="false">-J6*Assumptions!J31/100</f>
        <v>-10.8720909490931</v>
      </c>
      <c r="K12" s="4" t="n">
        <f aca="false">-K6*Assumptions!K31/100</f>
        <v>-11.1438932228204</v>
      </c>
      <c r="L12" s="4" t="n">
        <f aca="false">-L6*Assumptions!L31/100</f>
        <v>-11.4224905533909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19.900512</v>
      </c>
      <c r="D13" s="0" t="n">
        <f aca="false">D11+D12</f>
        <v>24.6670056</v>
      </c>
      <c r="E13" s="0" t="n">
        <f aca="false">E11+E12</f>
        <v>29.830065048</v>
      </c>
      <c r="F13" s="0" t="n">
        <f aca="false">F11+F12</f>
        <v>34.3670929056</v>
      </c>
      <c r="G13" s="0" t="n">
        <f aca="false">G11+G12</f>
        <v>37.492640679312</v>
      </c>
      <c r="H13" s="0" t="n">
        <f aca="false">H11+H12</f>
        <v>39.0134960012267</v>
      </c>
      <c r="I13" s="0" t="n">
        <f aca="false">I11+I12</f>
        <v>40.1839008812635</v>
      </c>
      <c r="J13" s="0" t="n">
        <f aca="false">J11+J12</f>
        <v>41.397577075393</v>
      </c>
      <c r="K13" s="0" t="n">
        <f aca="false">K11+K12</f>
        <v>42.4325165022778</v>
      </c>
      <c r="L13" s="0" t="n">
        <f aca="false">L11+L12</f>
        <v>43.4933294148348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14.32836864</v>
      </c>
      <c r="D15" s="0" t="n">
        <f aca="false">D13-MAX(0,D13)*D14/100</f>
        <v>17.760244032</v>
      </c>
      <c r="E15" s="0" t="n">
        <f aca="false">E13-MAX(0,E13)*E14/100</f>
        <v>21.47764683456</v>
      </c>
      <c r="F15" s="0" t="n">
        <f aca="false">F13-MAX(0,F13)*F14/100</f>
        <v>24.744306892032</v>
      </c>
      <c r="G15" s="0" t="n">
        <f aca="false">G13-MAX(0,G13)*G14/100</f>
        <v>26.9947012891046</v>
      </c>
      <c r="H15" s="0" t="n">
        <f aca="false">H13-MAX(0,H13)*H14/100</f>
        <v>28.0897171208832</v>
      </c>
      <c r="I15" s="0" t="n">
        <f aca="false">I13-MAX(0,I13)*I14/100</f>
        <v>28.9324086345097</v>
      </c>
      <c r="J15" s="0" t="n">
        <f aca="false">J13-MAX(0,J13)*J14/100</f>
        <v>29.806255494283</v>
      </c>
      <c r="K15" s="0" t="n">
        <f aca="false">K13-MAX(0,K13)*K14/100</f>
        <v>30.55141188164</v>
      </c>
      <c r="L15" s="0" t="n">
        <f aca="false">L13-MAX(0,L13)*L14/100</f>
        <v>31.315197178681</v>
      </c>
    </row>
    <row r="16" customFormat="false" ht="15" hidden="false" customHeight="false" outlineLevel="0" collapsed="false">
      <c r="A16" s="0" t="s">
        <v>120</v>
      </c>
      <c r="C16" s="0" t="n">
        <f aca="false">-C12</f>
        <v>9.789768</v>
      </c>
      <c r="D16" s="0" t="n">
        <f aca="false">-D12</f>
        <v>10.2070368</v>
      </c>
      <c r="E16" s="0" t="n">
        <f aca="false">-E12</f>
        <v>10.360142352</v>
      </c>
      <c r="F16" s="0" t="n">
        <f aca="false">-F12</f>
        <v>10.2172438368</v>
      </c>
      <c r="G16" s="0" t="n">
        <f aca="false">-G12</f>
        <v>10.574847371088</v>
      </c>
      <c r="H16" s="0" t="n">
        <f aca="false">-H12</f>
        <v>10.4960166906853</v>
      </c>
      <c r="I16" s="0" t="n">
        <f aca="false">-I12</f>
        <v>10.8108971914059</v>
      </c>
      <c r="J16" s="0" t="n">
        <f aca="false">-J12</f>
        <v>10.8720909490931</v>
      </c>
      <c r="K16" s="0" t="n">
        <f aca="false">-K12</f>
        <v>11.1438932228204</v>
      </c>
      <c r="L16" s="0" t="n">
        <f aca="false">-L12</f>
        <v>11.4224905533909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-35.30736</v>
      </c>
      <c r="D17" s="4" t="n">
        <f aca="false">-D6*Assumptions!D32/100</f>
        <v>-25.517592</v>
      </c>
      <c r="E17" s="4" t="n">
        <f aca="false">-E6*Assumptions!E32/100</f>
        <v>-17.8623144</v>
      </c>
      <c r="F17" s="4" t="n">
        <f aca="false">-F6*Assumptions!F32/100</f>
        <v>-14.8614455808</v>
      </c>
      <c r="G17" s="4" t="n">
        <f aca="false">-G6*Assumptions!G32/100</f>
        <v>-13.458896654112</v>
      </c>
      <c r="H17" s="4" t="n">
        <f aca="false">-H6*Assumptions!H32/100</f>
        <v>-13.8626635537354</v>
      </c>
      <c r="I17" s="4" t="n">
        <f aca="false">-I6*Assumptions!I32/100</f>
        <v>-13.258647498894</v>
      </c>
      <c r="J17" s="4" t="n">
        <f aca="false">-J6*Assumptions!J32/100</f>
        <v>-13.5901136863664</v>
      </c>
      <c r="K17" s="4" t="n">
        <f aca="false">-K6*Assumptions!K32/100</f>
        <v>-13.9298665285255</v>
      </c>
      <c r="L17" s="4" t="n">
        <f aca="false">-L6*Assumptions!L32/100</f>
        <v>-14.2781131917387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-11.18922336</v>
      </c>
      <c r="D19" s="0" t="n">
        <f aca="false">D15+D16+D17+D18</f>
        <v>2.449688832</v>
      </c>
      <c r="E19" s="0" t="n">
        <f aca="false">E15+E16+E17+E18</f>
        <v>13.97547478656</v>
      </c>
      <c r="F19" s="0" t="n">
        <f aca="false">F15+F16+F17+F18</f>
        <v>20.100105148032</v>
      </c>
      <c r="G19" s="0" t="n">
        <f aca="false">G15+G16+G17+G18</f>
        <v>24.1106520060806</v>
      </c>
      <c r="H19" s="0" t="n">
        <f aca="false">H15+H16+H17+H18</f>
        <v>24.7230702578332</v>
      </c>
      <c r="I19" s="0" t="n">
        <f aca="false">I15+I16+I17+I18</f>
        <v>26.4846583270216</v>
      </c>
      <c r="J19" s="0" t="n">
        <f aca="false">J15+J16+J17+J18</f>
        <v>27.0882327570097</v>
      </c>
      <c r="K19" s="0" t="n">
        <f aca="false">K15+K16+K17+K18</f>
        <v>27.7654385759349</v>
      </c>
      <c r="L19" s="0" t="n">
        <f aca="false">L15+L16+L17+L18</f>
        <v>28.4595745403333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-10.2184688219178</v>
      </c>
      <c r="D21" s="0" t="n">
        <f aca="false">D19*D20</f>
        <v>2.04306735222368</v>
      </c>
      <c r="E21" s="0" t="n">
        <f aca="false">E19*E20</f>
        <v>10.6444741958321</v>
      </c>
      <c r="F21" s="0" t="n">
        <f aca="false">F19*F20</f>
        <v>13.9811164372892</v>
      </c>
      <c r="G21" s="0" t="n">
        <f aca="false">G19*G20</f>
        <v>15.315753182246</v>
      </c>
      <c r="H21" s="0" t="n">
        <f aca="false">H19*H20</f>
        <v>14.3422631949615</v>
      </c>
      <c r="I21" s="0" t="n">
        <f aca="false">I19*I20</f>
        <v>14.0312234314228</v>
      </c>
      <c r="J21" s="0" t="n">
        <f aca="false">J19*J20</f>
        <v>13.1059262293284</v>
      </c>
      <c r="K21" s="0" t="n">
        <f aca="false">K19*K20</f>
        <v>12.2681044612435</v>
      </c>
      <c r="L21" s="0" t="n">
        <f aca="false">L19*L20</f>
        <v>11.4838420755932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96.9973017382225</v>
      </c>
    </row>
    <row r="31" customFormat="false" ht="15" hidden="false" customHeight="false" outlineLevel="0" collapsed="false">
      <c r="A31" s="0" t="s">
        <v>129</v>
      </c>
      <c r="B31" s="0" t="n">
        <f aca="false">L19</f>
        <v>28.4595745403333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416.729484340594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398.434043564666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398.434043564666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160.773789058305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257.771090796527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398.793090796527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2.51893714420677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-0.176817926729815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2.51893714420677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233.368511230733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1.69232812621141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13</v>
      </c>
      <c r="D5" s="4" t="n">
        <f aca="false">Assumptions!D41</f>
        <v>10</v>
      </c>
      <c r="E5" s="4" t="n">
        <f aca="false">Assumptions!E41</f>
        <v>7</v>
      </c>
      <c r="F5" s="4" t="n">
        <f aca="false">Assumptions!F41</f>
        <v>5.5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148.6</v>
      </c>
      <c r="C6" s="0" t="n">
        <f aca="false">B6*(1+C5/100)</f>
        <v>167.918</v>
      </c>
      <c r="D6" s="0" t="n">
        <f aca="false">C6*(1+D5/100)</f>
        <v>184.7098</v>
      </c>
      <c r="E6" s="0" t="n">
        <f aca="false">D6*(1+E5/100)</f>
        <v>197.639486</v>
      </c>
      <c r="F6" s="0" t="n">
        <f aca="false">E6*(1+F5/100)</f>
        <v>208.50965773</v>
      </c>
      <c r="G6" s="0" t="n">
        <f aca="false">F6*(1+G5/100)</f>
        <v>217.89259232785</v>
      </c>
      <c r="H6" s="0" t="n">
        <f aca="false">G6*(1+H5/100)</f>
        <v>226.608296020964</v>
      </c>
      <c r="I6" s="0" t="n">
        <f aca="false">H6*(1+I5/100)</f>
        <v>234.539586381698</v>
      </c>
      <c r="J6" s="0" t="n">
        <f aca="false">I6*(1+J5/100)</f>
        <v>241.575773973149</v>
      </c>
      <c r="K6" s="0" t="n">
        <f aca="false">J6*(1+K5/100)</f>
        <v>248.823047192343</v>
      </c>
      <c r="L6" s="0" t="n">
        <f aca="false">K6*(1+L5/100)</f>
        <v>256.287738608113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20</v>
      </c>
      <c r="D7" s="4" t="n">
        <f aca="false">Assumptions!D42</f>
        <v>23</v>
      </c>
      <c r="E7" s="4" t="n">
        <f aca="false">Assumptions!E42</f>
        <v>26</v>
      </c>
      <c r="F7" s="4" t="n">
        <f aca="false">Assumptions!F42</f>
        <v>28</v>
      </c>
      <c r="G7" s="4" t="n">
        <f aca="false">Assumptions!G42</f>
        <v>29</v>
      </c>
      <c r="H7" s="4" t="n">
        <f aca="false">Assumptions!H42</f>
        <v>29</v>
      </c>
      <c r="I7" s="4" t="n">
        <f aca="false">Assumptions!I42</f>
        <v>29</v>
      </c>
      <c r="J7" s="4" t="n">
        <f aca="false">Assumptions!J42</f>
        <v>29</v>
      </c>
      <c r="K7" s="4" t="n">
        <f aca="false">Assumptions!K42</f>
        <v>29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33.5836</v>
      </c>
      <c r="D8" s="0" t="n">
        <f aca="false">D6*D7/100</f>
        <v>42.483254</v>
      </c>
      <c r="E8" s="0" t="n">
        <f aca="false">E6*E7/100</f>
        <v>51.38626636</v>
      </c>
      <c r="F8" s="0" t="n">
        <f aca="false">F6*F7/100</f>
        <v>58.3827041644</v>
      </c>
      <c r="G8" s="0" t="n">
        <f aca="false">G6*G7/100</f>
        <v>63.1888517750765</v>
      </c>
      <c r="H8" s="0" t="n">
        <f aca="false">H6*H7/100</f>
        <v>65.7164058460796</v>
      </c>
      <c r="I8" s="0" t="n">
        <f aca="false">I6*I7/100</f>
        <v>68.0164800506923</v>
      </c>
      <c r="J8" s="0" t="n">
        <f aca="false">J6*J7/100</f>
        <v>70.0569744522131</v>
      </c>
      <c r="K8" s="0" t="n">
        <f aca="false">K6*K7/100</f>
        <v>72.1586836857795</v>
      </c>
      <c r="L8" s="0" t="n">
        <f aca="false">L6*L7/100</f>
        <v>74.3234441963529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33.5836</v>
      </c>
      <c r="D11" s="0" t="n">
        <f aca="false">D8+D10+D24</f>
        <v>42.483254</v>
      </c>
      <c r="E11" s="0" t="n">
        <f aca="false">E8+E10+E24</f>
        <v>51.38626636</v>
      </c>
      <c r="F11" s="0" t="n">
        <f aca="false">F8+F10+F24</f>
        <v>58.3827041644</v>
      </c>
      <c r="G11" s="0" t="n">
        <f aca="false">G8+G10+G24</f>
        <v>63.1888517750765</v>
      </c>
      <c r="H11" s="0" t="n">
        <f aca="false">H8+H10+H24</f>
        <v>65.7164058460796</v>
      </c>
      <c r="I11" s="0" t="n">
        <f aca="false">I8+I10+I24</f>
        <v>68.0164800506923</v>
      </c>
      <c r="J11" s="0" t="n">
        <f aca="false">J8+J10+J24</f>
        <v>70.0569744522131</v>
      </c>
      <c r="K11" s="0" t="n">
        <f aca="false">K8+K10+K24</f>
        <v>72.1586836857795</v>
      </c>
      <c r="L11" s="0" t="n">
        <f aca="false">L8+L10+L24</f>
        <v>74.3234441963529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-10.242998</v>
      </c>
      <c r="D12" s="4" t="n">
        <f aca="false">-D6*Assumptions!D45/100</f>
        <v>-10.8978782</v>
      </c>
      <c r="E12" s="4" t="n">
        <f aca="false">-E6*Assumptions!E45/100</f>
        <v>-11.067811216</v>
      </c>
      <c r="F12" s="4" t="n">
        <f aca="false">-F6*Assumptions!F45/100</f>
        <v>-11.05101185969</v>
      </c>
      <c r="G12" s="4" t="n">
        <f aca="false">-G6*Assumptions!G45/100</f>
        <v>-11.3304148010482</v>
      </c>
      <c r="H12" s="4" t="n">
        <f aca="false">-H6*Assumptions!H45/100</f>
        <v>-11.3304148010482</v>
      </c>
      <c r="I12" s="4" t="n">
        <f aca="false">-I6*Assumptions!I45/100</f>
        <v>-11.7269793190849</v>
      </c>
      <c r="J12" s="4" t="n">
        <f aca="false">-J6*Assumptions!J45/100</f>
        <v>-12.0787886986574</v>
      </c>
      <c r="K12" s="4" t="n">
        <f aca="false">-K6*Assumptions!K45/100</f>
        <v>-12.4411523596172</v>
      </c>
      <c r="L12" s="4" t="n">
        <f aca="false">-L6*Assumptions!L45/100</f>
        <v>-12.8143869304057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23.340602</v>
      </c>
      <c r="D13" s="0" t="n">
        <f aca="false">D11+D12</f>
        <v>31.5853758</v>
      </c>
      <c r="E13" s="0" t="n">
        <f aca="false">E11+E12</f>
        <v>40.318455144</v>
      </c>
      <c r="F13" s="0" t="n">
        <f aca="false">F11+F12</f>
        <v>47.33169230471</v>
      </c>
      <c r="G13" s="0" t="n">
        <f aca="false">G11+G12</f>
        <v>51.8584369740283</v>
      </c>
      <c r="H13" s="0" t="n">
        <f aca="false">H11+H12</f>
        <v>54.3859910450314</v>
      </c>
      <c r="I13" s="0" t="n">
        <f aca="false">I11+I12</f>
        <v>56.2895007316074</v>
      </c>
      <c r="J13" s="0" t="n">
        <f aca="false">J11+J12</f>
        <v>57.9781857535557</v>
      </c>
      <c r="K13" s="0" t="n">
        <f aca="false">K11+K12</f>
        <v>59.7175313261623</v>
      </c>
      <c r="L13" s="0" t="n">
        <f aca="false">L11+L12</f>
        <v>61.5090572659472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17.03863946</v>
      </c>
      <c r="D15" s="0" t="n">
        <f aca="false">D13-MAX(0,D13)*D14/100</f>
        <v>23.057324334</v>
      </c>
      <c r="E15" s="0" t="n">
        <f aca="false">E13-MAX(0,E13)*E14/100</f>
        <v>29.43247225512</v>
      </c>
      <c r="F15" s="0" t="n">
        <f aca="false">F13-MAX(0,F13)*F14/100</f>
        <v>34.5521353824383</v>
      </c>
      <c r="G15" s="0" t="n">
        <f aca="false">G13-MAX(0,G13)*G14/100</f>
        <v>37.8566589910407</v>
      </c>
      <c r="H15" s="0" t="n">
        <f aca="false">H13-MAX(0,H13)*H14/100</f>
        <v>39.7017734628729</v>
      </c>
      <c r="I15" s="0" t="n">
        <f aca="false">I13-MAX(0,I13)*I14/100</f>
        <v>41.0913355340734</v>
      </c>
      <c r="J15" s="0" t="n">
        <f aca="false">J13-MAX(0,J13)*J14/100</f>
        <v>42.3240756000956</v>
      </c>
      <c r="K15" s="0" t="n">
        <f aca="false">K13-MAX(0,K13)*K14/100</f>
        <v>43.5937978680985</v>
      </c>
      <c r="L15" s="0" t="n">
        <f aca="false">L13-MAX(0,L13)*L14/100</f>
        <v>44.9016118041415</v>
      </c>
    </row>
    <row r="16" customFormat="false" ht="15" hidden="false" customHeight="false" outlineLevel="0" collapsed="false">
      <c r="A16" s="0" t="s">
        <v>120</v>
      </c>
      <c r="C16" s="0" t="n">
        <f aca="false">-C12</f>
        <v>10.242998</v>
      </c>
      <c r="D16" s="0" t="n">
        <f aca="false">-D12</f>
        <v>10.8978782</v>
      </c>
      <c r="E16" s="0" t="n">
        <f aca="false">-E12</f>
        <v>11.067811216</v>
      </c>
      <c r="F16" s="0" t="n">
        <f aca="false">-F12</f>
        <v>11.05101185969</v>
      </c>
      <c r="G16" s="0" t="n">
        <f aca="false">-G12</f>
        <v>11.3304148010482</v>
      </c>
      <c r="H16" s="0" t="n">
        <f aca="false">-H12</f>
        <v>11.3304148010482</v>
      </c>
      <c r="I16" s="0" t="n">
        <f aca="false">-I12</f>
        <v>11.7269793190849</v>
      </c>
      <c r="J16" s="0" t="n">
        <f aca="false">-J12</f>
        <v>12.0787886986574</v>
      </c>
      <c r="K16" s="0" t="n">
        <f aca="false">-K12</f>
        <v>12.4411523596172</v>
      </c>
      <c r="L16" s="0" t="n">
        <f aca="false">-L12</f>
        <v>12.8143869304057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-33.5836</v>
      </c>
      <c r="D17" s="4" t="n">
        <f aca="false">-D6*Assumptions!D46/100</f>
        <v>-24.012274</v>
      </c>
      <c r="E17" s="4" t="n">
        <f aca="false">-E6*Assumptions!E46/100</f>
        <v>-17.78755374</v>
      </c>
      <c r="F17" s="4" t="n">
        <f aca="false">-F6*Assumptions!F46/100</f>
        <v>-14.5956760411</v>
      </c>
      <c r="G17" s="4" t="n">
        <f aca="false">-G6*Assumptions!G46/100</f>
        <v>-13.073555539671</v>
      </c>
      <c r="H17" s="4" t="n">
        <f aca="false">-H6*Assumptions!H46/100</f>
        <v>-13.5964977612578</v>
      </c>
      <c r="I17" s="4" t="n">
        <f aca="false">-I6*Assumptions!I46/100</f>
        <v>-12.8996772509934</v>
      </c>
      <c r="J17" s="4" t="n">
        <f aca="false">-J6*Assumptions!J46/100</f>
        <v>-13.2866675685232</v>
      </c>
      <c r="K17" s="4" t="n">
        <f aca="false">-K6*Assumptions!K46/100</f>
        <v>-13.6852675955789</v>
      </c>
      <c r="L17" s="4" t="n">
        <f aca="false">-L6*Assumptions!L46/100</f>
        <v>-14.0958256234462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-6.30196254</v>
      </c>
      <c r="D19" s="0" t="n">
        <f aca="false">D15+D16+D17+D18</f>
        <v>9.94292853399999</v>
      </c>
      <c r="E19" s="0" t="n">
        <f aca="false">E15+E16+E17+E18</f>
        <v>22.71272973112</v>
      </c>
      <c r="F19" s="0" t="n">
        <f aca="false">F15+F16+F17+F18</f>
        <v>31.0074712010283</v>
      </c>
      <c r="G19" s="0" t="n">
        <f aca="false">G15+G16+G17+G18</f>
        <v>36.1135182524179</v>
      </c>
      <c r="H19" s="0" t="n">
        <f aca="false">H15+H16+H17+H18</f>
        <v>37.4356905026633</v>
      </c>
      <c r="I19" s="0" t="n">
        <f aca="false">I15+I16+I17+I18</f>
        <v>39.9186376021649</v>
      </c>
      <c r="J19" s="0" t="n">
        <f aca="false">J15+J16+J17+J18</f>
        <v>41.1161967302299</v>
      </c>
      <c r="K19" s="0" t="n">
        <f aca="false">K15+K16+K17+K18</f>
        <v>42.3496826321368</v>
      </c>
      <c r="L19" s="0" t="n">
        <f aca="false">L15+L16+L17+L18</f>
        <v>43.6201731111009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-5.80826040552995</v>
      </c>
      <c r="D21" s="0" t="n">
        <f aca="false">D19*D20</f>
        <v>8.44607320945443</v>
      </c>
      <c r="E21" s="0" t="n">
        <f aca="false">E19*E20</f>
        <v>17.7819800439623</v>
      </c>
      <c r="F21" s="0" t="n">
        <f aca="false">F19*F20</f>
        <v>22.3741938388412</v>
      </c>
      <c r="G21" s="0" t="n">
        <f aca="false">G19*G20</f>
        <v>24.0171300326139</v>
      </c>
      <c r="H21" s="0" t="n">
        <f aca="false">H19*H20</f>
        <v>22.946022706395</v>
      </c>
      <c r="I21" s="0" t="n">
        <f aca="false">I19*I20</f>
        <v>22.5510902684104</v>
      </c>
      <c r="J21" s="0" t="n">
        <f aca="false">J19*J20</f>
        <v>21.4079474437445</v>
      </c>
      <c r="K21" s="0" t="n">
        <f aca="false">K19*K20</f>
        <v>20.3227519512044</v>
      </c>
      <c r="L21" s="0" t="n">
        <f aca="false">L19*L20</f>
        <v>19.2925663684245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173.331495457521</v>
      </c>
    </row>
    <row r="31" customFormat="false" ht="15" hidden="false" customHeight="false" outlineLevel="0" collapsed="false">
      <c r="A31" s="0" t="s">
        <v>129</v>
      </c>
      <c r="B31" s="0" t="n">
        <f aca="false">L19</f>
        <v>43.6201731111009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816.886878262435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697.922769777614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697.922769777614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308.681061894792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482.012557352312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623.034557352312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3.93533620531028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0.286057583434731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3.93533620531028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374.406485870283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2.23397390610504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1.32906846597341</v>
      </c>
      <c r="C4" s="0" t="n">
        <f aca="false">B4/Assumptions!$B$2-1</f>
        <v>-0.565663900008689</v>
      </c>
      <c r="D4" s="4" t="n">
        <f aca="false">Assumptions!$B$24</f>
        <v>0.3</v>
      </c>
      <c r="E4" s="4" t="n">
        <f aca="false">DCF_Bear!$B$43</f>
        <v>1.32906846597341</v>
      </c>
      <c r="F4" s="4" t="n">
        <f aca="false">DCF_Bear!$B$47</f>
        <v>1.0879958304059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2.51893714420677</v>
      </c>
      <c r="C5" s="0" t="n">
        <f aca="false">B5/Assumptions!$B$2-1</f>
        <v>-0.176817926729815</v>
      </c>
      <c r="D5" s="4" t="n">
        <f aca="false">Assumptions!$B$38</f>
        <v>0.5</v>
      </c>
      <c r="E5" s="4" t="n">
        <f aca="false">DCF_Base!$B$43</f>
        <v>2.51893714420677</v>
      </c>
      <c r="F5" s="4" t="n">
        <f aca="false">DCF_Base!$B$47</f>
        <v>1.69232812621141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3.93533620531028</v>
      </c>
      <c r="C6" s="0" t="n">
        <f aca="false">B6/Assumptions!$B$2-1</f>
        <v>0.286057583434731</v>
      </c>
      <c r="D6" s="4" t="n">
        <f aca="false">Assumptions!$B$52</f>
        <v>0.2</v>
      </c>
      <c r="E6" s="4" t="n">
        <f aca="false">DCF_Bull!$B$43</f>
        <v>3.93533620531028</v>
      </c>
      <c r="F6" s="4" t="n">
        <f aca="false">DCF_Bull!$B$47</f>
        <v>2.23397390610504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2.44525635295746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2.44525635295746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-0.251402535484275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1.61935759344848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2.58626646755946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2.51893714420677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2.43156762311679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2.21181119040829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2.0394099457894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1.69232812621141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2.80832468734178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2.80832468734178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2.80832468734178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2.80832468734178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2.80832468734178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2.6568225649218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2.6568225649218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2.6568225649218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2.6568225649218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2.6568225649218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2.42373291774979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2.48992252281035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2.51893714420677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2.51893714420677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2.51893714420677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2.21300693907976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2.26084198281568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2.31465640701858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2.37564608778188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2.39330825777668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2.04569471258107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2.08121452805743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2.12068098969784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2.1647905644724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2.21441383609379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2026-09-25T14:21:41Z</dcterms:created>
  <dc:creator>openpyxl</dc:creator>
  <dc:description/>
  <dc:language>en-NZ</dc:language>
  <cp:lastModifiedBy/>
  <dcterms:modified xsi:type="dcterms:W3CDTF">2026-09-25T14:21:41Z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