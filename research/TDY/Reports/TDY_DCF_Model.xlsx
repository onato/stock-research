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<sst xmlns="http://schemas.openxmlformats.org/spreadsheetml/2006/main" count="387" uniqueCount="174">
  <si>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</si>
  <si>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TDY</t>
  </si>
  <si>
    <t xml:space="preserve">Company</t>
  </si>
  <si>
    <t xml:space="preserve">Teledyne Technologies Incorporated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</si>
  <si>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</si>
  <si>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</si>
  <si>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</si>
  <si>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</si>
  <si>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</si>
  <si>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</si>
  <si>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</si>
  <si>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</si>
  <si>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</si>
  <si>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</si>
  <si>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</si>
  <si>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</si>
  <si>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</si>
  <si>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</si>
  <si>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</si>
  <si>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</si>
  <si>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</si>
  <si>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2026-10-02T09:23:02Z</t>
  </si>
  <si>
    <t xml:space="preserve">Drivers file</t>
  </si>
  <si>
    <t xml:space="preserve">TDY_Drivers.json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</si>
  <si>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</si>
  <si>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</si>
  <si>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</si>
  <si>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Teledyne is valued as a diversified, moderately cyclical sensor/instrumentation/defense-electronics operating company on strict owner FCF: SBC (small, ~0.65% of revenue) expensed with a flat diluted share count, components built per year rather than carrying the FY2025 FCF margin forward, acquired-intangible amortization allowed to roll off so its tax shield is not perpetuated, and growth limited to the organic business -- pending Varex and future bolt-on M&amp;A are excluded on both sides of the ledger.
key_risks_to_valuation: Serial M&amp;A is the core of the historical growth record; excluding it understates growth if Teledyne keeps buying below intrinsic value, and overstates value if it overpays (Varex ~$1.1B pending).; US export controls on China (top-five international market) for dual-use thermal/imaging products.; Defense/space budget timing: the order surge may be a peak, not a step-up.; Industrial/instrumentation cyclicality in roughly half of revenue.; Terminal value is the majority of EV; WACC +/-1pp moves value materially (see sensitivity grid).</t>
  </si>
  <si>
    <t xml:space="preserve">Data sources</t>
  </si>
  <si>
    <t xml:space="preserve">price: Yahoo Finance chart API at inputs.price_as_of; 52-week range 483.02-697.67
financials: TDY_Metrics.csv (SEC XBRL, millions USD) plus SEC companyfacts API for SBC (StockOptionPlanExpense), diluted shares, D&amp;A, intangible amortization, cash taxes paid, buybacks, lease cost; balance sheet at Q2-2026 (2026-06-28).
qualitative: TDY_Analysis.json (2026-10-02): Q2-2026 results, raised FY2026 guidance, Varex announcement, backlog and leverage commentary.</t>
  </si>
  <si>
    <t xml:space="preserve">Scenario narrative: bear</t>
  </si>
  <si>
    <t xml:space="preserve">FY2026 lands short of guidance as H2 industrial demand softens, then the bear axes compound: US export controls and entity-list restrictions cut China (a top-five international market) sales of dual-use thermal and imaging products, tariffs raise semiconductor and optics input costs, Instrumentation and machine-vision follow global industrial capex down, and the defense budget plateaus under continuing resolutions after the 2026-27 surge. Revenue grows only 1-1.5% in years 2-3 and pre-SBC EBITDA margin falls to 23.5% before recovering to 24% -- roughly the FY2022-24 GAAP-equivalent range. Terminal growth 2%, 15x cap for a slower, more cyclical conglomerate. Leadership continuity (Mehrabian's contract expires December 2026) adds execution risk to the M&amp;A machine.</t>
  </si>
  <si>
    <t xml:space="preserve">Scenario narrative: base</t>
  </si>
  <si>
    <t xml:space="preserve">Teledyne delivers the raised FY2026 outlook (&gt;$6.53B, +6.8% including acquired DD-Scientific and full-year Excelitas A&amp;D), then grows mid-single digits as the ~$5.0B funded backlog and 11 straight quarters of book-to-bill &gt;1.0 convert, with Digital Imaging's space, unmanned and counter-UAS lines (&gt;10% growth) offsetting flat Instrumentation and Engineered Systems. Growth fades to 3% by year 8 as the defense budget step-up normalises. Pre-SBC EBITDA margin edges from 25.4% to 26.5% on mix and FLIR integration leverage, roughly the H1-2026 run-rate plus one point, well inside the 27-28% peers like AMETEK earn. Acquired-intangible amortization rolls off, so the D&amp;A tax shield fades and cash tax settles at ~23.5%. Varex and future bolt-ons are excluded on the view that Teledyne pays fair prices.</t>
  </si>
  <si>
    <t xml:space="preserve">Scenario narrative: bull</t>
  </si>
  <si>
    <t xml:space="preserve">The proposed ~$1.5T FY2027 US defense budget and allied rearmament make the current order surge (Q2-2026 orders +20%, Digital Imaging book-to-bill 1.4x) a multi-year step-up rather than a spike: FLIR thermal, counter-UAS, space-qualified sensors and unmanned systems drive 7-8.5% organic growth for four years, industrial machine-vision and marine instrumentation recover, and operating leverage plus vertical integration in infrared lift pre-SBC EBITDA margin to 28%. Terminal growth 3% and a 20x cap reflect a durable niche-compounder with qualified/sole-source positions.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</si>
  <si>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</si>
  <si>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</si>
  <si>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</si>
  <si>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</si>
  <si>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</si>
  <si>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</si>
  <si>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</si>
  <si>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</si>
  <si>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</si>
  <si>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</si>
  <si>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</si>
  <si>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</si>
  <si>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</si>
  <si>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</si>
  <si>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</si>
  <si>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</si>
  <si>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</si>
  <si>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</si>
  <si>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</si>
  <si>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</si>
  <si>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</si>
  <si>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</si>
  <si>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</si>
  <si>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</si>
  <si>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</si>
  <si>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</si>
  <si>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</si>
  <si>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</si>
  <si>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</si>
  <si>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</si>
  <si>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</si>
  <si>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</si>
  <si>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</si>
  <si>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</si>
  <si>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</si>
  <si>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</si>
  <si>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</si>
  <si>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</si>
  <si>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</si>
  <si>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</si>
  <si>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</si>
  <si>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</si>
  <si>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</si>
  <si>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</si>
  <si>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</si>
  <si>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</si>
  <si>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</si>
  <si>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</si>
  <si>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</si>
  <si>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</si>
  <si>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</si>
  <si>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</si>
  <si>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</si>
  <si>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</si>
  <si>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</si>
  <si>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</si>
  <si>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</si>
  <si>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</si>
  <si>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</si>
  <si>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</si>
  <si>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</si>
  <si>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</si>
  <si>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</si>
  <si>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</si>
  <si>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</si>
  <si>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</si>
  <si>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</si>
  <si>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</si>
  <si>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</si>
  <si>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</si>
  <si>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</si>
  <si>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</si>
  <si>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</si>
  <si>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</si>
  <si>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</si>
  <si>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</si>
  <si>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</si>
  <si>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</si>
  <si>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</si>
  <si>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</si>
  <si>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</si>
  <si>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</si>
  <si>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</si>
  <si>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TDY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</si>
  <si>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</si>
  <si>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</si>
  <si>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</si>
  <si>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</si>
  <si>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</si>
  <si>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</si>
  <si>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</si>
  <si>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</si>
  <si>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</si>
  <si>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</si>
  <si>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</si>
  <si>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</si>
  <si>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</si>
  <si>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</si>
  <si>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</si>
  <si>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</si>
  <si>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</si>
  <si>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</si>
  <si>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</si>
  <si>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</si>
  <si>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</si>
  <si>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</si>
  <si>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</si>
  <si>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</si>
  <si>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</si>
  <si>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</si>
  <si>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</si>
  <si>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</si>
  <si>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</si>
  <si>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</si>
  <si>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TDY owner-FCF component DCF: base case (millions, USD)</t>
  </si>
  <si>
    <t xml:space="preserve">TDY owner-FCF component DCF: bull case (millions, USD)</t>
  </si>
  <si>
    <t xml:space="preserve">TDY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</si>
  <si>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</si>
  <si>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</si>
  <si>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</si>
  <si>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</si>
  <si>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</si>
  <si>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</si>
  <si>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</si>
  <si>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</si>
  <si>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</si>
  <si>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</si>
  <si>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</si>
  <si>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</si>
  <si>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</si>
  <si>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</si>
  <si>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8.75%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</si>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</sst>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612.7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506.9</v>
      </c>
      <c r="S2" s="0" t="n">
        <v>13.4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1722</v>
      </c>
      <c r="C3" s="0" t="n">
        <v>1205.9</v>
      </c>
      <c r="F3" s="0" t="n">
        <v>198.6</v>
      </c>
      <c r="G3" s="0" t="n">
        <v>11.5331010452962</v>
      </c>
      <c r="H3" s="0" t="n">
        <v>243.6</v>
      </c>
      <c r="I3" s="0" t="n">
        <v>113.6</v>
      </c>
      <c r="J3" s="0" t="n">
        <v>6.59698025551684</v>
      </c>
      <c r="K3" s="0" t="n">
        <v>3.14</v>
      </c>
      <c r="L3" s="0" t="n">
        <v>120.4</v>
      </c>
      <c r="M3" s="0" t="n">
        <v>38.2</v>
      </c>
      <c r="N3" s="0" t="n">
        <v>82.2</v>
      </c>
      <c r="O3" s="0" t="n">
        <v>506.9</v>
      </c>
      <c r="S3" s="0" t="n">
        <v>20.4</v>
      </c>
      <c r="T3" s="0" t="n">
        <v>35.926224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1652.1</v>
      </c>
      <c r="C4" s="0" t="n">
        <v>1177.3</v>
      </c>
      <c r="F4" s="0" t="n">
        <v>171.4</v>
      </c>
      <c r="G4" s="0" t="n">
        <v>10.3746746564978</v>
      </c>
      <c r="H4" s="0" t="n">
        <v>213.9</v>
      </c>
      <c r="I4" s="0" t="n">
        <v>113.8</v>
      </c>
      <c r="J4" s="0" t="n">
        <v>6.88820289328733</v>
      </c>
      <c r="K4" s="0" t="n">
        <v>3.15</v>
      </c>
      <c r="L4" s="0" t="n">
        <v>154.9</v>
      </c>
      <c r="M4" s="0" t="n">
        <v>33.5</v>
      </c>
      <c r="N4" s="0" t="n">
        <v>121.4</v>
      </c>
      <c r="O4" s="0" t="n">
        <v>667.4</v>
      </c>
      <c r="P4" s="0" t="n">
        <v>1421.5</v>
      </c>
      <c r="Q4" s="0" t="n">
        <v>754.1</v>
      </c>
      <c r="R4" s="0" t="n">
        <v>252.1</v>
      </c>
      <c r="S4" s="0" t="n">
        <v>26.1</v>
      </c>
      <c r="T4" s="0" t="n">
        <v>36.6</v>
      </c>
      <c r="U4" s="0" t="n">
        <v>5.2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1644.2</v>
      </c>
      <c r="C5" s="0" t="n">
        <v>1148.1</v>
      </c>
      <c r="F5" s="0" t="n">
        <v>178.5</v>
      </c>
      <c r="G5" s="0" t="n">
        <v>10.8563435105218</v>
      </c>
      <c r="H5" s="0" t="n">
        <v>223.7</v>
      </c>
      <c r="I5" s="0" t="n">
        <v>120.6</v>
      </c>
      <c r="J5" s="0" t="n">
        <v>7.33487410290719</v>
      </c>
      <c r="K5" s="0" t="n">
        <v>3.33</v>
      </c>
      <c r="L5" s="0" t="n">
        <v>141.8</v>
      </c>
      <c r="M5" s="0" t="n">
        <v>31</v>
      </c>
      <c r="N5" s="0" t="n">
        <v>110.8</v>
      </c>
      <c r="O5" s="0" t="n">
        <v>787</v>
      </c>
      <c r="P5" s="0" t="n">
        <v>1557.8</v>
      </c>
      <c r="Q5" s="0" t="n">
        <v>770.8</v>
      </c>
      <c r="R5" s="0" t="n">
        <v>267.3</v>
      </c>
      <c r="S5" s="0" t="n">
        <v>75.1</v>
      </c>
      <c r="T5" s="0" t="n">
        <v>36.9</v>
      </c>
      <c r="U5" s="0" t="n">
        <v>4.7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1941.9</v>
      </c>
      <c r="C6" s="0" t="n">
        <v>1290.7</v>
      </c>
      <c r="F6" s="0" t="n">
        <v>227.2</v>
      </c>
      <c r="G6" s="0" t="n">
        <v>11.6998815592976</v>
      </c>
      <c r="H6" s="0" t="n">
        <v>291.4</v>
      </c>
      <c r="I6" s="0" t="n">
        <v>255.2</v>
      </c>
      <c r="J6" s="0" t="n">
        <v>13.1417683711829</v>
      </c>
      <c r="K6" s="0" t="n">
        <v>6.97</v>
      </c>
      <c r="L6" s="0" t="n">
        <v>216.6</v>
      </c>
      <c r="M6" s="0" t="n">
        <v>41.7</v>
      </c>
      <c r="N6" s="0" t="n">
        <v>174.9</v>
      </c>
      <c r="O6" s="0" t="n">
        <v>984.1</v>
      </c>
      <c r="P6" s="0" t="n">
        <v>1826.1</v>
      </c>
      <c r="Q6" s="0" t="n">
        <v>842</v>
      </c>
      <c r="R6" s="0" t="n">
        <v>312.8</v>
      </c>
      <c r="S6" s="0" t="n">
        <v>49.4</v>
      </c>
      <c r="T6" s="0" t="n">
        <v>37.3</v>
      </c>
      <c r="U6" s="0" t="n">
        <v>5.8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2127.3</v>
      </c>
      <c r="C7" s="0" t="n">
        <v>1379.1</v>
      </c>
      <c r="F7" s="0" t="n">
        <v>243.1</v>
      </c>
      <c r="G7" s="0" t="n">
        <v>11.4276312696846</v>
      </c>
      <c r="H7" s="0" t="n">
        <v>321.4</v>
      </c>
      <c r="I7" s="0" t="n">
        <v>165.1</v>
      </c>
      <c r="J7" s="0" t="n">
        <v>7.76101161096225</v>
      </c>
      <c r="K7" s="0" t="n">
        <v>4.47</v>
      </c>
      <c r="L7" s="0" t="n">
        <v>189.2</v>
      </c>
      <c r="M7" s="0" t="n">
        <v>65.3</v>
      </c>
      <c r="N7" s="0" t="n">
        <v>123.9</v>
      </c>
      <c r="O7" s="0" t="n">
        <v>1203.4</v>
      </c>
      <c r="P7" s="0" t="n">
        <v>2406.4</v>
      </c>
      <c r="Q7" s="0" t="n">
        <v>1203</v>
      </c>
      <c r="R7" s="0" t="n">
        <v>558.2</v>
      </c>
      <c r="S7" s="0" t="n">
        <v>45.8</v>
      </c>
      <c r="T7" s="0" t="n">
        <v>37.4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2338.6</v>
      </c>
      <c r="C8" s="0" t="n">
        <v>1500</v>
      </c>
      <c r="F8" s="0" t="n">
        <v>240.3</v>
      </c>
      <c r="G8" s="0" t="n">
        <v>10.2753784315402</v>
      </c>
      <c r="H8" s="0" t="n">
        <v>331.4</v>
      </c>
      <c r="I8" s="0" t="n">
        <v>185</v>
      </c>
      <c r="J8" s="0" t="n">
        <v>7.9107158128795</v>
      </c>
      <c r="K8" s="0" t="n">
        <v>4.96</v>
      </c>
      <c r="L8" s="0" t="n">
        <v>203.3</v>
      </c>
      <c r="M8" s="0" t="n">
        <v>72.6</v>
      </c>
      <c r="N8" s="0" t="n">
        <v>130.7</v>
      </c>
      <c r="O8" s="0" t="n">
        <v>1518.7</v>
      </c>
      <c r="P8" s="0" t="n">
        <v>2751.1</v>
      </c>
      <c r="Q8" s="0" t="n">
        <v>1232.4</v>
      </c>
      <c r="R8" s="0" t="n">
        <v>552.5</v>
      </c>
      <c r="S8" s="0" t="n">
        <v>66</v>
      </c>
      <c r="T8" s="0" t="n">
        <v>38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2394</v>
      </c>
      <c r="C9" s="0" t="n">
        <v>1487.1</v>
      </c>
      <c r="F9" s="0" t="n">
        <v>294.5</v>
      </c>
      <c r="G9" s="0" t="n">
        <v>12.3015873015873</v>
      </c>
      <c r="H9" s="0" t="n">
        <v>388.8</v>
      </c>
      <c r="I9" s="0" t="n">
        <v>217.7</v>
      </c>
      <c r="J9" s="0" t="n">
        <v>9.09356725146199</v>
      </c>
      <c r="K9" s="0" t="n">
        <v>5.87</v>
      </c>
      <c r="L9" s="0" t="n">
        <v>287.9</v>
      </c>
      <c r="M9" s="0" t="n">
        <v>43.5</v>
      </c>
      <c r="N9" s="0" t="n">
        <v>244.4</v>
      </c>
      <c r="O9" s="0" t="n">
        <v>1468.5</v>
      </c>
      <c r="P9" s="0" t="n">
        <v>2862.2</v>
      </c>
      <c r="Q9" s="0" t="n">
        <v>1393.7</v>
      </c>
      <c r="R9" s="0" t="n">
        <v>705.1</v>
      </c>
      <c r="S9" s="0" t="n">
        <v>141.4</v>
      </c>
      <c r="T9" s="0" t="n">
        <v>37.9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2298.1</v>
      </c>
      <c r="C10" s="0" t="n">
        <v>1427.8</v>
      </c>
      <c r="F10" s="0" t="n">
        <v>281.7</v>
      </c>
      <c r="G10" s="0" t="n">
        <v>12.2579522214003</v>
      </c>
      <c r="H10" s="0" t="n">
        <v>372</v>
      </c>
      <c r="I10" s="0" t="n">
        <v>195.8</v>
      </c>
      <c r="J10" s="0" t="n">
        <v>8.52008180670989</v>
      </c>
      <c r="K10" s="0" t="n">
        <v>5.55</v>
      </c>
      <c r="L10" s="0" t="n">
        <v>210.2</v>
      </c>
      <c r="M10" s="0" t="n">
        <v>47</v>
      </c>
      <c r="N10" s="0" t="n">
        <v>163.2</v>
      </c>
      <c r="O10" s="0" t="n">
        <v>1344.1</v>
      </c>
      <c r="P10" s="0" t="n">
        <v>2717.1</v>
      </c>
      <c r="Q10" s="0" t="n">
        <v>1373</v>
      </c>
      <c r="R10" s="0" t="n">
        <v>780.6</v>
      </c>
      <c r="S10" s="0" t="n">
        <v>85.1</v>
      </c>
      <c r="T10" s="0" t="n">
        <v>36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2149.9</v>
      </c>
      <c r="C11" s="0" t="n">
        <v>1329.5</v>
      </c>
      <c r="F11" s="0" t="n">
        <v>240.5</v>
      </c>
      <c r="G11" s="0" t="n">
        <v>11.1865668170613</v>
      </c>
      <c r="H11" s="0" t="n">
        <v>327.8</v>
      </c>
      <c r="I11" s="0" t="n">
        <v>190.9</v>
      </c>
      <c r="J11" s="0" t="n">
        <v>8.87948276664031</v>
      </c>
      <c r="K11" s="0" t="n">
        <v>5.52</v>
      </c>
      <c r="L11" s="0" t="n">
        <v>317</v>
      </c>
      <c r="M11" s="0" t="n">
        <v>87.6</v>
      </c>
      <c r="N11" s="0" t="n">
        <v>229.4</v>
      </c>
      <c r="O11" s="0" t="n">
        <v>1554.4</v>
      </c>
      <c r="P11" s="0" t="n">
        <v>2774.4</v>
      </c>
      <c r="Q11" s="0" t="n">
        <v>1220</v>
      </c>
      <c r="R11" s="0" t="n">
        <v>617.8</v>
      </c>
      <c r="S11" s="0" t="n">
        <v>98.6</v>
      </c>
      <c r="T11" s="0" t="n">
        <v>35.5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2603.8</v>
      </c>
      <c r="C12" s="0" t="n">
        <v>1624</v>
      </c>
      <c r="F12" s="0" t="n">
        <v>321.7</v>
      </c>
      <c r="G12" s="0" t="n">
        <v>12.3550195867578</v>
      </c>
      <c r="H12" s="0" t="n">
        <v>434.7</v>
      </c>
      <c r="I12" s="0" t="n">
        <v>227.2</v>
      </c>
      <c r="J12" s="0" t="n">
        <v>8.72570857976803</v>
      </c>
      <c r="K12" s="0" t="n">
        <v>6.45</v>
      </c>
      <c r="L12" s="0" t="n">
        <v>374.7</v>
      </c>
      <c r="M12" s="0" t="n">
        <v>58.5</v>
      </c>
      <c r="N12" s="0" t="n">
        <v>316.2</v>
      </c>
      <c r="O12" s="0" t="n">
        <v>1947.3</v>
      </c>
      <c r="P12" s="0" t="n">
        <v>3846.4</v>
      </c>
      <c r="Q12" s="0" t="n">
        <v>1899.1</v>
      </c>
      <c r="R12" s="0" t="n">
        <v>1072.9</v>
      </c>
      <c r="S12" s="0" t="n">
        <v>70.9</v>
      </c>
      <c r="T12" s="0" t="n">
        <v>36.3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2901.8</v>
      </c>
      <c r="C13" s="0" t="n">
        <v>1791</v>
      </c>
      <c r="F13" s="0" t="n">
        <v>416.6</v>
      </c>
      <c r="G13" s="0" t="n">
        <v>14.3566062444</v>
      </c>
      <c r="H13" s="0" t="n">
        <v>529.6</v>
      </c>
      <c r="I13" s="0" t="n">
        <v>333.8</v>
      </c>
      <c r="J13" s="0" t="n">
        <v>11.5032049072989</v>
      </c>
      <c r="K13" s="0" t="n">
        <v>9.32</v>
      </c>
      <c r="L13" s="0" t="n">
        <v>446.9</v>
      </c>
      <c r="M13" s="0" t="n">
        <v>86.8</v>
      </c>
      <c r="N13" s="0" t="n">
        <v>360.1</v>
      </c>
      <c r="O13" s="0" t="n">
        <v>2229.7</v>
      </c>
      <c r="P13" s="0" t="n">
        <v>3809.3</v>
      </c>
      <c r="Q13" s="0" t="n">
        <v>1579.6</v>
      </c>
      <c r="R13" s="0" t="n">
        <v>884.9</v>
      </c>
      <c r="S13" s="0" t="n">
        <v>142.5</v>
      </c>
      <c r="T13" s="0" t="n">
        <v>37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3163.6</v>
      </c>
      <c r="C14" s="0" t="n">
        <v>1920.3</v>
      </c>
      <c r="F14" s="0" t="n">
        <v>491.7</v>
      </c>
      <c r="G14" s="0" t="n">
        <v>15.5424200278164</v>
      </c>
      <c r="H14" s="0" t="n">
        <v>603.6</v>
      </c>
      <c r="I14" s="0" t="n">
        <v>402.3</v>
      </c>
      <c r="J14" s="0" t="n">
        <v>12.7165254773043</v>
      </c>
      <c r="K14" s="0" t="n">
        <v>11.08</v>
      </c>
      <c r="L14" s="0" t="n">
        <v>482.1</v>
      </c>
      <c r="M14" s="0" t="n">
        <v>88.4</v>
      </c>
      <c r="N14" s="0" t="n">
        <v>393.7</v>
      </c>
      <c r="O14" s="0" t="n">
        <v>2714.7</v>
      </c>
      <c r="P14" s="0" t="n">
        <v>4579.8</v>
      </c>
      <c r="Q14" s="0" t="n">
        <v>1865.1</v>
      </c>
      <c r="R14" s="0" t="n">
        <v>951.2</v>
      </c>
      <c r="S14" s="0" t="n">
        <v>199.5</v>
      </c>
      <c r="T14" s="0" t="n">
        <v>37.5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3086.2</v>
      </c>
      <c r="C15" s="0" t="n">
        <v>1905.3</v>
      </c>
      <c r="F15" s="0" t="n">
        <v>480.1</v>
      </c>
      <c r="G15" s="0" t="n">
        <v>15.55634761195</v>
      </c>
      <c r="H15" s="0" t="n">
        <v>596.3</v>
      </c>
      <c r="I15" s="0" t="n">
        <v>401.9</v>
      </c>
      <c r="J15" s="0" t="n">
        <v>13.0224872010887</v>
      </c>
      <c r="K15" s="0" t="n">
        <v>10.95</v>
      </c>
      <c r="L15" s="0" t="n">
        <v>618.9</v>
      </c>
      <c r="M15" s="0" t="n">
        <v>71.4</v>
      </c>
      <c r="N15" s="0" t="n">
        <v>547.5</v>
      </c>
      <c r="O15" s="0" t="n">
        <v>3228.6</v>
      </c>
      <c r="P15" s="0" t="n">
        <v>5084.8</v>
      </c>
      <c r="Q15" s="0" t="n">
        <v>1856.2</v>
      </c>
      <c r="R15" s="0" t="n">
        <v>876.1</v>
      </c>
      <c r="S15" s="0" t="n">
        <v>673.1</v>
      </c>
      <c r="T15" s="0" t="n">
        <v>37.9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4614.3</v>
      </c>
      <c r="C16" s="0" t="n">
        <v>2772.9</v>
      </c>
      <c r="F16" s="0" t="n">
        <v>624.3</v>
      </c>
      <c r="G16" s="0" t="n">
        <v>13.5296794746766</v>
      </c>
      <c r="H16" s="0" t="n">
        <v>996.1</v>
      </c>
      <c r="I16" s="0" t="n">
        <v>445.3</v>
      </c>
      <c r="J16" s="0" t="n">
        <v>9.65043451877858</v>
      </c>
      <c r="K16" s="0" t="n">
        <v>10.31</v>
      </c>
      <c r="L16" s="0" t="n">
        <v>824.6</v>
      </c>
      <c r="M16" s="0" t="n">
        <v>101.6</v>
      </c>
      <c r="N16" s="0" t="n">
        <v>723</v>
      </c>
      <c r="O16" s="0" t="n">
        <v>7622</v>
      </c>
      <c r="P16" s="0" t="n">
        <v>14430.3</v>
      </c>
      <c r="Q16" s="0" t="n">
        <v>6808.3</v>
      </c>
      <c r="R16" s="0" t="n">
        <v>4099.4</v>
      </c>
      <c r="S16" s="0" t="n">
        <v>474.7</v>
      </c>
      <c r="T16" s="0" t="n">
        <v>46.692296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5458.6</v>
      </c>
      <c r="C17" s="0" t="n">
        <v>3128.3</v>
      </c>
      <c r="F17" s="0" t="n">
        <v>972</v>
      </c>
      <c r="G17" s="0" t="n">
        <v>17.8067636390283</v>
      </c>
      <c r="H17" s="0" t="n">
        <v>1304.2</v>
      </c>
      <c r="I17" s="0" t="n">
        <v>788.9</v>
      </c>
      <c r="J17" s="0" t="n">
        <v>14.4524236983842</v>
      </c>
      <c r="K17" s="0" t="n">
        <v>16.85</v>
      </c>
      <c r="L17" s="0" t="n">
        <v>486.8</v>
      </c>
      <c r="M17" s="0" t="n">
        <v>92.6</v>
      </c>
      <c r="N17" s="0" t="n">
        <v>394.2</v>
      </c>
      <c r="O17" s="0" t="n">
        <v>8169.2</v>
      </c>
      <c r="P17" s="0" t="n">
        <v>14354</v>
      </c>
      <c r="Q17" s="0" t="n">
        <v>6181.1</v>
      </c>
      <c r="R17" s="0" t="n">
        <v>4220.7</v>
      </c>
      <c r="S17" s="0" t="n">
        <v>638.1</v>
      </c>
      <c r="T17" s="0" t="n">
        <v>47.7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5635.5</v>
      </c>
      <c r="C18" s="0" t="n">
        <v>3196.1</v>
      </c>
      <c r="F18" s="0" t="n">
        <v>1034.4</v>
      </c>
      <c r="G18" s="0" t="n">
        <v>18.3550705350013</v>
      </c>
      <c r="H18" s="0" t="n">
        <v>1350.8</v>
      </c>
      <c r="I18" s="0" t="n">
        <v>886.6</v>
      </c>
      <c r="J18" s="0" t="n">
        <v>15.7324106113034</v>
      </c>
      <c r="K18" s="0" t="n">
        <v>18.8</v>
      </c>
      <c r="L18" s="0" t="n">
        <v>836.1</v>
      </c>
      <c r="M18" s="0" t="n">
        <v>114.9</v>
      </c>
      <c r="N18" s="0" t="n">
        <v>721.2</v>
      </c>
      <c r="O18" s="0" t="n">
        <v>9221.2</v>
      </c>
      <c r="P18" s="0" t="n">
        <v>14527.9</v>
      </c>
      <c r="Q18" s="0" t="n">
        <v>5302.1</v>
      </c>
      <c r="R18" s="0" t="n">
        <v>3845</v>
      </c>
      <c r="S18" s="0" t="n">
        <v>648.3</v>
      </c>
      <c r="T18" s="0" t="n">
        <v>47.9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5670</v>
      </c>
      <c r="C19" s="0" t="n">
        <v>3235.2</v>
      </c>
      <c r="F19" s="0" t="n">
        <v>989.1</v>
      </c>
      <c r="G19" s="0" t="n">
        <v>17.4444444444445</v>
      </c>
      <c r="H19" s="0" t="n">
        <v>1299</v>
      </c>
      <c r="I19" s="0" t="n">
        <v>820.7</v>
      </c>
      <c r="J19" s="0" t="n">
        <v>14.4744268077601</v>
      </c>
      <c r="K19" s="0" t="n">
        <v>17.43</v>
      </c>
      <c r="L19" s="0" t="n">
        <v>1191.9</v>
      </c>
      <c r="M19" s="0" t="n">
        <v>83.7</v>
      </c>
      <c r="N19" s="0" t="n">
        <v>1108.2</v>
      </c>
      <c r="O19" s="0" t="n">
        <v>9549.4</v>
      </c>
      <c r="P19" s="0" t="n">
        <v>14200.5</v>
      </c>
      <c r="Q19" s="0" t="n">
        <v>4645.1</v>
      </c>
      <c r="R19" s="0" t="n">
        <v>2649.3</v>
      </c>
      <c r="S19" s="0" t="n">
        <v>649.8</v>
      </c>
      <c r="T19" s="0" t="n">
        <v>47.6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6115.4</v>
      </c>
      <c r="C20" s="0" t="n">
        <v>3500.6</v>
      </c>
      <c r="F20" s="0" t="n">
        <v>1149.8</v>
      </c>
      <c r="G20" s="0" t="n">
        <v>18.8017137063806</v>
      </c>
      <c r="H20" s="0" t="n">
        <v>1486.1</v>
      </c>
      <c r="I20" s="0" t="n">
        <v>895.7</v>
      </c>
      <c r="J20" s="0" t="n">
        <v>14.6466298197992</v>
      </c>
      <c r="K20" s="0" t="n">
        <v>19.12</v>
      </c>
      <c r="L20" s="0" t="n">
        <v>1191.3</v>
      </c>
      <c r="M20" s="0" t="n">
        <v>117.3</v>
      </c>
      <c r="N20" s="0" t="n">
        <v>1074</v>
      </c>
      <c r="O20" s="0" t="n">
        <v>10513.9</v>
      </c>
      <c r="P20" s="0" t="n">
        <v>15285.3</v>
      </c>
      <c r="Q20" s="0" t="n">
        <v>4771.4</v>
      </c>
      <c r="R20" s="0" t="n">
        <v>2925.5</v>
      </c>
      <c r="S20" s="0" t="n">
        <v>352.4</v>
      </c>
      <c r="T20" s="0" t="n">
        <v>47.4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612.7</v>
      </c>
    </row>
    <row r="3" customFormat="false" ht="15" hidden="false" customHeight="false" outlineLevel="0" collapsed="false">
      <c r="A3" s="0" t="s">
        <v>85</v>
      </c>
      <c r="B3" s="3" t="n">
        <v>46.9</v>
      </c>
    </row>
    <row r="4" customFormat="false" ht="15" hidden="false" customHeight="false" outlineLevel="0" collapsed="false">
      <c r="A4" s="0" t="s">
        <v>86</v>
      </c>
      <c r="B4" s="3" t="n">
        <v>1687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6115.4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5.5</v>
      </c>
      <c r="D13" s="3" t="n">
        <v>1.5</v>
      </c>
      <c r="E13" s="3" t="n">
        <v>1</v>
      </c>
      <c r="F13" s="3" t="n">
        <v>2.5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25</v>
      </c>
      <c r="D14" s="3" t="n">
        <v>24</v>
      </c>
      <c r="E14" s="3" t="n">
        <v>23.5</v>
      </c>
      <c r="F14" s="3" t="n">
        <v>23.8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107</v>
      </c>
      <c r="C15" s="3" t="n">
        <v>0.65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5.4</v>
      </c>
      <c r="D17" s="3" t="n">
        <v>5.3</v>
      </c>
      <c r="E17" s="3" t="n">
        <v>5.2</v>
      </c>
      <c r="F17" s="3" t="n">
        <v>4.8</v>
      </c>
      <c r="G17" s="3" t="n">
        <v>4.4</v>
      </c>
      <c r="H17" s="3" t="n">
        <v>4</v>
      </c>
      <c r="I17" s="3" t="n">
        <v>3.5</v>
      </c>
      <c r="J17" s="3" t="n">
        <v>3</v>
      </c>
      <c r="K17" s="3" t="n">
        <v>2.6</v>
      </c>
      <c r="L17" s="3" t="n">
        <v>2.3</v>
      </c>
    </row>
    <row r="18" customFormat="false" ht="15" hidden="false" customHeight="false" outlineLevel="0" collapsed="false">
      <c r="A18" s="0" t="s">
        <v>110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111</v>
      </c>
      <c r="C19" s="3" t="n">
        <v>22</v>
      </c>
      <c r="D19" s="3" t="n">
        <v>22.5</v>
      </c>
      <c r="E19" s="3" t="n">
        <v>23</v>
      </c>
      <c r="F19" s="3" t="n">
        <v>23.5</v>
      </c>
      <c r="G19" s="3" t="n">
        <v>23.5</v>
      </c>
      <c r="H19" s="3" t="n">
        <v>23.5</v>
      </c>
      <c r="I19" s="3" t="n">
        <v>23.5</v>
      </c>
      <c r="J19" s="3" t="n">
        <v>23.5</v>
      </c>
      <c r="K19" s="3" t="n">
        <v>23.5</v>
      </c>
      <c r="L19" s="3" t="n">
        <v>23.5</v>
      </c>
    </row>
    <row r="20" customFormat="false" ht="15" hidden="false" customHeight="false" outlineLevel="0" collapsed="false">
      <c r="A20" s="0" t="s">
        <v>112</v>
      </c>
      <c r="B20" s="3" t="n">
        <v>8.75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-10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6.8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25.4</v>
      </c>
      <c r="D28" s="3" t="n">
        <v>25.7</v>
      </c>
      <c r="E28" s="3" t="n">
        <v>26</v>
      </c>
      <c r="F28" s="3" t="n">
        <v>26.2</v>
      </c>
      <c r="G28" s="3" t="n">
        <v>26.4</v>
      </c>
      <c r="H28" s="3" t="n">
        <v>26.5</v>
      </c>
      <c r="I28" s="3" t="n">
        <v>26.5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107</v>
      </c>
      <c r="C29" s="3" t="n">
        <v>0.65</v>
      </c>
      <c r="D29" s="3" t="n">
        <v>0.65</v>
      </c>
      <c r="E29" s="3" t="n">
        <v>0.65</v>
      </c>
      <c r="F29" s="3" t="n">
        <v>0.65</v>
      </c>
      <c r="G29" s="3" t="n">
        <v>0.65</v>
      </c>
      <c r="H29" s="3" t="n">
        <v>0.65</v>
      </c>
      <c r="I29" s="3" t="n">
        <v>0.65</v>
      </c>
      <c r="J29" s="3" t="n">
        <v>0.65</v>
      </c>
      <c r="K29" s="3" t="n">
        <v>0.65</v>
      </c>
      <c r="L29" s="3" t="n">
        <v>0.65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5.4</v>
      </c>
      <c r="D31" s="3" t="n">
        <v>5.2</v>
      </c>
      <c r="E31" s="3" t="n">
        <v>5</v>
      </c>
      <c r="F31" s="3" t="n">
        <v>4.6</v>
      </c>
      <c r="G31" s="3" t="n">
        <v>4.2</v>
      </c>
      <c r="H31" s="3" t="n">
        <v>3.8</v>
      </c>
      <c r="I31" s="3" t="n">
        <v>3.4</v>
      </c>
      <c r="J31" s="3" t="n">
        <v>3</v>
      </c>
      <c r="K31" s="3" t="n">
        <v>2.6</v>
      </c>
      <c r="L31" s="3" t="n">
        <v>2.3</v>
      </c>
    </row>
    <row r="32" customFormat="false" ht="15" hidden="false" customHeight="false" outlineLevel="0" collapsed="false">
      <c r="A32" s="0" t="s">
        <v>110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2.1</v>
      </c>
      <c r="I32" s="3" t="n">
        <v>2.1</v>
      </c>
      <c r="J32" s="3" t="n">
        <v>2.1</v>
      </c>
      <c r="K32" s="3" t="n">
        <v>2.1</v>
      </c>
      <c r="L32" s="3" t="n">
        <v>2.1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22.5</v>
      </c>
      <c r="E33" s="3" t="n">
        <v>23</v>
      </c>
      <c r="F33" s="3" t="n">
        <v>23.5</v>
      </c>
      <c r="G33" s="3" t="n">
        <v>23.5</v>
      </c>
      <c r="H33" s="3" t="n">
        <v>23.5</v>
      </c>
      <c r="I33" s="3" t="n">
        <v>23.5</v>
      </c>
      <c r="J33" s="3" t="n">
        <v>23.5</v>
      </c>
      <c r="K33" s="3" t="n">
        <v>23.5</v>
      </c>
      <c r="L33" s="3" t="n">
        <v>23.5</v>
      </c>
    </row>
    <row r="34" customFormat="false" ht="15" hidden="false" customHeight="false" outlineLevel="0" collapsed="false">
      <c r="A34" s="0" t="s">
        <v>112</v>
      </c>
      <c r="B34" s="3" t="n">
        <v>8.75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-10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7.5</v>
      </c>
      <c r="D41" s="3" t="n">
        <v>8.5</v>
      </c>
      <c r="E41" s="3" t="n">
        <v>8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25.6</v>
      </c>
      <c r="D42" s="3" t="n">
        <v>26.2</v>
      </c>
      <c r="E42" s="3" t="n">
        <v>26.8</v>
      </c>
      <c r="F42" s="3" t="n">
        <v>27.3</v>
      </c>
      <c r="G42" s="3" t="n">
        <v>27.7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107</v>
      </c>
      <c r="C43" s="3" t="n">
        <v>0.65</v>
      </c>
      <c r="D43" s="3" t="n">
        <v>0.65</v>
      </c>
      <c r="E43" s="3" t="n">
        <v>0.65</v>
      </c>
      <c r="F43" s="3" t="n">
        <v>0.65</v>
      </c>
      <c r="G43" s="3" t="n">
        <v>0.65</v>
      </c>
      <c r="H43" s="3" t="n">
        <v>0.65</v>
      </c>
      <c r="I43" s="3" t="n">
        <v>0.65</v>
      </c>
      <c r="J43" s="3" t="n">
        <v>0.65</v>
      </c>
      <c r="K43" s="3" t="n">
        <v>0.65</v>
      </c>
      <c r="L43" s="3" t="n">
        <v>0.65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5.4</v>
      </c>
      <c r="D45" s="3" t="n">
        <v>5.2</v>
      </c>
      <c r="E45" s="3" t="n">
        <v>5</v>
      </c>
      <c r="F45" s="3" t="n">
        <v>4.6</v>
      </c>
      <c r="G45" s="3" t="n">
        <v>4.2</v>
      </c>
      <c r="H45" s="3" t="n">
        <v>3.8</v>
      </c>
      <c r="I45" s="3" t="n">
        <v>3.4</v>
      </c>
      <c r="J45" s="3" t="n">
        <v>3</v>
      </c>
      <c r="K45" s="3" t="n">
        <v>2.6</v>
      </c>
      <c r="L45" s="3" t="n">
        <v>2.3</v>
      </c>
    </row>
    <row r="46" customFormat="false" ht="15" hidden="false" customHeight="false" outlineLevel="0" collapsed="false">
      <c r="A46" s="0" t="s">
        <v>110</v>
      </c>
      <c r="C46" s="3" t="n">
        <v>2</v>
      </c>
      <c r="D46" s="3" t="n">
        <v>2</v>
      </c>
      <c r="E46" s="3" t="n">
        <v>2.1</v>
      </c>
      <c r="F46" s="3" t="n">
        <v>2.1</v>
      </c>
      <c r="G46" s="3" t="n">
        <v>2.1</v>
      </c>
      <c r="H46" s="3" t="n">
        <v>2.1</v>
      </c>
      <c r="I46" s="3" t="n">
        <v>2.1</v>
      </c>
      <c r="J46" s="3" t="n">
        <v>2.1</v>
      </c>
      <c r="K46" s="3" t="n">
        <v>2.1</v>
      </c>
      <c r="L46" s="3" t="n">
        <v>2.1</v>
      </c>
    </row>
    <row r="47" customFormat="false" ht="15" hidden="false" customHeight="false" outlineLevel="0" collapsed="false">
      <c r="A47" s="0" t="s">
        <v>111</v>
      </c>
      <c r="C47" s="3" t="n">
        <v>22</v>
      </c>
      <c r="D47" s="3" t="n">
        <v>22.5</v>
      </c>
      <c r="E47" s="3" t="n">
        <v>23</v>
      </c>
      <c r="F47" s="3" t="n">
        <v>23.5</v>
      </c>
      <c r="G47" s="3" t="n">
        <v>23.5</v>
      </c>
      <c r="H47" s="3" t="n">
        <v>23.5</v>
      </c>
      <c r="I47" s="3" t="n">
        <v>23.5</v>
      </c>
      <c r="J47" s="3" t="n">
        <v>23.5</v>
      </c>
      <c r="K47" s="3" t="n">
        <v>23.5</v>
      </c>
      <c r="L47" s="3" t="n">
        <v>23.5</v>
      </c>
    </row>
    <row r="48" customFormat="false" ht="15" hidden="false" customHeight="false" outlineLevel="0" collapsed="false">
      <c r="A48" s="0" t="s">
        <v>112</v>
      </c>
      <c r="B48" s="3" t="n">
        <v>8.75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-10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5.5</v>
      </c>
      <c r="D5" s="4" t="n">
        <f aca="false">Assumptions!D13</f>
        <v>1.5</v>
      </c>
      <c r="E5" s="4" t="n">
        <f aca="false">Assumptions!E13</f>
        <v>1</v>
      </c>
      <c r="F5" s="4" t="n">
        <f aca="false">Assumptions!F13</f>
        <v>2.5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6115.4</v>
      </c>
      <c r="C6" s="0" t="n">
        <f aca="false">B6*(1+C5/100)</f>
        <v>6451.747</v>
      </c>
      <c r="D6" s="0" t="n">
        <f aca="false">C6*(1+D5/100)</f>
        <v>6548.523205</v>
      </c>
      <c r="E6" s="0" t="n">
        <f aca="false">D6*(1+E5/100)</f>
        <v>6614.00843705</v>
      </c>
      <c r="F6" s="0" t="n">
        <f aca="false">E6*(1+F5/100)</f>
        <v>6779.35864797625</v>
      </c>
      <c r="G6" s="0" t="n">
        <f aca="false">F6*(1+G5/100)</f>
        <v>6982.73940741554</v>
      </c>
      <c r="H6" s="0" t="n">
        <f aca="false">G6*(1+H5/100)</f>
        <v>7192.221589638</v>
      </c>
      <c r="I6" s="0" t="n">
        <f aca="false">H6*(1+I5/100)</f>
        <v>7407.98823732714</v>
      </c>
      <c r="J6" s="0" t="n">
        <f aca="false">I6*(1+J5/100)</f>
        <v>7593.18794326032</v>
      </c>
      <c r="K6" s="0" t="n">
        <f aca="false">J6*(1+K5/100)</f>
        <v>7783.01764184183</v>
      </c>
      <c r="L6" s="0" t="n">
        <f aca="false">K6*(1+L5/100)</f>
        <v>7977.59308288787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25</v>
      </c>
      <c r="D7" s="4" t="n">
        <f aca="false">Assumptions!D14</f>
        <v>24</v>
      </c>
      <c r="E7" s="4" t="n">
        <f aca="false">Assumptions!E14</f>
        <v>23.5</v>
      </c>
      <c r="F7" s="4" t="n">
        <f aca="false">Assumptions!F14</f>
        <v>23.8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1612.93675</v>
      </c>
      <c r="D8" s="0" t="n">
        <f aca="false">D6*D7/100</f>
        <v>1571.6455692</v>
      </c>
      <c r="E8" s="0" t="n">
        <f aca="false">E6*E7/100</f>
        <v>1554.29198270675</v>
      </c>
      <c r="F8" s="0" t="n">
        <f aca="false">F6*F7/100</f>
        <v>1613.48735821835</v>
      </c>
      <c r="G8" s="0" t="n">
        <f aca="false">G6*G7/100</f>
        <v>1675.85745777973</v>
      </c>
      <c r="H8" s="0" t="n">
        <f aca="false">H6*H7/100</f>
        <v>1726.13318151312</v>
      </c>
      <c r="I8" s="0" t="n">
        <f aca="false">I6*I7/100</f>
        <v>1777.91717695851</v>
      </c>
      <c r="J8" s="0" t="n">
        <f aca="false">J6*J7/100</f>
        <v>1822.36510638248</v>
      </c>
      <c r="K8" s="0" t="n">
        <f aca="false">K6*K7/100</f>
        <v>1867.92423404204</v>
      </c>
      <c r="L8" s="0" t="n">
        <f aca="false">L6*L7/100</f>
        <v>1914.62233989309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0.65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-41.9363555</v>
      </c>
      <c r="D10" s="0" t="n">
        <f aca="false">-D6*D9/100</f>
        <v>-42.5654008325</v>
      </c>
      <c r="E10" s="0" t="n">
        <f aca="false">-E6*E9/100</f>
        <v>-42.991054840825</v>
      </c>
      <c r="F10" s="0" t="n">
        <f aca="false">-F6*F9/100</f>
        <v>-44.0658312118456</v>
      </c>
      <c r="G10" s="0" t="n">
        <f aca="false">-G6*G9/100</f>
        <v>-45.387806148201</v>
      </c>
      <c r="H10" s="0" t="n">
        <f aca="false">-H6*H9/100</f>
        <v>-46.749440332647</v>
      </c>
      <c r="I10" s="0" t="n">
        <f aca="false">-I6*I9/100</f>
        <v>-48.1519235426264</v>
      </c>
      <c r="J10" s="0" t="n">
        <f aca="false">-J6*J9/100</f>
        <v>-49.3557216311921</v>
      </c>
      <c r="K10" s="0" t="n">
        <f aca="false">-K6*K9/100</f>
        <v>-50.5896146719719</v>
      </c>
      <c r="L10" s="0" t="n">
        <f aca="false">-L6*L9/100</f>
        <v>-51.8543550387712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1571.0003945</v>
      </c>
      <c r="D11" s="0" t="n">
        <f aca="false">D8+D10+D24</f>
        <v>1529.0801683675</v>
      </c>
      <c r="E11" s="0" t="n">
        <f aca="false">E8+E10+E24</f>
        <v>1511.30092786592</v>
      </c>
      <c r="F11" s="0" t="n">
        <f aca="false">F8+F10+F24</f>
        <v>1569.4215270065</v>
      </c>
      <c r="G11" s="0" t="n">
        <f aca="false">G8+G10+G24</f>
        <v>1630.46965163153</v>
      </c>
      <c r="H11" s="0" t="n">
        <f aca="false">H8+H10+H24</f>
        <v>1679.38374118047</v>
      </c>
      <c r="I11" s="0" t="n">
        <f aca="false">I8+I10+I24</f>
        <v>1729.76525341589</v>
      </c>
      <c r="J11" s="0" t="n">
        <f aca="false">J8+J10+J24</f>
        <v>1773.00938475128</v>
      </c>
      <c r="K11" s="0" t="n">
        <f aca="false">K8+K10+K24</f>
        <v>1817.33461937007</v>
      </c>
      <c r="L11" s="0" t="n">
        <f aca="false">L8+L10+L24</f>
        <v>1862.76798485432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-348.394338</v>
      </c>
      <c r="D12" s="4" t="n">
        <f aca="false">-D6*Assumptions!D17/100</f>
        <v>-347.071729865</v>
      </c>
      <c r="E12" s="4" t="n">
        <f aca="false">-E6*Assumptions!E17/100</f>
        <v>-343.9284387266</v>
      </c>
      <c r="F12" s="4" t="n">
        <f aca="false">-F6*Assumptions!F17/100</f>
        <v>-325.40921510286</v>
      </c>
      <c r="G12" s="4" t="n">
        <f aca="false">-G6*Assumptions!G17/100</f>
        <v>-307.240533926284</v>
      </c>
      <c r="H12" s="4" t="n">
        <f aca="false">-H6*Assumptions!H17/100</f>
        <v>-287.68886358552</v>
      </c>
      <c r="I12" s="4" t="n">
        <f aca="false">-I6*Assumptions!I17/100</f>
        <v>-259.27958830645</v>
      </c>
      <c r="J12" s="4" t="n">
        <f aca="false">-J6*Assumptions!J17/100</f>
        <v>-227.79563829781</v>
      </c>
      <c r="K12" s="4" t="n">
        <f aca="false">-K6*Assumptions!K17/100</f>
        <v>-202.358458687888</v>
      </c>
      <c r="L12" s="4" t="n">
        <f aca="false">-L6*Assumptions!L17/100</f>
        <v>-183.484640906421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1222.6060565</v>
      </c>
      <c r="D13" s="0" t="n">
        <f aca="false">D11+D12</f>
        <v>1182.0084385025</v>
      </c>
      <c r="E13" s="0" t="n">
        <f aca="false">E11+E12</f>
        <v>1167.37248913932</v>
      </c>
      <c r="F13" s="0" t="n">
        <f aca="false">F11+F12</f>
        <v>1244.01231190364</v>
      </c>
      <c r="G13" s="0" t="n">
        <f aca="false">G11+G12</f>
        <v>1323.22911770524</v>
      </c>
      <c r="H13" s="0" t="n">
        <f aca="false">H11+H12</f>
        <v>1391.69487759495</v>
      </c>
      <c r="I13" s="0" t="n">
        <f aca="false">I11+I12</f>
        <v>1470.48566510944</v>
      </c>
      <c r="J13" s="0" t="n">
        <f aca="false">J11+J12</f>
        <v>1545.21374645348</v>
      </c>
      <c r="K13" s="0" t="n">
        <f aca="false">K11+K12</f>
        <v>1614.97616068218</v>
      </c>
      <c r="L13" s="0" t="n">
        <f aca="false">L11+L12</f>
        <v>1679.2833439479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22</v>
      </c>
      <c r="D14" s="4" t="n">
        <f aca="false">Assumptions!D19</f>
        <v>22.5</v>
      </c>
      <c r="E14" s="4" t="n">
        <f aca="false">Assumptions!E19</f>
        <v>23</v>
      </c>
      <c r="F14" s="4" t="n">
        <f aca="false">Assumptions!F19</f>
        <v>23.5</v>
      </c>
      <c r="G14" s="4" t="n">
        <f aca="false">Assumptions!G19</f>
        <v>23.5</v>
      </c>
      <c r="H14" s="4" t="n">
        <f aca="false">Assumptions!H19</f>
        <v>23.5</v>
      </c>
      <c r="I14" s="4" t="n">
        <f aca="false">Assumptions!I19</f>
        <v>23.5</v>
      </c>
      <c r="J14" s="4" t="n">
        <f aca="false">Assumptions!J19</f>
        <v>23.5</v>
      </c>
      <c r="K14" s="4" t="n">
        <f aca="false">Assumptions!K19</f>
        <v>23.5</v>
      </c>
      <c r="L14" s="4" t="n">
        <f aca="false">Assumptions!L19</f>
        <v>23.5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953.63272407</v>
      </c>
      <c r="D15" s="0" t="n">
        <f aca="false">D13-MAX(0,D13)*D14/100</f>
        <v>916.056539839437</v>
      </c>
      <c r="E15" s="0" t="n">
        <f aca="false">E13-MAX(0,E13)*E14/100</f>
        <v>898.87681663728</v>
      </c>
      <c r="F15" s="0" t="n">
        <f aca="false">F13-MAX(0,F13)*F14/100</f>
        <v>951.669418606286</v>
      </c>
      <c r="G15" s="0" t="n">
        <f aca="false">G13-MAX(0,G13)*G14/100</f>
        <v>1012.27027504451</v>
      </c>
      <c r="H15" s="0" t="n">
        <f aca="false">H13-MAX(0,H13)*H14/100</f>
        <v>1064.64658136014</v>
      </c>
      <c r="I15" s="0" t="n">
        <f aca="false">I13-MAX(0,I13)*I14/100</f>
        <v>1124.92153380872</v>
      </c>
      <c r="J15" s="0" t="n">
        <f aca="false">J13-MAX(0,J13)*J14/100</f>
        <v>1182.08851603691</v>
      </c>
      <c r="K15" s="0" t="n">
        <f aca="false">K13-MAX(0,K13)*K14/100</f>
        <v>1235.45676292187</v>
      </c>
      <c r="L15" s="0" t="n">
        <f aca="false">L13-MAX(0,L13)*L14/100</f>
        <v>1284.65175812014</v>
      </c>
    </row>
    <row r="16" customFormat="false" ht="15" hidden="false" customHeight="false" outlineLevel="0" collapsed="false">
      <c r="A16" s="0" t="s">
        <v>127</v>
      </c>
      <c r="C16" s="0" t="n">
        <f aca="false">-C12</f>
        <v>348.394338</v>
      </c>
      <c r="D16" s="0" t="n">
        <f aca="false">-D12</f>
        <v>347.071729865</v>
      </c>
      <c r="E16" s="0" t="n">
        <f aca="false">-E12</f>
        <v>343.9284387266</v>
      </c>
      <c r="F16" s="0" t="n">
        <f aca="false">-F12</f>
        <v>325.40921510286</v>
      </c>
      <c r="G16" s="0" t="n">
        <f aca="false">-G12</f>
        <v>307.240533926284</v>
      </c>
      <c r="H16" s="0" t="n">
        <f aca="false">-H12</f>
        <v>287.68886358552</v>
      </c>
      <c r="I16" s="0" t="n">
        <f aca="false">-I12</f>
        <v>259.27958830645</v>
      </c>
      <c r="J16" s="0" t="n">
        <f aca="false">-J12</f>
        <v>227.79563829781</v>
      </c>
      <c r="K16" s="0" t="n">
        <f aca="false">-K12</f>
        <v>202.358458687888</v>
      </c>
      <c r="L16" s="0" t="n">
        <f aca="false">-L12</f>
        <v>183.484640906421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-129.03494</v>
      </c>
      <c r="D17" s="4" t="n">
        <f aca="false">-D6*Assumptions!D18/100</f>
        <v>-130.9704641</v>
      </c>
      <c r="E17" s="4" t="n">
        <f aca="false">-E6*Assumptions!E18/100</f>
        <v>-132.280168741</v>
      </c>
      <c r="F17" s="4" t="n">
        <f aca="false">-F6*Assumptions!F18/100</f>
        <v>-135.587172959525</v>
      </c>
      <c r="G17" s="4" t="n">
        <f aca="false">-G6*Assumptions!G18/100</f>
        <v>-139.654788148311</v>
      </c>
      <c r="H17" s="4" t="n">
        <f aca="false">-H6*Assumptions!H18/100</f>
        <v>-143.84443179276</v>
      </c>
      <c r="I17" s="4" t="n">
        <f aca="false">-I6*Assumptions!I18/100</f>
        <v>-148.159764746543</v>
      </c>
      <c r="J17" s="4" t="n">
        <f aca="false">-J6*Assumptions!J18/100</f>
        <v>-151.863758865206</v>
      </c>
      <c r="K17" s="4" t="n">
        <f aca="false">-K6*Assumptions!K18/100</f>
        <v>-155.660352836837</v>
      </c>
      <c r="L17" s="4" t="n">
        <f aca="false">-L6*Assumptions!L18/100</f>
        <v>-159.551861657757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-33.6347</v>
      </c>
      <c r="D18" s="4" t="n">
        <f aca="false">(D6-C6)*Assumptions!$B$23/100</f>
        <v>-9.67762049999992</v>
      </c>
      <c r="E18" s="4" t="n">
        <f aca="false">(E6-D6)*Assumptions!$B$23/100</f>
        <v>-6.54852320500004</v>
      </c>
      <c r="F18" s="4" t="n">
        <f aca="false">(F6-E6)*Assumptions!$B$23/100</f>
        <v>-16.5350210926249</v>
      </c>
      <c r="G18" s="4" t="n">
        <f aca="false">(G6-F6)*Assumptions!$B$23/100</f>
        <v>-20.3380759439287</v>
      </c>
      <c r="H18" s="4" t="n">
        <f aca="false">(H6-G6)*Assumptions!$B$23/100</f>
        <v>-20.9482182222467</v>
      </c>
      <c r="I18" s="4" t="n">
        <f aca="false">(I6-H6)*Assumptions!$B$23/100</f>
        <v>-21.576664768914</v>
      </c>
      <c r="J18" s="4" t="n">
        <f aca="false">(J6-I6)*Assumptions!$B$23/100</f>
        <v>-18.5199705933178</v>
      </c>
      <c r="K18" s="4" t="n">
        <f aca="false">(K6-J6)*Assumptions!$B$23/100</f>
        <v>-18.9829698581508</v>
      </c>
      <c r="L18" s="4" t="n">
        <f aca="false">(L6-K6)*Assumptions!$B$23/100</f>
        <v>-19.4575441046045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1139.35742207</v>
      </c>
      <c r="D19" s="0" t="n">
        <f aca="false">D15+D16+D17+D18</f>
        <v>1122.48018510444</v>
      </c>
      <c r="E19" s="0" t="n">
        <f aca="false">E15+E16+E17+E18</f>
        <v>1103.97656341788</v>
      </c>
      <c r="F19" s="0" t="n">
        <f aca="false">F15+F16+F17+F18</f>
        <v>1124.956439657</v>
      </c>
      <c r="G19" s="0" t="n">
        <f aca="false">G15+G16+G17+G18</f>
        <v>1159.51794487856</v>
      </c>
      <c r="H19" s="0" t="n">
        <f aca="false">H15+H16+H17+H18</f>
        <v>1187.54279493065</v>
      </c>
      <c r="I19" s="0" t="n">
        <f aca="false">I15+I16+I17+I18</f>
        <v>1214.46469259971</v>
      </c>
      <c r="J19" s="0" t="n">
        <f aca="false">J15+J16+J17+J18</f>
        <v>1239.50042487619</v>
      </c>
      <c r="K19" s="0" t="n">
        <f aca="false">K15+K16+K17+K18</f>
        <v>1263.17189891477</v>
      </c>
      <c r="L19" s="0" t="n">
        <f aca="false">L15+L16+L17+L18</f>
        <v>1289.1269932642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1047.68498581149</v>
      </c>
      <c r="D21" s="0" t="n">
        <f aca="false">D19*D20</f>
        <v>949.117873519408</v>
      </c>
      <c r="E21" s="0" t="n">
        <f aca="false">E19*E20</f>
        <v>858.365110667612</v>
      </c>
      <c r="F21" s="0" t="n">
        <f aca="false">F19*F20</f>
        <v>804.301064693752</v>
      </c>
      <c r="G21" s="0" t="n">
        <f aca="false">G19*G20</f>
        <v>762.309173628163</v>
      </c>
      <c r="H21" s="0" t="n">
        <f aca="false">H19*H20</f>
        <v>717.916070823036</v>
      </c>
      <c r="I21" s="0" t="n">
        <f aca="false">I19*I20</f>
        <v>675.118538874944</v>
      </c>
      <c r="J21" s="0" t="n">
        <f aca="false">J19*J20</f>
        <v>633.596186949437</v>
      </c>
      <c r="K21" s="0" t="n">
        <f aca="false">K19*K20</f>
        <v>593.743768963621</v>
      </c>
      <c r="L21" s="0" t="n">
        <f aca="false">L19*L20</f>
        <v>557.189656868849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8.75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7599.34243080032</v>
      </c>
    </row>
    <row r="31" customFormat="false" ht="15" hidden="false" customHeight="false" outlineLevel="0" collapsed="false">
      <c r="A31" s="0" t="s">
        <v>136</v>
      </c>
      <c r="B31" s="0" t="n">
        <f aca="false">L19</f>
        <v>1289.1269932642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19480.1412315479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19336.904898963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19336.904898963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8357.84485303273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15957.1872838331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14270.1872838331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304.268385582794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-0.503397444780816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295.775436162521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338.679554297498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317.796210539298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10114.6887163807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141.815629361032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6.8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6115.4</v>
      </c>
      <c r="C6" s="0" t="n">
        <f aca="false">B6*(1+C5/100)</f>
        <v>6531.2472</v>
      </c>
      <c r="D6" s="0" t="n">
        <f aca="false">C6*(1+D5/100)</f>
        <v>6923.122032</v>
      </c>
      <c r="E6" s="0" t="n">
        <f aca="false">D6*(1+E5/100)</f>
        <v>7303.89374376</v>
      </c>
      <c r="F6" s="0" t="n">
        <f aca="false">E6*(1+F5/100)</f>
        <v>7669.088430948</v>
      </c>
      <c r="G6" s="0" t="n">
        <f aca="false">F6*(1+G5/100)</f>
        <v>8014.19741034066</v>
      </c>
      <c r="H6" s="0" t="n">
        <f aca="false">G6*(1+H5/100)</f>
        <v>8334.76530675429</v>
      </c>
      <c r="I6" s="0" t="n">
        <f aca="false">H6*(1+I5/100)</f>
        <v>8626.48209249069</v>
      </c>
      <c r="J6" s="0" t="n">
        <f aca="false">I6*(1+J5/100)</f>
        <v>8885.27655526541</v>
      </c>
      <c r="K6" s="0" t="n">
        <f aca="false">J6*(1+K5/100)</f>
        <v>9151.83485192337</v>
      </c>
      <c r="L6" s="0" t="n">
        <f aca="false">K6*(1+L5/100)</f>
        <v>9426.38989748107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25.4</v>
      </c>
      <c r="D7" s="4" t="n">
        <f aca="false">Assumptions!D28</f>
        <v>25.7</v>
      </c>
      <c r="E7" s="4" t="n">
        <f aca="false">Assumptions!E28</f>
        <v>26</v>
      </c>
      <c r="F7" s="4" t="n">
        <f aca="false">Assumptions!F28</f>
        <v>26.2</v>
      </c>
      <c r="G7" s="4" t="n">
        <f aca="false">Assumptions!G28</f>
        <v>26.4</v>
      </c>
      <c r="H7" s="4" t="n">
        <f aca="false">Assumptions!H28</f>
        <v>26.5</v>
      </c>
      <c r="I7" s="4" t="n">
        <f aca="false">Assumptions!I28</f>
        <v>26.5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1658.9367888</v>
      </c>
      <c r="D8" s="0" t="n">
        <f aca="false">D6*D7/100</f>
        <v>1779.242362224</v>
      </c>
      <c r="E8" s="0" t="n">
        <f aca="false">E6*E7/100</f>
        <v>1899.0123733776</v>
      </c>
      <c r="F8" s="0" t="n">
        <f aca="false">F6*F7/100</f>
        <v>2009.30116890838</v>
      </c>
      <c r="G8" s="0" t="n">
        <f aca="false">G6*G7/100</f>
        <v>2115.74811632993</v>
      </c>
      <c r="H8" s="0" t="n">
        <f aca="false">H6*H7/100</f>
        <v>2208.71280628989</v>
      </c>
      <c r="I8" s="0" t="n">
        <f aca="false">I6*I7/100</f>
        <v>2286.01775451003</v>
      </c>
      <c r="J8" s="0" t="n">
        <f aca="false">J6*J7/100</f>
        <v>2354.59828714533</v>
      </c>
      <c r="K8" s="0" t="n">
        <f aca="false">K6*K7/100</f>
        <v>2425.23623575969</v>
      </c>
      <c r="L8" s="0" t="n">
        <f aca="false">L6*L7/100</f>
        <v>2497.99332283248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0.65</v>
      </c>
      <c r="D9" s="4" t="n">
        <f aca="false">Assumptions!D29</f>
        <v>0.65</v>
      </c>
      <c r="E9" s="4" t="n">
        <f aca="false">Assumptions!E29</f>
        <v>0.65</v>
      </c>
      <c r="F9" s="4" t="n">
        <f aca="false">Assumptions!F29</f>
        <v>0.65</v>
      </c>
      <c r="G9" s="4" t="n">
        <f aca="false">Assumptions!G29</f>
        <v>0.65</v>
      </c>
      <c r="H9" s="4" t="n">
        <f aca="false">Assumptions!H29</f>
        <v>0.65</v>
      </c>
      <c r="I9" s="4" t="n">
        <f aca="false">Assumptions!I29</f>
        <v>0.65</v>
      </c>
      <c r="J9" s="4" t="n">
        <f aca="false">Assumptions!J29</f>
        <v>0.65</v>
      </c>
      <c r="K9" s="4" t="n">
        <f aca="false">Assumptions!K29</f>
        <v>0.65</v>
      </c>
      <c r="L9" s="4" t="n">
        <f aca="false">Assumptions!L29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-42.4531068</v>
      </c>
      <c r="D10" s="0" t="n">
        <f aca="false">-D6*D9/100</f>
        <v>-45.000293208</v>
      </c>
      <c r="E10" s="0" t="n">
        <f aca="false">-E6*E9/100</f>
        <v>-47.47530933444</v>
      </c>
      <c r="F10" s="0" t="n">
        <f aca="false">-F6*F9/100</f>
        <v>-49.849074801162</v>
      </c>
      <c r="G10" s="0" t="n">
        <f aca="false">-G6*G9/100</f>
        <v>-52.0922831672143</v>
      </c>
      <c r="H10" s="0" t="n">
        <f aca="false">-H6*H9/100</f>
        <v>-54.1759744939029</v>
      </c>
      <c r="I10" s="0" t="n">
        <f aca="false">-I6*I9/100</f>
        <v>-56.0721336011895</v>
      </c>
      <c r="J10" s="0" t="n">
        <f aca="false">-J6*J9/100</f>
        <v>-57.7542976092251</v>
      </c>
      <c r="K10" s="0" t="n">
        <f aca="false">-K6*K9/100</f>
        <v>-59.4869265375019</v>
      </c>
      <c r="L10" s="0" t="n">
        <f aca="false">-L6*L9/100</f>
        <v>-61.271534333627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1616.483682</v>
      </c>
      <c r="D11" s="0" t="n">
        <f aca="false">D8+D10+D24</f>
        <v>1734.242069016</v>
      </c>
      <c r="E11" s="0" t="n">
        <f aca="false">E8+E10+E24</f>
        <v>1851.53706404316</v>
      </c>
      <c r="F11" s="0" t="n">
        <f aca="false">F8+F10+F24</f>
        <v>1959.45209410721</v>
      </c>
      <c r="G11" s="0" t="n">
        <f aca="false">G8+G10+G24</f>
        <v>2063.65583316272</v>
      </c>
      <c r="H11" s="0" t="n">
        <f aca="false">H8+H10+H24</f>
        <v>2154.53683179598</v>
      </c>
      <c r="I11" s="0" t="n">
        <f aca="false">I8+I10+I24</f>
        <v>2229.94562090884</v>
      </c>
      <c r="J11" s="0" t="n">
        <f aca="false">J8+J10+J24</f>
        <v>2296.84398953611</v>
      </c>
      <c r="K11" s="0" t="n">
        <f aca="false">K8+K10+K24</f>
        <v>2365.74930922219</v>
      </c>
      <c r="L11" s="0" t="n">
        <f aca="false">L8+L10+L24</f>
        <v>2436.72178849886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-352.6873488</v>
      </c>
      <c r="D12" s="4" t="n">
        <f aca="false">-D6*Assumptions!D31/100</f>
        <v>-360.002345664</v>
      </c>
      <c r="E12" s="4" t="n">
        <f aca="false">-E6*Assumptions!E31/100</f>
        <v>-365.194687188</v>
      </c>
      <c r="F12" s="4" t="n">
        <f aca="false">-F6*Assumptions!F31/100</f>
        <v>-352.778067823608</v>
      </c>
      <c r="G12" s="4" t="n">
        <f aca="false">-G6*Assumptions!G31/100</f>
        <v>-336.596291234308</v>
      </c>
      <c r="H12" s="4" t="n">
        <f aca="false">-H6*Assumptions!H31/100</f>
        <v>-316.721081656663</v>
      </c>
      <c r="I12" s="4" t="n">
        <f aca="false">-I6*Assumptions!I31/100</f>
        <v>-293.300391144683</v>
      </c>
      <c r="J12" s="4" t="n">
        <f aca="false">-J6*Assumptions!J31/100</f>
        <v>-266.558296657962</v>
      </c>
      <c r="K12" s="4" t="n">
        <f aca="false">-K6*Assumptions!K31/100</f>
        <v>-237.947706150008</v>
      </c>
      <c r="L12" s="4" t="n">
        <f aca="false">-L6*Assumptions!L31/100</f>
        <v>-216.806967642065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1263.7963332</v>
      </c>
      <c r="D13" s="0" t="n">
        <f aca="false">D11+D12</f>
        <v>1374.239723352</v>
      </c>
      <c r="E13" s="0" t="n">
        <f aca="false">E11+E12</f>
        <v>1486.34237685516</v>
      </c>
      <c r="F13" s="0" t="n">
        <f aca="false">F11+F12</f>
        <v>1606.67402628361</v>
      </c>
      <c r="G13" s="0" t="n">
        <f aca="false">G11+G12</f>
        <v>1727.05954192841</v>
      </c>
      <c r="H13" s="0" t="n">
        <f aca="false">H11+H12</f>
        <v>1837.81575013932</v>
      </c>
      <c r="I13" s="0" t="n">
        <f aca="false">I11+I12</f>
        <v>1936.64522976416</v>
      </c>
      <c r="J13" s="0" t="n">
        <f aca="false">J11+J12</f>
        <v>2030.28569287815</v>
      </c>
      <c r="K13" s="0" t="n">
        <f aca="false">K11+K12</f>
        <v>2127.80160307218</v>
      </c>
      <c r="L13" s="0" t="n">
        <f aca="false">L11+L12</f>
        <v>2219.91482085679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22.5</v>
      </c>
      <c r="E14" s="4" t="n">
        <f aca="false">Assumptions!E33</f>
        <v>23</v>
      </c>
      <c r="F14" s="4" t="n">
        <f aca="false">Assumptions!F33</f>
        <v>23.5</v>
      </c>
      <c r="G14" s="4" t="n">
        <f aca="false">Assumptions!G33</f>
        <v>23.5</v>
      </c>
      <c r="H14" s="4" t="n">
        <f aca="false">Assumptions!H33</f>
        <v>23.5</v>
      </c>
      <c r="I14" s="4" t="n">
        <f aca="false">Assumptions!I33</f>
        <v>23.5</v>
      </c>
      <c r="J14" s="4" t="n">
        <f aca="false">Assumptions!J33</f>
        <v>23.5</v>
      </c>
      <c r="K14" s="4" t="n">
        <f aca="false">Assumptions!K33</f>
        <v>23.5</v>
      </c>
      <c r="L14" s="4" t="n">
        <f aca="false">Assumptions!L33</f>
        <v>23.5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985.761139896</v>
      </c>
      <c r="D15" s="0" t="n">
        <f aca="false">D13-MAX(0,D13)*D14/100</f>
        <v>1065.0357855978</v>
      </c>
      <c r="E15" s="0" t="n">
        <f aca="false">E13-MAX(0,E13)*E14/100</f>
        <v>1144.48363017847</v>
      </c>
      <c r="F15" s="0" t="n">
        <f aca="false">F13-MAX(0,F13)*F14/100</f>
        <v>1229.10563010696</v>
      </c>
      <c r="G15" s="0" t="n">
        <f aca="false">G13-MAX(0,G13)*G14/100</f>
        <v>1321.20054957524</v>
      </c>
      <c r="H15" s="0" t="n">
        <f aca="false">H13-MAX(0,H13)*H14/100</f>
        <v>1405.92904885658</v>
      </c>
      <c r="I15" s="0" t="n">
        <f aca="false">I13-MAX(0,I13)*I14/100</f>
        <v>1481.53360076958</v>
      </c>
      <c r="J15" s="0" t="n">
        <f aca="false">J13-MAX(0,J13)*J14/100</f>
        <v>1553.16855505178</v>
      </c>
      <c r="K15" s="0" t="n">
        <f aca="false">K13-MAX(0,K13)*K14/100</f>
        <v>1627.76822635022</v>
      </c>
      <c r="L15" s="0" t="n">
        <f aca="false">L13-MAX(0,L13)*L14/100</f>
        <v>1698.23483795545</v>
      </c>
    </row>
    <row r="16" customFormat="false" ht="15" hidden="false" customHeight="false" outlineLevel="0" collapsed="false">
      <c r="A16" s="0" t="s">
        <v>127</v>
      </c>
      <c r="C16" s="0" t="n">
        <f aca="false">-C12</f>
        <v>352.6873488</v>
      </c>
      <c r="D16" s="0" t="n">
        <f aca="false">-D12</f>
        <v>360.002345664</v>
      </c>
      <c r="E16" s="0" t="n">
        <f aca="false">-E12</f>
        <v>365.194687188</v>
      </c>
      <c r="F16" s="0" t="n">
        <f aca="false">-F12</f>
        <v>352.778067823608</v>
      </c>
      <c r="G16" s="0" t="n">
        <f aca="false">-G12</f>
        <v>336.596291234308</v>
      </c>
      <c r="H16" s="0" t="n">
        <f aca="false">-H12</f>
        <v>316.721081656663</v>
      </c>
      <c r="I16" s="0" t="n">
        <f aca="false">-I12</f>
        <v>293.300391144683</v>
      </c>
      <c r="J16" s="0" t="n">
        <f aca="false">-J12</f>
        <v>266.558296657962</v>
      </c>
      <c r="K16" s="0" t="n">
        <f aca="false">-K12</f>
        <v>237.947706150008</v>
      </c>
      <c r="L16" s="0" t="n">
        <f aca="false">-L12</f>
        <v>216.806967642065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-130.624944</v>
      </c>
      <c r="D17" s="4" t="n">
        <f aca="false">-D6*Assumptions!D32/100</f>
        <v>-138.46244064</v>
      </c>
      <c r="E17" s="4" t="n">
        <f aca="false">-E6*Assumptions!E32/100</f>
        <v>-146.0778748752</v>
      </c>
      <c r="F17" s="4" t="n">
        <f aca="false">-F6*Assumptions!F32/100</f>
        <v>-153.38176861896</v>
      </c>
      <c r="G17" s="4" t="n">
        <f aca="false">-G6*Assumptions!G32/100</f>
        <v>-160.283948206813</v>
      </c>
      <c r="H17" s="4" t="n">
        <f aca="false">-H6*Assumptions!H32/100</f>
        <v>-175.03007144184</v>
      </c>
      <c r="I17" s="4" t="n">
        <f aca="false">-I6*Assumptions!I32/100</f>
        <v>-181.156123942304</v>
      </c>
      <c r="J17" s="4" t="n">
        <f aca="false">-J6*Assumptions!J32/100</f>
        <v>-186.590807660574</v>
      </c>
      <c r="K17" s="4" t="n">
        <f aca="false">-K6*Assumptions!K32/100</f>
        <v>-192.188531890391</v>
      </c>
      <c r="L17" s="4" t="n">
        <f aca="false">-L6*Assumptions!L32/100</f>
        <v>-197.954187847102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-41.58472</v>
      </c>
      <c r="D18" s="4" t="n">
        <f aca="false">(D6-C6)*Assumptions!$B$37/100</f>
        <v>-39.1874832</v>
      </c>
      <c r="E18" s="4" t="n">
        <f aca="false">(E6-D6)*Assumptions!$B$37/100</f>
        <v>-38.077171176</v>
      </c>
      <c r="F18" s="4" t="n">
        <f aca="false">(F6-E6)*Assumptions!$B$37/100</f>
        <v>-36.5194687188</v>
      </c>
      <c r="G18" s="4" t="n">
        <f aca="false">(G6-F6)*Assumptions!$B$37/100</f>
        <v>-34.5108979392659</v>
      </c>
      <c r="H18" s="4" t="n">
        <f aca="false">(H6-G6)*Assumptions!$B$37/100</f>
        <v>-32.0567896413626</v>
      </c>
      <c r="I18" s="4" t="n">
        <f aca="false">(I6-H6)*Assumptions!$B$37/100</f>
        <v>-29.17167857364</v>
      </c>
      <c r="J18" s="4" t="n">
        <f aca="false">(J6-I6)*Assumptions!$B$37/100</f>
        <v>-25.879446277472</v>
      </c>
      <c r="K18" s="4" t="n">
        <f aca="false">(K6-J6)*Assumptions!$B$37/100</f>
        <v>-26.6558296657962</v>
      </c>
      <c r="L18" s="4" t="n">
        <f aca="false">(L6-K6)*Assumptions!$B$37/100</f>
        <v>-27.4555045557701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1166.238824696</v>
      </c>
      <c r="D19" s="0" t="n">
        <f aca="false">D15+D16+D17+D18</f>
        <v>1247.3882074218</v>
      </c>
      <c r="E19" s="0" t="n">
        <f aca="false">E15+E16+E17+E18</f>
        <v>1325.52327131527</v>
      </c>
      <c r="F19" s="0" t="n">
        <f aca="false">F15+F16+F17+F18</f>
        <v>1391.98246059281</v>
      </c>
      <c r="G19" s="0" t="n">
        <f aca="false">G15+G16+G17+G18</f>
        <v>1463.00199466346</v>
      </c>
      <c r="H19" s="0" t="n">
        <f aca="false">H15+H16+H17+H18</f>
        <v>1515.56326943004</v>
      </c>
      <c r="I19" s="0" t="n">
        <f aca="false">I15+I16+I17+I18</f>
        <v>1564.50618939832</v>
      </c>
      <c r="J19" s="0" t="n">
        <f aca="false">J15+J16+J17+J18</f>
        <v>1607.2565977717</v>
      </c>
      <c r="K19" s="0" t="n">
        <f aca="false">K15+K16+K17+K18</f>
        <v>1646.87157094404</v>
      </c>
      <c r="L19" s="0" t="n">
        <f aca="false">L15+L16+L17+L18</f>
        <v>1689.63211319464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1072.40351696184</v>
      </c>
      <c r="D21" s="0" t="n">
        <f aca="false">D19*D20</f>
        <v>1054.73438069752</v>
      </c>
      <c r="E21" s="0" t="n">
        <f aca="false">E19*E20</f>
        <v>1030.62235846066</v>
      </c>
      <c r="F21" s="0" t="n">
        <f aca="false">F19*F20</f>
        <v>995.214512866992</v>
      </c>
      <c r="G21" s="0" t="n">
        <f aca="false">G19*G20</f>
        <v>961.830600806328</v>
      </c>
      <c r="H21" s="0" t="n">
        <f aca="false">H19*H20</f>
        <v>916.21727833098</v>
      </c>
      <c r="I21" s="0" t="n">
        <f aca="false">I19*I20</f>
        <v>869.705919886741</v>
      </c>
      <c r="J21" s="0" t="n">
        <f aca="false">J19*J20</f>
        <v>821.582333785153</v>
      </c>
      <c r="K21" s="0" t="n">
        <f aca="false">K19*K20</f>
        <v>774.098706891304</v>
      </c>
      <c r="L21" s="0" t="n">
        <f aca="false">L19*L20</f>
        <v>730.296970201262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8.75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9226.70657888878</v>
      </c>
    </row>
    <row r="31" customFormat="false" ht="15" hidden="false" customHeight="false" outlineLevel="0" collapsed="false">
      <c r="A31" s="0" t="s">
        <v>136</v>
      </c>
      <c r="B31" s="0" t="n">
        <f aca="false">L19</f>
        <v>1689.63211319464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27709.9666563921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30413.3780375035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27709.9666563921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11976.8703113007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21203.5768901895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19516.5768901895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416.131703415554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-0.32082307260396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331.776602710398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434.320119011447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432.466388313674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13854.983328196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186.448722630283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7.5</v>
      </c>
      <c r="D5" s="4" t="n">
        <f aca="false">Assumptions!D41</f>
        <v>8.5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6115.4</v>
      </c>
      <c r="C6" s="0" t="n">
        <f aca="false">B6*(1+C5/100)</f>
        <v>6574.055</v>
      </c>
      <c r="D6" s="0" t="n">
        <f aca="false">C6*(1+D5/100)</f>
        <v>7132.849675</v>
      </c>
      <c r="E6" s="0" t="n">
        <f aca="false">D6*(1+E5/100)</f>
        <v>7703.477649</v>
      </c>
      <c r="F6" s="0" t="n">
        <f aca="false">E6*(1+F5/100)</f>
        <v>8242.72108443</v>
      </c>
      <c r="G6" s="0" t="n">
        <f aca="false">F6*(1+G5/100)</f>
        <v>8778.49795491795</v>
      </c>
      <c r="H6" s="0" t="n">
        <f aca="false">G6*(1+H5/100)</f>
        <v>9305.20783221303</v>
      </c>
      <c r="I6" s="0" t="n">
        <f aca="false">H6*(1+I5/100)</f>
        <v>9770.46822382368</v>
      </c>
      <c r="J6" s="0" t="n">
        <f aca="false">I6*(1+J5/100)</f>
        <v>10210.1392938957</v>
      </c>
      <c r="K6" s="0" t="n">
        <f aca="false">J6*(1+K5/100)</f>
        <v>10618.5448656516</v>
      </c>
      <c r="L6" s="0" t="n">
        <f aca="false">K6*(1+L5/100)</f>
        <v>10990.1939359494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25.6</v>
      </c>
      <c r="D7" s="4" t="n">
        <f aca="false">Assumptions!D42</f>
        <v>26.2</v>
      </c>
      <c r="E7" s="4" t="n">
        <f aca="false">Assumptions!E42</f>
        <v>26.8</v>
      </c>
      <c r="F7" s="4" t="n">
        <f aca="false">Assumptions!F42</f>
        <v>27.3</v>
      </c>
      <c r="G7" s="4" t="n">
        <f aca="false">Assumptions!G42</f>
        <v>27.7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1682.95808</v>
      </c>
      <c r="D8" s="0" t="n">
        <f aca="false">D6*D7/100</f>
        <v>1868.80661485</v>
      </c>
      <c r="E8" s="0" t="n">
        <f aca="false">E6*E7/100</f>
        <v>2064.532009932</v>
      </c>
      <c r="F8" s="0" t="n">
        <f aca="false">F6*F7/100</f>
        <v>2250.26285604939</v>
      </c>
      <c r="G8" s="0" t="n">
        <f aca="false">G6*G7/100</f>
        <v>2431.64393351227</v>
      </c>
      <c r="H8" s="0" t="n">
        <f aca="false">H6*H7/100</f>
        <v>2605.45819301965</v>
      </c>
      <c r="I8" s="0" t="n">
        <f aca="false">I6*I7/100</f>
        <v>2735.73110267063</v>
      </c>
      <c r="J8" s="0" t="n">
        <f aca="false">J6*J7/100</f>
        <v>2858.83900229081</v>
      </c>
      <c r="K8" s="0" t="n">
        <f aca="false">K6*K7/100</f>
        <v>2973.19256238244</v>
      </c>
      <c r="L8" s="0" t="n">
        <f aca="false">L6*L7/100</f>
        <v>3077.25430206583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0.65</v>
      </c>
      <c r="D9" s="4" t="n">
        <f aca="false">Assumptions!D43</f>
        <v>0.65</v>
      </c>
      <c r="E9" s="4" t="n">
        <f aca="false">Assumptions!E43</f>
        <v>0.65</v>
      </c>
      <c r="F9" s="4" t="n">
        <f aca="false">Assumptions!F43</f>
        <v>0.65</v>
      </c>
      <c r="G9" s="4" t="n">
        <f aca="false">Assumptions!G43</f>
        <v>0.65</v>
      </c>
      <c r="H9" s="4" t="n">
        <f aca="false">Assumptions!H43</f>
        <v>0.65</v>
      </c>
      <c r="I9" s="4" t="n">
        <f aca="false">Assumptions!I43</f>
        <v>0.65</v>
      </c>
      <c r="J9" s="4" t="n">
        <f aca="false">Assumptions!J43</f>
        <v>0.65</v>
      </c>
      <c r="K9" s="4" t="n">
        <f aca="false">Assumptions!K43</f>
        <v>0.65</v>
      </c>
      <c r="L9" s="4" t="n">
        <f aca="false">Assumptions!L43</f>
        <v>0.65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-42.7313575</v>
      </c>
      <c r="D10" s="0" t="n">
        <f aca="false">-D6*D9/100</f>
        <v>-46.3635228875</v>
      </c>
      <c r="E10" s="0" t="n">
        <f aca="false">-E6*E9/100</f>
        <v>-50.0726047185</v>
      </c>
      <c r="F10" s="0" t="n">
        <f aca="false">-F6*F9/100</f>
        <v>-53.577687048795</v>
      </c>
      <c r="G10" s="0" t="n">
        <f aca="false">-G6*G9/100</f>
        <v>-57.0602367069667</v>
      </c>
      <c r="H10" s="0" t="n">
        <f aca="false">-H6*H9/100</f>
        <v>-60.4838509093847</v>
      </c>
      <c r="I10" s="0" t="n">
        <f aca="false">-I6*I9/100</f>
        <v>-63.5080434548539</v>
      </c>
      <c r="J10" s="0" t="n">
        <f aca="false">-J6*J9/100</f>
        <v>-66.3659054103223</v>
      </c>
      <c r="K10" s="0" t="n">
        <f aca="false">-K6*K9/100</f>
        <v>-69.0205416267352</v>
      </c>
      <c r="L10" s="0" t="n">
        <f aca="false">-L6*L9/100</f>
        <v>-71.436260583671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1640.2267225</v>
      </c>
      <c r="D11" s="0" t="n">
        <f aca="false">D8+D10+D24</f>
        <v>1822.4430919625</v>
      </c>
      <c r="E11" s="0" t="n">
        <f aca="false">E8+E10+E24</f>
        <v>2014.4594052135</v>
      </c>
      <c r="F11" s="0" t="n">
        <f aca="false">F8+F10+F24</f>
        <v>2196.6851690006</v>
      </c>
      <c r="G11" s="0" t="n">
        <f aca="false">G8+G10+G24</f>
        <v>2374.58369680531</v>
      </c>
      <c r="H11" s="0" t="n">
        <f aca="false">H8+H10+H24</f>
        <v>2544.97434211026</v>
      </c>
      <c r="I11" s="0" t="n">
        <f aca="false">I8+I10+I24</f>
        <v>2672.22305921578</v>
      </c>
      <c r="J11" s="0" t="n">
        <f aca="false">J8+J10+J24</f>
        <v>2792.47309688049</v>
      </c>
      <c r="K11" s="0" t="n">
        <f aca="false">K8+K10+K24</f>
        <v>2904.1720207557</v>
      </c>
      <c r="L11" s="0" t="n">
        <f aca="false">L8+L10+L24</f>
        <v>3005.81804148215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-354.99897</v>
      </c>
      <c r="D12" s="4" t="n">
        <f aca="false">-D6*Assumptions!D45/100</f>
        <v>-370.9081831</v>
      </c>
      <c r="E12" s="4" t="n">
        <f aca="false">-E6*Assumptions!E45/100</f>
        <v>-385.17388245</v>
      </c>
      <c r="F12" s="4" t="n">
        <f aca="false">-F6*Assumptions!F45/100</f>
        <v>-379.16516988378</v>
      </c>
      <c r="G12" s="4" t="n">
        <f aca="false">-G6*Assumptions!G45/100</f>
        <v>-368.696914106554</v>
      </c>
      <c r="H12" s="4" t="n">
        <f aca="false">-H6*Assumptions!H45/100</f>
        <v>-353.597897624095</v>
      </c>
      <c r="I12" s="4" t="n">
        <f aca="false">-I6*Assumptions!I45/100</f>
        <v>-332.195919610005</v>
      </c>
      <c r="J12" s="4" t="n">
        <f aca="false">-J6*Assumptions!J45/100</f>
        <v>-306.304178816872</v>
      </c>
      <c r="K12" s="4" t="n">
        <f aca="false">-K6*Assumptions!K45/100</f>
        <v>-276.082166506941</v>
      </c>
      <c r="L12" s="4" t="n">
        <f aca="false">-L6*Assumptions!L45/100</f>
        <v>-252.774460526836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1285.2277525</v>
      </c>
      <c r="D13" s="0" t="n">
        <f aca="false">D11+D12</f>
        <v>1451.5349088625</v>
      </c>
      <c r="E13" s="0" t="n">
        <f aca="false">E11+E12</f>
        <v>1629.2855227635</v>
      </c>
      <c r="F13" s="0" t="n">
        <f aca="false">F11+F12</f>
        <v>1817.51999911682</v>
      </c>
      <c r="G13" s="0" t="n">
        <f aca="false">G11+G12</f>
        <v>2005.88678269875</v>
      </c>
      <c r="H13" s="0" t="n">
        <f aca="false">H11+H12</f>
        <v>2191.37644448617</v>
      </c>
      <c r="I13" s="0" t="n">
        <f aca="false">I11+I12</f>
        <v>2340.02713960577</v>
      </c>
      <c r="J13" s="0" t="n">
        <f aca="false">J11+J12</f>
        <v>2486.16891806361</v>
      </c>
      <c r="K13" s="0" t="n">
        <f aca="false">K11+K12</f>
        <v>2628.08985424876</v>
      </c>
      <c r="L13" s="0" t="n">
        <f aca="false">L11+L12</f>
        <v>2753.04358095532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22</v>
      </c>
      <c r="D14" s="4" t="n">
        <f aca="false">Assumptions!D47</f>
        <v>22.5</v>
      </c>
      <c r="E14" s="4" t="n">
        <f aca="false">Assumptions!E47</f>
        <v>23</v>
      </c>
      <c r="F14" s="4" t="n">
        <f aca="false">Assumptions!F47</f>
        <v>23.5</v>
      </c>
      <c r="G14" s="4" t="n">
        <f aca="false">Assumptions!G47</f>
        <v>23.5</v>
      </c>
      <c r="H14" s="4" t="n">
        <f aca="false">Assumptions!H47</f>
        <v>23.5</v>
      </c>
      <c r="I14" s="4" t="n">
        <f aca="false">Assumptions!I47</f>
        <v>23.5</v>
      </c>
      <c r="J14" s="4" t="n">
        <f aca="false">Assumptions!J47</f>
        <v>23.5</v>
      </c>
      <c r="K14" s="4" t="n">
        <f aca="false">Assumptions!K47</f>
        <v>23.5</v>
      </c>
      <c r="L14" s="4" t="n">
        <f aca="false">Assumptions!L47</f>
        <v>23.5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1002.47764695</v>
      </c>
      <c r="D15" s="0" t="n">
        <f aca="false">D13-MAX(0,D13)*D14/100</f>
        <v>1124.93955436844</v>
      </c>
      <c r="E15" s="0" t="n">
        <f aca="false">E13-MAX(0,E13)*E14/100</f>
        <v>1254.5498525279</v>
      </c>
      <c r="F15" s="0" t="n">
        <f aca="false">F13-MAX(0,F13)*F14/100</f>
        <v>1390.40279932436</v>
      </c>
      <c r="G15" s="0" t="n">
        <f aca="false">G13-MAX(0,G13)*G14/100</f>
        <v>1534.50338876454</v>
      </c>
      <c r="H15" s="0" t="n">
        <f aca="false">H13-MAX(0,H13)*H14/100</f>
        <v>1676.40298003192</v>
      </c>
      <c r="I15" s="0" t="n">
        <f aca="false">I13-MAX(0,I13)*I14/100</f>
        <v>1790.12076179841</v>
      </c>
      <c r="J15" s="0" t="n">
        <f aca="false">J13-MAX(0,J13)*J14/100</f>
        <v>1901.91922231866</v>
      </c>
      <c r="K15" s="0" t="n">
        <f aca="false">K13-MAX(0,K13)*K14/100</f>
        <v>2010.4887385003</v>
      </c>
      <c r="L15" s="0" t="n">
        <f aca="false">L13-MAX(0,L13)*L14/100</f>
        <v>2106.07833943082</v>
      </c>
    </row>
    <row r="16" customFormat="false" ht="15" hidden="false" customHeight="false" outlineLevel="0" collapsed="false">
      <c r="A16" s="0" t="s">
        <v>127</v>
      </c>
      <c r="C16" s="0" t="n">
        <f aca="false">-C12</f>
        <v>354.99897</v>
      </c>
      <c r="D16" s="0" t="n">
        <f aca="false">-D12</f>
        <v>370.9081831</v>
      </c>
      <c r="E16" s="0" t="n">
        <f aca="false">-E12</f>
        <v>385.17388245</v>
      </c>
      <c r="F16" s="0" t="n">
        <f aca="false">-F12</f>
        <v>379.16516988378</v>
      </c>
      <c r="G16" s="0" t="n">
        <f aca="false">-G12</f>
        <v>368.696914106554</v>
      </c>
      <c r="H16" s="0" t="n">
        <f aca="false">-H12</f>
        <v>353.597897624095</v>
      </c>
      <c r="I16" s="0" t="n">
        <f aca="false">-I12</f>
        <v>332.195919610005</v>
      </c>
      <c r="J16" s="0" t="n">
        <f aca="false">-J12</f>
        <v>306.304178816872</v>
      </c>
      <c r="K16" s="0" t="n">
        <f aca="false">-K12</f>
        <v>276.082166506941</v>
      </c>
      <c r="L16" s="0" t="n">
        <f aca="false">-L12</f>
        <v>252.774460526836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-131.4811</v>
      </c>
      <c r="D17" s="4" t="n">
        <f aca="false">-D6*Assumptions!D46/100</f>
        <v>-142.6569935</v>
      </c>
      <c r="E17" s="4" t="n">
        <f aca="false">-E6*Assumptions!E46/100</f>
        <v>-161.773030629</v>
      </c>
      <c r="F17" s="4" t="n">
        <f aca="false">-F6*Assumptions!F46/100</f>
        <v>-173.09714277303</v>
      </c>
      <c r="G17" s="4" t="n">
        <f aca="false">-G6*Assumptions!G46/100</f>
        <v>-184.348457053277</v>
      </c>
      <c r="H17" s="4" t="n">
        <f aca="false">-H6*Assumptions!H46/100</f>
        <v>-195.409364476474</v>
      </c>
      <c r="I17" s="4" t="n">
        <f aca="false">-I6*Assumptions!I46/100</f>
        <v>-205.179832700297</v>
      </c>
      <c r="J17" s="4" t="n">
        <f aca="false">-J6*Assumptions!J46/100</f>
        <v>-214.412925171811</v>
      </c>
      <c r="K17" s="4" t="n">
        <f aca="false">-K6*Assumptions!K46/100</f>
        <v>-222.989442178683</v>
      </c>
      <c r="L17" s="4" t="n">
        <f aca="false">-L6*Assumptions!L46/100</f>
        <v>-230.794072654937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-45.8655</v>
      </c>
      <c r="D18" s="4" t="n">
        <f aca="false">(D6-C6)*Assumptions!$B$51/100</f>
        <v>-55.8794675</v>
      </c>
      <c r="E18" s="4" t="n">
        <f aca="false">(E6-D6)*Assumptions!$B$51/100</f>
        <v>-57.0627974000001</v>
      </c>
      <c r="F18" s="4" t="n">
        <f aca="false">(F6-E6)*Assumptions!$B$51/100</f>
        <v>-53.924343543</v>
      </c>
      <c r="G18" s="4" t="n">
        <f aca="false">(G6-F6)*Assumptions!$B$51/100</f>
        <v>-53.5776870487949</v>
      </c>
      <c r="H18" s="4" t="n">
        <f aca="false">(H6-G6)*Assumptions!$B$51/100</f>
        <v>-52.6709877295078</v>
      </c>
      <c r="I18" s="4" t="n">
        <f aca="false">(I6-H6)*Assumptions!$B$51/100</f>
        <v>-46.5260391610651</v>
      </c>
      <c r="J18" s="4" t="n">
        <f aca="false">(J6-I6)*Assumptions!$B$51/100</f>
        <v>-43.9671070072065</v>
      </c>
      <c r="K18" s="4" t="n">
        <f aca="false">(K6-J6)*Assumptions!$B$51/100</f>
        <v>-40.8405571755829</v>
      </c>
      <c r="L18" s="4" t="n">
        <f aca="false">(L6-K6)*Assumptions!$B$51/100</f>
        <v>-37.1649070297804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1180.13001695</v>
      </c>
      <c r="D19" s="0" t="n">
        <f aca="false">D15+D16+D17+D18</f>
        <v>1297.31127646844</v>
      </c>
      <c r="E19" s="0" t="n">
        <f aca="false">E15+E16+E17+E18</f>
        <v>1420.88790694889</v>
      </c>
      <c r="F19" s="0" t="n">
        <f aca="false">F15+F16+F17+F18</f>
        <v>1542.54648289211</v>
      </c>
      <c r="G19" s="0" t="n">
        <f aca="false">G15+G16+G17+G18</f>
        <v>1665.27415876903</v>
      </c>
      <c r="H19" s="0" t="n">
        <f aca="false">H15+H16+H17+H18</f>
        <v>1781.92052545003</v>
      </c>
      <c r="I19" s="0" t="n">
        <f aca="false">I15+I16+I17+I18</f>
        <v>1870.61080954706</v>
      </c>
      <c r="J19" s="0" t="n">
        <f aca="false">J15+J16+J17+J18</f>
        <v>1949.84336895652</v>
      </c>
      <c r="K19" s="0" t="n">
        <f aca="false">K15+K16+K17+K18</f>
        <v>2022.74090565298</v>
      </c>
      <c r="L19" s="0" t="n">
        <f aca="false">L15+L16+L17+L18</f>
        <v>2090.89382027294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0.919540229885058</v>
      </c>
      <c r="D20" s="0" t="n">
        <f aca="false">1/(1+$B$27/100)^D4</f>
        <v>0.845554234377065</v>
      </c>
      <c r="E20" s="0" t="n">
        <f aca="false">1/(1+$B$27/100)^E4</f>
        <v>0.77752113505937</v>
      </c>
      <c r="F20" s="0" t="n">
        <f aca="false">1/(1+$B$27/100)^F4</f>
        <v>0.714961963272984</v>
      </c>
      <c r="G20" s="0" t="n">
        <f aca="false">1/(1+$B$27/100)^G4</f>
        <v>0.657436288067112</v>
      </c>
      <c r="H20" s="0" t="n">
        <f aca="false">1/(1+$B$27/100)^H4</f>
        <v>0.604539115464011</v>
      </c>
      <c r="I20" s="0" t="n">
        <f aca="false">1/(1+$B$27/100)^I4</f>
        <v>0.555898037208286</v>
      </c>
      <c r="J20" s="0" t="n">
        <f aca="false">1/(1+$B$27/100)^J4</f>
        <v>0.511170608927159</v>
      </c>
      <c r="K20" s="0" t="n">
        <f aca="false">1/(1+$B$27/100)^K4</f>
        <v>0.470041939243365</v>
      </c>
      <c r="L20" s="0" t="n">
        <f aca="false">1/(1+$B$27/100)^L4</f>
        <v>0.432222472867462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1085.17702708046</v>
      </c>
      <c r="D21" s="0" t="n">
        <f aca="false">D19*D20</f>
        <v>1096.947043123</v>
      </c>
      <c r="E21" s="0" t="n">
        <f aca="false">E19*E20</f>
        <v>1104.77037820304</v>
      </c>
      <c r="F21" s="0" t="n">
        <f aca="false">F19*F20</f>
        <v>1102.86206184838</v>
      </c>
      <c r="G21" s="0" t="n">
        <f aca="false">G19*G20</f>
        <v>1094.81166155519</v>
      </c>
      <c r="H21" s="0" t="n">
        <f aca="false">H19*H20</f>
        <v>1077.24065828273</v>
      </c>
      <c r="I21" s="0" t="n">
        <f aca="false">I19*I20</f>
        <v>1039.86887740781</v>
      </c>
      <c r="J21" s="0" t="n">
        <f aca="false">J19*J20</f>
        <v>996.702622222088</v>
      </c>
      <c r="K21" s="0" t="n">
        <f aca="false">K19*K20</f>
        <v>950.773057880007</v>
      </c>
      <c r="L21" s="0" t="n">
        <f aca="false">L19*L20</f>
        <v>903.731297501664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8.75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10452.8846851044</v>
      </c>
    </row>
    <row r="31" customFormat="false" ht="15" hidden="false" customHeight="false" outlineLevel="0" collapsed="false">
      <c r="A31" s="0" t="s">
        <v>136</v>
      </c>
      <c r="B31" s="0" t="n">
        <f aca="false">L19</f>
        <v>2090.89382027294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37454.2719109761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41817.8764054587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37454.2719109761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16188.5780248124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26641.4627099168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24954.4627099168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532.078096160273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-0.131584631695328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362.360119538454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553.089529007566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551.597278432043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17946.8386240094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226.083686349723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304.268385582794</v>
      </c>
      <c r="C4" s="0" t="n">
        <f aca="false">B4/Assumptions!$B$2-1</f>
        <v>-0.503397444780816</v>
      </c>
      <c r="D4" s="4" t="n">
        <f aca="false">Assumptions!$B$24</f>
        <v>0.2</v>
      </c>
      <c r="E4" s="4" t="n">
        <f aca="false">DCF_Bear!$B$43</f>
        <v>317.796210539298</v>
      </c>
      <c r="F4" s="4" t="n">
        <f aca="false">DCF_Bear!$B$47</f>
        <v>141.815629361032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416.131703415554</v>
      </c>
      <c r="C5" s="0" t="n">
        <f aca="false">B5/Assumptions!$B$2-1</f>
        <v>-0.32082307260396</v>
      </c>
      <c r="D5" s="4" t="n">
        <f aca="false">Assumptions!$B$38</f>
        <v>0.5</v>
      </c>
      <c r="E5" s="4" t="n">
        <f aca="false">DCF_Base!$B$43</f>
        <v>432.466388313674</v>
      </c>
      <c r="F5" s="4" t="n">
        <f aca="false">DCF_Base!$B$47</f>
        <v>186.448722630283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532.078096160273</v>
      </c>
      <c r="C6" s="0" t="n">
        <f aca="false">B6/Assumptions!$B$2-1</f>
        <v>-0.131584631695328</v>
      </c>
      <c r="D6" s="4" t="n">
        <f aca="false">Assumptions!$B$52</f>
        <v>0.3</v>
      </c>
      <c r="E6" s="4" t="n">
        <f aca="false">DCF_Bull!$B$43</f>
        <v>551.597278432043</v>
      </c>
      <c r="F6" s="4" t="n">
        <f aca="false">DCF_Bull!$B$47</f>
        <v>226.083686349723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428.542957672417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445.271619794309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-0.429728313184309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1100.84740181694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189.412593092265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416.131703415554</v>
      </c>
      <c r="C15" s="3" t="n">
        <v>8.75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398.42831769932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339.445047191688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294.378113245226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258.831044059704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186.448722630283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518.237416368891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518.237416368891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518.237416368891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518.237416368891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518.237416368891</v>
      </c>
    </row>
    <row r="25" customFormat="false" ht="15" hidden="false" customHeight="false" outlineLevel="0" collapsed="false">
      <c r="A25" s="3" t="n">
        <v>7.75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447.765254829782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473.367965314156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477.82319335668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477.82319335668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477.82319335668</v>
      </c>
    </row>
    <row r="26" customFormat="false" ht="15" hidden="false" customHeight="false" outlineLevel="0" collapsed="false">
      <c r="A26" s="3" t="n">
        <v>8.75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378.760429887131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396.061945409549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416.131703415554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439.691854118255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441.045885767836</v>
      </c>
    </row>
    <row r="27" customFormat="false" ht="15" hidden="false" customHeight="false" outlineLevel="0" collapsed="false">
      <c r="A27" s="3" t="n">
        <v>9.75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326.588434238964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338.783745954607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352.661169631029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368.59450792618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387.077180348554</v>
      </c>
    </row>
    <row r="28" customFormat="false" ht="15" hidden="false" customHeight="false" outlineLevel="0" collapsed="false">
      <c r="A28" s="3" t="n">
        <v>10.75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285.783598026985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294.662227188357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304.617053823835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315.856374218729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328.645945702574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2026-10-02T09:23:02Z</dcterms:created>
  <dc:creator>openpyxl</dc:creator>
  <dc:description/>
  <dc:language>en-NZ</dc:language>
  <cp:lastModifiedBy/>
  <dcterms:modified xsi:type="dcterms:W3CDTF">2026-10-02T09:23:02Z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