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<sst xmlns="http://schemas.openxmlformats.org/spreadsheetml/2006/main" count="362" uniqueCount="167">
  <si>
    <t xml:space="preserve">Ticker</t>
  </si>
  <si>
    <t xml:space="preserve">ITUB</t>
  </si>
  <si>
    <t xml:space="preserve">Company</t>
  </si>
  <si>
    <t xml:space="preserve">Itaú Unibanco Holding S.A.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</si>
  <si>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</si>
  <si>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</si>
  <si>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</si>
  <si>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</si>
  <si>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</si>
  <si>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</si>
  <si>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</si>
  <si>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</si>
  <si>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Bank residual income on tangible book, run as FCFE at cost of equity (engine route): NI to parent less CET1 retention, net debt zero, BRL flows, per ADS</t>
  </si>
  <si>
    <t xml:space="preserve">Currency (model)</t>
  </si>
  <si>
    <t xml:space="preserve">BRL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</si>
  <si>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</si>
  <si>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</si>
  <si>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</si>
  <si>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</si>
  <si>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</si>
  <si>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</si>
  <si>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</si>
  <si>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2026-10-03T23:02:25Z</t>
  </si>
  <si>
    <t xml:space="preserve">Drivers file</t>
  </si>
  <si>
    <t xml:space="preserve">ITUB_Drivers.json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</si>
  <si>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</si>
  <si>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</si>
  <si>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</si>
  <si>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Itaú is valued as a bank: residual income on tangible book, expressed as the cash its owners can take out (NI to owners of the parent less the CET1 retained to hold 12.3% of RWA as the balance sheet grows) discounted at a 15% BRL cost of equity, with deposits as operating funding (net debt = 0). Value = R$17.18/share tangible book + the PV of ROTE above the 15% CoE. Everything is in BRL until the final per-ADS conversion at spot (1 ADS = 1 preferred share). The judgment that matters is how long ~24% ROTE persists against Nubank and a Selic cycle, and the BRL cost of equity: the price implies ~13.7%.
key_risks_to_valuation: Cost of equity: each 1pp off the 15% BRL CoE adds roughly 12-15% to value; the market price implies ~13.7%.; Brazil fiscal/election risk (Oct-2026): drives Selic, BRL and credit costs together; the bear path.; BRL/USD: values are converted at spot 5.2223; a 10% BRL move changes the USD value per ADS 10% independent of operations.; Digital competition (Nubank &gt; Itaú in customer count; fee guidance cut 5-9% -&gt; 2-5%): the base fades NI/revenue 1.5pp over ten years.; Capital: CET1 fell 13.1% -&gt; 12.3% YoY; a BCB tightening or Basel III phase-in would raise retention and cut distributable cash.; Data: IFRS ETR (~10% in 1H26) is distorted by the overseas-investment hedge; the 28% tax rate is a calibration to after-tax NI, not a forecast of cash tax.</t>
  </si>
  <si>
    <t xml:space="preserve">Data sources</t>
  </si>
  <si>
    <t xml:space="preserve">price: Yahoo Finance chart API for ITUB at inputs.price_as_of; 52-week range 6.54-9.60. Local cross-check ITUB4.SA (52-week 35.88-49.67) and BRL=X from the same API; see inputs.adr_parity_check and inputs.fx_note.
financials: Itaú Unibanco 20-F FY2016-FY2025 and IFRS condensed interim statements Q3-2025, Q4-2025, Q1-2026, Q2-2026 (research/ITUB/Extracted): Q2-2026 balance sheet (equity to parent 217,779; goodwill &amp; intangibles 26,313; NCI 10,247), income statement (1H26 NI to parent 23,615; diluted shares), capital note (CET1 194,742, RWA 1,581,951, 12.3%), managerial highlights (operating revenues 1H26 93.4bn, FY25 175.1bn). History from ITUB_Metrics.csv. Historical P/B from Yahoo ITUB4.SA quarterly closes (split-adjusted) against IFRS BVPS restated to today's share basis.
qualitative: ITUB_Analysis.json (2026-10-04): Q2-2026 results, 2026 guidance (fees cut to 2-5%), Selic path, Colombia/Panama exit, buyback.</t>
  </si>
  <si>
    <t xml:space="preserve">Scenario narrative: bear</t>
  </si>
  <si>
    <t xml:space="preserve">Fiscal slippage after the October 2026 election forces Selic back up, BRL sells off, and an over-indebted consumer pushes cost of credit toward 4%: NI falls ~20% in year 2 and ROTE troughs ~19%. Recovery is partial because Nubank/Inter/C6 permanently take fee and card share; ROTE settles ~20.5% and the stock re-rates to its 2021/2024 trough of ~1.5x tangible book.</t>
  </si>
  <si>
    <t xml:space="preserve">Scenario narrative: base</t>
  </si>
  <si>
    <t xml:space="preserve">Itaú stays Brazil's best-run large bank but does not get better: 2026 guidance is met (loans ~+8-10%, client NII accelerating in H2, fees +2-5%), revenue grows 7-8% for five years as Selic cuts revive credit, and digital competitors slowly erode fee and card economics so NI/revenue drifts from 26% to 24.5%. ROTE ~25% now, ~23.7% at year 10; CET1 held at 12.3% and ~70-74% of earnings distributed. Exit ~2.0x tangible book, the stock's historical median.</t>
  </si>
  <si>
    <t xml:space="preserve">Scenario narrative: bull</t>
  </si>
  <si>
    <t xml:space="preserve">A credible post-election fiscal anchor lets Selic fall to ~10%: funding costs fall faster than asset yields, cost of credit eases, efficiency improves toward 35%, and loan growth runs ~10% for three years. ROTE rises to ~27-28% and the market pays ~2.5x tangible book, the 2018-19 peak.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</si>
  <si>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</si>
  <si>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</si>
  <si>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</si>
  <si>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</si>
  <si>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</si>
  <si>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</si>
  <si>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</si>
  <si>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</si>
  <si>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</si>
  <si>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</si>
  <si>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</si>
  <si>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</si>
  <si>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</si>
  <si>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</si>
  <si>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</si>
  <si>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</si>
  <si>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</si>
  <si>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</si>
  <si>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</si>
  <si>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</si>
  <si>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</si>
  <si>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</si>
  <si>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</si>
  <si>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</si>
  <si>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</si>
  <si>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</si>
  <si>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</si>
  <si>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</si>
  <si>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</si>
  <si>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</si>
  <si>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</si>
  <si>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</si>
  <si>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</si>
  <si>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</si>
  <si>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</si>
  <si>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</si>
  <si>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</si>
  <si>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</si>
  <si>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</si>
  <si>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</si>
  <si>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</si>
  <si>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</si>
  <si>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</si>
  <si>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</si>
  <si>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</si>
  <si>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</si>
  <si>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</si>
  <si>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</t>
  </si>
  <si>
    <t xml:space="preserve">Currency / units</t>
  </si>
  <si>
    <t xml:space="preserve">BRL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</si>
  <si>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</si>
  <si>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</si>
  <si>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</si>
  <si>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</si>
  <si>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</si>
  <si>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</si>
  <si>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</si>
  <si>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</si>
  <si>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</si>
  <si>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</si>
  <si>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</si>
  <si>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</si>
  <si>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</si>
  <si>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</si>
  <si>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</si>
  <si>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</si>
  <si>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</si>
  <si>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</si>
  <si>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</si>
  <si>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</si>
  <si>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</si>
  <si>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</si>
  <si>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</si>
  <si>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</si>
  <si>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</si>
  <si>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</si>
  <si>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ITUB owner-FCF component DCF: bear case (millions, BRL)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</si>
  <si>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</si>
  <si>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</si>
  <si>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</si>
  <si>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</si>
  <si>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</si>
  <si>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</si>
  <si>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</si>
  <si>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</si>
  <si>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</si>
  <si>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</si>
  <si>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</si>
  <si>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</si>
  <si>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</si>
  <si>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</si>
  <si>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</si>
  <si>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</si>
  <si>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</si>
  <si>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</si>
  <si>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</si>
  <si>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</si>
  <si>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</si>
  <si>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</si>
  <si>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</si>
  <si>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</si>
  <si>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</si>
  <si>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</si>
  <si>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</si>
  <si>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</si>
  <si>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</si>
  <si>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</si>
  <si>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ITUB owner-FCF component DCF: base case (millions, BRL)</t>
  </si>
  <si>
    <t xml:space="preserve">ITUB owner-FCF component DCF: bull case (millions, BRL)</t>
  </si>
  <si>
    <t xml:space="preserve">ITUB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</si>
  <si>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</si>
  <si>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</si>
  <si>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</si>
  <si>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</si>
  <si>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</si>
  <si>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</si>
  <si>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</si>
  <si>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</si>
  <si>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</si>
  <si>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</si>
  <si>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</si>
  <si>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</si>
  <si>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</si>
  <si>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</si>
  <si>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</si>
  <si>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</si>
  <si>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</si>
  <si>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</si>
  <si>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 (WACC)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</si>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</sst>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8.59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I2" s="0" t="n">
        <v>25740</v>
      </c>
      <c r="K2" s="0" t="n">
        <v>3.91</v>
      </c>
      <c r="L2" s="0" t="n">
        <v>-34459</v>
      </c>
      <c r="O2" s="0" t="n">
        <v>112252</v>
      </c>
      <c r="P2" s="0" t="n">
        <v>1276415</v>
      </c>
      <c r="Q2" s="0" t="n">
        <v>1162356</v>
      </c>
      <c r="S2" s="0" t="n">
        <v>91649</v>
      </c>
      <c r="T2" s="0" t="n">
        <v>6622.475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I3" s="0" t="n">
        <v>23263</v>
      </c>
      <c r="K3" s="0" t="n">
        <v>3.57</v>
      </c>
      <c r="L3" s="0" t="n">
        <v>30311</v>
      </c>
      <c r="O3" s="0" t="n">
        <v>122582</v>
      </c>
      <c r="P3" s="0" t="n">
        <v>1353241</v>
      </c>
      <c r="Q3" s="0" t="n">
        <v>1218427</v>
      </c>
      <c r="S3" s="0" t="n">
        <v>96119</v>
      </c>
      <c r="T3" s="0" t="n">
        <v>6567.977</v>
      </c>
      <c r="U3" s="0" t="n">
        <v>69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I4" s="0" t="n">
        <v>23903</v>
      </c>
      <c r="K4" s="0" t="n">
        <v>3.68</v>
      </c>
      <c r="L4" s="0" t="n">
        <v>8642</v>
      </c>
      <c r="O4" s="0" t="n">
        <v>134840</v>
      </c>
      <c r="P4" s="0" t="n">
        <v>1434969</v>
      </c>
      <c r="Q4" s="0" t="n">
        <v>1286963</v>
      </c>
      <c r="S4" s="0" t="n">
        <v>83314</v>
      </c>
      <c r="T4" s="0" t="n">
        <v>6545.654</v>
      </c>
      <c r="U4" s="0" t="n">
        <v>215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I5" s="0" t="n">
        <v>24907</v>
      </c>
      <c r="K5" s="0" t="n">
        <v>2.56</v>
      </c>
      <c r="L5" s="0" t="n">
        <v>22709</v>
      </c>
      <c r="O5" s="0" t="n">
        <v>136782</v>
      </c>
      <c r="P5" s="0" t="n">
        <v>1552797</v>
      </c>
      <c r="Q5" s="0" t="n">
        <v>1402331</v>
      </c>
      <c r="S5" s="0" t="n">
        <v>95558</v>
      </c>
      <c r="T5" s="0" t="n">
        <v>9773.764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I6" s="0" t="n">
        <v>27113</v>
      </c>
      <c r="K6" s="0" t="n">
        <v>2.78</v>
      </c>
      <c r="L6" s="0" t="n">
        <v>35224</v>
      </c>
      <c r="O6" s="0" t="n">
        <v>136925</v>
      </c>
      <c r="P6" s="0" t="n">
        <v>1637481</v>
      </c>
      <c r="Q6" s="0" t="n">
        <v>1488016</v>
      </c>
      <c r="S6" s="0" t="n">
        <v>70811</v>
      </c>
      <c r="T6" s="0" t="n">
        <v>9785.215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I7" s="0" t="n">
        <v>18896</v>
      </c>
      <c r="K7" s="0" t="n">
        <v>1.94</v>
      </c>
      <c r="L7" s="0" t="n">
        <v>59491</v>
      </c>
      <c r="O7" s="0" t="n">
        <v>142993</v>
      </c>
      <c r="P7" s="0" t="n">
        <v>2019251</v>
      </c>
      <c r="Q7" s="0" t="n">
        <v>1864726</v>
      </c>
      <c r="S7" s="0" t="n">
        <v>105823</v>
      </c>
      <c r="T7" s="0" t="n">
        <v>9801.524</v>
      </c>
      <c r="U7" s="0" t="n">
        <v>217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I8" s="0" t="n">
        <v>26760</v>
      </c>
      <c r="K8" s="0" t="n">
        <v>2.74</v>
      </c>
      <c r="L8" s="0" t="n">
        <v>60106</v>
      </c>
      <c r="O8" s="0" t="n">
        <v>152864</v>
      </c>
      <c r="P8" s="0" t="n">
        <v>2069206</v>
      </c>
      <c r="Q8" s="0" t="n">
        <v>1904730</v>
      </c>
      <c r="S8" s="0" t="n">
        <v>109687</v>
      </c>
      <c r="T8" s="0" t="n">
        <v>9831.332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I9" s="0" t="n">
        <v>29702</v>
      </c>
      <c r="K9" s="0" t="n">
        <v>3.03</v>
      </c>
      <c r="L9" s="0" t="n">
        <v>129966</v>
      </c>
      <c r="O9" s="0" t="n">
        <v>167953</v>
      </c>
      <c r="P9" s="0" t="n">
        <v>2323440</v>
      </c>
      <c r="Q9" s="0" t="n">
        <v>2146097</v>
      </c>
      <c r="S9" s="0" t="n">
        <v>104257</v>
      </c>
      <c r="T9" s="0" t="n">
        <v>9858.76</v>
      </c>
      <c r="U9" s="0" t="n">
        <v>234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I10" s="0" t="n">
        <v>33105</v>
      </c>
      <c r="K10" s="0" t="n">
        <v>3.38</v>
      </c>
      <c r="L10" s="0" t="n">
        <v>77493</v>
      </c>
      <c r="O10" s="0" t="n">
        <v>190177</v>
      </c>
      <c r="P10" s="0" t="n">
        <v>2543100</v>
      </c>
      <c r="Q10" s="0" t="n">
        <v>2344050</v>
      </c>
      <c r="S10" s="0" t="n">
        <v>116543</v>
      </c>
      <c r="T10" s="0" t="n">
        <v>9866.574</v>
      </c>
      <c r="U10" s="0" t="n">
        <v>200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I11" s="0" t="n">
        <v>41085</v>
      </c>
      <c r="K11" s="0" t="n">
        <v>3.82</v>
      </c>
      <c r="L11" s="0" t="n">
        <v>7069</v>
      </c>
      <c r="O11" s="0" t="n">
        <v>211090</v>
      </c>
      <c r="P11" s="0" t="n">
        <v>2854475</v>
      </c>
      <c r="Q11" s="0" t="n">
        <v>2633191</v>
      </c>
      <c r="S11" s="0" t="n">
        <v>117286</v>
      </c>
      <c r="T11" s="0" t="n">
        <v>10847.286</v>
      </c>
      <c r="U11" s="0" t="n">
        <v>217</v>
      </c>
      <c r="AA11" s="0" t="s">
        <v>18</v>
      </c>
      <c r="AB11" s="0" t="s">
        <v>14</v>
      </c>
    </row>
    <row r="12" customFormat="false" ht="15" hidden="false" customHeight="false" outlineLevel="0" collapsed="false">
      <c r="A12" s="0" t="s">
        <v>74</v>
      </c>
      <c r="I12" s="0" t="n">
        <v>44857</v>
      </c>
      <c r="K12" s="0" t="n">
        <v>4.05</v>
      </c>
      <c r="L12" s="0" t="n">
        <v>34466</v>
      </c>
      <c r="O12" s="0" t="n">
        <v>204501</v>
      </c>
      <c r="P12" s="0" t="n">
        <v>3066169</v>
      </c>
      <c r="Q12" s="0" t="n">
        <v>2851093</v>
      </c>
      <c r="S12" s="0" t="n">
        <v>114890</v>
      </c>
      <c r="T12" s="0" t="n">
        <v>11189.428</v>
      </c>
      <c r="U12" s="0" t="n">
        <v>178</v>
      </c>
      <c r="AA12" s="0" t="s">
        <v>18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8.59</v>
      </c>
    </row>
    <row r="3" customFormat="false" ht="15" hidden="false" customHeight="false" outlineLevel="0" collapsed="false">
      <c r="A3" s="0" t="s">
        <v>78</v>
      </c>
      <c r="B3" s="3" t="n">
        <v>11146</v>
      </c>
    </row>
    <row r="4" customFormat="false" ht="15" hidden="false" customHeight="false" outlineLevel="0" collapsed="false">
      <c r="A4" s="0" t="s">
        <v>79</v>
      </c>
      <c r="B4" s="3" t="n">
        <v>0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18.5</v>
      </c>
    </row>
    <row r="7" customFormat="false" ht="15" hidden="false" customHeight="false" outlineLevel="0" collapsed="false">
      <c r="A7" s="0" t="s">
        <v>82</v>
      </c>
      <c r="B7" s="3" t="n">
        <v>180400</v>
      </c>
    </row>
    <row r="8" customFormat="false" ht="15" hidden="false" customHeight="false" outlineLevel="0" collapsed="false">
      <c r="A8" s="0" t="s">
        <v>83</v>
      </c>
      <c r="B8" s="3" t="s">
        <v>84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0.191487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5</v>
      </c>
      <c r="D13" s="3" t="n">
        <v>2</v>
      </c>
      <c r="E13" s="3" t="n">
        <v>4</v>
      </c>
      <c r="F13" s="3" t="n">
        <v>6</v>
      </c>
      <c r="G13" s="3" t="n">
        <v>6</v>
      </c>
      <c r="H13" s="3" t="n">
        <v>6</v>
      </c>
      <c r="I13" s="3" t="n">
        <v>5.5</v>
      </c>
      <c r="J13" s="3" t="n">
        <v>5.5</v>
      </c>
      <c r="K13" s="3" t="n">
        <v>5</v>
      </c>
      <c r="L13" s="3" t="n">
        <v>5</v>
      </c>
    </row>
    <row r="14" customFormat="false" ht="15" hidden="false" customHeight="false" outlineLevel="0" collapsed="false">
      <c r="A14" s="0" t="s">
        <v>100</v>
      </c>
      <c r="C14" s="3" t="n">
        <v>34.82</v>
      </c>
      <c r="D14" s="3" t="n">
        <v>28.57</v>
      </c>
      <c r="E14" s="3" t="n">
        <v>30.66</v>
      </c>
      <c r="F14" s="3" t="n">
        <v>31.35</v>
      </c>
      <c r="G14" s="3" t="n">
        <v>31.35</v>
      </c>
      <c r="H14" s="3" t="n">
        <v>30.66</v>
      </c>
      <c r="I14" s="3" t="n">
        <v>30.38</v>
      </c>
      <c r="J14" s="3" t="n">
        <v>30.1</v>
      </c>
      <c r="K14" s="3" t="n">
        <v>29.96</v>
      </c>
      <c r="L14" s="3" t="n">
        <v>29.96</v>
      </c>
    </row>
    <row r="15" customFormat="false" ht="15" hidden="false" customHeight="false" outlineLevel="0" collapsed="false">
      <c r="A15" s="0" t="s">
        <v>101</v>
      </c>
      <c r="C15" s="3" t="n">
        <v>0.1</v>
      </c>
      <c r="D15" s="3" t="n">
        <v>0.1</v>
      </c>
      <c r="E15" s="3" t="n">
        <v>0.1</v>
      </c>
      <c r="F15" s="3" t="n">
        <v>0.1</v>
      </c>
      <c r="G15" s="3" t="n">
        <v>0.1</v>
      </c>
      <c r="H15" s="3" t="n">
        <v>0.1</v>
      </c>
      <c r="I15" s="3" t="n">
        <v>0.1</v>
      </c>
      <c r="J15" s="3" t="n">
        <v>0.1</v>
      </c>
      <c r="K15" s="3" t="n">
        <v>0.1</v>
      </c>
      <c r="L15" s="3" t="n">
        <v>0.1</v>
      </c>
    </row>
    <row r="16" customFormat="false" ht="15" hidden="false" customHeight="false" outlineLevel="0" collapsed="false">
      <c r="A16" s="0" t="s">
        <v>102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104</v>
      </c>
      <c r="C18" s="3" t="n">
        <v>7.2</v>
      </c>
      <c r="D18" s="3" t="n">
        <v>3.24</v>
      </c>
      <c r="E18" s="3" t="n">
        <v>4.27</v>
      </c>
      <c r="F18" s="3" t="n">
        <v>6.29</v>
      </c>
      <c r="G18" s="3" t="n">
        <v>6.29</v>
      </c>
      <c r="H18" s="3" t="n">
        <v>6.29</v>
      </c>
      <c r="I18" s="3" t="n">
        <v>5.79</v>
      </c>
      <c r="J18" s="3" t="n">
        <v>5.79</v>
      </c>
      <c r="K18" s="3" t="n">
        <v>5.29</v>
      </c>
      <c r="L18" s="3" t="n">
        <v>5.29</v>
      </c>
    </row>
    <row r="19" customFormat="false" ht="15" hidden="false" customHeight="false" outlineLevel="0" collapsed="false">
      <c r="A19" s="0" t="s">
        <v>105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106</v>
      </c>
      <c r="B20" s="3" t="n">
        <v>15</v>
      </c>
    </row>
    <row r="21" customFormat="false" ht="15" hidden="false" customHeight="false" outlineLevel="0" collapsed="false">
      <c r="A21" s="0" t="s">
        <v>107</v>
      </c>
      <c r="B21" s="3" t="n">
        <v>5</v>
      </c>
    </row>
    <row r="22" customFormat="false" ht="15" hidden="false" customHeight="false" outlineLevel="0" collapsed="false">
      <c r="A22" s="0" t="s">
        <v>108</v>
      </c>
      <c r="B22" s="3" t="n">
        <v>11</v>
      </c>
    </row>
    <row r="23" customFormat="false" ht="15" hidden="false" customHeight="false" outlineLevel="0" collapsed="false">
      <c r="A23" s="0" t="s">
        <v>109</v>
      </c>
      <c r="B23" s="3" t="n">
        <v>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7</v>
      </c>
      <c r="D27" s="3" t="n">
        <v>8</v>
      </c>
      <c r="E27" s="3" t="n">
        <v>8</v>
      </c>
      <c r="F27" s="3" t="n">
        <v>7.5</v>
      </c>
      <c r="G27" s="3" t="n">
        <v>7</v>
      </c>
      <c r="H27" s="3" t="n">
        <v>7</v>
      </c>
      <c r="I27" s="3" t="n">
        <v>6.5</v>
      </c>
      <c r="J27" s="3" t="n">
        <v>6.5</v>
      </c>
      <c r="K27" s="3" t="n">
        <v>6</v>
      </c>
      <c r="L27" s="3" t="n">
        <v>6</v>
      </c>
    </row>
    <row r="28" customFormat="false" ht="15" hidden="false" customHeight="false" outlineLevel="0" collapsed="false">
      <c r="A28" s="0" t="s">
        <v>100</v>
      </c>
      <c r="C28" s="3" t="n">
        <v>36.21</v>
      </c>
      <c r="D28" s="3" t="n">
        <v>36.21</v>
      </c>
      <c r="E28" s="3" t="n">
        <v>35.93</v>
      </c>
      <c r="F28" s="3" t="n">
        <v>35.66</v>
      </c>
      <c r="G28" s="3" t="n">
        <v>35.38</v>
      </c>
      <c r="H28" s="3" t="n">
        <v>35.1</v>
      </c>
      <c r="I28" s="3" t="n">
        <v>34.82</v>
      </c>
      <c r="J28" s="3" t="n">
        <v>34.54</v>
      </c>
      <c r="K28" s="3" t="n">
        <v>34.27</v>
      </c>
      <c r="L28" s="3" t="n">
        <v>34.13</v>
      </c>
    </row>
    <row r="29" customFormat="false" ht="15" hidden="false" customHeight="false" outlineLevel="0" collapsed="false">
      <c r="A29" s="0" t="s">
        <v>101</v>
      </c>
      <c r="C29" s="3" t="n">
        <v>0.1</v>
      </c>
      <c r="D29" s="3" t="n">
        <v>0.1</v>
      </c>
      <c r="E29" s="3" t="n">
        <v>0.1</v>
      </c>
      <c r="F29" s="3" t="n">
        <v>0.1</v>
      </c>
      <c r="G29" s="3" t="n">
        <v>0.1</v>
      </c>
      <c r="H29" s="3" t="n">
        <v>0.1</v>
      </c>
      <c r="I29" s="3" t="n">
        <v>0.1</v>
      </c>
      <c r="J29" s="3" t="n">
        <v>0.1</v>
      </c>
      <c r="K29" s="3" t="n">
        <v>0.1</v>
      </c>
      <c r="L29" s="3" t="n">
        <v>0.1</v>
      </c>
    </row>
    <row r="30" customFormat="false" ht="15" hidden="false" customHeight="false" outlineLevel="0" collapsed="false">
      <c r="A30" s="0" t="s">
        <v>102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104</v>
      </c>
      <c r="C32" s="3" t="n">
        <v>9.08</v>
      </c>
      <c r="D32" s="3" t="n">
        <v>8.65</v>
      </c>
      <c r="E32" s="3" t="n">
        <v>8.18</v>
      </c>
      <c r="F32" s="3" t="n">
        <v>7.71</v>
      </c>
      <c r="G32" s="3" t="n">
        <v>7.23</v>
      </c>
      <c r="H32" s="3" t="n">
        <v>7.23</v>
      </c>
      <c r="I32" s="3" t="n">
        <v>6.74</v>
      </c>
      <c r="J32" s="3" t="n">
        <v>6.74</v>
      </c>
      <c r="K32" s="3" t="n">
        <v>6.25</v>
      </c>
      <c r="L32" s="3" t="n">
        <v>6.25</v>
      </c>
    </row>
    <row r="33" customFormat="false" ht="15" hidden="false" customHeight="false" outlineLevel="0" collapsed="false">
      <c r="A33" s="0" t="s">
        <v>105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106</v>
      </c>
      <c r="B34" s="3" t="n">
        <v>15</v>
      </c>
    </row>
    <row r="35" customFormat="false" ht="15" hidden="false" customHeight="false" outlineLevel="0" collapsed="false">
      <c r="A35" s="0" t="s">
        <v>107</v>
      </c>
      <c r="B35" s="3" t="n">
        <v>6</v>
      </c>
    </row>
    <row r="36" customFormat="false" ht="15" hidden="false" customHeight="false" outlineLevel="0" collapsed="false">
      <c r="A36" s="0" t="s">
        <v>108</v>
      </c>
      <c r="B36" s="3" t="n">
        <v>12</v>
      </c>
    </row>
    <row r="37" customFormat="false" ht="15" hidden="false" customHeight="false" outlineLevel="0" collapsed="false">
      <c r="A37" s="0" t="s">
        <v>109</v>
      </c>
      <c r="B37" s="3" t="n">
        <v>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9</v>
      </c>
      <c r="D41" s="3" t="n">
        <v>10</v>
      </c>
      <c r="E41" s="3" t="n">
        <v>10</v>
      </c>
      <c r="F41" s="3" t="n">
        <v>9</v>
      </c>
      <c r="G41" s="3" t="n">
        <v>8.5</v>
      </c>
      <c r="H41" s="3" t="n">
        <v>8</v>
      </c>
      <c r="I41" s="3" t="n">
        <v>7.5</v>
      </c>
      <c r="J41" s="3" t="n">
        <v>7</v>
      </c>
      <c r="K41" s="3" t="n">
        <v>6.5</v>
      </c>
      <c r="L41" s="3" t="n">
        <v>6.5</v>
      </c>
    </row>
    <row r="42" customFormat="false" ht="15" hidden="false" customHeight="false" outlineLevel="0" collapsed="false">
      <c r="A42" s="0" t="s">
        <v>100</v>
      </c>
      <c r="C42" s="3" t="n">
        <v>36.91</v>
      </c>
      <c r="D42" s="3" t="n">
        <v>37.6</v>
      </c>
      <c r="E42" s="3" t="n">
        <v>38.29</v>
      </c>
      <c r="F42" s="3" t="n">
        <v>38.71</v>
      </c>
      <c r="G42" s="3" t="n">
        <v>38.99</v>
      </c>
      <c r="H42" s="3" t="n">
        <v>38.99</v>
      </c>
      <c r="I42" s="3" t="n">
        <v>38.99</v>
      </c>
      <c r="J42" s="3" t="n">
        <v>38.99</v>
      </c>
      <c r="K42" s="3" t="n">
        <v>38.99</v>
      </c>
      <c r="L42" s="3" t="n">
        <v>38.99</v>
      </c>
    </row>
    <row r="43" customFormat="false" ht="15" hidden="false" customHeight="false" outlineLevel="0" collapsed="false">
      <c r="A43" s="0" t="s">
        <v>101</v>
      </c>
      <c r="C43" s="3" t="n">
        <v>0.1</v>
      </c>
      <c r="D43" s="3" t="n">
        <v>0.1</v>
      </c>
      <c r="E43" s="3" t="n">
        <v>0.1</v>
      </c>
      <c r="F43" s="3" t="n">
        <v>0.1</v>
      </c>
      <c r="G43" s="3" t="n">
        <v>0.1</v>
      </c>
      <c r="H43" s="3" t="n">
        <v>0.1</v>
      </c>
      <c r="I43" s="3" t="n">
        <v>0.1</v>
      </c>
      <c r="J43" s="3" t="n">
        <v>0.1</v>
      </c>
      <c r="K43" s="3" t="n">
        <v>0.1</v>
      </c>
      <c r="L43" s="3" t="n">
        <v>0.1</v>
      </c>
    </row>
    <row r="44" customFormat="false" ht="15" hidden="false" customHeight="false" outlineLevel="0" collapsed="false">
      <c r="A44" s="0" t="s">
        <v>102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104</v>
      </c>
      <c r="C46" s="3" t="n">
        <v>9.9</v>
      </c>
      <c r="D46" s="3" t="n">
        <v>9.9</v>
      </c>
      <c r="E46" s="3" t="n">
        <v>9.9</v>
      </c>
      <c r="F46" s="3" t="n">
        <v>9</v>
      </c>
      <c r="G46" s="3" t="n">
        <v>8.53</v>
      </c>
      <c r="H46" s="3" t="n">
        <v>8.07</v>
      </c>
      <c r="I46" s="3" t="n">
        <v>7.6</v>
      </c>
      <c r="J46" s="3" t="n">
        <v>7.13</v>
      </c>
      <c r="K46" s="3" t="n">
        <v>6.65</v>
      </c>
      <c r="L46" s="3" t="n">
        <v>6.65</v>
      </c>
    </row>
    <row r="47" customFormat="false" ht="15" hidden="false" customHeight="false" outlineLevel="0" collapsed="false">
      <c r="A47" s="0" t="s">
        <v>105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106</v>
      </c>
      <c r="B48" s="3" t="n">
        <v>15</v>
      </c>
    </row>
    <row r="49" customFormat="false" ht="15" hidden="false" customHeight="false" outlineLevel="0" collapsed="false">
      <c r="A49" s="0" t="s">
        <v>107</v>
      </c>
      <c r="B49" s="3" t="n">
        <v>6.5</v>
      </c>
    </row>
    <row r="50" customFormat="false" ht="15" hidden="false" customHeight="false" outlineLevel="0" collapsed="false">
      <c r="A50" s="0" t="s">
        <v>108</v>
      </c>
      <c r="B50" s="3" t="n">
        <v>13</v>
      </c>
    </row>
    <row r="51" customFormat="false" ht="15" hidden="false" customHeight="false" outlineLevel="0" collapsed="false">
      <c r="A51" s="0" t="s">
        <v>109</v>
      </c>
      <c r="B51" s="3" t="n">
        <v>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5</v>
      </c>
      <c r="D5" s="4" t="n">
        <f aca="false">Assumptions!D13</f>
        <v>2</v>
      </c>
      <c r="E5" s="4" t="n">
        <f aca="false">Assumptions!E13</f>
        <v>4</v>
      </c>
      <c r="F5" s="4" t="n">
        <f aca="false">Assumptions!F13</f>
        <v>6</v>
      </c>
      <c r="G5" s="4" t="n">
        <f aca="false">Assumptions!G13</f>
        <v>6</v>
      </c>
      <c r="H5" s="4" t="n">
        <f aca="false">Assumptions!H13</f>
        <v>6</v>
      </c>
      <c r="I5" s="4" t="n">
        <f aca="false">Assumptions!I13</f>
        <v>5.5</v>
      </c>
      <c r="J5" s="4" t="n">
        <f aca="false">Assumptions!J13</f>
        <v>5.5</v>
      </c>
      <c r="K5" s="4" t="n">
        <f aca="false">Assumptions!K13</f>
        <v>5</v>
      </c>
      <c r="L5" s="4" t="n">
        <f aca="false">Assumptions!L13</f>
        <v>5</v>
      </c>
    </row>
    <row r="6" customFormat="false" ht="15" hidden="false" customHeight="false" outlineLevel="0" collapsed="false">
      <c r="A6" s="0" t="s">
        <v>38</v>
      </c>
      <c r="B6" s="3" t="n">
        <v>180400</v>
      </c>
      <c r="C6" s="0" t="n">
        <f aca="false">B6*(1+C5/100)</f>
        <v>189420</v>
      </c>
      <c r="D6" s="0" t="n">
        <f aca="false">C6*(1+D5/100)</f>
        <v>193208.4</v>
      </c>
      <c r="E6" s="0" t="n">
        <f aca="false">D6*(1+E5/100)</f>
        <v>200936.736</v>
      </c>
      <c r="F6" s="0" t="n">
        <f aca="false">E6*(1+F5/100)</f>
        <v>212992.94016</v>
      </c>
      <c r="G6" s="0" t="n">
        <f aca="false">F6*(1+G5/100)</f>
        <v>225772.5165696</v>
      </c>
      <c r="H6" s="0" t="n">
        <f aca="false">G6*(1+H5/100)</f>
        <v>239318.867563776</v>
      </c>
      <c r="I6" s="0" t="n">
        <f aca="false">H6*(1+I5/100)</f>
        <v>252481.405279784</v>
      </c>
      <c r="J6" s="0" t="n">
        <f aca="false">I6*(1+J5/100)</f>
        <v>266367.882570172</v>
      </c>
      <c r="K6" s="0" t="n">
        <f aca="false">J6*(1+K5/100)</f>
        <v>279686.276698681</v>
      </c>
      <c r="L6" s="0" t="n">
        <f aca="false">K6*(1+L5/100)</f>
        <v>293670.590533615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34.82</v>
      </c>
      <c r="D7" s="4" t="n">
        <f aca="false">Assumptions!D14</f>
        <v>28.57</v>
      </c>
      <c r="E7" s="4" t="n">
        <f aca="false">Assumptions!E14</f>
        <v>30.66</v>
      </c>
      <c r="F7" s="4" t="n">
        <f aca="false">Assumptions!F14</f>
        <v>31.35</v>
      </c>
      <c r="G7" s="4" t="n">
        <f aca="false">Assumptions!G14</f>
        <v>31.35</v>
      </c>
      <c r="H7" s="4" t="n">
        <f aca="false">Assumptions!H14</f>
        <v>30.66</v>
      </c>
      <c r="I7" s="4" t="n">
        <f aca="false">Assumptions!I14</f>
        <v>30.38</v>
      </c>
      <c r="J7" s="4" t="n">
        <f aca="false">Assumptions!J14</f>
        <v>30.1</v>
      </c>
      <c r="K7" s="4" t="n">
        <f aca="false">Assumptions!K14</f>
        <v>29.96</v>
      </c>
      <c r="L7" s="4" t="n">
        <f aca="false">Assumptions!L14</f>
        <v>29.96</v>
      </c>
    </row>
    <row r="8" customFormat="false" ht="15" hidden="false" customHeight="false" outlineLevel="0" collapsed="false">
      <c r="A8" s="0" t="s">
        <v>44</v>
      </c>
      <c r="C8" s="0" t="n">
        <f aca="false">C6*C7/100</f>
        <v>65956.044</v>
      </c>
      <c r="D8" s="0" t="n">
        <f aca="false">D6*D7/100</f>
        <v>55199.63988</v>
      </c>
      <c r="E8" s="0" t="n">
        <f aca="false">E6*E7/100</f>
        <v>61607.2032576</v>
      </c>
      <c r="F8" s="0" t="n">
        <f aca="false">F6*F7/100</f>
        <v>66773.28674016</v>
      </c>
      <c r="G8" s="0" t="n">
        <f aca="false">G6*G7/100</f>
        <v>70779.6839445696</v>
      </c>
      <c r="H8" s="0" t="n">
        <f aca="false">H6*H7/100</f>
        <v>73375.1647950537</v>
      </c>
      <c r="I8" s="0" t="n">
        <f aca="false">I6*I7/100</f>
        <v>76703.8509239983</v>
      </c>
      <c r="J8" s="0" t="n">
        <f aca="false">J6*J7/100</f>
        <v>80176.7326536217</v>
      </c>
      <c r="K8" s="0" t="n">
        <f aca="false">K6*K7/100</f>
        <v>83794.0084989247</v>
      </c>
      <c r="L8" s="0" t="n">
        <f aca="false">L6*L7/100</f>
        <v>87983.7089238709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0.1</v>
      </c>
      <c r="D9" s="4" t="n">
        <f aca="false">Assumptions!D15</f>
        <v>0.1</v>
      </c>
      <c r="E9" s="4" t="n">
        <f aca="false">Assumptions!E15</f>
        <v>0.1</v>
      </c>
      <c r="F9" s="4" t="n">
        <f aca="false">Assumptions!F15</f>
        <v>0.1</v>
      </c>
      <c r="G9" s="4" t="n">
        <f aca="false">Assumptions!G15</f>
        <v>0.1</v>
      </c>
      <c r="H9" s="4" t="n">
        <f aca="false">Assumptions!H15</f>
        <v>0.1</v>
      </c>
      <c r="I9" s="4" t="n">
        <f aca="false">Assumptions!I15</f>
        <v>0.1</v>
      </c>
      <c r="J9" s="4" t="n">
        <f aca="false">Assumptions!J15</f>
        <v>0.1</v>
      </c>
      <c r="K9" s="4" t="n">
        <f aca="false">Assumptions!K15</f>
        <v>0.1</v>
      </c>
      <c r="L9" s="4" t="n">
        <f aca="false">Assumptions!L15</f>
        <v>0.1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-189.42</v>
      </c>
      <c r="D10" s="0" t="n">
        <f aca="false">-D6*D9/100</f>
        <v>-193.2084</v>
      </c>
      <c r="E10" s="0" t="n">
        <f aca="false">-E6*E9/100</f>
        <v>-200.936736</v>
      </c>
      <c r="F10" s="0" t="n">
        <f aca="false">-F6*F9/100</f>
        <v>-212.99294016</v>
      </c>
      <c r="G10" s="0" t="n">
        <f aca="false">-G6*G9/100</f>
        <v>-225.7725165696</v>
      </c>
      <c r="H10" s="0" t="n">
        <f aca="false">-H6*H9/100</f>
        <v>-239.318867563776</v>
      </c>
      <c r="I10" s="0" t="n">
        <f aca="false">-I6*I9/100</f>
        <v>-252.481405279784</v>
      </c>
      <c r="J10" s="0" t="n">
        <f aca="false">-J6*J9/100</f>
        <v>-266.367882570172</v>
      </c>
      <c r="K10" s="0" t="n">
        <f aca="false">-K6*K9/100</f>
        <v>-279.686276698681</v>
      </c>
      <c r="L10" s="0" t="n">
        <f aca="false">-L6*L9/100</f>
        <v>-293.670590533615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65766.624</v>
      </c>
      <c r="D11" s="0" t="n">
        <f aca="false">D8+D10+D24</f>
        <v>55006.43148</v>
      </c>
      <c r="E11" s="0" t="n">
        <f aca="false">E8+E10+E24</f>
        <v>61406.2665216</v>
      </c>
      <c r="F11" s="0" t="n">
        <f aca="false">F8+F10+F24</f>
        <v>66560.2938</v>
      </c>
      <c r="G11" s="0" t="n">
        <f aca="false">G8+G10+G24</f>
        <v>70553.911428</v>
      </c>
      <c r="H11" s="0" t="n">
        <f aca="false">H8+H10+H24</f>
        <v>73135.84592749</v>
      </c>
      <c r="I11" s="0" t="n">
        <f aca="false">I8+I10+I24</f>
        <v>76451.3695187185</v>
      </c>
      <c r="J11" s="0" t="n">
        <f aca="false">J8+J10+J24</f>
        <v>79910.3647710516</v>
      </c>
      <c r="K11" s="0" t="n">
        <f aca="false">K8+K10+K24</f>
        <v>83514.322222226</v>
      </c>
      <c r="L11" s="0" t="n">
        <f aca="false">L8+L10+L24</f>
        <v>87690.0383333373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65766.624</v>
      </c>
      <c r="D13" s="0" t="n">
        <f aca="false">D11+D12</f>
        <v>55006.43148</v>
      </c>
      <c r="E13" s="0" t="n">
        <f aca="false">E11+E12</f>
        <v>61406.2665216</v>
      </c>
      <c r="F13" s="0" t="n">
        <f aca="false">F11+F12</f>
        <v>66560.2938</v>
      </c>
      <c r="G13" s="0" t="n">
        <f aca="false">G11+G12</f>
        <v>70553.911428</v>
      </c>
      <c r="H13" s="0" t="n">
        <f aca="false">H11+H12</f>
        <v>73135.84592749</v>
      </c>
      <c r="I13" s="0" t="n">
        <f aca="false">I11+I12</f>
        <v>76451.3695187185</v>
      </c>
      <c r="J13" s="0" t="n">
        <f aca="false">J11+J12</f>
        <v>79910.3647710516</v>
      </c>
      <c r="K13" s="0" t="n">
        <f aca="false">K11+K12</f>
        <v>83514.322222226</v>
      </c>
      <c r="L13" s="0" t="n">
        <f aca="false">L11+L12</f>
        <v>87690.0383333373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47351.96928</v>
      </c>
      <c r="D15" s="0" t="n">
        <f aca="false">D13-MAX(0,D13)*D14/100</f>
        <v>39604.6306656</v>
      </c>
      <c r="E15" s="0" t="n">
        <f aca="false">E13-MAX(0,E13)*E14/100</f>
        <v>44212.511895552</v>
      </c>
      <c r="F15" s="0" t="n">
        <f aca="false">F13-MAX(0,F13)*F14/100</f>
        <v>47923.411536</v>
      </c>
      <c r="G15" s="0" t="n">
        <f aca="false">G13-MAX(0,G13)*G14/100</f>
        <v>50798.81622816</v>
      </c>
      <c r="H15" s="0" t="n">
        <f aca="false">H13-MAX(0,H13)*H14/100</f>
        <v>52657.8090677928</v>
      </c>
      <c r="I15" s="0" t="n">
        <f aca="false">I13-MAX(0,I13)*I14/100</f>
        <v>55044.9860534773</v>
      </c>
      <c r="J15" s="0" t="n">
        <f aca="false">J13-MAX(0,J13)*J14/100</f>
        <v>57535.4626351571</v>
      </c>
      <c r="K15" s="0" t="n">
        <f aca="false">K13-MAX(0,K13)*K14/100</f>
        <v>60130.3120000027</v>
      </c>
      <c r="L15" s="0" t="n">
        <f aca="false">L13-MAX(0,L13)*L14/100</f>
        <v>63136.8276000029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-13638.24</v>
      </c>
      <c r="D17" s="4" t="n">
        <f aca="false">-D6*Assumptions!D18/100</f>
        <v>-6259.95216</v>
      </c>
      <c r="E17" s="4" t="n">
        <f aca="false">-E6*Assumptions!E18/100</f>
        <v>-8579.9986272</v>
      </c>
      <c r="F17" s="4" t="n">
        <f aca="false">-F6*Assumptions!F18/100</f>
        <v>-13397.255936064</v>
      </c>
      <c r="G17" s="4" t="n">
        <f aca="false">-G6*Assumptions!G18/100</f>
        <v>-14201.0912922278</v>
      </c>
      <c r="H17" s="4" t="n">
        <f aca="false">-H6*Assumptions!H18/100</f>
        <v>-15053.1567697615</v>
      </c>
      <c r="I17" s="4" t="n">
        <f aca="false">-I6*Assumptions!I18/100</f>
        <v>-14618.6733656995</v>
      </c>
      <c r="J17" s="4" t="n">
        <f aca="false">-J6*Assumptions!J18/100</f>
        <v>-15422.700400813</v>
      </c>
      <c r="K17" s="4" t="n">
        <f aca="false">-K6*Assumptions!K18/100</f>
        <v>-14795.4040373602</v>
      </c>
      <c r="L17" s="4" t="n">
        <f aca="false">-L6*Assumptions!L18/100</f>
        <v>-15535.1742392282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33713.72928</v>
      </c>
      <c r="D19" s="0" t="n">
        <f aca="false">D15+D16+D17+D18</f>
        <v>33344.6785056</v>
      </c>
      <c r="E19" s="0" t="n">
        <f aca="false">E15+E16+E17+E18</f>
        <v>35632.513268352</v>
      </c>
      <c r="F19" s="0" t="n">
        <f aca="false">F15+F16+F17+F18</f>
        <v>34526.155599936</v>
      </c>
      <c r="G19" s="0" t="n">
        <f aca="false">G15+G16+G17+G18</f>
        <v>36597.7249359322</v>
      </c>
      <c r="H19" s="0" t="n">
        <f aca="false">H15+H16+H17+H18</f>
        <v>37604.6522980313</v>
      </c>
      <c r="I19" s="0" t="n">
        <f aca="false">I15+I16+I17+I18</f>
        <v>40426.3126877778</v>
      </c>
      <c r="J19" s="0" t="n">
        <f aca="false">J15+J16+J17+J18</f>
        <v>42112.7622343442</v>
      </c>
      <c r="K19" s="0" t="n">
        <f aca="false">K15+K16+K17+K18</f>
        <v>45334.9079626425</v>
      </c>
      <c r="L19" s="0" t="n">
        <f aca="false">L15+L16+L17+L18</f>
        <v>47601.6533607746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29316.2863304348</v>
      </c>
      <c r="D21" s="0" t="n">
        <f aca="false">D19*D20</f>
        <v>25213.3674900567</v>
      </c>
      <c r="E21" s="0" t="n">
        <f aca="false">E19*E20</f>
        <v>23428.9558762896</v>
      </c>
      <c r="F21" s="0" t="n">
        <f aca="false">F19*F20</f>
        <v>19740.4415221135</v>
      </c>
      <c r="G21" s="0" t="n">
        <f aca="false">G19*G20</f>
        <v>18195.5374029916</v>
      </c>
      <c r="H21" s="0" t="n">
        <f aca="false">H19*H20</f>
        <v>16257.5289230978</v>
      </c>
      <c r="I21" s="0" t="n">
        <f aca="false">I19*I20</f>
        <v>15197.7483268486</v>
      </c>
      <c r="J21" s="0" t="n">
        <f aca="false">J19*J20</f>
        <v>13766.736675969</v>
      </c>
      <c r="K21" s="0" t="n">
        <f aca="false">K19*K20</f>
        <v>12887.0102870788</v>
      </c>
      <c r="L21" s="0" t="n">
        <f aca="false">L19*L20</f>
        <v>11766.400696898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15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5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185770.013531778</v>
      </c>
    </row>
    <row r="31" customFormat="false" ht="15" hidden="false" customHeight="false" outlineLevel="0" collapsed="false">
      <c r="A31" s="0" t="s">
        <v>130</v>
      </c>
      <c r="B31" s="0" t="n">
        <f aca="false">L19</f>
        <v>47601.6533607746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499817.360288134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523618.186968521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499817.360288134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123547.207317429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309317.220849208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309317.220849208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5.31403433238401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-0.381369693552502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1114.50633511279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762.204225485706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5.34627600429477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18.5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370235.081694914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3.94935777117298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7</v>
      </c>
      <c r="D5" s="4" t="n">
        <f aca="false">Assumptions!D27</f>
        <v>8</v>
      </c>
      <c r="E5" s="4" t="n">
        <f aca="false">Assumptions!E27</f>
        <v>8</v>
      </c>
      <c r="F5" s="4" t="n">
        <f aca="false">Assumptions!F27</f>
        <v>7.5</v>
      </c>
      <c r="G5" s="4" t="n">
        <f aca="false">Assumptions!G27</f>
        <v>7</v>
      </c>
      <c r="H5" s="4" t="n">
        <f aca="false">Assumptions!H27</f>
        <v>7</v>
      </c>
      <c r="I5" s="4" t="n">
        <f aca="false">Assumptions!I27</f>
        <v>6.5</v>
      </c>
      <c r="J5" s="4" t="n">
        <f aca="false">Assumptions!J27</f>
        <v>6.5</v>
      </c>
      <c r="K5" s="4" t="n">
        <f aca="false">Assumptions!K27</f>
        <v>6</v>
      </c>
      <c r="L5" s="4" t="n">
        <f aca="false">Assumptions!L27</f>
        <v>6</v>
      </c>
    </row>
    <row r="6" customFormat="false" ht="15" hidden="false" customHeight="false" outlineLevel="0" collapsed="false">
      <c r="A6" s="0" t="s">
        <v>38</v>
      </c>
      <c r="B6" s="3" t="n">
        <v>180400</v>
      </c>
      <c r="C6" s="0" t="n">
        <f aca="false">B6*(1+C5/100)</f>
        <v>193028</v>
      </c>
      <c r="D6" s="0" t="n">
        <f aca="false">C6*(1+D5/100)</f>
        <v>208470.24</v>
      </c>
      <c r="E6" s="0" t="n">
        <f aca="false">D6*(1+E5/100)</f>
        <v>225147.8592</v>
      </c>
      <c r="F6" s="0" t="n">
        <f aca="false">E6*(1+F5/100)</f>
        <v>242033.94864</v>
      </c>
      <c r="G6" s="0" t="n">
        <f aca="false">F6*(1+G5/100)</f>
        <v>258976.3250448</v>
      </c>
      <c r="H6" s="0" t="n">
        <f aca="false">G6*(1+H5/100)</f>
        <v>277104.667797936</v>
      </c>
      <c r="I6" s="0" t="n">
        <f aca="false">H6*(1+I5/100)</f>
        <v>295116.471204802</v>
      </c>
      <c r="J6" s="0" t="n">
        <f aca="false">I6*(1+J5/100)</f>
        <v>314299.041833114</v>
      </c>
      <c r="K6" s="0" t="n">
        <f aca="false">J6*(1+K5/100)</f>
        <v>333156.984343101</v>
      </c>
      <c r="L6" s="0" t="n">
        <f aca="false">K6*(1+L5/100)</f>
        <v>353146.403403687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36.21</v>
      </c>
      <c r="D7" s="4" t="n">
        <f aca="false">Assumptions!D28</f>
        <v>36.21</v>
      </c>
      <c r="E7" s="4" t="n">
        <f aca="false">Assumptions!E28</f>
        <v>35.93</v>
      </c>
      <c r="F7" s="4" t="n">
        <f aca="false">Assumptions!F28</f>
        <v>35.66</v>
      </c>
      <c r="G7" s="4" t="n">
        <f aca="false">Assumptions!G28</f>
        <v>35.38</v>
      </c>
      <c r="H7" s="4" t="n">
        <f aca="false">Assumptions!H28</f>
        <v>35.1</v>
      </c>
      <c r="I7" s="4" t="n">
        <f aca="false">Assumptions!I28</f>
        <v>34.82</v>
      </c>
      <c r="J7" s="4" t="n">
        <f aca="false">Assumptions!J28</f>
        <v>34.54</v>
      </c>
      <c r="K7" s="4" t="n">
        <f aca="false">Assumptions!K28</f>
        <v>34.27</v>
      </c>
      <c r="L7" s="4" t="n">
        <f aca="false">Assumptions!L28</f>
        <v>34.13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69895.4388</v>
      </c>
      <c r="D8" s="0" t="n">
        <f aca="false">D6*D7/100</f>
        <v>75487.073904</v>
      </c>
      <c r="E8" s="0" t="n">
        <f aca="false">E6*E7/100</f>
        <v>80895.62581056</v>
      </c>
      <c r="F8" s="0" t="n">
        <f aca="false">F6*F7/100</f>
        <v>86309.306085024</v>
      </c>
      <c r="G8" s="0" t="n">
        <f aca="false">G6*G7/100</f>
        <v>91625.8238008503</v>
      </c>
      <c r="H8" s="0" t="n">
        <f aca="false">H6*H7/100</f>
        <v>97263.7383970756</v>
      </c>
      <c r="I8" s="0" t="n">
        <f aca="false">I6*I7/100</f>
        <v>102759.555273512</v>
      </c>
      <c r="J8" s="0" t="n">
        <f aca="false">J6*J7/100</f>
        <v>108558.889049158</v>
      </c>
      <c r="K8" s="0" t="n">
        <f aca="false">K6*K7/100</f>
        <v>114172.898534381</v>
      </c>
      <c r="L8" s="0" t="n">
        <f aca="false">L6*L7/100</f>
        <v>120528.867481678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0.1</v>
      </c>
      <c r="D9" s="4" t="n">
        <f aca="false">Assumptions!D29</f>
        <v>0.1</v>
      </c>
      <c r="E9" s="4" t="n">
        <f aca="false">Assumptions!E29</f>
        <v>0.1</v>
      </c>
      <c r="F9" s="4" t="n">
        <f aca="false">Assumptions!F29</f>
        <v>0.1</v>
      </c>
      <c r="G9" s="4" t="n">
        <f aca="false">Assumptions!G29</f>
        <v>0.1</v>
      </c>
      <c r="H9" s="4" t="n">
        <f aca="false">Assumptions!H29</f>
        <v>0.1</v>
      </c>
      <c r="I9" s="4" t="n">
        <f aca="false">Assumptions!I29</f>
        <v>0.1</v>
      </c>
      <c r="J9" s="4" t="n">
        <f aca="false">Assumptions!J29</f>
        <v>0.1</v>
      </c>
      <c r="K9" s="4" t="n">
        <f aca="false">Assumptions!K29</f>
        <v>0.1</v>
      </c>
      <c r="L9" s="4" t="n">
        <f aca="false">Assumptions!L29</f>
        <v>0.1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-193.028</v>
      </c>
      <c r="D10" s="0" t="n">
        <f aca="false">-D6*D9/100</f>
        <v>-208.47024</v>
      </c>
      <c r="E10" s="0" t="n">
        <f aca="false">-E6*E9/100</f>
        <v>-225.1478592</v>
      </c>
      <c r="F10" s="0" t="n">
        <f aca="false">-F6*F9/100</f>
        <v>-242.03394864</v>
      </c>
      <c r="G10" s="0" t="n">
        <f aca="false">-G6*G9/100</f>
        <v>-258.9763250448</v>
      </c>
      <c r="H10" s="0" t="n">
        <f aca="false">-H6*H9/100</f>
        <v>-277.104667797936</v>
      </c>
      <c r="I10" s="0" t="n">
        <f aca="false">-I6*I9/100</f>
        <v>-295.116471204802</v>
      </c>
      <c r="J10" s="0" t="n">
        <f aca="false">-J6*J9/100</f>
        <v>-314.299041833114</v>
      </c>
      <c r="K10" s="0" t="n">
        <f aca="false">-K6*K9/100</f>
        <v>-333.156984343101</v>
      </c>
      <c r="L10" s="0" t="n">
        <f aca="false">-L6*L9/100</f>
        <v>-353.146403403687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69702.4108</v>
      </c>
      <c r="D11" s="0" t="n">
        <f aca="false">D8+D10+D24</f>
        <v>75278.603664</v>
      </c>
      <c r="E11" s="0" t="n">
        <f aca="false">E8+E10+E24</f>
        <v>80670.47795136</v>
      </c>
      <c r="F11" s="0" t="n">
        <f aca="false">F8+F10+F24</f>
        <v>86067.272136384</v>
      </c>
      <c r="G11" s="0" t="n">
        <f aca="false">G8+G10+G24</f>
        <v>91366.8474758055</v>
      </c>
      <c r="H11" s="0" t="n">
        <f aca="false">H8+H10+H24</f>
        <v>96986.6337292776</v>
      </c>
      <c r="I11" s="0" t="n">
        <f aca="false">I8+I10+I24</f>
        <v>102464.438802307</v>
      </c>
      <c r="J11" s="0" t="n">
        <f aca="false">J8+J10+J24</f>
        <v>108244.590007324</v>
      </c>
      <c r="K11" s="0" t="n">
        <f aca="false">K8+K10+K24</f>
        <v>113839.741550038</v>
      </c>
      <c r="L11" s="0" t="n">
        <f aca="false">L8+L10+L24</f>
        <v>120175.721078275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69702.4108</v>
      </c>
      <c r="D13" s="0" t="n">
        <f aca="false">D11+D12</f>
        <v>75278.603664</v>
      </c>
      <c r="E13" s="0" t="n">
        <f aca="false">E11+E12</f>
        <v>80670.47795136</v>
      </c>
      <c r="F13" s="0" t="n">
        <f aca="false">F11+F12</f>
        <v>86067.272136384</v>
      </c>
      <c r="G13" s="0" t="n">
        <f aca="false">G11+G12</f>
        <v>91366.8474758055</v>
      </c>
      <c r="H13" s="0" t="n">
        <f aca="false">H11+H12</f>
        <v>96986.6337292776</v>
      </c>
      <c r="I13" s="0" t="n">
        <f aca="false">I11+I12</f>
        <v>102464.438802307</v>
      </c>
      <c r="J13" s="0" t="n">
        <f aca="false">J11+J12</f>
        <v>108244.590007324</v>
      </c>
      <c r="K13" s="0" t="n">
        <f aca="false">K11+K12</f>
        <v>113839.741550038</v>
      </c>
      <c r="L13" s="0" t="n">
        <f aca="false">L11+L12</f>
        <v>120175.721078275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50185.735776</v>
      </c>
      <c r="D15" s="0" t="n">
        <f aca="false">D13-MAX(0,D13)*D14/100</f>
        <v>54200.59463808</v>
      </c>
      <c r="E15" s="0" t="n">
        <f aca="false">E13-MAX(0,E13)*E14/100</f>
        <v>58082.7441249792</v>
      </c>
      <c r="F15" s="0" t="n">
        <f aca="false">F13-MAX(0,F13)*F14/100</f>
        <v>61968.4359381965</v>
      </c>
      <c r="G15" s="0" t="n">
        <f aca="false">G13-MAX(0,G13)*G14/100</f>
        <v>65784.1301825799</v>
      </c>
      <c r="H15" s="0" t="n">
        <f aca="false">H13-MAX(0,H13)*H14/100</f>
        <v>69830.3762850799</v>
      </c>
      <c r="I15" s="0" t="n">
        <f aca="false">I13-MAX(0,I13)*I14/100</f>
        <v>73774.3959376612</v>
      </c>
      <c r="J15" s="0" t="n">
        <f aca="false">J13-MAX(0,J13)*J14/100</f>
        <v>77936.1048052736</v>
      </c>
      <c r="K15" s="0" t="n">
        <f aca="false">K13-MAX(0,K13)*K14/100</f>
        <v>81964.6139160271</v>
      </c>
      <c r="L15" s="0" t="n">
        <f aca="false">L13-MAX(0,L13)*L14/100</f>
        <v>86526.5191763578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-17526.9424</v>
      </c>
      <c r="D17" s="4" t="n">
        <f aca="false">-D6*Assumptions!D32/100</f>
        <v>-18032.67576</v>
      </c>
      <c r="E17" s="4" t="n">
        <f aca="false">-E6*Assumptions!E32/100</f>
        <v>-18417.09488256</v>
      </c>
      <c r="F17" s="4" t="n">
        <f aca="false">-F6*Assumptions!F32/100</f>
        <v>-18660.817440144</v>
      </c>
      <c r="G17" s="4" t="n">
        <f aca="false">-G6*Assumptions!G32/100</f>
        <v>-18723.988300739</v>
      </c>
      <c r="H17" s="4" t="n">
        <f aca="false">-H6*Assumptions!H32/100</f>
        <v>-20034.6674817908</v>
      </c>
      <c r="I17" s="4" t="n">
        <f aca="false">-I6*Assumptions!I32/100</f>
        <v>-19890.8501592037</v>
      </c>
      <c r="J17" s="4" t="n">
        <f aca="false">-J6*Assumptions!J32/100</f>
        <v>-21183.7554195519</v>
      </c>
      <c r="K17" s="4" t="n">
        <f aca="false">-K6*Assumptions!K32/100</f>
        <v>-20822.3115214438</v>
      </c>
      <c r="L17" s="4" t="n">
        <f aca="false">-L6*Assumptions!L32/100</f>
        <v>-22071.6502127304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32658.793376</v>
      </c>
      <c r="D19" s="0" t="n">
        <f aca="false">D15+D16+D17+D18</f>
        <v>36167.91887808</v>
      </c>
      <c r="E19" s="0" t="n">
        <f aca="false">E15+E16+E17+E18</f>
        <v>39665.6492424192</v>
      </c>
      <c r="F19" s="0" t="n">
        <f aca="false">F15+F16+F17+F18</f>
        <v>43307.6184980525</v>
      </c>
      <c r="G19" s="0" t="n">
        <f aca="false">G15+G16+G17+G18</f>
        <v>47060.1418818409</v>
      </c>
      <c r="H19" s="0" t="n">
        <f aca="false">H15+H16+H17+H18</f>
        <v>49795.7088032891</v>
      </c>
      <c r="I19" s="0" t="n">
        <f aca="false">I15+I16+I17+I18</f>
        <v>53883.5457784575</v>
      </c>
      <c r="J19" s="0" t="n">
        <f aca="false">J15+J16+J17+J18</f>
        <v>56752.3493857217</v>
      </c>
      <c r="K19" s="0" t="n">
        <f aca="false">K15+K16+K17+K18</f>
        <v>61142.3023945833</v>
      </c>
      <c r="L19" s="0" t="n">
        <f aca="false">L15+L16+L17+L18</f>
        <v>64454.8689636273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28398.9507617391</v>
      </c>
      <c r="D21" s="0" t="n">
        <f aca="false">D19*D20</f>
        <v>27348.1428189641</v>
      </c>
      <c r="E21" s="0" t="n">
        <f aca="false">E19*E20</f>
        <v>26080.8082468442</v>
      </c>
      <c r="F21" s="0" t="n">
        <f aca="false">F19*F20</f>
        <v>24761.2714351664</v>
      </c>
      <c r="G21" s="0" t="n">
        <f aca="false">G19*G20</f>
        <v>23397.207703488</v>
      </c>
      <c r="H21" s="0" t="n">
        <f aca="false">H19*H20</f>
        <v>21528.0590736379</v>
      </c>
      <c r="I21" s="0" t="n">
        <f aca="false">I19*I20</f>
        <v>20256.8207005138</v>
      </c>
      <c r="J21" s="0" t="n">
        <f aca="false">J19*J20</f>
        <v>18552.4436841299</v>
      </c>
      <c r="K21" s="0" t="n">
        <f aca="false">K19*K20</f>
        <v>17380.4583563722</v>
      </c>
      <c r="L21" s="0" t="n">
        <f aca="false">L19*L20</f>
        <v>15932.2578428976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15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6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223636.420623753</v>
      </c>
    </row>
    <row r="31" customFormat="false" ht="15" hidden="false" customHeight="false" outlineLevel="0" collapsed="false">
      <c r="A31" s="0" t="s">
        <v>130</v>
      </c>
      <c r="B31" s="0" t="n">
        <f aca="false">L19</f>
        <v>64454.8689636273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759135.123349389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773458.427563528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759135.123349389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187646.592371905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411283.012995658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411283.012995658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7.06579493176921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-0.177439472436646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1256.14947784006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1028.11037044371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7.10503825363968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18.5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546577.28881156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5.04130530904629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10</v>
      </c>
      <c r="F5" s="4" t="n">
        <f aca="false">Assumptions!F41</f>
        <v>9</v>
      </c>
      <c r="G5" s="4" t="n">
        <f aca="false">Assumptions!G41</f>
        <v>8.5</v>
      </c>
      <c r="H5" s="4" t="n">
        <f aca="false">Assumptions!H41</f>
        <v>8</v>
      </c>
      <c r="I5" s="4" t="n">
        <f aca="false">Assumptions!I41</f>
        <v>7.5</v>
      </c>
      <c r="J5" s="4" t="n">
        <f aca="false">Assumptions!J41</f>
        <v>7</v>
      </c>
      <c r="K5" s="4" t="n">
        <f aca="false">Assumptions!K41</f>
        <v>6.5</v>
      </c>
      <c r="L5" s="4" t="n">
        <f aca="false">Assumptions!L41</f>
        <v>6.5</v>
      </c>
    </row>
    <row r="6" customFormat="false" ht="15" hidden="false" customHeight="false" outlineLevel="0" collapsed="false">
      <c r="A6" s="0" t="s">
        <v>38</v>
      </c>
      <c r="B6" s="3" t="n">
        <v>180400</v>
      </c>
      <c r="C6" s="0" t="n">
        <f aca="false">B6*(1+C5/100)</f>
        <v>196636</v>
      </c>
      <c r="D6" s="0" t="n">
        <f aca="false">C6*(1+D5/100)</f>
        <v>216299.6</v>
      </c>
      <c r="E6" s="0" t="n">
        <f aca="false">D6*(1+E5/100)</f>
        <v>237929.56</v>
      </c>
      <c r="F6" s="0" t="n">
        <f aca="false">E6*(1+F5/100)</f>
        <v>259343.2204</v>
      </c>
      <c r="G6" s="0" t="n">
        <f aca="false">F6*(1+G5/100)</f>
        <v>281387.394134</v>
      </c>
      <c r="H6" s="0" t="n">
        <f aca="false">G6*(1+H5/100)</f>
        <v>303898.38566472</v>
      </c>
      <c r="I6" s="0" t="n">
        <f aca="false">H6*(1+I5/100)</f>
        <v>326690.764589574</v>
      </c>
      <c r="J6" s="0" t="n">
        <f aca="false">I6*(1+J5/100)</f>
        <v>349559.118110844</v>
      </c>
      <c r="K6" s="0" t="n">
        <f aca="false">J6*(1+K5/100)</f>
        <v>372280.460788049</v>
      </c>
      <c r="L6" s="0" t="n">
        <f aca="false">K6*(1+L5/100)</f>
        <v>396478.690739272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36.91</v>
      </c>
      <c r="D7" s="4" t="n">
        <f aca="false">Assumptions!D42</f>
        <v>37.6</v>
      </c>
      <c r="E7" s="4" t="n">
        <f aca="false">Assumptions!E42</f>
        <v>38.29</v>
      </c>
      <c r="F7" s="4" t="n">
        <f aca="false">Assumptions!F42</f>
        <v>38.71</v>
      </c>
      <c r="G7" s="4" t="n">
        <f aca="false">Assumptions!G42</f>
        <v>38.99</v>
      </c>
      <c r="H7" s="4" t="n">
        <f aca="false">Assumptions!H42</f>
        <v>38.99</v>
      </c>
      <c r="I7" s="4" t="n">
        <f aca="false">Assumptions!I42</f>
        <v>38.99</v>
      </c>
      <c r="J7" s="4" t="n">
        <f aca="false">Assumptions!J42</f>
        <v>38.99</v>
      </c>
      <c r="K7" s="4" t="n">
        <f aca="false">Assumptions!K42</f>
        <v>38.99</v>
      </c>
      <c r="L7" s="4" t="n">
        <f aca="false">Assumptions!L42</f>
        <v>38.99</v>
      </c>
    </row>
    <row r="8" customFormat="false" ht="15" hidden="false" customHeight="false" outlineLevel="0" collapsed="false">
      <c r="A8" s="0" t="s">
        <v>44</v>
      </c>
      <c r="C8" s="0" t="n">
        <f aca="false">C6*C7/100</f>
        <v>72578.3476</v>
      </c>
      <c r="D8" s="0" t="n">
        <f aca="false">D6*D7/100</f>
        <v>81328.6496</v>
      </c>
      <c r="E8" s="0" t="n">
        <f aca="false">E6*E7/100</f>
        <v>91103.228524</v>
      </c>
      <c r="F8" s="0" t="n">
        <f aca="false">F6*F7/100</f>
        <v>100391.76061684</v>
      </c>
      <c r="G8" s="0" t="n">
        <f aca="false">G6*G7/100</f>
        <v>109712.944972847</v>
      </c>
      <c r="H8" s="0" t="n">
        <f aca="false">H6*H7/100</f>
        <v>118489.980570674</v>
      </c>
      <c r="I8" s="0" t="n">
        <f aca="false">I6*I7/100</f>
        <v>127376.729113475</v>
      </c>
      <c r="J8" s="0" t="n">
        <f aca="false">J6*J7/100</f>
        <v>136293.100151418</v>
      </c>
      <c r="K8" s="0" t="n">
        <f aca="false">K6*K7/100</f>
        <v>145152.15166126</v>
      </c>
      <c r="L8" s="0" t="n">
        <f aca="false">L6*L7/100</f>
        <v>154587.041519242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0.1</v>
      </c>
      <c r="D9" s="4" t="n">
        <f aca="false">Assumptions!D43</f>
        <v>0.1</v>
      </c>
      <c r="E9" s="4" t="n">
        <f aca="false">Assumptions!E43</f>
        <v>0.1</v>
      </c>
      <c r="F9" s="4" t="n">
        <f aca="false">Assumptions!F43</f>
        <v>0.1</v>
      </c>
      <c r="G9" s="4" t="n">
        <f aca="false">Assumptions!G43</f>
        <v>0.1</v>
      </c>
      <c r="H9" s="4" t="n">
        <f aca="false">Assumptions!H43</f>
        <v>0.1</v>
      </c>
      <c r="I9" s="4" t="n">
        <f aca="false">Assumptions!I43</f>
        <v>0.1</v>
      </c>
      <c r="J9" s="4" t="n">
        <f aca="false">Assumptions!J43</f>
        <v>0.1</v>
      </c>
      <c r="K9" s="4" t="n">
        <f aca="false">Assumptions!K43</f>
        <v>0.1</v>
      </c>
      <c r="L9" s="4" t="n">
        <f aca="false">Assumptions!L43</f>
        <v>0.1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-196.636</v>
      </c>
      <c r="D10" s="0" t="n">
        <f aca="false">-D6*D9/100</f>
        <v>-216.2996</v>
      </c>
      <c r="E10" s="0" t="n">
        <f aca="false">-E6*E9/100</f>
        <v>-237.92956</v>
      </c>
      <c r="F10" s="0" t="n">
        <f aca="false">-F6*F9/100</f>
        <v>-259.3432204</v>
      </c>
      <c r="G10" s="0" t="n">
        <f aca="false">-G6*G9/100</f>
        <v>-281.387394134</v>
      </c>
      <c r="H10" s="0" t="n">
        <f aca="false">-H6*H9/100</f>
        <v>-303.89838566472</v>
      </c>
      <c r="I10" s="0" t="n">
        <f aca="false">-I6*I9/100</f>
        <v>-326.690764589574</v>
      </c>
      <c r="J10" s="0" t="n">
        <f aca="false">-J6*J9/100</f>
        <v>-349.559118110844</v>
      </c>
      <c r="K10" s="0" t="n">
        <f aca="false">-K6*K9/100</f>
        <v>-372.280460788049</v>
      </c>
      <c r="L10" s="0" t="n">
        <f aca="false">-L6*L9/100</f>
        <v>-396.478690739272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72381.7116</v>
      </c>
      <c r="D11" s="0" t="n">
        <f aca="false">D8+D10+D24</f>
        <v>81112.35</v>
      </c>
      <c r="E11" s="0" t="n">
        <f aca="false">E8+E10+E24</f>
        <v>90865.298964</v>
      </c>
      <c r="F11" s="0" t="n">
        <f aca="false">F8+F10+F24</f>
        <v>100132.41739644</v>
      </c>
      <c r="G11" s="0" t="n">
        <f aca="false">G8+G10+G24</f>
        <v>109431.557578713</v>
      </c>
      <c r="H11" s="0" t="n">
        <f aca="false">H8+H10+H24</f>
        <v>118186.08218501</v>
      </c>
      <c r="I11" s="0" t="n">
        <f aca="false">I8+I10+I24</f>
        <v>127050.038348885</v>
      </c>
      <c r="J11" s="0" t="n">
        <f aca="false">J8+J10+J24</f>
        <v>135943.541033307</v>
      </c>
      <c r="K11" s="0" t="n">
        <f aca="false">K8+K10+K24</f>
        <v>144779.871200472</v>
      </c>
      <c r="L11" s="0" t="n">
        <f aca="false">L8+L10+L24</f>
        <v>154190.562828503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72381.7116</v>
      </c>
      <c r="D13" s="0" t="n">
        <f aca="false">D11+D12</f>
        <v>81112.35</v>
      </c>
      <c r="E13" s="0" t="n">
        <f aca="false">E11+E12</f>
        <v>90865.298964</v>
      </c>
      <c r="F13" s="0" t="n">
        <f aca="false">F11+F12</f>
        <v>100132.41739644</v>
      </c>
      <c r="G13" s="0" t="n">
        <f aca="false">G11+G12</f>
        <v>109431.557578713</v>
      </c>
      <c r="H13" s="0" t="n">
        <f aca="false">H11+H12</f>
        <v>118186.08218501</v>
      </c>
      <c r="I13" s="0" t="n">
        <f aca="false">I11+I12</f>
        <v>127050.038348885</v>
      </c>
      <c r="J13" s="0" t="n">
        <f aca="false">J11+J12</f>
        <v>135943.541033307</v>
      </c>
      <c r="K13" s="0" t="n">
        <f aca="false">K11+K12</f>
        <v>144779.871200472</v>
      </c>
      <c r="L13" s="0" t="n">
        <f aca="false">L11+L12</f>
        <v>154190.562828503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28</v>
      </c>
      <c r="D14" s="4" t="n">
        <f aca="false">Assumptions!D47</f>
        <v>28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52114.832352</v>
      </c>
      <c r="D15" s="0" t="n">
        <f aca="false">D13-MAX(0,D13)*D14/100</f>
        <v>58400.892</v>
      </c>
      <c r="E15" s="0" t="n">
        <f aca="false">E13-MAX(0,E13)*E14/100</f>
        <v>65423.01525408</v>
      </c>
      <c r="F15" s="0" t="n">
        <f aca="false">F13-MAX(0,F13)*F14/100</f>
        <v>72095.3405254368</v>
      </c>
      <c r="G15" s="0" t="n">
        <f aca="false">G13-MAX(0,G13)*G14/100</f>
        <v>78790.7214566731</v>
      </c>
      <c r="H15" s="0" t="n">
        <f aca="false">H13-MAX(0,H13)*H14/100</f>
        <v>85093.9791732069</v>
      </c>
      <c r="I15" s="0" t="n">
        <f aca="false">I13-MAX(0,I13)*I14/100</f>
        <v>91476.0276111975</v>
      </c>
      <c r="J15" s="0" t="n">
        <f aca="false">J13-MAX(0,J13)*J14/100</f>
        <v>97879.3495439813</v>
      </c>
      <c r="K15" s="0" t="n">
        <f aca="false">K13-MAX(0,K13)*K14/100</f>
        <v>104241.50726434</v>
      </c>
      <c r="L15" s="0" t="n">
        <f aca="false">L13-MAX(0,L13)*L14/100</f>
        <v>111017.205236522</v>
      </c>
    </row>
    <row r="16" customFormat="false" ht="15" hidden="false" customHeight="false" outlineLevel="0" collapsed="false">
      <c r="A16" s="0" t="s">
        <v>121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-19466.964</v>
      </c>
      <c r="D17" s="4" t="n">
        <f aca="false">-D6*Assumptions!D46/100</f>
        <v>-21413.6604</v>
      </c>
      <c r="E17" s="4" t="n">
        <f aca="false">-E6*Assumptions!E46/100</f>
        <v>-23555.02644</v>
      </c>
      <c r="F17" s="4" t="n">
        <f aca="false">-F6*Assumptions!F46/100</f>
        <v>-23340.889836</v>
      </c>
      <c r="G17" s="4" t="n">
        <f aca="false">-G6*Assumptions!G46/100</f>
        <v>-24002.3447196302</v>
      </c>
      <c r="H17" s="4" t="n">
        <f aca="false">-H6*Assumptions!H46/100</f>
        <v>-24524.5997231429</v>
      </c>
      <c r="I17" s="4" t="n">
        <f aca="false">-I6*Assumptions!I46/100</f>
        <v>-24828.4981088076</v>
      </c>
      <c r="J17" s="4" t="n">
        <f aca="false">-J6*Assumptions!J46/100</f>
        <v>-24923.5651213032</v>
      </c>
      <c r="K17" s="4" t="n">
        <f aca="false">-K6*Assumptions!K46/100</f>
        <v>-24756.6506424053</v>
      </c>
      <c r="L17" s="4" t="n">
        <f aca="false">-L6*Assumptions!L46/100</f>
        <v>-26365.8329341616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32647.868352</v>
      </c>
      <c r="D19" s="0" t="n">
        <f aca="false">D15+D16+D17+D18</f>
        <v>36987.2316</v>
      </c>
      <c r="E19" s="0" t="n">
        <f aca="false">E15+E16+E17+E18</f>
        <v>41867.98881408</v>
      </c>
      <c r="F19" s="0" t="n">
        <f aca="false">F15+F16+F17+F18</f>
        <v>48754.4506894368</v>
      </c>
      <c r="G19" s="0" t="n">
        <f aca="false">G15+G16+G17+G18</f>
        <v>54788.3767370429</v>
      </c>
      <c r="H19" s="0" t="n">
        <f aca="false">H15+H16+H17+H18</f>
        <v>60569.379450064</v>
      </c>
      <c r="I19" s="0" t="n">
        <f aca="false">I15+I16+I17+I18</f>
        <v>66647.5295023898</v>
      </c>
      <c r="J19" s="0" t="n">
        <f aca="false">J15+J16+J17+J18</f>
        <v>72955.7844226781</v>
      </c>
      <c r="K19" s="0" t="n">
        <f aca="false">K15+K16+K17+K18</f>
        <v>79484.8566219348</v>
      </c>
      <c r="L19" s="0" t="n">
        <f aca="false">L15+L16+L17+L18</f>
        <v>84651.3723023605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28389.4507408696</v>
      </c>
      <c r="D21" s="0" t="n">
        <f aca="false">D19*D20</f>
        <v>27967.6609451796</v>
      </c>
      <c r="E21" s="0" t="n">
        <f aca="false">E19*E20</f>
        <v>27528.8822645385</v>
      </c>
      <c r="F21" s="0" t="n">
        <f aca="false">F19*F20</f>
        <v>27875.515418791</v>
      </c>
      <c r="G21" s="0" t="n">
        <f aca="false">G19*G20</f>
        <v>27239.5062784158</v>
      </c>
      <c r="H21" s="0" t="n">
        <f aca="false">H19*H20</f>
        <v>26185.814203501</v>
      </c>
      <c r="I21" s="0" t="n">
        <f aca="false">I19*I20</f>
        <v>25055.2749593154</v>
      </c>
      <c r="J21" s="0" t="n">
        <f aca="false">J19*J20</f>
        <v>23849.3753401121</v>
      </c>
      <c r="K21" s="0" t="n">
        <f aca="false">K19*K20</f>
        <v>22594.5570640163</v>
      </c>
      <c r="L21" s="0" t="n">
        <f aca="false">L19*L20</f>
        <v>20924.5245853716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15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6.5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257610.561800111</v>
      </c>
    </row>
    <row r="31" customFormat="false" ht="15" hidden="false" customHeight="false" outlineLevel="0" collapsed="false">
      <c r="A31" s="0" t="s">
        <v>130</v>
      </c>
      <c r="B31" s="0" t="n">
        <f aca="false">L19</f>
        <v>84651.3723023605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1060631.90002369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1100467.83993069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1060631.90002369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262171.984510833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519782.546310944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519782.546310944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8.92980445410405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0.0395581436675256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1351.46266435045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1227.92581313503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8.97411805193181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18.5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751280.92918345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6.1595134820677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5.31403433238401</v>
      </c>
      <c r="C4" s="0" t="n">
        <f aca="false">B4/Assumptions!$B$2-1</f>
        <v>-0.381369693552502</v>
      </c>
      <c r="D4" s="4" t="n">
        <f aca="false">Assumptions!$B$24</f>
        <v>0.25</v>
      </c>
      <c r="E4" s="4" t="n">
        <f aca="false">DCF_Bear!$B$43</f>
        <v>5.34627600429477</v>
      </c>
      <c r="F4" s="4" t="n">
        <f aca="false">DCF_Bear!$B$47</f>
        <v>3.94935777117298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7.06579493176921</v>
      </c>
      <c r="C5" s="0" t="n">
        <f aca="false">B5/Assumptions!$B$2-1</f>
        <v>-0.177439472436646</v>
      </c>
      <c r="D5" s="4" t="n">
        <f aca="false">Assumptions!$B$38</f>
        <v>0.5</v>
      </c>
      <c r="E5" s="4" t="n">
        <f aca="false">DCF_Base!$B$43</f>
        <v>7.10503825363968</v>
      </c>
      <c r="F5" s="4" t="n">
        <f aca="false">DCF_Base!$B$47</f>
        <v>5.04130530904629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8.92980445410405</v>
      </c>
      <c r="C6" s="0" t="n">
        <f aca="false">B6/Assumptions!$B$2-1</f>
        <v>0.0395581436675256</v>
      </c>
      <c r="D6" s="4" t="n">
        <f aca="false">Assumptions!$B$52</f>
        <v>0.25</v>
      </c>
      <c r="E6" s="4" t="n">
        <f aca="false">DCF_Bull!$B$43</f>
        <v>8.97411805193181</v>
      </c>
      <c r="F6" s="4" t="n">
        <f aca="false">DCF_Bull!$B$47</f>
        <v>6.1595134820677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7.09385716250662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7.13261764087649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-0.210906817436498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5.04787046783332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10.6866492298625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9.95400960413803</v>
      </c>
      <c r="C16" s="3" t="n">
        <v>10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9.28471283363275</v>
      </c>
      <c r="C17" s="3" t="n">
        <v>11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8.67256768607237</v>
      </c>
      <c r="C18" s="3" t="n">
        <v>12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7.06579493176921</v>
      </c>
      <c r="C19" s="3" t="n">
        <v>15</v>
      </c>
    </row>
    <row r="21" customFormat="false" ht="15" hidden="false" customHeight="false" outlineLevel="0" collapsed="false">
      <c r="A21" s="2" t="s">
        <v>166</v>
      </c>
    </row>
    <row r="22" customFormat="false" ht="15" hidden="false" customHeight="false" outlineLevel="0" collapsed="false">
      <c r="B22" s="3" t="n">
        <v>5</v>
      </c>
      <c r="C22" s="3" t="n">
        <v>5.5</v>
      </c>
      <c r="D22" s="3" t="n">
        <v>6</v>
      </c>
      <c r="E22" s="3" t="n">
        <v>6.5</v>
      </c>
      <c r="F22" s="3" t="n">
        <v>7</v>
      </c>
    </row>
    <row r="23" customFormat="false" ht="15" hidden="false" customHeight="false" outlineLevel="0" collapsed="false">
      <c r="A23" s="3" t="n">
        <v>13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8.11204561925251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8.11204561925251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8.11204561925251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8.11204561925251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8.11204561925251</v>
      </c>
    </row>
    <row r="24" customFormat="false" ht="15" hidden="false" customHeight="false" outlineLevel="0" collapsed="false">
      <c r="A24" s="3" t="n">
        <v>14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7.49863937310783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7.59820426308973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7.59820426308973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7.59820426308973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7.59820426308973</v>
      </c>
    </row>
    <row r="25" customFormat="false" ht="15" hidden="false" customHeight="false" outlineLevel="0" collapsed="false">
      <c r="A25" s="3" t="n">
        <v>15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6.71604880498757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6.88171802293677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7.06579493176921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7.12662034512254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7.12662034512254</v>
      </c>
    </row>
    <row r="26" customFormat="false" ht="15" hidden="false" customHeight="false" outlineLevel="0" collapsed="false">
      <c r="A26" s="3" t="n">
        <v>16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6.07720817429641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6.20325795758166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6.34191271919543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6.49516271887381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6.66544049629424</v>
      </c>
    </row>
    <row r="27" customFormat="false" ht="15" hidden="false" customHeight="false" outlineLevel="0" collapsed="false">
      <c r="A27" s="3" t="n">
        <v>17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5.54609339575043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5.64374832022893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5.75028096511457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5.86695957617979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5.99530604835153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2026-10-03T23:02:25Z</dcterms:created>
  <dc:creator>openpyxl</dc:creator>
  <dc:description/>
  <dc:language>en-NZ</dc:language>
  <cp:lastModifiedBy/>
  <dcterms:modified xsi:type="dcterms:W3CDTF">2026-10-03T23:02:25Z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