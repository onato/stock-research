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<sst xmlns="http://schemas.openxmlformats.org/spreadsheetml/2006/main" count="390" uniqueCount="176">
  <si>
    <t xml:space="preserve">Ticker</t>
  </si>
  <si>
    <t xml:space="preserve">J</t>
  </si>
  <si>
    <t xml:space="preserve">Company</t>
  </si>
  <si>
    <t xml:space="preserve">Jacobs Solutions Inc.</t>
  </si>
  <si>
    <t xml:space="preserve">Valuation date</t>
  </si>
  <si>
    <t xml:space="preserve">2026-09-29</t>
  </si>
  <si>
    <t xml:space="preserve">Current price</t>
  </si>
  <si>
    <t xml:space="preserve">Price as of</t>
  </si>
  <si>
    <t xml:space="preserve">2026-09-28T20:05:36Z regular close</t>
  </si>
  <si>
    <t xml:space="preserve">Balance sheet date</t>
  </si>
  <si>
    <t xml:space="preserve">2026-06-26</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</si>
  <si>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</si>
  <si>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</si>
  <si>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</si>
  <si>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</si>
  <si>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</si>
  <si>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</si>
  <si>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</si>
  <si>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</si>
  <si>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</si>
  <si>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</si>
  <si>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2026-09-28T22:10:32Z</t>
  </si>
  <si>
    <t xml:space="preserve">Drivers file</t>
  </si>
  <si>
    <t xml:space="preserve">J_Drivers.json</t>
  </si>
  <si>
    <t xml:space="preserve">Convention</t>
  </si>
  <si>
    <t xml:space="preserve">Percents stored as percents; formulas divide by 100. Blue = input, green = link, black = formula.</t>
  </si>
  <si>
    <t xml:space="preserve">Methodology</t>
  </si>
  <si>
    <t xml:space="preserve">summary: Value Jacobs as an asset-light professional-services compounder on its own adjusted-net-revenue basis, charging SBC in full and holding the share count flat, taxing at the 26% adjusted rate, and haircutting adjusted EBITDA for the restructuring and transaction costs that recur every year. The margin path is anchored to the FY26 guidance and management's FY29 framework but reaches the latter later than management does. Net debt from the PA Consulting buy-in, the deferred PA consideration and the after-tax pension deficit are deducted once. The 15% hurdle entry price is the buy-below figure; the WACC-based intrinsic value is the fair-value figure. SANITY CHECK (2026-09-29): the implied-P/E rule tripped at 77x vs 2x the 10-year average of 33x. That is a denominator artefact, not an overvaluation signal, and no driver was changed. The checker divides by trailing GAAP EPS less SBC/share (FY2025 GAAP EPS $2.39, ~$1.97 after SBC), and FY2025 GAAP EPS carries the Amentum-stake mark-to-market losses and separation costs from the Sep-2024 spin-off; the FY2026 GAAP quarters add the PA Consulting buy-in charges ($237.5M vested subsidiary compensation, $123.9M consideration treated as compensation, a 43% GAAP tax rate in Q3). Jacobs' adjusted EPS was $6.03 in FY2025 and is guided at $7.20-7.30 for FY2026. On the $7.25 midpoint the weighted IV of ~$152 is 21.0x (23.8x after deducting SBC of ~$0.86/share, the checker's basis) and the current price is ~19x; the historical 33x average is itself lifted by two one-off years (FY2018 73x on CH2M acquisition costs and the Tax Act charge, FY2025 66x on the Amentum MTM) and averages 24x without them, so the valuation sits on the historical mean, not at double it. The other rules corroborate: implied EV/EBITDA 22.3x vs a 21.9x average and P/Sales 1.6x vs 1.0x (net-revenue mix and margin higher post-spin), and at the weighted IV the enterprise value is ~14.7x FY2026 guided adjusted EBITDA. The 'growth too high' diagnosis compares an 8% adjusted-net-revenue growth path with a 2% through-cycle gross-revenue CAGR whose FY2020 base still contains the divested Critical Mission Solutions business and whose gross line carries 28-37% zero-margin pass-throughs -- neither the numerator nor the denominator is the series being projected. Step 8c.5 options (mid-cycle FCF, WACC premium, growth cap) do not address the cause: FY0 is guidance not a peak, the WACC is built from current USD rates, and the growth path already decays to 2.5%; an 18x/20x/14x exit-multiple cap is already in place and is non-binding in the base case (Gordon 17.1x FCF, ~10.9x terminal EV/EBITDA). Investment framing: the market is paying roughly base-case fair value (weighted IV ~10% above price); the 15% hurdle entry price is the buy-below level, and the real risk is the AI/data-center capex cycle in the bear path, not the multiple.
key_risks_to_valuation: AI/data-center capex cycle turning before FY28: the bear path removes roughly a third of the base value; Pass-through mix: gross revenue is not the driver -- if pass-through share keeps rising, reported revenue growth will overstate net-revenue growth (already 34% vs 8% in Q3 FY26); Working capital: receivables/contract assets consumed $595M in 9M FY26 (offset by payables); a reversal of the payables build would depress reported FCF for a year; Margin target risk: the 17% pre-SBC terminal margin (adjusted ~16%) is above any year Jacobs has yet delivered; the bear case holds 15%; FY26 Q4 cash flow and Q4 buybacks are not in the June balance sheet -- refresh net debt and share count at the November 10-K
sanity_check_note: SANITY CHECK (2026-09-29): the implied-P/E rule tripped at 77x vs 2x the 10-year average of 33x. That is a denominator artefact, not an overvaluation signal, and no driver was changed. The checker divides by trailing GAAP EPS less SBC/share (FY2025 GAAP EPS $2.39, ~$1.97 after SBC), and FY2025 GAAP EPS carries the Amentum-stake mark-to-market losses and separation costs from the Sep-2024 spin-off; the FY2026 GAAP quarters add the PA Consulting buy-in charges ($237.5M vested subsidiary compensation, $123.9M consideration treated as compensation, a 43% GAAP tax rate in Q3). Jacobs' adjusted EPS was $6.03 in FY2025 and is guided at $7.20-7.30 for FY2026. On the $7.25 midpoint the weighted IV of ~$152 is 21.0x (23.8x after deducting SBC of ~$0.86/share, the checker's basis) and the current price is ~19x; the historical 33x average is itself lifted by two one-off years (FY2018 73x on CH2M acquisition costs and the Tax Act charge, FY2025 66x on the Amentum MTM) and averages 24x without them, so the valuation sits on the historical mean, not at double it. The other rules corroborate: implied EV/EBITDA 22.3x vs a 21.9x average and P/Sales 1.6x vs 1.0x (net-revenue mix and margin higher post-spin), and at the weighted IV the enterprise value is ~14.7x FY2026 guided adjusted EBITDA. The 'growth too high' diagnosis compares an 8% adjusted-net-revenue growth path with a 2% through-cycle gross-revenue CAGR whose FY2020 base still contains the divested Critical Mission Solutions business and whose gross line carries 28-37% zero-margin pass-throughs -- neither the numerator nor the denominator is the series being projected. Step 8c.5 options (mid-cycle FCF, WACC premium, growth cap) do not address the cause: FY0 is guidance not a peak, the WACC is built from current USD rates, and the growth path already decays to 2.5%; an 18x/20x/14x exit-multiple cap is already in place and is non-binding in the base case (Gordon 17.1x FCF, ~10.9x terminal EV/EBITDA). Investment framing: the market is paying roughly base-case fair value (weighted IV ~10% above price); the 15% hurdle entry price is the buy-below level, and the real risk is the AI/data-center capex cycle in the bear path, not the multiple.</t>
  </si>
  <si>
    <t xml:space="preserve">Data sources</t>
  </si>
  <si>
    <t xml:space="preserve">price: Yahoo Finance chart API at inputs.price_as_of (regular close); 52-week range 105.68-168.44
financials: SEC XBRL companyfacts via Metrics.csv (113 periods, FY2007-Q3 FY2026); 10-Q for Q3 FY2026 (filed 2026-08-04, Extracted/J_Quarterly_Q3-2026.txt) for the 2026-06-26 balance sheet, 9M cash flow statement, EPS denominators and PA Consulting transaction note; Q3 FY2026 and Q4 FY2025 earnings releases (8-K Ex-99.1, Extracted/J_Presentation_Q3-2026.txt and J_Presentation_FY2025.txt) for adjusted net revenue, adjusted EBITDA reconciliations, adjusted FCF and FY2026 guidance
qualitative: J_Analysis.json (2026-09-29): segment mix, AI/data-center exposure (11% of net revenue), backlog $28.9B, PA Consulting buy-in terms (~13x EBITDA), bull/bear axes</t>
  </si>
  <si>
    <t xml:space="preserve">Scenario narrative: bear</t>
  </si>
  <si>
    <t xml:space="preserve">An AI-capex pause in FY27-28 plus slower public-sector awards leaves net revenue roughly flat for two years; margins compress ~150bp on utilization and wage inflation and never regain the FY26 level; the stock re-rates to a cyclical E&amp;C multiple. The balance sheet ($2.4B net debt, ~1.7x FY26 adjusted EBITDA, no near-term maturities after the 2026 refinancing) survives this path comfortably; the loss is valuation, not solvency.</t>
  </si>
  <si>
    <t xml:space="preserve">Scenario narrative: base</t>
  </si>
  <si>
    <t xml:space="preserve">Backlog-led growth on the net-revenue base decelerating from 8% to 2.5% over ten years, with the adjusted EBITDA margin reaching ~16% (pre-SBC 17%) by FY31 -- management's FY29 target, two years late -- and staying there. Buybacks keep the diluted count flat at 118.2M; net debt of $2.4B from the PA Consulting buy-in is deducted once. The house value lands close to the current price, i.e. the market is paying roughly base-case fair value.</t>
  </si>
  <si>
    <t xml:space="preserve">Scenario narrative: bull</t>
  </si>
  <si>
    <t xml:space="preserve">The AI-infrastructure, semiconductor and life-sciences capex cycle runs through FY29 with visibility into FY28 already booked, PA Consulting synergies and mix lift margins to 18% pre-SBC, and growth stays at or above 8% for four years. Requires both continued hyperscaler capital spending and successful PA integration -- two independent things going right.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</si>
  <si>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</si>
  <si>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</si>
  <si>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</si>
  <si>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</si>
  <si>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</si>
  <si>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</si>
  <si>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</si>
  <si>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</si>
  <si>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</si>
  <si>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</si>
  <si>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</si>
  <si>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</si>
  <si>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</si>
  <si>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</si>
  <si>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</si>
  <si>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</si>
  <si>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</si>
  <si>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</si>
  <si>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</si>
  <si>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</si>
  <si>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</si>
  <si>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</si>
  <si>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</si>
  <si>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</si>
  <si>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</si>
  <si>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</si>
  <si>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</si>
  <si>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</si>
  <si>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</si>
  <si>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</si>
  <si>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</si>
  <si>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</si>
  <si>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</si>
  <si>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</si>
  <si>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</si>
  <si>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</si>
  <si>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</si>
  <si>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</si>
  <si>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</si>
  <si>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</si>
  <si>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</si>
  <si>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</si>
  <si>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</si>
  <si>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</si>
  <si>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</si>
  <si>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</si>
  <si>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</si>
  <si>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</si>
  <si>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</si>
  <si>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</si>
  <si>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</si>
  <si>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</si>
  <si>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</si>
  <si>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</si>
  <si>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</si>
  <si>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</si>
  <si>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</si>
  <si>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</si>
  <si>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</si>
  <si>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</si>
  <si>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</si>
  <si>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</si>
  <si>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</si>
  <si>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</si>
  <si>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</si>
  <si>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</si>
  <si>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</si>
  <si>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</si>
  <si>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</si>
  <si>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</si>
  <si>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</si>
  <si>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</si>
  <si>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</si>
  <si>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</si>
  <si>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</si>
  <si>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</si>
  <si>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</si>
  <si>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</si>
  <si>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</si>
  <si>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</si>
  <si>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</si>
  <si>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</si>
  <si>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</si>
  <si>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</si>
  <si>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</si>
  <si>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J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</si>
  <si>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</si>
  <si>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</si>
  <si>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</si>
  <si>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</si>
  <si>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</si>
  <si>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</si>
  <si>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</si>
  <si>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</si>
  <si>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</si>
  <si>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</si>
  <si>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</si>
  <si>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</si>
  <si>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</si>
  <si>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</si>
  <si>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</si>
  <si>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</si>
  <si>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</si>
  <si>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</si>
  <si>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</si>
  <si>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</si>
  <si>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</si>
  <si>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</si>
  <si>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</si>
  <si>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</si>
  <si>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</si>
  <si>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</si>
  <si>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</si>
  <si>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</si>
  <si>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</si>
  <si>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</si>
  <si>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J owner-FCF component DCF: base case (millions, USD)</t>
  </si>
  <si>
    <t xml:space="preserve">J owner-FCF component DCF: bull case (millions, USD)</t>
  </si>
  <si>
    <t xml:space="preserve">J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</si>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</sst>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138.37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1423.214</v>
      </c>
      <c r="S2" s="0" t="n">
        <v>434.067</v>
      </c>
      <c r="AA2" s="0" t="s">
        <v>17</v>
      </c>
      <c r="AB2" s="0" t="s">
        <v>14</v>
      </c>
    </row>
    <row r="3" customFormat="false" ht="15" hidden="false" customHeight="false" outlineLevel="0" collapsed="false">
      <c r="A3" s="0" t="s">
        <v>64</v>
      </c>
      <c r="B3" s="0" t="n">
        <v>8473.97</v>
      </c>
      <c r="F3" s="0" t="n">
        <v>441.956</v>
      </c>
      <c r="G3" s="0" t="n">
        <v>5.21545391357298</v>
      </c>
      <c r="H3" s="0" t="n">
        <v>491.668</v>
      </c>
      <c r="I3" s="0" t="n">
        <v>287.13</v>
      </c>
      <c r="J3" s="0" t="n">
        <v>3.38837640444797</v>
      </c>
      <c r="K3" s="0" t="n">
        <v>2.42</v>
      </c>
      <c r="L3" s="0" t="n">
        <v>360.861</v>
      </c>
      <c r="M3" s="0" t="n">
        <v>64.62</v>
      </c>
      <c r="N3" s="0" t="n">
        <v>296.241</v>
      </c>
      <c r="O3" s="0" t="n">
        <v>1843.713</v>
      </c>
      <c r="S3" s="0" t="n">
        <v>613.352</v>
      </c>
      <c r="U3" s="0" t="n">
        <v>17.982</v>
      </c>
      <c r="AA3" s="0" t="s">
        <v>17</v>
      </c>
      <c r="AB3" s="0" t="s">
        <v>14</v>
      </c>
    </row>
    <row r="4" customFormat="false" ht="15" hidden="false" customHeight="false" outlineLevel="0" collapsed="false">
      <c r="A4" s="0" t="s">
        <v>65</v>
      </c>
      <c r="B4" s="0" t="n">
        <v>11252.159</v>
      </c>
      <c r="F4" s="0" t="n">
        <v>643.059</v>
      </c>
      <c r="G4" s="0" t="n">
        <v>5.71498323121812</v>
      </c>
      <c r="H4" s="0" t="n">
        <v>706.784</v>
      </c>
      <c r="I4" s="0" t="n">
        <v>421.299</v>
      </c>
      <c r="J4" s="0" t="n">
        <v>3.74416145381522</v>
      </c>
      <c r="K4" s="0" t="n">
        <v>3.47</v>
      </c>
      <c r="L4" s="0" t="n">
        <v>313.411</v>
      </c>
      <c r="M4" s="0" t="n">
        <v>114.786</v>
      </c>
      <c r="N4" s="0" t="n">
        <v>198.625</v>
      </c>
      <c r="O4" s="0" t="n">
        <v>2251.325</v>
      </c>
      <c r="P4" s="0" t="n">
        <v>4278.238</v>
      </c>
      <c r="R4" s="0" t="n">
        <v>55.675</v>
      </c>
      <c r="S4" s="0" t="n">
        <v>604.42</v>
      </c>
      <c r="T4" s="0" t="n">
        <v>124.357</v>
      </c>
      <c r="U4" s="0" t="n">
        <v>21.289</v>
      </c>
      <c r="AA4" s="0" t="s">
        <v>17</v>
      </c>
      <c r="AB4" s="0" t="s">
        <v>14</v>
      </c>
    </row>
    <row r="5" customFormat="false" ht="15" hidden="false" customHeight="false" outlineLevel="0" collapsed="false">
      <c r="A5" s="0" t="s">
        <v>66</v>
      </c>
      <c r="B5" s="0" t="n">
        <v>11467.376</v>
      </c>
      <c r="F5" s="0" t="n">
        <v>620.573</v>
      </c>
      <c r="G5" s="0" t="n">
        <v>5.41163907069935</v>
      </c>
      <c r="H5" s="0" t="n">
        <v>689.243</v>
      </c>
      <c r="I5" s="0" t="n">
        <v>399.854</v>
      </c>
      <c r="J5" s="0" t="n">
        <v>3.48688313699664</v>
      </c>
      <c r="K5" s="0" t="n">
        <v>3.26</v>
      </c>
      <c r="L5" s="0" t="n">
        <v>531.659</v>
      </c>
      <c r="M5" s="0" t="n">
        <v>55.528</v>
      </c>
      <c r="N5" s="0" t="n">
        <v>476.131</v>
      </c>
      <c r="O5" s="0" t="n">
        <v>2631.475</v>
      </c>
      <c r="P5" s="0" t="n">
        <v>4428.614</v>
      </c>
      <c r="R5" s="0" t="n">
        <v>0.737</v>
      </c>
      <c r="S5" s="0" t="n">
        <v>1033.619</v>
      </c>
      <c r="T5" s="0" t="n">
        <v>124.534</v>
      </c>
      <c r="U5" s="0" t="n">
        <v>24.085</v>
      </c>
      <c r="AA5" s="0" t="s">
        <v>17</v>
      </c>
      <c r="AB5" s="0" t="s">
        <v>14</v>
      </c>
    </row>
    <row r="6" customFormat="false" ht="15" hidden="false" customHeight="false" outlineLevel="0" collapsed="false">
      <c r="A6" s="0" t="s">
        <v>67</v>
      </c>
      <c r="B6" s="0" t="n">
        <v>9915.517</v>
      </c>
      <c r="F6" s="0" t="n">
        <v>400.083</v>
      </c>
      <c r="G6" s="0" t="n">
        <v>4.0349181994242</v>
      </c>
      <c r="H6" s="0" t="n">
        <v>464.53</v>
      </c>
      <c r="I6" s="0" t="n">
        <v>246.287</v>
      </c>
      <c r="J6" s="0" t="n">
        <v>2.48385434667703</v>
      </c>
      <c r="K6" s="0" t="n">
        <v>1.98</v>
      </c>
      <c r="L6" s="0" t="n">
        <v>223.621</v>
      </c>
      <c r="M6" s="0" t="n">
        <v>49.075</v>
      </c>
      <c r="N6" s="0" t="n">
        <v>174.546</v>
      </c>
      <c r="O6" s="0" t="n">
        <v>2864.928</v>
      </c>
      <c r="P6" s="0" t="n">
        <v>4683.917</v>
      </c>
      <c r="R6" s="0" t="n">
        <v>0.509</v>
      </c>
      <c r="S6" s="0" t="n">
        <v>938.842</v>
      </c>
      <c r="T6" s="0" t="n">
        <v>125.909073</v>
      </c>
      <c r="U6" s="0" t="n">
        <v>24.361</v>
      </c>
      <c r="AA6" s="0" t="s">
        <v>17</v>
      </c>
      <c r="AB6" s="0" t="s">
        <v>14</v>
      </c>
    </row>
    <row r="7" customFormat="false" ht="15" hidden="false" customHeight="false" outlineLevel="0" collapsed="false">
      <c r="A7" s="0" t="s">
        <v>68</v>
      </c>
      <c r="B7" s="0" t="n">
        <v>10381.664</v>
      </c>
      <c r="F7" s="0" t="n">
        <v>518.918</v>
      </c>
      <c r="G7" s="0" t="n">
        <v>4.9984087329353</v>
      </c>
      <c r="H7" s="0" t="n">
        <v>576.538</v>
      </c>
      <c r="I7" s="0" t="n">
        <v>335.221</v>
      </c>
      <c r="J7" s="0" t="n">
        <v>3.22897177176992</v>
      </c>
      <c r="K7" s="0" t="n">
        <v>2.63</v>
      </c>
      <c r="L7" s="0" t="n">
        <v>236.49</v>
      </c>
      <c r="O7" s="0" t="n">
        <v>3323.385</v>
      </c>
      <c r="P7" s="0" t="n">
        <v>6199.226</v>
      </c>
      <c r="R7" s="0" t="n">
        <v>2.042</v>
      </c>
      <c r="S7" s="0" t="n">
        <v>905.633</v>
      </c>
      <c r="T7" s="0" t="n">
        <v>127.784884</v>
      </c>
      <c r="U7" s="0" t="n">
        <v>29.084</v>
      </c>
      <c r="AA7" s="0" t="s">
        <v>17</v>
      </c>
      <c r="AB7" s="0" t="s">
        <v>14</v>
      </c>
    </row>
    <row r="8" customFormat="false" ht="15" hidden="false" customHeight="false" outlineLevel="0" collapsed="false">
      <c r="A8" s="0" t="s">
        <v>69</v>
      </c>
      <c r="B8" s="0" t="n">
        <v>10893.778</v>
      </c>
      <c r="F8" s="0" t="n">
        <v>596.073</v>
      </c>
      <c r="G8" s="0" t="n">
        <v>5.47168301024677</v>
      </c>
      <c r="H8" s="0" t="n">
        <v>654.963</v>
      </c>
      <c r="I8" s="0" t="n">
        <v>390.954</v>
      </c>
      <c r="J8" s="0" t="n">
        <v>3.58878251420214</v>
      </c>
      <c r="K8" s="0" t="n">
        <v>2.97</v>
      </c>
      <c r="L8" s="0" t="n">
        <v>299.805</v>
      </c>
      <c r="O8" s="0" t="n">
        <v>3758.889</v>
      </c>
      <c r="P8" s="0" t="n">
        <v>6839.433</v>
      </c>
      <c r="R8" s="0" t="n">
        <v>528.26</v>
      </c>
      <c r="S8" s="0" t="n">
        <v>1032.457</v>
      </c>
      <c r="T8" s="0" t="n">
        <v>129.935881</v>
      </c>
      <c r="U8" s="0" t="n">
        <v>32.442</v>
      </c>
      <c r="AA8" s="0" t="s">
        <v>17</v>
      </c>
      <c r="AB8" s="0" t="s">
        <v>14</v>
      </c>
    </row>
    <row r="9" customFormat="false" ht="15" hidden="false" customHeight="false" outlineLevel="0" collapsed="false">
      <c r="A9" s="0" t="s">
        <v>70</v>
      </c>
      <c r="B9" s="0" t="n">
        <v>11818.376</v>
      </c>
      <c r="F9" s="0" t="n">
        <v>668.979</v>
      </c>
      <c r="G9" s="0" t="n">
        <v>5.66049853211643</v>
      </c>
      <c r="H9" s="0" t="n">
        <v>738.868</v>
      </c>
      <c r="I9" s="0" t="n">
        <v>440.182</v>
      </c>
      <c r="J9" s="0" t="n">
        <v>3.72455572576131</v>
      </c>
      <c r="K9" s="0" t="n">
        <v>3.27</v>
      </c>
      <c r="L9" s="0" t="n">
        <v>448.516</v>
      </c>
      <c r="O9" s="0" t="n">
        <v>4248.335</v>
      </c>
      <c r="P9" s="0" t="n">
        <v>7274.144</v>
      </c>
      <c r="R9" s="0" t="n">
        <v>415.086</v>
      </c>
      <c r="S9" s="0" t="n">
        <v>1256.405</v>
      </c>
      <c r="T9" s="0" t="n">
        <v>131.639196</v>
      </c>
      <c r="U9" s="0" t="n">
        <v>39.518</v>
      </c>
      <c r="AA9" s="0" t="s">
        <v>17</v>
      </c>
      <c r="AB9" s="0" t="s">
        <v>14</v>
      </c>
    </row>
    <row r="10" customFormat="false" ht="15" hidden="false" customHeight="false" outlineLevel="0" collapsed="false">
      <c r="A10" s="0" t="s">
        <v>71</v>
      </c>
      <c r="B10" s="0" t="n">
        <v>12695.157</v>
      </c>
      <c r="F10" s="0" t="n">
        <v>528.068</v>
      </c>
      <c r="G10" s="0" t="n">
        <v>4.15960196474924</v>
      </c>
      <c r="H10" s="0" t="n">
        <v>626.66</v>
      </c>
      <c r="I10" s="0" t="n">
        <v>352.112</v>
      </c>
      <c r="J10" s="0" t="n">
        <v>2.77359311113679</v>
      </c>
      <c r="K10" s="0" t="n">
        <v>2.51</v>
      </c>
      <c r="L10" s="0" t="n">
        <v>721.716</v>
      </c>
      <c r="M10" s="0" t="n">
        <v>132.146</v>
      </c>
      <c r="N10" s="0" t="n">
        <v>589.57</v>
      </c>
      <c r="O10" s="0" t="n">
        <v>4505.66</v>
      </c>
      <c r="P10" s="0" t="n">
        <v>8453.659</v>
      </c>
      <c r="R10" s="0" t="n">
        <v>764.075</v>
      </c>
      <c r="S10" s="0" t="n">
        <v>732.647</v>
      </c>
      <c r="T10" s="0" t="n">
        <v>132.371</v>
      </c>
      <c r="U10" s="0" t="n">
        <v>43.4</v>
      </c>
      <c r="AA10" s="0" t="s">
        <v>17</v>
      </c>
      <c r="AB10" s="0" t="s">
        <v>14</v>
      </c>
    </row>
    <row r="11" customFormat="false" ht="15" hidden="false" customHeight="false" outlineLevel="0" collapsed="false">
      <c r="A11" s="0" t="s">
        <v>72</v>
      </c>
      <c r="B11" s="0" t="n">
        <v>12114.832</v>
      </c>
      <c r="F11" s="0" t="n">
        <v>445.527</v>
      </c>
      <c r="G11" s="0" t="n">
        <v>3.67753345651017</v>
      </c>
      <c r="H11" s="0" t="n">
        <v>545.451</v>
      </c>
      <c r="I11" s="0" t="n">
        <v>328.882</v>
      </c>
      <c r="J11" s="0" t="n">
        <v>2.71470541234084</v>
      </c>
      <c r="K11" s="0" t="n">
        <v>2.42</v>
      </c>
      <c r="L11" s="0" t="n">
        <v>484.572</v>
      </c>
      <c r="M11" s="0" t="n">
        <v>88.404</v>
      </c>
      <c r="N11" s="0" t="n">
        <v>396.168</v>
      </c>
      <c r="O11" s="0" t="n">
        <v>4356.458</v>
      </c>
      <c r="P11" s="0" t="n">
        <v>7785.926</v>
      </c>
      <c r="R11" s="0" t="n">
        <v>584.434</v>
      </c>
      <c r="S11" s="0" t="n">
        <v>460.859</v>
      </c>
      <c r="T11" s="0" t="n">
        <v>126.11</v>
      </c>
      <c r="U11" s="0" t="n">
        <v>41.412</v>
      </c>
      <c r="AA11" s="0" t="s">
        <v>17</v>
      </c>
      <c r="AB11" s="0" t="s">
        <v>14</v>
      </c>
    </row>
    <row r="12" customFormat="false" ht="15" hidden="false" customHeight="false" outlineLevel="0" collapsed="false">
      <c r="A12" s="0" t="s">
        <v>73</v>
      </c>
      <c r="B12" s="0" t="n">
        <v>10964.157</v>
      </c>
      <c r="C12" s="0" t="n">
        <v>9196.326</v>
      </c>
      <c r="D12" s="0" t="n">
        <v>1767.831</v>
      </c>
      <c r="E12" s="0" t="n">
        <v>16.1237293482755</v>
      </c>
      <c r="F12" s="0" t="n">
        <v>338.598</v>
      </c>
      <c r="G12" s="0" t="n">
        <v>3.08822648198124</v>
      </c>
      <c r="H12" s="0" t="n">
        <v>420.961</v>
      </c>
      <c r="I12" s="0" t="n">
        <v>214.515</v>
      </c>
      <c r="J12" s="0" t="n">
        <v>1.9565115676472</v>
      </c>
      <c r="K12" s="0" t="n">
        <v>1.75</v>
      </c>
      <c r="L12" s="0" t="n">
        <v>680.173</v>
      </c>
      <c r="M12" s="0" t="n">
        <v>67.688</v>
      </c>
      <c r="N12" s="0" t="n">
        <v>612.485</v>
      </c>
      <c r="O12" s="0" t="n">
        <v>4330.182</v>
      </c>
      <c r="P12" s="0" t="n">
        <v>7360.022</v>
      </c>
      <c r="R12" s="0" t="n">
        <v>385.33</v>
      </c>
      <c r="S12" s="0" t="n">
        <v>655.716</v>
      </c>
      <c r="T12" s="0" t="n">
        <v>121.483</v>
      </c>
      <c r="U12" s="0" t="n">
        <v>32.37</v>
      </c>
      <c r="AA12" s="0" t="s">
        <v>17</v>
      </c>
      <c r="AB12" s="0" t="s">
        <v>14</v>
      </c>
    </row>
    <row r="13" customFormat="false" ht="15" hidden="false" customHeight="false" outlineLevel="0" collapsed="false">
      <c r="A13" s="0" t="s">
        <v>74</v>
      </c>
      <c r="B13" s="0" t="n">
        <v>6330.126</v>
      </c>
      <c r="C13" s="0" t="n">
        <v>5070.091</v>
      </c>
      <c r="D13" s="0" t="n">
        <v>1260.035</v>
      </c>
      <c r="E13" s="0" t="n">
        <v>19.9053699720985</v>
      </c>
      <c r="F13" s="0" t="n">
        <v>244.142</v>
      </c>
      <c r="G13" s="0" t="n">
        <v>3.85682686253007</v>
      </c>
      <c r="H13" s="0" t="n">
        <v>320.56</v>
      </c>
      <c r="I13" s="0" t="n">
        <v>293.727</v>
      </c>
      <c r="J13" s="0" t="n">
        <v>4.6401446037567</v>
      </c>
      <c r="K13" s="0" t="n">
        <v>2.43</v>
      </c>
      <c r="L13" s="0" t="n">
        <v>574.881</v>
      </c>
      <c r="M13" s="0" t="n">
        <v>118.06</v>
      </c>
      <c r="N13" s="0" t="n">
        <v>456.821</v>
      </c>
      <c r="O13" s="0" t="n">
        <v>4487.351</v>
      </c>
      <c r="P13" s="0" t="n">
        <v>7380.859</v>
      </c>
      <c r="R13" s="0" t="n">
        <v>235</v>
      </c>
      <c r="S13" s="0" t="n">
        <v>607.821</v>
      </c>
      <c r="T13" s="0" t="n">
        <v>120.385544</v>
      </c>
      <c r="U13" s="0" t="n">
        <v>38.764</v>
      </c>
      <c r="V13" s="0" t="n">
        <v>0.15</v>
      </c>
      <c r="AA13" s="0" t="s">
        <v>17</v>
      </c>
      <c r="AB13" s="0" t="s">
        <v>14</v>
      </c>
    </row>
    <row r="14" customFormat="false" ht="15" hidden="false" customHeight="false" outlineLevel="0" collapsed="false">
      <c r="A14" s="0" t="s">
        <v>75</v>
      </c>
      <c r="B14" s="0" t="n">
        <v>10579.773</v>
      </c>
      <c r="C14" s="0" t="n">
        <v>8421.223</v>
      </c>
      <c r="D14" s="0" t="n">
        <v>2158.55</v>
      </c>
      <c r="E14" s="0" t="n">
        <v>20.40261166284</v>
      </c>
      <c r="F14" s="0" t="n">
        <v>387.443</v>
      </c>
      <c r="G14" s="0" t="n">
        <v>3.66211070880254</v>
      </c>
      <c r="H14" s="0" t="n">
        <v>505.299</v>
      </c>
      <c r="I14" s="0" t="n">
        <v>173.142</v>
      </c>
      <c r="J14" s="0" t="n">
        <v>1.636537948404</v>
      </c>
      <c r="K14" s="0" t="n">
        <v>1.18</v>
      </c>
      <c r="L14" s="0" t="n">
        <v>481.152</v>
      </c>
      <c r="M14" s="0" t="n">
        <v>94.884</v>
      </c>
      <c r="N14" s="0" t="n">
        <v>386.268</v>
      </c>
      <c r="O14" s="0" t="n">
        <v>5944.354</v>
      </c>
      <c r="P14" s="0" t="n">
        <v>12645.795</v>
      </c>
      <c r="R14" s="0" t="n">
        <v>2144.167</v>
      </c>
      <c r="S14" s="0" t="n">
        <v>634.87</v>
      </c>
      <c r="T14" s="0" t="n">
        <v>142.217933</v>
      </c>
      <c r="U14" s="0" t="n">
        <v>79.242</v>
      </c>
      <c r="V14" s="0" t="n">
        <v>0.15</v>
      </c>
      <c r="AA14" s="0" t="s">
        <v>17</v>
      </c>
      <c r="AB14" s="0" t="s">
        <v>14</v>
      </c>
    </row>
    <row r="15" customFormat="false" ht="15" hidden="false" customHeight="false" outlineLevel="0" collapsed="false">
      <c r="A15" s="0" t="s">
        <v>76</v>
      </c>
      <c r="B15" s="0" t="n">
        <v>12737.868</v>
      </c>
      <c r="C15" s="0" t="n">
        <v>10260.84</v>
      </c>
      <c r="D15" s="0" t="n">
        <v>2477.028</v>
      </c>
      <c r="E15" s="0" t="n">
        <v>19.4461741949281</v>
      </c>
      <c r="F15" s="0" t="n">
        <v>404.851</v>
      </c>
      <c r="G15" s="0" t="n">
        <v>3.17832623167394</v>
      </c>
      <c r="H15" s="0" t="n">
        <v>495.022</v>
      </c>
      <c r="I15" s="0" t="n">
        <v>873.219</v>
      </c>
      <c r="J15" s="0" t="n">
        <v>6.85529948967912</v>
      </c>
      <c r="K15" s="0" t="n">
        <v>6.14</v>
      </c>
      <c r="L15" s="0" t="n">
        <v>-366.436</v>
      </c>
      <c r="M15" s="0" t="n">
        <v>135.977</v>
      </c>
      <c r="N15" s="0" t="n">
        <v>-502.413</v>
      </c>
      <c r="O15" s="0" t="n">
        <v>5768.658</v>
      </c>
      <c r="P15" s="0" t="n">
        <v>11462.711</v>
      </c>
      <c r="R15" s="0" t="n">
        <v>1201.245</v>
      </c>
      <c r="S15" s="0" t="n">
        <v>631.068</v>
      </c>
      <c r="T15" s="0" t="n">
        <v>139.206</v>
      </c>
      <c r="U15" s="0" t="n">
        <v>69.137</v>
      </c>
      <c r="V15" s="0" t="n">
        <v>0.17</v>
      </c>
      <c r="AA15" s="0" t="s">
        <v>17</v>
      </c>
      <c r="AB15" s="0" t="s">
        <v>14</v>
      </c>
    </row>
    <row r="16" customFormat="false" ht="15" hidden="false" customHeight="false" outlineLevel="0" collapsed="false">
      <c r="A16" s="0" t="s">
        <v>77</v>
      </c>
      <c r="B16" s="0" t="n">
        <v>13566.975</v>
      </c>
      <c r="C16" s="0" t="n">
        <v>10980.307</v>
      </c>
      <c r="D16" s="0" t="n">
        <v>2586.668</v>
      </c>
      <c r="E16" s="0" t="n">
        <v>19.0659155780858</v>
      </c>
      <c r="F16" s="0" t="n">
        <v>535.973</v>
      </c>
      <c r="G16" s="0" t="n">
        <v>3.95057114795303</v>
      </c>
      <c r="H16" s="0" t="n">
        <v>627.043</v>
      </c>
      <c r="I16" s="0" t="n">
        <v>523.867</v>
      </c>
      <c r="J16" s="0" t="n">
        <v>3.86133976070568</v>
      </c>
      <c r="K16" s="0" t="n">
        <v>3.74</v>
      </c>
      <c r="L16" s="0" t="n">
        <v>806.849</v>
      </c>
      <c r="M16" s="0" t="n">
        <v>118.269</v>
      </c>
      <c r="N16" s="0" t="n">
        <v>688.58</v>
      </c>
      <c r="O16" s="0" t="n">
        <v>5855.667</v>
      </c>
      <c r="P16" s="0" t="n">
        <v>12354.353</v>
      </c>
      <c r="R16" s="0" t="n">
        <v>1676.941</v>
      </c>
      <c r="S16" s="0" t="n">
        <v>862.424</v>
      </c>
      <c r="T16" s="0" t="n">
        <v>132.721</v>
      </c>
      <c r="U16" s="0" t="n">
        <v>48.15</v>
      </c>
      <c r="V16" s="0" t="n">
        <v>0.19</v>
      </c>
      <c r="AA16" s="0" t="s">
        <v>17</v>
      </c>
      <c r="AB16" s="0" t="s">
        <v>14</v>
      </c>
    </row>
    <row r="17" customFormat="false" ht="15" hidden="false" customHeight="false" outlineLevel="0" collapsed="false">
      <c r="A17" s="0" t="s">
        <v>78</v>
      </c>
      <c r="B17" s="0" t="n">
        <v>14092.632</v>
      </c>
      <c r="C17" s="0" t="n">
        <v>11048.86</v>
      </c>
      <c r="D17" s="0" t="n">
        <v>3043.772</v>
      </c>
      <c r="E17" s="0" t="n">
        <v>21.5983217329453</v>
      </c>
      <c r="F17" s="0" t="n">
        <v>688.089</v>
      </c>
      <c r="G17" s="0" t="n">
        <v>4.88261525597206</v>
      </c>
      <c r="H17" s="0" t="n">
        <v>789.113</v>
      </c>
      <c r="I17" s="0" t="n">
        <v>477.03</v>
      </c>
      <c r="J17" s="0" t="n">
        <v>3.38496031117537</v>
      </c>
      <c r="K17" s="0" t="n">
        <v>3.22</v>
      </c>
      <c r="L17" s="0" t="n">
        <v>726.276</v>
      </c>
      <c r="M17" s="0" t="n">
        <v>92.814</v>
      </c>
      <c r="N17" s="0" t="n">
        <v>633.462</v>
      </c>
      <c r="O17" s="0" t="n">
        <v>5974.837</v>
      </c>
      <c r="P17" s="0" t="n">
        <v>14632.609</v>
      </c>
      <c r="R17" s="0" t="n">
        <v>2893.389</v>
      </c>
      <c r="S17" s="0" t="n">
        <v>1014.249</v>
      </c>
      <c r="T17" s="0" t="n">
        <v>131.274</v>
      </c>
      <c r="U17" s="0" t="n">
        <v>56.221</v>
      </c>
      <c r="V17" s="0" t="n">
        <v>0.21</v>
      </c>
      <c r="AA17" s="0" t="s">
        <v>17</v>
      </c>
      <c r="AB17" s="0" t="s">
        <v>14</v>
      </c>
    </row>
    <row r="18" customFormat="false" ht="15" hidden="false" customHeight="false" outlineLevel="0" collapsed="false">
      <c r="A18" s="0" t="s">
        <v>79</v>
      </c>
      <c r="B18" s="0" t="n">
        <v>9783.074</v>
      </c>
      <c r="C18" s="0" t="n">
        <v>7203.115</v>
      </c>
      <c r="D18" s="0" t="n">
        <v>2579.959</v>
      </c>
      <c r="E18" s="0" t="n">
        <v>26.3716598688715</v>
      </c>
      <c r="F18" s="0" t="n">
        <v>539.884</v>
      </c>
      <c r="G18" s="0" t="n">
        <v>5.51855173537479</v>
      </c>
      <c r="H18" s="0" t="n">
        <v>642.338</v>
      </c>
      <c r="I18" s="0" t="n">
        <v>715.412</v>
      </c>
      <c r="J18" s="0" t="n">
        <v>7.31275261742884</v>
      </c>
      <c r="K18" s="0" t="n">
        <v>5.01</v>
      </c>
      <c r="L18" s="0" t="n">
        <v>474.709</v>
      </c>
      <c r="M18" s="0" t="n">
        <v>127.615</v>
      </c>
      <c r="N18" s="0" t="n">
        <v>347.094</v>
      </c>
      <c r="O18" s="0" t="n">
        <v>6104.392</v>
      </c>
      <c r="P18" s="0" t="n">
        <v>14660.419</v>
      </c>
      <c r="R18" s="0" t="n">
        <v>3407.671</v>
      </c>
      <c r="S18" s="0" t="n">
        <v>1140.479</v>
      </c>
      <c r="T18" s="0" t="n">
        <v>129.445</v>
      </c>
      <c r="U18" s="0" t="n">
        <v>53.383</v>
      </c>
      <c r="V18" s="0" t="n">
        <v>0.23</v>
      </c>
      <c r="AA18" s="0" t="s">
        <v>17</v>
      </c>
      <c r="AB18" s="0" t="s">
        <v>14</v>
      </c>
    </row>
    <row r="19" customFormat="false" ht="15" hidden="false" customHeight="false" outlineLevel="0" collapsed="false">
      <c r="A19" s="0" t="s">
        <v>80</v>
      </c>
      <c r="B19" s="0" t="n">
        <v>10851.42</v>
      </c>
      <c r="C19" s="0" t="n">
        <v>8140.56</v>
      </c>
      <c r="D19" s="0" t="n">
        <v>2710.86</v>
      </c>
      <c r="E19" s="0" t="n">
        <v>24.9816153093328</v>
      </c>
      <c r="F19" s="0" t="n">
        <v>676.484</v>
      </c>
      <c r="G19" s="0" t="n">
        <v>6.23405968988391</v>
      </c>
      <c r="H19" s="0" t="n">
        <v>779.83</v>
      </c>
      <c r="I19" s="0" t="n">
        <v>719.656</v>
      </c>
      <c r="J19" s="0" t="n">
        <v>6.63190623899914</v>
      </c>
      <c r="K19" s="0" t="n">
        <v>5.32</v>
      </c>
      <c r="L19" s="0" t="n">
        <v>974.763</v>
      </c>
      <c r="M19" s="0" t="n">
        <v>137.486</v>
      </c>
      <c r="N19" s="0" t="n">
        <v>837.277</v>
      </c>
      <c r="O19" s="0" t="n">
        <v>6600.082</v>
      </c>
      <c r="P19" s="0" t="n">
        <v>14617.109</v>
      </c>
      <c r="R19" s="0" t="n">
        <v>2865.244</v>
      </c>
      <c r="S19" s="0" t="n">
        <v>770.853</v>
      </c>
      <c r="T19" s="0" t="n">
        <v>127.214</v>
      </c>
      <c r="U19" s="0" t="n">
        <v>74.337</v>
      </c>
      <c r="V19" s="0" t="n">
        <v>0.26</v>
      </c>
      <c r="AA19" s="0" t="s">
        <v>17</v>
      </c>
      <c r="AB19" s="0" t="s">
        <v>14</v>
      </c>
    </row>
    <row r="20" customFormat="false" ht="15" hidden="false" customHeight="false" outlineLevel="0" collapsed="false">
      <c r="A20" s="0" t="s">
        <v>81</v>
      </c>
      <c r="B20" s="0" t="n">
        <v>11500.941</v>
      </c>
      <c r="C20" s="0" t="n">
        <v>8668.185</v>
      </c>
      <c r="D20" s="0" t="n">
        <v>2832.756</v>
      </c>
      <c r="E20" s="0" t="n">
        <v>24.6306454402296</v>
      </c>
      <c r="F20" s="0" t="n">
        <v>692.436</v>
      </c>
      <c r="G20" s="0" t="n">
        <v>6.02068995919551</v>
      </c>
      <c r="H20" s="0" t="n">
        <v>791.668</v>
      </c>
      <c r="I20" s="0" t="n">
        <v>852.643</v>
      </c>
      <c r="J20" s="0" t="n">
        <v>7.41368032407087</v>
      </c>
      <c r="K20" s="0" t="n">
        <v>6.35</v>
      </c>
      <c r="L20" s="0" t="n">
        <v>1054.673</v>
      </c>
      <c r="M20" s="0" t="n">
        <v>121.114</v>
      </c>
      <c r="N20" s="0" t="n">
        <v>933.559</v>
      </c>
      <c r="O20" s="0" t="n">
        <v>4567.303</v>
      </c>
      <c r="P20" s="0" t="n">
        <v>11759.005</v>
      </c>
      <c r="R20" s="0" t="n">
        <v>2219.009</v>
      </c>
      <c r="S20" s="0" t="n">
        <v>1144.795</v>
      </c>
      <c r="T20" s="0" t="n">
        <v>125.881</v>
      </c>
      <c r="U20" s="0" t="n">
        <v>74.193</v>
      </c>
      <c r="AA20" s="0" t="s">
        <v>17</v>
      </c>
      <c r="AB20" s="0" t="s">
        <v>14</v>
      </c>
    </row>
    <row r="21" customFormat="false" ht="15" hidden="false" customHeight="false" outlineLevel="0" collapsed="false">
      <c r="A21" s="0" t="s">
        <v>82</v>
      </c>
      <c r="B21" s="0" t="n">
        <v>12029.783</v>
      </c>
      <c r="C21" s="0" t="n">
        <v>9044.849</v>
      </c>
      <c r="D21" s="0" t="n">
        <v>2984.934</v>
      </c>
      <c r="E21" s="0" t="n">
        <v>24.812866533004</v>
      </c>
      <c r="F21" s="0" t="n">
        <v>863.634</v>
      </c>
      <c r="G21" s="0" t="n">
        <v>7.17913199265523</v>
      </c>
      <c r="H21" s="0" t="n">
        <v>945.693</v>
      </c>
      <c r="I21" s="0" t="n">
        <v>303.956</v>
      </c>
      <c r="J21" s="0" t="n">
        <v>2.52669561869902</v>
      </c>
      <c r="K21" s="0" t="n">
        <v>2.39</v>
      </c>
      <c r="L21" s="0" t="n">
        <v>686.704</v>
      </c>
      <c r="M21" s="0" t="n">
        <v>79.232</v>
      </c>
      <c r="N21" s="0" t="n">
        <v>607.472</v>
      </c>
      <c r="O21" s="0" t="n">
        <v>3647.905</v>
      </c>
      <c r="P21" s="0" t="n">
        <v>11252.535</v>
      </c>
      <c r="R21" s="0" t="n">
        <v>2236.456</v>
      </c>
      <c r="S21" s="0" t="n">
        <v>1235.448</v>
      </c>
      <c r="T21" s="0" t="n">
        <v>121.932</v>
      </c>
      <c r="U21" s="0" t="n">
        <v>60.96</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138.37</v>
      </c>
    </row>
    <row r="3" customFormat="false" ht="15" hidden="false" customHeight="false" outlineLevel="0" collapsed="false">
      <c r="A3" s="0" t="s">
        <v>86</v>
      </c>
      <c r="B3" s="3" t="n">
        <v>118.2</v>
      </c>
    </row>
    <row r="4" customFormat="false" ht="15" hidden="false" customHeight="false" outlineLevel="0" collapsed="false">
      <c r="A4" s="0" t="s">
        <v>87</v>
      </c>
      <c r="B4" s="3" t="n">
        <v>2406.5</v>
      </c>
    </row>
    <row r="5" customFormat="false" ht="15" hidden="false" customHeight="false" outlineLevel="0" collapsed="false">
      <c r="A5" s="0" t="s">
        <v>88</v>
      </c>
      <c r="B5" s="3" t="n">
        <v>-291</v>
      </c>
    </row>
    <row r="6" customFormat="false" ht="15" hidden="false" customHeight="false" outlineLevel="0" collapsed="false">
      <c r="A6" s="0" t="s">
        <v>89</v>
      </c>
      <c r="B6" s="3" t="n">
        <v>15</v>
      </c>
    </row>
    <row r="7" customFormat="false" ht="15" hidden="false" customHeight="false" outlineLevel="0" collapsed="false">
      <c r="A7" s="0" t="s">
        <v>90</v>
      </c>
      <c r="B7" s="3" t="n">
        <v>9543</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3</v>
      </c>
      <c r="D13" s="3" t="n">
        <v>1</v>
      </c>
      <c r="E13" s="3" t="n">
        <v>2</v>
      </c>
      <c r="F13" s="3" t="n">
        <v>3</v>
      </c>
      <c r="G13" s="3" t="n">
        <v>3</v>
      </c>
      <c r="H13" s="3" t="n">
        <v>3</v>
      </c>
      <c r="I13" s="3" t="n">
        <v>2.5</v>
      </c>
      <c r="J13" s="3" t="n">
        <v>2.5</v>
      </c>
      <c r="K13" s="3" t="n">
        <v>2.5</v>
      </c>
      <c r="L13" s="3" t="n">
        <v>2.5</v>
      </c>
    </row>
    <row r="14" customFormat="false" ht="15" hidden="false" customHeight="false" outlineLevel="0" collapsed="false">
      <c r="A14" s="0" t="s">
        <v>108</v>
      </c>
      <c r="C14" s="3" t="n">
        <v>14.8</v>
      </c>
      <c r="D14" s="3" t="n">
        <v>14.2</v>
      </c>
      <c r="E14" s="3" t="n">
        <v>14.5</v>
      </c>
      <c r="F14" s="3" t="n">
        <v>15</v>
      </c>
      <c r="G14" s="3" t="n">
        <v>15</v>
      </c>
      <c r="H14" s="3" t="n">
        <v>15</v>
      </c>
      <c r="I14" s="3" t="n">
        <v>15</v>
      </c>
      <c r="J14" s="3" t="n">
        <v>15</v>
      </c>
      <c r="K14" s="3" t="n">
        <v>15</v>
      </c>
      <c r="L14" s="3" t="n">
        <v>15</v>
      </c>
    </row>
    <row r="15" customFormat="false" ht="15" hidden="false" customHeight="false" outlineLevel="0" collapsed="false">
      <c r="A15" s="0" t="s">
        <v>109</v>
      </c>
      <c r="C15" s="3" t="n">
        <v>1.1</v>
      </c>
      <c r="D15" s="3" t="n">
        <v>1.1</v>
      </c>
      <c r="E15" s="3" t="n">
        <v>1.1</v>
      </c>
      <c r="F15" s="3" t="n">
        <v>1</v>
      </c>
      <c r="G15" s="3" t="n">
        <v>1</v>
      </c>
      <c r="H15" s="3" t="n">
        <v>1</v>
      </c>
      <c r="I15" s="3" t="n">
        <v>1</v>
      </c>
      <c r="J15" s="3" t="n">
        <v>1</v>
      </c>
      <c r="K15" s="3" t="n">
        <v>1</v>
      </c>
      <c r="L15" s="3" t="n">
        <v>1</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0.95</v>
      </c>
      <c r="D17" s="3" t="n">
        <v>0.95</v>
      </c>
      <c r="E17" s="3" t="n">
        <v>0.95</v>
      </c>
      <c r="F17" s="3" t="n">
        <v>0.95</v>
      </c>
      <c r="G17" s="3" t="n">
        <v>0.95</v>
      </c>
      <c r="H17" s="3" t="n">
        <v>0.95</v>
      </c>
      <c r="I17" s="3" t="n">
        <v>0.95</v>
      </c>
      <c r="J17" s="3" t="n">
        <v>0.95</v>
      </c>
      <c r="K17" s="3" t="n">
        <v>0.95</v>
      </c>
      <c r="L17" s="3" t="n">
        <v>0.95</v>
      </c>
    </row>
    <row r="18" customFormat="false" ht="15" hidden="false" customHeight="false" outlineLevel="0" collapsed="false">
      <c r="A18" s="0" t="s">
        <v>112</v>
      </c>
      <c r="C18" s="3" t="n">
        <v>1</v>
      </c>
      <c r="D18" s="3" t="n">
        <v>1</v>
      </c>
      <c r="E18" s="3" t="n">
        <v>1</v>
      </c>
      <c r="F18" s="3" t="n">
        <v>1</v>
      </c>
      <c r="G18" s="3" t="n">
        <v>1</v>
      </c>
      <c r="H18" s="3" t="n">
        <v>1</v>
      </c>
      <c r="I18" s="3" t="n">
        <v>1</v>
      </c>
      <c r="J18" s="3" t="n">
        <v>1</v>
      </c>
      <c r="K18" s="3" t="n">
        <v>1</v>
      </c>
      <c r="L18" s="3" t="n">
        <v>1</v>
      </c>
    </row>
    <row r="19" customFormat="false" ht="15" hidden="false" customHeight="false" outlineLevel="0" collapsed="false">
      <c r="A19" s="0" t="s">
        <v>113</v>
      </c>
      <c r="C19" s="3" t="n">
        <v>26</v>
      </c>
      <c r="D19" s="3" t="n">
        <v>26</v>
      </c>
      <c r="E19" s="3" t="n">
        <v>26</v>
      </c>
      <c r="F19" s="3" t="n">
        <v>26</v>
      </c>
      <c r="G19" s="3" t="n">
        <v>26</v>
      </c>
      <c r="H19" s="3" t="n">
        <v>26</v>
      </c>
      <c r="I19" s="3" t="n">
        <v>26</v>
      </c>
      <c r="J19" s="3" t="n">
        <v>26</v>
      </c>
      <c r="K19" s="3" t="n">
        <v>26</v>
      </c>
      <c r="L19" s="3" t="n">
        <v>26</v>
      </c>
    </row>
    <row r="20" customFormat="false" ht="15" hidden="false" customHeight="false" outlineLevel="0" collapsed="false">
      <c r="A20" s="0" t="s">
        <v>114</v>
      </c>
      <c r="B20" s="3" t="n">
        <v>8.5</v>
      </c>
    </row>
    <row r="21" customFormat="false" ht="15" hidden="false" customHeight="false" outlineLevel="0" collapsed="false">
      <c r="A21" s="0" t="s">
        <v>115</v>
      </c>
      <c r="B21" s="3" t="n">
        <v>2</v>
      </c>
    </row>
    <row r="22" customFormat="false" ht="15" hidden="false" customHeight="false" outlineLevel="0" collapsed="false">
      <c r="A22" s="0" t="s">
        <v>116</v>
      </c>
      <c r="B22" s="3" t="n">
        <v>14</v>
      </c>
    </row>
    <row r="23" customFormat="false" ht="15" hidden="false" customHeight="false" outlineLevel="0" collapsed="false">
      <c r="A23" s="0" t="s">
        <v>117</v>
      </c>
      <c r="B23" s="3" t="n">
        <v>-10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8</v>
      </c>
      <c r="D27" s="3" t="n">
        <v>7</v>
      </c>
      <c r="E27" s="3" t="n">
        <v>6</v>
      </c>
      <c r="F27" s="3" t="n">
        <v>5</v>
      </c>
      <c r="G27" s="3" t="n">
        <v>4.5</v>
      </c>
      <c r="H27" s="3" t="n">
        <v>4</v>
      </c>
      <c r="I27" s="3" t="n">
        <v>3.5</v>
      </c>
      <c r="J27" s="3" t="n">
        <v>3</v>
      </c>
      <c r="K27" s="3" t="n">
        <v>3</v>
      </c>
      <c r="L27" s="3" t="n">
        <v>2.5</v>
      </c>
    </row>
    <row r="28" customFormat="false" ht="15" hidden="false" customHeight="false" outlineLevel="0" collapsed="false">
      <c r="A28" s="0" t="s">
        <v>108</v>
      </c>
      <c r="C28" s="3" t="n">
        <v>15.8</v>
      </c>
      <c r="D28" s="3" t="n">
        <v>16.2</v>
      </c>
      <c r="E28" s="3" t="n">
        <v>16.6</v>
      </c>
      <c r="F28" s="3" t="n">
        <v>16.8</v>
      </c>
      <c r="G28" s="3" t="n">
        <v>17</v>
      </c>
      <c r="H28" s="3" t="n">
        <v>17</v>
      </c>
      <c r="I28" s="3" t="n">
        <v>17</v>
      </c>
      <c r="J28" s="3" t="n">
        <v>17</v>
      </c>
      <c r="K28" s="3" t="n">
        <v>17</v>
      </c>
      <c r="L28" s="3" t="n">
        <v>17</v>
      </c>
    </row>
    <row r="29" customFormat="false" ht="15" hidden="false" customHeight="false" outlineLevel="0" collapsed="false">
      <c r="A29" s="0" t="s">
        <v>109</v>
      </c>
      <c r="C29" s="3" t="n">
        <v>1.05</v>
      </c>
      <c r="D29" s="3" t="n">
        <v>1.05</v>
      </c>
      <c r="E29" s="3" t="n">
        <v>1</v>
      </c>
      <c r="F29" s="3" t="n">
        <v>1</v>
      </c>
      <c r="G29" s="3" t="n">
        <v>1</v>
      </c>
      <c r="H29" s="3" t="n">
        <v>1</v>
      </c>
      <c r="I29" s="3" t="n">
        <v>1</v>
      </c>
      <c r="J29" s="3" t="n">
        <v>1</v>
      </c>
      <c r="K29" s="3" t="n">
        <v>1</v>
      </c>
      <c r="L29" s="3" t="n">
        <v>1</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0.95</v>
      </c>
      <c r="D31" s="3" t="n">
        <v>0.95</v>
      </c>
      <c r="E31" s="3" t="n">
        <v>0.95</v>
      </c>
      <c r="F31" s="3" t="n">
        <v>0.95</v>
      </c>
      <c r="G31" s="3" t="n">
        <v>0.95</v>
      </c>
      <c r="H31" s="3" t="n">
        <v>0.95</v>
      </c>
      <c r="I31" s="3" t="n">
        <v>0.95</v>
      </c>
      <c r="J31" s="3" t="n">
        <v>0.95</v>
      </c>
      <c r="K31" s="3" t="n">
        <v>0.95</v>
      </c>
      <c r="L31" s="3" t="n">
        <v>0.95</v>
      </c>
    </row>
    <row r="32" customFormat="false" ht="15" hidden="false" customHeight="false" outlineLevel="0" collapsed="false">
      <c r="A32" s="0" t="s">
        <v>112</v>
      </c>
      <c r="C32" s="3" t="n">
        <v>1</v>
      </c>
      <c r="D32" s="3" t="n">
        <v>1</v>
      </c>
      <c r="E32" s="3" t="n">
        <v>1</v>
      </c>
      <c r="F32" s="3" t="n">
        <v>1</v>
      </c>
      <c r="G32" s="3" t="n">
        <v>1</v>
      </c>
      <c r="H32" s="3" t="n">
        <v>1</v>
      </c>
      <c r="I32" s="3" t="n">
        <v>1</v>
      </c>
      <c r="J32" s="3" t="n">
        <v>1</v>
      </c>
      <c r="K32" s="3" t="n">
        <v>1</v>
      </c>
      <c r="L32" s="3" t="n">
        <v>1</v>
      </c>
    </row>
    <row r="33" customFormat="false" ht="15" hidden="false" customHeight="false" outlineLevel="0" collapsed="false">
      <c r="A33" s="0" t="s">
        <v>113</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114</v>
      </c>
      <c r="B34" s="3" t="n">
        <v>8.5</v>
      </c>
    </row>
    <row r="35" customFormat="false" ht="15" hidden="false" customHeight="false" outlineLevel="0" collapsed="false">
      <c r="A35" s="0" t="s">
        <v>115</v>
      </c>
      <c r="B35" s="3" t="n">
        <v>2.5</v>
      </c>
    </row>
    <row r="36" customFormat="false" ht="15" hidden="false" customHeight="false" outlineLevel="0" collapsed="false">
      <c r="A36" s="0" t="s">
        <v>116</v>
      </c>
      <c r="B36" s="3" t="n">
        <v>18</v>
      </c>
    </row>
    <row r="37" customFormat="false" ht="15" hidden="false" customHeight="false" outlineLevel="0" collapsed="false">
      <c r="A37" s="0" t="s">
        <v>117</v>
      </c>
      <c r="B37" s="3" t="n">
        <v>-10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11</v>
      </c>
      <c r="D41" s="3" t="n">
        <v>10</v>
      </c>
      <c r="E41" s="3" t="n">
        <v>9</v>
      </c>
      <c r="F41" s="3" t="n">
        <v>8</v>
      </c>
      <c r="G41" s="3" t="n">
        <v>7</v>
      </c>
      <c r="H41" s="3" t="n">
        <v>6</v>
      </c>
      <c r="I41" s="3" t="n">
        <v>5</v>
      </c>
      <c r="J41" s="3" t="n">
        <v>4</v>
      </c>
      <c r="K41" s="3" t="n">
        <v>3.5</v>
      </c>
      <c r="L41" s="3" t="n">
        <v>3</v>
      </c>
    </row>
    <row r="42" customFormat="false" ht="15" hidden="false" customHeight="false" outlineLevel="0" collapsed="false">
      <c r="A42" s="0" t="s">
        <v>108</v>
      </c>
      <c r="C42" s="3" t="n">
        <v>16.2</v>
      </c>
      <c r="D42" s="3" t="n">
        <v>16.8</v>
      </c>
      <c r="E42" s="3" t="n">
        <v>17.4</v>
      </c>
      <c r="F42" s="3" t="n">
        <v>17.8</v>
      </c>
      <c r="G42" s="3" t="n">
        <v>18</v>
      </c>
      <c r="H42" s="3" t="n">
        <v>18</v>
      </c>
      <c r="I42" s="3" t="n">
        <v>18</v>
      </c>
      <c r="J42" s="3" t="n">
        <v>18</v>
      </c>
      <c r="K42" s="3" t="n">
        <v>18</v>
      </c>
      <c r="L42" s="3" t="n">
        <v>18</v>
      </c>
    </row>
    <row r="43" customFormat="false" ht="15" hidden="false" customHeight="false" outlineLevel="0" collapsed="false">
      <c r="A43" s="0" t="s">
        <v>109</v>
      </c>
      <c r="C43" s="3" t="n">
        <v>1.05</v>
      </c>
      <c r="D43" s="3" t="n">
        <v>1.05</v>
      </c>
      <c r="E43" s="3" t="n">
        <v>1</v>
      </c>
      <c r="F43" s="3" t="n">
        <v>1</v>
      </c>
      <c r="G43" s="3" t="n">
        <v>1</v>
      </c>
      <c r="H43" s="3" t="n">
        <v>1</v>
      </c>
      <c r="I43" s="3" t="n">
        <v>1</v>
      </c>
      <c r="J43" s="3" t="n">
        <v>1</v>
      </c>
      <c r="K43" s="3" t="n">
        <v>1</v>
      </c>
      <c r="L43" s="3" t="n">
        <v>1</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0.95</v>
      </c>
      <c r="D45" s="3" t="n">
        <v>0.95</v>
      </c>
      <c r="E45" s="3" t="n">
        <v>0.95</v>
      </c>
      <c r="F45" s="3" t="n">
        <v>0.95</v>
      </c>
      <c r="G45" s="3" t="n">
        <v>0.95</v>
      </c>
      <c r="H45" s="3" t="n">
        <v>0.95</v>
      </c>
      <c r="I45" s="3" t="n">
        <v>0.95</v>
      </c>
      <c r="J45" s="3" t="n">
        <v>0.95</v>
      </c>
      <c r="K45" s="3" t="n">
        <v>0.95</v>
      </c>
      <c r="L45" s="3" t="n">
        <v>0.95</v>
      </c>
    </row>
    <row r="46" customFormat="false" ht="15" hidden="false" customHeight="false" outlineLevel="0" collapsed="false">
      <c r="A46" s="0" t="s">
        <v>112</v>
      </c>
      <c r="C46" s="3" t="n">
        <v>1</v>
      </c>
      <c r="D46" s="3" t="n">
        <v>1</v>
      </c>
      <c r="E46" s="3" t="n">
        <v>1</v>
      </c>
      <c r="F46" s="3" t="n">
        <v>1</v>
      </c>
      <c r="G46" s="3" t="n">
        <v>1</v>
      </c>
      <c r="H46" s="3" t="n">
        <v>1</v>
      </c>
      <c r="I46" s="3" t="n">
        <v>1</v>
      </c>
      <c r="J46" s="3" t="n">
        <v>1</v>
      </c>
      <c r="K46" s="3" t="n">
        <v>1</v>
      </c>
      <c r="L46" s="3" t="n">
        <v>1</v>
      </c>
    </row>
    <row r="47" customFormat="false" ht="15" hidden="false" customHeight="false" outlineLevel="0" collapsed="false">
      <c r="A47" s="0" t="s">
        <v>113</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114</v>
      </c>
      <c r="B48" s="3" t="n">
        <v>8.5</v>
      </c>
    </row>
    <row r="49" customFormat="false" ht="15" hidden="false" customHeight="false" outlineLevel="0" collapsed="false">
      <c r="A49" s="0" t="s">
        <v>115</v>
      </c>
      <c r="B49" s="3" t="n">
        <v>3</v>
      </c>
    </row>
    <row r="50" customFormat="false" ht="15" hidden="false" customHeight="false" outlineLevel="0" collapsed="false">
      <c r="A50" s="0" t="s">
        <v>116</v>
      </c>
      <c r="B50" s="3" t="n">
        <v>20</v>
      </c>
    </row>
    <row r="51" customFormat="false" ht="15" hidden="false" customHeight="false" outlineLevel="0" collapsed="false">
      <c r="A51" s="0" t="s">
        <v>117</v>
      </c>
      <c r="B51" s="3" t="n">
        <v>-10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3</v>
      </c>
      <c r="D5" s="4" t="n">
        <f aca="false">Assumptions!D13</f>
        <v>1</v>
      </c>
      <c r="E5" s="4" t="n">
        <f aca="false">Assumptions!E13</f>
        <v>2</v>
      </c>
      <c r="F5" s="4" t="n">
        <f aca="false">Assumptions!F13</f>
        <v>3</v>
      </c>
      <c r="G5" s="4" t="n">
        <f aca="false">Assumptions!G13</f>
        <v>3</v>
      </c>
      <c r="H5" s="4" t="n">
        <f aca="false">Assumptions!H13</f>
        <v>3</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9543</v>
      </c>
      <c r="C6" s="0" t="n">
        <f aca="false">B6*(1+C5/100)</f>
        <v>9829.29</v>
      </c>
      <c r="D6" s="0" t="n">
        <f aca="false">C6*(1+D5/100)</f>
        <v>9927.5829</v>
      </c>
      <c r="E6" s="0" t="n">
        <f aca="false">D6*(1+E5/100)</f>
        <v>10126.134558</v>
      </c>
      <c r="F6" s="0" t="n">
        <f aca="false">E6*(1+F5/100)</f>
        <v>10429.91859474</v>
      </c>
      <c r="G6" s="0" t="n">
        <f aca="false">F6*(1+G5/100)</f>
        <v>10742.8161525822</v>
      </c>
      <c r="H6" s="0" t="n">
        <f aca="false">G6*(1+H5/100)</f>
        <v>11065.1006371597</v>
      </c>
      <c r="I6" s="0" t="n">
        <f aca="false">H6*(1+I5/100)</f>
        <v>11341.7281530887</v>
      </c>
      <c r="J6" s="0" t="n">
        <f aca="false">I6*(1+J5/100)</f>
        <v>11625.2713569159</v>
      </c>
      <c r="K6" s="0" t="n">
        <f aca="false">J6*(1+K5/100)</f>
        <v>11915.9031408388</v>
      </c>
      <c r="L6" s="0" t="n">
        <f aca="false">K6*(1+L5/100)</f>
        <v>12213.8007193597</v>
      </c>
    </row>
    <row r="7" customFormat="false" ht="15" hidden="false" customHeight="false" outlineLevel="0" collapsed="false">
      <c r="A7" s="0" t="s">
        <v>108</v>
      </c>
      <c r="C7" s="4" t="n">
        <f aca="false">Assumptions!C14</f>
        <v>14.8</v>
      </c>
      <c r="D7" s="4" t="n">
        <f aca="false">Assumptions!D14</f>
        <v>14.2</v>
      </c>
      <c r="E7" s="4" t="n">
        <f aca="false">Assumptions!E14</f>
        <v>14.5</v>
      </c>
      <c r="F7" s="4" t="n">
        <f aca="false">Assumptions!F14</f>
        <v>15</v>
      </c>
      <c r="G7" s="4" t="n">
        <f aca="false">Assumptions!G14</f>
        <v>15</v>
      </c>
      <c r="H7" s="4" t="n">
        <f aca="false">Assumptions!H14</f>
        <v>15</v>
      </c>
      <c r="I7" s="4" t="n">
        <f aca="false">Assumptions!I14</f>
        <v>15</v>
      </c>
      <c r="J7" s="4" t="n">
        <f aca="false">Assumptions!J14</f>
        <v>15</v>
      </c>
      <c r="K7" s="4" t="n">
        <f aca="false">Assumptions!K14</f>
        <v>15</v>
      </c>
      <c r="L7" s="4" t="n">
        <f aca="false">Assumptions!L14</f>
        <v>15</v>
      </c>
    </row>
    <row r="8" customFormat="false" ht="15" hidden="false" customHeight="false" outlineLevel="0" collapsed="false">
      <c r="A8" s="0" t="s">
        <v>43</v>
      </c>
      <c r="C8" s="0" t="n">
        <f aca="false">C6*C7/100</f>
        <v>1454.73492</v>
      </c>
      <c r="D8" s="0" t="n">
        <f aca="false">D6*D7/100</f>
        <v>1409.7167718</v>
      </c>
      <c r="E8" s="0" t="n">
        <f aca="false">E6*E7/100</f>
        <v>1468.28951091</v>
      </c>
      <c r="F8" s="0" t="n">
        <f aca="false">F6*F7/100</f>
        <v>1564.487789211</v>
      </c>
      <c r="G8" s="0" t="n">
        <f aca="false">G6*G7/100</f>
        <v>1611.42242288733</v>
      </c>
      <c r="H8" s="0" t="n">
        <f aca="false">H6*H7/100</f>
        <v>1659.76509557395</v>
      </c>
      <c r="I8" s="0" t="n">
        <f aca="false">I6*I7/100</f>
        <v>1701.2592229633</v>
      </c>
      <c r="J8" s="0" t="n">
        <f aca="false">J6*J7/100</f>
        <v>1743.79070353738</v>
      </c>
      <c r="K8" s="0" t="n">
        <f aca="false">K6*K7/100</f>
        <v>1787.38547112582</v>
      </c>
      <c r="L8" s="0" t="n">
        <f aca="false">L6*L7/100</f>
        <v>1832.07010790396</v>
      </c>
    </row>
    <row r="9" customFormat="false" ht="15" hidden="false" customHeight="false" outlineLevel="0" collapsed="false">
      <c r="A9" s="0" t="s">
        <v>109</v>
      </c>
      <c r="C9" s="4" t="n">
        <f aca="false">Assumptions!C15</f>
        <v>1.1</v>
      </c>
      <c r="D9" s="4" t="n">
        <f aca="false">Assumptions!D15</f>
        <v>1.1</v>
      </c>
      <c r="E9" s="4" t="n">
        <f aca="false">Assumptions!E15</f>
        <v>1.1</v>
      </c>
      <c r="F9" s="4" t="n">
        <f aca="false">Assumptions!F15</f>
        <v>1</v>
      </c>
      <c r="G9" s="4" t="n">
        <f aca="false">Assumptions!G15</f>
        <v>1</v>
      </c>
      <c r="H9" s="4" t="n">
        <f aca="false">Assumptions!H15</f>
        <v>1</v>
      </c>
      <c r="I9" s="4" t="n">
        <f aca="false">Assumptions!I15</f>
        <v>1</v>
      </c>
      <c r="J9" s="4" t="n">
        <f aca="false">Assumptions!J15</f>
        <v>1</v>
      </c>
      <c r="K9" s="4" t="n">
        <f aca="false">Assumptions!K15</f>
        <v>1</v>
      </c>
      <c r="L9" s="4" t="n">
        <f aca="false">Assumptions!L15</f>
        <v>1</v>
      </c>
    </row>
    <row r="10" customFormat="false" ht="15" hidden="false" customHeight="false" outlineLevel="0" collapsed="false">
      <c r="A10" s="0" t="s">
        <v>124</v>
      </c>
      <c r="C10" s="0" t="n">
        <f aca="false">-C6*C9/100</f>
        <v>-108.12219</v>
      </c>
      <c r="D10" s="0" t="n">
        <f aca="false">-D6*D9/100</f>
        <v>-109.2034119</v>
      </c>
      <c r="E10" s="0" t="n">
        <f aca="false">-E6*E9/100</f>
        <v>-111.387480138</v>
      </c>
      <c r="F10" s="0" t="n">
        <f aca="false">-F6*F9/100</f>
        <v>-104.2991859474</v>
      </c>
      <c r="G10" s="0" t="n">
        <f aca="false">-G6*G9/100</f>
        <v>-107.428161525822</v>
      </c>
      <c r="H10" s="0" t="n">
        <f aca="false">-H6*H9/100</f>
        <v>-110.651006371597</v>
      </c>
      <c r="I10" s="0" t="n">
        <f aca="false">-I6*I9/100</f>
        <v>-113.417281530887</v>
      </c>
      <c r="J10" s="0" t="n">
        <f aca="false">-J6*J9/100</f>
        <v>-116.252713569159</v>
      </c>
      <c r="K10" s="0" t="n">
        <f aca="false">-K6*K9/100</f>
        <v>-119.159031408388</v>
      </c>
      <c r="L10" s="0" t="n">
        <f aca="false">-L6*L9/100</f>
        <v>-122.138007193597</v>
      </c>
    </row>
    <row r="11" customFormat="false" ht="15" hidden="false" customHeight="false" outlineLevel="0" collapsed="false">
      <c r="A11" s="0" t="s">
        <v>125</v>
      </c>
      <c r="C11" s="0" t="n">
        <f aca="false">C8+C10+C24</f>
        <v>1346.61273</v>
      </c>
      <c r="D11" s="0" t="n">
        <f aca="false">D8+D10+D24</f>
        <v>1300.5133599</v>
      </c>
      <c r="E11" s="0" t="n">
        <f aca="false">E8+E10+E24</f>
        <v>1356.902030772</v>
      </c>
      <c r="F11" s="0" t="n">
        <f aca="false">F8+F10+F24</f>
        <v>1460.1886032636</v>
      </c>
      <c r="G11" s="0" t="n">
        <f aca="false">G8+G10+G24</f>
        <v>1503.99426136151</v>
      </c>
      <c r="H11" s="0" t="n">
        <f aca="false">H8+H10+H24</f>
        <v>1549.11408920235</v>
      </c>
      <c r="I11" s="0" t="n">
        <f aca="false">I8+I10+I24</f>
        <v>1587.84194143241</v>
      </c>
      <c r="J11" s="0" t="n">
        <f aca="false">J8+J10+J24</f>
        <v>1627.53798996822</v>
      </c>
      <c r="K11" s="0" t="n">
        <f aca="false">K8+K10+K24</f>
        <v>1668.22643971743</v>
      </c>
      <c r="L11" s="0" t="n">
        <f aca="false">L8+L10+L24</f>
        <v>1709.93210071036</v>
      </c>
    </row>
    <row r="12" customFormat="false" ht="15" hidden="false" customHeight="false" outlineLevel="0" collapsed="false">
      <c r="A12" s="0" t="s">
        <v>126</v>
      </c>
      <c r="C12" s="4" t="n">
        <f aca="false">-C6*Assumptions!C17/100</f>
        <v>-93.378255</v>
      </c>
      <c r="D12" s="4" t="n">
        <f aca="false">-D6*Assumptions!D17/100</f>
        <v>-94.31203755</v>
      </c>
      <c r="E12" s="4" t="n">
        <f aca="false">-E6*Assumptions!E17/100</f>
        <v>-96.198278301</v>
      </c>
      <c r="F12" s="4" t="n">
        <f aca="false">-F6*Assumptions!F17/100</f>
        <v>-99.08422665003</v>
      </c>
      <c r="G12" s="4" t="n">
        <f aca="false">-G6*Assumptions!G17/100</f>
        <v>-102.056753449531</v>
      </c>
      <c r="H12" s="4" t="n">
        <f aca="false">-H6*Assumptions!H17/100</f>
        <v>-105.118456053017</v>
      </c>
      <c r="I12" s="4" t="n">
        <f aca="false">-I6*Assumptions!I17/100</f>
        <v>-107.746417454342</v>
      </c>
      <c r="J12" s="4" t="n">
        <f aca="false">-J6*Assumptions!J17/100</f>
        <v>-110.440077890701</v>
      </c>
      <c r="K12" s="4" t="n">
        <f aca="false">-K6*Assumptions!K17/100</f>
        <v>-113.201079837968</v>
      </c>
      <c r="L12" s="4" t="n">
        <f aca="false">-L6*Assumptions!L17/100</f>
        <v>-116.031106833918</v>
      </c>
    </row>
    <row r="13" customFormat="false" ht="15" hidden="false" customHeight="false" outlineLevel="0" collapsed="false">
      <c r="A13" s="0" t="s">
        <v>127</v>
      </c>
      <c r="C13" s="0" t="n">
        <f aca="false">C11+C12</f>
        <v>1253.234475</v>
      </c>
      <c r="D13" s="0" t="n">
        <f aca="false">D11+D12</f>
        <v>1206.20132235</v>
      </c>
      <c r="E13" s="0" t="n">
        <f aca="false">E11+E12</f>
        <v>1260.703752471</v>
      </c>
      <c r="F13" s="0" t="n">
        <f aca="false">F11+F12</f>
        <v>1361.10437661357</v>
      </c>
      <c r="G13" s="0" t="n">
        <f aca="false">G11+G12</f>
        <v>1401.93750791198</v>
      </c>
      <c r="H13" s="0" t="n">
        <f aca="false">H11+H12</f>
        <v>1443.99563314934</v>
      </c>
      <c r="I13" s="0" t="n">
        <f aca="false">I11+I12</f>
        <v>1480.09552397807</v>
      </c>
      <c r="J13" s="0" t="n">
        <f aca="false">J11+J12</f>
        <v>1517.09791207752</v>
      </c>
      <c r="K13" s="0" t="n">
        <f aca="false">K11+K12</f>
        <v>1555.02535987946</v>
      </c>
      <c r="L13" s="0" t="n">
        <f aca="false">L11+L12</f>
        <v>1593.90099387645</v>
      </c>
    </row>
    <row r="14" customFormat="false" ht="15" hidden="false" customHeight="false" outlineLevel="0" collapsed="false">
      <c r="A14" s="0" t="s">
        <v>113</v>
      </c>
      <c r="C14" s="4" t="n">
        <f aca="false">Assumptions!C19</f>
        <v>26</v>
      </c>
      <c r="D14" s="4" t="n">
        <f aca="false">Assumptions!D19</f>
        <v>26</v>
      </c>
      <c r="E14" s="4" t="n">
        <f aca="false">Assumptions!E19</f>
        <v>26</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128</v>
      </c>
      <c r="C15" s="0" t="n">
        <f aca="false">C13-MAX(0,C13)*C14/100</f>
        <v>927.3935115</v>
      </c>
      <c r="D15" s="0" t="n">
        <f aca="false">D13-MAX(0,D13)*D14/100</f>
        <v>892.588978539</v>
      </c>
      <c r="E15" s="0" t="n">
        <f aca="false">E13-MAX(0,E13)*E14/100</f>
        <v>932.92077682854</v>
      </c>
      <c r="F15" s="0" t="n">
        <f aca="false">F13-MAX(0,F13)*F14/100</f>
        <v>1007.21723869404</v>
      </c>
      <c r="G15" s="0" t="n">
        <f aca="false">G13-MAX(0,G13)*G14/100</f>
        <v>1037.43375585486</v>
      </c>
      <c r="H15" s="0" t="n">
        <f aca="false">H13-MAX(0,H13)*H14/100</f>
        <v>1068.55676853051</v>
      </c>
      <c r="I15" s="0" t="n">
        <f aca="false">I13-MAX(0,I13)*I14/100</f>
        <v>1095.27068774377</v>
      </c>
      <c r="J15" s="0" t="n">
        <f aca="false">J13-MAX(0,J13)*J14/100</f>
        <v>1122.65245493737</v>
      </c>
      <c r="K15" s="0" t="n">
        <f aca="false">K13-MAX(0,K13)*K14/100</f>
        <v>1150.7187663108</v>
      </c>
      <c r="L15" s="0" t="n">
        <f aca="false">L13-MAX(0,L13)*L14/100</f>
        <v>1179.48673546857</v>
      </c>
    </row>
    <row r="16" customFormat="false" ht="15" hidden="false" customHeight="false" outlineLevel="0" collapsed="false">
      <c r="A16" s="0" t="s">
        <v>129</v>
      </c>
      <c r="C16" s="0" t="n">
        <f aca="false">-C12</f>
        <v>93.378255</v>
      </c>
      <c r="D16" s="0" t="n">
        <f aca="false">-D12</f>
        <v>94.31203755</v>
      </c>
      <c r="E16" s="0" t="n">
        <f aca="false">-E12</f>
        <v>96.198278301</v>
      </c>
      <c r="F16" s="0" t="n">
        <f aca="false">-F12</f>
        <v>99.08422665003</v>
      </c>
      <c r="G16" s="0" t="n">
        <f aca="false">-G12</f>
        <v>102.056753449531</v>
      </c>
      <c r="H16" s="0" t="n">
        <f aca="false">-H12</f>
        <v>105.118456053017</v>
      </c>
      <c r="I16" s="0" t="n">
        <f aca="false">-I12</f>
        <v>107.746417454342</v>
      </c>
      <c r="J16" s="0" t="n">
        <f aca="false">-J12</f>
        <v>110.440077890701</v>
      </c>
      <c r="K16" s="0" t="n">
        <f aca="false">-K12</f>
        <v>113.201079837968</v>
      </c>
      <c r="L16" s="0" t="n">
        <f aca="false">-L12</f>
        <v>116.031106833918</v>
      </c>
    </row>
    <row r="17" customFormat="false" ht="15" hidden="false" customHeight="false" outlineLevel="0" collapsed="false">
      <c r="A17" s="0" t="s">
        <v>130</v>
      </c>
      <c r="C17" s="4" t="n">
        <f aca="false">-C6*Assumptions!C18/100</f>
        <v>-98.2929</v>
      </c>
      <c r="D17" s="4" t="n">
        <f aca="false">-D6*Assumptions!D18/100</f>
        <v>-99.275829</v>
      </c>
      <c r="E17" s="4" t="n">
        <f aca="false">-E6*Assumptions!E18/100</f>
        <v>-101.26134558</v>
      </c>
      <c r="F17" s="4" t="n">
        <f aca="false">-F6*Assumptions!F18/100</f>
        <v>-104.2991859474</v>
      </c>
      <c r="G17" s="4" t="n">
        <f aca="false">-G6*Assumptions!G18/100</f>
        <v>-107.428161525822</v>
      </c>
      <c r="H17" s="4" t="n">
        <f aca="false">-H6*Assumptions!H18/100</f>
        <v>-110.651006371597</v>
      </c>
      <c r="I17" s="4" t="n">
        <f aca="false">-I6*Assumptions!I18/100</f>
        <v>-113.417281530887</v>
      </c>
      <c r="J17" s="4" t="n">
        <f aca="false">-J6*Assumptions!J18/100</f>
        <v>-116.252713569159</v>
      </c>
      <c r="K17" s="4" t="n">
        <f aca="false">-K6*Assumptions!K18/100</f>
        <v>-119.159031408388</v>
      </c>
      <c r="L17" s="4" t="n">
        <f aca="false">-L6*Assumptions!L18/100</f>
        <v>-122.138007193597</v>
      </c>
    </row>
    <row r="18" customFormat="false" ht="15" hidden="false" customHeight="false" outlineLevel="0" collapsed="false">
      <c r="A18" s="0" t="s">
        <v>131</v>
      </c>
      <c r="C18" s="4" t="n">
        <f aca="false">(C6-B6)*Assumptions!$B$23/100</f>
        <v>-28.6290000000001</v>
      </c>
      <c r="D18" s="4" t="n">
        <f aca="false">(D6-C6)*Assumptions!$B$23/100</f>
        <v>-9.82929000000004</v>
      </c>
      <c r="E18" s="4" t="n">
        <f aca="false">(E6-D6)*Assumptions!$B$23/100</f>
        <v>-19.8551658</v>
      </c>
      <c r="F18" s="4" t="n">
        <f aca="false">(F6-E6)*Assumptions!$B$23/100</f>
        <v>-30.378403674</v>
      </c>
      <c r="G18" s="4" t="n">
        <f aca="false">(G6-F6)*Assumptions!$B$23/100</f>
        <v>-31.28975578422</v>
      </c>
      <c r="H18" s="4" t="n">
        <f aca="false">(H6-G6)*Assumptions!$B$23/100</f>
        <v>-32.2284484577467</v>
      </c>
      <c r="I18" s="4" t="n">
        <f aca="false">(I6-H6)*Assumptions!$B$23/100</f>
        <v>-27.6627515928991</v>
      </c>
      <c r="J18" s="4" t="n">
        <f aca="false">(J6-I6)*Assumptions!$B$23/100</f>
        <v>-28.3543203827216</v>
      </c>
      <c r="K18" s="4" t="n">
        <f aca="false">(K6-J6)*Assumptions!$B$23/100</f>
        <v>-29.0631783922896</v>
      </c>
      <c r="L18" s="4" t="n">
        <f aca="false">(L6-K6)*Assumptions!$B$23/100</f>
        <v>-29.7897578520968</v>
      </c>
    </row>
    <row r="19" customFormat="false" ht="15" hidden="false" customHeight="false" outlineLevel="0" collapsed="false">
      <c r="A19" s="0" t="s">
        <v>132</v>
      </c>
      <c r="C19" s="0" t="n">
        <f aca="false">C15+C16+C17+C18</f>
        <v>893.8498665</v>
      </c>
      <c r="D19" s="0" t="n">
        <f aca="false">D15+D16+D17+D18</f>
        <v>877.795897089</v>
      </c>
      <c r="E19" s="0" t="n">
        <f aca="false">E15+E16+E17+E18</f>
        <v>908.00254374954</v>
      </c>
      <c r="F19" s="0" t="n">
        <f aca="false">F15+F16+F17+F18</f>
        <v>971.623875722672</v>
      </c>
      <c r="G19" s="0" t="n">
        <f aca="false">G15+G16+G17+G18</f>
        <v>1000.77259199435</v>
      </c>
      <c r="H19" s="0" t="n">
        <f aca="false">H15+H16+H17+H18</f>
        <v>1030.79576975418</v>
      </c>
      <c r="I19" s="0" t="n">
        <f aca="false">I15+I16+I17+I18</f>
        <v>1061.93707207433</v>
      </c>
      <c r="J19" s="0" t="n">
        <f aca="false">J15+J16+J17+J18</f>
        <v>1088.48549887619</v>
      </c>
      <c r="K19" s="0" t="n">
        <f aca="false">K15+K16+K17+K18</f>
        <v>1115.69763634809</v>
      </c>
      <c r="L19" s="0" t="n">
        <f aca="false">L15+L16+L17+L18</f>
        <v>1143.59007725679</v>
      </c>
    </row>
    <row r="20" customFormat="false" ht="15" hidden="false" customHeight="false" outlineLevel="0" collapsed="false">
      <c r="A20" s="0" t="s">
        <v>133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134</v>
      </c>
      <c r="C21" s="0" t="n">
        <f aca="false">C19*C20</f>
        <v>823.824761751152</v>
      </c>
      <c r="D21" s="0" t="n">
        <f aca="false">D19*D20</f>
        <v>745.648365511266</v>
      </c>
      <c r="E21" s="0" t="n">
        <f aca="false">E19*E20</f>
        <v>710.882544897218</v>
      </c>
      <c r="F21" s="0" t="n">
        <f aca="false">F19*F20</f>
        <v>701.098802702242</v>
      </c>
      <c r="G21" s="0" t="n">
        <f aca="false">G19*G20</f>
        <v>665.559232058349</v>
      </c>
      <c r="H21" s="0" t="n">
        <f aca="false">H19*H20</f>
        <v>631.821206470138</v>
      </c>
      <c r="I21" s="0" t="n">
        <f aca="false">I19*I20</f>
        <v>599.916234877236</v>
      </c>
      <c r="J21" s="0" t="n">
        <f aca="false">J19*J20</f>
        <v>566.741143547619</v>
      </c>
      <c r="K21" s="0" t="n">
        <f aca="false">K19*K20</f>
        <v>535.40061948047</v>
      </c>
      <c r="L21" s="0" t="n">
        <f aca="false">L19*L20</f>
        <v>505.793211951596</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8.5</v>
      </c>
    </row>
    <row r="28" customFormat="false" ht="15" hidden="false" customHeight="false" outlineLevel="0" collapsed="false">
      <c r="A28" s="0" t="s">
        <v>115</v>
      </c>
      <c r="B28" s="4" t="n">
        <f aca="false">Assumptions!$B$21</f>
        <v>2</v>
      </c>
    </row>
    <row r="29" customFormat="false" ht="15" hidden="false" customHeight="false" outlineLevel="0" collapsed="false">
      <c r="A29" s="0" t="s">
        <v>116</v>
      </c>
      <c r="B29" s="4" t="n">
        <f aca="false">Assumptions!$B$22</f>
        <v>14</v>
      </c>
    </row>
    <row r="30" customFormat="false" ht="15" hidden="false" customHeight="false" outlineLevel="0" collapsed="false">
      <c r="A30" s="0" t="s">
        <v>137</v>
      </c>
      <c r="B30" s="0" t="n">
        <f aca="false">SUM(C21:L21)</f>
        <v>6486.68612324729</v>
      </c>
    </row>
    <row r="31" customFormat="false" ht="15" hidden="false" customHeight="false" outlineLevel="0" collapsed="false">
      <c r="A31" s="0" t="s">
        <v>138</v>
      </c>
      <c r="B31" s="0" t="n">
        <f aca="false">L19</f>
        <v>1143.59007725679</v>
      </c>
    </row>
    <row r="32" customFormat="false" ht="15" hidden="false" customHeight="false" outlineLevel="0" collapsed="false">
      <c r="A32" s="0" t="s">
        <v>139</v>
      </c>
      <c r="B32" s="0" t="n">
        <f aca="false">IF(B27&gt;B28,B31*(1+B28/100)/((B27-B28)/100),B31*B29)</f>
        <v>17945.5673661835</v>
      </c>
    </row>
    <row r="33" customFormat="false" ht="15" hidden="false" customHeight="false" outlineLevel="0" collapsed="false">
      <c r="A33" s="0" t="s">
        <v>140</v>
      </c>
      <c r="B33" s="0" t="n">
        <f aca="false">B31*B29</f>
        <v>16010.2610815951</v>
      </c>
    </row>
    <row r="34" customFormat="false" ht="15" hidden="false" customHeight="false" outlineLevel="0" collapsed="false">
      <c r="A34" s="0" t="s">
        <v>141</v>
      </c>
      <c r="B34" s="0" t="n">
        <f aca="false">MAX(0,MIN(B32,B33))</f>
        <v>16010.2610815951</v>
      </c>
    </row>
    <row r="35" customFormat="false" ht="15" hidden="false" customHeight="false" outlineLevel="0" collapsed="false">
      <c r="A35" s="0" t="s">
        <v>142</v>
      </c>
      <c r="B35" s="0" t="n">
        <f aca="false">B34/(1+B27/100)^L4</f>
        <v>7081.10496732234</v>
      </c>
    </row>
    <row r="36" customFormat="false" ht="15" hidden="false" customHeight="false" outlineLevel="0" collapsed="false">
      <c r="A36" s="0" t="s">
        <v>143</v>
      </c>
      <c r="B36" s="0" t="n">
        <f aca="false">B30+B35</f>
        <v>13567.7910905696</v>
      </c>
    </row>
    <row r="37" customFormat="false" ht="15" hidden="false" customHeight="false" outlineLevel="0" collapsed="false">
      <c r="A37" s="0" t="s">
        <v>144</v>
      </c>
      <c r="B37" s="0" t="n">
        <f aca="false">B36+Assumptions!$B$5-Assumptions!$B$4</f>
        <v>10870.2910905696</v>
      </c>
    </row>
    <row r="38" customFormat="false" ht="15" hidden="false" customHeight="false" outlineLevel="0" collapsed="false">
      <c r="A38" s="0" t="s">
        <v>145</v>
      </c>
      <c r="B38" s="0" t="n">
        <f aca="false">B37/Assumptions!$B$3*Assumptions!$B$10</f>
        <v>91.9652376528733</v>
      </c>
    </row>
    <row r="39" customFormat="false" ht="15" hidden="false" customHeight="false" outlineLevel="0" collapsed="false">
      <c r="A39" s="0" t="s">
        <v>146</v>
      </c>
      <c r="B39" s="4" t="n">
        <f aca="false">B38/Assumptions!$B$2-1</f>
        <v>-0.335367220836357</v>
      </c>
    </row>
    <row r="41" customFormat="false" ht="15" hidden="false" customHeight="false" outlineLevel="0" collapsed="false">
      <c r="A41" s="0" t="s">
        <v>147</v>
      </c>
      <c r="B41" s="0" t="n">
        <f aca="false">SUMPRODUCT(-C10:L10/(1+$B$27/100)^C4:L4)</f>
        <v>729.952076231883</v>
      </c>
    </row>
    <row r="42" customFormat="false" ht="15" hidden="false" customHeight="false" outlineLevel="0" collapsed="false">
      <c r="A42" s="0" t="s">
        <v>148</v>
      </c>
      <c r="B42" s="0" t="n">
        <f aca="false">IF(B27&gt;B28,-L10*(1+B28/100)/((B27-B28)/100),-L10*20)/(1+B27/100)^L4</f>
        <v>847.696252114885</v>
      </c>
    </row>
    <row r="43" customFormat="false" ht="15" hidden="false" customHeight="false" outlineLevel="0" collapsed="false">
      <c r="A43" s="0" t="s">
        <v>149</v>
      </c>
      <c r="B43" s="0" t="n">
        <f aca="false">(B37+B41+B42)/Assumptions!$B$3*Assumptions!$B$10</f>
        <v>105.312516234487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8972.78368309176</v>
      </c>
    </row>
    <row r="47" customFormat="false" ht="15" hidden="false" customHeight="false" outlineLevel="0" collapsed="false">
      <c r="A47" s="0" t="s">
        <v>151</v>
      </c>
      <c r="B47" s="0" t="n">
        <f aca="false">(SUMPRODUCT(C19:L19/(1+B45/100)^C4:L4)+B46/(1+B45/100)^L4+Assumptions!$B$5-Assumptions!$B$4)/Assumptions!$B$3*Assumptions!$B$10</f>
        <v>37.3271698933905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8</v>
      </c>
      <c r="D5" s="4" t="n">
        <f aca="false">Assumptions!D27</f>
        <v>7</v>
      </c>
      <c r="E5" s="4" t="n">
        <f aca="false">Assumptions!E27</f>
        <v>6</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37</v>
      </c>
      <c r="B6" s="3" t="n">
        <v>9543</v>
      </c>
      <c r="C6" s="0" t="n">
        <f aca="false">B6*(1+C5/100)</f>
        <v>10306.44</v>
      </c>
      <c r="D6" s="0" t="n">
        <f aca="false">C6*(1+D5/100)</f>
        <v>11027.8908</v>
      </c>
      <c r="E6" s="0" t="n">
        <f aca="false">D6*(1+E5/100)</f>
        <v>11689.564248</v>
      </c>
      <c r="F6" s="0" t="n">
        <f aca="false">E6*(1+F5/100)</f>
        <v>12274.0424604</v>
      </c>
      <c r="G6" s="0" t="n">
        <f aca="false">F6*(1+G5/100)</f>
        <v>12826.374371118</v>
      </c>
      <c r="H6" s="0" t="n">
        <f aca="false">G6*(1+H5/100)</f>
        <v>13339.4293459627</v>
      </c>
      <c r="I6" s="0" t="n">
        <f aca="false">H6*(1+I5/100)</f>
        <v>13806.3093730714</v>
      </c>
      <c r="J6" s="0" t="n">
        <f aca="false">I6*(1+J5/100)</f>
        <v>14220.4986542636</v>
      </c>
      <c r="K6" s="0" t="n">
        <f aca="false">J6*(1+K5/100)</f>
        <v>14647.1136138915</v>
      </c>
      <c r="L6" s="0" t="n">
        <f aca="false">K6*(1+L5/100)</f>
        <v>15013.2914542388</v>
      </c>
    </row>
    <row r="7" customFormat="false" ht="15" hidden="false" customHeight="false" outlineLevel="0" collapsed="false">
      <c r="A7" s="0" t="s">
        <v>108</v>
      </c>
      <c r="C7" s="4" t="n">
        <f aca="false">Assumptions!C28</f>
        <v>15.8</v>
      </c>
      <c r="D7" s="4" t="n">
        <f aca="false">Assumptions!D28</f>
        <v>16.2</v>
      </c>
      <c r="E7" s="4" t="n">
        <f aca="false">Assumptions!E28</f>
        <v>16.6</v>
      </c>
      <c r="F7" s="4" t="n">
        <f aca="false">Assumptions!F28</f>
        <v>16.8</v>
      </c>
      <c r="G7" s="4" t="n">
        <f aca="false">Assumptions!G28</f>
        <v>17</v>
      </c>
      <c r="H7" s="4" t="n">
        <f aca="false">Assumptions!H28</f>
        <v>17</v>
      </c>
      <c r="I7" s="4" t="n">
        <f aca="false">Assumptions!I28</f>
        <v>17</v>
      </c>
      <c r="J7" s="4" t="n">
        <f aca="false">Assumptions!J28</f>
        <v>17</v>
      </c>
      <c r="K7" s="4" t="n">
        <f aca="false">Assumptions!K28</f>
        <v>17</v>
      </c>
      <c r="L7" s="4" t="n">
        <f aca="false">Assumptions!L28</f>
        <v>17</v>
      </c>
    </row>
    <row r="8" customFormat="false" ht="15" hidden="false" customHeight="false" outlineLevel="0" collapsed="false">
      <c r="A8" s="0" t="s">
        <v>43</v>
      </c>
      <c r="C8" s="0" t="n">
        <f aca="false">C6*C7/100</f>
        <v>1628.41752</v>
      </c>
      <c r="D8" s="0" t="n">
        <f aca="false">D6*D7/100</f>
        <v>1786.5183096</v>
      </c>
      <c r="E8" s="0" t="n">
        <f aca="false">E6*E7/100</f>
        <v>1940.467665168</v>
      </c>
      <c r="F8" s="0" t="n">
        <f aca="false">F6*F7/100</f>
        <v>2062.0391333472</v>
      </c>
      <c r="G8" s="0" t="n">
        <f aca="false">G6*G7/100</f>
        <v>2180.48364309006</v>
      </c>
      <c r="H8" s="0" t="n">
        <f aca="false">H6*H7/100</f>
        <v>2267.70298881366</v>
      </c>
      <c r="I8" s="0" t="n">
        <f aca="false">I6*I7/100</f>
        <v>2347.07259342214</v>
      </c>
      <c r="J8" s="0" t="n">
        <f aca="false">J6*J7/100</f>
        <v>2417.48477122481</v>
      </c>
      <c r="K8" s="0" t="n">
        <f aca="false">K6*K7/100</f>
        <v>2490.00931436155</v>
      </c>
      <c r="L8" s="0" t="n">
        <f aca="false">L6*L7/100</f>
        <v>2552.25954722059</v>
      </c>
    </row>
    <row r="9" customFormat="false" ht="15" hidden="false" customHeight="false" outlineLevel="0" collapsed="false">
      <c r="A9" s="0" t="s">
        <v>109</v>
      </c>
      <c r="C9" s="4" t="n">
        <f aca="false">Assumptions!C29</f>
        <v>1.05</v>
      </c>
      <c r="D9" s="4" t="n">
        <f aca="false">Assumptions!D29</f>
        <v>1.05</v>
      </c>
      <c r="E9" s="4" t="n">
        <f aca="false">Assumptions!E29</f>
        <v>1</v>
      </c>
      <c r="F9" s="4" t="n">
        <f aca="false">Assumptions!F29</f>
        <v>1</v>
      </c>
      <c r="G9" s="4" t="n">
        <f aca="false">Assumptions!G29</f>
        <v>1</v>
      </c>
      <c r="H9" s="4" t="n">
        <f aca="false">Assumptions!H29</f>
        <v>1</v>
      </c>
      <c r="I9" s="4" t="n">
        <f aca="false">Assumptions!I29</f>
        <v>1</v>
      </c>
      <c r="J9" s="4" t="n">
        <f aca="false">Assumptions!J29</f>
        <v>1</v>
      </c>
      <c r="K9" s="4" t="n">
        <f aca="false">Assumptions!K29</f>
        <v>1</v>
      </c>
      <c r="L9" s="4" t="n">
        <f aca="false">Assumptions!L29</f>
        <v>1</v>
      </c>
    </row>
    <row r="10" customFormat="false" ht="15" hidden="false" customHeight="false" outlineLevel="0" collapsed="false">
      <c r="A10" s="0" t="s">
        <v>124</v>
      </c>
      <c r="C10" s="0" t="n">
        <f aca="false">-C6*C9/100</f>
        <v>-108.21762</v>
      </c>
      <c r="D10" s="0" t="n">
        <f aca="false">-D6*D9/100</f>
        <v>-115.7928534</v>
      </c>
      <c r="E10" s="0" t="n">
        <f aca="false">-E6*E9/100</f>
        <v>-116.89564248</v>
      </c>
      <c r="F10" s="0" t="n">
        <f aca="false">-F6*F9/100</f>
        <v>-122.740424604</v>
      </c>
      <c r="G10" s="0" t="n">
        <f aca="false">-G6*G9/100</f>
        <v>-128.26374371118</v>
      </c>
      <c r="H10" s="0" t="n">
        <f aca="false">-H6*H9/100</f>
        <v>-133.394293459627</v>
      </c>
      <c r="I10" s="0" t="n">
        <f aca="false">-I6*I9/100</f>
        <v>-138.063093730714</v>
      </c>
      <c r="J10" s="0" t="n">
        <f aca="false">-J6*J9/100</f>
        <v>-142.204986542636</v>
      </c>
      <c r="K10" s="0" t="n">
        <f aca="false">-K6*K9/100</f>
        <v>-146.471136138915</v>
      </c>
      <c r="L10" s="0" t="n">
        <f aca="false">-L6*L9/100</f>
        <v>-150.132914542388</v>
      </c>
    </row>
    <row r="11" customFormat="false" ht="15" hidden="false" customHeight="false" outlineLevel="0" collapsed="false">
      <c r="A11" s="0" t="s">
        <v>125</v>
      </c>
      <c r="C11" s="0" t="n">
        <f aca="false">C8+C10+C24</f>
        <v>1520.1999</v>
      </c>
      <c r="D11" s="0" t="n">
        <f aca="false">D8+D10+D24</f>
        <v>1670.7254562</v>
      </c>
      <c r="E11" s="0" t="n">
        <f aca="false">E8+E10+E24</f>
        <v>1823.572022688</v>
      </c>
      <c r="F11" s="0" t="n">
        <f aca="false">F8+F10+F24</f>
        <v>1939.2987087432</v>
      </c>
      <c r="G11" s="0" t="n">
        <f aca="false">G8+G10+G24</f>
        <v>2052.21989937888</v>
      </c>
      <c r="H11" s="0" t="n">
        <f aca="false">H8+H10+H24</f>
        <v>2134.30869535404</v>
      </c>
      <c r="I11" s="0" t="n">
        <f aca="false">I8+I10+I24</f>
        <v>2209.00949969143</v>
      </c>
      <c r="J11" s="0" t="n">
        <f aca="false">J8+J10+J24</f>
        <v>2275.27978468217</v>
      </c>
      <c r="K11" s="0" t="n">
        <f aca="false">K8+K10+K24</f>
        <v>2343.53817822264</v>
      </c>
      <c r="L11" s="0" t="n">
        <f aca="false">L8+L10+L24</f>
        <v>2402.1266326782</v>
      </c>
    </row>
    <row r="12" customFormat="false" ht="15" hidden="false" customHeight="false" outlineLevel="0" collapsed="false">
      <c r="A12" s="0" t="s">
        <v>126</v>
      </c>
      <c r="C12" s="4" t="n">
        <f aca="false">-C6*Assumptions!C31/100</f>
        <v>-97.91118</v>
      </c>
      <c r="D12" s="4" t="n">
        <f aca="false">-D6*Assumptions!D31/100</f>
        <v>-104.7649626</v>
      </c>
      <c r="E12" s="4" t="n">
        <f aca="false">-E6*Assumptions!E31/100</f>
        <v>-111.050860356</v>
      </c>
      <c r="F12" s="4" t="n">
        <f aca="false">-F6*Assumptions!F31/100</f>
        <v>-116.6034033738</v>
      </c>
      <c r="G12" s="4" t="n">
        <f aca="false">-G6*Assumptions!G31/100</f>
        <v>-121.850556525621</v>
      </c>
      <c r="H12" s="4" t="n">
        <f aca="false">-H6*Assumptions!H31/100</f>
        <v>-126.724578786646</v>
      </c>
      <c r="I12" s="4" t="n">
        <f aca="false">-I6*Assumptions!I31/100</f>
        <v>-131.159939044179</v>
      </c>
      <c r="J12" s="4" t="n">
        <f aca="false">-J6*Assumptions!J31/100</f>
        <v>-135.094737215504</v>
      </c>
      <c r="K12" s="4" t="n">
        <f aca="false">-K6*Assumptions!K31/100</f>
        <v>-139.147579331969</v>
      </c>
      <c r="L12" s="4" t="n">
        <f aca="false">-L6*Assumptions!L31/100</f>
        <v>-142.626268815268</v>
      </c>
    </row>
    <row r="13" customFormat="false" ht="15" hidden="false" customHeight="false" outlineLevel="0" collapsed="false">
      <c r="A13" s="0" t="s">
        <v>127</v>
      </c>
      <c r="C13" s="0" t="n">
        <f aca="false">C11+C12</f>
        <v>1422.28872</v>
      </c>
      <c r="D13" s="0" t="n">
        <f aca="false">D11+D12</f>
        <v>1565.9604936</v>
      </c>
      <c r="E13" s="0" t="n">
        <f aca="false">E11+E12</f>
        <v>1712.521162332</v>
      </c>
      <c r="F13" s="0" t="n">
        <f aca="false">F11+F12</f>
        <v>1822.6953053694</v>
      </c>
      <c r="G13" s="0" t="n">
        <f aca="false">G11+G12</f>
        <v>1930.36934285326</v>
      </c>
      <c r="H13" s="0" t="n">
        <f aca="false">H11+H12</f>
        <v>2007.58411656739</v>
      </c>
      <c r="I13" s="0" t="n">
        <f aca="false">I11+I12</f>
        <v>2077.84956064725</v>
      </c>
      <c r="J13" s="0" t="n">
        <f aca="false">J11+J12</f>
        <v>2140.18504746667</v>
      </c>
      <c r="K13" s="0" t="n">
        <f aca="false">K11+K12</f>
        <v>2204.39059889067</v>
      </c>
      <c r="L13" s="0" t="n">
        <f aca="false">L11+L12</f>
        <v>2259.50036386293</v>
      </c>
    </row>
    <row r="14" customFormat="false" ht="15" hidden="false" customHeight="false" outlineLevel="0" collapsed="false">
      <c r="A14" s="0" t="s">
        <v>113</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128</v>
      </c>
      <c r="C15" s="0" t="n">
        <f aca="false">C13-MAX(0,C13)*C14/100</f>
        <v>1052.4936528</v>
      </c>
      <c r="D15" s="0" t="n">
        <f aca="false">D13-MAX(0,D13)*D14/100</f>
        <v>1158.810765264</v>
      </c>
      <c r="E15" s="0" t="n">
        <f aca="false">E13-MAX(0,E13)*E14/100</f>
        <v>1267.26566012568</v>
      </c>
      <c r="F15" s="0" t="n">
        <f aca="false">F13-MAX(0,F13)*F14/100</f>
        <v>1348.79452597336</v>
      </c>
      <c r="G15" s="0" t="n">
        <f aca="false">G13-MAX(0,G13)*G14/100</f>
        <v>1428.47331371141</v>
      </c>
      <c r="H15" s="0" t="n">
        <f aca="false">H13-MAX(0,H13)*H14/100</f>
        <v>1485.61224625987</v>
      </c>
      <c r="I15" s="0" t="n">
        <f aca="false">I13-MAX(0,I13)*I14/100</f>
        <v>1537.60867487896</v>
      </c>
      <c r="J15" s="0" t="n">
        <f aca="false">J13-MAX(0,J13)*J14/100</f>
        <v>1583.73693512533</v>
      </c>
      <c r="K15" s="0" t="n">
        <f aca="false">K13-MAX(0,K13)*K14/100</f>
        <v>1631.24904317909</v>
      </c>
      <c r="L15" s="0" t="n">
        <f aca="false">L13-MAX(0,L13)*L14/100</f>
        <v>1672.03026925857</v>
      </c>
    </row>
    <row r="16" customFormat="false" ht="15" hidden="false" customHeight="false" outlineLevel="0" collapsed="false">
      <c r="A16" s="0" t="s">
        <v>129</v>
      </c>
      <c r="C16" s="0" t="n">
        <f aca="false">-C12</f>
        <v>97.91118</v>
      </c>
      <c r="D16" s="0" t="n">
        <f aca="false">-D12</f>
        <v>104.7649626</v>
      </c>
      <c r="E16" s="0" t="n">
        <f aca="false">-E12</f>
        <v>111.050860356</v>
      </c>
      <c r="F16" s="0" t="n">
        <f aca="false">-F12</f>
        <v>116.6034033738</v>
      </c>
      <c r="G16" s="0" t="n">
        <f aca="false">-G12</f>
        <v>121.850556525621</v>
      </c>
      <c r="H16" s="0" t="n">
        <f aca="false">-H12</f>
        <v>126.724578786646</v>
      </c>
      <c r="I16" s="0" t="n">
        <f aca="false">-I12</f>
        <v>131.159939044179</v>
      </c>
      <c r="J16" s="0" t="n">
        <f aca="false">-J12</f>
        <v>135.094737215504</v>
      </c>
      <c r="K16" s="0" t="n">
        <f aca="false">-K12</f>
        <v>139.147579331969</v>
      </c>
      <c r="L16" s="0" t="n">
        <f aca="false">-L12</f>
        <v>142.626268815268</v>
      </c>
    </row>
    <row r="17" customFormat="false" ht="15" hidden="false" customHeight="false" outlineLevel="0" collapsed="false">
      <c r="A17" s="0" t="s">
        <v>130</v>
      </c>
      <c r="C17" s="4" t="n">
        <f aca="false">-C6*Assumptions!C32/100</f>
        <v>-103.0644</v>
      </c>
      <c r="D17" s="4" t="n">
        <f aca="false">-D6*Assumptions!D32/100</f>
        <v>-110.278908</v>
      </c>
      <c r="E17" s="4" t="n">
        <f aca="false">-E6*Assumptions!E32/100</f>
        <v>-116.89564248</v>
      </c>
      <c r="F17" s="4" t="n">
        <f aca="false">-F6*Assumptions!F32/100</f>
        <v>-122.740424604</v>
      </c>
      <c r="G17" s="4" t="n">
        <f aca="false">-G6*Assumptions!G32/100</f>
        <v>-128.26374371118</v>
      </c>
      <c r="H17" s="4" t="n">
        <f aca="false">-H6*Assumptions!H32/100</f>
        <v>-133.394293459627</v>
      </c>
      <c r="I17" s="4" t="n">
        <f aca="false">-I6*Assumptions!I32/100</f>
        <v>-138.063093730714</v>
      </c>
      <c r="J17" s="4" t="n">
        <f aca="false">-J6*Assumptions!J32/100</f>
        <v>-142.204986542636</v>
      </c>
      <c r="K17" s="4" t="n">
        <f aca="false">-K6*Assumptions!K32/100</f>
        <v>-146.471136138915</v>
      </c>
      <c r="L17" s="4" t="n">
        <f aca="false">-L6*Assumptions!L32/100</f>
        <v>-150.132914542388</v>
      </c>
    </row>
    <row r="18" customFormat="false" ht="15" hidden="false" customHeight="false" outlineLevel="0" collapsed="false">
      <c r="A18" s="0" t="s">
        <v>131</v>
      </c>
      <c r="C18" s="4" t="n">
        <f aca="false">(C6-B6)*Assumptions!$B$37/100</f>
        <v>-76.3440000000001</v>
      </c>
      <c r="D18" s="4" t="n">
        <f aca="false">(D6-C6)*Assumptions!$B$37/100</f>
        <v>-72.1450800000001</v>
      </c>
      <c r="E18" s="4" t="n">
        <f aca="false">(E6-D6)*Assumptions!$B$37/100</f>
        <v>-66.1673448000001</v>
      </c>
      <c r="F18" s="4" t="n">
        <f aca="false">(F6-E6)*Assumptions!$B$37/100</f>
        <v>-58.4478212400001</v>
      </c>
      <c r="G18" s="4" t="n">
        <f aca="false">(G6-F6)*Assumptions!$B$37/100</f>
        <v>-55.2331910718</v>
      </c>
      <c r="H18" s="4" t="n">
        <f aca="false">(H6-G6)*Assumptions!$B$37/100</f>
        <v>-51.3054974844721</v>
      </c>
      <c r="I18" s="4" t="n">
        <f aca="false">(I6-H6)*Assumptions!$B$37/100</f>
        <v>-46.6880027108695</v>
      </c>
      <c r="J18" s="4" t="n">
        <f aca="false">(J6-I6)*Assumptions!$B$37/100</f>
        <v>-41.4189281192143</v>
      </c>
      <c r="K18" s="4" t="n">
        <f aca="false">(K6-J6)*Assumptions!$B$37/100</f>
        <v>-42.6614959627907</v>
      </c>
      <c r="L18" s="4" t="n">
        <f aca="false">(L6-K6)*Assumptions!$B$37/100</f>
        <v>-36.6177840347285</v>
      </c>
    </row>
    <row r="19" customFormat="false" ht="15" hidden="false" customHeight="false" outlineLevel="0" collapsed="false">
      <c r="A19" s="0" t="s">
        <v>132</v>
      </c>
      <c r="C19" s="0" t="n">
        <f aca="false">C15+C16+C17+C18</f>
        <v>970.9964328</v>
      </c>
      <c r="D19" s="0" t="n">
        <f aca="false">D15+D16+D17+D18</f>
        <v>1081.151739864</v>
      </c>
      <c r="E19" s="0" t="n">
        <f aca="false">E15+E16+E17+E18</f>
        <v>1195.25353320168</v>
      </c>
      <c r="F19" s="0" t="n">
        <f aca="false">F15+F16+F17+F18</f>
        <v>1284.20968350316</v>
      </c>
      <c r="G19" s="0" t="n">
        <f aca="false">G15+G16+G17+G18</f>
        <v>1366.82693545405</v>
      </c>
      <c r="H19" s="0" t="n">
        <f aca="false">H15+H16+H17+H18</f>
        <v>1427.63703410242</v>
      </c>
      <c r="I19" s="0" t="n">
        <f aca="false">I15+I16+I17+I18</f>
        <v>1484.01751748156</v>
      </c>
      <c r="J19" s="0" t="n">
        <f aca="false">J15+J16+J17+J18</f>
        <v>1535.20775767899</v>
      </c>
      <c r="K19" s="0" t="n">
        <f aca="false">K15+K16+K17+K18</f>
        <v>1581.26399040936</v>
      </c>
      <c r="L19" s="0" t="n">
        <f aca="false">L15+L16+L17+L18</f>
        <v>1627.90583949672</v>
      </c>
    </row>
    <row r="20" customFormat="false" ht="15" hidden="false" customHeight="false" outlineLevel="0" collapsed="false">
      <c r="A20" s="0" t="s">
        <v>133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134</v>
      </c>
      <c r="C21" s="0" t="n">
        <f aca="false">C19*C20</f>
        <v>894.927587834102</v>
      </c>
      <c r="D21" s="0" t="n">
        <f aca="false">D19*D20</f>
        <v>918.390061257619</v>
      </c>
      <c r="E21" s="0" t="n">
        <f aca="false">E19*E20</f>
        <v>935.773670821538</v>
      </c>
      <c r="F21" s="0" t="n">
        <f aca="false">F19*F20</f>
        <v>926.652683223765</v>
      </c>
      <c r="G21" s="0" t="n">
        <f aca="false">G19*G20</f>
        <v>909.001997851077</v>
      </c>
      <c r="H21" s="0" t="n">
        <f aca="false">H19*H20</f>
        <v>875.063111195289</v>
      </c>
      <c r="I21" s="0" t="n">
        <f aca="false">I19*I20</f>
        <v>838.360600633675</v>
      </c>
      <c r="J21" s="0" t="n">
        <f aca="false">J19*J20</f>
        <v>799.335775321279</v>
      </c>
      <c r="K21" s="0" t="n">
        <f aca="false">K19*K20</f>
        <v>758.816450304993</v>
      </c>
      <c r="L21" s="0" t="n">
        <f aca="false">L19*L20</f>
        <v>719.999009862793</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8.5</v>
      </c>
    </row>
    <row r="28" customFormat="false" ht="15" hidden="false" customHeight="false" outlineLevel="0" collapsed="false">
      <c r="A28" s="0" t="s">
        <v>115</v>
      </c>
      <c r="B28" s="4" t="n">
        <f aca="false">Assumptions!$B$35</f>
        <v>2.5</v>
      </c>
    </row>
    <row r="29" customFormat="false" ht="15" hidden="false" customHeight="false" outlineLevel="0" collapsed="false">
      <c r="A29" s="0" t="s">
        <v>116</v>
      </c>
      <c r="B29" s="4" t="n">
        <f aca="false">Assumptions!$B$36</f>
        <v>18</v>
      </c>
    </row>
    <row r="30" customFormat="false" ht="15" hidden="false" customHeight="false" outlineLevel="0" collapsed="false">
      <c r="A30" s="0" t="s">
        <v>137</v>
      </c>
      <c r="B30" s="0" t="n">
        <f aca="false">SUM(C21:L21)</f>
        <v>8576.32094830613</v>
      </c>
    </row>
    <row r="31" customFormat="false" ht="15" hidden="false" customHeight="false" outlineLevel="0" collapsed="false">
      <c r="A31" s="0" t="s">
        <v>138</v>
      </c>
      <c r="B31" s="0" t="n">
        <f aca="false">L19</f>
        <v>1627.90583949672</v>
      </c>
    </row>
    <row r="32" customFormat="false" ht="15" hidden="false" customHeight="false" outlineLevel="0" collapsed="false">
      <c r="A32" s="0" t="s">
        <v>139</v>
      </c>
      <c r="B32" s="0" t="n">
        <f aca="false">IF(B27&gt;B28,B31*(1+B28/100)/((B27-B28)/100),B31*B29)</f>
        <v>27810.0580914023</v>
      </c>
    </row>
    <row r="33" customFormat="false" ht="15" hidden="false" customHeight="false" outlineLevel="0" collapsed="false">
      <c r="A33" s="0" t="s">
        <v>140</v>
      </c>
      <c r="B33" s="0" t="n">
        <f aca="false">B31*B29</f>
        <v>29302.305110941</v>
      </c>
    </row>
    <row r="34" customFormat="false" ht="15" hidden="false" customHeight="false" outlineLevel="0" collapsed="false">
      <c r="A34" s="0" t="s">
        <v>141</v>
      </c>
      <c r="B34" s="0" t="n">
        <f aca="false">MAX(0,MIN(B32,B33))</f>
        <v>27810.0580914023</v>
      </c>
    </row>
    <row r="35" customFormat="false" ht="15" hidden="false" customHeight="false" outlineLevel="0" collapsed="false">
      <c r="A35" s="0" t="s">
        <v>142</v>
      </c>
      <c r="B35" s="0" t="n">
        <f aca="false">B34/(1+B27/100)^L4</f>
        <v>12299.9830851561</v>
      </c>
    </row>
    <row r="36" customFormat="false" ht="15" hidden="false" customHeight="false" outlineLevel="0" collapsed="false">
      <c r="A36" s="0" t="s">
        <v>143</v>
      </c>
      <c r="B36" s="0" t="n">
        <f aca="false">B30+B35</f>
        <v>20876.3040334622</v>
      </c>
    </row>
    <row r="37" customFormat="false" ht="15" hidden="false" customHeight="false" outlineLevel="0" collapsed="false">
      <c r="A37" s="0" t="s">
        <v>144</v>
      </c>
      <c r="B37" s="0" t="n">
        <f aca="false">B36+Assumptions!$B$5-Assumptions!$B$4</f>
        <v>18178.8040334622</v>
      </c>
    </row>
    <row r="38" customFormat="false" ht="15" hidden="false" customHeight="false" outlineLevel="0" collapsed="false">
      <c r="A38" s="0" t="s">
        <v>145</v>
      </c>
      <c r="B38" s="0" t="n">
        <f aca="false">B37/Assumptions!$B$3*Assumptions!$B$10</f>
        <v>153.796988438766</v>
      </c>
    </row>
    <row r="39" customFormat="false" ht="15" hidden="false" customHeight="false" outlineLevel="0" collapsed="false">
      <c r="A39" s="0" t="s">
        <v>146</v>
      </c>
      <c r="B39" s="4" t="n">
        <f aca="false">B38/Assumptions!$B$2-1</f>
        <v>0.111490846561872</v>
      </c>
    </row>
    <row r="41" customFormat="false" ht="15" hidden="false" customHeight="false" outlineLevel="0" collapsed="false">
      <c r="A41" s="0" t="s">
        <v>147</v>
      </c>
      <c r="B41" s="0" t="n">
        <f aca="false">SUMPRODUCT(-C10:L10/(1+$B$27/100)^C4:L4)</f>
        <v>833.977456846107</v>
      </c>
    </row>
    <row r="42" customFormat="false" ht="15" hidden="false" customHeight="false" outlineLevel="0" collapsed="false">
      <c r="A42" s="0" t="s">
        <v>148</v>
      </c>
      <c r="B42" s="0" t="n">
        <f aca="false">IF(B27&gt;B28,-L10*(1+B28/100)/((B27-B28)/100),-L10*20)/(1+B27/100)^L4</f>
        <v>1134.36063965926</v>
      </c>
    </row>
    <row r="43" customFormat="false" ht="15" hidden="false" customHeight="false" outlineLevel="0" collapsed="false">
      <c r="A43" s="0" t="s">
        <v>149</v>
      </c>
      <c r="B43" s="0" t="n">
        <f aca="false">(B37+B41+B42)/Assumptions!$B$3*Assumptions!$B$10</f>
        <v>170.449595008186</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13348.8278838731</v>
      </c>
    </row>
    <row r="47" customFormat="false" ht="15" hidden="false" customHeight="false" outlineLevel="0" collapsed="false">
      <c r="A47" s="0" t="s">
        <v>151</v>
      </c>
      <c r="B47" s="0" t="n">
        <f aca="false">(SUMPRODUCT(C19:L19/(1+B45/100)^C4:L4)+B46/(1+B45/100)^L4+Assumptions!$B$5-Assumptions!$B$4)/Assumptions!$B$3*Assumptions!$B$10</f>
        <v>59.1584990899882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11</v>
      </c>
      <c r="D5" s="4" t="n">
        <f aca="false">Assumptions!D41</f>
        <v>10</v>
      </c>
      <c r="E5" s="4" t="n">
        <f aca="false">Assumptions!E41</f>
        <v>9</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37</v>
      </c>
      <c r="B6" s="3" t="n">
        <v>9543</v>
      </c>
      <c r="C6" s="0" t="n">
        <f aca="false">B6*(1+C5/100)</f>
        <v>10592.73</v>
      </c>
      <c r="D6" s="0" t="n">
        <f aca="false">C6*(1+D5/100)</f>
        <v>11652.003</v>
      </c>
      <c r="E6" s="0" t="n">
        <f aca="false">D6*(1+E5/100)</f>
        <v>12700.68327</v>
      </c>
      <c r="F6" s="0" t="n">
        <f aca="false">E6*(1+F5/100)</f>
        <v>13716.7379316</v>
      </c>
      <c r="G6" s="0" t="n">
        <f aca="false">F6*(1+G5/100)</f>
        <v>14676.909586812</v>
      </c>
      <c r="H6" s="0" t="n">
        <f aca="false">G6*(1+H5/100)</f>
        <v>15557.5241620207</v>
      </c>
      <c r="I6" s="0" t="n">
        <f aca="false">H6*(1+I5/100)</f>
        <v>16335.4003701218</v>
      </c>
      <c r="J6" s="0" t="n">
        <f aca="false">I6*(1+J5/100)</f>
        <v>16988.8163849266</v>
      </c>
      <c r="K6" s="0" t="n">
        <f aca="false">J6*(1+K5/100)</f>
        <v>17583.4249583991</v>
      </c>
      <c r="L6" s="0" t="n">
        <f aca="false">K6*(1+L5/100)</f>
        <v>18110.927707151</v>
      </c>
    </row>
    <row r="7" customFormat="false" ht="15" hidden="false" customHeight="false" outlineLevel="0" collapsed="false">
      <c r="A7" s="0" t="s">
        <v>108</v>
      </c>
      <c r="C7" s="4" t="n">
        <f aca="false">Assumptions!C42</f>
        <v>16.2</v>
      </c>
      <c r="D7" s="4" t="n">
        <f aca="false">Assumptions!D42</f>
        <v>16.8</v>
      </c>
      <c r="E7" s="4" t="n">
        <f aca="false">Assumptions!E42</f>
        <v>17.4</v>
      </c>
      <c r="F7" s="4" t="n">
        <f aca="false">Assumptions!F42</f>
        <v>17.8</v>
      </c>
      <c r="G7" s="4" t="n">
        <f aca="false">Assumptions!G42</f>
        <v>18</v>
      </c>
      <c r="H7" s="4" t="n">
        <f aca="false">Assumptions!H42</f>
        <v>18</v>
      </c>
      <c r="I7" s="4" t="n">
        <f aca="false">Assumptions!I42</f>
        <v>18</v>
      </c>
      <c r="J7" s="4" t="n">
        <f aca="false">Assumptions!J42</f>
        <v>18</v>
      </c>
      <c r="K7" s="4" t="n">
        <f aca="false">Assumptions!K42</f>
        <v>18</v>
      </c>
      <c r="L7" s="4" t="n">
        <f aca="false">Assumptions!L42</f>
        <v>18</v>
      </c>
    </row>
    <row r="8" customFormat="false" ht="15" hidden="false" customHeight="false" outlineLevel="0" collapsed="false">
      <c r="A8" s="0" t="s">
        <v>43</v>
      </c>
      <c r="C8" s="0" t="n">
        <f aca="false">C6*C7/100</f>
        <v>1716.02226</v>
      </c>
      <c r="D8" s="0" t="n">
        <f aca="false">D6*D7/100</f>
        <v>1957.536504</v>
      </c>
      <c r="E8" s="0" t="n">
        <f aca="false">E6*E7/100</f>
        <v>2209.91888898</v>
      </c>
      <c r="F8" s="0" t="n">
        <f aca="false">F6*F7/100</f>
        <v>2441.5793518248</v>
      </c>
      <c r="G8" s="0" t="n">
        <f aca="false">G6*G7/100</f>
        <v>2641.84372562616</v>
      </c>
      <c r="H8" s="0" t="n">
        <f aca="false">H6*H7/100</f>
        <v>2800.35434916373</v>
      </c>
      <c r="I8" s="0" t="n">
        <f aca="false">I6*I7/100</f>
        <v>2940.37206662192</v>
      </c>
      <c r="J8" s="0" t="n">
        <f aca="false">J6*J7/100</f>
        <v>3057.98694928679</v>
      </c>
      <c r="K8" s="0" t="n">
        <f aca="false">K6*K7/100</f>
        <v>3165.01649251183</v>
      </c>
      <c r="L8" s="0" t="n">
        <f aca="false">L6*L7/100</f>
        <v>3259.96698728719</v>
      </c>
    </row>
    <row r="9" customFormat="false" ht="15" hidden="false" customHeight="false" outlineLevel="0" collapsed="false">
      <c r="A9" s="0" t="s">
        <v>109</v>
      </c>
      <c r="C9" s="4" t="n">
        <f aca="false">Assumptions!C43</f>
        <v>1.05</v>
      </c>
      <c r="D9" s="4" t="n">
        <f aca="false">Assumptions!D43</f>
        <v>1.05</v>
      </c>
      <c r="E9" s="4" t="n">
        <f aca="false">Assumptions!E43</f>
        <v>1</v>
      </c>
      <c r="F9" s="4" t="n">
        <f aca="false">Assumptions!F43</f>
        <v>1</v>
      </c>
      <c r="G9" s="4" t="n">
        <f aca="false">Assumptions!G43</f>
        <v>1</v>
      </c>
      <c r="H9" s="4" t="n">
        <f aca="false">Assumptions!H43</f>
        <v>1</v>
      </c>
      <c r="I9" s="4" t="n">
        <f aca="false">Assumptions!I43</f>
        <v>1</v>
      </c>
      <c r="J9" s="4" t="n">
        <f aca="false">Assumptions!J43</f>
        <v>1</v>
      </c>
      <c r="K9" s="4" t="n">
        <f aca="false">Assumptions!K43</f>
        <v>1</v>
      </c>
      <c r="L9" s="4" t="n">
        <f aca="false">Assumptions!L43</f>
        <v>1</v>
      </c>
    </row>
    <row r="10" customFormat="false" ht="15" hidden="false" customHeight="false" outlineLevel="0" collapsed="false">
      <c r="A10" s="0" t="s">
        <v>124</v>
      </c>
      <c r="C10" s="0" t="n">
        <f aca="false">-C6*C9/100</f>
        <v>-111.223665</v>
      </c>
      <c r="D10" s="0" t="n">
        <f aca="false">-D6*D9/100</f>
        <v>-122.3460315</v>
      </c>
      <c r="E10" s="0" t="n">
        <f aca="false">-E6*E9/100</f>
        <v>-127.0068327</v>
      </c>
      <c r="F10" s="0" t="n">
        <f aca="false">-F6*F9/100</f>
        <v>-137.167379316</v>
      </c>
      <c r="G10" s="0" t="n">
        <f aca="false">-G6*G9/100</f>
        <v>-146.76909586812</v>
      </c>
      <c r="H10" s="0" t="n">
        <f aca="false">-H6*H9/100</f>
        <v>-155.575241620207</v>
      </c>
      <c r="I10" s="0" t="n">
        <f aca="false">-I6*I9/100</f>
        <v>-163.354003701218</v>
      </c>
      <c r="J10" s="0" t="n">
        <f aca="false">-J6*J9/100</f>
        <v>-169.888163849266</v>
      </c>
      <c r="K10" s="0" t="n">
        <f aca="false">-K6*K9/100</f>
        <v>-175.834249583991</v>
      </c>
      <c r="L10" s="0" t="n">
        <f aca="false">-L6*L9/100</f>
        <v>-181.10927707151</v>
      </c>
    </row>
    <row r="11" customFormat="false" ht="15" hidden="false" customHeight="false" outlineLevel="0" collapsed="false">
      <c r="A11" s="0" t="s">
        <v>125</v>
      </c>
      <c r="C11" s="0" t="n">
        <f aca="false">C8+C10+C24</f>
        <v>1604.798595</v>
      </c>
      <c r="D11" s="0" t="n">
        <f aca="false">D8+D10+D24</f>
        <v>1835.1904725</v>
      </c>
      <c r="E11" s="0" t="n">
        <f aca="false">E8+E10+E24</f>
        <v>2082.91205628</v>
      </c>
      <c r="F11" s="0" t="n">
        <f aca="false">F8+F10+F24</f>
        <v>2304.4119725088</v>
      </c>
      <c r="G11" s="0" t="n">
        <f aca="false">G8+G10+G24</f>
        <v>2495.07462975804</v>
      </c>
      <c r="H11" s="0" t="n">
        <f aca="false">H8+H10+H24</f>
        <v>2644.77910754352</v>
      </c>
      <c r="I11" s="0" t="n">
        <f aca="false">I8+I10+I24</f>
        <v>2777.0180629207</v>
      </c>
      <c r="J11" s="0" t="n">
        <f aca="false">J8+J10+J24</f>
        <v>2888.09878543753</v>
      </c>
      <c r="K11" s="0" t="n">
        <f aca="false">K8+K10+K24</f>
        <v>2989.18224292784</v>
      </c>
      <c r="L11" s="0" t="n">
        <f aca="false">L8+L10+L24</f>
        <v>3078.85771021568</v>
      </c>
    </row>
    <row r="12" customFormat="false" ht="15" hidden="false" customHeight="false" outlineLevel="0" collapsed="false">
      <c r="A12" s="0" t="s">
        <v>126</v>
      </c>
      <c r="C12" s="4" t="n">
        <f aca="false">-C6*Assumptions!C45/100</f>
        <v>-100.630935</v>
      </c>
      <c r="D12" s="4" t="n">
        <f aca="false">-D6*Assumptions!D45/100</f>
        <v>-110.6940285</v>
      </c>
      <c r="E12" s="4" t="n">
        <f aca="false">-E6*Assumptions!E45/100</f>
        <v>-120.656491065</v>
      </c>
      <c r="F12" s="4" t="n">
        <f aca="false">-F6*Assumptions!F45/100</f>
        <v>-130.3090103502</v>
      </c>
      <c r="G12" s="4" t="n">
        <f aca="false">-G6*Assumptions!G45/100</f>
        <v>-139.430641074714</v>
      </c>
      <c r="H12" s="4" t="n">
        <f aca="false">-H6*Assumptions!H45/100</f>
        <v>-147.796479539197</v>
      </c>
      <c r="I12" s="4" t="n">
        <f aca="false">-I6*Assumptions!I45/100</f>
        <v>-155.186303516157</v>
      </c>
      <c r="J12" s="4" t="n">
        <f aca="false">-J6*Assumptions!J45/100</f>
        <v>-161.393755656803</v>
      </c>
      <c r="K12" s="4" t="n">
        <f aca="false">-K6*Assumptions!K45/100</f>
        <v>-167.042537104791</v>
      </c>
      <c r="L12" s="4" t="n">
        <f aca="false">-L6*Assumptions!L45/100</f>
        <v>-172.053813217935</v>
      </c>
    </row>
    <row r="13" customFormat="false" ht="15" hidden="false" customHeight="false" outlineLevel="0" collapsed="false">
      <c r="A13" s="0" t="s">
        <v>127</v>
      </c>
      <c r="C13" s="0" t="n">
        <f aca="false">C11+C12</f>
        <v>1504.16766</v>
      </c>
      <c r="D13" s="0" t="n">
        <f aca="false">D11+D12</f>
        <v>1724.496444</v>
      </c>
      <c r="E13" s="0" t="n">
        <f aca="false">E11+E12</f>
        <v>1962.255565215</v>
      </c>
      <c r="F13" s="0" t="n">
        <f aca="false">F11+F12</f>
        <v>2174.1029621586</v>
      </c>
      <c r="G13" s="0" t="n">
        <f aca="false">G11+G12</f>
        <v>2355.64398868333</v>
      </c>
      <c r="H13" s="0" t="n">
        <f aca="false">H11+H12</f>
        <v>2496.98262800433</v>
      </c>
      <c r="I13" s="0" t="n">
        <f aca="false">I11+I12</f>
        <v>2621.83175940454</v>
      </c>
      <c r="J13" s="0" t="n">
        <f aca="false">J11+J12</f>
        <v>2726.70502978073</v>
      </c>
      <c r="K13" s="0" t="n">
        <f aca="false">K11+K12</f>
        <v>2822.13970582305</v>
      </c>
      <c r="L13" s="0" t="n">
        <f aca="false">L11+L12</f>
        <v>2906.80389699774</v>
      </c>
    </row>
    <row r="14" customFormat="false" ht="15" hidden="false" customHeight="false" outlineLevel="0" collapsed="false">
      <c r="A14" s="0" t="s">
        <v>113</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128</v>
      </c>
      <c r="C15" s="0" t="n">
        <f aca="false">C13-MAX(0,C13)*C14/100</f>
        <v>1113.0840684</v>
      </c>
      <c r="D15" s="0" t="n">
        <f aca="false">D13-MAX(0,D13)*D14/100</f>
        <v>1276.12736856</v>
      </c>
      <c r="E15" s="0" t="n">
        <f aca="false">E13-MAX(0,E13)*E14/100</f>
        <v>1452.0691182591</v>
      </c>
      <c r="F15" s="0" t="n">
        <f aca="false">F13-MAX(0,F13)*F14/100</f>
        <v>1608.83619199737</v>
      </c>
      <c r="G15" s="0" t="n">
        <f aca="false">G13-MAX(0,G13)*G14/100</f>
        <v>1743.17655162566</v>
      </c>
      <c r="H15" s="0" t="n">
        <f aca="false">H13-MAX(0,H13)*H14/100</f>
        <v>1847.7671447232</v>
      </c>
      <c r="I15" s="0" t="n">
        <f aca="false">I13-MAX(0,I13)*I14/100</f>
        <v>1940.15550195936</v>
      </c>
      <c r="J15" s="0" t="n">
        <f aca="false">J13-MAX(0,J13)*J14/100</f>
        <v>2017.76172203774</v>
      </c>
      <c r="K15" s="0" t="n">
        <f aca="false">K13-MAX(0,K13)*K14/100</f>
        <v>2088.38338230906</v>
      </c>
      <c r="L15" s="0" t="n">
        <f aca="false">L13-MAX(0,L13)*L14/100</f>
        <v>2151.03488377833</v>
      </c>
    </row>
    <row r="16" customFormat="false" ht="15" hidden="false" customHeight="false" outlineLevel="0" collapsed="false">
      <c r="A16" s="0" t="s">
        <v>129</v>
      </c>
      <c r="C16" s="0" t="n">
        <f aca="false">-C12</f>
        <v>100.630935</v>
      </c>
      <c r="D16" s="0" t="n">
        <f aca="false">-D12</f>
        <v>110.6940285</v>
      </c>
      <c r="E16" s="0" t="n">
        <f aca="false">-E12</f>
        <v>120.656491065</v>
      </c>
      <c r="F16" s="0" t="n">
        <f aca="false">-F12</f>
        <v>130.3090103502</v>
      </c>
      <c r="G16" s="0" t="n">
        <f aca="false">-G12</f>
        <v>139.430641074714</v>
      </c>
      <c r="H16" s="0" t="n">
        <f aca="false">-H12</f>
        <v>147.796479539197</v>
      </c>
      <c r="I16" s="0" t="n">
        <f aca="false">-I12</f>
        <v>155.186303516157</v>
      </c>
      <c r="J16" s="0" t="n">
        <f aca="false">-J12</f>
        <v>161.393755656803</v>
      </c>
      <c r="K16" s="0" t="n">
        <f aca="false">-K12</f>
        <v>167.042537104791</v>
      </c>
      <c r="L16" s="0" t="n">
        <f aca="false">-L12</f>
        <v>172.053813217935</v>
      </c>
    </row>
    <row r="17" customFormat="false" ht="15" hidden="false" customHeight="false" outlineLevel="0" collapsed="false">
      <c r="A17" s="0" t="s">
        <v>130</v>
      </c>
      <c r="C17" s="4" t="n">
        <f aca="false">-C6*Assumptions!C46/100</f>
        <v>-105.9273</v>
      </c>
      <c r="D17" s="4" t="n">
        <f aca="false">-D6*Assumptions!D46/100</f>
        <v>-116.52003</v>
      </c>
      <c r="E17" s="4" t="n">
        <f aca="false">-E6*Assumptions!E46/100</f>
        <v>-127.0068327</v>
      </c>
      <c r="F17" s="4" t="n">
        <f aca="false">-F6*Assumptions!F46/100</f>
        <v>-137.167379316</v>
      </c>
      <c r="G17" s="4" t="n">
        <f aca="false">-G6*Assumptions!G46/100</f>
        <v>-146.76909586812</v>
      </c>
      <c r="H17" s="4" t="n">
        <f aca="false">-H6*Assumptions!H46/100</f>
        <v>-155.575241620207</v>
      </c>
      <c r="I17" s="4" t="n">
        <f aca="false">-I6*Assumptions!I46/100</f>
        <v>-163.354003701218</v>
      </c>
      <c r="J17" s="4" t="n">
        <f aca="false">-J6*Assumptions!J46/100</f>
        <v>-169.888163849266</v>
      </c>
      <c r="K17" s="4" t="n">
        <f aca="false">-K6*Assumptions!K46/100</f>
        <v>-175.834249583991</v>
      </c>
      <c r="L17" s="4" t="n">
        <f aca="false">-L6*Assumptions!L46/100</f>
        <v>-181.10927707151</v>
      </c>
    </row>
    <row r="18" customFormat="false" ht="15" hidden="false" customHeight="false" outlineLevel="0" collapsed="false">
      <c r="A18" s="0" t="s">
        <v>131</v>
      </c>
      <c r="C18" s="4" t="n">
        <f aca="false">(C6-B6)*Assumptions!$B$51/100</f>
        <v>-104.973</v>
      </c>
      <c r="D18" s="4" t="n">
        <f aca="false">(D6-C6)*Assumptions!$B$51/100</f>
        <v>-105.9273</v>
      </c>
      <c r="E18" s="4" t="n">
        <f aca="false">(E6-D6)*Assumptions!$B$51/100</f>
        <v>-104.868027</v>
      </c>
      <c r="F18" s="4" t="n">
        <f aca="false">(F6-E6)*Assumptions!$B$51/100</f>
        <v>-101.60546616</v>
      </c>
      <c r="G18" s="4" t="n">
        <f aca="false">(G6-F6)*Assumptions!$B$51/100</f>
        <v>-96.0171655212002</v>
      </c>
      <c r="H18" s="4" t="n">
        <f aca="false">(H6-G6)*Assumptions!$B$51/100</f>
        <v>-88.0614575208721</v>
      </c>
      <c r="I18" s="4" t="n">
        <f aca="false">(I6-H6)*Assumptions!$B$51/100</f>
        <v>-77.7876208101037</v>
      </c>
      <c r="J18" s="4" t="n">
        <f aca="false">(J6-I6)*Assumptions!$B$51/100</f>
        <v>-65.341601480487</v>
      </c>
      <c r="K18" s="4" t="n">
        <f aca="false">(K6-J6)*Assumptions!$B$51/100</f>
        <v>-59.4608573472429</v>
      </c>
      <c r="L18" s="4" t="n">
        <f aca="false">(L6-K6)*Assumptions!$B$51/100</f>
        <v>-52.7502748751973</v>
      </c>
    </row>
    <row r="19" customFormat="false" ht="15" hidden="false" customHeight="false" outlineLevel="0" collapsed="false">
      <c r="A19" s="0" t="s">
        <v>132</v>
      </c>
      <c r="C19" s="0" t="n">
        <f aca="false">C15+C16+C17+C18</f>
        <v>1002.8147034</v>
      </c>
      <c r="D19" s="0" t="n">
        <f aca="false">D15+D16+D17+D18</f>
        <v>1164.37406706</v>
      </c>
      <c r="E19" s="0" t="n">
        <f aca="false">E15+E16+E17+E18</f>
        <v>1340.8507496241</v>
      </c>
      <c r="F19" s="0" t="n">
        <f aca="false">F15+F16+F17+F18</f>
        <v>1500.37235687156</v>
      </c>
      <c r="G19" s="0" t="n">
        <f aca="false">G15+G16+G17+G18</f>
        <v>1639.82093131106</v>
      </c>
      <c r="H19" s="0" t="n">
        <f aca="false">H15+H16+H17+H18</f>
        <v>1751.92692512132</v>
      </c>
      <c r="I19" s="0" t="n">
        <f aca="false">I15+I16+I17+I18</f>
        <v>1854.2001809642</v>
      </c>
      <c r="J19" s="0" t="n">
        <f aca="false">J15+J16+J17+J18</f>
        <v>1943.92571236479</v>
      </c>
      <c r="K19" s="0" t="n">
        <f aca="false">K15+K16+K17+K18</f>
        <v>2020.13081248261</v>
      </c>
      <c r="L19" s="0" t="n">
        <f aca="false">L15+L16+L17+L18</f>
        <v>2089.22914504956</v>
      </c>
    </row>
    <row r="20" customFormat="false" ht="15" hidden="false" customHeight="false" outlineLevel="0" collapsed="false">
      <c r="A20" s="0" t="s">
        <v>133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134</v>
      </c>
      <c r="C21" s="0" t="n">
        <f aca="false">C19*C20</f>
        <v>924.253182857143</v>
      </c>
      <c r="D21" s="0" t="n">
        <f aca="false">D19*D20</f>
        <v>989.083707073839</v>
      </c>
      <c r="E21" s="0" t="n">
        <f aca="false">E19*E20</f>
        <v>1049.76291066762</v>
      </c>
      <c r="F21" s="0" t="n">
        <f aca="false">F19*F20</f>
        <v>1082.63010954502</v>
      </c>
      <c r="G21" s="0" t="n">
        <f aca="false">G19*G20</f>
        <v>1090.555405381</v>
      </c>
      <c r="H21" s="0" t="n">
        <f aca="false">H19*H20</f>
        <v>1073.83500782278</v>
      </c>
      <c r="I21" s="0" t="n">
        <f aca="false">I19*I20</f>
        <v>1047.48654183425</v>
      </c>
      <c r="J21" s="0" t="n">
        <f aca="false">J19*J20</f>
        <v>1012.14272705948</v>
      </c>
      <c r="K21" s="0" t="n">
        <f aca="false">K19*K20</f>
        <v>969.419718388048</v>
      </c>
      <c r="L21" s="0" t="n">
        <f aca="false">L19*L20</f>
        <v>924.035579525421</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8.5</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20</v>
      </c>
    </row>
    <row r="30" customFormat="false" ht="15" hidden="false" customHeight="false" outlineLevel="0" collapsed="false">
      <c r="A30" s="0" t="s">
        <v>137</v>
      </c>
      <c r="B30" s="0" t="n">
        <f aca="false">SUM(C21:L21)</f>
        <v>10163.2048901546</v>
      </c>
    </row>
    <row r="31" customFormat="false" ht="15" hidden="false" customHeight="false" outlineLevel="0" collapsed="false">
      <c r="A31" s="0" t="s">
        <v>138</v>
      </c>
      <c r="B31" s="0" t="n">
        <f aca="false">L19</f>
        <v>2089.22914504956</v>
      </c>
    </row>
    <row r="32" customFormat="false" ht="15" hidden="false" customHeight="false" outlineLevel="0" collapsed="false">
      <c r="A32" s="0" t="s">
        <v>139</v>
      </c>
      <c r="B32" s="0" t="n">
        <f aca="false">IF(B27&gt;B28,B31*(1+B28/100)/((B27-B28)/100),B31*B29)</f>
        <v>39125.5639891099</v>
      </c>
    </row>
    <row r="33" customFormat="false" ht="15" hidden="false" customHeight="false" outlineLevel="0" collapsed="false">
      <c r="A33" s="0" t="s">
        <v>140</v>
      </c>
      <c r="B33" s="0" t="n">
        <f aca="false">B31*B29</f>
        <v>41784.5829009911</v>
      </c>
    </row>
    <row r="34" customFormat="false" ht="15" hidden="false" customHeight="false" outlineLevel="0" collapsed="false">
      <c r="A34" s="0" t="s">
        <v>141</v>
      </c>
      <c r="B34" s="0" t="n">
        <f aca="false">MAX(0,MIN(B32,B33))</f>
        <v>39125.5639891099</v>
      </c>
    </row>
    <row r="35" customFormat="false" ht="15" hidden="false" customHeight="false" outlineLevel="0" collapsed="false">
      <c r="A35" s="0" t="s">
        <v>142</v>
      </c>
      <c r="B35" s="0" t="n">
        <f aca="false">B34/(1+B27/100)^L4</f>
        <v>17304.6663074761</v>
      </c>
    </row>
    <row r="36" customFormat="false" ht="15" hidden="false" customHeight="false" outlineLevel="0" collapsed="false">
      <c r="A36" s="0" t="s">
        <v>143</v>
      </c>
      <c r="B36" s="0" t="n">
        <f aca="false">B30+B35</f>
        <v>27467.8711976307</v>
      </c>
    </row>
    <row r="37" customFormat="false" ht="15" hidden="false" customHeight="false" outlineLevel="0" collapsed="false">
      <c r="A37" s="0" t="s">
        <v>144</v>
      </c>
      <c r="B37" s="0" t="n">
        <f aca="false">B36+Assumptions!$B$5-Assumptions!$B$4</f>
        <v>24770.3711976307</v>
      </c>
    </row>
    <row r="38" customFormat="false" ht="15" hidden="false" customHeight="false" outlineLevel="0" collapsed="false">
      <c r="A38" s="0" t="s">
        <v>145</v>
      </c>
      <c r="B38" s="0" t="n">
        <f aca="false">B37/Assumptions!$B$3*Assumptions!$B$10</f>
        <v>209.563208101782</v>
      </c>
    </row>
    <row r="39" customFormat="false" ht="15" hidden="false" customHeight="false" outlineLevel="0" collapsed="false">
      <c r="A39" s="0" t="s">
        <v>146</v>
      </c>
      <c r="B39" s="4" t="n">
        <f aca="false">B38/Assumptions!$B$2-1</f>
        <v>0.514513320096714</v>
      </c>
    </row>
    <row r="41" customFormat="false" ht="15" hidden="false" customHeight="false" outlineLevel="0" collapsed="false">
      <c r="A41" s="0" t="s">
        <v>147</v>
      </c>
      <c r="B41" s="0" t="n">
        <f aca="false">SUMPRODUCT(-C10:L10/(1+$B$27/100)^C4:L4)</f>
        <v>943.035933102437</v>
      </c>
    </row>
    <row r="42" customFormat="false" ht="15" hidden="false" customHeight="false" outlineLevel="0" collapsed="false">
      <c r="A42" s="0" t="s">
        <v>148</v>
      </c>
      <c r="B42" s="0" t="n">
        <f aca="false">IF(B27&gt;B28,-L10*(1+B28/100)/((B27-B28)/100),-L10*20)/(1+B27/100)^L4</f>
        <v>1500.09184599824</v>
      </c>
    </row>
    <row r="43" customFormat="false" ht="15" hidden="false" customHeight="false" outlineLevel="0" collapsed="false">
      <c r="A43" s="0" t="s">
        <v>149</v>
      </c>
      <c r="B43" s="0" t="n">
        <f aca="false">(B37+B41+B42)/Assumptions!$B$3*Assumptions!$B$10</f>
        <v>230.232647857287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17932.5501616754</v>
      </c>
    </row>
    <row r="47" customFormat="false" ht="15" hidden="false" customHeight="false" outlineLevel="0" collapsed="false">
      <c r="A47" s="0" t="s">
        <v>151</v>
      </c>
      <c r="B47" s="0" t="n">
        <f aca="false">(SUMPRODUCT(C19:L19/(1+B45/100)^C4:L4)+B46/(1+B45/100)^L4+Assumptions!$B$5-Assumptions!$B$4)/Assumptions!$B$3*Assumptions!$B$10</f>
        <v>78.0284950574693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91.9652376528733</v>
      </c>
      <c r="C4" s="0" t="n">
        <f aca="false">B4/Assumptions!$B$2-1</f>
        <v>-0.335367220836357</v>
      </c>
      <c r="D4" s="4" t="n">
        <f aca="false">Assumptions!$B$24</f>
        <v>0.25</v>
      </c>
      <c r="E4" s="4" t="n">
        <f aca="false">DCF_Bear!$B$43</f>
        <v>105.312516234487</v>
      </c>
      <c r="F4" s="4" t="n">
        <f aca="false">DCF_Bear!$B$47</f>
        <v>37.3271698933905</v>
      </c>
    </row>
    <row r="5" customFormat="false" ht="15" hidden="false" customHeight="false" outlineLevel="0" collapsed="false">
      <c r="A5" s="0" t="s">
        <v>160</v>
      </c>
      <c r="B5" s="4" t="n">
        <f aca="false">DCF_Base!$B$38</f>
        <v>153.796988438766</v>
      </c>
      <c r="C5" s="0" t="n">
        <f aca="false">B5/Assumptions!$B$2-1</f>
        <v>0.111490846561872</v>
      </c>
      <c r="D5" s="4" t="n">
        <f aca="false">Assumptions!$B$38</f>
        <v>0.5</v>
      </c>
      <c r="E5" s="4" t="n">
        <f aca="false">DCF_Base!$B$43</f>
        <v>170.449595008186</v>
      </c>
      <c r="F5" s="4" t="n">
        <f aca="false">DCF_Base!$B$47</f>
        <v>59.1584990899882</v>
      </c>
    </row>
    <row r="6" customFormat="false" ht="15" hidden="false" customHeight="false" outlineLevel="0" collapsed="false">
      <c r="A6" s="0" t="s">
        <v>161</v>
      </c>
      <c r="B6" s="4" t="n">
        <f aca="false">DCF_Bull!$B$38</f>
        <v>209.563208101782</v>
      </c>
      <c r="C6" s="0" t="n">
        <f aca="false">B6/Assumptions!$B$2-1</f>
        <v>0.514513320096714</v>
      </c>
      <c r="D6" s="4" t="n">
        <f aca="false">Assumptions!$B$52</f>
        <v>0.25</v>
      </c>
      <c r="E6" s="4" t="n">
        <f aca="false">DCF_Bull!$B$43</f>
        <v>230.232647857287</v>
      </c>
      <c r="F6" s="4" t="n">
        <f aca="false">DCF_Bull!$B$47</f>
        <v>78.0284950574693</v>
      </c>
    </row>
    <row r="8" customFormat="false" ht="15" hidden="false" customHeight="false" outlineLevel="0" collapsed="false">
      <c r="A8" s="0" t="s">
        <v>162</v>
      </c>
      <c r="B8" s="0" t="n">
        <f aca="false">SUMPRODUCT(B4:B6,D4:D6)</f>
        <v>152.280605658047</v>
      </c>
    </row>
    <row r="9" customFormat="false" ht="15" hidden="false" customHeight="false" outlineLevel="0" collapsed="false">
      <c r="A9" s="0" t="s">
        <v>163</v>
      </c>
      <c r="B9" s="0" t="n">
        <f aca="false">SUMPRODUCT(E4:E6,D4:D6)</f>
        <v>169.111088527036</v>
      </c>
    </row>
    <row r="10" customFormat="false" ht="15" hidden="false" customHeight="false" outlineLevel="0" collapsed="false">
      <c r="A10" s="0" t="s">
        <v>164</v>
      </c>
      <c r="B10" s="0" t="n">
        <f aca="false">1-Assumptions!$B$2/B8</f>
        <v>0.0913485049388624</v>
      </c>
    </row>
    <row r="11" customFormat="false" ht="15" hidden="false" customHeight="false" outlineLevel="0" collapsed="false">
      <c r="A11" s="0" t="s">
        <v>165</v>
      </c>
      <c r="B11" s="0" t="n">
        <f aca="false">IF(ABS(B9-B8)&gt;0.01*ABS(B8),(Assumptions!$B$2-B8)/(B9-B8)*100,"n/a")</f>
        <v>-82.6512570454989</v>
      </c>
    </row>
    <row r="12" customFormat="false" ht="15" hidden="false" customHeight="false" outlineLevel="0" collapsed="false">
      <c r="A12" s="0" t="s">
        <v>166</v>
      </c>
      <c r="B12" s="0" t="n">
        <f aca="false">SUMPRODUCT(F4:F6,D4:D6)</f>
        <v>58.4181657827091</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153.796988438766</v>
      </c>
      <c r="C15" s="3" t="n">
        <v>8.5</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139.739746927348</v>
      </c>
      <c r="C16" s="3" t="n">
        <v>9</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117.275657999948</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100.127943026462</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86.6160976658231</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59.1584990899882</v>
      </c>
      <c r="C20" s="3" t="n">
        <v>15</v>
      </c>
    </row>
    <row r="22" customFormat="false" ht="15" hidden="false" customHeight="false" outlineLevel="0" collapsed="false">
      <c r="A22" s="2" t="s">
        <v>175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189.410021523282</v>
      </c>
      <c r="C24" s="0" t="n">
        <f aca="false">(SUMPRODUCT(DCF_Base!$C$19:$L$19/(1+$A$24/100)^DCF_Base!$C$4:$L$4)+MAX(0,MIN(IF($A$24&gt;$C$23,DCF_Base!$L$19*(1+$C$23/100)/(($A$24-$C$23)/100),DCF_Base!$L$19*DCF_Base!$B$29),DCF_Base!$L$19*DCF_Base!$B$29))/(1+$A$24/100)^DCF_Base!$L$4+Assumptions!$B$5-Assumptions!$B$4)/Assumptions!$B$3*Assumptions!$B$10</f>
        <v>189.410021523282</v>
      </c>
      <c r="D24" s="0" t="n">
        <f aca="false">(SUMPRODUCT(DCF_Base!$C$19:$L$19/(1+$A$24/100)^DCF_Base!$C$4:$L$4)+MAX(0,MIN(IF($A$24&gt;$D$23,DCF_Base!$L$19*(1+$D$23/100)/(($A$24-$D$23)/100),DCF_Base!$L$19*DCF_Base!$B$29),DCF_Base!$L$19*DCF_Base!$B$29))/(1+$A$24/100)^DCF_Base!$L$4+Assumptions!$B$5-Assumptions!$B$4)/Assumptions!$B$3*Assumptions!$B$10</f>
        <v>189.410021523282</v>
      </c>
      <c r="E24" s="0" t="n">
        <f aca="false">(SUMPRODUCT(DCF_Base!$C$19:$L$19/(1+$A$24/100)^DCF_Base!$C$4:$L$4)+MAX(0,MIN(IF($A$24&gt;$E$23,DCF_Base!$L$19*(1+$E$23/100)/(($A$24-$E$23)/100),DCF_Base!$L$19*DCF_Base!$B$29),DCF_Base!$L$19*DCF_Base!$B$29))/(1+$A$24/100)^DCF_Base!$L$4+Assumptions!$B$5-Assumptions!$B$4)/Assumptions!$B$3*Assumptions!$B$10</f>
        <v>189.410021523282</v>
      </c>
      <c r="F24" s="0" t="n">
        <f aca="false">(SUMPRODUCT(DCF_Base!$C$19:$L$19/(1+$A$24/100)^DCF_Base!$C$4:$L$4)+MAX(0,MIN(IF($A$24&gt;$F$23,DCF_Base!$L$19*(1+$F$23/100)/(($A$24-$F$23)/100),DCF_Base!$L$19*DCF_Base!$B$29),DCF_Base!$L$19*DCF_Base!$B$29))/(1+$A$24/100)^DCF_Base!$L$4+Assumptions!$B$5-Assumptions!$B$4)/Assumptions!$B$3*Assumptions!$B$10</f>
        <v>189.410021523282</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166.444333971702</v>
      </c>
      <c r="C25" s="0" t="n">
        <f aca="false">(SUMPRODUCT(DCF_Base!$C$19:$L$19/(1+$A$25/100)^DCF_Base!$C$4:$L$4)+MAX(0,MIN(IF($A$25&gt;$C$23,DCF_Base!$L$19*(1+$C$23/100)/(($A$25-$C$23)/100),DCF_Base!$L$19*DCF_Base!$B$29),DCF_Base!$L$19*DCF_Base!$B$29))/(1+$A$25/100)^DCF_Base!$L$4+Assumptions!$B$5-Assumptions!$B$4)/Assumptions!$B$3*Assumptions!$B$10</f>
        <v>173.683512186038</v>
      </c>
      <c r="D25" s="0" t="n">
        <f aca="false">(SUMPRODUCT(DCF_Base!$C$19:$L$19/(1+$A$25/100)^DCF_Base!$C$4:$L$4)+MAX(0,MIN(IF($A$25&gt;$D$23,DCF_Base!$L$19*(1+$D$23/100)/(($A$25-$D$23)/100),DCF_Base!$L$19*DCF_Base!$B$29),DCF_Base!$L$19*DCF_Base!$B$29))/(1+$A$25/100)^DCF_Base!$L$4+Assumptions!$B$5-Assumptions!$B$4)/Assumptions!$B$3*Assumptions!$B$10</f>
        <v>173.683512186038</v>
      </c>
      <c r="E25" s="0" t="n">
        <f aca="false">(SUMPRODUCT(DCF_Base!$C$19:$L$19/(1+$A$25/100)^DCF_Base!$C$4:$L$4)+MAX(0,MIN(IF($A$25&gt;$E$23,DCF_Base!$L$19*(1+$E$23/100)/(($A$25-$E$23)/100),DCF_Base!$L$19*DCF_Base!$B$29),DCF_Base!$L$19*DCF_Base!$B$29))/(1+$A$25/100)^DCF_Base!$L$4+Assumptions!$B$5-Assumptions!$B$4)/Assumptions!$B$3*Assumptions!$B$10</f>
        <v>173.683512186038</v>
      </c>
      <c r="F25" s="0" t="n">
        <f aca="false">(SUMPRODUCT(DCF_Base!$C$19:$L$19/(1+$A$25/100)^DCF_Base!$C$4:$L$4)+MAX(0,MIN(IF($A$25&gt;$F$23,DCF_Base!$L$19*(1+$F$23/100)/(($A$25-$F$23)/100),DCF_Base!$L$19*DCF_Base!$B$29),DCF_Base!$L$19*DCF_Base!$B$29))/(1+$A$25/100)^DCF_Base!$L$4+Assumptions!$B$5-Assumptions!$B$4)/Assumptions!$B$3*Assumptions!$B$10</f>
        <v>173.683512186038</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138.060969469684</v>
      </c>
      <c r="C26" s="0" t="n">
        <f aca="false">(SUMPRODUCT(DCF_Base!$C$19:$L$19/(1+$A$26/100)^DCF_Base!$C$4:$L$4)+MAX(0,MIN(IF($A$26&gt;$C$23,DCF_Base!$L$19*(1+$C$23/100)/(($A$26-$C$23)/100),DCF_Base!$L$19*DCF_Base!$B$29),DCF_Base!$L$19*DCF_Base!$B$29))/(1+$A$26/100)^DCF_Base!$L$4+Assumptions!$B$5-Assumptions!$B$4)/Assumptions!$B$3*Assumptions!$B$10</f>
        <v>145.323747455414</v>
      </c>
      <c r="D26" s="0" t="n">
        <f aca="false">(SUMPRODUCT(DCF_Base!$C$19:$L$19/(1+$A$26/100)^DCF_Base!$C$4:$L$4)+MAX(0,MIN(IF($A$26&gt;$D$23,DCF_Base!$L$19*(1+$D$23/100)/(($A$26-$D$23)/100),DCF_Base!$L$19*DCF_Base!$B$29),DCF_Base!$L$19*DCF_Base!$B$29))/(1+$A$26/100)^DCF_Base!$L$4+Assumptions!$B$5-Assumptions!$B$4)/Assumptions!$B$3*Assumptions!$B$10</f>
        <v>153.796988438766</v>
      </c>
      <c r="E26" s="0" t="n">
        <f aca="false">(SUMPRODUCT(DCF_Base!$C$19:$L$19/(1+$A$26/100)^DCF_Base!$C$4:$L$4)+MAX(0,MIN(IF($A$26&gt;$E$23,DCF_Base!$L$19*(1+$E$23/100)/(($A$26-$E$23)/100),DCF_Base!$L$19*DCF_Base!$B$29),DCF_Base!$L$19*DCF_Base!$B$29))/(1+$A$26/100)^DCF_Base!$L$4+Assumptions!$B$5-Assumptions!$B$4)/Assumptions!$B$3*Assumptions!$B$10</f>
        <v>159.380737105215</v>
      </c>
      <c r="F26" s="0" t="n">
        <f aca="false">(SUMPRODUCT(DCF_Base!$C$19:$L$19/(1+$A$26/100)^DCF_Base!$C$4:$L$4)+MAX(0,MIN(IF($A$26&gt;$F$23,DCF_Base!$L$19*(1+$F$23/100)/(($A$26-$F$23)/100),DCF_Base!$L$19*DCF_Base!$B$29),DCF_Base!$L$19*DCF_Base!$B$29))/(1+$A$26/100)^DCF_Base!$L$4+Assumptions!$B$5-Assumptions!$B$4)/Assumptions!$B$3*Assumptions!$B$10</f>
        <v>159.380737105215</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116.833930394481</v>
      </c>
      <c r="C27" s="0" t="n">
        <f aca="false">(SUMPRODUCT(DCF_Base!$C$19:$L$19/(1+$A$27/100)^DCF_Base!$C$4:$L$4)+MAX(0,MIN(IF($A$27&gt;$C$23,DCF_Base!$L$19*(1+$C$23/100)/(($A$27-$C$23)/100),DCF_Base!$L$19*DCF_Base!$B$29),DCF_Base!$L$19*DCF_Base!$B$29))/(1+$A$27/100)^DCF_Base!$L$4+Assumptions!$B$5-Assumptions!$B$4)/Assumptions!$B$3*Assumptions!$B$10</f>
        <v>121.905045703982</v>
      </c>
      <c r="D27" s="0" t="n">
        <f aca="false">(SUMPRODUCT(DCF_Base!$C$19:$L$19/(1+$A$27/100)^DCF_Base!$C$4:$L$4)+MAX(0,MIN(IF($A$27&gt;$D$23,DCF_Base!$L$19*(1+$D$23/100)/(($A$27-$D$23)/100),DCF_Base!$L$19*DCF_Base!$B$29),DCF_Base!$L$19*DCF_Base!$B$29))/(1+$A$27/100)^DCF_Base!$L$4+Assumptions!$B$5-Assumptions!$B$4)/Assumptions!$B$3*Assumptions!$B$10</f>
        <v>127.700606057698</v>
      </c>
      <c r="E27" s="0" t="n">
        <f aca="false">(SUMPRODUCT(DCF_Base!$C$19:$L$19/(1+$A$27/100)^DCF_Base!$C$4:$L$4)+MAX(0,MIN(IF($A$27&gt;$E$23,DCF_Base!$L$19*(1+$E$23/100)/(($A$27-$E$23)/100),DCF_Base!$L$19*DCF_Base!$B$29),DCF_Base!$L$19*DCF_Base!$B$29))/(1+$A$27/100)^DCF_Base!$L$4+Assumptions!$B$5-Assumptions!$B$4)/Assumptions!$B$3*Assumptions!$B$10</f>
        <v>134.387791081216</v>
      </c>
      <c r="F27" s="0" t="n">
        <f aca="false">(SUMPRODUCT(DCF_Base!$C$19:$L$19/(1+$A$27/100)^DCF_Base!$C$4:$L$4)+MAX(0,MIN(IF($A$27&gt;$F$23,DCF_Base!$L$19*(1+$F$23/100)/(($A$27-$F$23)/100),DCF_Base!$L$19*DCF_Base!$B$29),DCF_Base!$L$19*DCF_Base!$B$29))/(1+$A$27/100)^DCF_Base!$L$4+Assumptions!$B$5-Assumptions!$B$4)/Assumptions!$B$3*Assumptions!$B$10</f>
        <v>142.189506941987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100.374110231096</v>
      </c>
      <c r="C28" s="0" t="n">
        <f aca="false">(SUMPRODUCT(DCF_Base!$C$19:$L$19/(1+$A$28/100)^DCF_Base!$C$4:$L$4)+MAX(0,MIN(IF($A$28&gt;$C$23,DCF_Base!$L$19*(1+$C$23/100)/(($A$28-$C$23)/100),DCF_Base!$L$19*DCF_Base!$B$29),DCF_Base!$L$19*DCF_Base!$B$29))/(1+$A$28/100)^DCF_Base!$L$4+Assumptions!$B$5-Assumptions!$B$4)/Assumptions!$B$3*Assumptions!$B$10</f>
        <v>104.03899118027</v>
      </c>
      <c r="D28" s="0" t="n">
        <f aca="false">(SUMPRODUCT(DCF_Base!$C$19:$L$19/(1+$A$28/100)^DCF_Base!$C$4:$L$4)+MAX(0,MIN(IF($A$28&gt;$D$23,DCF_Base!$L$19*(1+$D$23/100)/(($A$28-$D$23)/100),DCF_Base!$L$19*DCF_Base!$B$29),DCF_Base!$L$19*DCF_Base!$B$29))/(1+$A$28/100)^DCF_Base!$L$4+Assumptions!$B$5-Assumptions!$B$4)/Assumptions!$B$3*Assumptions!$B$10</f>
        <v>108.161982248092</v>
      </c>
      <c r="E28" s="0" t="n">
        <f aca="false">(SUMPRODUCT(DCF_Base!$C$19:$L$19/(1+$A$28/100)^DCF_Base!$C$4:$L$4)+MAX(0,MIN(IF($A$28&gt;$E$23,DCF_Base!$L$19*(1+$E$23/100)/(($A$28-$E$23)/100),DCF_Base!$L$19*DCF_Base!$B$29),DCF_Base!$L$19*DCF_Base!$B$29))/(1+$A$28/100)^DCF_Base!$L$4+Assumptions!$B$5-Assumptions!$B$4)/Assumptions!$B$3*Assumptions!$B$10</f>
        <v>112.834705458289</v>
      </c>
      <c r="F28" s="0" t="n">
        <f aca="false">(SUMPRODUCT(DCF_Base!$C$19:$L$19/(1+$A$28/100)^DCF_Base!$C$4:$L$4)+MAX(0,MIN(IF($A$28&gt;$F$23,DCF_Base!$L$19*(1+$F$23/100)/(($A$28-$F$23)/100),DCF_Base!$L$19*DCF_Base!$B$29),DCF_Base!$L$19*DCF_Base!$B$29))/(1+$A$28/100)^DCF_Base!$L$4+Assumptions!$B$5-Assumptions!$B$4)/Assumptions!$B$3*Assumptions!$B$10</f>
        <v>118.174960555658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2026-09-28T22:10:32Z</dcterms:created>
  <dc:creator>openpyxl</dc:creator>
  <dc:description/>
  <dc:language>en-NZ</dc:language>
  <cp:lastModifiedBy/>
  <dcterms:modified xsi:type="dcterms:W3CDTF">2026-09-28T22:10:32Z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