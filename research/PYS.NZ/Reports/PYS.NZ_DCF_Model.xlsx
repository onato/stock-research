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5">
    <font>
      <name val="Calibri"/>
      <family val="2"/>
      <color theme="1"/>
      <sz val="11"/>
      <scheme val="minor"/>
    </font>
    <font>
      <b val="1"/>
    </font>
    <font>
      <color rgb="000000CC"/>
    </font>
    <font>
      <b val="1"/>
      <color rgb="00FFFFFF"/>
    </font>
    <font>
      <color rgb="00007700"/>
    </font>
  </fonts>
  <fills count="4">
    <fill>
      <patternFill/>
    </fill>
    <fill>
      <patternFill patternType="gray125"/>
    </fill>
    <fill>
      <patternFill patternType="solid">
        <fgColor rgb="00FFF2AB"/>
      </patternFill>
    </fill>
    <fill>
      <patternFill patternType="solid">
        <fgColor rgb="003333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pivotButton="0" quotePrefix="0" xfId="0"/>
    <xf numFmtId="164" fontId="2" fillId="2" borderId="0" pivotButton="0" quotePrefix="0" xfId="0"/>
    <xf numFmtId="0" fontId="4" fillId="0" borderId="0" pivotButton="0" quotePrefix="0" xfId="0"/>
    <xf numFmtId="164" fontId="0" fillId="0" borderId="0" pivotButton="0" quotePrefix="0" xfId="0"/>
    <xf numFmtId="165" fontId="1" fillId="2" borderId="0" pivotButton="0" quotePrefix="0" xfId="0"/>
    <xf numFmtId="165" fontId="0" fillId="0" borderId="0" pivotButton="0" quotePrefix="0" xfId="0"/>
    <xf numFmtId="165" fontId="4" fillId="0" borderId="0" pivotButton="0" quotePrefix="0" xfId="0"/>
    <xf numFmtId="9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PaySauce Limited (PYS.NZ) DCF model - version 1.0 (fresh build, supersedes nothing)</t>
        </is>
      </c>
    </row>
    <row r="2">
      <c r="A2" s="1" t="inlineStr">
        <is>
          <t>Built by the dcf-analyst agent (Claude Fable 5) on 2026-08-26 at the user's request, alongside PYS.NZ_DCF.json (the two must agree).</t>
        </is>
      </c>
    </row>
    <row r="3">
      <c r="A3" s="1" t="inlineStr">
        <is>
          <t>MODEL: owner-FCF DCF, two-driver revenue variant. Processing/subscription fees (+other) are grown on scenario paths; interest income on the customer payroll FLOAT is a separate hardcoded rate-dependent driver in dollars - the two lines must never share a blended growth rate.</t>
        </is>
      </c>
    </row>
    <row r="4">
      <c r="A4" s="1" t="inlineStr">
        <is>
          <t>DATA VINTAGE: price NZD 0.225 (Yahoo Finance, 2026-08-26 12:39 NZT, regular session, intraday). Balance sheet 31-Mar-2026 (FY2026 Annual Report): own cash 4.521m, total debt 0, closing shares on issue 164.246m (kpis SharesOnIssueClosing - NOT the CSV weighted average 149.553m; the NZ$5m raise closed Jan-2026). Tax losses 8.258m (FY2026 AR income tax note). Figures go stale: refresh price, cash, shares and the FY2027 interim (due ~Nov 2026) before relying on this file.</t>
        </is>
      </c>
    </row>
    <row r="5">
      <c r="A5" s="1" t="inlineStr">
        <is>
          <t>CUSTOMER FLOAT: PaySauce held 45.155m of customer payroll funds at FY2026, exactly offset by a matching liability. It is NOT the company's money: excluded from net cash, never netted into EV. OCF used is the float-excluded figure (1.975 FY2026). The float-inclusive OCF headline (9.196) is not distributable.</t>
        </is>
      </c>
    </row>
    <row r="6">
      <c r="A6" s="1" t="inlineStr">
        <is>
          <t>SHELL YEARS: FY2017-FY2018 rows in the metrics CSV are Energy Mad Ltd (reverse-takeover shell) - excluded from every CAGR and multiple.</t>
        </is>
      </c>
    </row>
    <row r="7">
      <c r="A7" s="1" t="inlineStr">
        <is>
          <t>METHODOLOGY CHOICES: (1) SBC fully expensed in flows, share count held FLAT at 164.246m (charge once). (2) Owner FCF = float-excluded OCF - capex - SBC - own-cash interest; capex is predominantly capitalised software development, which this cash basis correctly expenses. (3) Only own-cash interest (~0.02) is stripped; float interest stays in flows because its source asset is not added to EV (matching rule). (4) D&amp;A set equal to capex each year (steady-state convention; tax shield flows through EBIT). (5) NZ tax-loss pool of 8.258m shelters cash tax in the explicit window via rows 17-20; the TERMINAL year is tax-normalised at the full 28% so the shelter is not perpetuated. (6) Terminal value = MAX(0, MIN(Gordon, 15x terminal FCF)). (7) WACC 16.0% NZD-built: 11.5% NZ small-cap base + 2.0 micro-cap illiquidity + 1.0 country/sector-agri concentration + 0.5 key-person + 0.5 residual AU execution + 0.5 float rate-sensitivity; identical across scenarios (risk charged once - AU execution risk lives mainly in scenario flows and the 25% bear weight).</t>
        </is>
      </c>
    </row>
    <row r="8">
      <c r="A8" s="1" t="inlineStr">
        <is>
          <t>SCENARIO DRIVERS are the agent's judgment set 2026-08-26 from the FY2026 AR, the July-2026 AU update and the Analysis JSON. Forsyth Barr forecasts are commissioned research - used only as a directional cross-check on FY2027 losses.</t>
        </is>
      </c>
    </row>
    <row r="9">
      <c r="A9" s="1" t="inlineStr">
        <is>
          <t>NOTE ON ENTRY PRICE: the 15% hurdle is BELOW the 16% WACC, so hurdle entry prices sit slightly above intrinsic value; the operative buy-below number is the probability-weighted IV.</t>
        </is>
      </c>
    </row>
    <row r="10">
      <c r="A10" s="1" t="inlineStr">
        <is>
          <t>CELL LEGEND: blue font = hardcoded input; yellow fill = key driver row (flex these); black = formula; green font = cross-sheet link.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2" t="inlineStr">
        <is>
          <t>Actuals (NZ$m, PaySauce era only; source Metrics.csv / FY Annual Reports)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</row>
    <row r="2">
      <c r="A2" s="2" t="inlineStr">
        <is>
          <t>Metric</t>
        </is>
      </c>
      <c r="B2" s="2" t="inlineStr">
        <is>
          <t>FY2021</t>
        </is>
      </c>
      <c r="C2" s="2" t="inlineStr">
        <is>
          <t>FY2022</t>
        </is>
      </c>
      <c r="D2" s="2" t="inlineStr">
        <is>
          <t>FY2023</t>
        </is>
      </c>
      <c r="E2" s="2" t="inlineStr">
        <is>
          <t>FY2024</t>
        </is>
      </c>
      <c r="F2" s="2" t="inlineStr">
        <is>
          <t>FY2025</t>
        </is>
      </c>
      <c r="G2" s="2" t="inlineStr">
        <is>
          <t>FY2026</t>
        </is>
      </c>
      <c r="H2" s="2" t="inlineStr">
        <is>
          <t>Source note</t>
        </is>
      </c>
    </row>
    <row r="3">
      <c r="A3" t="inlineStr">
        <is>
          <t>Revenue</t>
        </is>
      </c>
      <c r="B3" s="3" t="n">
        <v>2.198</v>
      </c>
      <c r="C3" s="3" t="n">
        <v>3.517</v>
      </c>
      <c r="D3" s="3" t="n">
        <v>5.813</v>
      </c>
      <c r="E3" s="3" t="n">
        <v>7.717</v>
      </c>
      <c r="F3" s="3" t="n">
        <v>8.994999999999999</v>
      </c>
      <c r="G3" s="3" t="n">
        <v>9.247</v>
      </c>
      <c r="H3" t="inlineStr">
        <is>
          <t>statutory operating revenue</t>
        </is>
      </c>
    </row>
    <row r="4">
      <c r="A4" t="inlineStr">
        <is>
          <t>of which float interest income</t>
        </is>
      </c>
      <c r="B4" s="3" t="n">
        <v>0.207</v>
      </c>
      <c r="C4" s="3" t="n">
        <v>0.21</v>
      </c>
      <c r="D4" s="3" t="n">
        <v>1.138</v>
      </c>
      <c r="E4" s="3" t="n">
        <v>2.22</v>
      </c>
      <c r="F4" s="3" t="n">
        <v>2.329</v>
      </c>
      <c r="G4" s="3" t="n">
        <v>1.813</v>
      </c>
      <c r="H4" t="inlineStr">
        <is>
          <t>AR revenue notes (incl other interest)</t>
        </is>
      </c>
    </row>
    <row r="5">
      <c r="A5" t="inlineStr">
        <is>
          <t>Processing + other revenue</t>
        </is>
      </c>
      <c r="B5" s="3" t="n">
        <v>1.991</v>
      </c>
      <c r="C5" s="3" t="n">
        <v>3.307</v>
      </c>
      <c r="D5" s="3" t="n">
        <v>4.675</v>
      </c>
      <c r="E5" s="3" t="n">
        <v>5.497</v>
      </c>
      <c r="F5" s="3" t="n">
        <v>6.666</v>
      </c>
      <c r="G5" s="3" t="n">
        <v>7.434</v>
      </c>
      <c r="H5" t="inlineStr">
        <is>
          <t>revenue less interest income</t>
        </is>
      </c>
    </row>
    <row r="6">
      <c r="A6" t="inlineStr">
        <is>
          <t>Reported EBTDA (post-SBC)</t>
        </is>
      </c>
      <c r="F6" s="3" t="n">
        <v>1.352</v>
      </c>
      <c r="G6" s="3" t="n">
        <v>1.218</v>
      </c>
      <c r="H6" t="inlineStr">
        <is>
          <t>company EBTDA; not disclosed consistently pre-FY2025</t>
        </is>
      </c>
    </row>
    <row r="7">
      <c r="A7" t="inlineStr">
        <is>
          <t>Net income</t>
        </is>
      </c>
      <c r="B7" s="3" t="n">
        <v>-1.688</v>
      </c>
      <c r="C7" s="3" t="n">
        <v>-1.282</v>
      </c>
      <c r="D7" s="3" t="n">
        <v>-0.5580000000000001</v>
      </c>
      <c r="E7" s="3" t="n">
        <v>1.232</v>
      </c>
      <c r="F7" s="3" t="n">
        <v>0.681</v>
      </c>
      <c r="G7" s="3" t="n">
        <v>0.29</v>
      </c>
      <c r="H7" t="inlineStr">
        <is>
          <t>FY2024 includes deferred-tax benefit</t>
        </is>
      </c>
    </row>
    <row r="8">
      <c r="A8" t="inlineStr">
        <is>
          <t>OCF (float-EXCLUDED)</t>
        </is>
      </c>
      <c r="B8" s="3" t="n">
        <v>-1.118</v>
      </c>
      <c r="C8" s="3" t="n">
        <v>-0.666</v>
      </c>
      <c r="D8" s="3" t="n">
        <v>0.264</v>
      </c>
      <c r="E8" s="3" t="n">
        <v>1.475</v>
      </c>
      <c r="F8" s="3" t="n">
        <v>2.166</v>
      </c>
      <c r="G8" s="3" t="n">
        <v>1.975</v>
      </c>
      <c r="H8" t="inlineStr">
        <is>
          <t>before increase in funds due to customers and IRD</t>
        </is>
      </c>
    </row>
    <row r="9">
      <c r="A9" t="inlineStr">
        <is>
          <t>Capex (mostly capitalised dev)</t>
        </is>
      </c>
      <c r="B9" s="3" t="n">
        <v>0.53</v>
      </c>
      <c r="C9" s="3" t="n">
        <v>0.042</v>
      </c>
      <c r="D9" s="3" t="n">
        <v>0.118</v>
      </c>
      <c r="E9" s="3" t="n">
        <v>1.179</v>
      </c>
      <c r="F9" s="3" t="n">
        <v>1.664</v>
      </c>
      <c r="G9" s="3" t="n">
        <v>2.21</v>
      </c>
      <c r="H9" t="inlineStr">
        <is>
          <t>cash flow statement</t>
        </is>
      </c>
    </row>
    <row r="10">
      <c r="A10" t="inlineStr">
        <is>
          <t>Reported FCF</t>
        </is>
      </c>
      <c r="B10" s="3" t="n">
        <v>-1.648</v>
      </c>
      <c r="C10" s="3" t="n">
        <v>-0.708</v>
      </c>
      <c r="D10" s="3" t="n">
        <v>0.146</v>
      </c>
      <c r="E10" s="3" t="n">
        <v>0.296</v>
      </c>
      <c r="F10" s="3" t="n">
        <v>0.502</v>
      </c>
      <c r="G10" s="3" t="n">
        <v>-0.235</v>
      </c>
      <c r="H10" t="inlineStr">
        <is>
          <t>OCF - capex</t>
        </is>
      </c>
    </row>
    <row r="11">
      <c r="A11" t="inlineStr">
        <is>
          <t>SBC</t>
        </is>
      </c>
      <c r="B11" s="3" t="n">
        <v>0.175</v>
      </c>
      <c r="C11" s="3" t="n">
        <v>0.131</v>
      </c>
      <c r="D11" s="3" t="n">
        <v>0.257</v>
      </c>
      <c r="E11" s="3" t="n">
        <v>0.211</v>
      </c>
      <c r="F11" s="3" t="n">
        <v>0.703</v>
      </c>
      <c r="G11" s="3" t="n">
        <v>0.704</v>
      </c>
      <c r="H11" t="inlineStr">
        <is>
          <t>cash flow add-back</t>
        </is>
      </c>
    </row>
    <row r="12">
      <c r="A12" t="inlineStr">
        <is>
          <t>Own cash (float-excluded)</t>
        </is>
      </c>
      <c r="E12" s="3" t="n">
        <v>0.603</v>
      </c>
      <c r="F12" s="3" t="n">
        <v>0.309</v>
      </c>
      <c r="G12" s="3" t="n">
        <v>4.521</v>
      </c>
      <c r="H12" t="inlineStr">
        <is>
          <t>FY2026 post Jan-2026 raise; earlier years approximate</t>
        </is>
      </c>
    </row>
    <row r="13">
      <c r="A13" t="inlineStr">
        <is>
          <t>Customer funds held (float)</t>
        </is>
      </c>
      <c r="F13" s="3" t="n">
        <v>37.935</v>
      </c>
      <c r="G13" s="3" t="n">
        <v>45.155</v>
      </c>
      <c r="H13" t="inlineStr">
        <is>
          <t>NOT company money; matching liability</t>
        </is>
      </c>
    </row>
    <row r="14">
      <c r="A14" t="inlineStr">
        <is>
          <t>Shareholders equity</t>
        </is>
      </c>
      <c r="B14" s="3" t="n">
        <v>2.432</v>
      </c>
      <c r="C14" s="3" t="n">
        <v>1.668</v>
      </c>
      <c r="D14" s="3" t="n">
        <v>1.395</v>
      </c>
      <c r="E14" s="3" t="n">
        <v>3.044</v>
      </c>
      <c r="F14" s="3" t="n">
        <v>4.171</v>
      </c>
      <c r="G14" s="3" t="n">
        <v>9.454000000000001</v>
      </c>
      <c r="H14" t="inlineStr">
        <is>
          <t>balance sheet</t>
        </is>
      </c>
    </row>
    <row r="15">
      <c r="A15" t="inlineStr">
        <is>
          <t>Shares on issue (m)</t>
        </is>
      </c>
      <c r="B15" s="3" t="n">
        <v>135.9</v>
      </c>
      <c r="C15" s="3" t="n">
        <v>138.2</v>
      </c>
      <c r="D15" s="3" t="n">
        <v>138.4</v>
      </c>
      <c r="E15" s="3" t="n">
        <v>139.7</v>
      </c>
      <c r="F15" s="3" t="n">
        <v>142</v>
      </c>
      <c r="G15" s="3" t="n">
        <v>164.246</v>
      </c>
      <c r="H15" t="inlineStr">
        <is>
          <t>FY2026 = closing count; earlier = weighted avg</t>
        </is>
      </c>
    </row>
    <row r="16">
      <c r="A16" t="inlineStr">
        <is>
          <t>Tax losses carried forward</t>
        </is>
      </c>
      <c r="F16" s="3" t="n">
        <v>8.346</v>
      </c>
      <c r="G16" s="3" t="n">
        <v>8.257999999999999</v>
      </c>
      <c r="H16" t="inlineStr">
        <is>
          <t>FY2026 AR income tax note</t>
        </is>
      </c>
    </row>
    <row r="17">
      <c r="A17" t="inlineStr">
        <is>
          <t>ARR</t>
        </is>
      </c>
      <c r="B17" s="3" t="n">
        <v>2.436</v>
      </c>
      <c r="F17" s="3" t="n">
        <v>8.651</v>
      </c>
      <c r="G17" s="3" t="n">
        <v>8.975</v>
      </c>
      <c r="H17" t="inlineStr">
        <is>
          <t>kpis; company-defined</t>
        </is>
      </c>
    </row>
    <row r="18">
      <c r="A18" t="inlineStr">
        <is>
          <t>FY2027 guidance: ARR ~NZ$10m target Q1 FY27; AU ramp weighted to 2H FY27; no dividend.</t>
        </is>
      </c>
      <c r="B18" t="inlineStr"/>
      <c r="C18" t="inlineStr"/>
      <c r="D18" t="inlineStr"/>
      <c r="E18" t="inlineStr"/>
      <c r="F18" t="inlineStr"/>
      <c r="G18" t="inlineStr"/>
      <c r="H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Global assumptions</t>
        </is>
      </c>
    </row>
    <row r="2">
      <c r="A2" t="inlineStr">
        <is>
          <t>WACC (all scenarios)</t>
        </is>
      </c>
      <c r="B2" s="4" t="n">
        <v>0.16</v>
      </c>
      <c r="C2" t="inlineStr">
        <is>
          <t>NZD-built; see Model_Info for the six components</t>
        </is>
      </c>
    </row>
    <row r="3">
      <c r="A3" t="inlineStr">
        <is>
          <t>Cash tax rate (statutory NZ)</t>
        </is>
      </c>
      <c r="B3" s="4" t="n">
        <v>0.28</v>
      </c>
      <c r="C3" t="inlineStr">
        <is>
          <t>applied after loss-pool offset; terminal always full rate</t>
        </is>
      </c>
    </row>
    <row r="4">
      <c r="A4" t="inlineStr">
        <is>
          <t>Terminal value cap multiple</t>
        </is>
      </c>
      <c r="B4" s="4" t="n">
        <v>15</v>
      </c>
      <c r="C4" t="inlineStr">
        <is>
          <t>x terminal owner FCF; micro-cap, below the 20x compounder default</t>
        </is>
      </c>
    </row>
    <row r="5">
      <c r="A5" t="inlineStr">
        <is>
          <t>Net cash (own, 31-Mar-2026)</t>
        </is>
      </c>
      <c r="B5" s="4" t="n">
        <v>4.521</v>
      </c>
      <c r="C5" t="inlineStr">
        <is>
          <t>customer float 45.155 EXCLUDED</t>
        </is>
      </c>
    </row>
    <row r="6">
      <c r="A6" t="inlineStr">
        <is>
          <t>Shares on issue (m, closing)</t>
        </is>
      </c>
      <c r="B6" s="4" t="n">
        <v>164.245994</v>
      </c>
      <c r="C6" t="inlineStr">
        <is>
          <t>kpis SharesOnIssueClosing; held flat - SBC expensed</t>
        </is>
      </c>
    </row>
    <row r="7">
      <c r="A7" t="inlineStr">
        <is>
          <t>Current price (NZD)</t>
        </is>
      </c>
      <c r="B7" s="4" t="n">
        <v>0.225</v>
      </c>
      <c r="C7" t="inlineStr">
        <is>
          <t>Yahoo 2026-08-26 12:39 NZT</t>
        </is>
      </c>
    </row>
    <row r="8">
      <c r="A8" t="inlineStr">
        <is>
          <t>Hurdle rate (entry price)</t>
        </is>
      </c>
      <c r="B8" s="4" t="n">
        <v>0.15</v>
      </c>
      <c r="C8" t="inlineStr">
        <is>
          <t>below WACC here - see Model_Info note</t>
        </is>
      </c>
    </row>
    <row r="9">
      <c r="A9" t="inlineStr">
        <is>
          <t>Tax-loss pool at FY2026</t>
        </is>
      </c>
      <c r="B9" s="4" t="n">
        <v>8.257999999999999</v>
      </c>
      <c r="C9" t="inlineStr">
        <is>
          <t>FY2026 AR; grows with projected losses</t>
        </is>
      </c>
    </row>
    <row r="10">
      <c r="A10" t="inlineStr">
        <is>
          <t>WC capture, Base and Bull</t>
        </is>
      </c>
      <c r="B10" s="4" t="n">
        <v>0.05</v>
      </c>
      <c r="C10" t="inlineStr">
        <is>
          <t>share of YoY revenue increase; monthly billing, little deferred rev</t>
        </is>
      </c>
    </row>
    <row r="11">
      <c r="A11" t="inlineStr">
        <is>
          <t>WC capture, Bear</t>
        </is>
      </c>
      <c r="B11" s="4" t="n">
        <v>0</v>
      </c>
      <c r="C11" t="inlineStr">
        <is>
          <t>no growth tailwind</t>
        </is>
      </c>
    </row>
    <row r="13">
      <c r="A13" s="2" t="inlineStr">
        <is>
          <t>Per scenario</t>
        </is>
      </c>
      <c r="B13" s="2" t="inlineStr">
        <is>
          <t>Bear</t>
        </is>
      </c>
      <c r="C13" s="2" t="inlineStr">
        <is>
          <t>Base</t>
        </is>
      </c>
      <c r="D13" s="2" t="inlineStr">
        <is>
          <t>Bull</t>
        </is>
      </c>
    </row>
    <row r="14">
      <c r="A14" t="inlineStr">
        <is>
          <t>Terminal growth</t>
        </is>
      </c>
      <c r="B14" s="4" t="n">
        <v>0.02</v>
      </c>
      <c r="C14" s="4" t="n">
        <v>0.025</v>
      </c>
      <c r="D14" s="4" t="n">
        <v>0.03</v>
      </c>
    </row>
    <row r="15">
      <c r="A15" t="inlineStr">
        <is>
          <t>Probability weight</t>
        </is>
      </c>
      <c r="B15" s="4" t="n">
        <v>0.25</v>
      </c>
      <c r="C15" s="4" t="n">
        <v>0.5</v>
      </c>
      <c r="D15" s="4" t="n">
        <v>0.25</v>
      </c>
      <c r="E15">
        <f>SUM(B15:D15)</f>
        <v/>
      </c>
    </row>
    <row r="16">
      <c r="E16" t="inlineStr">
        <is>
          <t>weights must sum to 1.00</t>
        </is>
      </c>
    </row>
    <row r="18">
      <c r="A18" s="2" t="inlineStr">
        <is>
          <t>Scenario narratives</t>
        </is>
      </c>
    </row>
    <row r="19" ht="68" customHeight="1">
      <c r="A19" s="5" t="inlineStr">
        <is>
          <t>BEAR: Australia consumes the Jan-2026 raise and is wound back by FY2029; partner channel stalls (60% of the AU plan), AU pricing already 20% below plan. NZ squeezed by Xero/MYOB bundling, migration churn and an agri downturn: processing growth 2-6%. Float interest troughs at 1.0m. The NZ-only business never covers dev spend plus SBC; terminal value sits near the zero floor and EQUITY VALUE IS NEGATIVE - a second dilutive raise would be needed.</t>
        </is>
      </c>
    </row>
    <row r="20" ht="68" customHeight="1">
      <c r="A20" s="5" t="inlineStr">
        <is>
          <t>BASE: Australia gains a modest foothold. Processing growth 10% rising to 13% then decaying to 5% (revenue 19.7m FY2036). Pre-SBC margin dips to 8% in FY2027 on AU spend, matures at 28%. Capex tapers 22% to 10% post platform build. Float interest steps down to ~1.45m then grows slowly. Loss pool shelters cash tax through the window; terminal tax-normalised at 28%.</t>
        </is>
      </c>
    </row>
    <row r="21" ht="68" customHeight="1">
      <c r="A21" s="5" t="inlineStr">
        <is>
          <t>BULL: Payday Super (1-Jul-2026) is a genuine forced-adoption catalyst; partner channel activates. Processing fees compound 15-28% through FY2030 (revenue 40m FY2036), margins reach 32% pre-SBC, AU float roughly doubles interest income. Fully taxed by FY2036.</t>
        </is>
      </c>
    </row>
  </sheetData>
  <mergeCells count="3">
    <mergeCell ref="A21:E21"/>
    <mergeCell ref="A20:E20"/>
    <mergeCell ref="A19:E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34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</cols>
  <sheetData>
    <row r="1">
      <c r="A1" s="2" t="inlineStr">
        <is>
          <t>Bear scenario - owner-FCF DCF (NZ$m). Drivers (yellow): rows 5,7,9,11,14.</t>
        </is>
      </c>
    </row>
    <row r="3">
      <c r="A3" s="6" t="inlineStr"/>
      <c r="B3" s="6" t="inlineStr">
        <is>
          <t>2026A</t>
        </is>
      </c>
      <c r="C3" s="6" t="inlineStr">
        <is>
          <t>FY2027E</t>
        </is>
      </c>
      <c r="D3" s="6" t="inlineStr">
        <is>
          <t>FY2028E</t>
        </is>
      </c>
      <c r="E3" s="6" t="inlineStr">
        <is>
          <t>FY2029E</t>
        </is>
      </c>
      <c r="F3" s="6" t="inlineStr">
        <is>
          <t>FY2030E</t>
        </is>
      </c>
      <c r="G3" s="6" t="inlineStr">
        <is>
          <t>FY2031E</t>
        </is>
      </c>
      <c r="H3" s="6" t="inlineStr">
        <is>
          <t>FY2032E</t>
        </is>
      </c>
      <c r="I3" s="6" t="inlineStr">
        <is>
          <t>FY2033E</t>
        </is>
      </c>
      <c r="J3" s="6" t="inlineStr">
        <is>
          <t>FY2034E</t>
        </is>
      </c>
      <c r="K3" s="6" t="inlineStr">
        <is>
          <t>FY2035E</t>
        </is>
      </c>
      <c r="L3" s="6" t="inlineStr">
        <is>
          <t>FY2036E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Processing+other rev growth %</t>
        </is>
      </c>
      <c r="C5" s="7" t="n">
        <v>0.06</v>
      </c>
      <c r="D5" s="7" t="n">
        <v>0.05</v>
      </c>
      <c r="E5" s="7" t="n">
        <v>0.04</v>
      </c>
      <c r="F5" s="7" t="n">
        <v>0.03</v>
      </c>
      <c r="G5" s="7" t="n">
        <v>0.03</v>
      </c>
      <c r="H5" s="7" t="n">
        <v>0.025</v>
      </c>
      <c r="I5" s="7" t="n">
        <v>0.025</v>
      </c>
      <c r="J5" s="7" t="n">
        <v>0.02</v>
      </c>
      <c r="K5" s="7" t="n">
        <v>0.02</v>
      </c>
      <c r="L5" s="7" t="n">
        <v>0.02</v>
      </c>
    </row>
    <row r="6">
      <c r="A6" t="inlineStr">
        <is>
          <t>Processing+other revenue</t>
        </is>
      </c>
      <c r="B6" s="3" t="n">
        <v>7.434</v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Float interest income (driver, $)</t>
        </is>
      </c>
      <c r="B7" s="3" t="n">
        <v>1.813</v>
      </c>
      <c r="C7" s="4" t="n">
        <v>1.4</v>
      </c>
      <c r="D7" s="4" t="n">
        <v>1.2</v>
      </c>
      <c r="E7" s="4" t="n">
        <v>1.1</v>
      </c>
      <c r="F7" s="4" t="n">
        <v>1.05</v>
      </c>
      <c r="G7" s="4" t="n">
        <v>1</v>
      </c>
      <c r="H7" s="4" t="n">
        <v>1</v>
      </c>
      <c r="I7" s="4" t="n">
        <v>1</v>
      </c>
      <c r="J7" s="4" t="n">
        <v>1</v>
      </c>
      <c r="K7" s="4" t="n">
        <v>1</v>
      </c>
      <c r="L7" s="4" t="n">
        <v>1</v>
      </c>
    </row>
    <row r="8">
      <c r="A8" t="inlineStr">
        <is>
          <t>Total revenue</t>
        </is>
      </c>
      <c r="B8" s="3" t="n">
        <v>9.247</v>
      </c>
      <c r="C8">
        <f>C6+C7</f>
        <v/>
      </c>
      <c r="D8">
        <f>D6+D7</f>
        <v/>
      </c>
      <c r="E8">
        <f>E6+E7</f>
        <v/>
      </c>
      <c r="F8">
        <f>F6+F7</f>
        <v/>
      </c>
      <c r="G8">
        <f>G6+G7</f>
        <v/>
      </c>
      <c r="H8">
        <f>H6+H7</f>
        <v/>
      </c>
      <c r="I8">
        <f>I6+I7</f>
        <v/>
      </c>
      <c r="J8">
        <f>J6+J7</f>
        <v/>
      </c>
      <c r="K8">
        <f>K6+K7</f>
        <v/>
      </c>
      <c r="L8">
        <f>L6+L7</f>
        <v/>
      </c>
    </row>
    <row r="9">
      <c r="A9" t="inlineStr">
        <is>
          <t>Adj EBITDA margin % (pre-SBC)</t>
        </is>
      </c>
      <c r="C9" s="7" t="n">
        <v>0.04</v>
      </c>
      <c r="D9" s="7" t="n">
        <v>0.02</v>
      </c>
      <c r="E9" s="7" t="n">
        <v>0.05</v>
      </c>
      <c r="F9" s="7" t="n">
        <v>0.09</v>
      </c>
      <c r="G9" s="7" t="n">
        <v>0.11</v>
      </c>
      <c r="H9" s="7" t="n">
        <v>0.13</v>
      </c>
      <c r="I9" s="7" t="n">
        <v>0.14</v>
      </c>
      <c r="J9" s="7" t="n">
        <v>0.15</v>
      </c>
      <c r="K9" s="7" t="n">
        <v>0.155</v>
      </c>
      <c r="L9" s="7" t="n">
        <v>0.16</v>
      </c>
    </row>
    <row r="10">
      <c r="A10" t="inlineStr">
        <is>
          <t>Adjusted EBITDA</t>
        </is>
      </c>
      <c r="B10" s="3" t="n">
        <v>1.922</v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  <c r="L10">
        <f>L8*L9</f>
        <v/>
      </c>
    </row>
    <row r="11">
      <c r="A11" t="inlineStr">
        <is>
          <t>SBC % of revenue</t>
        </is>
      </c>
      <c r="C11" s="7" t="n">
        <v>0.075</v>
      </c>
      <c r="D11" s="7" t="n">
        <v>0.075</v>
      </c>
      <c r="E11" s="7" t="n">
        <v>0.0725</v>
      </c>
      <c r="F11" s="7" t="n">
        <v>0.07000000000000001</v>
      </c>
      <c r="G11" s="7" t="n">
        <v>0.0675</v>
      </c>
      <c r="H11" s="7" t="n">
        <v>0.065</v>
      </c>
      <c r="I11" s="7" t="n">
        <v>0.0625</v>
      </c>
      <c r="J11" s="7" t="n">
        <v>0.06</v>
      </c>
      <c r="K11" s="7" t="n">
        <v>0.06</v>
      </c>
      <c r="L11" s="7" t="n">
        <v>0.06</v>
      </c>
    </row>
    <row r="12">
      <c r="A12" t="inlineStr">
        <is>
          <t>SBC $</t>
        </is>
      </c>
      <c r="B12" s="3" t="n">
        <v>-0.704</v>
      </c>
      <c r="C12">
        <f>-C8*C11</f>
        <v/>
      </c>
      <c r="D12">
        <f>-D8*D11</f>
        <v/>
      </c>
      <c r="E12">
        <f>-E8*E11</f>
        <v/>
      </c>
      <c r="F12">
        <f>-F8*F11</f>
        <v/>
      </c>
      <c r="G12">
        <f>-G8*G11</f>
        <v/>
      </c>
      <c r="H12">
        <f>-H8*H11</f>
        <v/>
      </c>
      <c r="I12">
        <f>-I8*I11</f>
        <v/>
      </c>
      <c r="J12">
        <f>-J8*J11</f>
        <v/>
      </c>
      <c r="K12">
        <f>-K8*K11</f>
        <v/>
      </c>
      <c r="L12">
        <f>-L8*L11</f>
        <v/>
      </c>
    </row>
    <row r="13">
      <c r="A13" t="inlineStr">
        <is>
          <t>Owner EBITDA</t>
        </is>
      </c>
      <c r="C13">
        <f>C10+C12</f>
        <v/>
      </c>
      <c r="D13">
        <f>D10+D12</f>
        <v/>
      </c>
      <c r="E13">
        <f>E10+E12</f>
        <v/>
      </c>
      <c r="F13">
        <f>F10+F12</f>
        <v/>
      </c>
      <c r="G13">
        <f>G10+G12</f>
        <v/>
      </c>
      <c r="H13">
        <f>H10+H12</f>
        <v/>
      </c>
      <c r="I13">
        <f>I10+I12</f>
        <v/>
      </c>
      <c r="J13">
        <f>J10+J12</f>
        <v/>
      </c>
      <c r="K13">
        <f>K10+K12</f>
        <v/>
      </c>
      <c r="L13">
        <f>L10+L12</f>
        <v/>
      </c>
    </row>
    <row r="14">
      <c r="A14" t="inlineStr">
        <is>
          <t>Capex and D&amp;A % of revenue</t>
        </is>
      </c>
      <c r="C14" s="7" t="n">
        <v>0.2</v>
      </c>
      <c r="D14" s="7" t="n">
        <v>0.16</v>
      </c>
      <c r="E14" s="7" t="n">
        <v>0.14</v>
      </c>
      <c r="F14" s="7" t="n">
        <v>0.12</v>
      </c>
      <c r="G14" s="7" t="n">
        <v>0.11</v>
      </c>
      <c r="H14" s="7" t="n">
        <v>0.1</v>
      </c>
      <c r="I14" s="7" t="n">
        <v>0.095</v>
      </c>
      <c r="J14" s="7" t="n">
        <v>0.09</v>
      </c>
      <c r="K14" s="7" t="n">
        <v>0.09</v>
      </c>
      <c r="L14" s="7" t="n">
        <v>0.09</v>
      </c>
    </row>
    <row r="15">
      <c r="A15" t="inlineStr">
        <is>
          <t>D&amp;A</t>
        </is>
      </c>
      <c r="C15">
        <f>-C8*C14</f>
        <v/>
      </c>
      <c r="D15">
        <f>-D8*D14</f>
        <v/>
      </c>
      <c r="E15">
        <f>-E8*E14</f>
        <v/>
      </c>
      <c r="F15">
        <f>-F8*F14</f>
        <v/>
      </c>
      <c r="G15">
        <f>-G8*G14</f>
        <v/>
      </c>
      <c r="H15">
        <f>-H8*H14</f>
        <v/>
      </c>
      <c r="I15">
        <f>-I8*I14</f>
        <v/>
      </c>
      <c r="J15">
        <f>-J8*J14</f>
        <v/>
      </c>
      <c r="K15">
        <f>-K8*K14</f>
        <v/>
      </c>
      <c r="L15">
        <f>-L8*L14</f>
        <v/>
      </c>
    </row>
    <row r="16">
      <c r="A16" t="inlineStr">
        <is>
          <t>EBIT (owner basis)</t>
        </is>
      </c>
      <c r="C16">
        <f>C13+C15</f>
        <v/>
      </c>
      <c r="D16">
        <f>D13+D15</f>
        <v/>
      </c>
      <c r="E16">
        <f>E13+E15</f>
        <v/>
      </c>
      <c r="F16">
        <f>F13+F15</f>
        <v/>
      </c>
      <c r="G16">
        <f>G13+G15</f>
        <v/>
      </c>
      <c r="H16">
        <f>H13+H15</f>
        <v/>
      </c>
      <c r="I16">
        <f>I13+I15</f>
        <v/>
      </c>
      <c r="J16">
        <f>J13+J15</f>
        <v/>
      </c>
      <c r="K16">
        <f>K13+K15</f>
        <v/>
      </c>
      <c r="L16">
        <f>L13+L15</f>
        <v/>
      </c>
    </row>
    <row r="17">
      <c r="A17" t="inlineStr">
        <is>
          <t>Tax-loss pool, opening</t>
        </is>
      </c>
      <c r="C17" s="8">
        <f>Assumptions!$B$9</f>
        <v/>
      </c>
      <c r="D17">
        <f>C19</f>
        <v/>
      </c>
      <c r="E17">
        <f>D19</f>
        <v/>
      </c>
      <c r="F17">
        <f>E19</f>
        <v/>
      </c>
      <c r="G17">
        <f>F19</f>
        <v/>
      </c>
      <c r="H17">
        <f>G19</f>
        <v/>
      </c>
      <c r="I17">
        <f>H19</f>
        <v/>
      </c>
      <c r="J17">
        <f>I19</f>
        <v/>
      </c>
      <c r="K17">
        <f>J19</f>
        <v/>
      </c>
      <c r="L17">
        <f>K19</f>
        <v/>
      </c>
    </row>
    <row r="18">
      <c r="A18" t="inlineStr">
        <is>
          <t>Losses used</t>
        </is>
      </c>
      <c r="C18">
        <f>MIN(MAX(C16,0),C17)</f>
        <v/>
      </c>
      <c r="D18">
        <f>MIN(MAX(D16,0),D17)</f>
        <v/>
      </c>
      <c r="E18">
        <f>MIN(MAX(E16,0),E17)</f>
        <v/>
      </c>
      <c r="F18">
        <f>MIN(MAX(F16,0),F17)</f>
        <v/>
      </c>
      <c r="G18">
        <f>MIN(MAX(G16,0),G17)</f>
        <v/>
      </c>
      <c r="H18">
        <f>MIN(MAX(H16,0),H17)</f>
        <v/>
      </c>
      <c r="I18">
        <f>MIN(MAX(I16,0),I17)</f>
        <v/>
      </c>
      <c r="J18">
        <f>MIN(MAX(J16,0),J17)</f>
        <v/>
      </c>
      <c r="K18">
        <f>MIN(MAX(K16,0),K17)</f>
        <v/>
      </c>
      <c r="L18">
        <f>MIN(MAX(L16,0),L17)</f>
        <v/>
      </c>
    </row>
    <row r="19">
      <c r="A19" t="inlineStr">
        <is>
          <t>Tax-loss pool, closing</t>
        </is>
      </c>
      <c r="C19">
        <f>C17-C18+MAX(-C16,0)</f>
        <v/>
      </c>
      <c r="D19">
        <f>D17-D18+MAX(-D16,0)</f>
        <v/>
      </c>
      <c r="E19">
        <f>E17-E18+MAX(-E16,0)</f>
        <v/>
      </c>
      <c r="F19">
        <f>F17-F18+MAX(-F16,0)</f>
        <v/>
      </c>
      <c r="G19">
        <f>G17-G18+MAX(-G16,0)</f>
        <v/>
      </c>
      <c r="H19">
        <f>H17-H18+MAX(-H16,0)</f>
        <v/>
      </c>
      <c r="I19">
        <f>I17-I18+MAX(-I16,0)</f>
        <v/>
      </c>
      <c r="J19">
        <f>J17-J18+MAX(-J16,0)</f>
        <v/>
      </c>
      <c r="K19">
        <f>K17-K18+MAX(-K16,0)</f>
        <v/>
      </c>
      <c r="L19">
        <f>L17-L18+MAX(-L16,0)</f>
        <v/>
      </c>
    </row>
    <row r="20">
      <c r="A20" t="inlineStr">
        <is>
          <t>Cash tax</t>
        </is>
      </c>
      <c r="C20">
        <f>-Assumptions!$B$3*(MAX(C16,0)-C18)</f>
        <v/>
      </c>
      <c r="D20">
        <f>-Assumptions!$B$3*(MAX(D16,0)-D18)</f>
        <v/>
      </c>
      <c r="E20">
        <f>-Assumptions!$B$3*(MAX(E16,0)-E18)</f>
        <v/>
      </c>
      <c r="F20">
        <f>-Assumptions!$B$3*(MAX(F16,0)-F18)</f>
        <v/>
      </c>
      <c r="G20">
        <f>-Assumptions!$B$3*(MAX(G16,0)-G18)</f>
        <v/>
      </c>
      <c r="H20">
        <f>-Assumptions!$B$3*(MAX(H16,0)-H18)</f>
        <v/>
      </c>
      <c r="I20">
        <f>-Assumptions!$B$3*(MAX(I16,0)-I18)</f>
        <v/>
      </c>
      <c r="J20">
        <f>-Assumptions!$B$3*(MAX(J16,0)-J18)</f>
        <v/>
      </c>
      <c r="K20">
        <f>-Assumptions!$B$3*(MAX(K16,0)-K18)</f>
        <v/>
      </c>
      <c r="L20">
        <f>-Assumptions!$B$3*(MAX(L16,0)-L18)</f>
        <v/>
      </c>
    </row>
    <row r="21">
      <c r="A21" t="inlineStr">
        <is>
          <t>NOPAT</t>
        </is>
      </c>
      <c r="C21">
        <f>C16+C20</f>
        <v/>
      </c>
      <c r="D21">
        <f>D16+D20</f>
        <v/>
      </c>
      <c r="E21">
        <f>E16+E20</f>
        <v/>
      </c>
      <c r="F21">
        <f>F16+F20</f>
        <v/>
      </c>
      <c r="G21">
        <f>G16+G20</f>
        <v/>
      </c>
      <c r="H21">
        <f>H16+H20</f>
        <v/>
      </c>
      <c r="I21">
        <f>I16+I20</f>
        <v/>
      </c>
      <c r="J21">
        <f>J16+J20</f>
        <v/>
      </c>
      <c r="K21">
        <f>K16+K20</f>
        <v/>
      </c>
      <c r="L21">
        <f>L16+L20</f>
        <v/>
      </c>
    </row>
    <row r="22">
      <c r="A22" t="inlineStr">
        <is>
          <t>Add back D&amp;A</t>
        </is>
      </c>
      <c r="C22">
        <f>-C15</f>
        <v/>
      </c>
      <c r="D22">
        <f>-D15</f>
        <v/>
      </c>
      <c r="E22">
        <f>-E15</f>
        <v/>
      </c>
      <c r="F22">
        <f>-F15</f>
        <v/>
      </c>
      <c r="G22">
        <f>-G15</f>
        <v/>
      </c>
      <c r="H22">
        <f>-H15</f>
        <v/>
      </c>
      <c r="I22">
        <f>-I15</f>
        <v/>
      </c>
      <c r="J22">
        <f>-J15</f>
        <v/>
      </c>
      <c r="K22">
        <f>-K15</f>
        <v/>
      </c>
      <c r="L22">
        <f>-L15</f>
        <v/>
      </c>
    </row>
    <row r="23">
      <c r="A23" t="inlineStr">
        <is>
          <t>Less capex</t>
        </is>
      </c>
      <c r="C23">
        <f>-C8*C14</f>
        <v/>
      </c>
      <c r="D23">
        <f>-D8*D14</f>
        <v/>
      </c>
      <c r="E23">
        <f>-E8*E14</f>
        <v/>
      </c>
      <c r="F23">
        <f>-F8*F14</f>
        <v/>
      </c>
      <c r="G23">
        <f>-G8*G14</f>
        <v/>
      </c>
      <c r="H23">
        <f>-H8*H14</f>
        <v/>
      </c>
      <c r="I23">
        <f>-I8*I14</f>
        <v/>
      </c>
      <c r="J23">
        <f>-J8*J14</f>
        <v/>
      </c>
      <c r="K23">
        <f>-K8*K14</f>
        <v/>
      </c>
      <c r="L23">
        <f>-L8*L14</f>
        <v/>
      </c>
    </row>
    <row r="24">
      <c r="A24" t="inlineStr">
        <is>
          <t>Working capital (on rev change)</t>
        </is>
      </c>
      <c r="C24">
        <f>Assumptions!$B$11*(C8-B8)</f>
        <v/>
      </c>
      <c r="D24">
        <f>Assumptions!$B$11*(D8-C8)</f>
        <v/>
      </c>
      <c r="E24">
        <f>Assumptions!$B$11*(E8-D8)</f>
        <v/>
      </c>
      <c r="F24">
        <f>Assumptions!$B$11*(F8-E8)</f>
        <v/>
      </c>
      <c r="G24">
        <f>Assumptions!$B$11*(G8-F8)</f>
        <v/>
      </c>
      <c r="H24">
        <f>Assumptions!$B$11*(H8-G8)</f>
        <v/>
      </c>
      <c r="I24">
        <f>Assumptions!$B$11*(I8-H8)</f>
        <v/>
      </c>
      <c r="J24">
        <f>Assumptions!$B$11*(J8-I8)</f>
        <v/>
      </c>
      <c r="K24">
        <f>Assumptions!$B$11*(K8-J8)</f>
        <v/>
      </c>
      <c r="L24">
        <f>Assumptions!$B$11*(L8-K8)</f>
        <v/>
      </c>
    </row>
    <row r="25">
      <c r="A25" t="inlineStr">
        <is>
          <t>Unlevered owner FCF</t>
        </is>
      </c>
      <c r="B25" s="3" t="n">
        <v>-0.959</v>
      </c>
      <c r="C25">
        <f>C21+C22+C23+C24</f>
        <v/>
      </c>
      <c r="D25">
        <f>D21+D22+D23+D24</f>
        <v/>
      </c>
      <c r="E25">
        <f>E21+E22+E23+E24</f>
        <v/>
      </c>
      <c r="F25">
        <f>F21+F22+F23+F24</f>
        <v/>
      </c>
      <c r="G25">
        <f>G21+G22+G23+G24</f>
        <v/>
      </c>
      <c r="H25">
        <f>H21+H22+H23+H24</f>
        <v/>
      </c>
      <c r="I25">
        <f>I21+I22+I23+I24</f>
        <v/>
      </c>
      <c r="J25">
        <f>J21+J22+J23+J24</f>
        <v/>
      </c>
      <c r="K25">
        <f>K21+K22+K23+K24</f>
        <v/>
      </c>
      <c r="L25">
        <f>L21+L22+L23+L24</f>
        <v/>
      </c>
    </row>
    <row r="26">
      <c r="A26" t="inlineStr">
        <is>
          <t>Discount factor</t>
        </is>
      </c>
      <c r="C26">
        <f>1/(1+Assumptions!$B$2)^C4</f>
        <v/>
      </c>
      <c r="D26">
        <f>1/(1+Assumptions!$B$2)^D4</f>
        <v/>
      </c>
      <c r="E26">
        <f>1/(1+Assumptions!$B$2)^E4</f>
        <v/>
      </c>
      <c r="F26">
        <f>1/(1+Assumptions!$B$2)^F4</f>
        <v/>
      </c>
      <c r="G26">
        <f>1/(1+Assumptions!$B$2)^G4</f>
        <v/>
      </c>
      <c r="H26">
        <f>1/(1+Assumptions!$B$2)^H4</f>
        <v/>
      </c>
      <c r="I26">
        <f>1/(1+Assumptions!$B$2)^I4</f>
        <v/>
      </c>
      <c r="J26">
        <f>1/(1+Assumptions!$B$2)^J4</f>
        <v/>
      </c>
      <c r="K26">
        <f>1/(1+Assumptions!$B$2)^K4</f>
        <v/>
      </c>
      <c r="L26">
        <f>1/(1+Assumptions!$B$2)^L4</f>
        <v/>
      </c>
    </row>
    <row r="27">
      <c r="A27" t="inlineStr">
        <is>
          <t>PV of FCF</t>
        </is>
      </c>
      <c r="C27">
        <f>C25*C26</f>
        <v/>
      </c>
      <c r="D27">
        <f>D25*D26</f>
        <v/>
      </c>
      <c r="E27">
        <f>E25*E26</f>
        <v/>
      </c>
      <c r="F27">
        <f>F25*F26</f>
        <v/>
      </c>
      <c r="G27">
        <f>G25*G26</f>
        <v/>
      </c>
      <c r="H27">
        <f>H25*H26</f>
        <v/>
      </c>
      <c r="I27">
        <f>I25*I26</f>
        <v/>
      </c>
      <c r="J27">
        <f>J25*J26</f>
        <v/>
      </c>
      <c r="K27">
        <f>K25*K26</f>
        <v/>
      </c>
      <c r="L27">
        <f>L25*L26</f>
        <v/>
      </c>
    </row>
    <row r="29">
      <c r="A29" t="inlineStr">
        <is>
          <t>Memo: FCF before SBC (company-style)</t>
        </is>
      </c>
      <c r="C29">
        <f>C25-C12</f>
        <v/>
      </c>
      <c r="D29">
        <f>D25-D12</f>
        <v/>
      </c>
      <c r="E29">
        <f>E25-E12</f>
        <v/>
      </c>
      <c r="F29">
        <f>F25-F12</f>
        <v/>
      </c>
      <c r="G29">
        <f>G25-G12</f>
        <v/>
      </c>
      <c r="H29">
        <f>H25-H12</f>
        <v/>
      </c>
      <c r="I29">
        <f>I25-I12</f>
        <v/>
      </c>
      <c r="J29">
        <f>J25-J12</f>
        <v/>
      </c>
      <c r="K29">
        <f>K25-K12</f>
        <v/>
      </c>
      <c r="L29">
        <f>L25-L12</f>
        <v/>
      </c>
    </row>
    <row r="30">
      <c r="A30" t="inlineStr">
        <is>
          <t>Memo: owner-FCF margin</t>
        </is>
      </c>
      <c r="C30" s="9">
        <f>C25/C8</f>
        <v/>
      </c>
      <c r="D30" s="9">
        <f>D25/D8</f>
        <v/>
      </c>
      <c r="E30" s="9">
        <f>E25/E8</f>
        <v/>
      </c>
      <c r="F30" s="9">
        <f>F25/F8</f>
        <v/>
      </c>
      <c r="G30" s="9">
        <f>G25/G8</f>
        <v/>
      </c>
      <c r="H30" s="9">
        <f>H25/H8</f>
        <v/>
      </c>
      <c r="I30" s="9">
        <f>I25/I8</f>
        <v/>
      </c>
      <c r="J30" s="9">
        <f>J25/J8</f>
        <v/>
      </c>
      <c r="K30" s="9">
        <f>K25/K8</f>
        <v/>
      </c>
      <c r="L30" s="9">
        <f>L25/L8</f>
        <v/>
      </c>
    </row>
    <row r="32">
      <c r="A32" t="inlineStr">
        <is>
          <t>Sum PV of FCF (yrs 1-10)</t>
        </is>
      </c>
      <c r="B32">
        <f>SUM(C27:L27)</f>
        <v/>
      </c>
    </row>
    <row r="33">
      <c r="A33" t="inlineStr">
        <is>
          <t>Terminal growth</t>
        </is>
      </c>
      <c r="B33" s="8">
        <f>Assumptions!$B$14</f>
        <v/>
      </c>
    </row>
    <row r="34">
      <c r="A34" t="inlineStr">
        <is>
          <t>Terminal FCF (tax-normalised @28%)</t>
        </is>
      </c>
      <c r="B34">
        <f>L16*(1-Assumptions!$B$3)+L24</f>
        <v/>
      </c>
    </row>
    <row r="35">
      <c r="A35" t="inlineStr">
        <is>
          <t>Gordon TV</t>
        </is>
      </c>
      <c r="B35">
        <f>B34*(1+B33)/(Assumptions!$B$2-B33)</f>
        <v/>
      </c>
    </row>
    <row r="36">
      <c r="A36" t="inlineStr">
        <is>
          <t>Cap TV (15x)</t>
        </is>
      </c>
      <c r="B36">
        <f>Assumptions!$B$4*B34</f>
        <v/>
      </c>
    </row>
    <row r="37">
      <c r="A37" t="inlineStr">
        <is>
          <t>TV used = MAX(0,MIN(Gordon,Cap))</t>
        </is>
      </c>
      <c r="B37">
        <f>MAX(0,MIN(B35,B36))</f>
        <v/>
      </c>
    </row>
    <row r="38">
      <c r="A38" t="inlineStr">
        <is>
          <t>Implied exit multiple</t>
        </is>
      </c>
      <c r="B38">
        <f>IF(B34&gt;0,B37/B34,"n/a")</f>
        <v/>
      </c>
    </row>
    <row r="39">
      <c r="A39" t="inlineStr">
        <is>
          <t>PV of terminal value</t>
        </is>
      </c>
      <c r="B39">
        <f>B37*L26</f>
        <v/>
      </c>
    </row>
    <row r="40">
      <c r="A40" t="inlineStr">
        <is>
          <t>Enterprise value</t>
        </is>
      </c>
      <c r="B40">
        <f>B32+B39</f>
        <v/>
      </c>
    </row>
    <row r="41">
      <c r="A41" t="inlineStr">
        <is>
          <t>Add net cash (own only)</t>
        </is>
      </c>
      <c r="B41" s="8">
        <f>Assumptions!$B$5</f>
        <v/>
      </c>
    </row>
    <row r="42">
      <c r="A42" t="inlineStr">
        <is>
          <t>Equity value</t>
        </is>
      </c>
      <c r="B42">
        <f>B40+B41</f>
        <v/>
      </c>
    </row>
    <row r="43">
      <c r="A43" t="inlineStr">
        <is>
          <t>Shares on issue (m)</t>
        </is>
      </c>
      <c r="B43" s="8">
        <f>Assumptions!$B$6</f>
        <v/>
      </c>
    </row>
    <row r="44">
      <c r="A44" t="inlineStr">
        <is>
          <t>VALUE PER SHARE (NZD)</t>
        </is>
      </c>
      <c r="B44" s="10">
        <f>B42/B43</f>
        <v/>
      </c>
    </row>
    <row r="45">
      <c r="A45" t="inlineStr">
        <is>
          <t>Upside vs price</t>
        </is>
      </c>
      <c r="B45" s="9">
        <f>B44/Assumptions!$B$7-1</f>
        <v/>
      </c>
    </row>
    <row r="47">
      <c r="A47" t="inlineStr">
        <is>
          <t>Street memo: PV explicit SBC</t>
        </is>
      </c>
      <c r="B47">
        <f>SUMPRODUCT(-C12:L12,C26:L26)</f>
        <v/>
      </c>
    </row>
    <row r="48">
      <c r="A48" t="inlineStr">
        <is>
          <t>Street memo: PV terminal SBC</t>
        </is>
      </c>
      <c r="B48">
        <f>(-L12*(1+B33)/(Assumptions!$B$2-B33))*L26</f>
        <v/>
      </c>
    </row>
    <row r="49">
      <c r="A49" t="inlineStr">
        <is>
          <t>Street value per share</t>
        </is>
      </c>
      <c r="B49" s="11">
        <f>(B42+B47+B48)/B43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34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</cols>
  <sheetData>
    <row r="1">
      <c r="A1" s="2" t="inlineStr">
        <is>
          <t>Base scenario - owner-FCF DCF (NZ$m). Drivers (yellow): rows 5,7,9,11,14.</t>
        </is>
      </c>
    </row>
    <row r="3">
      <c r="A3" s="6" t="inlineStr"/>
      <c r="B3" s="6" t="inlineStr">
        <is>
          <t>2026A</t>
        </is>
      </c>
      <c r="C3" s="6" t="inlineStr">
        <is>
          <t>FY2027E</t>
        </is>
      </c>
      <c r="D3" s="6" t="inlineStr">
        <is>
          <t>FY2028E</t>
        </is>
      </c>
      <c r="E3" s="6" t="inlineStr">
        <is>
          <t>FY2029E</t>
        </is>
      </c>
      <c r="F3" s="6" t="inlineStr">
        <is>
          <t>FY2030E</t>
        </is>
      </c>
      <c r="G3" s="6" t="inlineStr">
        <is>
          <t>FY2031E</t>
        </is>
      </c>
      <c r="H3" s="6" t="inlineStr">
        <is>
          <t>FY2032E</t>
        </is>
      </c>
      <c r="I3" s="6" t="inlineStr">
        <is>
          <t>FY2033E</t>
        </is>
      </c>
      <c r="J3" s="6" t="inlineStr">
        <is>
          <t>FY2034E</t>
        </is>
      </c>
      <c r="K3" s="6" t="inlineStr">
        <is>
          <t>FY2035E</t>
        </is>
      </c>
      <c r="L3" s="6" t="inlineStr">
        <is>
          <t>FY2036E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Processing+other rev growth %</t>
        </is>
      </c>
      <c r="C5" s="7" t="n">
        <v>0.1</v>
      </c>
      <c r="D5" s="7" t="n">
        <v>0.12</v>
      </c>
      <c r="E5" s="7" t="n">
        <v>0.13</v>
      </c>
      <c r="F5" s="7" t="n">
        <v>0.12</v>
      </c>
      <c r="G5" s="7" t="n">
        <v>0.1</v>
      </c>
      <c r="H5" s="7" t="n">
        <v>0.09</v>
      </c>
      <c r="I5" s="7" t="n">
        <v>0.08</v>
      </c>
      <c r="J5" s="7" t="n">
        <v>0.07000000000000001</v>
      </c>
      <c r="K5" s="7" t="n">
        <v>0.06</v>
      </c>
      <c r="L5" s="7" t="n">
        <v>0.05</v>
      </c>
    </row>
    <row r="6">
      <c r="A6" t="inlineStr">
        <is>
          <t>Processing+other revenue</t>
        </is>
      </c>
      <c r="B6" s="3" t="n">
        <v>7.434</v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Float interest income (driver, $)</t>
        </is>
      </c>
      <c r="B7" s="3" t="n">
        <v>1.813</v>
      </c>
      <c r="C7" s="4" t="n">
        <v>1.55</v>
      </c>
      <c r="D7" s="4" t="n">
        <v>1.45</v>
      </c>
      <c r="E7" s="4" t="n">
        <v>1.45</v>
      </c>
      <c r="F7" s="4" t="n">
        <v>1.5</v>
      </c>
      <c r="G7" s="4" t="n">
        <v>1.55</v>
      </c>
      <c r="H7" s="4" t="n">
        <v>1.6</v>
      </c>
      <c r="I7" s="4" t="n">
        <v>1.65</v>
      </c>
      <c r="J7" s="4" t="n">
        <v>1.7</v>
      </c>
      <c r="K7" s="4" t="n">
        <v>1.75</v>
      </c>
      <c r="L7" s="4" t="n">
        <v>1.8</v>
      </c>
    </row>
    <row r="8">
      <c r="A8" t="inlineStr">
        <is>
          <t>Total revenue</t>
        </is>
      </c>
      <c r="B8" s="3" t="n">
        <v>9.247</v>
      </c>
      <c r="C8">
        <f>C6+C7</f>
        <v/>
      </c>
      <c r="D8">
        <f>D6+D7</f>
        <v/>
      </c>
      <c r="E8">
        <f>E6+E7</f>
        <v/>
      </c>
      <c r="F8">
        <f>F6+F7</f>
        <v/>
      </c>
      <c r="G8">
        <f>G6+G7</f>
        <v/>
      </c>
      <c r="H8">
        <f>H6+H7</f>
        <v/>
      </c>
      <c r="I8">
        <f>I6+I7</f>
        <v/>
      </c>
      <c r="J8">
        <f>J6+J7</f>
        <v/>
      </c>
      <c r="K8">
        <f>K6+K7</f>
        <v/>
      </c>
      <c r="L8">
        <f>L6+L7</f>
        <v/>
      </c>
    </row>
    <row r="9">
      <c r="A9" t="inlineStr">
        <is>
          <t>Adj EBITDA margin % (pre-SBC)</t>
        </is>
      </c>
      <c r="C9" s="7" t="n">
        <v>0.08</v>
      </c>
      <c r="D9" s="7" t="n">
        <v>0.1</v>
      </c>
      <c r="E9" s="7" t="n">
        <v>0.14</v>
      </c>
      <c r="F9" s="7" t="n">
        <v>0.18</v>
      </c>
      <c r="G9" s="7" t="n">
        <v>0.21</v>
      </c>
      <c r="H9" s="7" t="n">
        <v>0.23</v>
      </c>
      <c r="I9" s="7" t="n">
        <v>0.25</v>
      </c>
      <c r="J9" s="7" t="n">
        <v>0.26</v>
      </c>
      <c r="K9" s="7" t="n">
        <v>0.27</v>
      </c>
      <c r="L9" s="7" t="n">
        <v>0.28</v>
      </c>
    </row>
    <row r="10">
      <c r="A10" t="inlineStr">
        <is>
          <t>Adjusted EBITDA</t>
        </is>
      </c>
      <c r="B10" s="3" t="n">
        <v>1.922</v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  <c r="L10">
        <f>L8*L9</f>
        <v/>
      </c>
    </row>
    <row r="11">
      <c r="A11" t="inlineStr">
        <is>
          <t>SBC % of revenue</t>
        </is>
      </c>
      <c r="C11" s="7" t="n">
        <v>0.075</v>
      </c>
      <c r="D11" s="7" t="n">
        <v>0.0725</v>
      </c>
      <c r="E11" s="7" t="n">
        <v>0.07000000000000001</v>
      </c>
      <c r="F11" s="7" t="n">
        <v>0.0675</v>
      </c>
      <c r="G11" s="7" t="n">
        <v>0.065</v>
      </c>
      <c r="H11" s="7" t="n">
        <v>0.0625</v>
      </c>
      <c r="I11" s="7" t="n">
        <v>0.06</v>
      </c>
      <c r="J11" s="7" t="n">
        <v>0.0575</v>
      </c>
      <c r="K11" s="7" t="n">
        <v>0.055</v>
      </c>
      <c r="L11" s="7" t="n">
        <v>0.0525</v>
      </c>
    </row>
    <row r="12">
      <c r="A12" t="inlineStr">
        <is>
          <t>SBC $</t>
        </is>
      </c>
      <c r="B12" s="3" t="n">
        <v>-0.704</v>
      </c>
      <c r="C12">
        <f>-C8*C11</f>
        <v/>
      </c>
      <c r="D12">
        <f>-D8*D11</f>
        <v/>
      </c>
      <c r="E12">
        <f>-E8*E11</f>
        <v/>
      </c>
      <c r="F12">
        <f>-F8*F11</f>
        <v/>
      </c>
      <c r="G12">
        <f>-G8*G11</f>
        <v/>
      </c>
      <c r="H12">
        <f>-H8*H11</f>
        <v/>
      </c>
      <c r="I12">
        <f>-I8*I11</f>
        <v/>
      </c>
      <c r="J12">
        <f>-J8*J11</f>
        <v/>
      </c>
      <c r="K12">
        <f>-K8*K11</f>
        <v/>
      </c>
      <c r="L12">
        <f>-L8*L11</f>
        <v/>
      </c>
    </row>
    <row r="13">
      <c r="A13" t="inlineStr">
        <is>
          <t>Owner EBITDA</t>
        </is>
      </c>
      <c r="C13">
        <f>C10+C12</f>
        <v/>
      </c>
      <c r="D13">
        <f>D10+D12</f>
        <v/>
      </c>
      <c r="E13">
        <f>E10+E12</f>
        <v/>
      </c>
      <c r="F13">
        <f>F10+F12</f>
        <v/>
      </c>
      <c r="G13">
        <f>G10+G12</f>
        <v/>
      </c>
      <c r="H13">
        <f>H10+H12</f>
        <v/>
      </c>
      <c r="I13">
        <f>I10+I12</f>
        <v/>
      </c>
      <c r="J13">
        <f>J10+J12</f>
        <v/>
      </c>
      <c r="K13">
        <f>K10+K12</f>
        <v/>
      </c>
      <c r="L13">
        <f>L10+L12</f>
        <v/>
      </c>
    </row>
    <row r="14">
      <c r="A14" t="inlineStr">
        <is>
          <t>Capex and D&amp;A % of revenue</t>
        </is>
      </c>
      <c r="C14" s="7" t="n">
        <v>0.22</v>
      </c>
      <c r="D14" s="7" t="n">
        <v>0.2</v>
      </c>
      <c r="E14" s="7" t="n">
        <v>0.18</v>
      </c>
      <c r="F14" s="7" t="n">
        <v>0.16</v>
      </c>
      <c r="G14" s="7" t="n">
        <v>0.15</v>
      </c>
      <c r="H14" s="7" t="n">
        <v>0.14</v>
      </c>
      <c r="I14" s="7" t="n">
        <v>0.13</v>
      </c>
      <c r="J14" s="7" t="n">
        <v>0.12</v>
      </c>
      <c r="K14" s="7" t="n">
        <v>0.11</v>
      </c>
      <c r="L14" s="7" t="n">
        <v>0.1</v>
      </c>
    </row>
    <row r="15">
      <c r="A15" t="inlineStr">
        <is>
          <t>D&amp;A</t>
        </is>
      </c>
      <c r="C15">
        <f>-C8*C14</f>
        <v/>
      </c>
      <c r="D15">
        <f>-D8*D14</f>
        <v/>
      </c>
      <c r="E15">
        <f>-E8*E14</f>
        <v/>
      </c>
      <c r="F15">
        <f>-F8*F14</f>
        <v/>
      </c>
      <c r="G15">
        <f>-G8*G14</f>
        <v/>
      </c>
      <c r="H15">
        <f>-H8*H14</f>
        <v/>
      </c>
      <c r="I15">
        <f>-I8*I14</f>
        <v/>
      </c>
      <c r="J15">
        <f>-J8*J14</f>
        <v/>
      </c>
      <c r="K15">
        <f>-K8*K14</f>
        <v/>
      </c>
      <c r="L15">
        <f>-L8*L14</f>
        <v/>
      </c>
    </row>
    <row r="16">
      <c r="A16" t="inlineStr">
        <is>
          <t>EBIT (owner basis)</t>
        </is>
      </c>
      <c r="C16">
        <f>C13+C15</f>
        <v/>
      </c>
      <c r="D16">
        <f>D13+D15</f>
        <v/>
      </c>
      <c r="E16">
        <f>E13+E15</f>
        <v/>
      </c>
      <c r="F16">
        <f>F13+F15</f>
        <v/>
      </c>
      <c r="G16">
        <f>G13+G15</f>
        <v/>
      </c>
      <c r="H16">
        <f>H13+H15</f>
        <v/>
      </c>
      <c r="I16">
        <f>I13+I15</f>
        <v/>
      </c>
      <c r="J16">
        <f>J13+J15</f>
        <v/>
      </c>
      <c r="K16">
        <f>K13+K15</f>
        <v/>
      </c>
      <c r="L16">
        <f>L13+L15</f>
        <v/>
      </c>
    </row>
    <row r="17">
      <c r="A17" t="inlineStr">
        <is>
          <t>Tax-loss pool, opening</t>
        </is>
      </c>
      <c r="C17" s="8">
        <f>Assumptions!$B$9</f>
        <v/>
      </c>
      <c r="D17">
        <f>C19</f>
        <v/>
      </c>
      <c r="E17">
        <f>D19</f>
        <v/>
      </c>
      <c r="F17">
        <f>E19</f>
        <v/>
      </c>
      <c r="G17">
        <f>F19</f>
        <v/>
      </c>
      <c r="H17">
        <f>G19</f>
        <v/>
      </c>
      <c r="I17">
        <f>H19</f>
        <v/>
      </c>
      <c r="J17">
        <f>I19</f>
        <v/>
      </c>
      <c r="K17">
        <f>J19</f>
        <v/>
      </c>
      <c r="L17">
        <f>K19</f>
        <v/>
      </c>
    </row>
    <row r="18">
      <c r="A18" t="inlineStr">
        <is>
          <t>Losses used</t>
        </is>
      </c>
      <c r="C18">
        <f>MIN(MAX(C16,0),C17)</f>
        <v/>
      </c>
      <c r="D18">
        <f>MIN(MAX(D16,0),D17)</f>
        <v/>
      </c>
      <c r="E18">
        <f>MIN(MAX(E16,0),E17)</f>
        <v/>
      </c>
      <c r="F18">
        <f>MIN(MAX(F16,0),F17)</f>
        <v/>
      </c>
      <c r="G18">
        <f>MIN(MAX(G16,0),G17)</f>
        <v/>
      </c>
      <c r="H18">
        <f>MIN(MAX(H16,0),H17)</f>
        <v/>
      </c>
      <c r="I18">
        <f>MIN(MAX(I16,0),I17)</f>
        <v/>
      </c>
      <c r="J18">
        <f>MIN(MAX(J16,0),J17)</f>
        <v/>
      </c>
      <c r="K18">
        <f>MIN(MAX(K16,0),K17)</f>
        <v/>
      </c>
      <c r="L18">
        <f>MIN(MAX(L16,0),L17)</f>
        <v/>
      </c>
    </row>
    <row r="19">
      <c r="A19" t="inlineStr">
        <is>
          <t>Tax-loss pool, closing</t>
        </is>
      </c>
      <c r="C19">
        <f>C17-C18+MAX(-C16,0)</f>
        <v/>
      </c>
      <c r="D19">
        <f>D17-D18+MAX(-D16,0)</f>
        <v/>
      </c>
      <c r="E19">
        <f>E17-E18+MAX(-E16,0)</f>
        <v/>
      </c>
      <c r="F19">
        <f>F17-F18+MAX(-F16,0)</f>
        <v/>
      </c>
      <c r="G19">
        <f>G17-G18+MAX(-G16,0)</f>
        <v/>
      </c>
      <c r="H19">
        <f>H17-H18+MAX(-H16,0)</f>
        <v/>
      </c>
      <c r="I19">
        <f>I17-I18+MAX(-I16,0)</f>
        <v/>
      </c>
      <c r="J19">
        <f>J17-J18+MAX(-J16,0)</f>
        <v/>
      </c>
      <c r="K19">
        <f>K17-K18+MAX(-K16,0)</f>
        <v/>
      </c>
      <c r="L19">
        <f>L17-L18+MAX(-L16,0)</f>
        <v/>
      </c>
    </row>
    <row r="20">
      <c r="A20" t="inlineStr">
        <is>
          <t>Cash tax</t>
        </is>
      </c>
      <c r="C20">
        <f>-Assumptions!$B$3*(MAX(C16,0)-C18)</f>
        <v/>
      </c>
      <c r="D20">
        <f>-Assumptions!$B$3*(MAX(D16,0)-D18)</f>
        <v/>
      </c>
      <c r="E20">
        <f>-Assumptions!$B$3*(MAX(E16,0)-E18)</f>
        <v/>
      </c>
      <c r="F20">
        <f>-Assumptions!$B$3*(MAX(F16,0)-F18)</f>
        <v/>
      </c>
      <c r="G20">
        <f>-Assumptions!$B$3*(MAX(G16,0)-G18)</f>
        <v/>
      </c>
      <c r="H20">
        <f>-Assumptions!$B$3*(MAX(H16,0)-H18)</f>
        <v/>
      </c>
      <c r="I20">
        <f>-Assumptions!$B$3*(MAX(I16,0)-I18)</f>
        <v/>
      </c>
      <c r="J20">
        <f>-Assumptions!$B$3*(MAX(J16,0)-J18)</f>
        <v/>
      </c>
      <c r="K20">
        <f>-Assumptions!$B$3*(MAX(K16,0)-K18)</f>
        <v/>
      </c>
      <c r="L20">
        <f>-Assumptions!$B$3*(MAX(L16,0)-L18)</f>
        <v/>
      </c>
    </row>
    <row r="21">
      <c r="A21" t="inlineStr">
        <is>
          <t>NOPAT</t>
        </is>
      </c>
      <c r="C21">
        <f>C16+C20</f>
        <v/>
      </c>
      <c r="D21">
        <f>D16+D20</f>
        <v/>
      </c>
      <c r="E21">
        <f>E16+E20</f>
        <v/>
      </c>
      <c r="F21">
        <f>F16+F20</f>
        <v/>
      </c>
      <c r="G21">
        <f>G16+G20</f>
        <v/>
      </c>
      <c r="H21">
        <f>H16+H20</f>
        <v/>
      </c>
      <c r="I21">
        <f>I16+I20</f>
        <v/>
      </c>
      <c r="J21">
        <f>J16+J20</f>
        <v/>
      </c>
      <c r="K21">
        <f>K16+K20</f>
        <v/>
      </c>
      <c r="L21">
        <f>L16+L20</f>
        <v/>
      </c>
    </row>
    <row r="22">
      <c r="A22" t="inlineStr">
        <is>
          <t>Add back D&amp;A</t>
        </is>
      </c>
      <c r="C22">
        <f>-C15</f>
        <v/>
      </c>
      <c r="D22">
        <f>-D15</f>
        <v/>
      </c>
      <c r="E22">
        <f>-E15</f>
        <v/>
      </c>
      <c r="F22">
        <f>-F15</f>
        <v/>
      </c>
      <c r="G22">
        <f>-G15</f>
        <v/>
      </c>
      <c r="H22">
        <f>-H15</f>
        <v/>
      </c>
      <c r="I22">
        <f>-I15</f>
        <v/>
      </c>
      <c r="J22">
        <f>-J15</f>
        <v/>
      </c>
      <c r="K22">
        <f>-K15</f>
        <v/>
      </c>
      <c r="L22">
        <f>-L15</f>
        <v/>
      </c>
    </row>
    <row r="23">
      <c r="A23" t="inlineStr">
        <is>
          <t>Less capex</t>
        </is>
      </c>
      <c r="C23">
        <f>-C8*C14</f>
        <v/>
      </c>
      <c r="D23">
        <f>-D8*D14</f>
        <v/>
      </c>
      <c r="E23">
        <f>-E8*E14</f>
        <v/>
      </c>
      <c r="F23">
        <f>-F8*F14</f>
        <v/>
      </c>
      <c r="G23">
        <f>-G8*G14</f>
        <v/>
      </c>
      <c r="H23">
        <f>-H8*H14</f>
        <v/>
      </c>
      <c r="I23">
        <f>-I8*I14</f>
        <v/>
      </c>
      <c r="J23">
        <f>-J8*J14</f>
        <v/>
      </c>
      <c r="K23">
        <f>-K8*K14</f>
        <v/>
      </c>
      <c r="L23">
        <f>-L8*L14</f>
        <v/>
      </c>
    </row>
    <row r="24">
      <c r="A24" t="inlineStr">
        <is>
          <t>Working capital (on rev change)</t>
        </is>
      </c>
      <c r="C24">
        <f>Assumptions!$B$10*(C8-B8)</f>
        <v/>
      </c>
      <c r="D24">
        <f>Assumptions!$B$10*(D8-C8)</f>
        <v/>
      </c>
      <c r="E24">
        <f>Assumptions!$B$10*(E8-D8)</f>
        <v/>
      </c>
      <c r="F24">
        <f>Assumptions!$B$10*(F8-E8)</f>
        <v/>
      </c>
      <c r="G24">
        <f>Assumptions!$B$10*(G8-F8)</f>
        <v/>
      </c>
      <c r="H24">
        <f>Assumptions!$B$10*(H8-G8)</f>
        <v/>
      </c>
      <c r="I24">
        <f>Assumptions!$B$10*(I8-H8)</f>
        <v/>
      </c>
      <c r="J24">
        <f>Assumptions!$B$10*(J8-I8)</f>
        <v/>
      </c>
      <c r="K24">
        <f>Assumptions!$B$10*(K8-J8)</f>
        <v/>
      </c>
      <c r="L24">
        <f>Assumptions!$B$10*(L8-K8)</f>
        <v/>
      </c>
    </row>
    <row r="25">
      <c r="A25" t="inlineStr">
        <is>
          <t>Unlevered owner FCF</t>
        </is>
      </c>
      <c r="B25" s="3" t="n">
        <v>-0.959</v>
      </c>
      <c r="C25">
        <f>C21+C22+C23+C24</f>
        <v/>
      </c>
      <c r="D25">
        <f>D21+D22+D23+D24</f>
        <v/>
      </c>
      <c r="E25">
        <f>E21+E22+E23+E24</f>
        <v/>
      </c>
      <c r="F25">
        <f>F21+F22+F23+F24</f>
        <v/>
      </c>
      <c r="G25">
        <f>G21+G22+G23+G24</f>
        <v/>
      </c>
      <c r="H25">
        <f>H21+H22+H23+H24</f>
        <v/>
      </c>
      <c r="I25">
        <f>I21+I22+I23+I24</f>
        <v/>
      </c>
      <c r="J25">
        <f>J21+J22+J23+J24</f>
        <v/>
      </c>
      <c r="K25">
        <f>K21+K22+K23+K24</f>
        <v/>
      </c>
      <c r="L25">
        <f>L21+L22+L23+L24</f>
        <v/>
      </c>
    </row>
    <row r="26">
      <c r="A26" t="inlineStr">
        <is>
          <t>Discount factor</t>
        </is>
      </c>
      <c r="C26">
        <f>1/(1+Assumptions!$B$2)^C4</f>
        <v/>
      </c>
      <c r="D26">
        <f>1/(1+Assumptions!$B$2)^D4</f>
        <v/>
      </c>
      <c r="E26">
        <f>1/(1+Assumptions!$B$2)^E4</f>
        <v/>
      </c>
      <c r="F26">
        <f>1/(1+Assumptions!$B$2)^F4</f>
        <v/>
      </c>
      <c r="G26">
        <f>1/(1+Assumptions!$B$2)^G4</f>
        <v/>
      </c>
      <c r="H26">
        <f>1/(1+Assumptions!$B$2)^H4</f>
        <v/>
      </c>
      <c r="I26">
        <f>1/(1+Assumptions!$B$2)^I4</f>
        <v/>
      </c>
      <c r="J26">
        <f>1/(1+Assumptions!$B$2)^J4</f>
        <v/>
      </c>
      <c r="K26">
        <f>1/(1+Assumptions!$B$2)^K4</f>
        <v/>
      </c>
      <c r="L26">
        <f>1/(1+Assumptions!$B$2)^L4</f>
        <v/>
      </c>
    </row>
    <row r="27">
      <c r="A27" t="inlineStr">
        <is>
          <t>PV of FCF</t>
        </is>
      </c>
      <c r="C27">
        <f>C25*C26</f>
        <v/>
      </c>
      <c r="D27">
        <f>D25*D26</f>
        <v/>
      </c>
      <c r="E27">
        <f>E25*E26</f>
        <v/>
      </c>
      <c r="F27">
        <f>F25*F26</f>
        <v/>
      </c>
      <c r="G27">
        <f>G25*G26</f>
        <v/>
      </c>
      <c r="H27">
        <f>H25*H26</f>
        <v/>
      </c>
      <c r="I27">
        <f>I25*I26</f>
        <v/>
      </c>
      <c r="J27">
        <f>J25*J26</f>
        <v/>
      </c>
      <c r="K27">
        <f>K25*K26</f>
        <v/>
      </c>
      <c r="L27">
        <f>L25*L26</f>
        <v/>
      </c>
    </row>
    <row r="29">
      <c r="A29" t="inlineStr">
        <is>
          <t>Memo: FCF before SBC (company-style)</t>
        </is>
      </c>
      <c r="C29">
        <f>C25-C12</f>
        <v/>
      </c>
      <c r="D29">
        <f>D25-D12</f>
        <v/>
      </c>
      <c r="E29">
        <f>E25-E12</f>
        <v/>
      </c>
      <c r="F29">
        <f>F25-F12</f>
        <v/>
      </c>
      <c r="G29">
        <f>G25-G12</f>
        <v/>
      </c>
      <c r="H29">
        <f>H25-H12</f>
        <v/>
      </c>
      <c r="I29">
        <f>I25-I12</f>
        <v/>
      </c>
      <c r="J29">
        <f>J25-J12</f>
        <v/>
      </c>
      <c r="K29">
        <f>K25-K12</f>
        <v/>
      </c>
      <c r="L29">
        <f>L25-L12</f>
        <v/>
      </c>
    </row>
    <row r="30">
      <c r="A30" t="inlineStr">
        <is>
          <t>Memo: owner-FCF margin</t>
        </is>
      </c>
      <c r="C30" s="9">
        <f>C25/C8</f>
        <v/>
      </c>
      <c r="D30" s="9">
        <f>D25/D8</f>
        <v/>
      </c>
      <c r="E30" s="9">
        <f>E25/E8</f>
        <v/>
      </c>
      <c r="F30" s="9">
        <f>F25/F8</f>
        <v/>
      </c>
      <c r="G30" s="9">
        <f>G25/G8</f>
        <v/>
      </c>
      <c r="H30" s="9">
        <f>H25/H8</f>
        <v/>
      </c>
      <c r="I30" s="9">
        <f>I25/I8</f>
        <v/>
      </c>
      <c r="J30" s="9">
        <f>J25/J8</f>
        <v/>
      </c>
      <c r="K30" s="9">
        <f>K25/K8</f>
        <v/>
      </c>
      <c r="L30" s="9">
        <f>L25/L8</f>
        <v/>
      </c>
    </row>
    <row r="32">
      <c r="A32" t="inlineStr">
        <is>
          <t>Sum PV of FCF (yrs 1-10)</t>
        </is>
      </c>
      <c r="B32">
        <f>SUM(C27:L27)</f>
        <v/>
      </c>
    </row>
    <row r="33">
      <c r="A33" t="inlineStr">
        <is>
          <t>Terminal growth</t>
        </is>
      </c>
      <c r="B33" s="8">
        <f>Assumptions!$C$14</f>
        <v/>
      </c>
    </row>
    <row r="34">
      <c r="A34" t="inlineStr">
        <is>
          <t>Terminal FCF (tax-normalised @28%)</t>
        </is>
      </c>
      <c r="B34">
        <f>L16*(1-Assumptions!$B$3)+L24</f>
        <v/>
      </c>
    </row>
    <row r="35">
      <c r="A35" t="inlineStr">
        <is>
          <t>Gordon TV</t>
        </is>
      </c>
      <c r="B35">
        <f>B34*(1+B33)/(Assumptions!$B$2-B33)</f>
        <v/>
      </c>
    </row>
    <row r="36">
      <c r="A36" t="inlineStr">
        <is>
          <t>Cap TV (15x)</t>
        </is>
      </c>
      <c r="B36">
        <f>Assumptions!$B$4*B34</f>
        <v/>
      </c>
    </row>
    <row r="37">
      <c r="A37" t="inlineStr">
        <is>
          <t>TV used = MAX(0,MIN(Gordon,Cap))</t>
        </is>
      </c>
      <c r="B37">
        <f>MAX(0,MIN(B35,B36))</f>
        <v/>
      </c>
    </row>
    <row r="38">
      <c r="A38" t="inlineStr">
        <is>
          <t>Implied exit multiple</t>
        </is>
      </c>
      <c r="B38">
        <f>IF(B34&gt;0,B37/B34,"n/a")</f>
        <v/>
      </c>
    </row>
    <row r="39">
      <c r="A39" t="inlineStr">
        <is>
          <t>PV of terminal value</t>
        </is>
      </c>
      <c r="B39">
        <f>B37*L26</f>
        <v/>
      </c>
    </row>
    <row r="40">
      <c r="A40" t="inlineStr">
        <is>
          <t>Enterprise value</t>
        </is>
      </c>
      <c r="B40">
        <f>B32+B39</f>
        <v/>
      </c>
    </row>
    <row r="41">
      <c r="A41" t="inlineStr">
        <is>
          <t>Add net cash (own only)</t>
        </is>
      </c>
      <c r="B41" s="8">
        <f>Assumptions!$B$5</f>
        <v/>
      </c>
    </row>
    <row r="42">
      <c r="A42" t="inlineStr">
        <is>
          <t>Equity value</t>
        </is>
      </c>
      <c r="B42">
        <f>B40+B41</f>
        <v/>
      </c>
    </row>
    <row r="43">
      <c r="A43" t="inlineStr">
        <is>
          <t>Shares on issue (m)</t>
        </is>
      </c>
      <c r="B43" s="8">
        <f>Assumptions!$B$6</f>
        <v/>
      </c>
    </row>
    <row r="44">
      <c r="A44" t="inlineStr">
        <is>
          <t>VALUE PER SHARE (NZD)</t>
        </is>
      </c>
      <c r="B44" s="10">
        <f>B42/B43</f>
        <v/>
      </c>
    </row>
    <row r="45">
      <c r="A45" t="inlineStr">
        <is>
          <t>Upside vs price</t>
        </is>
      </c>
      <c r="B45" s="9">
        <f>B44/Assumptions!$B$7-1</f>
        <v/>
      </c>
    </row>
    <row r="47">
      <c r="A47" t="inlineStr">
        <is>
          <t>Street memo: PV explicit SBC</t>
        </is>
      </c>
      <c r="B47">
        <f>SUMPRODUCT(-C12:L12,C26:L26)</f>
        <v/>
      </c>
    </row>
    <row r="48">
      <c r="A48" t="inlineStr">
        <is>
          <t>Street memo: PV terminal SBC</t>
        </is>
      </c>
      <c r="B48">
        <f>(-L12*(1+B33)/(Assumptions!$B$2-B33))*L26</f>
        <v/>
      </c>
    </row>
    <row r="49">
      <c r="A49" t="inlineStr">
        <is>
          <t>Street value per share</t>
        </is>
      </c>
      <c r="B49" s="11">
        <f>(B42+B47+B48)/B43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34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</cols>
  <sheetData>
    <row r="1">
      <c r="A1" s="2" t="inlineStr">
        <is>
          <t>Bull scenario - owner-FCF DCF (NZ$m). Drivers (yellow): rows 5,7,9,11,14.</t>
        </is>
      </c>
    </row>
    <row r="3">
      <c r="A3" s="6" t="inlineStr"/>
      <c r="B3" s="6" t="inlineStr">
        <is>
          <t>2026A</t>
        </is>
      </c>
      <c r="C3" s="6" t="inlineStr">
        <is>
          <t>FY2027E</t>
        </is>
      </c>
      <c r="D3" s="6" t="inlineStr">
        <is>
          <t>FY2028E</t>
        </is>
      </c>
      <c r="E3" s="6" t="inlineStr">
        <is>
          <t>FY2029E</t>
        </is>
      </c>
      <c r="F3" s="6" t="inlineStr">
        <is>
          <t>FY2030E</t>
        </is>
      </c>
      <c r="G3" s="6" t="inlineStr">
        <is>
          <t>FY2031E</t>
        </is>
      </c>
      <c r="H3" s="6" t="inlineStr">
        <is>
          <t>FY2032E</t>
        </is>
      </c>
      <c r="I3" s="6" t="inlineStr">
        <is>
          <t>FY2033E</t>
        </is>
      </c>
      <c r="J3" s="6" t="inlineStr">
        <is>
          <t>FY2034E</t>
        </is>
      </c>
      <c r="K3" s="6" t="inlineStr">
        <is>
          <t>FY2035E</t>
        </is>
      </c>
      <c r="L3" s="6" t="inlineStr">
        <is>
          <t>FY2036E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Processing+other rev growth %</t>
        </is>
      </c>
      <c r="C5" s="7" t="n">
        <v>0.15</v>
      </c>
      <c r="D5" s="7" t="n">
        <v>0.22</v>
      </c>
      <c r="E5" s="7" t="n">
        <v>0.28</v>
      </c>
      <c r="F5" s="7" t="n">
        <v>0.26</v>
      </c>
      <c r="G5" s="7" t="n">
        <v>0.22</v>
      </c>
      <c r="H5" s="7" t="n">
        <v>0.18</v>
      </c>
      <c r="I5" s="7" t="n">
        <v>0.15</v>
      </c>
      <c r="J5" s="7" t="n">
        <v>0.12</v>
      </c>
      <c r="K5" s="7" t="n">
        <v>0.1</v>
      </c>
      <c r="L5" s="7" t="n">
        <v>0.08</v>
      </c>
    </row>
    <row r="6">
      <c r="A6" t="inlineStr">
        <is>
          <t>Processing+other revenue</t>
        </is>
      </c>
      <c r="B6" s="3" t="n">
        <v>7.434</v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Float interest income (driver, $)</t>
        </is>
      </c>
      <c r="B7" s="3" t="n">
        <v>1.813</v>
      </c>
      <c r="C7" s="4" t="n">
        <v>1.65</v>
      </c>
      <c r="D7" s="4" t="n">
        <v>1.6</v>
      </c>
      <c r="E7" s="4" t="n">
        <v>1.7</v>
      </c>
      <c r="F7" s="4" t="n">
        <v>1.85</v>
      </c>
      <c r="G7" s="4" t="n">
        <v>2</v>
      </c>
      <c r="H7" s="4" t="n">
        <v>2.2</v>
      </c>
      <c r="I7" s="4" t="n">
        <v>2.4</v>
      </c>
      <c r="J7" s="4" t="n">
        <v>2.6</v>
      </c>
      <c r="K7" s="4" t="n">
        <v>2.8</v>
      </c>
      <c r="L7" s="4" t="n">
        <v>3</v>
      </c>
    </row>
    <row r="8">
      <c r="A8" t="inlineStr">
        <is>
          <t>Total revenue</t>
        </is>
      </c>
      <c r="B8" s="3" t="n">
        <v>9.247</v>
      </c>
      <c r="C8">
        <f>C6+C7</f>
        <v/>
      </c>
      <c r="D8">
        <f>D6+D7</f>
        <v/>
      </c>
      <c r="E8">
        <f>E6+E7</f>
        <v/>
      </c>
      <c r="F8">
        <f>F6+F7</f>
        <v/>
      </c>
      <c r="G8">
        <f>G6+G7</f>
        <v/>
      </c>
      <c r="H8">
        <f>H6+H7</f>
        <v/>
      </c>
      <c r="I8">
        <f>I6+I7</f>
        <v/>
      </c>
      <c r="J8">
        <f>J6+J7</f>
        <v/>
      </c>
      <c r="K8">
        <f>K6+K7</f>
        <v/>
      </c>
      <c r="L8">
        <f>L6+L7</f>
        <v/>
      </c>
    </row>
    <row r="9">
      <c r="A9" t="inlineStr">
        <is>
          <t>Adj EBITDA margin % (pre-SBC)</t>
        </is>
      </c>
      <c r="C9" s="7" t="n">
        <v>0.1</v>
      </c>
      <c r="D9" s="7" t="n">
        <v>0.12</v>
      </c>
      <c r="E9" s="7" t="n">
        <v>0.16</v>
      </c>
      <c r="F9" s="7" t="n">
        <v>0.2</v>
      </c>
      <c r="G9" s="7" t="n">
        <v>0.24</v>
      </c>
      <c r="H9" s="7" t="n">
        <v>0.27</v>
      </c>
      <c r="I9" s="7" t="n">
        <v>0.29</v>
      </c>
      <c r="J9" s="7" t="n">
        <v>0.3</v>
      </c>
      <c r="K9" s="7" t="n">
        <v>0.31</v>
      </c>
      <c r="L9" s="7" t="n">
        <v>0.32</v>
      </c>
    </row>
    <row r="10">
      <c r="A10" t="inlineStr">
        <is>
          <t>Adjusted EBITDA</t>
        </is>
      </c>
      <c r="B10" s="3" t="n">
        <v>1.922</v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  <c r="L10">
        <f>L8*L9</f>
        <v/>
      </c>
    </row>
    <row r="11">
      <c r="A11" t="inlineStr">
        <is>
          <t>SBC % of revenue</t>
        </is>
      </c>
      <c r="C11" s="7" t="n">
        <v>0.07000000000000001</v>
      </c>
      <c r="D11" s="7" t="n">
        <v>0.0675</v>
      </c>
      <c r="E11" s="7" t="n">
        <v>0.065</v>
      </c>
      <c r="F11" s="7" t="n">
        <v>0.0625</v>
      </c>
      <c r="G11" s="7" t="n">
        <v>0.06</v>
      </c>
      <c r="H11" s="7" t="n">
        <v>0.0575</v>
      </c>
      <c r="I11" s="7" t="n">
        <v>0.055</v>
      </c>
      <c r="J11" s="7" t="n">
        <v>0.0525</v>
      </c>
      <c r="K11" s="7" t="n">
        <v>0.05</v>
      </c>
      <c r="L11" s="7" t="n">
        <v>0.0475</v>
      </c>
    </row>
    <row r="12">
      <c r="A12" t="inlineStr">
        <is>
          <t>SBC $</t>
        </is>
      </c>
      <c r="B12" s="3" t="n">
        <v>-0.704</v>
      </c>
      <c r="C12">
        <f>-C8*C11</f>
        <v/>
      </c>
      <c r="D12">
        <f>-D8*D11</f>
        <v/>
      </c>
      <c r="E12">
        <f>-E8*E11</f>
        <v/>
      </c>
      <c r="F12">
        <f>-F8*F11</f>
        <v/>
      </c>
      <c r="G12">
        <f>-G8*G11</f>
        <v/>
      </c>
      <c r="H12">
        <f>-H8*H11</f>
        <v/>
      </c>
      <c r="I12">
        <f>-I8*I11</f>
        <v/>
      </c>
      <c r="J12">
        <f>-J8*J11</f>
        <v/>
      </c>
      <c r="K12">
        <f>-K8*K11</f>
        <v/>
      </c>
      <c r="L12">
        <f>-L8*L11</f>
        <v/>
      </c>
    </row>
    <row r="13">
      <c r="A13" t="inlineStr">
        <is>
          <t>Owner EBITDA</t>
        </is>
      </c>
      <c r="C13">
        <f>C10+C12</f>
        <v/>
      </c>
      <c r="D13">
        <f>D10+D12</f>
        <v/>
      </c>
      <c r="E13">
        <f>E10+E12</f>
        <v/>
      </c>
      <c r="F13">
        <f>F10+F12</f>
        <v/>
      </c>
      <c r="G13">
        <f>G10+G12</f>
        <v/>
      </c>
      <c r="H13">
        <f>H10+H12</f>
        <v/>
      </c>
      <c r="I13">
        <f>I10+I12</f>
        <v/>
      </c>
      <c r="J13">
        <f>J10+J12</f>
        <v/>
      </c>
      <c r="K13">
        <f>K10+K12</f>
        <v/>
      </c>
      <c r="L13">
        <f>L10+L12</f>
        <v/>
      </c>
    </row>
    <row r="14">
      <c r="A14" t="inlineStr">
        <is>
          <t>Capex and D&amp;A % of revenue</t>
        </is>
      </c>
      <c r="C14" s="7" t="n">
        <v>0.22</v>
      </c>
      <c r="D14" s="7" t="n">
        <v>0.2</v>
      </c>
      <c r="E14" s="7" t="n">
        <v>0.18</v>
      </c>
      <c r="F14" s="7" t="n">
        <v>0.16</v>
      </c>
      <c r="G14" s="7" t="n">
        <v>0.14</v>
      </c>
      <c r="H14" s="7" t="n">
        <v>0.13</v>
      </c>
      <c r="I14" s="7" t="n">
        <v>0.12</v>
      </c>
      <c r="J14" s="7" t="n">
        <v>0.11</v>
      </c>
      <c r="K14" s="7" t="n">
        <v>0.1</v>
      </c>
      <c r="L14" s="7" t="n">
        <v>0.1</v>
      </c>
    </row>
    <row r="15">
      <c r="A15" t="inlineStr">
        <is>
          <t>D&amp;A</t>
        </is>
      </c>
      <c r="C15">
        <f>-C8*C14</f>
        <v/>
      </c>
      <c r="D15">
        <f>-D8*D14</f>
        <v/>
      </c>
      <c r="E15">
        <f>-E8*E14</f>
        <v/>
      </c>
      <c r="F15">
        <f>-F8*F14</f>
        <v/>
      </c>
      <c r="G15">
        <f>-G8*G14</f>
        <v/>
      </c>
      <c r="H15">
        <f>-H8*H14</f>
        <v/>
      </c>
      <c r="I15">
        <f>-I8*I14</f>
        <v/>
      </c>
      <c r="J15">
        <f>-J8*J14</f>
        <v/>
      </c>
      <c r="K15">
        <f>-K8*K14</f>
        <v/>
      </c>
      <c r="L15">
        <f>-L8*L14</f>
        <v/>
      </c>
    </row>
    <row r="16">
      <c r="A16" t="inlineStr">
        <is>
          <t>EBIT (owner basis)</t>
        </is>
      </c>
      <c r="C16">
        <f>C13+C15</f>
        <v/>
      </c>
      <c r="D16">
        <f>D13+D15</f>
        <v/>
      </c>
      <c r="E16">
        <f>E13+E15</f>
        <v/>
      </c>
      <c r="F16">
        <f>F13+F15</f>
        <v/>
      </c>
      <c r="G16">
        <f>G13+G15</f>
        <v/>
      </c>
      <c r="H16">
        <f>H13+H15</f>
        <v/>
      </c>
      <c r="I16">
        <f>I13+I15</f>
        <v/>
      </c>
      <c r="J16">
        <f>J13+J15</f>
        <v/>
      </c>
      <c r="K16">
        <f>K13+K15</f>
        <v/>
      </c>
      <c r="L16">
        <f>L13+L15</f>
        <v/>
      </c>
    </row>
    <row r="17">
      <c r="A17" t="inlineStr">
        <is>
          <t>Tax-loss pool, opening</t>
        </is>
      </c>
      <c r="C17" s="8">
        <f>Assumptions!$B$9</f>
        <v/>
      </c>
      <c r="D17">
        <f>C19</f>
        <v/>
      </c>
      <c r="E17">
        <f>D19</f>
        <v/>
      </c>
      <c r="F17">
        <f>E19</f>
        <v/>
      </c>
      <c r="G17">
        <f>F19</f>
        <v/>
      </c>
      <c r="H17">
        <f>G19</f>
        <v/>
      </c>
      <c r="I17">
        <f>H19</f>
        <v/>
      </c>
      <c r="J17">
        <f>I19</f>
        <v/>
      </c>
      <c r="K17">
        <f>J19</f>
        <v/>
      </c>
      <c r="L17">
        <f>K19</f>
        <v/>
      </c>
    </row>
    <row r="18">
      <c r="A18" t="inlineStr">
        <is>
          <t>Losses used</t>
        </is>
      </c>
      <c r="C18">
        <f>MIN(MAX(C16,0),C17)</f>
        <v/>
      </c>
      <c r="D18">
        <f>MIN(MAX(D16,0),D17)</f>
        <v/>
      </c>
      <c r="E18">
        <f>MIN(MAX(E16,0),E17)</f>
        <v/>
      </c>
      <c r="F18">
        <f>MIN(MAX(F16,0),F17)</f>
        <v/>
      </c>
      <c r="G18">
        <f>MIN(MAX(G16,0),G17)</f>
        <v/>
      </c>
      <c r="H18">
        <f>MIN(MAX(H16,0),H17)</f>
        <v/>
      </c>
      <c r="I18">
        <f>MIN(MAX(I16,0),I17)</f>
        <v/>
      </c>
      <c r="J18">
        <f>MIN(MAX(J16,0),J17)</f>
        <v/>
      </c>
      <c r="K18">
        <f>MIN(MAX(K16,0),K17)</f>
        <v/>
      </c>
      <c r="L18">
        <f>MIN(MAX(L16,0),L17)</f>
        <v/>
      </c>
    </row>
    <row r="19">
      <c r="A19" t="inlineStr">
        <is>
          <t>Tax-loss pool, closing</t>
        </is>
      </c>
      <c r="C19">
        <f>C17-C18+MAX(-C16,0)</f>
        <v/>
      </c>
      <c r="D19">
        <f>D17-D18+MAX(-D16,0)</f>
        <v/>
      </c>
      <c r="E19">
        <f>E17-E18+MAX(-E16,0)</f>
        <v/>
      </c>
      <c r="F19">
        <f>F17-F18+MAX(-F16,0)</f>
        <v/>
      </c>
      <c r="G19">
        <f>G17-G18+MAX(-G16,0)</f>
        <v/>
      </c>
      <c r="H19">
        <f>H17-H18+MAX(-H16,0)</f>
        <v/>
      </c>
      <c r="I19">
        <f>I17-I18+MAX(-I16,0)</f>
        <v/>
      </c>
      <c r="J19">
        <f>J17-J18+MAX(-J16,0)</f>
        <v/>
      </c>
      <c r="K19">
        <f>K17-K18+MAX(-K16,0)</f>
        <v/>
      </c>
      <c r="L19">
        <f>L17-L18+MAX(-L16,0)</f>
        <v/>
      </c>
    </row>
    <row r="20">
      <c r="A20" t="inlineStr">
        <is>
          <t>Cash tax</t>
        </is>
      </c>
      <c r="C20">
        <f>-Assumptions!$B$3*(MAX(C16,0)-C18)</f>
        <v/>
      </c>
      <c r="D20">
        <f>-Assumptions!$B$3*(MAX(D16,0)-D18)</f>
        <v/>
      </c>
      <c r="E20">
        <f>-Assumptions!$B$3*(MAX(E16,0)-E18)</f>
        <v/>
      </c>
      <c r="F20">
        <f>-Assumptions!$B$3*(MAX(F16,0)-F18)</f>
        <v/>
      </c>
      <c r="G20">
        <f>-Assumptions!$B$3*(MAX(G16,0)-G18)</f>
        <v/>
      </c>
      <c r="H20">
        <f>-Assumptions!$B$3*(MAX(H16,0)-H18)</f>
        <v/>
      </c>
      <c r="I20">
        <f>-Assumptions!$B$3*(MAX(I16,0)-I18)</f>
        <v/>
      </c>
      <c r="J20">
        <f>-Assumptions!$B$3*(MAX(J16,0)-J18)</f>
        <v/>
      </c>
      <c r="K20">
        <f>-Assumptions!$B$3*(MAX(K16,0)-K18)</f>
        <v/>
      </c>
      <c r="L20">
        <f>-Assumptions!$B$3*(MAX(L16,0)-L18)</f>
        <v/>
      </c>
    </row>
    <row r="21">
      <c r="A21" t="inlineStr">
        <is>
          <t>NOPAT</t>
        </is>
      </c>
      <c r="C21">
        <f>C16+C20</f>
        <v/>
      </c>
      <c r="D21">
        <f>D16+D20</f>
        <v/>
      </c>
      <c r="E21">
        <f>E16+E20</f>
        <v/>
      </c>
      <c r="F21">
        <f>F16+F20</f>
        <v/>
      </c>
      <c r="G21">
        <f>G16+G20</f>
        <v/>
      </c>
      <c r="H21">
        <f>H16+H20</f>
        <v/>
      </c>
      <c r="I21">
        <f>I16+I20</f>
        <v/>
      </c>
      <c r="J21">
        <f>J16+J20</f>
        <v/>
      </c>
      <c r="K21">
        <f>K16+K20</f>
        <v/>
      </c>
      <c r="L21">
        <f>L16+L20</f>
        <v/>
      </c>
    </row>
    <row r="22">
      <c r="A22" t="inlineStr">
        <is>
          <t>Add back D&amp;A</t>
        </is>
      </c>
      <c r="C22">
        <f>-C15</f>
        <v/>
      </c>
      <c r="D22">
        <f>-D15</f>
        <v/>
      </c>
      <c r="E22">
        <f>-E15</f>
        <v/>
      </c>
      <c r="F22">
        <f>-F15</f>
        <v/>
      </c>
      <c r="G22">
        <f>-G15</f>
        <v/>
      </c>
      <c r="H22">
        <f>-H15</f>
        <v/>
      </c>
      <c r="I22">
        <f>-I15</f>
        <v/>
      </c>
      <c r="J22">
        <f>-J15</f>
        <v/>
      </c>
      <c r="K22">
        <f>-K15</f>
        <v/>
      </c>
      <c r="L22">
        <f>-L15</f>
        <v/>
      </c>
    </row>
    <row r="23">
      <c r="A23" t="inlineStr">
        <is>
          <t>Less capex</t>
        </is>
      </c>
      <c r="C23">
        <f>-C8*C14</f>
        <v/>
      </c>
      <c r="D23">
        <f>-D8*D14</f>
        <v/>
      </c>
      <c r="E23">
        <f>-E8*E14</f>
        <v/>
      </c>
      <c r="F23">
        <f>-F8*F14</f>
        <v/>
      </c>
      <c r="G23">
        <f>-G8*G14</f>
        <v/>
      </c>
      <c r="H23">
        <f>-H8*H14</f>
        <v/>
      </c>
      <c r="I23">
        <f>-I8*I14</f>
        <v/>
      </c>
      <c r="J23">
        <f>-J8*J14</f>
        <v/>
      </c>
      <c r="K23">
        <f>-K8*K14</f>
        <v/>
      </c>
      <c r="L23">
        <f>-L8*L14</f>
        <v/>
      </c>
    </row>
    <row r="24">
      <c r="A24" t="inlineStr">
        <is>
          <t>Working capital (on rev change)</t>
        </is>
      </c>
      <c r="C24">
        <f>Assumptions!$B$10*(C8-B8)</f>
        <v/>
      </c>
      <c r="D24">
        <f>Assumptions!$B$10*(D8-C8)</f>
        <v/>
      </c>
      <c r="E24">
        <f>Assumptions!$B$10*(E8-D8)</f>
        <v/>
      </c>
      <c r="F24">
        <f>Assumptions!$B$10*(F8-E8)</f>
        <v/>
      </c>
      <c r="G24">
        <f>Assumptions!$B$10*(G8-F8)</f>
        <v/>
      </c>
      <c r="H24">
        <f>Assumptions!$B$10*(H8-G8)</f>
        <v/>
      </c>
      <c r="I24">
        <f>Assumptions!$B$10*(I8-H8)</f>
        <v/>
      </c>
      <c r="J24">
        <f>Assumptions!$B$10*(J8-I8)</f>
        <v/>
      </c>
      <c r="K24">
        <f>Assumptions!$B$10*(K8-J8)</f>
        <v/>
      </c>
      <c r="L24">
        <f>Assumptions!$B$10*(L8-K8)</f>
        <v/>
      </c>
    </row>
    <row r="25">
      <c r="A25" t="inlineStr">
        <is>
          <t>Unlevered owner FCF</t>
        </is>
      </c>
      <c r="B25" s="3" t="n">
        <v>-0.959</v>
      </c>
      <c r="C25">
        <f>C21+C22+C23+C24</f>
        <v/>
      </c>
      <c r="D25">
        <f>D21+D22+D23+D24</f>
        <v/>
      </c>
      <c r="E25">
        <f>E21+E22+E23+E24</f>
        <v/>
      </c>
      <c r="F25">
        <f>F21+F22+F23+F24</f>
        <v/>
      </c>
      <c r="G25">
        <f>G21+G22+G23+G24</f>
        <v/>
      </c>
      <c r="H25">
        <f>H21+H22+H23+H24</f>
        <v/>
      </c>
      <c r="I25">
        <f>I21+I22+I23+I24</f>
        <v/>
      </c>
      <c r="J25">
        <f>J21+J22+J23+J24</f>
        <v/>
      </c>
      <c r="K25">
        <f>K21+K22+K23+K24</f>
        <v/>
      </c>
      <c r="L25">
        <f>L21+L22+L23+L24</f>
        <v/>
      </c>
    </row>
    <row r="26">
      <c r="A26" t="inlineStr">
        <is>
          <t>Discount factor</t>
        </is>
      </c>
      <c r="C26">
        <f>1/(1+Assumptions!$B$2)^C4</f>
        <v/>
      </c>
      <c r="D26">
        <f>1/(1+Assumptions!$B$2)^D4</f>
        <v/>
      </c>
      <c r="E26">
        <f>1/(1+Assumptions!$B$2)^E4</f>
        <v/>
      </c>
      <c r="F26">
        <f>1/(1+Assumptions!$B$2)^F4</f>
        <v/>
      </c>
      <c r="G26">
        <f>1/(1+Assumptions!$B$2)^G4</f>
        <v/>
      </c>
      <c r="H26">
        <f>1/(1+Assumptions!$B$2)^H4</f>
        <v/>
      </c>
      <c r="I26">
        <f>1/(1+Assumptions!$B$2)^I4</f>
        <v/>
      </c>
      <c r="J26">
        <f>1/(1+Assumptions!$B$2)^J4</f>
        <v/>
      </c>
      <c r="K26">
        <f>1/(1+Assumptions!$B$2)^K4</f>
        <v/>
      </c>
      <c r="L26">
        <f>1/(1+Assumptions!$B$2)^L4</f>
        <v/>
      </c>
    </row>
    <row r="27">
      <c r="A27" t="inlineStr">
        <is>
          <t>PV of FCF</t>
        </is>
      </c>
      <c r="C27">
        <f>C25*C26</f>
        <v/>
      </c>
      <c r="D27">
        <f>D25*D26</f>
        <v/>
      </c>
      <c r="E27">
        <f>E25*E26</f>
        <v/>
      </c>
      <c r="F27">
        <f>F25*F26</f>
        <v/>
      </c>
      <c r="G27">
        <f>G25*G26</f>
        <v/>
      </c>
      <c r="H27">
        <f>H25*H26</f>
        <v/>
      </c>
      <c r="I27">
        <f>I25*I26</f>
        <v/>
      </c>
      <c r="J27">
        <f>J25*J26</f>
        <v/>
      </c>
      <c r="K27">
        <f>K25*K26</f>
        <v/>
      </c>
      <c r="L27">
        <f>L25*L26</f>
        <v/>
      </c>
    </row>
    <row r="29">
      <c r="A29" t="inlineStr">
        <is>
          <t>Memo: FCF before SBC (company-style)</t>
        </is>
      </c>
      <c r="C29">
        <f>C25-C12</f>
        <v/>
      </c>
      <c r="D29">
        <f>D25-D12</f>
        <v/>
      </c>
      <c r="E29">
        <f>E25-E12</f>
        <v/>
      </c>
      <c r="F29">
        <f>F25-F12</f>
        <v/>
      </c>
      <c r="G29">
        <f>G25-G12</f>
        <v/>
      </c>
      <c r="H29">
        <f>H25-H12</f>
        <v/>
      </c>
      <c r="I29">
        <f>I25-I12</f>
        <v/>
      </c>
      <c r="J29">
        <f>J25-J12</f>
        <v/>
      </c>
      <c r="K29">
        <f>K25-K12</f>
        <v/>
      </c>
      <c r="L29">
        <f>L25-L12</f>
        <v/>
      </c>
    </row>
    <row r="30">
      <c r="A30" t="inlineStr">
        <is>
          <t>Memo: owner-FCF margin</t>
        </is>
      </c>
      <c r="C30" s="9">
        <f>C25/C8</f>
        <v/>
      </c>
      <c r="D30" s="9">
        <f>D25/D8</f>
        <v/>
      </c>
      <c r="E30" s="9">
        <f>E25/E8</f>
        <v/>
      </c>
      <c r="F30" s="9">
        <f>F25/F8</f>
        <v/>
      </c>
      <c r="G30" s="9">
        <f>G25/G8</f>
        <v/>
      </c>
      <c r="H30" s="9">
        <f>H25/H8</f>
        <v/>
      </c>
      <c r="I30" s="9">
        <f>I25/I8</f>
        <v/>
      </c>
      <c r="J30" s="9">
        <f>J25/J8</f>
        <v/>
      </c>
      <c r="K30" s="9">
        <f>K25/K8</f>
        <v/>
      </c>
      <c r="L30" s="9">
        <f>L25/L8</f>
        <v/>
      </c>
    </row>
    <row r="32">
      <c r="A32" t="inlineStr">
        <is>
          <t>Sum PV of FCF (yrs 1-10)</t>
        </is>
      </c>
      <c r="B32">
        <f>SUM(C27:L27)</f>
        <v/>
      </c>
    </row>
    <row r="33">
      <c r="A33" t="inlineStr">
        <is>
          <t>Terminal growth</t>
        </is>
      </c>
      <c r="B33" s="8">
        <f>Assumptions!$D$14</f>
        <v/>
      </c>
    </row>
    <row r="34">
      <c r="A34" t="inlineStr">
        <is>
          <t>Terminal FCF (tax-normalised @28%)</t>
        </is>
      </c>
      <c r="B34">
        <f>L16*(1-Assumptions!$B$3)+L24</f>
        <v/>
      </c>
    </row>
    <row r="35">
      <c r="A35" t="inlineStr">
        <is>
          <t>Gordon TV</t>
        </is>
      </c>
      <c r="B35">
        <f>B34*(1+B33)/(Assumptions!$B$2-B33)</f>
        <v/>
      </c>
    </row>
    <row r="36">
      <c r="A36" t="inlineStr">
        <is>
          <t>Cap TV (15x)</t>
        </is>
      </c>
      <c r="B36">
        <f>Assumptions!$B$4*B34</f>
        <v/>
      </c>
    </row>
    <row r="37">
      <c r="A37" t="inlineStr">
        <is>
          <t>TV used = MAX(0,MIN(Gordon,Cap))</t>
        </is>
      </c>
      <c r="B37">
        <f>MAX(0,MIN(B35,B36))</f>
        <v/>
      </c>
    </row>
    <row r="38">
      <c r="A38" t="inlineStr">
        <is>
          <t>Implied exit multiple</t>
        </is>
      </c>
      <c r="B38">
        <f>IF(B34&gt;0,B37/B34,"n/a")</f>
        <v/>
      </c>
    </row>
    <row r="39">
      <c r="A39" t="inlineStr">
        <is>
          <t>PV of terminal value</t>
        </is>
      </c>
      <c r="B39">
        <f>B37*L26</f>
        <v/>
      </c>
    </row>
    <row r="40">
      <c r="A40" t="inlineStr">
        <is>
          <t>Enterprise value</t>
        </is>
      </c>
      <c r="B40">
        <f>B32+B39</f>
        <v/>
      </c>
    </row>
    <row r="41">
      <c r="A41" t="inlineStr">
        <is>
          <t>Add net cash (own only)</t>
        </is>
      </c>
      <c r="B41" s="8">
        <f>Assumptions!$B$5</f>
        <v/>
      </c>
    </row>
    <row r="42">
      <c r="A42" t="inlineStr">
        <is>
          <t>Equity value</t>
        </is>
      </c>
      <c r="B42">
        <f>B40+B41</f>
        <v/>
      </c>
    </row>
    <row r="43">
      <c r="A43" t="inlineStr">
        <is>
          <t>Shares on issue (m)</t>
        </is>
      </c>
      <c r="B43" s="8">
        <f>Assumptions!$B$6</f>
        <v/>
      </c>
    </row>
    <row r="44">
      <c r="A44" t="inlineStr">
        <is>
          <t>VALUE PER SHARE (NZD)</t>
        </is>
      </c>
      <c r="B44" s="10">
        <f>B42/B43</f>
        <v/>
      </c>
    </row>
    <row r="45">
      <c r="A45" t="inlineStr">
        <is>
          <t>Upside vs price</t>
        </is>
      </c>
      <c r="B45" s="9">
        <f>B44/Assumptions!$B$7-1</f>
        <v/>
      </c>
    </row>
    <row r="47">
      <c r="A47" t="inlineStr">
        <is>
          <t>Street memo: PV explicit SBC</t>
        </is>
      </c>
      <c r="B47">
        <f>SUMPRODUCT(-C12:L12,C26:L26)</f>
        <v/>
      </c>
    </row>
    <row r="48">
      <c r="A48" t="inlineStr">
        <is>
          <t>Street memo: PV terminal SBC</t>
        </is>
      </c>
      <c r="B48">
        <f>(-L12*(1+B33)/(Assumptions!$B$2-B33))*L26</f>
        <v/>
      </c>
    </row>
    <row r="49">
      <c r="A49" t="inlineStr">
        <is>
          <t>Street value per share</t>
        </is>
      </c>
      <c r="B49" s="11">
        <f>(B42+B47+B48)/B43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2" t="inlineStr">
        <is>
          <t>Reported FCF reconciled to owner FCF (NZ$m). OCF is the float-EXCLUDED figure throughout.</t>
        </is>
      </c>
    </row>
    <row r="2">
      <c r="A2" s="2" t="inlineStr"/>
      <c r="B2" s="2" t="inlineStr">
        <is>
          <t>FY2021</t>
        </is>
      </c>
      <c r="C2" s="2" t="inlineStr">
        <is>
          <t>FY2022</t>
        </is>
      </c>
      <c r="D2" s="2" t="inlineStr">
        <is>
          <t>FY2023</t>
        </is>
      </c>
      <c r="E2" s="2" t="inlineStr">
        <is>
          <t>FY2024</t>
        </is>
      </c>
      <c r="F2" s="2" t="inlineStr">
        <is>
          <t>FY2025</t>
        </is>
      </c>
      <c r="G2" s="2" t="inlineStr">
        <is>
          <t>FY2026</t>
        </is>
      </c>
    </row>
    <row r="3">
      <c r="A3" t="inlineStr">
        <is>
          <t>Free cash flow (company definition)</t>
        </is>
      </c>
      <c r="B3" s="3" t="n">
        <v>-1.648</v>
      </c>
      <c r="C3" s="3" t="n">
        <v>-0.708</v>
      </c>
      <c r="D3" s="3" t="n">
        <v>0.146</v>
      </c>
      <c r="E3" s="3" t="n">
        <v>0.296</v>
      </c>
      <c r="F3" s="3" t="n">
        <v>0.502</v>
      </c>
      <c r="G3" s="3" t="n">
        <v>-0.235</v>
      </c>
    </row>
    <row r="4">
      <c r="A4" t="inlineStr">
        <is>
          <t>less: SBC (no separate equity-tax line disclosed)</t>
        </is>
      </c>
      <c r="B4" s="3" t="n">
        <v>-0.175</v>
      </c>
      <c r="C4" s="3" t="n">
        <v>-0.131</v>
      </c>
      <c r="D4" s="3" t="n">
        <v>-0.257</v>
      </c>
      <c r="E4" s="3" t="n">
        <v>-0.211</v>
      </c>
      <c r="F4" s="3" t="n">
        <v>-0.703</v>
      </c>
      <c r="G4" s="3" t="n">
        <v>-0.704</v>
      </c>
    </row>
    <row r="5">
      <c r="A5" t="inlineStr">
        <is>
          <t>less: interest on OWN cash (float interest retained)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-0.02</v>
      </c>
    </row>
    <row r="6">
      <c r="A6" s="2" t="inlineStr">
        <is>
          <t>Owner FCF</t>
        </is>
      </c>
      <c r="B6" s="2">
        <f>B3+B4+B5</f>
        <v/>
      </c>
      <c r="C6" s="2">
        <f>C3+C4+C5</f>
        <v/>
      </c>
      <c r="D6" s="2">
        <f>D3+D4+D5</f>
        <v/>
      </c>
      <c r="E6" s="2">
        <f>E3+E4+E5</f>
        <v/>
      </c>
      <c r="F6" s="2">
        <f>F3+F4+F5</f>
        <v/>
      </c>
      <c r="G6" s="2">
        <f>G3+G4+G5</f>
        <v/>
      </c>
    </row>
    <row r="7">
      <c r="A7" t="inlineStr">
        <is>
          <t>Revenue</t>
        </is>
      </c>
      <c r="B7" s="3" t="n">
        <v>2.198</v>
      </c>
      <c r="C7" s="3" t="n">
        <v>3.517</v>
      </c>
      <c r="D7" s="3" t="n">
        <v>5.813</v>
      </c>
      <c r="E7" s="3" t="n">
        <v>7.717</v>
      </c>
      <c r="F7" s="3" t="n">
        <v>8.994999999999999</v>
      </c>
      <c r="G7" s="3" t="n">
        <v>9.247</v>
      </c>
    </row>
    <row r="8">
      <c r="A8" t="inlineStr">
        <is>
          <t>Reported FCF margin</t>
        </is>
      </c>
      <c r="B8" s="9">
        <f>B3/B7</f>
        <v/>
      </c>
      <c r="C8" s="9">
        <f>C3/C7</f>
        <v/>
      </c>
      <c r="D8" s="9">
        <f>D3/D7</f>
        <v/>
      </c>
      <c r="E8" s="9">
        <f>E3/E7</f>
        <v/>
      </c>
      <c r="F8" s="9">
        <f>F3/F7</f>
        <v/>
      </c>
      <c r="G8" s="9">
        <f>G3/G7</f>
        <v/>
      </c>
    </row>
    <row r="9">
      <c r="A9" t="inlineStr">
        <is>
          <t>Owner FCF margin</t>
        </is>
      </c>
      <c r="B9" s="9">
        <f>B6/B7</f>
        <v/>
      </c>
      <c r="C9" s="9">
        <f>C6/C7</f>
        <v/>
      </c>
      <c r="D9" s="9">
        <f>D6/D7</f>
        <v/>
      </c>
      <c r="E9" s="9">
        <f>E6/E7</f>
        <v/>
      </c>
      <c r="F9" s="9">
        <f>F6/F7</f>
        <v/>
      </c>
      <c r="G9" s="9">
        <f>G6/G7</f>
        <v/>
      </c>
    </row>
    <row r="11">
      <c r="A11" s="5" t="inlineStr">
        <is>
          <t>Memo: capex is predominantly capitalised software development (FY2026: 2.210 of 2.210). Reported NPAT (+0.290 FY2026) is flattered because amortisation lags capitalisation; the cash FCF basis above expenses it fully.</t>
        </is>
      </c>
    </row>
    <row r="12">
      <c r="A12" s="5" t="inlineStr">
        <is>
          <t>Memo: float interest income (FY2021-26: 0.207 / 0.210 / 1.138 / 2.220 / 2.329 / 1.813) STAYS in the flows - its source asset (customer float, 45.155 at FY2026) is never added to EV. Only own-cash interest is stripped.</t>
        </is>
      </c>
    </row>
    <row r="13">
      <c r="A13" s="5" t="inlineStr">
        <is>
          <t>Memo: cash tax ~0 across history (loss pool 8.258 at FY2026); FY2024 net income included a deferred-tax benefit - flagged abnormal.</t>
        </is>
      </c>
    </row>
    <row r="14">
      <c r="A14" s="5" t="inlineStr">
        <is>
          <t>Memo: FY2019-FY2020 are excluded above - CSV cash/OCF in those years still include the customer float.</t>
        </is>
      </c>
    </row>
  </sheetData>
  <mergeCells count="4">
    <mergeCell ref="A13:G13"/>
    <mergeCell ref="A14:G14"/>
    <mergeCell ref="A11:G11"/>
    <mergeCell ref="A12:G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2" t="inlineStr">
        <is>
          <t>Valuation summary (NZD per share)</t>
        </is>
      </c>
    </row>
    <row r="2">
      <c r="A2" s="2" t="inlineStr"/>
      <c r="B2" s="2" t="inlineStr">
        <is>
          <t>Bear</t>
        </is>
      </c>
      <c r="C2" s="2" t="inlineStr">
        <is>
          <t>Base</t>
        </is>
      </c>
      <c r="D2" s="2" t="inlineStr">
        <is>
          <t>Bull</t>
        </is>
      </c>
    </row>
    <row r="3">
      <c r="A3" t="inlineStr">
        <is>
          <t>Value per share (house, SBC expensed)</t>
        </is>
      </c>
      <c r="B3" s="12">
        <f>DCF_Bear!B44</f>
        <v/>
      </c>
      <c r="C3" s="12">
        <f>DCF_Base!B44</f>
        <v/>
      </c>
      <c r="D3" s="12">
        <f>DCF_Bull!B44</f>
        <v/>
      </c>
    </row>
    <row r="4">
      <c r="A4" t="inlineStr">
        <is>
          <t>Street value per share (SBC as non-cash)</t>
        </is>
      </c>
      <c r="B4" s="12">
        <f>DCF_Bear!B49</f>
        <v/>
      </c>
      <c r="C4" s="12">
        <f>DCF_Base!B49</f>
        <v/>
      </c>
      <c r="D4" s="12">
        <f>DCF_Bull!B49</f>
        <v/>
      </c>
    </row>
    <row r="5">
      <c r="A5" t="inlineStr">
        <is>
          <t>Upside vs price</t>
        </is>
      </c>
      <c r="B5" s="9">
        <f>B3/Assumptions!$B$7-1</f>
        <v/>
      </c>
      <c r="C5" s="9">
        <f>C3/Assumptions!$B$7-1</f>
        <v/>
      </c>
      <c r="D5" s="9">
        <f>D3/Assumptions!$B$7-1</f>
        <v/>
      </c>
    </row>
    <row r="6">
      <c r="A6" t="inlineStr">
        <is>
          <t>Probability weight</t>
        </is>
      </c>
      <c r="B6" s="8">
        <f>Assumptions!B15</f>
        <v/>
      </c>
      <c r="C6" s="8">
        <f>Assumptions!C15</f>
        <v/>
      </c>
      <c r="D6" s="8">
        <f>Assumptions!D15</f>
        <v/>
      </c>
    </row>
    <row r="8">
      <c r="A8" t="inlineStr">
        <is>
          <t>PROBABILITY-WEIGHTED IV</t>
        </is>
      </c>
      <c r="B8" s="10">
        <f>SUMPRODUCT(B3:D3,B6:D6)</f>
        <v/>
      </c>
    </row>
    <row r="9">
      <c r="A9" t="inlineStr">
        <is>
          <t>Street weighted IV</t>
        </is>
      </c>
      <c r="B9" s="11">
        <f>SUMPRODUCT(B4:D4,B6:D6)</f>
        <v/>
      </c>
    </row>
    <row r="10">
      <c r="A10" t="inlineStr">
        <is>
          <t>Margin of safety at current price</t>
        </is>
      </c>
      <c r="B10" s="9">
        <f>1-Assumptions!B7/B8</f>
        <v/>
      </c>
    </row>
    <row r="11">
      <c r="A11" t="inlineStr">
        <is>
          <t>Band position (price within house-street band, base)</t>
        </is>
      </c>
      <c r="B11" s="9">
        <f>(Assumptions!B7-C3)/(C4-C3)</f>
        <v/>
      </c>
    </row>
    <row r="12">
      <c r="A12" s="5" t="inlineStr">
        <is>
          <t>Note: band position far above 100% means the price exceeds even the street ceiling - the market is paying for bull-case Australia at a lower discount rate, not for the current business on either SBC basis.</t>
        </is>
      </c>
    </row>
    <row r="14">
      <c r="A14" s="2" t="inlineStr">
        <is>
          <t>Entry prices at 15% hurdle (TV at WACC-fair value; hurdle &lt; WACC so these sit ABOVE IV - see Model_Info)</t>
        </is>
      </c>
    </row>
    <row r="15">
      <c r="B15" s="2" t="inlineStr">
        <is>
          <t>Bear</t>
        </is>
      </c>
      <c r="C15" s="2" t="inlineStr">
        <is>
          <t>Base</t>
        </is>
      </c>
      <c r="D15" s="2" t="inlineStr">
        <is>
          <t>Bull</t>
        </is>
      </c>
    </row>
    <row r="16">
      <c r="A16" t="inlineStr">
        <is>
          <t>Entry price</t>
        </is>
      </c>
      <c r="B16" s="11">
        <f>(SUMPRODUCT(DCF_Bear!C25:L25/(1+Assumptions!$B$8)^DCF_Bear!C4:L4)+DCF_Bear!B37/(1+Assumptions!$B$8)^10+Assumptions!$B$5)/Assumptions!$B$6</f>
        <v/>
      </c>
      <c r="C16" s="11">
        <f>(SUMPRODUCT(DCF_Base!C25:L25/(1+Assumptions!$B$8)^DCF_Base!C4:L4)+DCF_Base!B37/(1+Assumptions!$B$8)^10+Assumptions!$B$5)/Assumptions!$B$6</f>
        <v/>
      </c>
      <c r="D16" s="11">
        <f>(SUMPRODUCT(DCF_Bull!C25:L25/(1+Assumptions!$B$8)^DCF_Bull!C4:L4)+DCF_Bull!B37/(1+Assumptions!$B$8)^10+Assumptions!$B$5)/Assumptions!$B$6</f>
        <v/>
      </c>
    </row>
    <row r="17">
      <c r="A17" t="inlineStr">
        <is>
          <t>Weighted entry price</t>
        </is>
      </c>
      <c r="B17" s="11">
        <f>SUMPRODUCT(B16:D16,B6:D6)</f>
        <v/>
      </c>
    </row>
    <row r="19">
      <c r="A19" s="2" t="inlineStr">
        <is>
          <t>Required-return table (base flows, WACC-Gordon TV held fixed)</t>
        </is>
      </c>
    </row>
    <row r="20">
      <c r="A20" t="inlineStr">
        <is>
          <t>Required return</t>
        </is>
      </c>
      <c r="B20" s="13" t="n">
        <v>0.09</v>
      </c>
      <c r="C20" s="13" t="n">
        <v>0.1</v>
      </c>
      <c r="D20" s="13" t="n">
        <v>0.11</v>
      </c>
      <c r="E20" s="13" t="n">
        <v>0.12</v>
      </c>
      <c r="F20" s="13" t="n">
        <v>0.15</v>
      </c>
      <c r="G20" s="13" t="n">
        <v>0.16</v>
      </c>
    </row>
    <row r="21">
      <c r="A21" t="inlineStr">
        <is>
          <t>Value per share</t>
        </is>
      </c>
      <c r="B21" s="11">
        <f>(SUMPRODUCT(DCF_Base!$C$25:$L$25/(1+B20)^DCF_Base!$C$4:$L$4)+DCF_Base!$B$37/(1+B20)^10+Assumptions!$B$5)/Assumptions!$B$6</f>
        <v/>
      </c>
      <c r="C21" s="11">
        <f>(SUMPRODUCT(DCF_Base!$C$25:$L$25/(1+C20)^DCF_Base!$C$4:$L$4)+DCF_Base!$B$37/(1+C20)^10+Assumptions!$B$5)/Assumptions!$B$6</f>
        <v/>
      </c>
      <c r="D21" s="11">
        <f>(SUMPRODUCT(DCF_Base!$C$25:$L$25/(1+D20)^DCF_Base!$C$4:$L$4)+DCF_Base!$B$37/(1+D20)^10+Assumptions!$B$5)/Assumptions!$B$6</f>
        <v/>
      </c>
      <c r="E21" s="11">
        <f>(SUMPRODUCT(DCF_Base!$C$25:$L$25/(1+E20)^DCF_Base!$C$4:$L$4)+DCF_Base!$B$37/(1+E20)^10+Assumptions!$B$5)/Assumptions!$B$6</f>
        <v/>
      </c>
      <c r="F21" s="11">
        <f>(SUMPRODUCT(DCF_Base!$C$25:$L$25/(1+F20)^DCF_Base!$C$4:$L$4)+DCF_Base!$B$37/(1+F20)^10+Assumptions!$B$5)/Assumptions!$B$6</f>
        <v/>
      </c>
      <c r="G21" s="11">
        <f>(SUMPRODUCT(DCF_Base!$C$25:$L$25/(1+G20)^DCF_Base!$C$4:$L$4)+DCF_Base!$B$37/(1+G20)^10+Assumptions!$B$5)/Assumptions!$B$6</f>
        <v/>
      </c>
    </row>
    <row r="23">
      <c r="A23" s="2" t="inlineStr">
        <is>
          <t>Sensitivity: WACC (rows) x terminal growth (cols), base scenario, TV recomputed and capped per cell</t>
        </is>
      </c>
    </row>
    <row r="24">
      <c r="C24" s="14" t="n">
        <v>0.015</v>
      </c>
      <c r="D24" s="14" t="n">
        <v>0.02</v>
      </c>
      <c r="E24" s="7" t="n">
        <v>0.025</v>
      </c>
      <c r="F24" s="14" t="n">
        <v>0.03</v>
      </c>
      <c r="G24" s="14" t="n">
        <v>0.035</v>
      </c>
    </row>
    <row r="25">
      <c r="B25" s="14" t="n">
        <v>0.14</v>
      </c>
      <c r="C25" s="11">
        <f>IF($B25&gt;C$24,(SUMPRODUCT(DCF_Base!$C$25:$L$25/(1+$B25)^DCF_Base!$C$4:$L$4)+MAX(0,MIN(DCF_Base!$B$34*(1+C$24)/($B25-C$24),Assumptions!$B$4*DCF_Base!$B$34))/(1+$B25)^10+Assumptions!$B$5)/Assumptions!$B$6,"n/a")</f>
        <v/>
      </c>
      <c r="D25" s="11">
        <f>IF($B25&gt;D$24,(SUMPRODUCT(DCF_Base!$C$25:$L$25/(1+$B25)^DCF_Base!$C$4:$L$4)+MAX(0,MIN(DCF_Base!$B$34*(1+D$24)/($B25-D$24),Assumptions!$B$4*DCF_Base!$B$34))/(1+$B25)^10+Assumptions!$B$5)/Assumptions!$B$6,"n/a")</f>
        <v/>
      </c>
      <c r="E25" s="11">
        <f>IF($B25&gt;E$24,(SUMPRODUCT(DCF_Base!$C$25:$L$25/(1+$B25)^DCF_Base!$C$4:$L$4)+MAX(0,MIN(DCF_Base!$B$34*(1+E$24)/($B25-E$24),Assumptions!$B$4*DCF_Base!$B$34))/(1+$B25)^10+Assumptions!$B$5)/Assumptions!$B$6,"n/a")</f>
        <v/>
      </c>
      <c r="F25" s="11">
        <f>IF($B25&gt;F$24,(SUMPRODUCT(DCF_Base!$C$25:$L$25/(1+$B25)^DCF_Base!$C$4:$L$4)+MAX(0,MIN(DCF_Base!$B$34*(1+F$24)/($B25-F$24),Assumptions!$B$4*DCF_Base!$B$34))/(1+$B25)^10+Assumptions!$B$5)/Assumptions!$B$6,"n/a")</f>
        <v/>
      </c>
      <c r="G25" s="11">
        <f>IF($B25&gt;G$24,(SUMPRODUCT(DCF_Base!$C$25:$L$25/(1+$B25)^DCF_Base!$C$4:$L$4)+MAX(0,MIN(DCF_Base!$B$34*(1+G$24)/($B25-G$24),Assumptions!$B$4*DCF_Base!$B$34))/(1+$B25)^10+Assumptions!$B$5)/Assumptions!$B$6,"n/a")</f>
        <v/>
      </c>
    </row>
    <row r="26">
      <c r="B26" s="14" t="n">
        <v>0.15</v>
      </c>
      <c r="C26" s="11">
        <f>IF($B26&gt;C$24,(SUMPRODUCT(DCF_Base!$C$25:$L$25/(1+$B26)^DCF_Base!$C$4:$L$4)+MAX(0,MIN(DCF_Base!$B$34*(1+C$24)/($B26-C$24),Assumptions!$B$4*DCF_Base!$B$34))/(1+$B26)^10+Assumptions!$B$5)/Assumptions!$B$6,"n/a")</f>
        <v/>
      </c>
      <c r="D26" s="11">
        <f>IF($B26&gt;D$24,(SUMPRODUCT(DCF_Base!$C$25:$L$25/(1+$B26)^DCF_Base!$C$4:$L$4)+MAX(0,MIN(DCF_Base!$B$34*(1+D$24)/($B26-D$24),Assumptions!$B$4*DCF_Base!$B$34))/(1+$B26)^10+Assumptions!$B$5)/Assumptions!$B$6,"n/a")</f>
        <v/>
      </c>
      <c r="E26" s="11">
        <f>IF($B26&gt;E$24,(SUMPRODUCT(DCF_Base!$C$25:$L$25/(1+$B26)^DCF_Base!$C$4:$L$4)+MAX(0,MIN(DCF_Base!$B$34*(1+E$24)/($B26-E$24),Assumptions!$B$4*DCF_Base!$B$34))/(1+$B26)^10+Assumptions!$B$5)/Assumptions!$B$6,"n/a")</f>
        <v/>
      </c>
      <c r="F26" s="11">
        <f>IF($B26&gt;F$24,(SUMPRODUCT(DCF_Base!$C$25:$L$25/(1+$B26)^DCF_Base!$C$4:$L$4)+MAX(0,MIN(DCF_Base!$B$34*(1+F$24)/($B26-F$24),Assumptions!$B$4*DCF_Base!$B$34))/(1+$B26)^10+Assumptions!$B$5)/Assumptions!$B$6,"n/a")</f>
        <v/>
      </c>
      <c r="G26" s="11">
        <f>IF($B26&gt;G$24,(SUMPRODUCT(DCF_Base!$C$25:$L$25/(1+$B26)^DCF_Base!$C$4:$L$4)+MAX(0,MIN(DCF_Base!$B$34*(1+G$24)/($B26-G$24),Assumptions!$B$4*DCF_Base!$B$34))/(1+$B26)^10+Assumptions!$B$5)/Assumptions!$B$6,"n/a")</f>
        <v/>
      </c>
    </row>
    <row r="27">
      <c r="B27" s="7" t="n">
        <v>0.16</v>
      </c>
      <c r="C27" s="11">
        <f>IF($B27&gt;C$24,(SUMPRODUCT(DCF_Base!$C$25:$L$25/(1+$B27)^DCF_Base!$C$4:$L$4)+MAX(0,MIN(DCF_Base!$B$34*(1+C$24)/($B27-C$24),Assumptions!$B$4*DCF_Base!$B$34))/(1+$B27)^10+Assumptions!$B$5)/Assumptions!$B$6,"n/a")</f>
        <v/>
      </c>
      <c r="D27" s="11">
        <f>IF($B27&gt;D$24,(SUMPRODUCT(DCF_Base!$C$25:$L$25/(1+$B27)^DCF_Base!$C$4:$L$4)+MAX(0,MIN(DCF_Base!$B$34*(1+D$24)/($B27-D$24),Assumptions!$B$4*DCF_Base!$B$34))/(1+$B27)^10+Assumptions!$B$5)/Assumptions!$B$6,"n/a")</f>
        <v/>
      </c>
      <c r="E27" s="11">
        <f>IF($B27&gt;E$24,(SUMPRODUCT(DCF_Base!$C$25:$L$25/(1+$B27)^DCF_Base!$C$4:$L$4)+MAX(0,MIN(DCF_Base!$B$34*(1+E$24)/($B27-E$24),Assumptions!$B$4*DCF_Base!$B$34))/(1+$B27)^10+Assumptions!$B$5)/Assumptions!$B$6,"n/a")</f>
        <v/>
      </c>
      <c r="F27" s="11">
        <f>IF($B27&gt;F$24,(SUMPRODUCT(DCF_Base!$C$25:$L$25/(1+$B27)^DCF_Base!$C$4:$L$4)+MAX(0,MIN(DCF_Base!$B$34*(1+F$24)/($B27-F$24),Assumptions!$B$4*DCF_Base!$B$34))/(1+$B27)^10+Assumptions!$B$5)/Assumptions!$B$6,"n/a")</f>
        <v/>
      </c>
      <c r="G27" s="11">
        <f>IF($B27&gt;G$24,(SUMPRODUCT(DCF_Base!$C$25:$L$25/(1+$B27)^DCF_Base!$C$4:$L$4)+MAX(0,MIN(DCF_Base!$B$34*(1+G$24)/($B27-G$24),Assumptions!$B$4*DCF_Base!$B$34))/(1+$B27)^10+Assumptions!$B$5)/Assumptions!$B$6,"n/a")</f>
        <v/>
      </c>
    </row>
    <row r="28">
      <c r="B28" s="14" t="n">
        <v>0.17</v>
      </c>
      <c r="C28" s="11">
        <f>IF($B28&gt;C$24,(SUMPRODUCT(DCF_Base!$C$25:$L$25/(1+$B28)^DCF_Base!$C$4:$L$4)+MAX(0,MIN(DCF_Base!$B$34*(1+C$24)/($B28-C$24),Assumptions!$B$4*DCF_Base!$B$34))/(1+$B28)^10+Assumptions!$B$5)/Assumptions!$B$6,"n/a")</f>
        <v/>
      </c>
      <c r="D28" s="11">
        <f>IF($B28&gt;D$24,(SUMPRODUCT(DCF_Base!$C$25:$L$25/(1+$B28)^DCF_Base!$C$4:$L$4)+MAX(0,MIN(DCF_Base!$B$34*(1+D$24)/($B28-D$24),Assumptions!$B$4*DCF_Base!$B$34))/(1+$B28)^10+Assumptions!$B$5)/Assumptions!$B$6,"n/a")</f>
        <v/>
      </c>
      <c r="E28" s="11">
        <f>IF($B28&gt;E$24,(SUMPRODUCT(DCF_Base!$C$25:$L$25/(1+$B28)^DCF_Base!$C$4:$L$4)+MAX(0,MIN(DCF_Base!$B$34*(1+E$24)/($B28-E$24),Assumptions!$B$4*DCF_Base!$B$34))/(1+$B28)^10+Assumptions!$B$5)/Assumptions!$B$6,"n/a")</f>
        <v/>
      </c>
      <c r="F28" s="11">
        <f>IF($B28&gt;F$24,(SUMPRODUCT(DCF_Base!$C$25:$L$25/(1+$B28)^DCF_Base!$C$4:$L$4)+MAX(0,MIN(DCF_Base!$B$34*(1+F$24)/($B28-F$24),Assumptions!$B$4*DCF_Base!$B$34))/(1+$B28)^10+Assumptions!$B$5)/Assumptions!$B$6,"n/a")</f>
        <v/>
      </c>
      <c r="G28" s="11">
        <f>IF($B28&gt;G$24,(SUMPRODUCT(DCF_Base!$C$25:$L$25/(1+$B28)^DCF_Base!$C$4:$L$4)+MAX(0,MIN(DCF_Base!$B$34*(1+G$24)/($B28-G$24),Assumptions!$B$4*DCF_Base!$B$34))/(1+$B28)^10+Assumptions!$B$5)/Assumptions!$B$6,"n/a")</f>
        <v/>
      </c>
    </row>
    <row r="29">
      <c r="B29" s="14" t="n">
        <v>0.18</v>
      </c>
      <c r="C29" s="11">
        <f>IF($B29&gt;C$24,(SUMPRODUCT(DCF_Base!$C$25:$L$25/(1+$B29)^DCF_Base!$C$4:$L$4)+MAX(0,MIN(DCF_Base!$B$34*(1+C$24)/($B29-C$24),Assumptions!$B$4*DCF_Base!$B$34))/(1+$B29)^10+Assumptions!$B$5)/Assumptions!$B$6,"n/a")</f>
        <v/>
      </c>
      <c r="D29" s="11">
        <f>IF($B29&gt;D$24,(SUMPRODUCT(DCF_Base!$C$25:$L$25/(1+$B29)^DCF_Base!$C$4:$L$4)+MAX(0,MIN(DCF_Base!$B$34*(1+D$24)/($B29-D$24),Assumptions!$B$4*DCF_Base!$B$34))/(1+$B29)^10+Assumptions!$B$5)/Assumptions!$B$6,"n/a")</f>
        <v/>
      </c>
      <c r="E29" s="11">
        <f>IF($B29&gt;E$24,(SUMPRODUCT(DCF_Base!$C$25:$L$25/(1+$B29)^DCF_Base!$C$4:$L$4)+MAX(0,MIN(DCF_Base!$B$34*(1+E$24)/($B29-E$24),Assumptions!$B$4*DCF_Base!$B$34))/(1+$B29)^10+Assumptions!$B$5)/Assumptions!$B$6,"n/a")</f>
        <v/>
      </c>
      <c r="F29" s="11">
        <f>IF($B29&gt;F$24,(SUMPRODUCT(DCF_Base!$C$25:$L$25/(1+$B29)^DCF_Base!$C$4:$L$4)+MAX(0,MIN(DCF_Base!$B$34*(1+F$24)/($B29-F$24),Assumptions!$B$4*DCF_Base!$B$34))/(1+$B29)^10+Assumptions!$B$5)/Assumptions!$B$6,"n/a")</f>
        <v/>
      </c>
      <c r="G29" s="11">
        <f>IF($B29&gt;G$24,(SUMPRODUCT(DCF_Base!$C$25:$L$25/(1+$B29)^DCF_Base!$C$4:$L$4)+MAX(0,MIN(DCF_Base!$B$34*(1+G$24)/($B29-G$24),Assumptions!$B$4*DCF_Base!$B$34))/(1+$B29)^10+Assumptions!$B$5)/Assumptions!$B$6,"n/a")</f>
        <v/>
      </c>
    </row>
  </sheetData>
  <mergeCells count="1"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2026-08-26T02:45:57Z</dcterms:created>
  <dcterms:modified xsi:type="dcterms:W3CDTF">2026-08-26T02:45:57Z</dcterms:modified>
</cp:coreProperties>
</file>