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odel_Info" sheetId="1" state="visible" r:id="rId3"/>
    <sheet name="Reconciliation" sheetId="2" state="visible" r:id="rId4"/>
    <sheet name="Actuals" sheetId="3" state="visible" r:id="rId5"/>
    <sheet name="Assumptions" sheetId="4" state="visible" r:id="rId6"/>
    <sheet name="DCF_Bear" sheetId="5" state="visible" r:id="rId7"/>
    <sheet name="DCF_Base" sheetId="6" state="visible" r:id="rId8"/>
    <sheet name="DCF_Bull" sheetId="7" state="visible" r:id="rId9"/>
    <sheet name="Valuatio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<sst xmlns="http://schemas.openxmlformats.org/spreadsheetml/2006/main" count="645" uniqueCount="445">
  <si>
    <t xml:space="preserve">Ticker</t>
  </si>
  <si>
    <t xml:space="preserve">PYS.NZ</t>
  </si>
  <si>
    <t xml:space="preserve">Company</t>
  </si>
  <si>
    <t xml:space="preserve">PaySauce Limited</t>
  </si>
  <si>
    <t xml:space="preserve">Valuation date</t>
  </si>
  <si>
    <t xml:space="preserve">2026-09-26</t>
  </si>
  <si>
    <t xml:space="preserve">Model</t>
  </si>
  <si>
    <t xml:space="preserve">owner-fcf-dcf-two-driver</t>
  </si>
  <si>
    <t xml:space="preserve">Currency</t>
  </si>
  <si>
    <t xml:space="preserve">NZD</t>
  </si>
  <si>
    <t xml:space="preserve">Quote currency</t>
  </si>
  <si>
    <t xml:space="preserve">Current price</t>
  </si>
  <si>
    <t xml:space="preserve">Price as of</t>
  </si>
  <si>
    <t xml:space="preserve">2026-09-25T21:31:43+13:00 (regularMarketTime 1790303503) NZX regular session</t>
  </si>
  <si>
    <t xml:space="preserve">Balance sheet date</t>
  </si>
  <si>
    <t xml:space="preserve">2026-03-31</t>
  </si>
  <si>
    <t xml:space="preserve">Shares outstanding (m)</t>
  </si>
  <si>
    <t xml:space="preserve">Net debt (m, negative=net cash)</t>
  </si>
  <si>
    <t xml:space="preserve">WACC</t>
  </si>
  <si>
    <t xml:space="preserve">16.0%</t>
  </si>
  <si>
    <t xml:space="preserve">Hurdle rate</t>
  </si>
  <si>
    <t xml:space="preserve">15.0%</t>
  </si>
  <si>
    <t xml:space="preserve">NOTE</t>
  </si>
  <si>
    <t xml:space="preserve">This is a custom two-driver owner-FCF model (processing-fee revenue + float interest modelled as separate lines with independent growth paths). It predates and exceeds the standard build-dcf Drivers schema (which assumes one blended revenue growth path), so this workbook is hand-built to mirror the JSON exactly rather than generated by scripts/dcf_engine.py.</t>
  </si>
  <si>
    <t xml:space="preserve">UPDATE 2026-09-26</t>
  </si>
  <si>
    <t xml:space="preserve">Financial-parser corrected FY2025/FY2026 stock-based compensation materially down (FY2026: 0.704m -&gt; 0.43m). This refresh re-bases the SBC path and its mechanical cash-tax-timing consequence across all three scenarios. See Reconciliation tab.</t>
  </si>
  <si>
    <t xml:space="preserve">Notes</t>
  </si>
  <si>
    <t xml:space="preserve">MODEL: owner-FCF DCF (two-driver variant) per dcf-methods routing — operating SaaS company. Revenue is split into (1) processing/subscription fees + other (FY2026: 7.434, +11.5% YoY) grown on scenario paths, and (2) interest income on the customer payroll float (FY2026: 1.813, -22% YoY), modelled explicitly as a rate-dependent line — the two must never share a blended growth rate. FY2017-FY2018 rows are Energy Mad Ltd (the reverse-takeover shell) and are excluded from every CAGR and multiple; this refresh's financial-parser correction independently confirms and hardens that exclusion (FY2017 nulled at the core_metrics level, not just skipped in the DCF). FY2026 owner FCF is negative (-0.723 on the corrected SBC basis, an improvement from -0.959 on the prior overstated-SBC basis): the company only looked profitable because 2.21 of development cost was capitalised, and even after the SBC correction it did not cover its own dev spend in FY2026 on a cash basis. Terminal value remains tax-normalised at 28% so the 8.258 loss pool is not perpetuated. Forsyth Barr forecasts cited in the Analysis JSON are commissioned research and were used only as a cross-check on the direction of FY2027 losses, not as an anchor. THIS IS AN UPDATE (2026-09-26): the financial-parser refreshed core_metrics/Metrics.csv 2026-09-25 with corrections to FY2025/FY2026 stock-based comp (both corrected DOWN), a restated FY2019 operating-cash-flow (float exclusion, does not touch DCF-anchor years), and an EPS cents-to-dollars rescale (not used as a DCF anchor on this route). Only the SBC anchor and its downstream path/EBIT/cash-tax/FCF/terminal/valuation figures were re-judged; revenue growth paths, EBITDA margin paths, capex/D&amp;A paths, WACC, terminal growth, terminal cap multiples, weights and the entry-price hurdle are UNCHANGED because no new evidence in this refresh touches them (confirmed against the 2026-09-24 AGM addresses and Sep-2026 Analysis JSON refresh: FY27 guidance/AU phasing reiterated, no new quantitative targets).</t>
  </si>
  <si>
    <t xml:space="preserve">Reconciliation (this update only)</t>
  </si>
  <si>
    <t xml:space="preserve">Prior version</t>
  </si>
  <si>
    <t xml:space="preserve">2026-08-26</t>
  </si>
  <si>
    <t xml:space="preserve">Price then</t>
  </si>
  <si>
    <t xml:space="preserve">Bear IV</t>
  </si>
  <si>
    <t xml:space="preserve">Base IV</t>
  </si>
  <si>
    <t xml:space="preserve">Bull IV</t>
  </si>
  <si>
    <t xml:space="preserve">Weighted IV</t>
  </si>
  <si>
    <t xml:space="preserve">Bridge ($/share)</t>
  </si>
  <si>
    <t xml:space="preserve">Item</t>
  </si>
  <si>
    <t xml:space="preserve">Value</t>
  </si>
  <si>
    <t xml:space="preserve">Prior weighted IV (2026-08-26 build)</t>
  </si>
  <si>
    <t xml:space="preserve">Anchor refresh: price, balance sheet, share count all unchanged (same FY2026 filing, same price 0.23) -- no bridge contribution</t>
  </si>
  <si>
    <t xml:space="preserve">FY2026 SBC corrected DOWN by financial-parser (0.704 -&gt; 0.43); FY2025 SBC corrected DOWN (0.703 -&gt; 0.446); SBC path re-based proportionally across all 3 scenarios; mechanical cash-tax-timing consequence (loss pool exhausts 1-2 years earlier in base/bull) partially offsets the FCF gain</t>
  </si>
  <si>
    <t xml:space="preserve">New weighted IV (2026-09-26 build)</t>
  </si>
  <si>
    <t xml:space="preserve">ties to probability_weighted.weighted_iv</t>
  </si>
  <si>
    <t xml:space="preserve">Bridge note</t>
  </si>
  <si>
    <t xml:space="preserve">The bridge nets to a single driver-change line because only one anchor (SBC) moved and every other assumption -- growth paths, margins, capex/D&amp;A, WACC, terminal growth/cap, weights -- was deliberately left unchanged (no new evidence in the 2026-09-25/26 refresh touches them; confirmed against the AGM addresses and Analysis JSON re-read). Base IV alone moved further (0.0343 -&gt; 0.0469, +37%) than the probability-weighted figure (+29.9%) because bear IV improved from a small negative to a small positive, a large percentage move on a near-zero base that the 25% bear weight dampens in the blend.</t>
  </si>
  <si>
    <t xml:space="preserve">Period</t>
  </si>
  <si>
    <t xml:space="preserve">Revenue</t>
  </si>
  <si>
    <t xml:space="preserve">CostOfRevenue</t>
  </si>
  <si>
    <t xml:space="preserve">GrossProfit</t>
  </si>
  <si>
    <t xml:space="preserve">GrossMargin</t>
  </si>
  <si>
    <t xml:space="preserve">OperatingIncome</t>
  </si>
  <si>
    <t xml:space="preserve">OperatingMargin</t>
  </si>
  <si>
    <t xml:space="preserve">EBITDA</t>
  </si>
  <si>
    <t xml:space="preserve">NetIncome</t>
  </si>
  <si>
    <t xml:space="preserve">NetMargin</t>
  </si>
  <si>
    <t xml:space="preserve">EPS</t>
  </si>
  <si>
    <t xml:space="preserve">OperatingCashFlow</t>
  </si>
  <si>
    <t xml:space="preserve">CapEx</t>
  </si>
  <si>
    <t xml:space="preserve">FreeCashFlow</t>
  </si>
  <si>
    <t xml:space="preserve">ShareholdersEquity</t>
  </si>
  <si>
    <t xml:space="preserve">TotalAssets</t>
  </si>
  <si>
    <t xml:space="preserve">TotalLiabilities</t>
  </si>
  <si>
    <t xml:space="preserve">TotalDebt</t>
  </si>
  <si>
    <t xml:space="preserve">CashAndEquivalents</t>
  </si>
  <si>
    <t xml:space="preserve">SharesOutstanding</t>
  </si>
  <si>
    <t xml:space="preserve">StockBasedComp</t>
  </si>
  <si>
    <t xml:space="preserve">DividendPerShare</t>
  </si>
  <si>
    <t xml:space="preserve">EBITDABeforeSignificant</t>
  </si>
  <si>
    <t xml:space="preserve">RevenueContinuing</t>
  </si>
  <si>
    <t xml:space="preserve">EBITDAContinuingBeforeSignificant</t>
  </si>
  <si>
    <t xml:space="preserve">EBITContinuingBeforeSignificant</t>
  </si>
  <si>
    <t xml:space="preserve">Units</t>
  </si>
  <si>
    <t xml:space="preserve">FY2017</t>
  </si>
  <si>
    <t xml:space="preserve">millions</t>
  </si>
  <si>
    <t xml:space="preserve">FY2018</t>
  </si>
  <si>
    <t xml:space="preserve">0.51168</t>
  </si>
  <si>
    <t xml:space="preserve">-0.922675</t>
  </si>
  <si>
    <t xml:space="preserve">-180.3</t>
  </si>
  <si>
    <t xml:space="preserve">-0.954425</t>
  </si>
  <si>
    <t xml:space="preserve">-0.057317</t>
  </si>
  <si>
    <t xml:space="preserve">-1.011742</t>
  </si>
  <si>
    <t xml:space="preserve">0.207395</t>
  </si>
  <si>
    <t xml:space="preserve">3.61462</t>
  </si>
  <si>
    <t xml:space="preserve">H1 2019</t>
  </si>
  <si>
    <t xml:space="preserve">0.433188</t>
  </si>
  <si>
    <t xml:space="preserve">-2.514651</t>
  </si>
  <si>
    <t xml:space="preserve">-580.5</t>
  </si>
  <si>
    <t xml:space="preserve">-0.300311</t>
  </si>
  <si>
    <t xml:space="preserve">-0.141285</t>
  </si>
  <si>
    <t xml:space="preserve">-0.441596</t>
  </si>
  <si>
    <t xml:space="preserve">0.891828</t>
  </si>
  <si>
    <t xml:space="preserve">2.054084</t>
  </si>
  <si>
    <t xml:space="preserve">FY2019</t>
  </si>
  <si>
    <t xml:space="preserve">0.921568</t>
  </si>
  <si>
    <t xml:space="preserve">-0.324984</t>
  </si>
  <si>
    <t xml:space="preserve">0.34116</t>
  </si>
  <si>
    <t xml:space="preserve">37.0</t>
  </si>
  <si>
    <t xml:space="preserve">-4.243396</t>
  </si>
  <si>
    <t xml:space="preserve">-4.3765</t>
  </si>
  <si>
    <t xml:space="preserve">-474.9</t>
  </si>
  <si>
    <t xml:space="preserve">-0.045</t>
  </si>
  <si>
    <t xml:space="preserve">-1.34323</t>
  </si>
  <si>
    <t xml:space="preserve">-0.348025</t>
  </si>
  <si>
    <t xml:space="preserve">-1.691255</t>
  </si>
  <si>
    <t xml:space="preserve">-0.660743</t>
  </si>
  <si>
    <t xml:space="preserve">7.027395</t>
  </si>
  <si>
    <t xml:space="preserve">7.688138</t>
  </si>
  <si>
    <t xml:space="preserve">6.313146</t>
  </si>
  <si>
    <t xml:space="preserve">97.295226</t>
  </si>
  <si>
    <t xml:space="preserve">H1 2020</t>
  </si>
  <si>
    <t xml:space="preserve">0.737894</t>
  </si>
  <si>
    <t xml:space="preserve">0.422</t>
  </si>
  <si>
    <t xml:space="preserve">57.2</t>
  </si>
  <si>
    <t xml:space="preserve">-0.707</t>
  </si>
  <si>
    <t xml:space="preserve">-0.862028</t>
  </si>
  <si>
    <t xml:space="preserve">-116.8</t>
  </si>
  <si>
    <t xml:space="preserve">-0.809</t>
  </si>
  <si>
    <t xml:space="preserve">-0.19</t>
  </si>
  <si>
    <t xml:space="preserve">-0.999</t>
  </si>
  <si>
    <t xml:space="preserve">-1.522771</t>
  </si>
  <si>
    <t xml:space="preserve">13.338316</t>
  </si>
  <si>
    <t xml:space="preserve">14.861087</t>
  </si>
  <si>
    <t xml:space="preserve">1.605</t>
  </si>
  <si>
    <t xml:space="preserve">11.481556</t>
  </si>
  <si>
    <t xml:space="preserve">116.871</t>
  </si>
  <si>
    <t xml:space="preserve">FY2020</t>
  </si>
  <si>
    <t xml:space="preserve">1.758263</t>
  </si>
  <si>
    <t xml:space="preserve">-0.560142</t>
  </si>
  <si>
    <t xml:space="preserve">0.896116</t>
  </si>
  <si>
    <t xml:space="preserve">51.0</t>
  </si>
  <si>
    <t xml:space="preserve">-1.771388</t>
  </si>
  <si>
    <t xml:space="preserve">-2.363002</t>
  </si>
  <si>
    <t xml:space="preserve">-134.4</t>
  </si>
  <si>
    <t xml:space="preserve">-0.02</t>
  </si>
  <si>
    <t xml:space="preserve">-1.857</t>
  </si>
  <si>
    <t xml:space="preserve">-0.427</t>
  </si>
  <si>
    <t xml:space="preserve">-2.284</t>
  </si>
  <si>
    <t xml:space="preserve">2.242344</t>
  </si>
  <si>
    <t xml:space="preserve">16.65627</t>
  </si>
  <si>
    <t xml:space="preserve">14.413926</t>
  </si>
  <si>
    <t xml:space="preserve">0.0147</t>
  </si>
  <si>
    <t xml:space="preserve">13.589158</t>
  </si>
  <si>
    <t xml:space="preserve">118.039366</t>
  </si>
  <si>
    <t xml:space="preserve">H1 2021</t>
  </si>
  <si>
    <t xml:space="preserve">1.01</t>
  </si>
  <si>
    <t xml:space="preserve">-0.354</t>
  </si>
  <si>
    <t xml:space="preserve">0.616</t>
  </si>
  <si>
    <t xml:space="preserve">61.0</t>
  </si>
  <si>
    <t xml:space="preserve">-0.813</t>
  </si>
  <si>
    <t xml:space="preserve">-0.946</t>
  </si>
  <si>
    <t xml:space="preserve">-93.7</t>
  </si>
  <si>
    <t xml:space="preserve">-0.007</t>
  </si>
  <si>
    <t xml:space="preserve">-0.648</t>
  </si>
  <si>
    <t xml:space="preserve">-0.211</t>
  </si>
  <si>
    <t xml:space="preserve">-0.859</t>
  </si>
  <si>
    <t xml:space="preserve">3.0</t>
  </si>
  <si>
    <t xml:space="preserve">20.955</t>
  </si>
  <si>
    <t xml:space="preserve">17.955</t>
  </si>
  <si>
    <t xml:space="preserve">15.458</t>
  </si>
  <si>
    <t xml:space="preserve">135.451209</t>
  </si>
  <si>
    <t xml:space="preserve">FY2021</t>
  </si>
  <si>
    <t xml:space="preserve">2.198</t>
  </si>
  <si>
    <t xml:space="preserve">-0.681</t>
  </si>
  <si>
    <t xml:space="preserve">1.415</t>
  </si>
  <si>
    <t xml:space="preserve">64.4</t>
  </si>
  <si>
    <t xml:space="preserve">-1.394</t>
  </si>
  <si>
    <t xml:space="preserve">-1.688</t>
  </si>
  <si>
    <t xml:space="preserve">-76.8</t>
  </si>
  <si>
    <t xml:space="preserve">-0.0124</t>
  </si>
  <si>
    <t xml:space="preserve">-1.118</t>
  </si>
  <si>
    <t xml:space="preserve">-0.53</t>
  </si>
  <si>
    <t xml:space="preserve">-1.648</t>
  </si>
  <si>
    <t xml:space="preserve">2.432</t>
  </si>
  <si>
    <t xml:space="preserve">23.246</t>
  </si>
  <si>
    <t xml:space="preserve">20.814</t>
  </si>
  <si>
    <t xml:space="preserve">21.756</t>
  </si>
  <si>
    <t xml:space="preserve">135.940949</t>
  </si>
  <si>
    <t xml:space="preserve">0.175</t>
  </si>
  <si>
    <t xml:space="preserve">H1 2022</t>
  </si>
  <si>
    <t xml:space="preserve">1.445</t>
  </si>
  <si>
    <t xml:space="preserve">0.888</t>
  </si>
  <si>
    <t xml:space="preserve">61.5</t>
  </si>
  <si>
    <t xml:space="preserve">-0.939</t>
  </si>
  <si>
    <t xml:space="preserve">-65.0</t>
  </si>
  <si>
    <t xml:space="preserve">-0.0071</t>
  </si>
  <si>
    <t xml:space="preserve">-0.708</t>
  </si>
  <si>
    <t xml:space="preserve">-0.023</t>
  </si>
  <si>
    <t xml:space="preserve">-0.731</t>
  </si>
  <si>
    <t xml:space="preserve">1.841</t>
  </si>
  <si>
    <t xml:space="preserve">25.727</t>
  </si>
  <si>
    <t xml:space="preserve">23.886</t>
  </si>
  <si>
    <t xml:space="preserve">21.918</t>
  </si>
  <si>
    <t xml:space="preserve">137.970387</t>
  </si>
  <si>
    <t xml:space="preserve">FY2022</t>
  </si>
  <si>
    <t xml:space="preserve">3.517</t>
  </si>
  <si>
    <t xml:space="preserve">2.342</t>
  </si>
  <si>
    <t xml:space="preserve">66.6</t>
  </si>
  <si>
    <t xml:space="preserve">-1.282</t>
  </si>
  <si>
    <t xml:space="preserve">-36.5</t>
  </si>
  <si>
    <t xml:space="preserve">-0.0093</t>
  </si>
  <si>
    <t xml:space="preserve">-0.666</t>
  </si>
  <si>
    <t xml:space="preserve">-0.042</t>
  </si>
  <si>
    <t xml:space="preserve">1.668</t>
  </si>
  <si>
    <t xml:space="preserve">30.126</t>
  </si>
  <si>
    <t xml:space="preserve">28.458</t>
  </si>
  <si>
    <t xml:space="preserve">26.255</t>
  </si>
  <si>
    <t xml:space="preserve">138.241759</t>
  </si>
  <si>
    <t xml:space="preserve">0.131</t>
  </si>
  <si>
    <t xml:space="preserve">H1 2023</t>
  </si>
  <si>
    <t xml:space="preserve">2.577</t>
  </si>
  <si>
    <t xml:space="preserve">1.766</t>
  </si>
  <si>
    <t xml:space="preserve">68.5</t>
  </si>
  <si>
    <t xml:space="preserve">-0.425</t>
  </si>
  <si>
    <t xml:space="preserve">-16.5</t>
  </si>
  <si>
    <t xml:space="preserve">-0.0031</t>
  </si>
  <si>
    <t xml:space="preserve">-0.088</t>
  </si>
  <si>
    <t xml:space="preserve">-0.046</t>
  </si>
  <si>
    <t xml:space="preserve">-0.134</t>
  </si>
  <si>
    <t xml:space="preserve">1.358</t>
  </si>
  <si>
    <t xml:space="preserve">32.311</t>
  </si>
  <si>
    <t xml:space="preserve">30.953</t>
  </si>
  <si>
    <t xml:space="preserve">29.807</t>
  </si>
  <si>
    <t xml:space="preserve">138.765982</t>
  </si>
  <si>
    <t xml:space="preserve">0.041</t>
  </si>
  <si>
    <t xml:space="preserve">FY2023</t>
  </si>
  <si>
    <t xml:space="preserve">5.813</t>
  </si>
  <si>
    <t xml:space="preserve">4.146</t>
  </si>
  <si>
    <t xml:space="preserve">71.3</t>
  </si>
  <si>
    <t xml:space="preserve">-0.558</t>
  </si>
  <si>
    <t xml:space="preserve">-9.6</t>
  </si>
  <si>
    <t xml:space="preserve">-0.004</t>
  </si>
  <si>
    <t xml:space="preserve">0.264</t>
  </si>
  <si>
    <t xml:space="preserve">-0.118</t>
  </si>
  <si>
    <t xml:space="preserve">0.146</t>
  </si>
  <si>
    <t xml:space="preserve">1.395</t>
  </si>
  <si>
    <t xml:space="preserve">36.002</t>
  </si>
  <si>
    <t xml:space="preserve">34.607</t>
  </si>
  <si>
    <t xml:space="preserve">8.673</t>
  </si>
  <si>
    <t xml:space="preserve">138.434287</t>
  </si>
  <si>
    <t xml:space="preserve">0.257</t>
  </si>
  <si>
    <t xml:space="preserve">H1 2024</t>
  </si>
  <si>
    <t xml:space="preserve">3.608</t>
  </si>
  <si>
    <t xml:space="preserve">2.678</t>
  </si>
  <si>
    <t xml:space="preserve">74.2</t>
  </si>
  <si>
    <t xml:space="preserve">-0.267</t>
  </si>
  <si>
    <t xml:space="preserve">-7.4</t>
  </si>
  <si>
    <t xml:space="preserve">-0.0019</t>
  </si>
  <si>
    <t xml:space="preserve">0.464</t>
  </si>
  <si>
    <t xml:space="preserve">-0.516</t>
  </si>
  <si>
    <t xml:space="preserve">-0.052</t>
  </si>
  <si>
    <t xml:space="preserve">1.314</t>
  </si>
  <si>
    <t xml:space="preserve">35.04</t>
  </si>
  <si>
    <t xml:space="preserve">33.726</t>
  </si>
  <si>
    <t xml:space="preserve">0.356</t>
  </si>
  <si>
    <t xml:space="preserve">139.447832</t>
  </si>
  <si>
    <t xml:space="preserve">0.189</t>
  </si>
  <si>
    <t xml:space="preserve">FY2024</t>
  </si>
  <si>
    <t xml:space="preserve">7.717</t>
  </si>
  <si>
    <t xml:space="preserve">5.823</t>
  </si>
  <si>
    <t xml:space="preserve">75.5</t>
  </si>
  <si>
    <t xml:space="preserve">1.232</t>
  </si>
  <si>
    <t xml:space="preserve">16.0</t>
  </si>
  <si>
    <t xml:space="preserve">0.0088</t>
  </si>
  <si>
    <t xml:space="preserve">1.475</t>
  </si>
  <si>
    <t xml:space="preserve">-1.179</t>
  </si>
  <si>
    <t xml:space="preserve">0.296</t>
  </si>
  <si>
    <t xml:space="preserve">3.044</t>
  </si>
  <si>
    <t xml:space="preserve">38.634</t>
  </si>
  <si>
    <t xml:space="preserve">35.59</t>
  </si>
  <si>
    <t xml:space="preserve">0.65</t>
  </si>
  <si>
    <t xml:space="preserve">0.603</t>
  </si>
  <si>
    <t xml:space="preserve">139.739655</t>
  </si>
  <si>
    <t xml:space="preserve">0.211</t>
  </si>
  <si>
    <t xml:space="preserve">H1 2025</t>
  </si>
  <si>
    <t xml:space="preserve">4.565</t>
  </si>
  <si>
    <t xml:space="preserve">3.308</t>
  </si>
  <si>
    <t xml:space="preserve">72.5</t>
  </si>
  <si>
    <t xml:space="preserve">0.07</t>
  </si>
  <si>
    <t xml:space="preserve">1.5</t>
  </si>
  <si>
    <t xml:space="preserve">0.0005</t>
  </si>
  <si>
    <t xml:space="preserve">1.105</t>
  </si>
  <si>
    <t xml:space="preserve">-0.905</t>
  </si>
  <si>
    <t xml:space="preserve">0.2</t>
  </si>
  <si>
    <t xml:space="preserve">3.343</t>
  </si>
  <si>
    <t xml:space="preserve">41.002</t>
  </si>
  <si>
    <t xml:space="preserve">37.659</t>
  </si>
  <si>
    <t xml:space="preserve">0.062</t>
  </si>
  <si>
    <t xml:space="preserve">140.697531</t>
  </si>
  <si>
    <t xml:space="preserve">FY2025</t>
  </si>
  <si>
    <t xml:space="preserve">8.995</t>
  </si>
  <si>
    <t xml:space="preserve">-1.938</t>
  </si>
  <si>
    <t xml:space="preserve">6.713</t>
  </si>
  <si>
    <t xml:space="preserve">74.6</t>
  </si>
  <si>
    <t xml:space="preserve">1.352</t>
  </si>
  <si>
    <t xml:space="preserve">0.681</t>
  </si>
  <si>
    <t xml:space="preserve">7.6</t>
  </si>
  <si>
    <t xml:space="preserve">0.0048</t>
  </si>
  <si>
    <t xml:space="preserve">2.166</t>
  </si>
  <si>
    <t xml:space="preserve">-1.664</t>
  </si>
  <si>
    <t xml:space="preserve">0.502</t>
  </si>
  <si>
    <t xml:space="preserve">4.171</t>
  </si>
  <si>
    <t xml:space="preserve">43.678</t>
  </si>
  <si>
    <t xml:space="preserve">39.507</t>
  </si>
  <si>
    <t xml:space="preserve">0.0</t>
  </si>
  <si>
    <t xml:space="preserve">0.309</t>
  </si>
  <si>
    <t xml:space="preserve">141.956883</t>
  </si>
  <si>
    <t xml:space="preserve">0.446</t>
  </si>
  <si>
    <t xml:space="preserve">H1 2026</t>
  </si>
  <si>
    <t xml:space="preserve">4.476</t>
  </si>
  <si>
    <t xml:space="preserve">3.472</t>
  </si>
  <si>
    <t xml:space="preserve">77.6</t>
  </si>
  <si>
    <t xml:space="preserve">0.227</t>
  </si>
  <si>
    <t xml:space="preserve">5.1</t>
  </si>
  <si>
    <t xml:space="preserve">0.0016</t>
  </si>
  <si>
    <t xml:space="preserve">1.098</t>
  </si>
  <si>
    <t xml:space="preserve">-1.065</t>
  </si>
  <si>
    <t xml:space="preserve">0.033</t>
  </si>
  <si>
    <t xml:space="preserve">4.518</t>
  </si>
  <si>
    <t xml:space="preserve">49.19</t>
  </si>
  <si>
    <t xml:space="preserve">44.672</t>
  </si>
  <si>
    <t xml:space="preserve">0.272</t>
  </si>
  <si>
    <t xml:space="preserve">143.007632</t>
  </si>
  <si>
    <t xml:space="preserve">FY2026</t>
  </si>
  <si>
    <t xml:space="preserve">9.247</t>
  </si>
  <si>
    <t xml:space="preserve">-1.968</t>
  </si>
  <si>
    <t xml:space="preserve">7.007</t>
  </si>
  <si>
    <t xml:space="preserve">75.8</t>
  </si>
  <si>
    <t xml:space="preserve">1.218</t>
  </si>
  <si>
    <t xml:space="preserve">0.29</t>
  </si>
  <si>
    <t xml:space="preserve">3.1</t>
  </si>
  <si>
    <t xml:space="preserve">0.0019</t>
  </si>
  <si>
    <t xml:space="preserve">1.975</t>
  </si>
  <si>
    <t xml:space="preserve">-2.21</t>
  </si>
  <si>
    <t xml:space="preserve">-0.235</t>
  </si>
  <si>
    <t xml:space="preserve">9.454</t>
  </si>
  <si>
    <t xml:space="preserve">56.334</t>
  </si>
  <si>
    <t xml:space="preserve">46.88</t>
  </si>
  <si>
    <t xml:space="preserve">4.521</t>
  </si>
  <si>
    <t xml:space="preserve">149.553307</t>
  </si>
  <si>
    <t xml:space="preserve">0.43</t>
  </si>
  <si>
    <t xml:space="preserve">Assumptions (blue = editable input)</t>
  </si>
  <si>
    <t xml:space="preserve">Year headers -&gt;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</si>
  <si>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</si>
  <si>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</si>
  <si>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</si>
  <si>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</si>
  <si>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</si>
  <si>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</si>
  <si>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t xml:space="preserve">FY2033</t>
  </si>
  <si>
    <t xml:space="preserve">FY2034</t>
  </si>
  <si>
    <t xml:space="preserve">FY2035</t>
  </si>
  <si>
    <t xml:space="preserve">FY2036</t>
  </si>
  <si>
    <t xml:space="preserve">Net debt (m, neg=net cash)</t>
  </si>
  <si>
    <t xml:space="preserve">Hurdle rate (%)</t>
  </si>
  <si>
    <t xml:space="preserve">FY2026 processing+other revenue (m)</t>
  </si>
  <si>
    <t xml:space="preserve">Tax loss pool start (m)</t>
  </si>
  <si>
    <t xml:space="preserve">Statutory tax rate (%)</t>
  </si>
  <si>
    <t xml:space="preserve">--- BEAR ---</t>
  </si>
  <si>
    <t xml:space="preserve">Processing revenue growth %</t>
  </si>
  <si>
    <t xml:space="preserve">Float interest income (NZDm)</t>
  </si>
  <si>
    <t xml:space="preserve">EBITDA margin pre-SBC %</t>
  </si>
  <si>
    <t xml:space="preserve">SBC % of revenue</t>
  </si>
  <si>
    <t xml:space="preserve">Capex % of revenue</t>
  </si>
  <si>
    <t xml:space="preserve">D&amp;A % of revenue</t>
  </si>
  <si>
    <t xml:space="preserve">Cash tax rate %</t>
  </si>
  <si>
    <t xml:space="preserve">WACC %</t>
  </si>
  <si>
    <t xml:space="preserve">Terminal growth %</t>
  </si>
  <si>
    <t xml:space="preserve">Terminal cap multiple</t>
  </si>
  <si>
    <t xml:space="preserve">Weight</t>
  </si>
  <si>
    <t xml:space="preserve">--- BASE ---</t>
  </si>
  <si>
    <t xml:space="preserve">--- BULL ---</t>
  </si>
  <si>
    <t xml:space="preserve">DCF -- BEAR case</t>
  </si>
  <si>
    <t xml:space="preserve">Processing rev growth % (link)</t>
  </si>
  <si>
    <t xml:space="preserve">Processing + other revenue</t>
  </si>
  <si>
    <t xml:space="preserve">Float interest income (link)</t>
  </si>
  <si>
    <t xml:space="preserve">Total revenue</t>
  </si>
  <si>
    <t xml:space="preserve">EBITDA margin pre-SBC % (link)</t>
  </si>
  <si>
    <t xml:space="preserve">Adj. EBITDA pre-SBC</t>
  </si>
  <si>
    <t xml:space="preserve">SBC % of revenue (link)</t>
  </si>
  <si>
    <t xml:space="preserve">SBC ($m)</t>
  </si>
  <si>
    <t xml:space="preserve">D&amp;A % of revenue (link)</t>
  </si>
  <si>
    <t xml:space="preserve">D&amp;A ($m)</t>
  </si>
  <si>
    <t xml:space="preserve">EBIT (owner basis)</t>
  </si>
  <si>
    <t xml:space="preserve">Capex % of revenue (link)</t>
  </si>
  <si>
    <t xml:space="preserve">Capex ($m)</t>
  </si>
  <si>
    <t xml:space="preserve">Working capital release/(use), +=source ($m)</t>
  </si>
  <si>
    <t xml:space="preserve">Loss pool remaining (start of yr)</t>
  </si>
  <si>
    <t xml:space="preserve">Cash tax ($m)</t>
  </si>
  <si>
    <t xml:space="preserve">Owner FCF</t>
  </si>
  <si>
    <t xml:space="preserve">WACC % (link)</t>
  </si>
  <si>
    <t xml:space="preserve">Discount factor</t>
  </si>
  <si>
    <t xml:space="preserve">PV of FCF</t>
  </si>
  <si>
    <t xml:space="preserve">Sum PV FCF (explicit window)</t>
  </si>
  <si>
    <t xml:space="preserve">Terminal year EBIT</t>
  </si>
  <si>
    <t xml:space="preserve">Terminal year actual cash tax</t>
  </si>
  <si>
    <t xml:space="preserve">Terminal year FCF (as modelled)</t>
  </si>
  <si>
    <t xml:space="preserve">Terminal FCF, tax-normalized @ 28%</t>
  </si>
  <si>
    <t xml:space="preserve">Terminal growth % (link)</t>
  </si>
  <si>
    <t xml:space="preserve">Terminal cap multiple (link)</t>
  </si>
  <si>
    <t xml:space="preserve">Gordon terminal value</t>
  </si>
  <si>
    <t xml:space="preserve">Cap-multiple terminal value</t>
  </si>
  <si>
    <t xml:space="preserve">Terminal value (MAX(0,MIN(Gordon,cap)))</t>
  </si>
  <si>
    <t xml:space="preserve">PV of terminal value</t>
  </si>
  <si>
    <t xml:space="preserve">Enterprise value</t>
  </si>
  <si>
    <t xml:space="preserve">Net debt (link, neg=net cash)</t>
  </si>
  <si>
    <t xml:space="preserve">Equity value</t>
  </si>
  <si>
    <t xml:space="preserve">Shares outstanding (link, m)</t>
  </si>
  <si>
    <t xml:space="preserve">INTRINSIC VALUE PER SHARE (house)</t>
  </si>
  <si>
    <t xml:space="preserve">-- Street memo (SBC as non-cash) --</t>
  </si>
  <si>
    <t xml:space="preserve">PV of SBC, explicit window</t>
  </si>
  <si>
    <t xml:space="preserve">Terminal SBC (Y10, grown at terminal g)</t>
  </si>
  <si>
    <t xml:space="preserve">PV of terminal SBC</t>
  </si>
  <si>
    <t xml:space="preserve">Street equity value</t>
  </si>
  <si>
    <t xml:space="preserve">STREET INTRINSIC VALUE PER SHARE</t>
  </si>
  <si>
    <t xml:space="preserve">-- Entry price at hurdle --</t>
  </si>
  <si>
    <t xml:space="preserve">Hurdle rate % (link)</t>
  </si>
  <si>
    <t xml:space="preserve">Discount factor @ hurdle</t>
  </si>
  <si>
    <t xml:space="preserve">PV interim FCF @ hurdle</t>
  </si>
  <si>
    <t xml:space="preserve">Gordon TV @ hurdle</t>
  </si>
  <si>
    <t xml:space="preserve">Cap TV @ hurdle (same cap mult)</t>
  </si>
  <si>
    <t xml:space="preserve">TV @ hurdle (MAX(0,MIN))</t>
  </si>
  <si>
    <t xml:space="preserve">PV terminal @ hurdle</t>
  </si>
  <si>
    <t xml:space="preserve">Equity value @ hurdle</t>
  </si>
  <si>
    <t xml:space="preserve">ENTRY PRICE (at hurdle)</t>
  </si>
  <si>
    <t xml:space="preserve">DCF -- BASE case</t>
  </si>
  <si>
    <t xml:space="preserve">DCF -- BULL case</t>
  </si>
  <si>
    <t xml:space="preserve">Valuation summary</t>
  </si>
  <si>
    <t xml:space="preserve">Scenario</t>
  </si>
  <si>
    <t xml:space="preserve">IV (house)</t>
  </si>
  <si>
    <t xml:space="preserve">IV (street)</t>
  </si>
  <si>
    <t xml:space="preserve">Entry price</t>
  </si>
  <si>
    <t xml:space="preserve">bear</t>
  </si>
  <si>
    <t xml:space="preserve">base</t>
  </si>
  <si>
    <t xml:space="preserve">bull</t>
  </si>
  <si>
    <t xml:space="preserve">Weighted IV (house)</t>
  </si>
  <si>
    <t xml:space="preserve">Weighted IV (street)</t>
  </si>
  <si>
    <t xml:space="preserve">Weighted entry price</t>
  </si>
  <si>
    <t xml:space="preserve">Current price (link)</t>
  </si>
  <si>
    <t xml:space="preserve">Band position % (0=house,100=street)</t>
  </si>
  <si>
    <t xml:space="preserve">Required-return table (base scenario)</t>
  </si>
  <si>
    <t xml:space="preserve">Required return %</t>
  </si>
  <si>
    <t xml:space="preserve">Value per share</t>
  </si>
  <si>
    <t xml:space="preserve">Sensitivity: WACC x terminal growth (base scenario, $/share)</t>
  </si>
  <si>
    <t xml:space="preserve">WACC \ g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</si>
</sst>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2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7</v>
      </c>
    </row>
    <row r="5" customFormat="false" ht="15" hidden="false" customHeight="false" outlineLevel="0" collapsed="false">
      <c r="A5" s="1" t="s">
        <v>8</v>
      </c>
      <c r="B5" s="2" t="s">
        <v>9</v>
      </c>
    </row>
    <row r="6" customFormat="false" ht="15" hidden="false" customHeight="false" outlineLevel="0" collapsed="false">
      <c r="A6" s="1" t="s">
        <v>10</v>
      </c>
      <c r="B6" s="2" t="s">
        <v>9</v>
      </c>
    </row>
    <row r="7" customFormat="false" ht="15" hidden="false" customHeight="false" outlineLevel="0" collapsed="false">
      <c r="A7" s="1" t="s">
        <v>11</v>
      </c>
      <c r="B7" s="2" t="n">
        <v>0.23</v>
      </c>
    </row>
    <row r="8" customFormat="false" ht="15" hidden="false" customHeight="false" outlineLevel="0" collapsed="false">
      <c r="A8" s="1" t="s">
        <v>12</v>
      </c>
      <c r="B8" s="2" t="s">
        <v>13</v>
      </c>
    </row>
    <row r="9" customFormat="false" ht="15" hidden="false" customHeight="false" outlineLevel="0" collapsed="false">
      <c r="A9" s="1" t="s">
        <v>14</v>
      </c>
      <c r="B9" s="2" t="s">
        <v>15</v>
      </c>
    </row>
    <row r="10" customFormat="false" ht="15" hidden="false" customHeight="false" outlineLevel="0" collapsed="false">
      <c r="A10" s="1" t="s">
        <v>16</v>
      </c>
      <c r="B10" s="2" t="n">
        <v>164.246</v>
      </c>
    </row>
    <row r="11" customFormat="false" ht="15" hidden="false" customHeight="false" outlineLevel="0" collapsed="false">
      <c r="A11" s="1" t="s">
        <v>17</v>
      </c>
      <c r="B11" s="2" t="n">
        <v>-4.521</v>
      </c>
    </row>
    <row r="12" customFormat="false" ht="15" hidden="false" customHeight="false" outlineLevel="0" collapsed="false">
      <c r="A12" s="1" t="s">
        <v>18</v>
      </c>
      <c r="B12" s="2" t="s">
        <v>19</v>
      </c>
    </row>
    <row r="13" customFormat="false" ht="15" hidden="false" customHeight="false" outlineLevel="0" collapsed="false">
      <c r="A13" s="1" t="s">
        <v>20</v>
      </c>
      <c r="B13" s="2" t="s">
        <v>21</v>
      </c>
    </row>
    <row r="14" customFormat="false" ht="15" hidden="false" customHeight="false" outlineLevel="0" collapsed="false">
      <c r="A14" s="1"/>
      <c r="B14" s="2"/>
    </row>
    <row r="15" customFormat="false" ht="46.25" hidden="false" customHeight="false" outlineLevel="0" collapsed="false">
      <c r="A15" s="1" t="s">
        <v>22</v>
      </c>
      <c r="B15" s="2" t="s">
        <v>23</v>
      </c>
    </row>
    <row r="16" customFormat="false" ht="15" hidden="false" customHeight="false" outlineLevel="0" collapsed="false">
      <c r="A16" s="1"/>
      <c r="B16" s="2"/>
    </row>
    <row r="17" customFormat="false" ht="35.05" hidden="false" customHeight="false" outlineLevel="0" collapsed="false">
      <c r="A17" s="1" t="s">
        <v>24</v>
      </c>
      <c r="B17" s="2" t="s">
        <v>25</v>
      </c>
    </row>
    <row r="18" customFormat="false" ht="15" hidden="false" customHeight="false" outlineLevel="0" collapsed="false">
      <c r="A18" s="1"/>
      <c r="B18" s="2"/>
    </row>
    <row r="19" customFormat="false" ht="202.95" hidden="false" customHeight="false" outlineLevel="0" collapsed="false">
      <c r="A19" s="1" t="s">
        <v>26</v>
      </c>
      <c r="B19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1" t="s">
        <v>29</v>
      </c>
    </row>
    <row r="4" customFormat="false" ht="15" hidden="false" customHeight="false" outlineLevel="0" collapsed="false">
      <c r="A4" s="0" t="s">
        <v>4</v>
      </c>
      <c r="B4" s="0" t="s">
        <v>30</v>
      </c>
    </row>
    <row r="5" customFormat="false" ht="15" hidden="false" customHeight="false" outlineLevel="0" collapsed="false">
      <c r="A5" s="0" t="s">
        <v>31</v>
      </c>
      <c r="B5" s="0" t="n">
        <v>0.23</v>
      </c>
    </row>
    <row r="6" customFormat="false" ht="15" hidden="false" customHeight="false" outlineLevel="0" collapsed="false">
      <c r="A6" s="0" t="s">
        <v>32</v>
      </c>
      <c r="B6" s="0" t="n">
        <v>-0.0049</v>
      </c>
    </row>
    <row r="7" customFormat="false" ht="15" hidden="false" customHeight="false" outlineLevel="0" collapsed="false">
      <c r="A7" s="0" t="s">
        <v>33</v>
      </c>
      <c r="B7" s="0" t="n">
        <v>0.0343</v>
      </c>
    </row>
    <row r="8" customFormat="false" ht="15" hidden="false" customHeight="false" outlineLevel="0" collapsed="false">
      <c r="A8" s="0" t="s">
        <v>34</v>
      </c>
      <c r="B8" s="0" t="n">
        <v>0.102</v>
      </c>
    </row>
    <row r="9" customFormat="false" ht="15" hidden="false" customHeight="false" outlineLevel="0" collapsed="false">
      <c r="A9" s="0" t="s">
        <v>35</v>
      </c>
      <c r="B9" s="0" t="n">
        <v>0.0415</v>
      </c>
    </row>
    <row r="11" customFormat="false" ht="15" hidden="false" customHeight="false" outlineLevel="0" collapsed="false">
      <c r="A11" s="1" t="s">
        <v>36</v>
      </c>
    </row>
    <row r="12" customFormat="false" ht="15" hidden="false" customHeight="false" outlineLevel="0" collapsed="false">
      <c r="A12" s="1" t="s">
        <v>37</v>
      </c>
      <c r="B12" s="1" t="s">
        <v>38</v>
      </c>
    </row>
    <row r="13" customFormat="false" ht="15" hidden="false" customHeight="false" outlineLevel="0" collapsed="false">
      <c r="A13" s="0" t="s">
        <v>39</v>
      </c>
      <c r="B13" s="0" t="n">
        <v>0.0415</v>
      </c>
    </row>
    <row r="14" customFormat="false" ht="15" hidden="false" customHeight="false" outlineLevel="0" collapsed="false">
      <c r="A14" s="0" t="s">
        <v>40</v>
      </c>
      <c r="B14" s="0" t="n">
        <v>0</v>
      </c>
    </row>
    <row r="15" customFormat="false" ht="15" hidden="false" customHeight="false" outlineLevel="0" collapsed="false">
      <c r="A15" s="0" t="s">
        <v>41</v>
      </c>
      <c r="B15" s="0" t="n">
        <v>0.0124</v>
      </c>
    </row>
    <row r="16" customFormat="false" ht="15" hidden="false" customHeight="false" outlineLevel="0" collapsed="false">
      <c r="A16" s="0" t="s">
        <v>42</v>
      </c>
      <c r="B16" s="0" t="n">
        <v>0.0539</v>
      </c>
      <c r="C16" s="0" t="s">
        <v>43</v>
      </c>
    </row>
    <row r="18" customFormat="false" ht="527.6" hidden="false" customHeight="false" outlineLevel="0" collapsed="false">
      <c r="A18" s="1" t="s">
        <v>44</v>
      </c>
      <c r="B18" s="3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7" min="1" style="0" width="12"/>
  </cols>
  <sheetData>
    <row r="1" customFormat="false" ht="15" hidden="false" customHeight="false" outlineLevel="0" collapsed="false">
      <c r="A1" s="0" t="s">
        <v>46</v>
      </c>
      <c r="B1" s="0" t="s">
        <v>47</v>
      </c>
      <c r="C1" s="0" t="s">
        <v>48</v>
      </c>
      <c r="D1" s="0" t="s">
        <v>49</v>
      </c>
      <c r="E1" s="0" t="s">
        <v>50</v>
      </c>
      <c r="F1" s="0" t="s">
        <v>51</v>
      </c>
      <c r="G1" s="0" t="s">
        <v>52</v>
      </c>
      <c r="H1" s="0" t="s">
        <v>53</v>
      </c>
      <c r="I1" s="0" t="s">
        <v>54</v>
      </c>
      <c r="J1" s="0" t="s">
        <v>55</v>
      </c>
      <c r="K1" s="0" t="s">
        <v>56</v>
      </c>
      <c r="L1" s="0" t="s">
        <v>57</v>
      </c>
      <c r="M1" s="0" t="s">
        <v>58</v>
      </c>
      <c r="N1" s="0" t="s">
        <v>59</v>
      </c>
      <c r="O1" s="0" t="s">
        <v>60</v>
      </c>
      <c r="P1" s="0" t="s">
        <v>61</v>
      </c>
      <c r="Q1" s="0" t="s">
        <v>62</v>
      </c>
      <c r="R1" s="0" t="s">
        <v>63</v>
      </c>
      <c r="S1" s="0" t="s">
        <v>64</v>
      </c>
      <c r="T1" s="0" t="s">
        <v>65</v>
      </c>
      <c r="U1" s="0" t="s">
        <v>66</v>
      </c>
      <c r="V1" s="0" t="s">
        <v>67</v>
      </c>
      <c r="W1" s="0" t="s">
        <v>68</v>
      </c>
      <c r="X1" s="0" t="s">
        <v>69</v>
      </c>
      <c r="Y1" s="0" t="s">
        <v>70</v>
      </c>
      <c r="Z1" s="0" t="s">
        <v>71</v>
      </c>
      <c r="AA1" s="0" t="s">
        <v>72</v>
      </c>
      <c r="AB1" s="0" t="s">
        <v>8</v>
      </c>
    </row>
    <row r="2" customFormat="false" ht="15" hidden="false" customHeight="false" outlineLevel="0" collapsed="false">
      <c r="A2" s="0" t="s">
        <v>73</v>
      </c>
      <c r="AA2" s="0" t="s">
        <v>74</v>
      </c>
      <c r="AB2" s="0" t="s">
        <v>9</v>
      </c>
    </row>
    <row r="3" customFormat="false" ht="15" hidden="false" customHeight="false" outlineLevel="0" collapsed="false">
      <c r="A3" s="0" t="s">
        <v>75</v>
      </c>
      <c r="B3" s="0" t="s">
        <v>76</v>
      </c>
      <c r="I3" s="0" t="s">
        <v>77</v>
      </c>
      <c r="J3" s="0" t="s">
        <v>78</v>
      </c>
      <c r="L3" s="0" t="s">
        <v>79</v>
      </c>
      <c r="M3" s="0" t="s">
        <v>80</v>
      </c>
      <c r="N3" s="0" t="s">
        <v>81</v>
      </c>
      <c r="O3" s="0" t="s">
        <v>82</v>
      </c>
      <c r="S3" s="0" t="s">
        <v>83</v>
      </c>
      <c r="AA3" s="0" t="s">
        <v>74</v>
      </c>
      <c r="AB3" s="0" t="s">
        <v>9</v>
      </c>
    </row>
    <row r="4" customFormat="false" ht="15" hidden="false" customHeight="false" outlineLevel="0" collapsed="false">
      <c r="A4" s="0" t="s">
        <v>84</v>
      </c>
      <c r="B4" s="0" t="s">
        <v>85</v>
      </c>
      <c r="I4" s="0" t="s">
        <v>86</v>
      </c>
      <c r="J4" s="0" t="s">
        <v>87</v>
      </c>
      <c r="L4" s="0" t="s">
        <v>88</v>
      </c>
      <c r="M4" s="0" t="s">
        <v>89</v>
      </c>
      <c r="N4" s="0" t="s">
        <v>90</v>
      </c>
      <c r="O4" s="0" t="s">
        <v>91</v>
      </c>
      <c r="U4" s="0" t="s">
        <v>92</v>
      </c>
      <c r="AA4" s="0" t="s">
        <v>74</v>
      </c>
      <c r="AB4" s="0" t="s">
        <v>9</v>
      </c>
    </row>
    <row r="5" customFormat="false" ht="15" hidden="false" customHeight="false" outlineLevel="0" collapsed="false">
      <c r="A5" s="0" t="s">
        <v>93</v>
      </c>
      <c r="B5" s="0" t="s">
        <v>94</v>
      </c>
      <c r="C5" s="0" t="s">
        <v>95</v>
      </c>
      <c r="D5" s="0" t="s">
        <v>96</v>
      </c>
      <c r="E5" s="0" t="s">
        <v>97</v>
      </c>
      <c r="H5" s="0" t="s">
        <v>98</v>
      </c>
      <c r="I5" s="0" t="s">
        <v>99</v>
      </c>
      <c r="J5" s="0" t="s">
        <v>100</v>
      </c>
      <c r="K5" s="0" t="s">
        <v>101</v>
      </c>
      <c r="L5" s="0" t="s">
        <v>102</v>
      </c>
      <c r="M5" s="0" t="s">
        <v>103</v>
      </c>
      <c r="N5" s="0" t="s">
        <v>104</v>
      </c>
      <c r="O5" s="0" t="s">
        <v>105</v>
      </c>
      <c r="P5" s="0" t="s">
        <v>106</v>
      </c>
      <c r="Q5" s="0" t="s">
        <v>107</v>
      </c>
      <c r="S5" s="0" t="s">
        <v>108</v>
      </c>
      <c r="T5" s="0" t="s">
        <v>109</v>
      </c>
      <c r="U5" s="0" t="s">
        <v>92</v>
      </c>
      <c r="AA5" s="0" t="s">
        <v>74</v>
      </c>
      <c r="AB5" s="0" t="s">
        <v>9</v>
      </c>
    </row>
    <row r="6" customFormat="false" ht="15" hidden="false" customHeight="false" outlineLevel="0" collapsed="false">
      <c r="A6" s="0" t="s">
        <v>110</v>
      </c>
      <c r="B6" s="0" t="s">
        <v>111</v>
      </c>
      <c r="D6" s="0" t="s">
        <v>112</v>
      </c>
      <c r="E6" s="0" t="s">
        <v>113</v>
      </c>
      <c r="H6" s="0" t="s">
        <v>114</v>
      </c>
      <c r="I6" s="0" t="s">
        <v>115</v>
      </c>
      <c r="J6" s="0" t="s">
        <v>116</v>
      </c>
      <c r="L6" s="0" t="s">
        <v>117</v>
      </c>
      <c r="M6" s="0" t="s">
        <v>118</v>
      </c>
      <c r="N6" s="0" t="s">
        <v>119</v>
      </c>
      <c r="O6" s="0" t="s">
        <v>120</v>
      </c>
      <c r="P6" s="0" t="s">
        <v>121</v>
      </c>
      <c r="Q6" s="0" t="s">
        <v>122</v>
      </c>
      <c r="R6" s="0" t="s">
        <v>123</v>
      </c>
      <c r="S6" s="0" t="s">
        <v>124</v>
      </c>
      <c r="T6" s="0" t="s">
        <v>125</v>
      </c>
      <c r="AA6" s="0" t="s">
        <v>74</v>
      </c>
      <c r="AB6" s="0" t="s">
        <v>9</v>
      </c>
    </row>
    <row r="7" customFormat="false" ht="15" hidden="false" customHeight="false" outlineLevel="0" collapsed="false">
      <c r="A7" s="0" t="s">
        <v>126</v>
      </c>
      <c r="B7" s="0" t="s">
        <v>127</v>
      </c>
      <c r="C7" s="0" t="s">
        <v>128</v>
      </c>
      <c r="D7" s="0" t="s">
        <v>129</v>
      </c>
      <c r="E7" s="0" t="s">
        <v>130</v>
      </c>
      <c r="H7" s="0" t="s">
        <v>131</v>
      </c>
      <c r="I7" s="0" t="s">
        <v>132</v>
      </c>
      <c r="J7" s="0" t="s">
        <v>133</v>
      </c>
      <c r="K7" s="0" t="s">
        <v>134</v>
      </c>
      <c r="L7" s="0" t="s">
        <v>135</v>
      </c>
      <c r="M7" s="0" t="s">
        <v>136</v>
      </c>
      <c r="N7" s="0" t="s">
        <v>137</v>
      </c>
      <c r="O7" s="0" t="s">
        <v>138</v>
      </c>
      <c r="P7" s="0" t="s">
        <v>139</v>
      </c>
      <c r="Q7" s="0" t="s">
        <v>140</v>
      </c>
      <c r="R7" s="0" t="s">
        <v>141</v>
      </c>
      <c r="S7" s="0" t="s">
        <v>142</v>
      </c>
      <c r="T7" s="0" t="s">
        <v>143</v>
      </c>
      <c r="AA7" s="0" t="s">
        <v>74</v>
      </c>
      <c r="AB7" s="0" t="s">
        <v>9</v>
      </c>
    </row>
    <row r="8" customFormat="false" ht="15" hidden="false" customHeight="false" outlineLevel="0" collapsed="false">
      <c r="A8" s="0" t="s">
        <v>144</v>
      </c>
      <c r="B8" s="0" t="s">
        <v>145</v>
      </c>
      <c r="C8" s="0" t="s">
        <v>146</v>
      </c>
      <c r="D8" s="0" t="s">
        <v>147</v>
      </c>
      <c r="E8" s="0" t="s">
        <v>148</v>
      </c>
      <c r="H8" s="0" t="s">
        <v>149</v>
      </c>
      <c r="I8" s="0" t="s">
        <v>150</v>
      </c>
      <c r="J8" s="0" t="s">
        <v>151</v>
      </c>
      <c r="K8" s="0" t="s">
        <v>152</v>
      </c>
      <c r="L8" s="0" t="s">
        <v>153</v>
      </c>
      <c r="M8" s="0" t="s">
        <v>154</v>
      </c>
      <c r="N8" s="0" t="s">
        <v>155</v>
      </c>
      <c r="O8" s="0" t="s">
        <v>156</v>
      </c>
      <c r="P8" s="0" t="s">
        <v>157</v>
      </c>
      <c r="Q8" s="0" t="s">
        <v>158</v>
      </c>
      <c r="S8" s="0" t="s">
        <v>159</v>
      </c>
      <c r="T8" s="0" t="s">
        <v>160</v>
      </c>
      <c r="AA8" s="0" t="s">
        <v>74</v>
      </c>
      <c r="AB8" s="0" t="s">
        <v>9</v>
      </c>
    </row>
    <row r="9" customFormat="false" ht="15" hidden="false" customHeight="false" outlineLevel="0" collapsed="false">
      <c r="A9" s="0" t="s">
        <v>161</v>
      </c>
      <c r="B9" s="0" t="s">
        <v>162</v>
      </c>
      <c r="C9" s="0" t="s">
        <v>163</v>
      </c>
      <c r="D9" s="0" t="s">
        <v>164</v>
      </c>
      <c r="E9" s="0" t="s">
        <v>165</v>
      </c>
      <c r="H9" s="0" t="s">
        <v>166</v>
      </c>
      <c r="I9" s="0" t="s">
        <v>167</v>
      </c>
      <c r="J9" s="0" t="s">
        <v>168</v>
      </c>
      <c r="K9" s="0" t="s">
        <v>169</v>
      </c>
      <c r="L9" s="0" t="s">
        <v>170</v>
      </c>
      <c r="M9" s="0" t="s">
        <v>171</v>
      </c>
      <c r="N9" s="0" t="s">
        <v>172</v>
      </c>
      <c r="O9" s="0" t="s">
        <v>173</v>
      </c>
      <c r="P9" s="0" t="s">
        <v>174</v>
      </c>
      <c r="Q9" s="0" t="s">
        <v>175</v>
      </c>
      <c r="S9" s="0" t="s">
        <v>176</v>
      </c>
      <c r="T9" s="0" t="s">
        <v>177</v>
      </c>
      <c r="U9" s="0" t="s">
        <v>178</v>
      </c>
      <c r="AA9" s="0" t="s">
        <v>74</v>
      </c>
      <c r="AB9" s="0" t="s">
        <v>9</v>
      </c>
    </row>
    <row r="10" customFormat="false" ht="15" hidden="false" customHeight="false" outlineLevel="0" collapsed="false">
      <c r="A10" s="0" t="s">
        <v>179</v>
      </c>
      <c r="B10" s="0" t="s">
        <v>180</v>
      </c>
      <c r="D10" s="0" t="s">
        <v>181</v>
      </c>
      <c r="E10" s="0" t="s">
        <v>182</v>
      </c>
      <c r="I10" s="0" t="s">
        <v>183</v>
      </c>
      <c r="J10" s="0" t="s">
        <v>184</v>
      </c>
      <c r="K10" s="0" t="s">
        <v>185</v>
      </c>
      <c r="L10" s="0" t="s">
        <v>186</v>
      </c>
      <c r="M10" s="0" t="s">
        <v>187</v>
      </c>
      <c r="N10" s="0" t="s">
        <v>188</v>
      </c>
      <c r="O10" s="0" t="s">
        <v>189</v>
      </c>
      <c r="P10" s="0" t="s">
        <v>190</v>
      </c>
      <c r="Q10" s="0" t="s">
        <v>191</v>
      </c>
      <c r="S10" s="0" t="s">
        <v>192</v>
      </c>
      <c r="T10" s="0" t="s">
        <v>193</v>
      </c>
      <c r="AA10" s="0" t="s">
        <v>74</v>
      </c>
      <c r="AB10" s="0" t="s">
        <v>9</v>
      </c>
    </row>
    <row r="11" customFormat="false" ht="15" hidden="false" customHeight="false" outlineLevel="0" collapsed="false">
      <c r="A11" s="0" t="s">
        <v>194</v>
      </c>
      <c r="B11" s="0" t="s">
        <v>195</v>
      </c>
      <c r="D11" s="0" t="s">
        <v>196</v>
      </c>
      <c r="E11" s="0" t="s">
        <v>197</v>
      </c>
      <c r="I11" s="0" t="s">
        <v>198</v>
      </c>
      <c r="J11" s="0" t="s">
        <v>199</v>
      </c>
      <c r="K11" s="0" t="s">
        <v>200</v>
      </c>
      <c r="L11" s="0" t="s">
        <v>201</v>
      </c>
      <c r="M11" s="0" t="s">
        <v>202</v>
      </c>
      <c r="N11" s="0" t="s">
        <v>186</v>
      </c>
      <c r="O11" s="0" t="s">
        <v>203</v>
      </c>
      <c r="P11" s="0" t="s">
        <v>204</v>
      </c>
      <c r="Q11" s="0" t="s">
        <v>205</v>
      </c>
      <c r="S11" s="0" t="s">
        <v>206</v>
      </c>
      <c r="T11" s="0" t="s">
        <v>207</v>
      </c>
      <c r="U11" s="0" t="s">
        <v>208</v>
      </c>
      <c r="AA11" s="0" t="s">
        <v>74</v>
      </c>
      <c r="AB11" s="0" t="s">
        <v>9</v>
      </c>
    </row>
    <row r="12" customFormat="false" ht="15" hidden="false" customHeight="false" outlineLevel="0" collapsed="false">
      <c r="A12" s="0" t="s">
        <v>209</v>
      </c>
      <c r="B12" s="0" t="s">
        <v>210</v>
      </c>
      <c r="D12" s="0" t="s">
        <v>211</v>
      </c>
      <c r="E12" s="0" t="s">
        <v>212</v>
      </c>
      <c r="I12" s="0" t="s">
        <v>213</v>
      </c>
      <c r="J12" s="0" t="s">
        <v>214</v>
      </c>
      <c r="K12" s="0" t="s">
        <v>215</v>
      </c>
      <c r="L12" s="0" t="s">
        <v>216</v>
      </c>
      <c r="M12" s="0" t="s">
        <v>217</v>
      </c>
      <c r="N12" s="0" t="s">
        <v>218</v>
      </c>
      <c r="O12" s="0" t="s">
        <v>219</v>
      </c>
      <c r="P12" s="0" t="s">
        <v>220</v>
      </c>
      <c r="Q12" s="0" t="s">
        <v>221</v>
      </c>
      <c r="S12" s="0" t="s">
        <v>222</v>
      </c>
      <c r="T12" s="0" t="s">
        <v>223</v>
      </c>
      <c r="U12" s="0" t="s">
        <v>224</v>
      </c>
      <c r="AA12" s="0" t="s">
        <v>74</v>
      </c>
      <c r="AB12" s="0" t="s">
        <v>9</v>
      </c>
    </row>
    <row r="13" customFormat="false" ht="15" hidden="false" customHeight="false" outlineLevel="0" collapsed="false">
      <c r="A13" s="0" t="s">
        <v>225</v>
      </c>
      <c r="B13" s="0" t="s">
        <v>226</v>
      </c>
      <c r="D13" s="0" t="s">
        <v>227</v>
      </c>
      <c r="E13" s="0" t="s">
        <v>228</v>
      </c>
      <c r="I13" s="0" t="s">
        <v>229</v>
      </c>
      <c r="J13" s="0" t="s">
        <v>230</v>
      </c>
      <c r="K13" s="0" t="s">
        <v>231</v>
      </c>
      <c r="L13" s="0" t="s">
        <v>232</v>
      </c>
      <c r="M13" s="0" t="s">
        <v>233</v>
      </c>
      <c r="N13" s="0" t="s">
        <v>234</v>
      </c>
      <c r="O13" s="0" t="s">
        <v>235</v>
      </c>
      <c r="P13" s="0" t="s">
        <v>236</v>
      </c>
      <c r="Q13" s="0" t="s">
        <v>237</v>
      </c>
      <c r="S13" s="0" t="s">
        <v>238</v>
      </c>
      <c r="T13" s="0" t="s">
        <v>239</v>
      </c>
      <c r="U13" s="0" t="s">
        <v>240</v>
      </c>
      <c r="AA13" s="0" t="s">
        <v>74</v>
      </c>
      <c r="AB13" s="0" t="s">
        <v>9</v>
      </c>
    </row>
    <row r="14" customFormat="false" ht="15" hidden="false" customHeight="false" outlineLevel="0" collapsed="false">
      <c r="A14" s="0" t="s">
        <v>241</v>
      </c>
      <c r="B14" s="0" t="s">
        <v>242</v>
      </c>
      <c r="D14" s="0" t="s">
        <v>243</v>
      </c>
      <c r="E14" s="0" t="s">
        <v>244</v>
      </c>
      <c r="I14" s="0" t="s">
        <v>245</v>
      </c>
      <c r="J14" s="0" t="s">
        <v>246</v>
      </c>
      <c r="K14" s="0" t="s">
        <v>247</v>
      </c>
      <c r="L14" s="0" t="s">
        <v>248</v>
      </c>
      <c r="M14" s="0" t="s">
        <v>249</v>
      </c>
      <c r="N14" s="0" t="s">
        <v>250</v>
      </c>
      <c r="O14" s="0" t="s">
        <v>251</v>
      </c>
      <c r="P14" s="0" t="s">
        <v>252</v>
      </c>
      <c r="Q14" s="0" t="s">
        <v>253</v>
      </c>
      <c r="S14" s="0" t="s">
        <v>254</v>
      </c>
      <c r="T14" s="0" t="s">
        <v>255</v>
      </c>
      <c r="U14" s="0" t="s">
        <v>256</v>
      </c>
      <c r="AA14" s="0" t="s">
        <v>74</v>
      </c>
      <c r="AB14" s="0" t="s">
        <v>9</v>
      </c>
    </row>
    <row r="15" customFormat="false" ht="15" hidden="false" customHeight="false" outlineLevel="0" collapsed="false">
      <c r="A15" s="0" t="s">
        <v>257</v>
      </c>
      <c r="B15" s="0" t="s">
        <v>258</v>
      </c>
      <c r="D15" s="0" t="s">
        <v>259</v>
      </c>
      <c r="E15" s="0" t="s">
        <v>260</v>
      </c>
      <c r="I15" s="0" t="s">
        <v>261</v>
      </c>
      <c r="J15" s="0" t="s">
        <v>262</v>
      </c>
      <c r="K15" s="0" t="s">
        <v>263</v>
      </c>
      <c r="L15" s="0" t="s">
        <v>264</v>
      </c>
      <c r="M15" s="0" t="s">
        <v>265</v>
      </c>
      <c r="N15" s="0" t="s">
        <v>266</v>
      </c>
      <c r="O15" s="0" t="s">
        <v>267</v>
      </c>
      <c r="P15" s="0" t="s">
        <v>268</v>
      </c>
      <c r="Q15" s="0" t="s">
        <v>269</v>
      </c>
      <c r="R15" s="0" t="s">
        <v>270</v>
      </c>
      <c r="S15" s="0" t="s">
        <v>271</v>
      </c>
      <c r="T15" s="0" t="s">
        <v>272</v>
      </c>
      <c r="U15" s="0" t="s">
        <v>273</v>
      </c>
      <c r="AA15" s="0" t="s">
        <v>74</v>
      </c>
      <c r="AB15" s="0" t="s">
        <v>9</v>
      </c>
    </row>
    <row r="16" customFormat="false" ht="15" hidden="false" customHeight="false" outlineLevel="0" collapsed="false">
      <c r="A16" s="0" t="s">
        <v>274</v>
      </c>
      <c r="B16" s="0" t="s">
        <v>275</v>
      </c>
      <c r="D16" s="0" t="s">
        <v>276</v>
      </c>
      <c r="E16" s="0" t="s">
        <v>277</v>
      </c>
      <c r="I16" s="0" t="s">
        <v>278</v>
      </c>
      <c r="J16" s="0" t="s">
        <v>279</v>
      </c>
      <c r="K16" s="0" t="s">
        <v>280</v>
      </c>
      <c r="L16" s="0" t="s">
        <v>281</v>
      </c>
      <c r="M16" s="0" t="s">
        <v>282</v>
      </c>
      <c r="N16" s="0" t="s">
        <v>283</v>
      </c>
      <c r="O16" s="0" t="s">
        <v>284</v>
      </c>
      <c r="P16" s="0" t="s">
        <v>285</v>
      </c>
      <c r="Q16" s="0" t="s">
        <v>286</v>
      </c>
      <c r="S16" s="0" t="s">
        <v>287</v>
      </c>
      <c r="T16" s="0" t="s">
        <v>288</v>
      </c>
      <c r="AA16" s="0" t="s">
        <v>74</v>
      </c>
      <c r="AB16" s="0" t="s">
        <v>9</v>
      </c>
    </row>
    <row r="17" customFormat="false" ht="15" hidden="false" customHeight="false" outlineLevel="0" collapsed="false">
      <c r="A17" s="0" t="s">
        <v>289</v>
      </c>
      <c r="B17" s="0" t="s">
        <v>290</v>
      </c>
      <c r="C17" s="0" t="s">
        <v>291</v>
      </c>
      <c r="D17" s="0" t="s">
        <v>292</v>
      </c>
      <c r="E17" s="0" t="s">
        <v>293</v>
      </c>
      <c r="H17" s="0" t="s">
        <v>294</v>
      </c>
      <c r="I17" s="0" t="s">
        <v>295</v>
      </c>
      <c r="J17" s="0" t="s">
        <v>296</v>
      </c>
      <c r="K17" s="0" t="s">
        <v>297</v>
      </c>
      <c r="L17" s="0" t="s">
        <v>298</v>
      </c>
      <c r="M17" s="0" t="s">
        <v>299</v>
      </c>
      <c r="N17" s="0" t="s">
        <v>300</v>
      </c>
      <c r="O17" s="0" t="s">
        <v>301</v>
      </c>
      <c r="P17" s="0" t="s">
        <v>302</v>
      </c>
      <c r="Q17" s="0" t="s">
        <v>303</v>
      </c>
      <c r="R17" s="0" t="s">
        <v>304</v>
      </c>
      <c r="S17" s="0" t="s">
        <v>305</v>
      </c>
      <c r="T17" s="0" t="s">
        <v>306</v>
      </c>
      <c r="U17" s="0" t="s">
        <v>307</v>
      </c>
      <c r="AA17" s="0" t="s">
        <v>74</v>
      </c>
      <c r="AB17" s="0" t="s">
        <v>9</v>
      </c>
    </row>
    <row r="18" customFormat="false" ht="15" hidden="false" customHeight="false" outlineLevel="0" collapsed="false">
      <c r="A18" s="0" t="s">
        <v>308</v>
      </c>
      <c r="B18" s="0" t="s">
        <v>309</v>
      </c>
      <c r="D18" s="0" t="s">
        <v>310</v>
      </c>
      <c r="E18" s="0" t="s">
        <v>311</v>
      </c>
      <c r="I18" s="0" t="s">
        <v>312</v>
      </c>
      <c r="J18" s="0" t="s">
        <v>313</v>
      </c>
      <c r="K18" s="0" t="s">
        <v>314</v>
      </c>
      <c r="L18" s="0" t="s">
        <v>315</v>
      </c>
      <c r="M18" s="0" t="s">
        <v>316</v>
      </c>
      <c r="N18" s="0" t="s">
        <v>317</v>
      </c>
      <c r="O18" s="0" t="s">
        <v>318</v>
      </c>
      <c r="P18" s="0" t="s">
        <v>319</v>
      </c>
      <c r="Q18" s="0" t="s">
        <v>320</v>
      </c>
      <c r="S18" s="0" t="s">
        <v>321</v>
      </c>
      <c r="T18" s="0" t="s">
        <v>322</v>
      </c>
      <c r="AA18" s="0" t="s">
        <v>74</v>
      </c>
      <c r="AB18" s="0" t="s">
        <v>9</v>
      </c>
    </row>
    <row r="19" customFormat="false" ht="15" hidden="false" customHeight="false" outlineLevel="0" collapsed="false">
      <c r="A19" s="0" t="s">
        <v>323</v>
      </c>
      <c r="B19" s="0" t="s">
        <v>324</v>
      </c>
      <c r="C19" s="0" t="s">
        <v>325</v>
      </c>
      <c r="D19" s="0" t="s">
        <v>326</v>
      </c>
      <c r="E19" s="0" t="s">
        <v>327</v>
      </c>
      <c r="H19" s="0" t="s">
        <v>328</v>
      </c>
      <c r="I19" s="0" t="s">
        <v>329</v>
      </c>
      <c r="J19" s="0" t="s">
        <v>330</v>
      </c>
      <c r="K19" s="0" t="s">
        <v>331</v>
      </c>
      <c r="L19" s="0" t="s">
        <v>332</v>
      </c>
      <c r="M19" s="0" t="s">
        <v>333</v>
      </c>
      <c r="N19" s="0" t="s">
        <v>334</v>
      </c>
      <c r="O19" s="0" t="s">
        <v>335</v>
      </c>
      <c r="P19" s="0" t="s">
        <v>336</v>
      </c>
      <c r="Q19" s="0" t="s">
        <v>337</v>
      </c>
      <c r="R19" s="0" t="s">
        <v>304</v>
      </c>
      <c r="S19" s="0" t="s">
        <v>338</v>
      </c>
      <c r="T19" s="0" t="s">
        <v>339</v>
      </c>
      <c r="U19" s="0" t="s">
        <v>340</v>
      </c>
      <c r="AA19" s="0" t="s">
        <v>74</v>
      </c>
      <c r="AB19" s="0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15" min="2" style="0" width="11"/>
  </cols>
  <sheetData>
    <row r="1" customFormat="false" ht="15" hidden="false" customHeight="false" outlineLevel="0" collapsed="false">
      <c r="A1" s="1" t="s">
        <v>341</v>
      </c>
      <c r="D1" s="1" t="s">
        <v>342</v>
      </c>
      <c r="E1" s="1" t="s">
        <v>343</v>
      </c>
      <c r="F1" s="1" t="s">
        <v>344</v>
      </c>
      <c r="G1" s="1" t="s">
        <v>345</v>
      </c>
      <c r="H1" s="1" t="s">
        <v>346</v>
      </c>
      <c r="I1" s="1" t="s">
        <v>347</v>
      </c>
      <c r="J1" s="1" t="s">
        <v>348</v>
      </c>
      <c r="K1" s="1" t="s">
        <v>349</v>
      </c>
      <c r="L1" s="1" t="s">
        <v>350</v>
      </c>
      <c r="M1" s="1" t="s">
        <v>351</v>
      </c>
      <c r="N1" s="1" t="s">
        <v>352</v>
      </c>
    </row>
    <row r="2" customFormat="false" ht="15" hidden="false" customHeight="false" outlineLevel="0" collapsed="false">
      <c r="A2" s="0" t="s">
        <v>11</v>
      </c>
      <c r="B2" s="4" t="n">
        <v>0.23</v>
      </c>
    </row>
    <row r="3" customFormat="false" ht="15" hidden="false" customHeight="false" outlineLevel="0" collapsed="false">
      <c r="A3" s="0" t="s">
        <v>16</v>
      </c>
      <c r="B3" s="4" t="n">
        <v>164.246</v>
      </c>
    </row>
    <row r="4" customFormat="false" ht="15" hidden="false" customHeight="false" outlineLevel="0" collapsed="false">
      <c r="A4" s="0" t="s">
        <v>353</v>
      </c>
      <c r="B4" s="4" t="n">
        <v>-4.521</v>
      </c>
    </row>
    <row r="5" customFormat="false" ht="15" hidden="false" customHeight="false" outlineLevel="0" collapsed="false">
      <c r="A5" s="0" t="s">
        <v>354</v>
      </c>
      <c r="B5" s="4" t="n">
        <v>15</v>
      </c>
    </row>
    <row r="6" customFormat="false" ht="15" hidden="false" customHeight="false" outlineLevel="0" collapsed="false">
      <c r="A6" s="0" t="s">
        <v>355</v>
      </c>
      <c r="B6" s="4" t="n">
        <v>7.434</v>
      </c>
    </row>
    <row r="7" customFormat="false" ht="15" hidden="false" customHeight="false" outlineLevel="0" collapsed="false">
      <c r="A7" s="0" t="s">
        <v>356</v>
      </c>
      <c r="B7" s="4" t="n">
        <v>8.258</v>
      </c>
    </row>
    <row r="8" customFormat="false" ht="15" hidden="false" customHeight="false" outlineLevel="0" collapsed="false">
      <c r="A8" s="0" t="s">
        <v>357</v>
      </c>
      <c r="B8" s="4" t="n">
        <v>28</v>
      </c>
    </row>
    <row r="11" customFormat="false" ht="15" hidden="false" customHeight="false" outlineLevel="0" collapsed="false">
      <c r="A11" s="1" t="s">
        <v>358</v>
      </c>
    </row>
    <row r="12" customFormat="false" ht="15" hidden="false" customHeight="false" outlineLevel="0" collapsed="false">
      <c r="A12" s="0" t="s">
        <v>359</v>
      </c>
      <c r="E12" s="4" t="n">
        <v>6</v>
      </c>
      <c r="F12" s="4" t="n">
        <v>5</v>
      </c>
      <c r="G12" s="4" t="n">
        <v>4</v>
      </c>
      <c r="H12" s="4" t="n">
        <v>3</v>
      </c>
      <c r="I12" s="4" t="n">
        <v>3</v>
      </c>
      <c r="J12" s="4" t="n">
        <v>2.5</v>
      </c>
      <c r="K12" s="4" t="n">
        <v>2.5</v>
      </c>
      <c r="L12" s="4" t="n">
        <v>2</v>
      </c>
      <c r="M12" s="4" t="n">
        <v>2</v>
      </c>
      <c r="N12" s="4" t="n">
        <v>2</v>
      </c>
    </row>
    <row r="13" customFormat="false" ht="15" hidden="false" customHeight="false" outlineLevel="0" collapsed="false">
      <c r="A13" s="0" t="s">
        <v>360</v>
      </c>
      <c r="E13" s="4" t="n">
        <v>1.4</v>
      </c>
      <c r="F13" s="4" t="n">
        <v>1.2</v>
      </c>
      <c r="G13" s="4" t="n">
        <v>1.1</v>
      </c>
      <c r="H13" s="4" t="n">
        <v>1.05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</row>
    <row r="14" customFormat="false" ht="15" hidden="false" customHeight="false" outlineLevel="0" collapsed="false">
      <c r="A14" s="0" t="s">
        <v>361</v>
      </c>
      <c r="E14" s="4" t="n">
        <v>4</v>
      </c>
      <c r="F14" s="4" t="n">
        <v>2</v>
      </c>
      <c r="G14" s="4" t="n">
        <v>5</v>
      </c>
      <c r="H14" s="4" t="n">
        <v>9</v>
      </c>
      <c r="I14" s="4" t="n">
        <v>11</v>
      </c>
      <c r="J14" s="4" t="n">
        <v>13</v>
      </c>
      <c r="K14" s="4" t="n">
        <v>14</v>
      </c>
      <c r="L14" s="4" t="n">
        <v>15</v>
      </c>
      <c r="M14" s="4" t="n">
        <v>15.5</v>
      </c>
      <c r="N14" s="4" t="n">
        <v>16</v>
      </c>
    </row>
    <row r="15" customFormat="false" ht="15" hidden="false" customHeight="false" outlineLevel="0" collapsed="false">
      <c r="A15" s="0" t="s">
        <v>362</v>
      </c>
      <c r="E15" s="4" t="n">
        <v>4.59</v>
      </c>
      <c r="F15" s="4" t="n">
        <v>4.59</v>
      </c>
      <c r="G15" s="4" t="n">
        <v>4.44</v>
      </c>
      <c r="H15" s="4" t="n">
        <v>4.28</v>
      </c>
      <c r="I15" s="4" t="n">
        <v>4.13</v>
      </c>
      <c r="J15" s="4" t="n">
        <v>3.98</v>
      </c>
      <c r="K15" s="4" t="n">
        <v>3.82</v>
      </c>
      <c r="L15" s="4" t="n">
        <v>3.67</v>
      </c>
      <c r="M15" s="4" t="n">
        <v>3.67</v>
      </c>
      <c r="N15" s="4" t="n">
        <v>3.67</v>
      </c>
    </row>
    <row r="16" customFormat="false" ht="15" hidden="false" customHeight="false" outlineLevel="0" collapsed="false">
      <c r="A16" s="0" t="s">
        <v>363</v>
      </c>
      <c r="E16" s="4" t="n">
        <v>20</v>
      </c>
      <c r="F16" s="4" t="n">
        <v>16</v>
      </c>
      <c r="G16" s="4" t="n">
        <v>14</v>
      </c>
      <c r="H16" s="4" t="n">
        <v>12</v>
      </c>
      <c r="I16" s="4" t="n">
        <v>11</v>
      </c>
      <c r="J16" s="4" t="n">
        <v>10</v>
      </c>
      <c r="K16" s="4" t="n">
        <v>9.5</v>
      </c>
      <c r="L16" s="4" t="n">
        <v>9</v>
      </c>
      <c r="M16" s="4" t="n">
        <v>9</v>
      </c>
      <c r="N16" s="4" t="n">
        <v>9</v>
      </c>
    </row>
    <row r="17" customFormat="false" ht="15" hidden="false" customHeight="false" outlineLevel="0" collapsed="false">
      <c r="A17" s="0" t="s">
        <v>364</v>
      </c>
      <c r="E17" s="4" t="n">
        <v>20</v>
      </c>
      <c r="F17" s="4" t="n">
        <v>16</v>
      </c>
      <c r="G17" s="4" t="n">
        <v>14</v>
      </c>
      <c r="H17" s="4" t="n">
        <v>12</v>
      </c>
      <c r="I17" s="4" t="n">
        <v>11</v>
      </c>
      <c r="J17" s="4" t="n">
        <v>10</v>
      </c>
      <c r="K17" s="4" t="n">
        <v>9.5</v>
      </c>
      <c r="L17" s="4" t="n">
        <v>9</v>
      </c>
      <c r="M17" s="4" t="n">
        <v>9</v>
      </c>
      <c r="N17" s="4" t="n">
        <v>9</v>
      </c>
    </row>
    <row r="18" customFormat="false" ht="15" hidden="false" customHeight="false" outlineLevel="0" collapsed="false">
      <c r="A18" s="0" t="s">
        <v>365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</row>
    <row r="19" customFormat="false" ht="15" hidden="false" customHeight="false" outlineLevel="0" collapsed="false">
      <c r="A19" s="0" t="s">
        <v>366</v>
      </c>
      <c r="B19" s="4" t="n">
        <v>16</v>
      </c>
    </row>
    <row r="20" customFormat="false" ht="15" hidden="false" customHeight="false" outlineLevel="0" collapsed="false">
      <c r="A20" s="0" t="s">
        <v>367</v>
      </c>
      <c r="B20" s="4" t="n">
        <v>2</v>
      </c>
    </row>
    <row r="21" customFormat="false" ht="15" hidden="false" customHeight="false" outlineLevel="0" collapsed="false">
      <c r="A21" s="0" t="s">
        <v>368</v>
      </c>
      <c r="B21" s="4" t="n">
        <v>15</v>
      </c>
    </row>
    <row r="22" customFormat="false" ht="15" hidden="false" customHeight="false" outlineLevel="0" collapsed="false">
      <c r="A22" s="0" t="s">
        <v>369</v>
      </c>
      <c r="B22" s="4" t="n">
        <v>0.25</v>
      </c>
    </row>
    <row r="27" customFormat="false" ht="15" hidden="false" customHeight="false" outlineLevel="0" collapsed="false">
      <c r="A27" s="1" t="s">
        <v>370</v>
      </c>
    </row>
    <row r="28" customFormat="false" ht="15" hidden="false" customHeight="false" outlineLevel="0" collapsed="false">
      <c r="A28" s="0" t="s">
        <v>359</v>
      </c>
      <c r="E28" s="4" t="n">
        <v>10</v>
      </c>
      <c r="F28" s="4" t="n">
        <v>12</v>
      </c>
      <c r="G28" s="4" t="n">
        <v>13</v>
      </c>
      <c r="H28" s="4" t="n">
        <v>12</v>
      </c>
      <c r="I28" s="4" t="n">
        <v>10</v>
      </c>
      <c r="J28" s="4" t="n">
        <v>9</v>
      </c>
      <c r="K28" s="4" t="n">
        <v>8</v>
      </c>
      <c r="L28" s="4" t="n">
        <v>7</v>
      </c>
      <c r="M28" s="4" t="n">
        <v>6</v>
      </c>
      <c r="N28" s="4" t="n">
        <v>5</v>
      </c>
    </row>
    <row r="29" customFormat="false" ht="15" hidden="false" customHeight="false" outlineLevel="0" collapsed="false">
      <c r="A29" s="0" t="s">
        <v>360</v>
      </c>
      <c r="E29" s="4" t="n">
        <v>1.55</v>
      </c>
      <c r="F29" s="4" t="n">
        <v>1.45</v>
      </c>
      <c r="G29" s="4" t="n">
        <v>1.45</v>
      </c>
      <c r="H29" s="4" t="n">
        <v>1.5</v>
      </c>
      <c r="I29" s="4" t="n">
        <v>1.55</v>
      </c>
      <c r="J29" s="4" t="n">
        <v>1.6</v>
      </c>
      <c r="K29" s="4" t="n">
        <v>1.65</v>
      </c>
      <c r="L29" s="4" t="n">
        <v>1.7</v>
      </c>
      <c r="M29" s="4" t="n">
        <v>1.75</v>
      </c>
      <c r="N29" s="4" t="n">
        <v>1.8</v>
      </c>
    </row>
    <row r="30" customFormat="false" ht="15" hidden="false" customHeight="false" outlineLevel="0" collapsed="false">
      <c r="A30" s="0" t="s">
        <v>361</v>
      </c>
      <c r="E30" s="4" t="n">
        <v>8</v>
      </c>
      <c r="F30" s="4" t="n">
        <v>10</v>
      </c>
      <c r="G30" s="4" t="n">
        <v>14</v>
      </c>
      <c r="H30" s="4" t="n">
        <v>18</v>
      </c>
      <c r="I30" s="4" t="n">
        <v>21</v>
      </c>
      <c r="J30" s="4" t="n">
        <v>23</v>
      </c>
      <c r="K30" s="4" t="n">
        <v>25</v>
      </c>
      <c r="L30" s="4" t="n">
        <v>26</v>
      </c>
      <c r="M30" s="4" t="n">
        <v>27</v>
      </c>
      <c r="N30" s="4" t="n">
        <v>28</v>
      </c>
    </row>
    <row r="31" customFormat="false" ht="15" hidden="false" customHeight="false" outlineLevel="0" collapsed="false">
      <c r="A31" s="0" t="s">
        <v>362</v>
      </c>
      <c r="E31" s="4" t="n">
        <v>4.59</v>
      </c>
      <c r="F31" s="4" t="n">
        <v>4.44</v>
      </c>
      <c r="G31" s="4" t="n">
        <v>4.28</v>
      </c>
      <c r="H31" s="4" t="n">
        <v>4.13</v>
      </c>
      <c r="I31" s="4" t="n">
        <v>3.98</v>
      </c>
      <c r="J31" s="4" t="n">
        <v>3.82</v>
      </c>
      <c r="K31" s="4" t="n">
        <v>3.67</v>
      </c>
      <c r="L31" s="4" t="n">
        <v>3.52</v>
      </c>
      <c r="M31" s="4" t="n">
        <v>3.37</v>
      </c>
      <c r="N31" s="4" t="n">
        <v>3.21</v>
      </c>
    </row>
    <row r="32" customFormat="false" ht="15" hidden="false" customHeight="false" outlineLevel="0" collapsed="false">
      <c r="A32" s="0" t="s">
        <v>363</v>
      </c>
      <c r="E32" s="4" t="n">
        <v>22</v>
      </c>
      <c r="F32" s="4" t="n">
        <v>20</v>
      </c>
      <c r="G32" s="4" t="n">
        <v>18</v>
      </c>
      <c r="H32" s="4" t="n">
        <v>16</v>
      </c>
      <c r="I32" s="4" t="n">
        <v>15</v>
      </c>
      <c r="J32" s="4" t="n">
        <v>14</v>
      </c>
      <c r="K32" s="4" t="n">
        <v>13</v>
      </c>
      <c r="L32" s="4" t="n">
        <v>12</v>
      </c>
      <c r="M32" s="4" t="n">
        <v>11</v>
      </c>
      <c r="N32" s="4" t="n">
        <v>10</v>
      </c>
    </row>
    <row r="33" customFormat="false" ht="15" hidden="false" customHeight="false" outlineLevel="0" collapsed="false">
      <c r="A33" s="0" t="s">
        <v>364</v>
      </c>
      <c r="E33" s="4" t="n">
        <v>22</v>
      </c>
      <c r="F33" s="4" t="n">
        <v>20</v>
      </c>
      <c r="G33" s="4" t="n">
        <v>18</v>
      </c>
      <c r="H33" s="4" t="n">
        <v>16</v>
      </c>
      <c r="I33" s="4" t="n">
        <v>15</v>
      </c>
      <c r="J33" s="4" t="n">
        <v>14</v>
      </c>
      <c r="K33" s="4" t="n">
        <v>13</v>
      </c>
      <c r="L33" s="4" t="n">
        <v>12</v>
      </c>
      <c r="M33" s="4" t="n">
        <v>11</v>
      </c>
      <c r="N33" s="4" t="n">
        <v>10</v>
      </c>
    </row>
    <row r="34" customFormat="false" ht="15" hidden="false" customHeight="false" outlineLevel="0" collapsed="false">
      <c r="A34" s="0" t="s">
        <v>365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13.13</v>
      </c>
    </row>
    <row r="35" customFormat="false" ht="15" hidden="false" customHeight="false" outlineLevel="0" collapsed="false">
      <c r="A35" s="0" t="s">
        <v>366</v>
      </c>
      <c r="B35" s="4" t="n">
        <v>16</v>
      </c>
    </row>
    <row r="36" customFormat="false" ht="15" hidden="false" customHeight="false" outlineLevel="0" collapsed="false">
      <c r="A36" s="0" t="s">
        <v>367</v>
      </c>
      <c r="B36" s="4" t="n">
        <v>2.5</v>
      </c>
    </row>
    <row r="37" customFormat="false" ht="15" hidden="false" customHeight="false" outlineLevel="0" collapsed="false">
      <c r="A37" s="0" t="s">
        <v>368</v>
      </c>
      <c r="B37" s="4" t="n">
        <v>15</v>
      </c>
    </row>
    <row r="38" customFormat="false" ht="15" hidden="false" customHeight="false" outlineLevel="0" collapsed="false">
      <c r="A38" s="0" t="s">
        <v>369</v>
      </c>
      <c r="B38" s="4" t="n">
        <v>0.5</v>
      </c>
    </row>
    <row r="43" customFormat="false" ht="15" hidden="false" customHeight="false" outlineLevel="0" collapsed="false">
      <c r="A43" s="1" t="s">
        <v>371</v>
      </c>
    </row>
    <row r="44" customFormat="false" ht="15" hidden="false" customHeight="false" outlineLevel="0" collapsed="false">
      <c r="A44" s="0" t="s">
        <v>359</v>
      </c>
      <c r="E44" s="4" t="n">
        <v>15</v>
      </c>
      <c r="F44" s="4" t="n">
        <v>22</v>
      </c>
      <c r="G44" s="4" t="n">
        <v>28</v>
      </c>
      <c r="H44" s="4" t="n">
        <v>26</v>
      </c>
      <c r="I44" s="4" t="n">
        <v>22</v>
      </c>
      <c r="J44" s="4" t="n">
        <v>18</v>
      </c>
      <c r="K44" s="4" t="n">
        <v>15</v>
      </c>
      <c r="L44" s="4" t="n">
        <v>12</v>
      </c>
      <c r="M44" s="4" t="n">
        <v>10</v>
      </c>
      <c r="N44" s="4" t="n">
        <v>8</v>
      </c>
    </row>
    <row r="45" customFormat="false" ht="15" hidden="false" customHeight="false" outlineLevel="0" collapsed="false">
      <c r="A45" s="0" t="s">
        <v>360</v>
      </c>
      <c r="E45" s="4" t="n">
        <v>1.65</v>
      </c>
      <c r="F45" s="4" t="n">
        <v>1.6</v>
      </c>
      <c r="G45" s="4" t="n">
        <v>1.7</v>
      </c>
      <c r="H45" s="4" t="n">
        <v>1.85</v>
      </c>
      <c r="I45" s="4" t="n">
        <v>2</v>
      </c>
      <c r="J45" s="4" t="n">
        <v>2.2</v>
      </c>
      <c r="K45" s="4" t="n">
        <v>2.4</v>
      </c>
      <c r="L45" s="4" t="n">
        <v>2.6</v>
      </c>
      <c r="M45" s="4" t="n">
        <v>2.8</v>
      </c>
      <c r="N45" s="4" t="n">
        <v>3</v>
      </c>
    </row>
    <row r="46" customFormat="false" ht="15" hidden="false" customHeight="false" outlineLevel="0" collapsed="false">
      <c r="A46" s="0" t="s">
        <v>361</v>
      </c>
      <c r="E46" s="4" t="n">
        <v>10</v>
      </c>
      <c r="F46" s="4" t="n">
        <v>12</v>
      </c>
      <c r="G46" s="4" t="n">
        <v>16</v>
      </c>
      <c r="H46" s="4" t="n">
        <v>20</v>
      </c>
      <c r="I46" s="4" t="n">
        <v>24</v>
      </c>
      <c r="J46" s="4" t="n">
        <v>27</v>
      </c>
      <c r="K46" s="4" t="n">
        <v>29</v>
      </c>
      <c r="L46" s="4" t="n">
        <v>30</v>
      </c>
      <c r="M46" s="4" t="n">
        <v>31</v>
      </c>
      <c r="N46" s="4" t="n">
        <v>32</v>
      </c>
    </row>
    <row r="47" customFormat="false" ht="15" hidden="false" customHeight="false" outlineLevel="0" collapsed="false">
      <c r="A47" s="0" t="s">
        <v>362</v>
      </c>
      <c r="E47" s="4" t="n">
        <v>4.28</v>
      </c>
      <c r="F47" s="4" t="n">
        <v>4.13</v>
      </c>
      <c r="G47" s="4" t="n">
        <v>3.98</v>
      </c>
      <c r="H47" s="4" t="n">
        <v>3.82</v>
      </c>
      <c r="I47" s="4" t="n">
        <v>3.67</v>
      </c>
      <c r="J47" s="4" t="n">
        <v>3.52</v>
      </c>
      <c r="K47" s="4" t="n">
        <v>3.37</v>
      </c>
      <c r="L47" s="4" t="n">
        <v>3.21</v>
      </c>
      <c r="M47" s="4" t="n">
        <v>3.06</v>
      </c>
      <c r="N47" s="4" t="n">
        <v>2.91</v>
      </c>
    </row>
    <row r="48" customFormat="false" ht="15" hidden="false" customHeight="false" outlineLevel="0" collapsed="false">
      <c r="A48" s="0" t="s">
        <v>363</v>
      </c>
      <c r="E48" s="4" t="n">
        <v>22</v>
      </c>
      <c r="F48" s="4" t="n">
        <v>20</v>
      </c>
      <c r="G48" s="4" t="n">
        <v>18</v>
      </c>
      <c r="H48" s="4" t="n">
        <v>16</v>
      </c>
      <c r="I48" s="4" t="n">
        <v>14</v>
      </c>
      <c r="J48" s="4" t="n">
        <v>13</v>
      </c>
      <c r="K48" s="4" t="n">
        <v>12</v>
      </c>
      <c r="L48" s="4" t="n">
        <v>11</v>
      </c>
      <c r="M48" s="4" t="n">
        <v>10</v>
      </c>
      <c r="N48" s="4" t="n">
        <v>10</v>
      </c>
    </row>
    <row r="49" customFormat="false" ht="15" hidden="false" customHeight="false" outlineLevel="0" collapsed="false">
      <c r="A49" s="0" t="s">
        <v>364</v>
      </c>
      <c r="E49" s="4" t="n">
        <v>22</v>
      </c>
      <c r="F49" s="4" t="n">
        <v>20</v>
      </c>
      <c r="G49" s="4" t="n">
        <v>18</v>
      </c>
      <c r="H49" s="4" t="n">
        <v>16</v>
      </c>
      <c r="I49" s="4" t="n">
        <v>14</v>
      </c>
      <c r="J49" s="4" t="n">
        <v>13</v>
      </c>
      <c r="K49" s="4" t="n">
        <v>12</v>
      </c>
      <c r="L49" s="4" t="n">
        <v>11</v>
      </c>
      <c r="M49" s="4" t="n">
        <v>10</v>
      </c>
      <c r="N49" s="4" t="n">
        <v>10</v>
      </c>
    </row>
    <row r="50" customFormat="false" ht="15" hidden="false" customHeight="false" outlineLevel="0" collapsed="false">
      <c r="A50" s="0" t="s">
        <v>365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0.63</v>
      </c>
      <c r="L50" s="4" t="n">
        <v>28</v>
      </c>
      <c r="M50" s="4" t="n">
        <v>28</v>
      </c>
      <c r="N50" s="4" t="n">
        <v>28</v>
      </c>
    </row>
    <row r="51" customFormat="false" ht="15" hidden="false" customHeight="false" outlineLevel="0" collapsed="false">
      <c r="A51" s="0" t="s">
        <v>366</v>
      </c>
      <c r="B51" s="4" t="n">
        <v>16</v>
      </c>
    </row>
    <row r="52" customFormat="false" ht="15" hidden="false" customHeight="false" outlineLevel="0" collapsed="false">
      <c r="A52" s="0" t="s">
        <v>367</v>
      </c>
      <c r="B52" s="4" t="n">
        <v>3</v>
      </c>
    </row>
    <row r="53" customFormat="false" ht="15" hidden="false" customHeight="false" outlineLevel="0" collapsed="false">
      <c r="A53" s="0" t="s">
        <v>368</v>
      </c>
      <c r="B53" s="4" t="n">
        <v>15</v>
      </c>
    </row>
    <row r="54" customFormat="false" ht="15" hidden="false" customHeight="false" outlineLevel="0" collapsed="false">
      <c r="A54" s="0" t="s">
        <v>369</v>
      </c>
      <c r="B54" s="4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11" min="2" style="0" width="10"/>
  </cols>
  <sheetData>
    <row r="1" customFormat="false" ht="15" hidden="false" customHeight="false" outlineLevel="0" collapsed="false">
      <c r="A1" s="1" t="s">
        <v>372</v>
      </c>
    </row>
    <row r="2" customFormat="false" ht="15" hidden="false" customHeight="false" outlineLevel="0" collapsed="false">
      <c r="B2" s="1" t="s">
        <v>343</v>
      </c>
      <c r="C2" s="1" t="s">
        <v>344</v>
      </c>
      <c r="D2" s="1" t="s">
        <v>345</v>
      </c>
      <c r="E2" s="1" t="s">
        <v>346</v>
      </c>
      <c r="F2" s="1" t="s">
        <v>347</v>
      </c>
      <c r="G2" s="1" t="s">
        <v>348</v>
      </c>
      <c r="H2" s="1" t="s">
        <v>349</v>
      </c>
      <c r="I2" s="1" t="s">
        <v>350</v>
      </c>
      <c r="J2" s="1" t="s">
        <v>351</v>
      </c>
      <c r="K2" s="1" t="s">
        <v>352</v>
      </c>
    </row>
    <row r="3" customFormat="false" ht="15" hidden="false" customHeight="false" outlineLevel="0" collapsed="false">
      <c r="A3" s="0" t="s">
        <v>373</v>
      </c>
      <c r="B3" s="0" t="n">
        <f aca="false">Assumptions!E12</f>
        <v>6</v>
      </c>
      <c r="C3" s="0" t="n">
        <f aca="false">Assumptions!F12</f>
        <v>5</v>
      </c>
      <c r="D3" s="0" t="n">
        <f aca="false">Assumptions!G12</f>
        <v>4</v>
      </c>
      <c r="E3" s="0" t="n">
        <f aca="false">Assumptions!H12</f>
        <v>3</v>
      </c>
      <c r="F3" s="0" t="n">
        <f aca="false">Assumptions!I12</f>
        <v>3</v>
      </c>
      <c r="G3" s="0" t="n">
        <f aca="false">Assumptions!J12</f>
        <v>2.5</v>
      </c>
      <c r="H3" s="0" t="n">
        <f aca="false">Assumptions!K12</f>
        <v>2.5</v>
      </c>
      <c r="I3" s="0" t="n">
        <f aca="false">Assumptions!L12</f>
        <v>2</v>
      </c>
      <c r="J3" s="0" t="n">
        <f aca="false">Assumptions!M12</f>
        <v>2</v>
      </c>
      <c r="K3" s="0" t="n">
        <f aca="false">Assumptions!N12</f>
        <v>2</v>
      </c>
    </row>
    <row r="4" customFormat="false" ht="15" hidden="false" customHeight="false" outlineLevel="0" collapsed="false">
      <c r="A4" s="0" t="s">
        <v>374</v>
      </c>
      <c r="B4" s="0" t="n">
        <f aca="false">Assumptions!$B$6*(1+B3/100)</f>
        <v>7.88004</v>
      </c>
      <c r="C4" s="0" t="n">
        <f aca="false">B4*(1+C3/100)</f>
        <v>8.274042</v>
      </c>
      <c r="D4" s="0" t="n">
        <f aca="false">C4*(1+D3/100)</f>
        <v>8.60500368</v>
      </c>
      <c r="E4" s="0" t="n">
        <f aca="false">D4*(1+E3/100)</f>
        <v>8.8631537904</v>
      </c>
      <c r="F4" s="0" t="n">
        <f aca="false">E4*(1+F3/100)</f>
        <v>9.129048404112</v>
      </c>
      <c r="G4" s="0" t="n">
        <f aca="false">F4*(1+G3/100)</f>
        <v>9.3572746142148</v>
      </c>
      <c r="H4" s="0" t="n">
        <f aca="false">G4*(1+H3/100)</f>
        <v>9.59120647957017</v>
      </c>
      <c r="I4" s="0" t="n">
        <f aca="false">H4*(1+I3/100)</f>
        <v>9.78303060916157</v>
      </c>
      <c r="J4" s="0" t="n">
        <f aca="false">I4*(1+J3/100)</f>
        <v>9.9786912213448</v>
      </c>
      <c r="K4" s="0" t="n">
        <f aca="false">J4*(1+K3/100)</f>
        <v>10.1782650457717</v>
      </c>
    </row>
    <row r="5" customFormat="false" ht="15" hidden="false" customHeight="false" outlineLevel="0" collapsed="false">
      <c r="A5" s="0" t="s">
        <v>375</v>
      </c>
      <c r="B5" s="0" t="n">
        <f aca="false">Assumptions!E13</f>
        <v>1.4</v>
      </c>
      <c r="C5" s="0" t="n">
        <f aca="false">Assumptions!F13</f>
        <v>1.2</v>
      </c>
      <c r="D5" s="0" t="n">
        <f aca="false">Assumptions!G13</f>
        <v>1.1</v>
      </c>
      <c r="E5" s="0" t="n">
        <f aca="false">Assumptions!H13</f>
        <v>1.05</v>
      </c>
      <c r="F5" s="0" t="n">
        <f aca="false">Assumptions!I13</f>
        <v>1</v>
      </c>
      <c r="G5" s="0" t="n">
        <f aca="false">Assumptions!J13</f>
        <v>1</v>
      </c>
      <c r="H5" s="0" t="n">
        <f aca="false">Assumptions!K13</f>
        <v>1</v>
      </c>
      <c r="I5" s="0" t="n">
        <f aca="false">Assumptions!L13</f>
        <v>1</v>
      </c>
      <c r="J5" s="0" t="n">
        <f aca="false">Assumptions!M13</f>
        <v>1</v>
      </c>
      <c r="K5" s="0" t="n">
        <f aca="false">Assumptions!N13</f>
        <v>1</v>
      </c>
    </row>
    <row r="6" customFormat="false" ht="15" hidden="false" customHeight="false" outlineLevel="0" collapsed="false">
      <c r="A6" s="1" t="s">
        <v>376</v>
      </c>
      <c r="B6" s="0" t="n">
        <f aca="false">B4+B5</f>
        <v>9.28004</v>
      </c>
      <c r="C6" s="0" t="n">
        <f aca="false">C4+C5</f>
        <v>9.474042</v>
      </c>
      <c r="D6" s="0" t="n">
        <f aca="false">D4+D5</f>
        <v>9.70500368</v>
      </c>
      <c r="E6" s="0" t="n">
        <f aca="false">E4+E5</f>
        <v>9.9131537904</v>
      </c>
      <c r="F6" s="0" t="n">
        <f aca="false">F4+F5</f>
        <v>10.129048404112</v>
      </c>
      <c r="G6" s="0" t="n">
        <f aca="false">G4+G5</f>
        <v>10.3572746142148</v>
      </c>
      <c r="H6" s="0" t="n">
        <f aca="false">H4+H5</f>
        <v>10.5912064795702</v>
      </c>
      <c r="I6" s="0" t="n">
        <f aca="false">I4+I5</f>
        <v>10.7830306091616</v>
      </c>
      <c r="J6" s="0" t="n">
        <f aca="false">J4+J5</f>
        <v>10.9786912213448</v>
      </c>
      <c r="K6" s="0" t="n">
        <f aca="false">K4+K5</f>
        <v>11.1782650457717</v>
      </c>
    </row>
    <row r="7" customFormat="false" ht="15" hidden="false" customHeight="false" outlineLevel="0" collapsed="false">
      <c r="A7" s="0" t="s">
        <v>377</v>
      </c>
      <c r="B7" s="0" t="n">
        <f aca="false">Assumptions!E14</f>
        <v>4</v>
      </c>
      <c r="C7" s="0" t="n">
        <f aca="false">Assumptions!F14</f>
        <v>2</v>
      </c>
      <c r="D7" s="0" t="n">
        <f aca="false">Assumptions!G14</f>
        <v>5</v>
      </c>
      <c r="E7" s="0" t="n">
        <f aca="false">Assumptions!H14</f>
        <v>9</v>
      </c>
      <c r="F7" s="0" t="n">
        <f aca="false">Assumptions!I14</f>
        <v>11</v>
      </c>
      <c r="G7" s="0" t="n">
        <f aca="false">Assumptions!J14</f>
        <v>13</v>
      </c>
      <c r="H7" s="0" t="n">
        <f aca="false">Assumptions!K14</f>
        <v>14</v>
      </c>
      <c r="I7" s="0" t="n">
        <f aca="false">Assumptions!L14</f>
        <v>15</v>
      </c>
      <c r="J7" s="0" t="n">
        <f aca="false">Assumptions!M14</f>
        <v>15.5</v>
      </c>
      <c r="K7" s="0" t="n">
        <f aca="false">Assumptions!N14</f>
        <v>16</v>
      </c>
    </row>
    <row r="8" customFormat="false" ht="15" hidden="false" customHeight="false" outlineLevel="0" collapsed="false">
      <c r="A8" s="0" t="s">
        <v>378</v>
      </c>
      <c r="B8" s="0" t="n">
        <f aca="false">B6*B7/100</f>
        <v>0.3712016</v>
      </c>
      <c r="C8" s="0" t="n">
        <f aca="false">C6*C7/100</f>
        <v>0.18948084</v>
      </c>
      <c r="D8" s="0" t="n">
        <f aca="false">D6*D7/100</f>
        <v>0.485250184</v>
      </c>
      <c r="E8" s="0" t="n">
        <f aca="false">E6*E7/100</f>
        <v>0.892183841136</v>
      </c>
      <c r="F8" s="0" t="n">
        <f aca="false">F6*F7/100</f>
        <v>1.11419532445232</v>
      </c>
      <c r="G8" s="0" t="n">
        <f aca="false">G6*G7/100</f>
        <v>1.34644569984792</v>
      </c>
      <c r="H8" s="0" t="n">
        <f aca="false">H6*H7/100</f>
        <v>1.48276890713982</v>
      </c>
      <c r="I8" s="0" t="n">
        <f aca="false">I6*I7/100</f>
        <v>1.61745459137424</v>
      </c>
      <c r="J8" s="0" t="n">
        <f aca="false">J6*J7/100</f>
        <v>1.70169713930844</v>
      </c>
      <c r="K8" s="0" t="n">
        <f aca="false">K6*K7/100</f>
        <v>1.78852240732347</v>
      </c>
    </row>
    <row r="9" customFormat="false" ht="15" hidden="false" customHeight="false" outlineLevel="0" collapsed="false">
      <c r="A9" s="0" t="s">
        <v>379</v>
      </c>
      <c r="B9" s="0" t="n">
        <f aca="false">Assumptions!E15</f>
        <v>4.59</v>
      </c>
      <c r="C9" s="0" t="n">
        <f aca="false">Assumptions!F15</f>
        <v>4.59</v>
      </c>
      <c r="D9" s="0" t="n">
        <f aca="false">Assumptions!G15</f>
        <v>4.44</v>
      </c>
      <c r="E9" s="0" t="n">
        <f aca="false">Assumptions!H15</f>
        <v>4.28</v>
      </c>
      <c r="F9" s="0" t="n">
        <f aca="false">Assumptions!I15</f>
        <v>4.13</v>
      </c>
      <c r="G9" s="0" t="n">
        <f aca="false">Assumptions!J15</f>
        <v>3.98</v>
      </c>
      <c r="H9" s="0" t="n">
        <f aca="false">Assumptions!K15</f>
        <v>3.82</v>
      </c>
      <c r="I9" s="0" t="n">
        <f aca="false">Assumptions!L15</f>
        <v>3.67</v>
      </c>
      <c r="J9" s="0" t="n">
        <f aca="false">Assumptions!M15</f>
        <v>3.67</v>
      </c>
      <c r="K9" s="0" t="n">
        <f aca="false">Assumptions!N15</f>
        <v>3.67</v>
      </c>
    </row>
    <row r="10" customFormat="false" ht="15" hidden="false" customHeight="false" outlineLevel="0" collapsed="false">
      <c r="A10" s="0" t="s">
        <v>380</v>
      </c>
      <c r="B10" s="0" t="n">
        <f aca="false">B6*B9/100</f>
        <v>0.425953836</v>
      </c>
      <c r="C10" s="0" t="n">
        <f aca="false">C6*C9/100</f>
        <v>0.4348585278</v>
      </c>
      <c r="D10" s="0" t="n">
        <f aca="false">D6*D9/100</f>
        <v>0.430902163392</v>
      </c>
      <c r="E10" s="0" t="n">
        <f aca="false">E6*E9/100</f>
        <v>0.42428298222912</v>
      </c>
      <c r="F10" s="0" t="n">
        <f aca="false">F6*F9/100</f>
        <v>0.418329699089826</v>
      </c>
      <c r="G10" s="0" t="n">
        <f aca="false">G6*G9/100</f>
        <v>0.412219529645749</v>
      </c>
      <c r="H10" s="0" t="n">
        <f aca="false">H6*H9/100</f>
        <v>0.40458408751958</v>
      </c>
      <c r="I10" s="0" t="n">
        <f aca="false">I6*I9/100</f>
        <v>0.39573722335623</v>
      </c>
      <c r="J10" s="0" t="n">
        <f aca="false">J6*J9/100</f>
        <v>0.402917967823354</v>
      </c>
      <c r="K10" s="0" t="n">
        <f aca="false">K6*K9/100</f>
        <v>0.410242327179821</v>
      </c>
    </row>
    <row r="11" customFormat="false" ht="15" hidden="false" customHeight="false" outlineLevel="0" collapsed="false">
      <c r="A11" s="0" t="s">
        <v>381</v>
      </c>
      <c r="B11" s="0" t="n">
        <f aca="false">Assumptions!E17</f>
        <v>20</v>
      </c>
      <c r="C11" s="0" t="n">
        <f aca="false">Assumptions!F17</f>
        <v>16</v>
      </c>
      <c r="D11" s="0" t="n">
        <f aca="false">Assumptions!G17</f>
        <v>14</v>
      </c>
      <c r="E11" s="0" t="n">
        <f aca="false">Assumptions!H17</f>
        <v>12</v>
      </c>
      <c r="F11" s="0" t="n">
        <f aca="false">Assumptions!I17</f>
        <v>11</v>
      </c>
      <c r="G11" s="0" t="n">
        <f aca="false">Assumptions!J17</f>
        <v>10</v>
      </c>
      <c r="H11" s="0" t="n">
        <f aca="false">Assumptions!K17</f>
        <v>9.5</v>
      </c>
      <c r="I11" s="0" t="n">
        <f aca="false">Assumptions!L17</f>
        <v>9</v>
      </c>
      <c r="J11" s="0" t="n">
        <f aca="false">Assumptions!M17</f>
        <v>9</v>
      </c>
      <c r="K11" s="0" t="n">
        <f aca="false">Assumptions!N17</f>
        <v>9</v>
      </c>
    </row>
    <row r="12" customFormat="false" ht="15" hidden="false" customHeight="false" outlineLevel="0" collapsed="false">
      <c r="A12" s="0" t="s">
        <v>382</v>
      </c>
      <c r="B12" s="0" t="n">
        <f aca="false">B6*B11/100</f>
        <v>1.856008</v>
      </c>
      <c r="C12" s="0" t="n">
        <f aca="false">C6*C11/100</f>
        <v>1.51584672</v>
      </c>
      <c r="D12" s="0" t="n">
        <f aca="false">D6*D11/100</f>
        <v>1.3587005152</v>
      </c>
      <c r="E12" s="0" t="n">
        <f aca="false">E6*E11/100</f>
        <v>1.189578454848</v>
      </c>
      <c r="F12" s="0" t="n">
        <f aca="false">F6*F11/100</f>
        <v>1.11419532445232</v>
      </c>
      <c r="G12" s="0" t="n">
        <f aca="false">G6*G11/100</f>
        <v>1.03572746142148</v>
      </c>
      <c r="H12" s="0" t="n">
        <f aca="false">H6*H11/100</f>
        <v>1.00616461555917</v>
      </c>
      <c r="I12" s="0" t="n">
        <f aca="false">I6*I11/100</f>
        <v>0.970472754824541</v>
      </c>
      <c r="J12" s="0" t="n">
        <f aca="false">J6*J11/100</f>
        <v>0.988082209921032</v>
      </c>
      <c r="K12" s="0" t="n">
        <f aca="false">K6*K11/100</f>
        <v>1.00604385411945</v>
      </c>
    </row>
    <row r="13" customFormat="false" ht="15" hidden="false" customHeight="false" outlineLevel="0" collapsed="false">
      <c r="A13" s="1" t="s">
        <v>383</v>
      </c>
      <c r="B13" s="0" t="n">
        <f aca="false">B8-B10-B12</f>
        <v>-1.910760236</v>
      </c>
      <c r="C13" s="0" t="n">
        <f aca="false">C8-C10-C12</f>
        <v>-1.7612244078</v>
      </c>
      <c r="D13" s="0" t="n">
        <f aca="false">D8-D10-D12</f>
        <v>-1.304352494592</v>
      </c>
      <c r="E13" s="0" t="n">
        <f aca="false">E8-E10-E12</f>
        <v>-0.72167759594112</v>
      </c>
      <c r="F13" s="0" t="n">
        <f aca="false">F8-F10-F12</f>
        <v>-0.418329699089826</v>
      </c>
      <c r="G13" s="0" t="n">
        <f aca="false">G8-G10-G12</f>
        <v>-0.101501291219305</v>
      </c>
      <c r="H13" s="0" t="n">
        <f aca="false">H8-H10-H12</f>
        <v>0.0720202040610776</v>
      </c>
      <c r="I13" s="0" t="n">
        <f aca="false">I8-I10-I12</f>
        <v>0.251244613193464</v>
      </c>
      <c r="J13" s="0" t="n">
        <f aca="false">J8-J10-J12</f>
        <v>0.310696961564058</v>
      </c>
      <c r="K13" s="0" t="n">
        <f aca="false">K8-K10-K12</f>
        <v>0.372236226024197</v>
      </c>
    </row>
    <row r="14" customFormat="false" ht="15" hidden="false" customHeight="false" outlineLevel="0" collapsed="false">
      <c r="A14" s="0" t="s">
        <v>384</v>
      </c>
      <c r="B14" s="0" t="n">
        <f aca="false">Assumptions!E16</f>
        <v>20</v>
      </c>
      <c r="C14" s="0" t="n">
        <f aca="false">Assumptions!F16</f>
        <v>16</v>
      </c>
      <c r="D14" s="0" t="n">
        <f aca="false">Assumptions!G16</f>
        <v>14</v>
      </c>
      <c r="E14" s="0" t="n">
        <f aca="false">Assumptions!H16</f>
        <v>12</v>
      </c>
      <c r="F14" s="0" t="n">
        <f aca="false">Assumptions!I16</f>
        <v>11</v>
      </c>
      <c r="G14" s="0" t="n">
        <f aca="false">Assumptions!J16</f>
        <v>10</v>
      </c>
      <c r="H14" s="0" t="n">
        <f aca="false">Assumptions!K16</f>
        <v>9.5</v>
      </c>
      <c r="I14" s="0" t="n">
        <f aca="false">Assumptions!L16</f>
        <v>9</v>
      </c>
      <c r="J14" s="0" t="n">
        <f aca="false">Assumptions!M16</f>
        <v>9</v>
      </c>
      <c r="K14" s="0" t="n">
        <f aca="false">Assumptions!N16</f>
        <v>9</v>
      </c>
    </row>
    <row r="15" customFormat="false" ht="15" hidden="false" customHeight="false" outlineLevel="0" collapsed="false">
      <c r="A15" s="0" t="s">
        <v>385</v>
      </c>
      <c r="B15" s="0" t="n">
        <f aca="false">B6*B14/100</f>
        <v>1.856008</v>
      </c>
      <c r="C15" s="0" t="n">
        <f aca="false">C6*C14/100</f>
        <v>1.51584672</v>
      </c>
      <c r="D15" s="0" t="n">
        <f aca="false">D6*D14/100</f>
        <v>1.3587005152</v>
      </c>
      <c r="E15" s="0" t="n">
        <f aca="false">E6*E14/100</f>
        <v>1.189578454848</v>
      </c>
      <c r="F15" s="0" t="n">
        <f aca="false">F6*F14/100</f>
        <v>1.11419532445232</v>
      </c>
      <c r="G15" s="0" t="n">
        <f aca="false">G6*G14/100</f>
        <v>1.03572746142148</v>
      </c>
      <c r="H15" s="0" t="n">
        <f aca="false">H6*H14/100</f>
        <v>1.00616461555917</v>
      </c>
      <c r="I15" s="0" t="n">
        <f aca="false">I6*I14/100</f>
        <v>0.970472754824541</v>
      </c>
      <c r="J15" s="0" t="n">
        <f aca="false">J6*J14/100</f>
        <v>0.988082209921032</v>
      </c>
      <c r="K15" s="0" t="n">
        <f aca="false">K6*K14/100</f>
        <v>1.00604385411945</v>
      </c>
    </row>
    <row r="16" customFormat="false" ht="15" hidden="false" customHeight="false" outlineLevel="0" collapsed="false">
      <c r="A16" s="0" t="s">
        <v>386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</row>
    <row r="17" customFormat="false" ht="15" hidden="false" customHeight="false" outlineLevel="0" collapsed="false">
      <c r="A17" s="0" t="s">
        <v>387</v>
      </c>
      <c r="B17" s="0" t="n">
        <f aca="false">Assumptions!$B$7</f>
        <v>8.258</v>
      </c>
      <c r="C17" s="0" t="n">
        <f aca="false">MAX(0,B17-MAX(B13,0))</f>
        <v>8.258</v>
      </c>
      <c r="D17" s="0" t="n">
        <f aca="false">MAX(0,C17-MAX(C13,0))</f>
        <v>8.258</v>
      </c>
      <c r="E17" s="0" t="n">
        <f aca="false">MAX(0,D17-MAX(D13,0))</f>
        <v>8.258</v>
      </c>
      <c r="F17" s="0" t="n">
        <f aca="false">MAX(0,E17-MAX(E13,0))</f>
        <v>8.258</v>
      </c>
      <c r="G17" s="0" t="n">
        <f aca="false">MAX(0,F17-MAX(F13,0))</f>
        <v>8.258</v>
      </c>
      <c r="H17" s="0" t="n">
        <f aca="false">MAX(0,G17-MAX(G13,0))</f>
        <v>8.258</v>
      </c>
      <c r="I17" s="0" t="n">
        <f aca="false">MAX(0,H17-MAX(H13,0))</f>
        <v>8.18597979593892</v>
      </c>
      <c r="J17" s="0" t="n">
        <f aca="false">MAX(0,I17-MAX(I13,0))</f>
        <v>7.93473518274546</v>
      </c>
      <c r="K17" s="0" t="n">
        <f aca="false">MAX(0,J17-MAX(J13,0))</f>
        <v>7.6240382211814</v>
      </c>
    </row>
    <row r="18" customFormat="false" ht="15" hidden="false" customHeight="false" outlineLevel="0" collapsed="false">
      <c r="A18" s="0" t="s">
        <v>388</v>
      </c>
      <c r="B18" s="0" t="n">
        <f aca="false">MAX(0,MAX(B13,0)-B17)*Assumptions!$B$8/100</f>
        <v>0</v>
      </c>
      <c r="C18" s="0" t="n">
        <f aca="false">MAX(0,MAX(C13,0)-C17)*Assumptions!$B$8/100</f>
        <v>0</v>
      </c>
      <c r="D18" s="0" t="n">
        <f aca="false">MAX(0,MAX(D13,0)-D17)*Assumptions!$B$8/100</f>
        <v>0</v>
      </c>
      <c r="E18" s="0" t="n">
        <f aca="false">MAX(0,MAX(E13,0)-E17)*Assumptions!$B$8/100</f>
        <v>0</v>
      </c>
      <c r="F18" s="0" t="n">
        <f aca="false">MAX(0,MAX(F13,0)-F17)*Assumptions!$B$8/100</f>
        <v>0</v>
      </c>
      <c r="G18" s="0" t="n">
        <f aca="false">MAX(0,MAX(G13,0)-G17)*Assumptions!$B$8/100</f>
        <v>0</v>
      </c>
      <c r="H18" s="0" t="n">
        <f aca="false">MAX(0,MAX(H13,0)-H17)*Assumptions!$B$8/100</f>
        <v>0</v>
      </c>
      <c r="I18" s="0" t="n">
        <f aca="false">MAX(0,MAX(I13,0)-I17)*Assumptions!$B$8/100</f>
        <v>0</v>
      </c>
      <c r="J18" s="0" t="n">
        <f aca="false">MAX(0,MAX(J13,0)-J17)*Assumptions!$B$8/100</f>
        <v>0</v>
      </c>
      <c r="K18" s="0" t="n">
        <f aca="false">MAX(0,MAX(K13,0)-K17)*Assumptions!$B$8/100</f>
        <v>0</v>
      </c>
    </row>
    <row r="19" customFormat="false" ht="15" hidden="false" customHeight="false" outlineLevel="0" collapsed="false">
      <c r="A19" s="1" t="s">
        <v>389</v>
      </c>
      <c r="B19" s="0" t="n">
        <f aca="false">B13-B18+B12-B15+B16</f>
        <v>-1.910760236</v>
      </c>
      <c r="C19" s="0" t="n">
        <f aca="false">C13-C18+C12-C15+C16</f>
        <v>-1.7612244078</v>
      </c>
      <c r="D19" s="0" t="n">
        <f aca="false">D13-D18+D12-D15+D16</f>
        <v>-1.304352494592</v>
      </c>
      <c r="E19" s="0" t="n">
        <f aca="false">E13-E18+E12-E15+E16</f>
        <v>-0.72167759594112</v>
      </c>
      <c r="F19" s="0" t="n">
        <f aca="false">F13-F18+F12-F15+F16</f>
        <v>-0.418329699089826</v>
      </c>
      <c r="G19" s="0" t="n">
        <f aca="false">G13-G18+G12-G15+G16</f>
        <v>-0.101501291219305</v>
      </c>
      <c r="H19" s="0" t="n">
        <f aca="false">H13-H18+H12-H15+H16</f>
        <v>0.0720202040610776</v>
      </c>
      <c r="I19" s="0" t="n">
        <f aca="false">I13-I18+I12-I15+I16</f>
        <v>0.251244613193464</v>
      </c>
      <c r="J19" s="0" t="n">
        <f aca="false">J13-J18+J12-J15+J16</f>
        <v>0.310696961564058</v>
      </c>
      <c r="K19" s="0" t="n">
        <f aca="false">K13-K18+K12-K15+K16</f>
        <v>0.372236226024197</v>
      </c>
    </row>
    <row r="20" customFormat="false" ht="15" hidden="false" customHeight="false" outlineLevel="0" collapsed="false">
      <c r="A20" s="0" t="s">
        <v>390</v>
      </c>
      <c r="B20" s="0" t="n">
        <f aca="false">Assumptions!$B$19</f>
        <v>16</v>
      </c>
    </row>
    <row r="21" customFormat="false" ht="15" hidden="false" customHeight="false" outlineLevel="0" collapsed="false">
      <c r="A21" s="0" t="s">
        <v>391</v>
      </c>
      <c r="B21" s="0" t="n">
        <f aca="false">1/(1+$B$20/100)^1</f>
        <v>0.862068965517241</v>
      </c>
      <c r="C21" s="0" t="n">
        <f aca="false">1/(1+$B$20/100)^2</f>
        <v>0.743162901307967</v>
      </c>
      <c r="D21" s="0" t="n">
        <f aca="false">1/(1+$B$20/100)^3</f>
        <v>0.640657673541351</v>
      </c>
      <c r="E21" s="0" t="n">
        <f aca="false">1/(1+$B$20/100)^4</f>
        <v>0.552291097880475</v>
      </c>
      <c r="F21" s="0" t="n">
        <f aca="false">1/(1+$B$20/100)^5</f>
        <v>0.476113015414203</v>
      </c>
      <c r="G21" s="0" t="n">
        <f aca="false">1/(1+$B$20/100)^6</f>
        <v>0.410442254667416</v>
      </c>
      <c r="H21" s="0" t="n">
        <f aca="false">1/(1+$B$20/100)^7</f>
        <v>0.353829529885703</v>
      </c>
      <c r="I21" s="0" t="n">
        <f aca="false">1/(1+$B$20/100)^8</f>
        <v>0.30502545679802</v>
      </c>
      <c r="J21" s="0" t="n">
        <f aca="false">1/(1+$B$20/100)^9</f>
        <v>0.262952979998293</v>
      </c>
      <c r="K21" s="0" t="n">
        <f aca="false">1/(1+$B$20/100)^10</f>
        <v>0.226683603446805</v>
      </c>
    </row>
    <row r="22" customFormat="false" ht="15" hidden="false" customHeight="false" outlineLevel="0" collapsed="false">
      <c r="A22" s="0" t="s">
        <v>392</v>
      </c>
      <c r="B22" s="0" t="n">
        <f aca="false">B19*B21</f>
        <v>-1.6472071</v>
      </c>
      <c r="C22" s="0" t="n">
        <f aca="false">C19*C21</f>
        <v>-1.30887664075505</v>
      </c>
      <c r="D22" s="0" t="n">
        <f aca="false">D19*D21</f>
        <v>-0.835643434663168</v>
      </c>
      <c r="E22" s="0" t="n">
        <f aca="false">E19*E21</f>
        <v>-0.398576111778063</v>
      </c>
      <c r="F22" s="0" t="n">
        <f aca="false">F19*F21</f>
        <v>-0.199172214470973</v>
      </c>
      <c r="G22" s="0" t="n">
        <f aca="false">G19*G21</f>
        <v>-0.0416604188197056</v>
      </c>
      <c r="H22" s="0" t="n">
        <f aca="false">H19*H21</f>
        <v>0.0254828749452035</v>
      </c>
      <c r="I22" s="0" t="n">
        <f aca="false">I19*I21</f>
        <v>0.0766360029073784</v>
      </c>
      <c r="J22" s="0" t="n">
        <f aca="false">J19*J21</f>
        <v>0.0816986919196842</v>
      </c>
      <c r="K22" s="0" t="n">
        <f aca="false">K19*K21</f>
        <v>0.0843798490486043</v>
      </c>
    </row>
    <row r="25" customFormat="false" ht="15" hidden="false" customHeight="false" outlineLevel="0" collapsed="false">
      <c r="A25" s="1" t="s">
        <v>393</v>
      </c>
      <c r="B25" s="0" t="n">
        <f aca="false">SUM(B22:K22)</f>
        <v>-4.16293850166609</v>
      </c>
    </row>
    <row r="26" customFormat="false" ht="15" hidden="false" customHeight="false" outlineLevel="0" collapsed="false">
      <c r="A26" s="0" t="s">
        <v>394</v>
      </c>
      <c r="B26" s="0" t="n">
        <f aca="false">K13</f>
        <v>0.372236226024197</v>
      </c>
    </row>
    <row r="27" customFormat="false" ht="15" hidden="false" customHeight="false" outlineLevel="0" collapsed="false">
      <c r="A27" s="0" t="s">
        <v>395</v>
      </c>
      <c r="B27" s="0" t="n">
        <f aca="false">K18</f>
        <v>0</v>
      </c>
    </row>
    <row r="28" customFormat="false" ht="15" hidden="false" customHeight="false" outlineLevel="0" collapsed="false">
      <c r="A28" s="0" t="s">
        <v>396</v>
      </c>
      <c r="B28" s="0" t="n">
        <f aca="false">K19</f>
        <v>0.372236226024197</v>
      </c>
    </row>
    <row r="29" customFormat="false" ht="15" hidden="false" customHeight="false" outlineLevel="0" collapsed="false">
      <c r="A29" s="0" t="s">
        <v>397</v>
      </c>
      <c r="B29" s="0" t="n">
        <f aca="false">B28+B27-MAX(B26,0)*Assumptions!$B$8/100</f>
        <v>0.268010082737422</v>
      </c>
    </row>
    <row r="30" customFormat="false" ht="15" hidden="false" customHeight="false" outlineLevel="0" collapsed="false">
      <c r="A30" s="0" t="s">
        <v>398</v>
      </c>
      <c r="B30" s="0" t="n">
        <f aca="false">Assumptions!$B$20</f>
        <v>2</v>
      </c>
    </row>
    <row r="31" customFormat="false" ht="15" hidden="false" customHeight="false" outlineLevel="0" collapsed="false">
      <c r="A31" s="0" t="s">
        <v>399</v>
      </c>
      <c r="B31" s="0" t="n">
        <f aca="false">Assumptions!$B$21</f>
        <v>15</v>
      </c>
    </row>
    <row r="32" customFormat="false" ht="15" hidden="false" customHeight="false" outlineLevel="0" collapsed="false">
      <c r="A32" s="0" t="s">
        <v>400</v>
      </c>
      <c r="B32" s="0" t="n">
        <f aca="false">B29*(1+B30/100)/($B$20/100-B30/100)</f>
        <v>1.9526448885155</v>
      </c>
    </row>
    <row r="33" customFormat="false" ht="15" hidden="false" customHeight="false" outlineLevel="0" collapsed="false">
      <c r="A33" s="0" t="s">
        <v>401</v>
      </c>
      <c r="B33" s="0" t="n">
        <f aca="false">B29*B31</f>
        <v>4.02015124106133</v>
      </c>
    </row>
    <row r="34" customFormat="false" ht="15" hidden="false" customHeight="false" outlineLevel="0" collapsed="false">
      <c r="A34" s="1" t="s">
        <v>402</v>
      </c>
      <c r="B34" s="0" t="n">
        <f aca="false">MAX(0,MIN(B32,B33))</f>
        <v>1.9526448885155</v>
      </c>
    </row>
    <row r="35" customFormat="false" ht="15" hidden="false" customHeight="false" outlineLevel="0" collapsed="false">
      <c r="A35" s="0" t="s">
        <v>403</v>
      </c>
      <c r="B35" s="0" t="n">
        <f aca="false">B34*K21</f>
        <v>0.442632579580678</v>
      </c>
    </row>
    <row r="36" customFormat="false" ht="15" hidden="false" customHeight="false" outlineLevel="0" collapsed="false">
      <c r="A36" s="1" t="s">
        <v>404</v>
      </c>
      <c r="B36" s="0" t="n">
        <f aca="false">B25+B35</f>
        <v>-3.72030592208541</v>
      </c>
    </row>
    <row r="37" customFormat="false" ht="15" hidden="false" customHeight="false" outlineLevel="0" collapsed="false">
      <c r="A37" s="0" t="s">
        <v>405</v>
      </c>
      <c r="B37" s="0" t="n">
        <f aca="false">Assumptions!$B$4</f>
        <v>-4.521</v>
      </c>
    </row>
    <row r="38" customFormat="false" ht="15" hidden="false" customHeight="false" outlineLevel="0" collapsed="false">
      <c r="A38" s="1" t="s">
        <v>406</v>
      </c>
      <c r="B38" s="0" t="n">
        <f aca="false">B36-B37</f>
        <v>0.800694077914586</v>
      </c>
    </row>
    <row r="39" customFormat="false" ht="15" hidden="false" customHeight="false" outlineLevel="0" collapsed="false">
      <c r="A39" s="0" t="s">
        <v>407</v>
      </c>
      <c r="B39" s="0" t="n">
        <f aca="false">Assumptions!$B$3</f>
        <v>164.246</v>
      </c>
    </row>
    <row r="40" customFormat="false" ht="15" hidden="false" customHeight="false" outlineLevel="0" collapsed="false">
      <c r="A40" s="1" t="s">
        <v>408</v>
      </c>
      <c r="B40" s="0" t="n">
        <f aca="false">B38/B39</f>
        <v>0.00487496851012862</v>
      </c>
    </row>
    <row r="42" customFormat="false" ht="15" hidden="false" customHeight="false" outlineLevel="0" collapsed="false">
      <c r="A42" s="1" t="s">
        <v>409</v>
      </c>
    </row>
    <row r="43" customFormat="false" ht="15" hidden="false" customHeight="false" outlineLevel="0" collapsed="false">
      <c r="A43" s="0" t="s">
        <v>410</v>
      </c>
      <c r="B43" s="0" t="n">
        <f aca="false">SUMPRODUCT(B10:K10,B21:K21)</f>
        <v>2.03193274132171</v>
      </c>
    </row>
    <row r="44" customFormat="false" ht="15" hidden="false" customHeight="false" outlineLevel="0" collapsed="false">
      <c r="A44" s="0" t="s">
        <v>411</v>
      </c>
      <c r="B44" s="0" t="n">
        <f aca="false">K10*(1+B30/100)/($B$20/100-B30/100)</f>
        <v>2.9889083837387</v>
      </c>
    </row>
    <row r="45" customFormat="false" ht="15" hidden="false" customHeight="false" outlineLevel="0" collapsed="false">
      <c r="A45" s="0" t="s">
        <v>412</v>
      </c>
      <c r="B45" s="0" t="n">
        <f aca="false">B44*K21</f>
        <v>0.677536522798253</v>
      </c>
    </row>
    <row r="46" customFormat="false" ht="15" hidden="false" customHeight="false" outlineLevel="0" collapsed="false">
      <c r="A46" s="0" t="s">
        <v>413</v>
      </c>
      <c r="B46" s="0" t="n">
        <f aca="false">B38+B43+B45</f>
        <v>3.51016334203455</v>
      </c>
    </row>
    <row r="47" customFormat="false" ht="15" hidden="false" customHeight="false" outlineLevel="0" collapsed="false">
      <c r="A47" s="1" t="s">
        <v>414</v>
      </c>
      <c r="B47" s="0" t="n">
        <f aca="false">B46/B39</f>
        <v>0.0213713779454875</v>
      </c>
    </row>
    <row r="49" customFormat="false" ht="15" hidden="false" customHeight="false" outlineLevel="0" collapsed="false">
      <c r="A49" s="1" t="s">
        <v>415</v>
      </c>
    </row>
    <row r="50" customFormat="false" ht="15" hidden="false" customHeight="false" outlineLevel="0" collapsed="false">
      <c r="A50" s="0" t="s">
        <v>416</v>
      </c>
      <c r="B50" s="0" t="n">
        <f aca="false">Assumptions!$B$5</f>
        <v>15</v>
      </c>
    </row>
    <row r="51" customFormat="false" ht="15" hidden="false" customHeight="false" outlineLevel="0" collapsed="false">
      <c r="A51" s="0" t="s">
        <v>417</v>
      </c>
      <c r="B51" s="0" t="n">
        <f aca="false">1/(1+$B$50/100)^1</f>
        <v>0.869565217391304</v>
      </c>
      <c r="C51" s="0" t="n">
        <f aca="false">1/(1+$B$50/100)^2</f>
        <v>0.756143667296787</v>
      </c>
      <c r="D51" s="0" t="n">
        <f aca="false">1/(1+$B$50/100)^3</f>
        <v>0.657516232431988</v>
      </c>
      <c r="E51" s="0" t="n">
        <f aca="false">1/(1+$B$50/100)^4</f>
        <v>0.571753245593033</v>
      </c>
      <c r="F51" s="0" t="n">
        <f aca="false">1/(1+$B$50/100)^5</f>
        <v>0.49717673529829</v>
      </c>
      <c r="G51" s="0" t="n">
        <f aca="false">1/(1+$B$50/100)^6</f>
        <v>0.432327595911556</v>
      </c>
      <c r="H51" s="0" t="n">
        <f aca="false">1/(1+$B$50/100)^7</f>
        <v>0.375937039923093</v>
      </c>
      <c r="I51" s="0" t="n">
        <f aca="false">1/(1+$B$50/100)^8</f>
        <v>0.326901773846168</v>
      </c>
      <c r="J51" s="0" t="n">
        <f aca="false">1/(1+$B$50/100)^9</f>
        <v>0.284262412040146</v>
      </c>
      <c r="K51" s="0" t="n">
        <f aca="false">1/(1+$B$50/100)^10</f>
        <v>0.247184706121866</v>
      </c>
    </row>
    <row r="52" customFormat="false" ht="15" hidden="false" customHeight="false" outlineLevel="0" collapsed="false">
      <c r="A52" s="0" t="s">
        <v>418</v>
      </c>
      <c r="B52" s="0" t="n">
        <f aca="false">SUMPRODUCT(B19:K19,B51:K51)</f>
        <v>-4.22585142979451</v>
      </c>
    </row>
    <row r="53" customFormat="false" ht="15" hidden="false" customHeight="false" outlineLevel="0" collapsed="false">
      <c r="A53" s="0" t="s">
        <v>419</v>
      </c>
      <c r="B53" s="0" t="n">
        <f aca="false">B29*(1+B30/100)/($B$50/100-B30/100)</f>
        <v>2.10284834147824</v>
      </c>
    </row>
    <row r="54" customFormat="false" ht="15" hidden="false" customHeight="false" outlineLevel="0" collapsed="false">
      <c r="A54" s="0" t="s">
        <v>420</v>
      </c>
      <c r="B54" s="0" t="n">
        <f aca="false">B29*B31</f>
        <v>4.02015124106133</v>
      </c>
    </row>
    <row r="55" customFormat="false" ht="15" hidden="false" customHeight="false" outlineLevel="0" collapsed="false">
      <c r="A55" s="0" t="s">
        <v>421</v>
      </c>
      <c r="B55" s="0" t="n">
        <f aca="false">MAX(0,MIN(B53,B54))</f>
        <v>2.10284834147824</v>
      </c>
    </row>
    <row r="56" customFormat="false" ht="15" hidden="false" customHeight="false" outlineLevel="0" collapsed="false">
      <c r="A56" s="0" t="s">
        <v>422</v>
      </c>
      <c r="B56" s="0" t="n">
        <f aca="false">B55*K51</f>
        <v>0.51979194930715</v>
      </c>
    </row>
    <row r="57" customFormat="false" ht="15" hidden="false" customHeight="false" outlineLevel="0" collapsed="false">
      <c r="A57" s="0" t="s">
        <v>423</v>
      </c>
      <c r="B57" s="0" t="n">
        <f aca="false">B52+B56-B37</f>
        <v>0.814940519512644</v>
      </c>
    </row>
    <row r="58" customFormat="false" ht="15" hidden="false" customHeight="false" outlineLevel="0" collapsed="false">
      <c r="A58" s="1" t="s">
        <v>424</v>
      </c>
      <c r="B58" s="0" t="n">
        <f aca="false">B57/B39</f>
        <v>0.00496170694880024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11" min="2" style="0" width="10"/>
  </cols>
  <sheetData>
    <row r="1" customFormat="false" ht="15" hidden="false" customHeight="false" outlineLevel="0" collapsed="false">
      <c r="A1" s="1" t="s">
        <v>425</v>
      </c>
    </row>
    <row r="2" customFormat="false" ht="15" hidden="false" customHeight="false" outlineLevel="0" collapsed="false">
      <c r="B2" s="1" t="s">
        <v>343</v>
      </c>
      <c r="C2" s="1" t="s">
        <v>344</v>
      </c>
      <c r="D2" s="1" t="s">
        <v>345</v>
      </c>
      <c r="E2" s="1" t="s">
        <v>346</v>
      </c>
      <c r="F2" s="1" t="s">
        <v>347</v>
      </c>
      <c r="G2" s="1" t="s">
        <v>348</v>
      </c>
      <c r="H2" s="1" t="s">
        <v>349</v>
      </c>
      <c r="I2" s="1" t="s">
        <v>350</v>
      </c>
      <c r="J2" s="1" t="s">
        <v>351</v>
      </c>
      <c r="K2" s="1" t="s">
        <v>352</v>
      </c>
    </row>
    <row r="3" customFormat="false" ht="15" hidden="false" customHeight="false" outlineLevel="0" collapsed="false">
      <c r="A3" s="0" t="s">
        <v>373</v>
      </c>
      <c r="B3" s="0" t="n">
        <f aca="false">Assumptions!E28</f>
        <v>10</v>
      </c>
      <c r="C3" s="0" t="n">
        <f aca="false">Assumptions!F28</f>
        <v>12</v>
      </c>
      <c r="D3" s="0" t="n">
        <f aca="false">Assumptions!G28</f>
        <v>13</v>
      </c>
      <c r="E3" s="0" t="n">
        <f aca="false">Assumptions!H28</f>
        <v>12</v>
      </c>
      <c r="F3" s="0" t="n">
        <f aca="false">Assumptions!I28</f>
        <v>10</v>
      </c>
      <c r="G3" s="0" t="n">
        <f aca="false">Assumptions!J28</f>
        <v>9</v>
      </c>
      <c r="H3" s="0" t="n">
        <f aca="false">Assumptions!K28</f>
        <v>8</v>
      </c>
      <c r="I3" s="0" t="n">
        <f aca="false">Assumptions!L28</f>
        <v>7</v>
      </c>
      <c r="J3" s="0" t="n">
        <f aca="false">Assumptions!M28</f>
        <v>6</v>
      </c>
      <c r="K3" s="0" t="n">
        <f aca="false">Assumptions!N28</f>
        <v>5</v>
      </c>
    </row>
    <row r="4" customFormat="false" ht="15" hidden="false" customHeight="false" outlineLevel="0" collapsed="false">
      <c r="A4" s="0" t="s">
        <v>374</v>
      </c>
      <c r="B4" s="0" t="n">
        <f aca="false">Assumptions!$B$6*(1+B3/100)</f>
        <v>8.1774</v>
      </c>
      <c r="C4" s="0" t="n">
        <f aca="false">B4*(1+C3/100)</f>
        <v>9.158688</v>
      </c>
      <c r="D4" s="0" t="n">
        <f aca="false">C4*(1+D3/100)</f>
        <v>10.34931744</v>
      </c>
      <c r="E4" s="0" t="n">
        <f aca="false">D4*(1+E3/100)</f>
        <v>11.5912355328</v>
      </c>
      <c r="F4" s="0" t="n">
        <f aca="false">E4*(1+F3/100)</f>
        <v>12.75035908608</v>
      </c>
      <c r="G4" s="0" t="n">
        <f aca="false">F4*(1+G3/100)</f>
        <v>13.8978914038272</v>
      </c>
      <c r="H4" s="0" t="n">
        <f aca="false">G4*(1+H3/100)</f>
        <v>15.0097227161334</v>
      </c>
      <c r="I4" s="0" t="n">
        <f aca="false">H4*(1+I3/100)</f>
        <v>16.0604033062627</v>
      </c>
      <c r="J4" s="0" t="n">
        <f aca="false">I4*(1+J3/100)</f>
        <v>17.0240275046385</v>
      </c>
      <c r="K4" s="0" t="n">
        <f aca="false">J4*(1+K3/100)</f>
        <v>17.8752288798704</v>
      </c>
    </row>
    <row r="5" customFormat="false" ht="15" hidden="false" customHeight="false" outlineLevel="0" collapsed="false">
      <c r="A5" s="0" t="s">
        <v>375</v>
      </c>
      <c r="B5" s="0" t="n">
        <f aca="false">Assumptions!E29</f>
        <v>1.55</v>
      </c>
      <c r="C5" s="0" t="n">
        <f aca="false">Assumptions!F29</f>
        <v>1.45</v>
      </c>
      <c r="D5" s="0" t="n">
        <f aca="false">Assumptions!G29</f>
        <v>1.45</v>
      </c>
      <c r="E5" s="0" t="n">
        <f aca="false">Assumptions!H29</f>
        <v>1.5</v>
      </c>
      <c r="F5" s="0" t="n">
        <f aca="false">Assumptions!I29</f>
        <v>1.55</v>
      </c>
      <c r="G5" s="0" t="n">
        <f aca="false">Assumptions!J29</f>
        <v>1.6</v>
      </c>
      <c r="H5" s="0" t="n">
        <f aca="false">Assumptions!K29</f>
        <v>1.65</v>
      </c>
      <c r="I5" s="0" t="n">
        <f aca="false">Assumptions!L29</f>
        <v>1.7</v>
      </c>
      <c r="J5" s="0" t="n">
        <f aca="false">Assumptions!M29</f>
        <v>1.75</v>
      </c>
      <c r="K5" s="0" t="n">
        <f aca="false">Assumptions!N29</f>
        <v>1.8</v>
      </c>
    </row>
    <row r="6" customFormat="false" ht="15" hidden="false" customHeight="false" outlineLevel="0" collapsed="false">
      <c r="A6" s="1" t="s">
        <v>376</v>
      </c>
      <c r="B6" s="0" t="n">
        <f aca="false">B4+B5</f>
        <v>9.7274</v>
      </c>
      <c r="C6" s="0" t="n">
        <f aca="false">C4+C5</f>
        <v>10.608688</v>
      </c>
      <c r="D6" s="0" t="n">
        <f aca="false">D4+D5</f>
        <v>11.79931744</v>
      </c>
      <c r="E6" s="0" t="n">
        <f aca="false">E4+E5</f>
        <v>13.0912355328</v>
      </c>
      <c r="F6" s="0" t="n">
        <f aca="false">F4+F5</f>
        <v>14.30035908608</v>
      </c>
      <c r="G6" s="0" t="n">
        <f aca="false">G4+G5</f>
        <v>15.4978914038272</v>
      </c>
      <c r="H6" s="0" t="n">
        <f aca="false">H4+H5</f>
        <v>16.6597227161334</v>
      </c>
      <c r="I6" s="0" t="n">
        <f aca="false">I4+I5</f>
        <v>17.7604033062627</v>
      </c>
      <c r="J6" s="0" t="n">
        <f aca="false">J4+J5</f>
        <v>18.7740275046385</v>
      </c>
      <c r="K6" s="0" t="n">
        <f aca="false">K4+K5</f>
        <v>19.6752288798704</v>
      </c>
    </row>
    <row r="7" customFormat="false" ht="15" hidden="false" customHeight="false" outlineLevel="0" collapsed="false">
      <c r="A7" s="0" t="s">
        <v>377</v>
      </c>
      <c r="B7" s="0" t="n">
        <f aca="false">Assumptions!E30</f>
        <v>8</v>
      </c>
      <c r="C7" s="0" t="n">
        <f aca="false">Assumptions!F30</f>
        <v>10</v>
      </c>
      <c r="D7" s="0" t="n">
        <f aca="false">Assumptions!G30</f>
        <v>14</v>
      </c>
      <c r="E7" s="0" t="n">
        <f aca="false">Assumptions!H30</f>
        <v>18</v>
      </c>
      <c r="F7" s="0" t="n">
        <f aca="false">Assumptions!I30</f>
        <v>21</v>
      </c>
      <c r="G7" s="0" t="n">
        <f aca="false">Assumptions!J30</f>
        <v>23</v>
      </c>
      <c r="H7" s="0" t="n">
        <f aca="false">Assumptions!K30</f>
        <v>25</v>
      </c>
      <c r="I7" s="0" t="n">
        <f aca="false">Assumptions!L30</f>
        <v>26</v>
      </c>
      <c r="J7" s="0" t="n">
        <f aca="false">Assumptions!M30</f>
        <v>27</v>
      </c>
      <c r="K7" s="0" t="n">
        <f aca="false">Assumptions!N30</f>
        <v>28</v>
      </c>
    </row>
    <row r="8" customFormat="false" ht="15" hidden="false" customHeight="false" outlineLevel="0" collapsed="false">
      <c r="A8" s="0" t="s">
        <v>378</v>
      </c>
      <c r="B8" s="0" t="n">
        <f aca="false">B6*B7/100</f>
        <v>0.778192</v>
      </c>
      <c r="C8" s="0" t="n">
        <f aca="false">C6*C7/100</f>
        <v>1.0608688</v>
      </c>
      <c r="D8" s="0" t="n">
        <f aca="false">D6*D7/100</f>
        <v>1.6519044416</v>
      </c>
      <c r="E8" s="0" t="n">
        <f aca="false">E6*E7/100</f>
        <v>2.356422395904</v>
      </c>
      <c r="F8" s="0" t="n">
        <f aca="false">F6*F7/100</f>
        <v>3.0030754080768</v>
      </c>
      <c r="G8" s="0" t="n">
        <f aca="false">G6*G7/100</f>
        <v>3.56451502288026</v>
      </c>
      <c r="H8" s="0" t="n">
        <f aca="false">H6*H7/100</f>
        <v>4.16493067903335</v>
      </c>
      <c r="I8" s="0" t="n">
        <f aca="false">I6*I7/100</f>
        <v>4.61770485962831</v>
      </c>
      <c r="J8" s="0" t="n">
        <f aca="false">J6*J7/100</f>
        <v>5.06898742625239</v>
      </c>
      <c r="K8" s="0" t="n">
        <f aca="false">K6*K7/100</f>
        <v>5.50906408636371</v>
      </c>
    </row>
    <row r="9" customFormat="false" ht="15" hidden="false" customHeight="false" outlineLevel="0" collapsed="false">
      <c r="A9" s="0" t="s">
        <v>379</v>
      </c>
      <c r="B9" s="0" t="n">
        <f aca="false">Assumptions!E31</f>
        <v>4.59</v>
      </c>
      <c r="C9" s="0" t="n">
        <f aca="false">Assumptions!F31</f>
        <v>4.44</v>
      </c>
      <c r="D9" s="0" t="n">
        <f aca="false">Assumptions!G31</f>
        <v>4.28</v>
      </c>
      <c r="E9" s="0" t="n">
        <f aca="false">Assumptions!H31</f>
        <v>4.13</v>
      </c>
      <c r="F9" s="0" t="n">
        <f aca="false">Assumptions!I31</f>
        <v>3.98</v>
      </c>
      <c r="G9" s="0" t="n">
        <f aca="false">Assumptions!J31</f>
        <v>3.82</v>
      </c>
      <c r="H9" s="0" t="n">
        <f aca="false">Assumptions!K31</f>
        <v>3.67</v>
      </c>
      <c r="I9" s="0" t="n">
        <f aca="false">Assumptions!L31</f>
        <v>3.52</v>
      </c>
      <c r="J9" s="0" t="n">
        <f aca="false">Assumptions!M31</f>
        <v>3.37</v>
      </c>
      <c r="K9" s="0" t="n">
        <f aca="false">Assumptions!N31</f>
        <v>3.21</v>
      </c>
    </row>
    <row r="10" customFormat="false" ht="15" hidden="false" customHeight="false" outlineLevel="0" collapsed="false">
      <c r="A10" s="0" t="s">
        <v>380</v>
      </c>
      <c r="B10" s="0" t="n">
        <f aca="false">B6*B9/100</f>
        <v>0.44648766</v>
      </c>
      <c r="C10" s="0" t="n">
        <f aca="false">C6*C9/100</f>
        <v>0.4710257472</v>
      </c>
      <c r="D10" s="0" t="n">
        <f aca="false">D6*D9/100</f>
        <v>0.505010786432</v>
      </c>
      <c r="E10" s="0" t="n">
        <f aca="false">E6*E9/100</f>
        <v>0.54066802750464</v>
      </c>
      <c r="F10" s="0" t="n">
        <f aca="false">F6*F9/100</f>
        <v>0.569154291625984</v>
      </c>
      <c r="G10" s="0" t="n">
        <f aca="false">G6*G9/100</f>
        <v>0.592019451626199</v>
      </c>
      <c r="H10" s="0" t="n">
        <f aca="false">H6*H9/100</f>
        <v>0.611411823682095</v>
      </c>
      <c r="I10" s="0" t="n">
        <f aca="false">I6*I9/100</f>
        <v>0.625166196380448</v>
      </c>
      <c r="J10" s="0" t="n">
        <f aca="false">J6*J9/100</f>
        <v>0.632684726906317</v>
      </c>
      <c r="K10" s="0" t="n">
        <f aca="false">K6*K9/100</f>
        <v>0.63157484704384</v>
      </c>
    </row>
    <row r="11" customFormat="false" ht="15" hidden="false" customHeight="false" outlineLevel="0" collapsed="false">
      <c r="A11" s="0" t="s">
        <v>381</v>
      </c>
      <c r="B11" s="0" t="n">
        <f aca="false">Assumptions!E33</f>
        <v>22</v>
      </c>
      <c r="C11" s="0" t="n">
        <f aca="false">Assumptions!F33</f>
        <v>20</v>
      </c>
      <c r="D11" s="0" t="n">
        <f aca="false">Assumptions!G33</f>
        <v>18</v>
      </c>
      <c r="E11" s="0" t="n">
        <f aca="false">Assumptions!H33</f>
        <v>16</v>
      </c>
      <c r="F11" s="0" t="n">
        <f aca="false">Assumptions!I33</f>
        <v>15</v>
      </c>
      <c r="G11" s="0" t="n">
        <f aca="false">Assumptions!J33</f>
        <v>14</v>
      </c>
      <c r="H11" s="0" t="n">
        <f aca="false">Assumptions!K33</f>
        <v>13</v>
      </c>
      <c r="I11" s="0" t="n">
        <f aca="false">Assumptions!L33</f>
        <v>12</v>
      </c>
      <c r="J11" s="0" t="n">
        <f aca="false">Assumptions!M33</f>
        <v>11</v>
      </c>
      <c r="K11" s="0" t="n">
        <f aca="false">Assumptions!N33</f>
        <v>10</v>
      </c>
    </row>
    <row r="12" customFormat="false" ht="15" hidden="false" customHeight="false" outlineLevel="0" collapsed="false">
      <c r="A12" s="0" t="s">
        <v>382</v>
      </c>
      <c r="B12" s="0" t="n">
        <f aca="false">B6*B11/100</f>
        <v>2.140028</v>
      </c>
      <c r="C12" s="0" t="n">
        <f aca="false">C6*C11/100</f>
        <v>2.1217376</v>
      </c>
      <c r="D12" s="0" t="n">
        <f aca="false">D6*D11/100</f>
        <v>2.1238771392</v>
      </c>
      <c r="E12" s="0" t="n">
        <f aca="false">E6*E11/100</f>
        <v>2.094597685248</v>
      </c>
      <c r="F12" s="0" t="n">
        <f aca="false">F6*F11/100</f>
        <v>2.145053862912</v>
      </c>
      <c r="G12" s="0" t="n">
        <f aca="false">G6*G11/100</f>
        <v>2.16970479653581</v>
      </c>
      <c r="H12" s="0" t="n">
        <f aca="false">H6*H11/100</f>
        <v>2.16576395309734</v>
      </c>
      <c r="I12" s="0" t="n">
        <f aca="false">I6*I11/100</f>
        <v>2.13124839675153</v>
      </c>
      <c r="J12" s="0" t="n">
        <f aca="false">J6*J11/100</f>
        <v>2.06514302551023</v>
      </c>
      <c r="K12" s="0" t="n">
        <f aca="false">K6*K11/100</f>
        <v>1.96752288798704</v>
      </c>
    </row>
    <row r="13" customFormat="false" ht="15" hidden="false" customHeight="false" outlineLevel="0" collapsed="false">
      <c r="A13" s="1" t="s">
        <v>383</v>
      </c>
      <c r="B13" s="0" t="n">
        <f aca="false">B8-B10-B12</f>
        <v>-1.80832366</v>
      </c>
      <c r="C13" s="0" t="n">
        <f aca="false">C8-C10-C12</f>
        <v>-1.5318945472</v>
      </c>
      <c r="D13" s="0" t="n">
        <f aca="false">D8-D10-D12</f>
        <v>-0.976983484032</v>
      </c>
      <c r="E13" s="0" t="n">
        <f aca="false">E8-E10-E12</f>
        <v>-0.27884331684864</v>
      </c>
      <c r="F13" s="0" t="n">
        <f aca="false">F8-F10-F12</f>
        <v>0.288867253538816</v>
      </c>
      <c r="G13" s="0" t="n">
        <f aca="false">G8-G10-G12</f>
        <v>0.802790774718249</v>
      </c>
      <c r="H13" s="0" t="n">
        <f aca="false">H8-H10-H12</f>
        <v>1.38775490225391</v>
      </c>
      <c r="I13" s="0" t="n">
        <f aca="false">I8-I10-I12</f>
        <v>1.86129026649633</v>
      </c>
      <c r="J13" s="0" t="n">
        <f aca="false">J8-J10-J12</f>
        <v>2.37115967383584</v>
      </c>
      <c r="K13" s="0" t="n">
        <f aca="false">K8-K10-K12</f>
        <v>2.90996635133283</v>
      </c>
    </row>
    <row r="14" customFormat="false" ht="15" hidden="false" customHeight="false" outlineLevel="0" collapsed="false">
      <c r="A14" s="0" t="s">
        <v>384</v>
      </c>
      <c r="B14" s="0" t="n">
        <f aca="false">Assumptions!E32</f>
        <v>22</v>
      </c>
      <c r="C14" s="0" t="n">
        <f aca="false">Assumptions!F32</f>
        <v>20</v>
      </c>
      <c r="D14" s="0" t="n">
        <f aca="false">Assumptions!G32</f>
        <v>18</v>
      </c>
      <c r="E14" s="0" t="n">
        <f aca="false">Assumptions!H32</f>
        <v>16</v>
      </c>
      <c r="F14" s="0" t="n">
        <f aca="false">Assumptions!I32</f>
        <v>15</v>
      </c>
      <c r="G14" s="0" t="n">
        <f aca="false">Assumptions!J32</f>
        <v>14</v>
      </c>
      <c r="H14" s="0" t="n">
        <f aca="false">Assumptions!K32</f>
        <v>13</v>
      </c>
      <c r="I14" s="0" t="n">
        <f aca="false">Assumptions!L32</f>
        <v>12</v>
      </c>
      <c r="J14" s="0" t="n">
        <f aca="false">Assumptions!M32</f>
        <v>11</v>
      </c>
      <c r="K14" s="0" t="n">
        <f aca="false">Assumptions!N32</f>
        <v>10</v>
      </c>
    </row>
    <row r="15" customFormat="false" ht="15" hidden="false" customHeight="false" outlineLevel="0" collapsed="false">
      <c r="A15" s="0" t="s">
        <v>385</v>
      </c>
      <c r="B15" s="0" t="n">
        <f aca="false">B6*B14/100</f>
        <v>2.140028</v>
      </c>
      <c r="C15" s="0" t="n">
        <f aca="false">C6*C14/100</f>
        <v>2.1217376</v>
      </c>
      <c r="D15" s="0" t="n">
        <f aca="false">D6*D14/100</f>
        <v>2.1238771392</v>
      </c>
      <c r="E15" s="0" t="n">
        <f aca="false">E6*E14/100</f>
        <v>2.094597685248</v>
      </c>
      <c r="F15" s="0" t="n">
        <f aca="false">F6*F14/100</f>
        <v>2.145053862912</v>
      </c>
      <c r="G15" s="0" t="n">
        <f aca="false">G6*G14/100</f>
        <v>2.16970479653581</v>
      </c>
      <c r="H15" s="0" t="n">
        <f aca="false">H6*H14/100</f>
        <v>2.16576395309734</v>
      </c>
      <c r="I15" s="0" t="n">
        <f aca="false">I6*I14/100</f>
        <v>2.13124839675153</v>
      </c>
      <c r="J15" s="0" t="n">
        <f aca="false">J6*J14/100</f>
        <v>2.06514302551023</v>
      </c>
      <c r="K15" s="0" t="n">
        <f aca="false">K6*K14/100</f>
        <v>1.96752288798704</v>
      </c>
    </row>
    <row r="16" customFormat="false" ht="15" hidden="false" customHeight="false" outlineLevel="0" collapsed="false">
      <c r="A16" s="0" t="s">
        <v>386</v>
      </c>
      <c r="B16" s="4" t="n">
        <v>0.024</v>
      </c>
      <c r="C16" s="4" t="n">
        <v>0.044</v>
      </c>
      <c r="D16" s="4" t="n">
        <v>0.06</v>
      </c>
      <c r="E16" s="4" t="n">
        <v>0.065</v>
      </c>
      <c r="F16" s="4" t="n">
        <v>0.06</v>
      </c>
      <c r="G16" s="4" t="n">
        <v>0.06</v>
      </c>
      <c r="H16" s="4" t="n">
        <v>0.058</v>
      </c>
      <c r="I16" s="4" t="n">
        <v>0.055</v>
      </c>
      <c r="J16" s="4" t="n">
        <v>0.051</v>
      </c>
      <c r="K16" s="4" t="n">
        <v>0.045</v>
      </c>
    </row>
    <row r="17" customFormat="false" ht="15" hidden="false" customHeight="false" outlineLevel="0" collapsed="false">
      <c r="A17" s="0" t="s">
        <v>387</v>
      </c>
      <c r="B17" s="0" t="n">
        <f aca="false">Assumptions!$B$7</f>
        <v>8.258</v>
      </c>
      <c r="C17" s="0" t="n">
        <f aca="false">MAX(0,B17-MAX(B13,0))</f>
        <v>8.258</v>
      </c>
      <c r="D17" s="0" t="n">
        <f aca="false">MAX(0,C17-MAX(C13,0))</f>
        <v>8.258</v>
      </c>
      <c r="E17" s="0" t="n">
        <f aca="false">MAX(0,D17-MAX(D13,0))</f>
        <v>8.258</v>
      </c>
      <c r="F17" s="0" t="n">
        <f aca="false">MAX(0,E17-MAX(E13,0))</f>
        <v>8.258</v>
      </c>
      <c r="G17" s="0" t="n">
        <f aca="false">MAX(0,F17-MAX(F13,0))</f>
        <v>7.96913274646118</v>
      </c>
      <c r="H17" s="0" t="n">
        <f aca="false">MAX(0,G17-MAX(G13,0))</f>
        <v>7.16634197174293</v>
      </c>
      <c r="I17" s="0" t="n">
        <f aca="false">MAX(0,H17-MAX(H13,0))</f>
        <v>5.77858706948902</v>
      </c>
      <c r="J17" s="0" t="n">
        <f aca="false">MAX(0,I17-MAX(I13,0))</f>
        <v>3.91729680299269</v>
      </c>
      <c r="K17" s="0" t="n">
        <f aca="false">MAX(0,J17-MAX(J13,0))</f>
        <v>1.54613712915685</v>
      </c>
    </row>
    <row r="18" customFormat="false" ht="15" hidden="false" customHeight="false" outlineLevel="0" collapsed="false">
      <c r="A18" s="0" t="s">
        <v>388</v>
      </c>
      <c r="B18" s="0" t="n">
        <f aca="false">MAX(0,MAX(B13,0)-B17)*Assumptions!$B$8/100</f>
        <v>0</v>
      </c>
      <c r="C18" s="0" t="n">
        <f aca="false">MAX(0,MAX(C13,0)-C17)*Assumptions!$B$8/100</f>
        <v>0</v>
      </c>
      <c r="D18" s="0" t="n">
        <f aca="false">MAX(0,MAX(D13,0)-D17)*Assumptions!$B$8/100</f>
        <v>0</v>
      </c>
      <c r="E18" s="0" t="n">
        <f aca="false">MAX(0,MAX(E13,0)-E17)*Assumptions!$B$8/100</f>
        <v>0</v>
      </c>
      <c r="F18" s="0" t="n">
        <f aca="false">MAX(0,MAX(F13,0)-F17)*Assumptions!$B$8/100</f>
        <v>0</v>
      </c>
      <c r="G18" s="0" t="n">
        <f aca="false">MAX(0,MAX(G13,0)-G17)*Assumptions!$B$8/100</f>
        <v>0</v>
      </c>
      <c r="H18" s="0" t="n">
        <f aca="false">MAX(0,MAX(H13,0)-H17)*Assumptions!$B$8/100</f>
        <v>0</v>
      </c>
      <c r="I18" s="0" t="n">
        <f aca="false">MAX(0,MAX(I13,0)-I17)*Assumptions!$B$8/100</f>
        <v>0</v>
      </c>
      <c r="J18" s="0" t="n">
        <f aca="false">MAX(0,MAX(J13,0)-J17)*Assumptions!$B$8/100</f>
        <v>0</v>
      </c>
      <c r="K18" s="0" t="n">
        <f aca="false">MAX(0,MAX(K13,0)-K17)*Assumptions!$B$8/100</f>
        <v>0.381872182209275</v>
      </c>
    </row>
    <row r="19" customFormat="false" ht="15" hidden="false" customHeight="false" outlineLevel="0" collapsed="false">
      <c r="A19" s="1" t="s">
        <v>389</v>
      </c>
      <c r="B19" s="0" t="n">
        <f aca="false">B13-B18+B12-B15+B16</f>
        <v>-1.78432366</v>
      </c>
      <c r="C19" s="0" t="n">
        <f aca="false">C13-C18+C12-C15+C16</f>
        <v>-1.4878945472</v>
      </c>
      <c r="D19" s="0" t="n">
        <f aca="false">D13-D18+D12-D15+D16</f>
        <v>-0.916983484032</v>
      </c>
      <c r="E19" s="0" t="n">
        <f aca="false">E13-E18+E12-E15+E16</f>
        <v>-0.21384331684864</v>
      </c>
      <c r="F19" s="0" t="n">
        <f aca="false">F13-F18+F12-F15+F16</f>
        <v>0.348867253538816</v>
      </c>
      <c r="G19" s="0" t="n">
        <f aca="false">G13-G18+G12-G15+G16</f>
        <v>0.862790774718249</v>
      </c>
      <c r="H19" s="0" t="n">
        <f aca="false">H13-H18+H12-H15+H16</f>
        <v>1.44575490225391</v>
      </c>
      <c r="I19" s="0" t="n">
        <f aca="false">I13-I18+I12-I15+I16</f>
        <v>1.91629026649633</v>
      </c>
      <c r="J19" s="0" t="n">
        <f aca="false">J13-J18+J12-J15+J16</f>
        <v>2.42215967383584</v>
      </c>
      <c r="K19" s="0" t="n">
        <f aca="false">K13-K18+K12-K15+K16</f>
        <v>2.57309416912356</v>
      </c>
    </row>
    <row r="20" customFormat="false" ht="15" hidden="false" customHeight="false" outlineLevel="0" collapsed="false">
      <c r="A20" s="0" t="s">
        <v>390</v>
      </c>
      <c r="B20" s="0" t="n">
        <f aca="false">Assumptions!$B$35</f>
        <v>16</v>
      </c>
    </row>
    <row r="21" customFormat="false" ht="15" hidden="false" customHeight="false" outlineLevel="0" collapsed="false">
      <c r="A21" s="0" t="s">
        <v>391</v>
      </c>
      <c r="B21" s="0" t="n">
        <f aca="false">1/(1+$B$20/100)^1</f>
        <v>0.862068965517241</v>
      </c>
      <c r="C21" s="0" t="n">
        <f aca="false">1/(1+$B$20/100)^2</f>
        <v>0.743162901307967</v>
      </c>
      <c r="D21" s="0" t="n">
        <f aca="false">1/(1+$B$20/100)^3</f>
        <v>0.640657673541351</v>
      </c>
      <c r="E21" s="0" t="n">
        <f aca="false">1/(1+$B$20/100)^4</f>
        <v>0.552291097880475</v>
      </c>
      <c r="F21" s="0" t="n">
        <f aca="false">1/(1+$B$20/100)^5</f>
        <v>0.476113015414203</v>
      </c>
      <c r="G21" s="0" t="n">
        <f aca="false">1/(1+$B$20/100)^6</f>
        <v>0.410442254667416</v>
      </c>
      <c r="H21" s="0" t="n">
        <f aca="false">1/(1+$B$20/100)^7</f>
        <v>0.353829529885703</v>
      </c>
      <c r="I21" s="0" t="n">
        <f aca="false">1/(1+$B$20/100)^8</f>
        <v>0.30502545679802</v>
      </c>
      <c r="J21" s="0" t="n">
        <f aca="false">1/(1+$B$20/100)^9</f>
        <v>0.262952979998293</v>
      </c>
      <c r="K21" s="0" t="n">
        <f aca="false">1/(1+$B$20/100)^10</f>
        <v>0.226683603446805</v>
      </c>
    </row>
    <row r="22" customFormat="false" ht="15" hidden="false" customHeight="false" outlineLevel="0" collapsed="false">
      <c r="A22" s="0" t="s">
        <v>392</v>
      </c>
      <c r="B22" s="0" t="n">
        <f aca="false">B19*B21</f>
        <v>-1.53821005172414</v>
      </c>
      <c r="C22" s="0" t="n">
        <f aca="false">C19*C21</f>
        <v>-1.10574802853746</v>
      </c>
      <c r="D22" s="0" t="n">
        <f aca="false">D19*D21</f>
        <v>-0.587472505555784</v>
      </c>
      <c r="E22" s="0" t="n">
        <f aca="false">E19*E21</f>
        <v>-0.118103760236738</v>
      </c>
      <c r="F22" s="0" t="n">
        <f aca="false">F19*F21</f>
        <v>0.166100240061637</v>
      </c>
      <c r="G22" s="0" t="n">
        <f aca="false">G19*G21</f>
        <v>0.354125790881605</v>
      </c>
      <c r="H22" s="0" t="n">
        <f aca="false">H19*H21</f>
        <v>0.511550777394452</v>
      </c>
      <c r="I22" s="0" t="n">
        <f aca="false">I19*I21</f>
        <v>0.584517313895644</v>
      </c>
      <c r="J22" s="0" t="n">
        <f aca="false">J19*J21</f>
        <v>0.636914104266829</v>
      </c>
      <c r="K22" s="0" t="n">
        <f aca="false">K19*K21</f>
        <v>0.58327825826489</v>
      </c>
    </row>
    <row r="25" customFormat="false" ht="15" hidden="false" customHeight="false" outlineLevel="0" collapsed="false">
      <c r="A25" s="1" t="s">
        <v>393</v>
      </c>
      <c r="B25" s="0" t="n">
        <f aca="false">SUM(B22:K22)</f>
        <v>-0.513047861289059</v>
      </c>
    </row>
    <row r="26" customFormat="false" ht="15" hidden="false" customHeight="false" outlineLevel="0" collapsed="false">
      <c r="A26" s="0" t="s">
        <v>394</v>
      </c>
      <c r="B26" s="0" t="n">
        <f aca="false">K13</f>
        <v>2.90996635133283</v>
      </c>
    </row>
    <row r="27" customFormat="false" ht="15" hidden="false" customHeight="false" outlineLevel="0" collapsed="false">
      <c r="A27" s="0" t="s">
        <v>395</v>
      </c>
      <c r="B27" s="0" t="n">
        <f aca="false">K18</f>
        <v>0.381872182209275</v>
      </c>
    </row>
    <row r="28" customFormat="false" ht="15" hidden="false" customHeight="false" outlineLevel="0" collapsed="false">
      <c r="A28" s="0" t="s">
        <v>396</v>
      </c>
      <c r="B28" s="0" t="n">
        <f aca="false">K19</f>
        <v>2.57309416912356</v>
      </c>
    </row>
    <row r="29" customFormat="false" ht="15" hidden="false" customHeight="false" outlineLevel="0" collapsed="false">
      <c r="A29" s="0" t="s">
        <v>397</v>
      </c>
      <c r="B29" s="0" t="n">
        <f aca="false">B28+B27-MAX(B26,0)*Assumptions!$B$8/100</f>
        <v>2.14017577295964</v>
      </c>
    </row>
    <row r="30" customFormat="false" ht="15" hidden="false" customHeight="false" outlineLevel="0" collapsed="false">
      <c r="A30" s="0" t="s">
        <v>398</v>
      </c>
      <c r="B30" s="0" t="n">
        <f aca="false">Assumptions!$B$36</f>
        <v>2.5</v>
      </c>
    </row>
    <row r="31" customFormat="false" ht="15" hidden="false" customHeight="false" outlineLevel="0" collapsed="false">
      <c r="A31" s="0" t="s">
        <v>399</v>
      </c>
      <c r="B31" s="0" t="n">
        <f aca="false">Assumptions!$B$37</f>
        <v>15</v>
      </c>
    </row>
    <row r="32" customFormat="false" ht="15" hidden="false" customHeight="false" outlineLevel="0" collapsed="false">
      <c r="A32" s="0" t="s">
        <v>400</v>
      </c>
      <c r="B32" s="0" t="n">
        <f aca="false">B29*(1+B30/100)/($B$20/100-B30/100)</f>
        <v>16.2494827206195</v>
      </c>
    </row>
    <row r="33" customFormat="false" ht="15" hidden="false" customHeight="false" outlineLevel="0" collapsed="false">
      <c r="A33" s="0" t="s">
        <v>401</v>
      </c>
      <c r="B33" s="0" t="n">
        <f aca="false">B29*B31</f>
        <v>32.1026365943946</v>
      </c>
    </row>
    <row r="34" customFormat="false" ht="15" hidden="false" customHeight="false" outlineLevel="0" collapsed="false">
      <c r="A34" s="1" t="s">
        <v>402</v>
      </c>
      <c r="B34" s="0" t="n">
        <f aca="false">MAX(0,MIN(B32,B33))</f>
        <v>16.2494827206195</v>
      </c>
    </row>
    <row r="35" customFormat="false" ht="15" hidden="false" customHeight="false" outlineLevel="0" collapsed="false">
      <c r="A35" s="0" t="s">
        <v>403</v>
      </c>
      <c r="B35" s="0" t="n">
        <f aca="false">B34*K21</f>
        <v>3.68349129725661</v>
      </c>
    </row>
    <row r="36" customFormat="false" ht="15" hidden="false" customHeight="false" outlineLevel="0" collapsed="false">
      <c r="A36" s="1" t="s">
        <v>404</v>
      </c>
      <c r="B36" s="0" t="n">
        <f aca="false">B25+B35</f>
        <v>3.17044343596755</v>
      </c>
    </row>
    <row r="37" customFormat="false" ht="15" hidden="false" customHeight="false" outlineLevel="0" collapsed="false">
      <c r="A37" s="0" t="s">
        <v>405</v>
      </c>
      <c r="B37" s="0" t="n">
        <f aca="false">Assumptions!$B$4</f>
        <v>-4.521</v>
      </c>
    </row>
    <row r="38" customFormat="false" ht="15" hidden="false" customHeight="false" outlineLevel="0" collapsed="false">
      <c r="A38" s="1" t="s">
        <v>406</v>
      </c>
      <c r="B38" s="0" t="n">
        <f aca="false">B36-B37</f>
        <v>7.69144343596755</v>
      </c>
    </row>
    <row r="39" customFormat="false" ht="15" hidden="false" customHeight="false" outlineLevel="0" collapsed="false">
      <c r="A39" s="0" t="s">
        <v>407</v>
      </c>
      <c r="B39" s="0" t="n">
        <f aca="false">Assumptions!$B$3</f>
        <v>164.246</v>
      </c>
    </row>
    <row r="40" customFormat="false" ht="15" hidden="false" customHeight="false" outlineLevel="0" collapsed="false">
      <c r="A40" s="1" t="s">
        <v>408</v>
      </c>
      <c r="B40" s="0" t="n">
        <f aca="false">B38/B39</f>
        <v>0.0468288021380585</v>
      </c>
    </row>
    <row r="42" customFormat="false" ht="15" hidden="false" customHeight="false" outlineLevel="0" collapsed="false">
      <c r="A42" s="1" t="s">
        <v>409</v>
      </c>
    </row>
    <row r="43" customFormat="false" ht="15" hidden="false" customHeight="false" outlineLevel="0" collapsed="false">
      <c r="A43" s="0" t="s">
        <v>410</v>
      </c>
      <c r="B43" s="0" t="n">
        <f aca="false">SUMPRODUCT(B10:K10,B21:K21)</f>
        <v>2.58762991393425</v>
      </c>
    </row>
    <row r="44" customFormat="false" ht="15" hidden="false" customHeight="false" outlineLevel="0" collapsed="false">
      <c r="A44" s="0" t="s">
        <v>411</v>
      </c>
      <c r="B44" s="0" t="n">
        <f aca="false">K10*(1+B30/100)/($B$20/100-B30/100)</f>
        <v>4.79529050533286</v>
      </c>
    </row>
    <row r="45" customFormat="false" ht="15" hidden="false" customHeight="false" outlineLevel="0" collapsed="false">
      <c r="A45" s="0" t="s">
        <v>412</v>
      </c>
      <c r="B45" s="0" t="n">
        <f aca="false">B44*K21</f>
        <v>1.0870137313231</v>
      </c>
    </row>
    <row r="46" customFormat="false" ht="15" hidden="false" customHeight="false" outlineLevel="0" collapsed="false">
      <c r="A46" s="0" t="s">
        <v>413</v>
      </c>
      <c r="B46" s="0" t="n">
        <f aca="false">B38+B43+B45</f>
        <v>11.3660870812249</v>
      </c>
    </row>
    <row r="47" customFormat="false" ht="15" hidden="false" customHeight="false" outlineLevel="0" collapsed="false">
      <c r="A47" s="1" t="s">
        <v>414</v>
      </c>
      <c r="B47" s="0" t="n">
        <f aca="false">B46/B39</f>
        <v>0.0692016066219263</v>
      </c>
    </row>
    <row r="49" customFormat="false" ht="15" hidden="false" customHeight="false" outlineLevel="0" collapsed="false">
      <c r="A49" s="1" t="s">
        <v>415</v>
      </c>
    </row>
    <row r="50" customFormat="false" ht="15" hidden="false" customHeight="false" outlineLevel="0" collapsed="false">
      <c r="A50" s="0" t="s">
        <v>416</v>
      </c>
      <c r="B50" s="0" t="n">
        <f aca="false">Assumptions!$B$5</f>
        <v>15</v>
      </c>
    </row>
    <row r="51" customFormat="false" ht="15" hidden="false" customHeight="false" outlineLevel="0" collapsed="false">
      <c r="A51" s="0" t="s">
        <v>417</v>
      </c>
      <c r="B51" s="0" t="n">
        <f aca="false">1/(1+$B$50/100)^1</f>
        <v>0.869565217391304</v>
      </c>
      <c r="C51" s="0" t="n">
        <f aca="false">1/(1+$B$50/100)^2</f>
        <v>0.756143667296787</v>
      </c>
      <c r="D51" s="0" t="n">
        <f aca="false">1/(1+$B$50/100)^3</f>
        <v>0.657516232431988</v>
      </c>
      <c r="E51" s="0" t="n">
        <f aca="false">1/(1+$B$50/100)^4</f>
        <v>0.571753245593033</v>
      </c>
      <c r="F51" s="0" t="n">
        <f aca="false">1/(1+$B$50/100)^5</f>
        <v>0.49717673529829</v>
      </c>
      <c r="G51" s="0" t="n">
        <f aca="false">1/(1+$B$50/100)^6</f>
        <v>0.432327595911556</v>
      </c>
      <c r="H51" s="0" t="n">
        <f aca="false">1/(1+$B$50/100)^7</f>
        <v>0.375937039923093</v>
      </c>
      <c r="I51" s="0" t="n">
        <f aca="false">1/(1+$B$50/100)^8</f>
        <v>0.326901773846168</v>
      </c>
      <c r="J51" s="0" t="n">
        <f aca="false">1/(1+$B$50/100)^9</f>
        <v>0.284262412040146</v>
      </c>
      <c r="K51" s="0" t="n">
        <f aca="false">1/(1+$B$50/100)^10</f>
        <v>0.247184706121866</v>
      </c>
    </row>
    <row r="52" customFormat="false" ht="15" hidden="false" customHeight="false" outlineLevel="0" collapsed="false">
      <c r="A52" s="0" t="s">
        <v>418</v>
      </c>
      <c r="B52" s="0" t="n">
        <f aca="false">SUMPRODUCT(B19:K19,B51:K51)</f>
        <v>-0.360878040300123</v>
      </c>
    </row>
    <row r="53" customFormat="false" ht="15" hidden="false" customHeight="false" outlineLevel="0" collapsed="false">
      <c r="A53" s="0" t="s">
        <v>419</v>
      </c>
      <c r="B53" s="0" t="n">
        <f aca="false">B29*(1+B30/100)/($B$50/100-B30/100)</f>
        <v>17.549441338269</v>
      </c>
    </row>
    <row r="54" customFormat="false" ht="15" hidden="false" customHeight="false" outlineLevel="0" collapsed="false">
      <c r="A54" s="0" t="s">
        <v>420</v>
      </c>
      <c r="B54" s="0" t="n">
        <f aca="false">B29*B31</f>
        <v>32.1026365943946</v>
      </c>
    </row>
    <row r="55" customFormat="false" ht="15" hidden="false" customHeight="false" outlineLevel="0" collapsed="false">
      <c r="A55" s="0" t="s">
        <v>421</v>
      </c>
      <c r="B55" s="0" t="n">
        <f aca="false">MAX(0,MIN(B53,B54))</f>
        <v>17.549441338269</v>
      </c>
    </row>
    <row r="56" customFormat="false" ht="15" hidden="false" customHeight="false" outlineLevel="0" collapsed="false">
      <c r="A56" s="0" t="s">
        <v>422</v>
      </c>
      <c r="B56" s="0" t="n">
        <f aca="false">B55*K51</f>
        <v>4.33795349980296</v>
      </c>
    </row>
    <row r="57" customFormat="false" ht="15" hidden="false" customHeight="false" outlineLevel="0" collapsed="false">
      <c r="A57" s="0" t="s">
        <v>423</v>
      </c>
      <c r="B57" s="0" t="n">
        <f aca="false">B52+B56-B37</f>
        <v>8.49807545950283</v>
      </c>
    </row>
    <row r="58" customFormat="false" ht="15" hidden="false" customHeight="false" outlineLevel="0" collapsed="false">
      <c r="A58" s="1" t="s">
        <v>424</v>
      </c>
      <c r="B58" s="0" t="n">
        <f aca="false">B57/B39</f>
        <v>0.0517399234045446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11" min="2" style="0" width="10"/>
  </cols>
  <sheetData>
    <row r="1" customFormat="false" ht="15" hidden="false" customHeight="false" outlineLevel="0" collapsed="false">
      <c r="A1" s="1" t="s">
        <v>426</v>
      </c>
    </row>
    <row r="2" customFormat="false" ht="15" hidden="false" customHeight="false" outlineLevel="0" collapsed="false">
      <c r="B2" s="1" t="s">
        <v>343</v>
      </c>
      <c r="C2" s="1" t="s">
        <v>344</v>
      </c>
      <c r="D2" s="1" t="s">
        <v>345</v>
      </c>
      <c r="E2" s="1" t="s">
        <v>346</v>
      </c>
      <c r="F2" s="1" t="s">
        <v>347</v>
      </c>
      <c r="G2" s="1" t="s">
        <v>348</v>
      </c>
      <c r="H2" s="1" t="s">
        <v>349</v>
      </c>
      <c r="I2" s="1" t="s">
        <v>350</v>
      </c>
      <c r="J2" s="1" t="s">
        <v>351</v>
      </c>
      <c r="K2" s="1" t="s">
        <v>352</v>
      </c>
    </row>
    <row r="3" customFormat="false" ht="15" hidden="false" customHeight="false" outlineLevel="0" collapsed="false">
      <c r="A3" s="0" t="s">
        <v>373</v>
      </c>
      <c r="B3" s="0" t="n">
        <f aca="false">Assumptions!E44</f>
        <v>15</v>
      </c>
      <c r="C3" s="0" t="n">
        <f aca="false">Assumptions!F44</f>
        <v>22</v>
      </c>
      <c r="D3" s="0" t="n">
        <f aca="false">Assumptions!G44</f>
        <v>28</v>
      </c>
      <c r="E3" s="0" t="n">
        <f aca="false">Assumptions!H44</f>
        <v>26</v>
      </c>
      <c r="F3" s="0" t="n">
        <f aca="false">Assumptions!I44</f>
        <v>22</v>
      </c>
      <c r="G3" s="0" t="n">
        <f aca="false">Assumptions!J44</f>
        <v>18</v>
      </c>
      <c r="H3" s="0" t="n">
        <f aca="false">Assumptions!K44</f>
        <v>15</v>
      </c>
      <c r="I3" s="0" t="n">
        <f aca="false">Assumptions!L44</f>
        <v>12</v>
      </c>
      <c r="J3" s="0" t="n">
        <f aca="false">Assumptions!M44</f>
        <v>10</v>
      </c>
      <c r="K3" s="0" t="n">
        <f aca="false">Assumptions!N44</f>
        <v>8</v>
      </c>
    </row>
    <row r="4" customFormat="false" ht="15" hidden="false" customHeight="false" outlineLevel="0" collapsed="false">
      <c r="A4" s="0" t="s">
        <v>374</v>
      </c>
      <c r="B4" s="0" t="n">
        <f aca="false">Assumptions!$B$6*(1+B3/100)</f>
        <v>8.5491</v>
      </c>
      <c r="C4" s="0" t="n">
        <f aca="false">B4*(1+C3/100)</f>
        <v>10.429902</v>
      </c>
      <c r="D4" s="0" t="n">
        <f aca="false">C4*(1+D3/100)</f>
        <v>13.35027456</v>
      </c>
      <c r="E4" s="0" t="n">
        <f aca="false">D4*(1+E3/100)</f>
        <v>16.8213459456</v>
      </c>
      <c r="F4" s="0" t="n">
        <f aca="false">E4*(1+F3/100)</f>
        <v>20.522042053632</v>
      </c>
      <c r="G4" s="0" t="n">
        <f aca="false">F4*(1+G3/100)</f>
        <v>24.2160096232858</v>
      </c>
      <c r="H4" s="0" t="n">
        <f aca="false">G4*(1+H3/100)</f>
        <v>27.8484110667786</v>
      </c>
      <c r="I4" s="0" t="n">
        <f aca="false">H4*(1+I3/100)</f>
        <v>31.1902203947921</v>
      </c>
      <c r="J4" s="0" t="n">
        <f aca="false">I4*(1+J3/100)</f>
        <v>34.3092424342713</v>
      </c>
      <c r="K4" s="0" t="n">
        <f aca="false">J4*(1+K3/100)</f>
        <v>37.053981829013</v>
      </c>
    </row>
    <row r="5" customFormat="false" ht="15" hidden="false" customHeight="false" outlineLevel="0" collapsed="false">
      <c r="A5" s="0" t="s">
        <v>375</v>
      </c>
      <c r="B5" s="0" t="n">
        <f aca="false">Assumptions!E45</f>
        <v>1.65</v>
      </c>
      <c r="C5" s="0" t="n">
        <f aca="false">Assumptions!F45</f>
        <v>1.6</v>
      </c>
      <c r="D5" s="0" t="n">
        <f aca="false">Assumptions!G45</f>
        <v>1.7</v>
      </c>
      <c r="E5" s="0" t="n">
        <f aca="false">Assumptions!H45</f>
        <v>1.85</v>
      </c>
      <c r="F5" s="0" t="n">
        <f aca="false">Assumptions!I45</f>
        <v>2</v>
      </c>
      <c r="G5" s="0" t="n">
        <f aca="false">Assumptions!J45</f>
        <v>2.2</v>
      </c>
      <c r="H5" s="0" t="n">
        <f aca="false">Assumptions!K45</f>
        <v>2.4</v>
      </c>
      <c r="I5" s="0" t="n">
        <f aca="false">Assumptions!L45</f>
        <v>2.6</v>
      </c>
      <c r="J5" s="0" t="n">
        <f aca="false">Assumptions!M45</f>
        <v>2.8</v>
      </c>
      <c r="K5" s="0" t="n">
        <f aca="false">Assumptions!N45</f>
        <v>3</v>
      </c>
    </row>
    <row r="6" customFormat="false" ht="15" hidden="false" customHeight="false" outlineLevel="0" collapsed="false">
      <c r="A6" s="1" t="s">
        <v>376</v>
      </c>
      <c r="B6" s="0" t="n">
        <f aca="false">B4+B5</f>
        <v>10.1991</v>
      </c>
      <c r="C6" s="0" t="n">
        <f aca="false">C4+C5</f>
        <v>12.029902</v>
      </c>
      <c r="D6" s="0" t="n">
        <f aca="false">D4+D5</f>
        <v>15.05027456</v>
      </c>
      <c r="E6" s="0" t="n">
        <f aca="false">E4+E5</f>
        <v>18.6713459456</v>
      </c>
      <c r="F6" s="0" t="n">
        <f aca="false">F4+F5</f>
        <v>22.522042053632</v>
      </c>
      <c r="G6" s="0" t="n">
        <f aca="false">G4+G5</f>
        <v>26.4160096232858</v>
      </c>
      <c r="H6" s="0" t="n">
        <f aca="false">H4+H5</f>
        <v>30.2484110667786</v>
      </c>
      <c r="I6" s="0" t="n">
        <f aca="false">I4+I5</f>
        <v>33.7902203947921</v>
      </c>
      <c r="J6" s="0" t="n">
        <f aca="false">J4+J5</f>
        <v>37.1092424342713</v>
      </c>
      <c r="K6" s="0" t="n">
        <f aca="false">K4+K5</f>
        <v>40.053981829013</v>
      </c>
    </row>
    <row r="7" customFormat="false" ht="15" hidden="false" customHeight="false" outlineLevel="0" collapsed="false">
      <c r="A7" s="0" t="s">
        <v>377</v>
      </c>
      <c r="B7" s="0" t="n">
        <f aca="false">Assumptions!E46</f>
        <v>10</v>
      </c>
      <c r="C7" s="0" t="n">
        <f aca="false">Assumptions!F46</f>
        <v>12</v>
      </c>
      <c r="D7" s="0" t="n">
        <f aca="false">Assumptions!G46</f>
        <v>16</v>
      </c>
      <c r="E7" s="0" t="n">
        <f aca="false">Assumptions!H46</f>
        <v>20</v>
      </c>
      <c r="F7" s="0" t="n">
        <f aca="false">Assumptions!I46</f>
        <v>24</v>
      </c>
      <c r="G7" s="0" t="n">
        <f aca="false">Assumptions!J46</f>
        <v>27</v>
      </c>
      <c r="H7" s="0" t="n">
        <f aca="false">Assumptions!K46</f>
        <v>29</v>
      </c>
      <c r="I7" s="0" t="n">
        <f aca="false">Assumptions!L46</f>
        <v>30</v>
      </c>
      <c r="J7" s="0" t="n">
        <f aca="false">Assumptions!M46</f>
        <v>31</v>
      </c>
      <c r="K7" s="0" t="n">
        <f aca="false">Assumptions!N46</f>
        <v>32</v>
      </c>
    </row>
    <row r="8" customFormat="false" ht="15" hidden="false" customHeight="false" outlineLevel="0" collapsed="false">
      <c r="A8" s="0" t="s">
        <v>378</v>
      </c>
      <c r="B8" s="0" t="n">
        <f aca="false">B6*B7/100</f>
        <v>1.01991</v>
      </c>
      <c r="C8" s="0" t="n">
        <f aca="false">C6*C7/100</f>
        <v>1.44358824</v>
      </c>
      <c r="D8" s="0" t="n">
        <f aca="false">D6*D7/100</f>
        <v>2.4080439296</v>
      </c>
      <c r="E8" s="0" t="n">
        <f aca="false">E6*E7/100</f>
        <v>3.73426918912</v>
      </c>
      <c r="F8" s="0" t="n">
        <f aca="false">F6*F7/100</f>
        <v>5.40529009287168</v>
      </c>
      <c r="G8" s="0" t="n">
        <f aca="false">G6*G7/100</f>
        <v>7.13232259828715</v>
      </c>
      <c r="H8" s="0" t="n">
        <f aca="false">H6*H7/100</f>
        <v>8.7720392093658</v>
      </c>
      <c r="I8" s="0" t="n">
        <f aca="false">I6*I7/100</f>
        <v>10.1370661184376</v>
      </c>
      <c r="J8" s="0" t="n">
        <f aca="false">J6*J7/100</f>
        <v>11.5038651546241</v>
      </c>
      <c r="K8" s="0" t="n">
        <f aca="false">K6*K7/100</f>
        <v>12.8172741852841</v>
      </c>
    </row>
    <row r="9" customFormat="false" ht="15" hidden="false" customHeight="false" outlineLevel="0" collapsed="false">
      <c r="A9" s="0" t="s">
        <v>379</v>
      </c>
      <c r="B9" s="0" t="n">
        <f aca="false">Assumptions!E47</f>
        <v>4.28</v>
      </c>
      <c r="C9" s="0" t="n">
        <f aca="false">Assumptions!F47</f>
        <v>4.13</v>
      </c>
      <c r="D9" s="0" t="n">
        <f aca="false">Assumptions!G47</f>
        <v>3.98</v>
      </c>
      <c r="E9" s="0" t="n">
        <f aca="false">Assumptions!H47</f>
        <v>3.82</v>
      </c>
      <c r="F9" s="0" t="n">
        <f aca="false">Assumptions!I47</f>
        <v>3.67</v>
      </c>
      <c r="G9" s="0" t="n">
        <f aca="false">Assumptions!J47</f>
        <v>3.52</v>
      </c>
      <c r="H9" s="0" t="n">
        <f aca="false">Assumptions!K47</f>
        <v>3.37</v>
      </c>
      <c r="I9" s="0" t="n">
        <f aca="false">Assumptions!L47</f>
        <v>3.21</v>
      </c>
      <c r="J9" s="0" t="n">
        <f aca="false">Assumptions!M47</f>
        <v>3.06</v>
      </c>
      <c r="K9" s="0" t="n">
        <f aca="false">Assumptions!N47</f>
        <v>2.91</v>
      </c>
    </row>
    <row r="10" customFormat="false" ht="15" hidden="false" customHeight="false" outlineLevel="0" collapsed="false">
      <c r="A10" s="0" t="s">
        <v>380</v>
      </c>
      <c r="B10" s="0" t="n">
        <f aca="false">B6*B9/100</f>
        <v>0.43652148</v>
      </c>
      <c r="C10" s="0" t="n">
        <f aca="false">C6*C9/100</f>
        <v>0.4968349526</v>
      </c>
      <c r="D10" s="0" t="n">
        <f aca="false">D6*D9/100</f>
        <v>0.599000927488</v>
      </c>
      <c r="E10" s="0" t="n">
        <f aca="false">E6*E9/100</f>
        <v>0.71324541512192</v>
      </c>
      <c r="F10" s="0" t="n">
        <f aca="false">F6*F9/100</f>
        <v>0.826558943368294</v>
      </c>
      <c r="G10" s="0" t="n">
        <f aca="false">G6*G9/100</f>
        <v>0.929843538739658</v>
      </c>
      <c r="H10" s="0" t="n">
        <f aca="false">H6*H9/100</f>
        <v>1.01937145295044</v>
      </c>
      <c r="I10" s="0" t="n">
        <f aca="false">I6*I9/100</f>
        <v>1.08466607467283</v>
      </c>
      <c r="J10" s="0" t="n">
        <f aca="false">J6*J9/100</f>
        <v>1.1355428184887</v>
      </c>
      <c r="K10" s="0" t="n">
        <f aca="false">K6*K9/100</f>
        <v>1.16557087122428</v>
      </c>
    </row>
    <row r="11" customFormat="false" ht="15" hidden="false" customHeight="false" outlineLevel="0" collapsed="false">
      <c r="A11" s="0" t="s">
        <v>381</v>
      </c>
      <c r="B11" s="0" t="n">
        <f aca="false">Assumptions!E49</f>
        <v>22</v>
      </c>
      <c r="C11" s="0" t="n">
        <f aca="false">Assumptions!F49</f>
        <v>20</v>
      </c>
      <c r="D11" s="0" t="n">
        <f aca="false">Assumptions!G49</f>
        <v>18</v>
      </c>
      <c r="E11" s="0" t="n">
        <f aca="false">Assumptions!H49</f>
        <v>16</v>
      </c>
      <c r="F11" s="0" t="n">
        <f aca="false">Assumptions!I49</f>
        <v>14</v>
      </c>
      <c r="G11" s="0" t="n">
        <f aca="false">Assumptions!J49</f>
        <v>13</v>
      </c>
      <c r="H11" s="0" t="n">
        <f aca="false">Assumptions!K49</f>
        <v>12</v>
      </c>
      <c r="I11" s="0" t="n">
        <f aca="false">Assumptions!L49</f>
        <v>11</v>
      </c>
      <c r="J11" s="0" t="n">
        <f aca="false">Assumptions!M49</f>
        <v>10</v>
      </c>
      <c r="K11" s="0" t="n">
        <f aca="false">Assumptions!N49</f>
        <v>10</v>
      </c>
    </row>
    <row r="12" customFormat="false" ht="15" hidden="false" customHeight="false" outlineLevel="0" collapsed="false">
      <c r="A12" s="0" t="s">
        <v>382</v>
      </c>
      <c r="B12" s="0" t="n">
        <f aca="false">B6*B11/100</f>
        <v>2.243802</v>
      </c>
      <c r="C12" s="0" t="n">
        <f aca="false">C6*C11/100</f>
        <v>2.4059804</v>
      </c>
      <c r="D12" s="0" t="n">
        <f aca="false">D6*D11/100</f>
        <v>2.7090494208</v>
      </c>
      <c r="E12" s="0" t="n">
        <f aca="false">E6*E11/100</f>
        <v>2.987415351296</v>
      </c>
      <c r="F12" s="0" t="n">
        <f aca="false">F6*F11/100</f>
        <v>3.15308588750848</v>
      </c>
      <c r="G12" s="0" t="n">
        <f aca="false">G6*G11/100</f>
        <v>3.43408125102715</v>
      </c>
      <c r="H12" s="0" t="n">
        <f aca="false">H6*H11/100</f>
        <v>3.62980932801343</v>
      </c>
      <c r="I12" s="0" t="n">
        <f aca="false">I6*I11/100</f>
        <v>3.71692424342713</v>
      </c>
      <c r="J12" s="0" t="n">
        <f aca="false">J6*J11/100</f>
        <v>3.71092424342713</v>
      </c>
      <c r="K12" s="0" t="n">
        <f aca="false">K6*K11/100</f>
        <v>4.0053981829013</v>
      </c>
    </row>
    <row r="13" customFormat="false" ht="15" hidden="false" customHeight="false" outlineLevel="0" collapsed="false">
      <c r="A13" s="1" t="s">
        <v>383</v>
      </c>
      <c r="B13" s="0" t="n">
        <f aca="false">B8-B10-B12</f>
        <v>-1.66041348</v>
      </c>
      <c r="C13" s="0" t="n">
        <f aca="false">C8-C10-C12</f>
        <v>-1.4592271126</v>
      </c>
      <c r="D13" s="0" t="n">
        <f aca="false">D8-D10-D12</f>
        <v>-0.900006418688</v>
      </c>
      <c r="E13" s="0" t="n">
        <f aca="false">E8-E10-E12</f>
        <v>0.0336084227020796</v>
      </c>
      <c r="F13" s="0" t="n">
        <f aca="false">F8-F10-F12</f>
        <v>1.42564526199491</v>
      </c>
      <c r="G13" s="0" t="n">
        <f aca="false">G8-G10-G12</f>
        <v>2.76839780852035</v>
      </c>
      <c r="H13" s="0" t="n">
        <f aca="false">H8-H10-H12</f>
        <v>4.12285842840192</v>
      </c>
      <c r="I13" s="0" t="n">
        <f aca="false">I8-I10-I12</f>
        <v>5.33547580033766</v>
      </c>
      <c r="J13" s="0" t="n">
        <f aca="false">J8-J10-J12</f>
        <v>6.65739809270826</v>
      </c>
      <c r="K13" s="0" t="n">
        <f aca="false">K8-K10-K12</f>
        <v>7.64630513115857</v>
      </c>
    </row>
    <row r="14" customFormat="false" ht="15" hidden="false" customHeight="false" outlineLevel="0" collapsed="false">
      <c r="A14" s="0" t="s">
        <v>384</v>
      </c>
      <c r="B14" s="0" t="n">
        <f aca="false">Assumptions!E48</f>
        <v>22</v>
      </c>
      <c r="C14" s="0" t="n">
        <f aca="false">Assumptions!F48</f>
        <v>20</v>
      </c>
      <c r="D14" s="0" t="n">
        <f aca="false">Assumptions!G48</f>
        <v>18</v>
      </c>
      <c r="E14" s="0" t="n">
        <f aca="false">Assumptions!H48</f>
        <v>16</v>
      </c>
      <c r="F14" s="0" t="n">
        <f aca="false">Assumptions!I48</f>
        <v>14</v>
      </c>
      <c r="G14" s="0" t="n">
        <f aca="false">Assumptions!J48</f>
        <v>13</v>
      </c>
      <c r="H14" s="0" t="n">
        <f aca="false">Assumptions!K48</f>
        <v>12</v>
      </c>
      <c r="I14" s="0" t="n">
        <f aca="false">Assumptions!L48</f>
        <v>11</v>
      </c>
      <c r="J14" s="0" t="n">
        <f aca="false">Assumptions!M48</f>
        <v>10</v>
      </c>
      <c r="K14" s="0" t="n">
        <f aca="false">Assumptions!N48</f>
        <v>10</v>
      </c>
    </row>
    <row r="15" customFormat="false" ht="15" hidden="false" customHeight="false" outlineLevel="0" collapsed="false">
      <c r="A15" s="0" t="s">
        <v>385</v>
      </c>
      <c r="B15" s="0" t="n">
        <f aca="false">B6*B14/100</f>
        <v>2.243802</v>
      </c>
      <c r="C15" s="0" t="n">
        <f aca="false">C6*C14/100</f>
        <v>2.4059804</v>
      </c>
      <c r="D15" s="0" t="n">
        <f aca="false">D6*D14/100</f>
        <v>2.7090494208</v>
      </c>
      <c r="E15" s="0" t="n">
        <f aca="false">E6*E14/100</f>
        <v>2.987415351296</v>
      </c>
      <c r="F15" s="0" t="n">
        <f aca="false">F6*F14/100</f>
        <v>3.15308588750848</v>
      </c>
      <c r="G15" s="0" t="n">
        <f aca="false">G6*G14/100</f>
        <v>3.43408125102715</v>
      </c>
      <c r="H15" s="0" t="n">
        <f aca="false">H6*H14/100</f>
        <v>3.62980932801343</v>
      </c>
      <c r="I15" s="0" t="n">
        <f aca="false">I6*I14/100</f>
        <v>3.71692424342713</v>
      </c>
      <c r="J15" s="0" t="n">
        <f aca="false">J6*J14/100</f>
        <v>3.71092424342713</v>
      </c>
      <c r="K15" s="0" t="n">
        <f aca="false">K6*K14/100</f>
        <v>4.0053981829013</v>
      </c>
    </row>
    <row r="16" customFormat="false" ht="15" hidden="false" customHeight="false" outlineLevel="0" collapsed="false">
      <c r="A16" s="0" t="s">
        <v>386</v>
      </c>
      <c r="B16" s="4" t="n">
        <v>0.048</v>
      </c>
      <c r="C16" s="4" t="n">
        <v>0.092</v>
      </c>
      <c r="D16" s="4" t="n">
        <v>0.151</v>
      </c>
      <c r="E16" s="4" t="n">
        <v>0.181</v>
      </c>
      <c r="F16" s="4" t="n">
        <v>0.193</v>
      </c>
      <c r="G16" s="4" t="n">
        <v>0.195</v>
      </c>
      <c r="H16" s="4" t="n">
        <v>0.192</v>
      </c>
      <c r="I16" s="4" t="n">
        <v>0.177</v>
      </c>
      <c r="J16" s="4" t="n">
        <v>0.166</v>
      </c>
      <c r="K16" s="4" t="n">
        <v>0.147</v>
      </c>
    </row>
    <row r="17" customFormat="false" ht="15" hidden="false" customHeight="false" outlineLevel="0" collapsed="false">
      <c r="A17" s="0" t="s">
        <v>387</v>
      </c>
      <c r="B17" s="0" t="n">
        <f aca="false">Assumptions!$B$7</f>
        <v>8.258</v>
      </c>
      <c r="C17" s="0" t="n">
        <f aca="false">MAX(0,B17-MAX(B13,0))</f>
        <v>8.258</v>
      </c>
      <c r="D17" s="0" t="n">
        <f aca="false">MAX(0,C17-MAX(C13,0))</f>
        <v>8.258</v>
      </c>
      <c r="E17" s="0" t="n">
        <f aca="false">MAX(0,D17-MAX(D13,0))</f>
        <v>8.258</v>
      </c>
      <c r="F17" s="0" t="n">
        <f aca="false">MAX(0,E17-MAX(E13,0))</f>
        <v>8.22439157729792</v>
      </c>
      <c r="G17" s="0" t="n">
        <f aca="false">MAX(0,F17-MAX(F13,0))</f>
        <v>6.79874631530301</v>
      </c>
      <c r="H17" s="0" t="n">
        <f aca="false">MAX(0,G17-MAX(G13,0))</f>
        <v>4.03034850678267</v>
      </c>
      <c r="I17" s="0" t="n">
        <f aca="false">MAX(0,H17-MAX(H13,0))</f>
        <v>0</v>
      </c>
      <c r="J17" s="0" t="n">
        <f aca="false">MAX(0,I17-MAX(I13,0))</f>
        <v>0</v>
      </c>
      <c r="K17" s="0" t="n">
        <f aca="false">MAX(0,J17-MAX(J13,0))</f>
        <v>0</v>
      </c>
    </row>
    <row r="18" customFormat="false" ht="15" hidden="false" customHeight="false" outlineLevel="0" collapsed="false">
      <c r="A18" s="0" t="s">
        <v>388</v>
      </c>
      <c r="B18" s="0" t="n">
        <f aca="false">MAX(0,MAX(B13,0)-B17)*Assumptions!$B$8/100</f>
        <v>0</v>
      </c>
      <c r="C18" s="0" t="n">
        <f aca="false">MAX(0,MAX(C13,0)-C17)*Assumptions!$B$8/100</f>
        <v>0</v>
      </c>
      <c r="D18" s="0" t="n">
        <f aca="false">MAX(0,MAX(D13,0)-D17)*Assumptions!$B$8/100</f>
        <v>0</v>
      </c>
      <c r="E18" s="0" t="n">
        <f aca="false">MAX(0,MAX(E13,0)-E17)*Assumptions!$B$8/100</f>
        <v>0</v>
      </c>
      <c r="F18" s="0" t="n">
        <f aca="false">MAX(0,MAX(F13,0)-F17)*Assumptions!$B$8/100</f>
        <v>0</v>
      </c>
      <c r="G18" s="0" t="n">
        <f aca="false">MAX(0,MAX(G13,0)-G17)*Assumptions!$B$8/100</f>
        <v>0</v>
      </c>
      <c r="H18" s="0" t="n">
        <f aca="false">MAX(0,MAX(H13,0)-H17)*Assumptions!$B$8/100</f>
        <v>0.0259027780533925</v>
      </c>
      <c r="I18" s="0" t="n">
        <f aca="false">MAX(0,MAX(I13,0)-I17)*Assumptions!$B$8/100</f>
        <v>1.49393322409455</v>
      </c>
      <c r="J18" s="0" t="n">
        <f aca="false">MAX(0,MAX(J13,0)-J17)*Assumptions!$B$8/100</f>
        <v>1.86407146595831</v>
      </c>
      <c r="K18" s="0" t="n">
        <f aca="false">MAX(0,MAX(K13,0)-K17)*Assumptions!$B$8/100</f>
        <v>2.1409654367244</v>
      </c>
    </row>
    <row r="19" customFormat="false" ht="15" hidden="false" customHeight="false" outlineLevel="0" collapsed="false">
      <c r="A19" s="1" t="s">
        <v>389</v>
      </c>
      <c r="B19" s="0" t="n">
        <f aca="false">B13-B18+B12-B15+B16</f>
        <v>-1.61241348</v>
      </c>
      <c r="C19" s="0" t="n">
        <f aca="false">C13-C18+C12-C15+C16</f>
        <v>-1.3672271126</v>
      </c>
      <c r="D19" s="0" t="n">
        <f aca="false">D13-D18+D12-D15+D16</f>
        <v>-0.749006418688</v>
      </c>
      <c r="E19" s="0" t="n">
        <f aca="false">E13-E18+E12-E15+E16</f>
        <v>0.21460842270208</v>
      </c>
      <c r="F19" s="0" t="n">
        <f aca="false">F13-F18+F12-F15+F16</f>
        <v>1.61864526199491</v>
      </c>
      <c r="G19" s="0" t="n">
        <f aca="false">G13-G18+G12-G15+G16</f>
        <v>2.96339780852035</v>
      </c>
      <c r="H19" s="0" t="n">
        <f aca="false">H13-H18+H12-H15+H16</f>
        <v>4.28895565034853</v>
      </c>
      <c r="I19" s="0" t="n">
        <f aca="false">I13-I18+I12-I15+I16</f>
        <v>4.01854257624312</v>
      </c>
      <c r="J19" s="0" t="n">
        <f aca="false">J13-J18+J12-J15+J16</f>
        <v>4.95932662674995</v>
      </c>
      <c r="K19" s="0" t="n">
        <f aca="false">K13-K18+K12-K15+K16</f>
        <v>5.65233969443417</v>
      </c>
    </row>
    <row r="20" customFormat="false" ht="15" hidden="false" customHeight="false" outlineLevel="0" collapsed="false">
      <c r="A20" s="0" t="s">
        <v>390</v>
      </c>
      <c r="B20" s="0" t="n">
        <f aca="false">Assumptions!$B$51</f>
        <v>16</v>
      </c>
    </row>
    <row r="21" customFormat="false" ht="15" hidden="false" customHeight="false" outlineLevel="0" collapsed="false">
      <c r="A21" s="0" t="s">
        <v>391</v>
      </c>
      <c r="B21" s="0" t="n">
        <f aca="false">1/(1+$B$20/100)^1</f>
        <v>0.862068965517241</v>
      </c>
      <c r="C21" s="0" t="n">
        <f aca="false">1/(1+$B$20/100)^2</f>
        <v>0.743162901307967</v>
      </c>
      <c r="D21" s="0" t="n">
        <f aca="false">1/(1+$B$20/100)^3</f>
        <v>0.640657673541351</v>
      </c>
      <c r="E21" s="0" t="n">
        <f aca="false">1/(1+$B$20/100)^4</f>
        <v>0.552291097880475</v>
      </c>
      <c r="F21" s="0" t="n">
        <f aca="false">1/(1+$B$20/100)^5</f>
        <v>0.476113015414203</v>
      </c>
      <c r="G21" s="0" t="n">
        <f aca="false">1/(1+$B$20/100)^6</f>
        <v>0.410442254667416</v>
      </c>
      <c r="H21" s="0" t="n">
        <f aca="false">1/(1+$B$20/100)^7</f>
        <v>0.353829529885703</v>
      </c>
      <c r="I21" s="0" t="n">
        <f aca="false">1/(1+$B$20/100)^8</f>
        <v>0.30502545679802</v>
      </c>
      <c r="J21" s="0" t="n">
        <f aca="false">1/(1+$B$20/100)^9</f>
        <v>0.262952979998293</v>
      </c>
      <c r="K21" s="0" t="n">
        <f aca="false">1/(1+$B$20/100)^10</f>
        <v>0.226683603446805</v>
      </c>
    </row>
    <row r="22" customFormat="false" ht="15" hidden="false" customHeight="false" outlineLevel="0" collapsed="false">
      <c r="A22" s="0" t="s">
        <v>392</v>
      </c>
      <c r="B22" s="0" t="n">
        <f aca="false">B19*B21</f>
        <v>-1.39001162068966</v>
      </c>
      <c r="C22" s="0" t="n">
        <f aca="false">C19*C21</f>
        <v>-1.01607246774673</v>
      </c>
      <c r="D22" s="0" t="n">
        <f aca="false">D19*D21</f>
        <v>-0.479856709664193</v>
      </c>
      <c r="E22" s="0" t="n">
        <f aca="false">E19*E21</f>
        <v>0.118526321388529</v>
      </c>
      <c r="F22" s="0" t="n">
        <f aca="false">F19*F21</f>
        <v>0.770658076574306</v>
      </c>
      <c r="G22" s="0" t="n">
        <f aca="false">G19*G21</f>
        <v>1.21630367800557</v>
      </c>
      <c r="H22" s="0" t="n">
        <f aca="false">H19*H21</f>
        <v>1.51755916146345</v>
      </c>
      <c r="I22" s="0" t="n">
        <f aca="false">I19*I21</f>
        <v>1.22575778498085</v>
      </c>
      <c r="J22" s="0" t="n">
        <f aca="false">J19*J21</f>
        <v>1.30406971528878</v>
      </c>
      <c r="K22" s="0" t="n">
        <f aca="false">K19*K21</f>
        <v>1.28129272983975</v>
      </c>
    </row>
    <row r="25" customFormat="false" ht="15" hidden="false" customHeight="false" outlineLevel="0" collapsed="false">
      <c r="A25" s="1" t="s">
        <v>393</v>
      </c>
      <c r="B25" s="0" t="n">
        <f aca="false">SUM(B22:K22)</f>
        <v>4.54822666944066</v>
      </c>
    </row>
    <row r="26" customFormat="false" ht="15" hidden="false" customHeight="false" outlineLevel="0" collapsed="false">
      <c r="A26" s="0" t="s">
        <v>394</v>
      </c>
      <c r="B26" s="0" t="n">
        <f aca="false">K13</f>
        <v>7.64630513115857</v>
      </c>
    </row>
    <row r="27" customFormat="false" ht="15" hidden="false" customHeight="false" outlineLevel="0" collapsed="false">
      <c r="A27" s="0" t="s">
        <v>395</v>
      </c>
      <c r="B27" s="0" t="n">
        <f aca="false">K18</f>
        <v>2.1409654367244</v>
      </c>
    </row>
    <row r="28" customFormat="false" ht="15" hidden="false" customHeight="false" outlineLevel="0" collapsed="false">
      <c r="A28" s="0" t="s">
        <v>396</v>
      </c>
      <c r="B28" s="0" t="n">
        <f aca="false">K19</f>
        <v>5.65233969443417</v>
      </c>
    </row>
    <row r="29" customFormat="false" ht="15" hidden="false" customHeight="false" outlineLevel="0" collapsed="false">
      <c r="A29" s="0" t="s">
        <v>397</v>
      </c>
      <c r="B29" s="0" t="n">
        <f aca="false">B28+B27-MAX(B26,0)*Assumptions!$B$8/100</f>
        <v>5.65233969443417</v>
      </c>
    </row>
    <row r="30" customFormat="false" ht="15" hidden="false" customHeight="false" outlineLevel="0" collapsed="false">
      <c r="A30" s="0" t="s">
        <v>398</v>
      </c>
      <c r="B30" s="0" t="n">
        <f aca="false">Assumptions!$B$52</f>
        <v>3</v>
      </c>
    </row>
    <row r="31" customFormat="false" ht="15" hidden="false" customHeight="false" outlineLevel="0" collapsed="false">
      <c r="A31" s="0" t="s">
        <v>399</v>
      </c>
      <c r="B31" s="0" t="n">
        <f aca="false">Assumptions!$B$53</f>
        <v>15</v>
      </c>
    </row>
    <row r="32" customFormat="false" ht="15" hidden="false" customHeight="false" outlineLevel="0" collapsed="false">
      <c r="A32" s="0" t="s">
        <v>400</v>
      </c>
      <c r="B32" s="0" t="n">
        <f aca="false">B29*(1+B30/100)/($B$20/100-B30/100)</f>
        <v>44.7839221943631</v>
      </c>
    </row>
    <row r="33" customFormat="false" ht="15" hidden="false" customHeight="false" outlineLevel="0" collapsed="false">
      <c r="A33" s="0" t="s">
        <v>401</v>
      </c>
      <c r="B33" s="0" t="n">
        <f aca="false">B29*B31</f>
        <v>84.7850954165126</v>
      </c>
    </row>
    <row r="34" customFormat="false" ht="15" hidden="false" customHeight="false" outlineLevel="0" collapsed="false">
      <c r="A34" s="1" t="s">
        <v>402</v>
      </c>
      <c r="B34" s="0" t="n">
        <f aca="false">MAX(0,MIN(B32,B33))</f>
        <v>44.7839221943631</v>
      </c>
    </row>
    <row r="35" customFormat="false" ht="15" hidden="false" customHeight="false" outlineLevel="0" collapsed="false">
      <c r="A35" s="0" t="s">
        <v>403</v>
      </c>
      <c r="B35" s="0" t="n">
        <f aca="false">B34*K21</f>
        <v>10.1517808594995</v>
      </c>
    </row>
    <row r="36" customFormat="false" ht="15" hidden="false" customHeight="false" outlineLevel="0" collapsed="false">
      <c r="A36" s="1" t="s">
        <v>404</v>
      </c>
      <c r="B36" s="0" t="n">
        <f aca="false">B25+B35</f>
        <v>14.7000075289402</v>
      </c>
    </row>
    <row r="37" customFormat="false" ht="15" hidden="false" customHeight="false" outlineLevel="0" collapsed="false">
      <c r="A37" s="0" t="s">
        <v>405</v>
      </c>
      <c r="B37" s="0" t="n">
        <f aca="false">Assumptions!$B$4</f>
        <v>-4.521</v>
      </c>
    </row>
    <row r="38" customFormat="false" ht="15" hidden="false" customHeight="false" outlineLevel="0" collapsed="false">
      <c r="A38" s="1" t="s">
        <v>406</v>
      </c>
      <c r="B38" s="0" t="n">
        <f aca="false">B36-B37</f>
        <v>19.2210075289402</v>
      </c>
    </row>
    <row r="39" customFormat="false" ht="15" hidden="false" customHeight="false" outlineLevel="0" collapsed="false">
      <c r="A39" s="0" t="s">
        <v>407</v>
      </c>
      <c r="B39" s="0" t="n">
        <f aca="false">Assumptions!$B$3</f>
        <v>164.246</v>
      </c>
    </row>
    <row r="40" customFormat="false" ht="15" hidden="false" customHeight="false" outlineLevel="0" collapsed="false">
      <c r="A40" s="1" t="s">
        <v>408</v>
      </c>
      <c r="B40" s="0" t="n">
        <f aca="false">B38/B39</f>
        <v>0.117025726830122</v>
      </c>
    </row>
    <row r="42" customFormat="false" ht="15" hidden="false" customHeight="false" outlineLevel="0" collapsed="false">
      <c r="A42" s="1" t="s">
        <v>409</v>
      </c>
    </row>
    <row r="43" customFormat="false" ht="15" hidden="false" customHeight="false" outlineLevel="0" collapsed="false">
      <c r="A43" s="0" t="s">
        <v>410</v>
      </c>
      <c r="B43" s="0" t="n">
        <f aca="false">SUMPRODUCT(B10:K10,B21:K21)</f>
        <v>3.55274176911321</v>
      </c>
    </row>
    <row r="44" customFormat="false" ht="15" hidden="false" customHeight="false" outlineLevel="0" collapsed="false">
      <c r="A44" s="0" t="s">
        <v>411</v>
      </c>
      <c r="B44" s="0" t="n">
        <f aca="false">K10*(1+B30/100)/($B$20/100-B30/100)</f>
        <v>9.23490767200773</v>
      </c>
    </row>
    <row r="45" customFormat="false" ht="15" hidden="false" customHeight="false" outlineLevel="0" collapsed="false">
      <c r="A45" s="0" t="s">
        <v>412</v>
      </c>
      <c r="B45" s="0" t="n">
        <f aca="false">B44*K21</f>
        <v>2.09340214858925</v>
      </c>
    </row>
    <row r="46" customFormat="false" ht="15" hidden="false" customHeight="false" outlineLevel="0" collapsed="false">
      <c r="A46" s="0" t="s">
        <v>413</v>
      </c>
      <c r="B46" s="0" t="n">
        <f aca="false">B38+B43+B45</f>
        <v>24.8671514466427</v>
      </c>
    </row>
    <row r="47" customFormat="false" ht="15" hidden="false" customHeight="false" outlineLevel="0" collapsed="false">
      <c r="A47" s="1" t="s">
        <v>414</v>
      </c>
      <c r="B47" s="0" t="n">
        <f aca="false">B46/B39</f>
        <v>0.151401869431479</v>
      </c>
    </row>
    <row r="49" customFormat="false" ht="15" hidden="false" customHeight="false" outlineLevel="0" collapsed="false">
      <c r="A49" s="1" t="s">
        <v>415</v>
      </c>
    </row>
    <row r="50" customFormat="false" ht="15" hidden="false" customHeight="false" outlineLevel="0" collapsed="false">
      <c r="A50" s="0" t="s">
        <v>416</v>
      </c>
      <c r="B50" s="0" t="n">
        <f aca="false">Assumptions!$B$5</f>
        <v>15</v>
      </c>
    </row>
    <row r="51" customFormat="false" ht="15" hidden="false" customHeight="false" outlineLevel="0" collapsed="false">
      <c r="A51" s="0" t="s">
        <v>417</v>
      </c>
      <c r="B51" s="0" t="n">
        <f aca="false">1/(1+$B$50/100)^1</f>
        <v>0.869565217391304</v>
      </c>
      <c r="C51" s="0" t="n">
        <f aca="false">1/(1+$B$50/100)^2</f>
        <v>0.756143667296787</v>
      </c>
      <c r="D51" s="0" t="n">
        <f aca="false">1/(1+$B$50/100)^3</f>
        <v>0.657516232431988</v>
      </c>
      <c r="E51" s="0" t="n">
        <f aca="false">1/(1+$B$50/100)^4</f>
        <v>0.571753245593033</v>
      </c>
      <c r="F51" s="0" t="n">
        <f aca="false">1/(1+$B$50/100)^5</f>
        <v>0.49717673529829</v>
      </c>
      <c r="G51" s="0" t="n">
        <f aca="false">1/(1+$B$50/100)^6</f>
        <v>0.432327595911556</v>
      </c>
      <c r="H51" s="0" t="n">
        <f aca="false">1/(1+$B$50/100)^7</f>
        <v>0.375937039923093</v>
      </c>
      <c r="I51" s="0" t="n">
        <f aca="false">1/(1+$B$50/100)^8</f>
        <v>0.326901773846168</v>
      </c>
      <c r="J51" s="0" t="n">
        <f aca="false">1/(1+$B$50/100)^9</f>
        <v>0.284262412040146</v>
      </c>
      <c r="K51" s="0" t="n">
        <f aca="false">1/(1+$B$50/100)^10</f>
        <v>0.247184706121866</v>
      </c>
    </row>
    <row r="52" customFormat="false" ht="15" hidden="false" customHeight="false" outlineLevel="0" collapsed="false">
      <c r="A52" s="0" t="s">
        <v>418</v>
      </c>
      <c r="B52" s="0" t="n">
        <f aca="false">SUMPRODUCT(B19:K19,B51:K51)</f>
        <v>5.01317986305863</v>
      </c>
    </row>
    <row r="53" customFormat="false" ht="15" hidden="false" customHeight="false" outlineLevel="0" collapsed="false">
      <c r="A53" s="0" t="s">
        <v>419</v>
      </c>
      <c r="B53" s="0" t="n">
        <f aca="false">B29*(1+B30/100)/($B$50/100-B30/100)</f>
        <v>48.51591571056</v>
      </c>
    </row>
    <row r="54" customFormat="false" ht="15" hidden="false" customHeight="false" outlineLevel="0" collapsed="false">
      <c r="A54" s="0" t="s">
        <v>420</v>
      </c>
      <c r="B54" s="0" t="n">
        <f aca="false">B29*B31</f>
        <v>84.7850954165126</v>
      </c>
    </row>
    <row r="55" customFormat="false" ht="15" hidden="false" customHeight="false" outlineLevel="0" collapsed="false">
      <c r="A55" s="0" t="s">
        <v>421</v>
      </c>
      <c r="B55" s="0" t="n">
        <f aca="false">MAX(0,MIN(B53,B54))</f>
        <v>48.51591571056</v>
      </c>
    </row>
    <row r="56" customFormat="false" ht="15" hidden="false" customHeight="false" outlineLevel="0" collapsed="false">
      <c r="A56" s="0" t="s">
        <v>422</v>
      </c>
      <c r="B56" s="0" t="n">
        <f aca="false">B55*K51</f>
        <v>11.992392367148</v>
      </c>
    </row>
    <row r="57" customFormat="false" ht="15" hidden="false" customHeight="false" outlineLevel="0" collapsed="false">
      <c r="A57" s="0" t="s">
        <v>423</v>
      </c>
      <c r="B57" s="0" t="n">
        <f aca="false">B52+B56-B37</f>
        <v>21.5265722302066</v>
      </c>
    </row>
    <row r="58" customFormat="false" ht="15" hidden="false" customHeight="false" outlineLevel="0" collapsed="false">
      <c r="A58" s="1" t="s">
        <v>424</v>
      </c>
      <c r="B58" s="0" t="n">
        <f aca="false">B57/B39</f>
        <v>0.131062992281131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1" min="1" style="0" width="13"/>
  </cols>
  <sheetData>
    <row r="1" customFormat="false" ht="15" hidden="false" customHeight="false" outlineLevel="0" collapsed="false">
      <c r="A1" s="1" t="s">
        <v>427</v>
      </c>
    </row>
    <row r="3" customFormat="false" ht="15" hidden="false" customHeight="false" outlineLevel="0" collapsed="false">
      <c r="A3" s="1" t="s">
        <v>428</v>
      </c>
      <c r="B3" s="1" t="s">
        <v>369</v>
      </c>
      <c r="C3" s="1" t="s">
        <v>429</v>
      </c>
      <c r="D3" s="1" t="s">
        <v>430</v>
      </c>
      <c r="E3" s="1" t="s">
        <v>431</v>
      </c>
    </row>
    <row r="4" customFormat="false" ht="15" hidden="false" customHeight="false" outlineLevel="0" collapsed="false">
      <c r="A4" s="0" t="s">
        <v>432</v>
      </c>
      <c r="B4" s="4" t="n">
        <v>0.25</v>
      </c>
      <c r="C4" s="0" t="n">
        <f aca="false">DCF_Bear!B40</f>
        <v>0.00487496851012862</v>
      </c>
      <c r="D4" s="0" t="n">
        <f aca="false">DCF_Bear!B47</f>
        <v>0.0213713779454875</v>
      </c>
      <c r="E4" s="0" t="n">
        <f aca="false">DCF_Bear!B58</f>
        <v>0.00496170694880024</v>
      </c>
    </row>
    <row r="5" customFormat="false" ht="15" hidden="false" customHeight="false" outlineLevel="0" collapsed="false">
      <c r="A5" s="0" t="s">
        <v>433</v>
      </c>
      <c r="B5" s="4" t="n">
        <v>0.5</v>
      </c>
      <c r="C5" s="0" t="n">
        <f aca="false">DCF_Base!B40</f>
        <v>0.0468288021380585</v>
      </c>
      <c r="D5" s="0" t="n">
        <f aca="false">DCF_Base!B47</f>
        <v>0.0692016066219263</v>
      </c>
      <c r="E5" s="0" t="n">
        <f aca="false">DCF_Base!B58</f>
        <v>0.0517399234045446</v>
      </c>
    </row>
    <row r="6" customFormat="false" ht="15" hidden="false" customHeight="false" outlineLevel="0" collapsed="false">
      <c r="A6" s="0" t="s">
        <v>434</v>
      </c>
      <c r="B6" s="4" t="n">
        <v>0.25</v>
      </c>
      <c r="C6" s="0" t="n">
        <f aca="false">DCF_Bull!B40</f>
        <v>0.117025726830122</v>
      </c>
      <c r="D6" s="0" t="n">
        <f aca="false">DCF_Bull!B47</f>
        <v>0.151401869431479</v>
      </c>
      <c r="E6" s="0" t="n">
        <f aca="false">DCF_Bull!B58</f>
        <v>0.131062992281131</v>
      </c>
    </row>
    <row r="8" customFormat="false" ht="15" hidden="false" customHeight="false" outlineLevel="0" collapsed="false">
      <c r="A8" s="1" t="s">
        <v>435</v>
      </c>
      <c r="B8" s="0" t="n">
        <f aca="false">SUMPRODUCT(B4:B6,C4:C6)</f>
        <v>0.0538895749040919</v>
      </c>
    </row>
    <row r="9" customFormat="false" ht="15" hidden="false" customHeight="false" outlineLevel="0" collapsed="false">
      <c r="A9" s="1" t="s">
        <v>436</v>
      </c>
      <c r="B9" s="0" t="n">
        <f aca="false">SUMPRODUCT(B4:B6,D4:D6)</f>
        <v>0.0777941151552047</v>
      </c>
    </row>
    <row r="10" customFormat="false" ht="15" hidden="false" customHeight="false" outlineLevel="0" collapsed="false">
      <c r="A10" s="1" t="s">
        <v>437</v>
      </c>
      <c r="B10" s="0" t="n">
        <f aca="false">SUMPRODUCT(B4:B6,E4:E6)</f>
        <v>0.0598761365097551</v>
      </c>
    </row>
    <row r="11" customFormat="false" ht="15" hidden="false" customHeight="false" outlineLevel="0" collapsed="false">
      <c r="A11" s="0" t="s">
        <v>438</v>
      </c>
      <c r="B11" s="0" t="n">
        <f aca="false">Assumptions!$B$2</f>
        <v>0.23</v>
      </c>
    </row>
    <row r="12" customFormat="false" ht="15" hidden="false" customHeight="false" outlineLevel="0" collapsed="false">
      <c r="A12" s="1" t="s">
        <v>439</v>
      </c>
      <c r="B12" s="0" t="n">
        <f aca="false">(B11-B8)/(B9-B8)*100</f>
        <v>736.72374890251</v>
      </c>
    </row>
    <row r="15" customFormat="false" ht="15" hidden="false" customHeight="false" outlineLevel="0" collapsed="false">
      <c r="A15" s="1" t="s">
        <v>440</v>
      </c>
    </row>
    <row r="16" customFormat="false" ht="15" hidden="false" customHeight="false" outlineLevel="0" collapsed="false">
      <c r="A16" s="1" t="s">
        <v>441</v>
      </c>
      <c r="B16" s="4" t="n">
        <v>9</v>
      </c>
      <c r="C16" s="4" t="n">
        <v>10</v>
      </c>
      <c r="D16" s="4" t="n">
        <v>11</v>
      </c>
      <c r="E16" s="4" t="n">
        <v>12</v>
      </c>
      <c r="F16" s="4" t="n">
        <v>15</v>
      </c>
      <c r="G16" s="4" t="n">
        <v>16</v>
      </c>
    </row>
    <row r="17" customFormat="false" ht="15" hidden="false" customHeight="false" outlineLevel="0" collapsed="false">
      <c r="A17" s="1" t="s">
        <v>442</v>
      </c>
      <c r="B17" s="0" t="n">
        <f aca="false">((DCF_Base!B19/(1+B16/100)^1+DCF_Base!C19/(1+B16/100)^2+DCF_Base!D19/(1+B16/100)^3+DCF_Base!E19/(1+B16/100)^4+DCF_Base!F19/(1+B16/100)^5+DCF_Base!G19/(1+B16/100)^6+DCF_Base!H19/(1+B16/100)^7+DCF_Base!I19/(1+B16/100)^8+DCF_Base!J19/(1+B16/100)^9+DCF_Base!K19/(1+B16/100)^10)+MAX(0,MIN(DCF_Base!$B$29*(1+DCF_Base!$B$30/100)/(B16/100-DCF_Base!$B$30/100),DCF_Base!$B$29*DCF_Base!$B$31))*(1/(1+B16/100)^10)-Assumptions!$B$4)/Assumptions!$B$3</f>
        <v>0.115853834466066</v>
      </c>
      <c r="C17" s="0" t="n">
        <f aca="false">((DCF_Base!B19/(1+C16/100)^1+DCF_Base!C19/(1+C16/100)^2+DCF_Base!D19/(1+C16/100)^3+DCF_Base!E19/(1+C16/100)^4+DCF_Base!F19/(1+C16/100)^5+DCF_Base!G19/(1+C16/100)^6+DCF_Base!H19/(1+C16/100)^7+DCF_Base!I19/(1+C16/100)^8+DCF_Base!J19/(1+C16/100)^9+DCF_Base!K19/(1+C16/100)^10)+MAX(0,MIN(DCF_Base!$B$29*(1+DCF_Base!$B$30/100)/(C16/100-DCF_Base!$B$30/100),DCF_Base!$B$29*DCF_Base!$B$31))*(1/(1+C16/100)^10)-Assumptions!$B$4)/Assumptions!$B$3</f>
        <v>0.100275084614985</v>
      </c>
      <c r="D17" s="0" t="n">
        <f aca="false">((DCF_Base!B19/(1+D16/100)^1+DCF_Base!C19/(1+D16/100)^2+DCF_Base!D19/(1+D16/100)^3+DCF_Base!E19/(1+D16/100)^4+DCF_Base!F19/(1+D16/100)^5+DCF_Base!G19/(1+D16/100)^6+DCF_Base!H19/(1+D16/100)^7+DCF_Base!I19/(1+D16/100)^8+DCF_Base!J19/(1+D16/100)^9+DCF_Base!K19/(1+D16/100)^10)+MAX(0,MIN(DCF_Base!$B$29*(1+DCF_Base!$B$30/100)/(D16/100-DCF_Base!$B$30/100),DCF_Base!$B$29*DCF_Base!$B$31))*(1/(1+D16/100)^10)-Assumptions!$B$4)/Assumptions!$B$3</f>
        <v>0.0854389683203178</v>
      </c>
      <c r="E17" s="0" t="n">
        <f aca="false">((DCF_Base!B19/(1+E16/100)^1+DCF_Base!C19/(1+E16/100)^2+DCF_Base!D19/(1+E16/100)^3+DCF_Base!E19/(1+E16/100)^4+DCF_Base!F19/(1+E16/100)^5+DCF_Base!G19/(1+E16/100)^6+DCF_Base!H19/(1+E16/100)^7+DCF_Base!I19/(1+E16/100)^8+DCF_Base!J19/(1+E16/100)^9+DCF_Base!K19/(1+E16/100)^10)+MAX(0,MIN(DCF_Base!$B$29*(1+DCF_Base!$B$30/100)/(E16/100-DCF_Base!$B$30/100),DCF_Base!$B$29*DCF_Base!$B$31))*(1/(1+E16/100)^10)-Assumptions!$B$4)/Assumptions!$B$3</f>
        <v>0.0739918417474236</v>
      </c>
      <c r="F17" s="0" t="n">
        <f aca="false">((DCF_Base!B19/(1+F16/100)^1+DCF_Base!C19/(1+F16/100)^2+DCF_Base!D19/(1+F16/100)^3+DCF_Base!E19/(1+F16/100)^4+DCF_Base!F19/(1+F16/100)^5+DCF_Base!G19/(1+F16/100)^6+DCF_Base!H19/(1+F16/100)^7+DCF_Base!I19/(1+F16/100)^8+DCF_Base!J19/(1+F16/100)^9+DCF_Base!K19/(1+F16/100)^10)+MAX(0,MIN(DCF_Base!$B$29*(1+DCF_Base!$B$30/100)/(F16/100-DCF_Base!$B$30/100),DCF_Base!$B$29*DCF_Base!$B$31))*(1/(1+F16/100)^10)-Assumptions!$B$4)/Assumptions!$B$3</f>
        <v>0.0517399234045446</v>
      </c>
      <c r="G17" s="0" t="n">
        <f aca="false">((DCF_Base!B19/(1+G16/100)^1+DCF_Base!C19/(1+G16/100)^2+DCF_Base!D19/(1+G16/100)^3+DCF_Base!E19/(1+G16/100)^4+DCF_Base!F19/(1+G16/100)^5+DCF_Base!G19/(1+G16/100)^6+DCF_Base!H19/(1+G16/100)^7+DCF_Base!I19/(1+G16/100)^8+DCF_Base!J19/(1+G16/100)^9+DCF_Base!K19/(1+G16/100)^10)+MAX(0,MIN(DCF_Base!$B$29*(1+DCF_Base!$B$30/100)/(G16/100-DCF_Base!$B$30/100),DCF_Base!$B$29*DCF_Base!$B$31))*(1/(1+G16/100)^10)-Assumptions!$B$4)/Assumptions!$B$3</f>
        <v>0.0468288021380585</v>
      </c>
    </row>
    <row r="20" customFormat="false" ht="15" hidden="false" customHeight="false" outlineLevel="0" collapsed="false">
      <c r="A20" s="1" t="s">
        <v>443</v>
      </c>
    </row>
    <row r="21" customFormat="false" ht="15" hidden="false" customHeight="false" outlineLevel="0" collapsed="false">
      <c r="A21" s="0" t="s">
        <v>444</v>
      </c>
      <c r="B21" s="4" t="n">
        <v>1.5</v>
      </c>
      <c r="C21" s="4" t="n">
        <v>2</v>
      </c>
      <c r="D21" s="4" t="n">
        <v>2.5</v>
      </c>
      <c r="E21" s="4" t="n">
        <v>3</v>
      </c>
      <c r="F21" s="4" t="n">
        <v>3.5</v>
      </c>
    </row>
    <row r="22" customFormat="false" ht="15" hidden="false" customHeight="false" outlineLevel="0" collapsed="false">
      <c r="A22" s="4" t="n">
        <v>14</v>
      </c>
      <c r="B22" s="0" t="n">
        <f aca="false">((DCF_Base!B19/(1+14/100)^1+DCF_Base!C19/(1+14/100)^2+DCF_Base!D19/(1+14/100)^3+DCF_Base!E19/(1+14/100)^4+DCF_Base!F19/(1+14/100)^5+DCF_Base!G19/(1+14/100)^6+DCF_Base!H19/(1+14/100)^7+DCF_Base!I19/(1+14/100)^8+DCF_Base!J19/(1+14/100)^9+DCF_Base!K19/(1+14/100)^10)+MAX(0,MIN(DCF_Base!$B$29*(1+1.5/100)/(14/100-1.5/100),DCF_Base!$B$29*DCF_Base!$B$31))/(1+14/100)^10-Assumptions!$B$4)/Assumptions!$B$3</f>
        <v>0.0548918270595728</v>
      </c>
      <c r="C22" s="0" t="n">
        <f aca="false">((DCF_Base!B19/(1+14/100)^1+DCF_Base!C19/(1+14/100)^2+DCF_Base!D19/(1+14/100)^3+DCF_Base!E19/(1+14/100)^4+DCF_Base!F19/(1+14/100)^5+DCF_Base!G19/(1+14/100)^6+DCF_Base!H19/(1+14/100)^7+DCF_Base!I19/(1+14/100)^8+DCF_Base!J19/(1+14/100)^9+DCF_Base!K19/(1+14/100)^10)+MAX(0,MIN(DCF_Base!$B$29*(1+2/100)/(14/100-2/100),DCF_Base!$B$29*DCF_Base!$B$31))/(1+14/100)^10-Assumptions!$B$4)/Assumptions!$B$3</f>
        <v>0.0562274680072642</v>
      </c>
      <c r="D22" s="0" t="n">
        <f aca="false">((DCF_Base!B19/(1+14/100)^1+DCF_Base!C19/(1+14/100)^2+DCF_Base!D19/(1+14/100)^3+DCF_Base!E19/(1+14/100)^4+DCF_Base!F19/(1+14/100)^5+DCF_Base!G19/(1+14/100)^6+DCF_Base!H19/(1+14/100)^7+DCF_Base!I19/(1+14/100)^8+DCF_Base!J19/(1+14/100)^9+DCF_Base!K19/(1+14/100)^10)+MAX(0,MIN(DCF_Base!$B$29*(1+2.5/100)/(14/100-2.5/100),DCF_Base!$B$29*DCF_Base!$B$31))/(1+14/100)^10-Assumptions!$B$4)/Assumptions!$B$3</f>
        <v>0.0576792516460591</v>
      </c>
      <c r="E22" s="0" t="n">
        <f aca="false">((DCF_Base!B19/(1+14/100)^1+DCF_Base!C19/(1+14/100)^2+DCF_Base!D19/(1+14/100)^3+DCF_Base!E19/(1+14/100)^4+DCF_Base!F19/(1+14/100)^5+DCF_Base!G19/(1+14/100)^6+DCF_Base!H19/(1+14/100)^7+DCF_Base!I19/(1+14/100)^8+DCF_Base!J19/(1+14/100)^9+DCF_Base!K19/(1+14/100)^10)+MAX(0,MIN(DCF_Base!$B$29*(1+3/100)/(14/100-3/100),DCF_Base!$B$29*DCF_Base!$B$31))/(1+14/100)^10-Assumptions!$B$4)/Assumptions!$B$3</f>
        <v>0.0592630156156536</v>
      </c>
      <c r="F22" s="0" t="n">
        <f aca="false">((DCF_Base!B19/(1+14/100)^1+DCF_Base!C19/(1+14/100)^2+DCF_Base!D19/(1+14/100)^3+DCF_Base!E19/(1+14/100)^4+DCF_Base!F19/(1+14/100)^5+DCF_Base!G19/(1+14/100)^6+DCF_Base!H19/(1+14/100)^7+DCF_Base!I19/(1+14/100)^8+DCF_Base!J19/(1+14/100)^9+DCF_Base!K19/(1+14/100)^10)+MAX(0,MIN(DCF_Base!$B$29*(1+3.5/100)/(14/100-3.5/100),DCF_Base!$B$29*DCF_Base!$B$31))/(1+14/100)^10-Assumptions!$B$4)/Assumptions!$B$3</f>
        <v>0.0609976142490189</v>
      </c>
    </row>
    <row r="23" customFormat="false" ht="15" hidden="false" customHeight="false" outlineLevel="0" collapsed="false">
      <c r="A23" s="4" t="n">
        <v>15</v>
      </c>
      <c r="B23" s="0" t="n">
        <f aca="false">((DCF_Base!B19/(1+15/100)^1+DCF_Base!C19/(1+15/100)^2+DCF_Base!D19/(1+15/100)^3+DCF_Base!E19/(1+15/100)^4+DCF_Base!F19/(1+15/100)^5+DCF_Base!G19/(1+15/100)^6+DCF_Base!H19/(1+15/100)^7+DCF_Base!I19/(1+15/100)^8+DCF_Base!J19/(1+15/100)^9+DCF_Base!K19/(1+15/100)^10)+MAX(0,MIN(DCF_Base!$B$29*(1+1.5/100)/(15/100-1.5/100),DCF_Base!$B$29*DCF_Base!$B$31))/(1+15/100)^10-Assumptions!$B$4)/Assumptions!$B$3</f>
        <v>0.0495449447707378</v>
      </c>
      <c r="C23" s="0" t="n">
        <f aca="false">((DCF_Base!B19/(1+15/100)^1+DCF_Base!C19/(1+15/100)^2+DCF_Base!D19/(1+15/100)^3+DCF_Base!E19/(1+15/100)^4+DCF_Base!F19/(1+15/100)^5+DCF_Base!G19/(1+15/100)^6+DCF_Base!H19/(1+15/100)^7+DCF_Base!I19/(1+15/100)^8+DCF_Base!J19/(1+15/100)^9+DCF_Base!K19/(1+15/100)^10)+MAX(0,MIN(DCF_Base!$B$29*(1+2/100)/(15/100-2/100),DCF_Base!$B$29*DCF_Base!$B$31))/(1+15/100)^10-Assumptions!$B$4)/Assumptions!$B$3</f>
        <v>0.050600222960068</v>
      </c>
      <c r="D23" s="0" t="n">
        <f aca="false">((DCF_Base!B19/(1+15/100)^1+DCF_Base!C19/(1+15/100)^2+DCF_Base!D19/(1+15/100)^3+DCF_Base!E19/(1+15/100)^4+DCF_Base!F19/(1+15/100)^5+DCF_Base!G19/(1+15/100)^6+DCF_Base!H19/(1+15/100)^7+DCF_Base!I19/(1+15/100)^8+DCF_Base!J19/(1+15/100)^9+DCF_Base!K19/(1+15/100)^10)+MAX(0,MIN(DCF_Base!$B$29*(1+2.5/100)/(15/100-2.5/100),DCF_Base!$B$29*DCF_Base!$B$31))/(1+15/100)^10-Assumptions!$B$4)/Assumptions!$B$3</f>
        <v>0.0517399234045446</v>
      </c>
      <c r="E23" s="0" t="n">
        <f aca="false">((DCF_Base!B19/(1+15/100)^1+DCF_Base!C19/(1+15/100)^2+DCF_Base!D19/(1+15/100)^3+DCF_Base!E19/(1+15/100)^4+DCF_Base!F19/(1+15/100)^5+DCF_Base!G19/(1+15/100)^6+DCF_Base!H19/(1+15/100)^7+DCF_Base!I19/(1+15/100)^8+DCF_Base!J19/(1+15/100)^9+DCF_Base!K19/(1+15/100)^10)+MAX(0,MIN(DCF_Base!$B$29*(1+3/100)/(15/100-3/100),DCF_Base!$B$29*DCF_Base!$B$31))/(1+15/100)^10-Assumptions!$B$4)/Assumptions!$B$3</f>
        <v>0.0529745988860609</v>
      </c>
      <c r="F23" s="0" t="n">
        <f aca="false">((DCF_Base!B19/(1+15/100)^1+DCF_Base!C19/(1+15/100)^2+DCF_Base!D19/(1+15/100)^3+DCF_Base!E19/(1+15/100)^4+DCF_Base!F19/(1+15/100)^5+DCF_Base!G19/(1+15/100)^6+DCF_Base!H19/(1+15/100)^7+DCF_Base!I19/(1+15/100)^8+DCF_Base!J19/(1+15/100)^9+DCF_Base!K19/(1+15/100)^10)+MAX(0,MIN(DCF_Base!$B$29*(1+3.5/100)/(15/100-3.5/100),DCF_Base!$B$29*DCF_Base!$B$31))/(1+15/100)^10-Assumptions!$B$4)/Assumptions!$B$3</f>
        <v>0.0543166374529265</v>
      </c>
    </row>
    <row r="24" customFormat="false" ht="15" hidden="false" customHeight="false" outlineLevel="0" collapsed="false">
      <c r="A24" s="4" t="n">
        <v>16</v>
      </c>
      <c r="B24" s="0" t="n">
        <f aca="false">((DCF_Base!B19/(1+16/100)^1+DCF_Base!C19/(1+16/100)^2+DCF_Base!D19/(1+16/100)^3+DCF_Base!E19/(1+16/100)^4+DCF_Base!F19/(1+16/100)^5+DCF_Base!G19/(1+16/100)^6+DCF_Base!H19/(1+16/100)^7+DCF_Base!I19/(1+16/100)^8+DCF_Base!J19/(1+16/100)^9+DCF_Base!K19/(1+16/100)^10)+MAX(0,MIN(DCF_Base!$B$29*(1+1.5/100)/(16/100-1.5/100),DCF_Base!$B$29*DCF_Base!$B$31))/(1+16/100)^10-Assumptions!$B$4)/Assumptions!$B$3</f>
        <v>0.0450784276772599</v>
      </c>
      <c r="C24" s="0" t="n">
        <f aca="false">((DCF_Base!B19/(1+16/100)^1+DCF_Base!C19/(1+16/100)^2+DCF_Base!D19/(1+16/100)^3+DCF_Base!E19/(1+16/100)^4+DCF_Base!F19/(1+16/100)^5+DCF_Base!G19/(1+16/100)^6+DCF_Base!H19/(1+16/100)^7+DCF_Base!I19/(1+16/100)^8+DCF_Base!J19/(1+16/100)^9+DCF_Base!K19/(1+16/100)^10)+MAX(0,MIN(DCF_Base!$B$29*(1+2/100)/(16/100-2/100),DCF_Base!$B$29*DCF_Base!$B$31))/(1+16/100)^10-Assumptions!$B$4)/Assumptions!$B$3</f>
        <v>0.0459223582208592</v>
      </c>
      <c r="D24" s="0" t="n">
        <f aca="false">((DCF_Base!B19/(1+16/100)^1+DCF_Base!C19/(1+16/100)^2+DCF_Base!D19/(1+16/100)^3+DCF_Base!E19/(1+16/100)^4+DCF_Base!F19/(1+16/100)^5+DCF_Base!G19/(1+16/100)^6+DCF_Base!H19/(1+16/100)^7+DCF_Base!I19/(1+16/100)^8+DCF_Base!J19/(1+16/100)^9+DCF_Base!K19/(1+16/100)^10)+MAX(0,MIN(DCF_Base!$B$29*(1+2.5/100)/(16/100-2.5/100),DCF_Base!$B$29*DCF_Base!$B$31))/(1+16/100)^10-Assumptions!$B$4)/Assumptions!$B$3</f>
        <v>0.0468288021380585</v>
      </c>
      <c r="E24" s="0" t="n">
        <f aca="false">((DCF_Base!B19/(1+16/100)^1+DCF_Base!C19/(1+16/100)^2+DCF_Base!D19/(1+16/100)^3+DCF_Base!E19/(1+16/100)^4+DCF_Base!F19/(1+16/100)^5+DCF_Base!G19/(1+16/100)^6+DCF_Base!H19/(1+16/100)^7+DCF_Base!I19/(1+16/100)^8+DCF_Base!J19/(1+16/100)^9+DCF_Base!K19/(1+16/100)^10)+MAX(0,MIN(DCF_Base!$B$29*(1+3/100)/(16/100-3/100),DCF_Base!$B$29*DCF_Base!$B$31))/(1+16/100)^10-Assumptions!$B$4)/Assumptions!$B$3</f>
        <v>0.0478049725104269</v>
      </c>
      <c r="F24" s="0" t="n">
        <f aca="false">((DCF_Base!B19/(1+16/100)^1+DCF_Base!C19/(1+16/100)^2+DCF_Base!D19/(1+16/100)^3+DCF_Base!E19/(1+16/100)^4+DCF_Base!F19/(1+16/100)^5+DCF_Base!G19/(1+16/100)^6+DCF_Base!H19/(1+16/100)^7+DCF_Base!I19/(1+16/100)^8+DCF_Base!J19/(1+16/100)^9+DCF_Base!K19/(1+16/100)^10)+MAX(0,MIN(DCF_Base!$B$29*(1+3.5/100)/(16/100-3.5/100),DCF_Base!$B$29*DCF_Base!$B$31))/(1+16/100)^10-Assumptions!$B$4)/Assumptions!$B$3</f>
        <v>0.0488592365125848</v>
      </c>
    </row>
    <row r="25" customFormat="false" ht="15" hidden="false" customHeight="false" outlineLevel="0" collapsed="false">
      <c r="A25" s="4" t="n">
        <v>17</v>
      </c>
      <c r="B25" s="0" t="n">
        <f aca="false">((DCF_Base!B19/(1+17/100)^1+DCF_Base!C19/(1+17/100)^2+DCF_Base!D19/(1+17/100)^3+DCF_Base!E19/(1+17/100)^4+DCF_Base!F19/(1+17/100)^5+DCF_Base!G19/(1+17/100)^6+DCF_Base!H19/(1+17/100)^7+DCF_Base!I19/(1+17/100)^8+DCF_Base!J19/(1+17/100)^9+DCF_Base!K19/(1+17/100)^10)+MAX(0,MIN(DCF_Base!$B$29*(1+1.5/100)/(17/100-1.5/100),DCF_Base!$B$29*DCF_Base!$B$31))/(1+17/100)^10-Assumptions!$B$4)/Assumptions!$B$3</f>
        <v>0.0413143379332144</v>
      </c>
      <c r="C25" s="0" t="n">
        <f aca="false">((DCF_Base!B19/(1+17/100)^1+DCF_Base!C19/(1+17/100)^2+DCF_Base!D19/(1+17/100)^3+DCF_Base!E19/(1+17/100)^4+DCF_Base!F19/(1+17/100)^5+DCF_Base!G19/(1+17/100)^6+DCF_Base!H19/(1+17/100)^7+DCF_Base!I19/(1+17/100)^8+DCF_Base!J19/(1+17/100)^9+DCF_Base!K19/(1+17/100)^10)+MAX(0,MIN(DCF_Base!$B$29*(1+2/100)/(17/100-2/100),DCF_Base!$B$29*DCF_Base!$B$31))/(1+17/100)^10-Assumptions!$B$4)/Assumptions!$B$3</f>
        <v>0.041996407909898</v>
      </c>
      <c r="D25" s="0" t="n">
        <f aca="false">((DCF_Base!B19/(1+17/100)^1+DCF_Base!C19/(1+17/100)^2+DCF_Base!D19/(1+17/100)^3+DCF_Base!E19/(1+17/100)^4+DCF_Base!F19/(1+17/100)^5+DCF_Base!G19/(1+17/100)^6+DCF_Base!H19/(1+17/100)^7+DCF_Base!I19/(1+17/100)^8+DCF_Base!J19/(1+17/100)^9+DCF_Base!K19/(1+17/100)^10)+MAX(0,MIN(DCF_Base!$B$29*(1+2.5/100)/(17/100-2.5/100),DCF_Base!$B$29*DCF_Base!$B$31))/(1+17/100)^10-Assumptions!$B$4)/Assumptions!$B$3</f>
        <v>0.0427255171953184</v>
      </c>
      <c r="E25" s="0" t="n">
        <f aca="false">((DCF_Base!B19/(1+17/100)^1+DCF_Base!C19/(1+17/100)^2+DCF_Base!D19/(1+17/100)^3+DCF_Base!E19/(1+17/100)^4+DCF_Base!F19/(1+17/100)^5+DCF_Base!G19/(1+17/100)^6+DCF_Base!H19/(1+17/100)^7+DCF_Base!I19/(1+17/100)^8+DCF_Base!J19/(1+17/100)^9+DCF_Base!K19/(1+17/100)^10)+MAX(0,MIN(DCF_Base!$B$29*(1+3/100)/(17/100-3/100),DCF_Base!$B$29*DCF_Base!$B$31))/(1+17/100)^10-Assumptions!$B$4)/Assumptions!$B$3</f>
        <v>0.0435067057154117</v>
      </c>
      <c r="F25" s="0" t="n">
        <f aca="false">((DCF_Base!B19/(1+17/100)^1+DCF_Base!C19/(1+17/100)^2+DCF_Base!D19/(1+17/100)^3+DCF_Base!E19/(1+17/100)^4+DCF_Base!F19/(1+17/100)^5+DCF_Base!G19/(1+17/100)^6+DCF_Base!H19/(1+17/100)^7+DCF_Base!I19/(1+17/100)^8+DCF_Base!J19/(1+17/100)^9+DCF_Base!K19/(1+17/100)^10)+MAX(0,MIN(DCF_Base!$B$29*(1+3.5/100)/(17/100-3.5/100),DCF_Base!$B$29*DCF_Base!$B$31))/(1+17/100)^10-Assumptions!$B$4)/Assumptions!$B$3</f>
        <v>0.0443457600518082</v>
      </c>
    </row>
    <row r="26" customFormat="false" ht="15" hidden="false" customHeight="false" outlineLevel="0" collapsed="false">
      <c r="A26" s="4" t="n">
        <v>18</v>
      </c>
      <c r="B26" s="0" t="n">
        <f aca="false">((DCF_Base!B19/(1+18/100)^1+DCF_Base!C19/(1+18/100)^2+DCF_Base!D19/(1+18/100)^3+DCF_Base!E19/(1+18/100)^4+DCF_Base!F19/(1+18/100)^5+DCF_Base!G19/(1+18/100)^6+DCF_Base!H19/(1+18/100)^7+DCF_Base!I19/(1+18/100)^8+DCF_Base!J19/(1+18/100)^9+DCF_Base!K19/(1+18/100)^10)+MAX(0,MIN(DCF_Base!$B$29*(1+1.5/100)/(18/100-1.5/100),DCF_Base!$B$29*DCF_Base!$B$31))/(1+18/100)^10-Assumptions!$B$4)/Assumptions!$B$3</f>
        <v>0.0381183235780952</v>
      </c>
      <c r="C26" s="0" t="n">
        <f aca="false">((DCF_Base!B19/(1+18/100)^1+DCF_Base!C19/(1+18/100)^2+DCF_Base!D19/(1+18/100)^3+DCF_Base!E19/(1+18/100)^4+DCF_Base!F19/(1+18/100)^5+DCF_Base!G19/(1+18/100)^6+DCF_Base!H19/(1+18/100)^7+DCF_Base!I19/(1+18/100)^8+DCF_Base!J19/(1+18/100)^9+DCF_Base!K19/(1+18/100)^10)+MAX(0,MIN(DCF_Base!$B$29*(1+2/100)/(18/100-2/100),DCF_Base!$B$29*DCF_Base!$B$31))/(1+18/100)^10-Assumptions!$B$4)/Assumptions!$B$3</f>
        <v>0.0386747178541643</v>
      </c>
      <c r="D26" s="0" t="n">
        <f aca="false">((DCF_Base!B19/(1+18/100)^1+DCF_Base!C19/(1+18/100)^2+DCF_Base!D19/(1+18/100)^3+DCF_Base!E19/(1+18/100)^4+DCF_Base!F19/(1+18/100)^5+DCF_Base!G19/(1+18/100)^6+DCF_Base!H19/(1+18/100)^7+DCF_Base!I19/(1+18/100)^8+DCF_Base!J19/(1+18/100)^9+DCF_Base!K19/(1+18/100)^10)+MAX(0,MIN(DCF_Base!$B$29*(1+2.5/100)/(18/100-2.5/100),DCF_Base!$B$29*DCF_Base!$B$31))/(1+18/100)^10-Assumptions!$B$4)/Assumptions!$B$3</f>
        <v>0.0392670085351412</v>
      </c>
      <c r="E26" s="0" t="n">
        <f aca="false">((DCF_Base!B19/(1+18/100)^1+DCF_Base!C19/(1+18/100)^2+DCF_Base!D19/(1+18/100)^3+DCF_Base!E19/(1+18/100)^4+DCF_Base!F19/(1+18/100)^5+DCF_Base!G19/(1+18/100)^6+DCF_Base!H19/(1+18/100)^7+DCF_Base!I19/(1+18/100)^8+DCF_Base!J19/(1+18/100)^9+DCF_Base!K19/(1+18/100)^10)+MAX(0,MIN(DCF_Base!$B$29*(1+3/100)/(18/100-3/100),DCF_Base!$B$29*DCF_Base!$B$31))/(1+18/100)^10-Assumptions!$B$4)/Assumptions!$B$3</f>
        <v>0.0398987852615165</v>
      </c>
      <c r="F26" s="0" t="n">
        <f aca="false">((DCF_Base!B19/(1+18/100)^1+DCF_Base!C19/(1+18/100)^2+DCF_Base!D19/(1+18/100)^3+DCF_Base!E19/(1+18/100)^4+DCF_Base!F19/(1+18/100)^5+DCF_Base!G19/(1+18/100)^6+DCF_Base!H19/(1+18/100)^7+DCF_Base!I19/(1+18/100)^8+DCF_Base!J19/(1+18/100)^9+DCF_Base!K19/(1+18/100)^10)+MAX(0,MIN(DCF_Base!$B$29*(1+3.5/100)/(18/100-3.5/100),DCF_Base!$B$29*DCF_Base!$B$31))/(1+18/100)^10-Assumptions!$B$4)/Assumptions!$B$3</f>
        <v>0.0405741327966073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2026-09-25T15:27:42Z</dcterms:created>
  <dc:creator>openpyxl</dc:creator>
  <dc:description/>
  <dc:language>en-NZ</dc:language>
  <cp:lastModifiedBy/>
  <dcterms:modified xsi:type="dcterms:W3CDTF">2026-09-25T15:27:43Z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