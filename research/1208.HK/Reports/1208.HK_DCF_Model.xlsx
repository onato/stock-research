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<sst xmlns="http://schemas.openxmlformats.org/spreadsheetml/2006/main" count="357" uniqueCount="168">
  <si>
    <t xml:space="preserve">Ticker</t>
  </si>
  <si>
    <t xml:space="preserve">1208.HK</t>
  </si>
  <si>
    <t xml:space="preserve">Company</t>
  </si>
  <si>
    <t xml:space="preserve">MMG Limited</t>
  </si>
  <si>
    <t xml:space="preserve">Valuation date</t>
  </si>
  <si>
    <t xml:space="preserve">2026-10-16</t>
  </si>
  <si>
    <t xml:space="preserve">Current price</t>
  </si>
  <si>
    <t xml:space="preserve">Price as of</t>
  </si>
  <si>
    <t xml:space="preserve">2026-10-16T06:08:23Z intraday HK session (regular hours, closes 08:00Z)</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</si>
  <si>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</si>
  <si>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</si>
  <si>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</si>
  <si>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</si>
  <si>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</si>
  <si>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</si>
  <si>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</si>
  <si>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</si>
  <si>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</si>
  <si>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</si>
  <si>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</si>
  <si>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</si>
  <si>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</si>
  <si>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2026-10-16T06:32:37Z</t>
  </si>
  <si>
    <t xml:space="preserve">Drivers file</t>
  </si>
  <si>
    <t xml:space="preserve">1208.HK_Drivers.json</t>
  </si>
  <si>
    <t xml:space="preserve">Convention</t>
  </si>
  <si>
    <t xml:space="preserve">Percents stored as percents; formulas divide by 100. Blue = input, green = link, black = formula.</t>
  </si>
  <si>
    <t xml:space="preserve">Methodology</t>
  </si>
  <si>
    <t xml:space="preserve">summary: A cyclical miner is valued on a mid-cycle commodity deck, not on trailing peak earnings. FY0 is the TTM to June 2026 at H1-2026's $13,088/t copper, and the model's first job is to take that down to a $10,000/t base deck before capitalising anything - a 12x terminal cap on a finite-life asset base, 33% cash tax, and the full guided capex program. Flows are attributable (37.5%/45% JV partners stripped at the component level), the US$1.3bn of zero-coupon convertibles are debt at face, the count is flat, and jurisdiction risk sits in a 9.5% USD WACC while cycle and operational risk sit in a 30/50/20 scenario weighting. House and street values coincide because SBC is nil.
key_risks_to_valuation: Copper price deck: every $1,000/t on copper is roughly US$290m of attributable revenue (~5%) at near-full margin; the gap between spot ($14,600/t) and the base mid-cycle ($10,000/t) is the whole bull/base spread; Las Bambas corridor blockades, illegal mining and the August 2026 fatal-accident investigation - a lost quarter at Las Bambas is ~US$500m of attributable EBITDA; Peru political/tax regime (2026 election cycle) - the 33% cash tax rate assumes no new royalty or windfall tax; Khoemacau expansion execution: US$400m/yr of attributable-55% capex for a 2028 first-production date; delay or overrun hits years 4-5 of the base path; Convertible treatment: at values above ~HK$9.47 the if-converted basis is the lower one; the bull case is ~2.3% overstated on that basis (HK$13.34 if-converted vs HK$13.66); Nickel Brazil acquisition (EU Phase II, long-stop ~Oct/Nov 2026): modelled as value-neutral; completion into an oversupplied nickel market is a modest negative, and the US$350m of June cash would leave the bridge; Related-party dependence on China Minmetals (offtake, logistics, financing) - a governance discount the DCF does not explicitly charge; Terminal multiple: 12x final-year FCF for a mine with reserves to ~2039; a reader using the Gordon value alone would add ~6% to base IV</t>
  </si>
  <si>
    <t xml:space="preserve">Data sources</t>
  </si>
  <si>
    <t xml:space="preserve">price: Yahoo Finance chart API at inputs.price_as_of (intraday HK session); 52-week range HKD 6.21-11.96. FX from Yahoo HKD=X same day.
financials: 1208.HK_Metrics.csv (core_metrics, USD millions, FY2018-FY2025 + H1-2024/25/26); FY2025 Annual Report (segment tables, LME price table line 1461, capex plan line 3418, NCI subsidiary note line 11290, convertible note line 3888); H1-2026 Interim Report (gearing table line 1144, placing/convertibles line 1222, dilution table line 2093, NCI note 14 line 3913, LME price table line 364, Las Bambas segment line 548, subsequent events line 1568). Copper spot from Yahoo HG=F (COMEX, USD/lb).
qualitative: 1208.HK_Analysis.json (2026-10-16): guidance, Khoemacau expansion, Nickel Brazil EU review, August 2026 accident, analyst targets.</t>
  </si>
  <si>
    <t xml:space="preserve">Scenario narrative: bear</t>
  </si>
  <si>
    <t xml:space="preserve">Price normalisation overshoots to $8,500/t copper on a demand slowdown just as a Las Bambas corridor blockade year lands (Peru's 2026 election, the August 2026 fatal accident investigation, illegal-mining encroachment at Sulfobamba), so Y2-Y3 revenue falls ~23% and attributable margins drop to 42%. The Khoemacau expansion runs late and over budget, Peru tightens the mining tax regime, and the Nickel Brazil deal - if it closes - puts US$350m into an oversupplied ferronickel market. Governance remains a discount: 63.7% Minmetals ownership, life-of-mine related-party offtake, and the shareholder loans that were refinanced in July 2026. Bear value is roughly two-thirds of today's price; the stock is not priced for this path.</t>
  </si>
  <si>
    <t xml:space="preserve">Scenario narrative: base</t>
  </si>
  <si>
    <t xml:space="preserve">MMG is a leveraged bet on one asset and one metal: Las Bambas is ~72% of revenue and ~80% of EBITDA, and copper is ~70% of revenue. The base case assumes the cycle normalises rather than persists - copper from a $13,000-14,600/t peak back to a $10,000/t mid-cycle over two years, with precious-metal by-product credits normalising alongside - while volumes grow modestly (FY2026 guidance up to 528kt copper) and the Khoemacau expansion adds ~70kt consolidated (38kt attributable) from H1-2028. Mid-cycle attributable EBITDA margin 50%, capex stepping down from the guided US$1.6-1.7bn once the Botswana expansion is built, cash tax 33% on EBIT. The convertibles are debt; the count is flat. The result is a mid-cycle value that sits near today's price: the market is pricing roughly a mid-cycle deck, not spot.</t>
  </si>
  <si>
    <t xml:space="preserve">Scenario narrative: bull</t>
  </si>
  <si>
    <t xml:space="preserve">The copper deficit thesis (electrification, grid and data-centre demand, no new mine supply) keeps the price at $12,000/t+ rather than $10,000/t, and MMG executes: Las Bambas at the top of guidance with no corridor stoppages, Khoemacau to 130kt on time and phase 2 sanctioned, by-product credits sustained by elevated gold and silver. Margins hold at the current 55%, capex intensity falls post-expansion, and the balance sheet (6% gearing after the placing and convertibles) funds a further acquisition without dilution. This is the scenario in which both convertibles convert; on an if-converted basis the per-share value is ~2.3% below the figure shown (HK$13.34).</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</si>
  <si>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</si>
  <si>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</si>
  <si>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</si>
  <si>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</si>
  <si>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</si>
  <si>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</si>
  <si>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</si>
  <si>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</si>
  <si>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</si>
  <si>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</si>
  <si>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</si>
  <si>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</si>
  <si>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</si>
  <si>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</si>
  <si>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</si>
  <si>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</si>
  <si>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</si>
  <si>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</si>
  <si>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</si>
  <si>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</si>
  <si>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</si>
  <si>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</si>
  <si>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</si>
  <si>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</si>
  <si>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</si>
  <si>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</si>
  <si>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</si>
  <si>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DividendsPaidToNCI</t>
  </si>
  <si>
    <t xml:space="preserve">MinorityInterests</t>
  </si>
  <si>
    <t xml:space="preserve">ProfitIncludingNCI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</si>
  <si>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</si>
  <si>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</si>
  <si>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</si>
  <si>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</si>
  <si>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</si>
  <si>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</si>
  <si>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</si>
  <si>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</si>
  <si>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</si>
  <si>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</si>
  <si>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</si>
  <si>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</si>
  <si>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</si>
  <si>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</si>
  <si>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</si>
  <si>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</si>
  <si>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</si>
  <si>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Jun-2026</t>
  </si>
  <si>
    <t xml:space="preserve">Currency / units</t>
  </si>
  <si>
    <t xml:space="preserve">USD millions</t>
  </si>
  <si>
    <t xml:space="preserve">FX rate (model -&gt; quote)</t>
  </si>
  <si>
    <t xml:space="preserve">BEAR</t>
  </si>
  <si>
    <t xml:space="preserve">TTM Jun-2027</t>
  </si>
  <si>
    <t xml:space="preserve">TTM Jun-2028</t>
  </si>
  <si>
    <t xml:space="preserve">TTM Jun-2029</t>
  </si>
  <si>
    <t xml:space="preserve">TTM Jun-2030</t>
  </si>
  <si>
    <t xml:space="preserve">TTM Jun-2031</t>
  </si>
  <si>
    <t xml:space="preserve">TTM Jun-2032</t>
  </si>
  <si>
    <t xml:space="preserve">TTM Jun-2033</t>
  </si>
  <si>
    <t xml:space="preserve">TTM Jun-2034</t>
  </si>
  <si>
    <t xml:space="preserve">TTM Jun-2035</t>
  </si>
  <si>
    <t xml:space="preserve">TTM Jun-2036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</si>
  <si>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</si>
  <si>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</si>
  <si>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</si>
  <si>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</si>
  <si>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</si>
  <si>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</si>
  <si>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</si>
  <si>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</si>
  <si>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</si>
  <si>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</si>
  <si>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</si>
  <si>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</si>
  <si>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</si>
  <si>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</si>
  <si>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1208.HK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</si>
  <si>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</si>
  <si>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</si>
  <si>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</si>
  <si>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</si>
  <si>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</si>
  <si>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</si>
  <si>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</si>
  <si>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</si>
  <si>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</si>
  <si>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</si>
  <si>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</si>
  <si>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</si>
  <si>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</si>
  <si>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</si>
  <si>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</si>
  <si>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</si>
  <si>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</si>
  <si>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</si>
  <si>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</si>
  <si>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</si>
  <si>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</si>
  <si>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</si>
  <si>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</si>
  <si>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</si>
  <si>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</si>
  <si>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</si>
  <si>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</si>
  <si>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</si>
  <si>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</si>
  <si>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</si>
  <si>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1208.HK owner-FCF component DCF: base case (millions, USD)</t>
  </si>
  <si>
    <t xml:space="preserve">1208.HK owner-FCF component DCF: bull case (millions, USD)</t>
  </si>
  <si>
    <t xml:space="preserve">1208.HK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</si>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</sst>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7.63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3670.2</v>
      </c>
      <c r="C2" s="0" t="n">
        <v>2460.9</v>
      </c>
      <c r="D2" s="0" t="n">
        <v>1209.3</v>
      </c>
      <c r="E2" s="0" t="n">
        <v>32.9</v>
      </c>
      <c r="F2" s="0" t="n">
        <v>833.1</v>
      </c>
      <c r="G2" s="0" t="n">
        <v>22.7</v>
      </c>
      <c r="H2" s="0" t="n">
        <v>1751.2</v>
      </c>
      <c r="I2" s="0" t="n">
        <v>68.3</v>
      </c>
      <c r="J2" s="0" t="n">
        <v>1.9</v>
      </c>
      <c r="K2" s="0" t="n">
        <v>0.0084</v>
      </c>
      <c r="L2" s="0" t="n">
        <v>1731.5</v>
      </c>
      <c r="M2" s="0" t="n">
        <v>337.5</v>
      </c>
      <c r="N2" s="0" t="n">
        <v>1394</v>
      </c>
      <c r="O2" s="0" t="n">
        <v>1257.1</v>
      </c>
      <c r="P2" s="0" t="n">
        <v>13255.4</v>
      </c>
      <c r="Q2" s="0" t="n">
        <v>10359.1</v>
      </c>
      <c r="R2" s="0" t="n">
        <v>8203.3</v>
      </c>
      <c r="S2" s="0" t="n">
        <v>601.9</v>
      </c>
      <c r="T2" s="0" t="n">
        <v>8096.501</v>
      </c>
      <c r="U2" s="0" t="n">
        <v>3.9</v>
      </c>
      <c r="V2" s="0" t="n">
        <v>0</v>
      </c>
      <c r="AA2" s="0" t="s">
        <v>18</v>
      </c>
      <c r="AB2" s="0" t="s">
        <v>14</v>
      </c>
      <c r="AC2" s="0" t="n">
        <v>27.2</v>
      </c>
      <c r="AD2" s="0" t="n">
        <v>1639.2</v>
      </c>
      <c r="AE2" s="0" t="n">
        <v>137.4</v>
      </c>
    </row>
    <row r="3" customFormat="false" ht="15" hidden="false" customHeight="false" outlineLevel="0" collapsed="false">
      <c r="A3" s="0" t="s">
        <v>68</v>
      </c>
      <c r="B3" s="0" t="n">
        <v>3032.3</v>
      </c>
      <c r="C3" s="0" t="n">
        <v>2220.7</v>
      </c>
      <c r="D3" s="0" t="n">
        <v>811.6</v>
      </c>
      <c r="E3" s="0" t="n">
        <v>26.8</v>
      </c>
      <c r="F3" s="0" t="n">
        <v>341.9</v>
      </c>
      <c r="G3" s="0" t="n">
        <v>11.3</v>
      </c>
      <c r="H3" s="0" t="n">
        <v>1461.5</v>
      </c>
      <c r="I3" s="0" t="n">
        <v>-230.4</v>
      </c>
      <c r="J3" s="0" t="n">
        <v>-7.6</v>
      </c>
      <c r="K3" s="0" t="n">
        <v>-0.0286</v>
      </c>
      <c r="L3" s="0" t="n">
        <v>1145.1</v>
      </c>
      <c r="M3" s="0" t="n">
        <v>476.4</v>
      </c>
      <c r="N3" s="0" t="n">
        <v>668.7</v>
      </c>
      <c r="O3" s="0" t="n">
        <v>1012.2</v>
      </c>
      <c r="P3" s="0" t="n">
        <v>12665.1</v>
      </c>
      <c r="Q3" s="0" t="n">
        <v>9987.2</v>
      </c>
      <c r="R3" s="0" t="n">
        <v>7691.9</v>
      </c>
      <c r="S3" s="0" t="n">
        <v>217.5</v>
      </c>
      <c r="T3" s="0" t="n">
        <v>8053.521</v>
      </c>
      <c r="U3" s="0" t="n">
        <v>0</v>
      </c>
      <c r="V3" s="0" t="n">
        <v>0</v>
      </c>
      <c r="AA3" s="0" t="s">
        <v>18</v>
      </c>
      <c r="AB3" s="0" t="s">
        <v>14</v>
      </c>
      <c r="AC3" s="0" t="n">
        <v>0</v>
      </c>
      <c r="AD3" s="0" t="n">
        <v>1665.7</v>
      </c>
      <c r="AE3" s="0" t="n">
        <v>-195.3</v>
      </c>
    </row>
    <row r="4" customFormat="false" ht="15" hidden="false" customHeight="false" outlineLevel="0" collapsed="false">
      <c r="A4" s="0" t="s">
        <v>69</v>
      </c>
      <c r="B4" s="0" t="n">
        <v>3033.7</v>
      </c>
      <c r="C4" s="0" t="n">
        <v>2203.2</v>
      </c>
      <c r="D4" s="0" t="n">
        <v>830.5</v>
      </c>
      <c r="E4" s="0" t="n">
        <v>27.4</v>
      </c>
      <c r="F4" s="0" t="n">
        <v>451.9</v>
      </c>
      <c r="G4" s="0" t="n">
        <v>14.9</v>
      </c>
      <c r="H4" s="0" t="n">
        <v>1379.7</v>
      </c>
      <c r="I4" s="0" t="n">
        <v>-64.7</v>
      </c>
      <c r="J4" s="0" t="n">
        <v>-2.1</v>
      </c>
      <c r="K4" s="0" t="n">
        <v>-0.008</v>
      </c>
      <c r="L4" s="0" t="n">
        <v>1358.2</v>
      </c>
      <c r="M4" s="0" t="n">
        <v>516.6</v>
      </c>
      <c r="N4" s="0" t="n">
        <v>841.6</v>
      </c>
      <c r="O4" s="0" t="n">
        <v>936.4</v>
      </c>
      <c r="P4" s="0" t="n">
        <v>12298</v>
      </c>
      <c r="Q4" s="0" t="n">
        <v>9628.3</v>
      </c>
      <c r="R4" s="0" t="n">
        <v>7238.5</v>
      </c>
      <c r="S4" s="0" t="n">
        <v>192.7</v>
      </c>
      <c r="T4" s="0" t="n">
        <v>8060.179</v>
      </c>
      <c r="U4" s="0" t="n">
        <v>-0.5</v>
      </c>
      <c r="V4" s="0" t="n">
        <v>0</v>
      </c>
      <c r="AA4" s="0" t="s">
        <v>18</v>
      </c>
      <c r="AB4" s="0" t="s">
        <v>14</v>
      </c>
      <c r="AC4" s="0" t="n">
        <v>0</v>
      </c>
      <c r="AD4" s="0" t="n">
        <v>1733.3</v>
      </c>
      <c r="AE4" s="0" t="n">
        <v>5.6</v>
      </c>
    </row>
    <row r="5" customFormat="false" ht="15" hidden="false" customHeight="false" outlineLevel="0" collapsed="false">
      <c r="A5" s="0" t="s">
        <v>70</v>
      </c>
      <c r="B5" s="0" t="n">
        <v>4255</v>
      </c>
      <c r="C5" s="0" t="n">
        <v>2142.8</v>
      </c>
      <c r="D5" s="0" t="n">
        <v>2112.2</v>
      </c>
      <c r="E5" s="0" t="n">
        <v>49.6</v>
      </c>
      <c r="F5" s="0" t="n">
        <v>1827.4</v>
      </c>
      <c r="G5" s="0" t="n">
        <v>42.9</v>
      </c>
      <c r="H5" s="0" t="n">
        <v>2725.4</v>
      </c>
      <c r="I5" s="0" t="n">
        <v>667.1</v>
      </c>
      <c r="J5" s="0" t="n">
        <v>15.7</v>
      </c>
      <c r="K5" s="0" t="n">
        <v>0.0786</v>
      </c>
      <c r="L5" s="0" t="n">
        <v>2551.5</v>
      </c>
      <c r="M5" s="0" t="n">
        <v>573.8</v>
      </c>
      <c r="N5" s="0" t="n">
        <v>1977.7</v>
      </c>
      <c r="O5" s="0" t="n">
        <v>1930.5</v>
      </c>
      <c r="P5" s="0" t="n">
        <v>13024.1</v>
      </c>
      <c r="Q5" s="0" t="n">
        <v>9096.1</v>
      </c>
      <c r="R5" s="0" t="n">
        <v>6348.3</v>
      </c>
      <c r="S5" s="0" t="n">
        <v>1255.3</v>
      </c>
      <c r="T5" s="0" t="n">
        <v>8487.284</v>
      </c>
      <c r="U5" s="0" t="n">
        <v>1</v>
      </c>
      <c r="V5" s="0" t="n">
        <v>0</v>
      </c>
      <c r="AA5" s="0" t="s">
        <v>18</v>
      </c>
      <c r="AB5" s="0" t="s">
        <v>14</v>
      </c>
      <c r="AC5" s="0" t="n">
        <v>0</v>
      </c>
      <c r="AD5" s="0" t="n">
        <v>1997.5</v>
      </c>
      <c r="AE5" s="0" t="n">
        <v>920.5</v>
      </c>
    </row>
    <row r="6" customFormat="false" ht="15" hidden="false" customHeight="false" outlineLevel="0" collapsed="false">
      <c r="A6" s="0" t="s">
        <v>71</v>
      </c>
      <c r="B6" s="0" t="n">
        <v>3254.2</v>
      </c>
      <c r="C6" s="0" t="n">
        <v>2179.7</v>
      </c>
      <c r="D6" s="0" t="n">
        <v>1074.5</v>
      </c>
      <c r="E6" s="0" t="n">
        <v>33</v>
      </c>
      <c r="F6" s="0" t="n">
        <v>745.3</v>
      </c>
      <c r="G6" s="0" t="n">
        <v>22.9</v>
      </c>
      <c r="H6" s="0" t="n">
        <v>1535.4</v>
      </c>
      <c r="I6" s="0" t="n">
        <v>172.4</v>
      </c>
      <c r="J6" s="0" t="n">
        <v>5.3</v>
      </c>
      <c r="K6" s="0" t="n">
        <v>0.0198</v>
      </c>
      <c r="L6" s="0" t="n">
        <v>832.1</v>
      </c>
      <c r="M6" s="0" t="n">
        <v>566.2</v>
      </c>
      <c r="N6" s="0" t="n">
        <v>265.9</v>
      </c>
      <c r="O6" s="0" t="n">
        <v>2139</v>
      </c>
      <c r="P6" s="0" t="n">
        <v>12535.5</v>
      </c>
      <c r="Q6" s="0" t="n">
        <v>8307</v>
      </c>
      <c r="R6" s="0" t="n">
        <v>5456.9</v>
      </c>
      <c r="S6" s="0" t="n">
        <v>372.2</v>
      </c>
      <c r="T6" s="0" t="n">
        <v>8697.17</v>
      </c>
      <c r="U6" s="0" t="n">
        <v>1.1</v>
      </c>
      <c r="V6" s="0" t="n">
        <v>0</v>
      </c>
      <c r="AA6" s="0" t="s">
        <v>18</v>
      </c>
      <c r="AB6" s="0" t="s">
        <v>14</v>
      </c>
      <c r="AC6" s="0" t="n">
        <v>0</v>
      </c>
      <c r="AD6" s="0" t="n">
        <v>2089.5</v>
      </c>
      <c r="AE6" s="0" t="n">
        <v>243.5</v>
      </c>
    </row>
    <row r="7" customFormat="false" ht="15" hidden="false" customHeight="false" outlineLevel="0" collapsed="false">
      <c r="A7" s="0" t="s">
        <v>72</v>
      </c>
      <c r="B7" s="0" t="n">
        <v>4346.5</v>
      </c>
      <c r="C7" s="0" t="n">
        <v>3406.4</v>
      </c>
      <c r="D7" s="0" t="n">
        <v>940.1</v>
      </c>
      <c r="E7" s="0" t="n">
        <v>21.6</v>
      </c>
      <c r="F7" s="0" t="n">
        <v>531.7</v>
      </c>
      <c r="G7" s="0" t="n">
        <v>12.2</v>
      </c>
      <c r="H7" s="0" t="n">
        <v>1461.9</v>
      </c>
      <c r="I7" s="0" t="n">
        <v>9</v>
      </c>
      <c r="J7" s="0" t="n">
        <v>0.2</v>
      </c>
      <c r="K7" s="0" t="n">
        <v>0.001</v>
      </c>
      <c r="L7" s="0" t="n">
        <v>1849.9</v>
      </c>
      <c r="M7" s="0" t="n">
        <v>791.2</v>
      </c>
      <c r="N7" s="0" t="n">
        <v>1058.7</v>
      </c>
      <c r="O7" s="0" t="n">
        <v>2123.4</v>
      </c>
      <c r="P7" s="0" t="n">
        <v>11900.8</v>
      </c>
      <c r="Q7" s="0" t="n">
        <v>7588.8</v>
      </c>
      <c r="R7" s="0" t="n">
        <v>4748.1</v>
      </c>
      <c r="S7" s="0" t="n">
        <v>447</v>
      </c>
      <c r="T7" s="0" t="n">
        <v>8688.198</v>
      </c>
      <c r="U7" s="0" t="n">
        <v>-1.5</v>
      </c>
      <c r="V7" s="0" t="n">
        <v>0</v>
      </c>
      <c r="AA7" s="0" t="s">
        <v>18</v>
      </c>
      <c r="AB7" s="0" t="s">
        <v>14</v>
      </c>
      <c r="AC7" s="0" t="n">
        <v>0</v>
      </c>
      <c r="AD7" s="0" t="n">
        <v>2188.6</v>
      </c>
      <c r="AE7" s="0" t="n">
        <v>122.1</v>
      </c>
    </row>
    <row r="8" customFormat="false" ht="15" hidden="false" customHeight="false" outlineLevel="0" collapsed="false">
      <c r="A8" s="0" t="s">
        <v>73</v>
      </c>
      <c r="B8" s="0" t="n">
        <v>4479.2</v>
      </c>
      <c r="C8" s="0" t="n">
        <v>2950.3</v>
      </c>
      <c r="D8" s="0" t="n">
        <v>1528.9</v>
      </c>
      <c r="E8" s="0" t="n">
        <v>34.1</v>
      </c>
      <c r="F8" s="0" t="n">
        <v>990</v>
      </c>
      <c r="G8" s="0" t="n">
        <v>22.1</v>
      </c>
      <c r="H8" s="0" t="n">
        <v>2048.7</v>
      </c>
      <c r="I8" s="0" t="n">
        <v>161.9</v>
      </c>
      <c r="J8" s="0" t="n">
        <v>3.6</v>
      </c>
      <c r="K8" s="0" t="n">
        <v>0.0152</v>
      </c>
      <c r="L8" s="0" t="n">
        <v>1611.9</v>
      </c>
      <c r="M8" s="0" t="n">
        <v>927.5</v>
      </c>
      <c r="N8" s="0" t="n">
        <v>684.4</v>
      </c>
      <c r="O8" s="0" t="n">
        <v>3419</v>
      </c>
      <c r="P8" s="0" t="n">
        <v>14985.9</v>
      </c>
      <c r="Q8" s="0" t="n">
        <v>8707.4</v>
      </c>
      <c r="R8" s="0" t="n">
        <v>4635.1</v>
      </c>
      <c r="S8" s="0" t="n">
        <v>192.7</v>
      </c>
      <c r="T8" s="0" t="n">
        <v>10667.681</v>
      </c>
      <c r="U8" s="0" t="n">
        <v>3.1</v>
      </c>
      <c r="V8" s="0" t="n">
        <v>0</v>
      </c>
      <c r="AA8" s="0" t="s">
        <v>18</v>
      </c>
      <c r="AB8" s="0" t="s">
        <v>14</v>
      </c>
      <c r="AC8" s="0" t="n">
        <v>0</v>
      </c>
      <c r="AD8" s="0" t="n">
        <v>2859.5</v>
      </c>
      <c r="AE8" s="0" t="n">
        <v>366</v>
      </c>
    </row>
    <row r="9" customFormat="false" ht="15" hidden="false" customHeight="false" outlineLevel="0" collapsed="false">
      <c r="A9" s="0" t="s">
        <v>74</v>
      </c>
      <c r="B9" s="0" t="n">
        <v>6218</v>
      </c>
      <c r="C9" s="0" t="n">
        <v>3385.5</v>
      </c>
      <c r="D9" s="0" t="n">
        <v>2832.5</v>
      </c>
      <c r="E9" s="0" t="n">
        <v>45.6</v>
      </c>
      <c r="F9" s="0" t="n">
        <v>1999.1</v>
      </c>
      <c r="G9" s="0" t="n">
        <v>32.2</v>
      </c>
      <c r="H9" s="0" t="n">
        <v>3412.1</v>
      </c>
      <c r="I9" s="0" t="n">
        <v>509.4</v>
      </c>
      <c r="J9" s="0" t="n">
        <v>8.2</v>
      </c>
      <c r="K9" s="0" t="n">
        <v>0.0419</v>
      </c>
      <c r="L9" s="0" t="n">
        <v>2689.5</v>
      </c>
      <c r="M9" s="0" t="n">
        <v>1081.6</v>
      </c>
      <c r="N9" s="0" t="n">
        <v>1607.9</v>
      </c>
      <c r="O9" s="0" t="n">
        <v>3959.9</v>
      </c>
      <c r="P9" s="0" t="n">
        <v>15300.5</v>
      </c>
      <c r="Q9" s="0" t="n">
        <v>8400.6</v>
      </c>
      <c r="R9" s="0" t="n">
        <v>3680</v>
      </c>
      <c r="S9" s="0" t="n">
        <v>328.6</v>
      </c>
      <c r="T9" s="0" t="n">
        <v>12252.851</v>
      </c>
      <c r="U9" s="0" t="n">
        <v>-1.3</v>
      </c>
      <c r="V9" s="0" t="n">
        <v>0</v>
      </c>
      <c r="AA9" s="0" t="s">
        <v>18</v>
      </c>
      <c r="AB9" s="0" t="s">
        <v>14</v>
      </c>
      <c r="AC9" s="0" t="n">
        <v>695.3</v>
      </c>
      <c r="AD9" s="0" t="n">
        <v>2940</v>
      </c>
      <c r="AE9" s="0" t="n">
        <v>955.2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7.63</v>
      </c>
    </row>
    <row r="3" customFormat="false" ht="15" hidden="false" customHeight="false" outlineLevel="0" collapsed="false">
      <c r="A3" s="0" t="s">
        <v>78</v>
      </c>
      <c r="B3" s="3" t="n">
        <v>12846.422</v>
      </c>
    </row>
    <row r="4" customFormat="false" ht="15" hidden="false" customHeight="false" outlineLevel="0" collapsed="false">
      <c r="A4" s="0" t="s">
        <v>79</v>
      </c>
      <c r="B4" s="3" t="n">
        <v>910.4</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5588.4</v>
      </c>
    </row>
    <row r="8" customFormat="false" ht="15" hidden="false" customHeight="false" outlineLevel="0" collapsed="false">
      <c r="A8" s="0" t="s">
        <v>83</v>
      </c>
      <c r="B8" s="3" t="s">
        <v>84</v>
      </c>
    </row>
    <row r="9" customFormat="false" ht="15" hidden="false" customHeight="false" outlineLevel="0" collapsed="false">
      <c r="A9" s="0" t="s">
        <v>85</v>
      </c>
      <c r="B9" s="3" t="s">
        <v>86</v>
      </c>
    </row>
    <row r="10" customFormat="false" ht="15" hidden="false" customHeight="false" outlineLevel="0" collapsed="false">
      <c r="A10" s="0" t="s">
        <v>87</v>
      </c>
      <c r="B10" s="3" t="n">
        <v>7.8474</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0</v>
      </c>
      <c r="D13" s="3" t="n">
        <v>-14</v>
      </c>
      <c r="E13" s="3" t="n">
        <v>-10</v>
      </c>
      <c r="F13" s="3" t="n">
        <v>3</v>
      </c>
      <c r="G13" s="3" t="n">
        <v>4</v>
      </c>
      <c r="H13" s="3" t="n">
        <v>1.5</v>
      </c>
      <c r="I13" s="3" t="n">
        <v>1.5</v>
      </c>
      <c r="J13" s="3" t="n">
        <v>1.5</v>
      </c>
      <c r="K13" s="3" t="n">
        <v>1.5</v>
      </c>
      <c r="L13" s="3" t="n">
        <v>1.5</v>
      </c>
    </row>
    <row r="14" customFormat="false" ht="15" hidden="false" customHeight="false" outlineLevel="0" collapsed="false">
      <c r="A14" s="0" t="s">
        <v>100</v>
      </c>
      <c r="C14" s="3" t="n">
        <v>52</v>
      </c>
      <c r="D14" s="3" t="n">
        <v>46</v>
      </c>
      <c r="E14" s="3" t="n">
        <v>42</v>
      </c>
      <c r="F14" s="3" t="n">
        <v>42</v>
      </c>
      <c r="G14" s="3" t="n">
        <v>42</v>
      </c>
      <c r="H14" s="3" t="n">
        <v>42</v>
      </c>
      <c r="I14" s="3" t="n">
        <v>42</v>
      </c>
      <c r="J14" s="3" t="n">
        <v>42</v>
      </c>
      <c r="K14" s="3" t="n">
        <v>42</v>
      </c>
      <c r="L14" s="3" t="n">
        <v>42</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0.7</v>
      </c>
      <c r="D16" s="3" t="n">
        <v>0.7</v>
      </c>
      <c r="E16" s="3" t="n">
        <v>0.7</v>
      </c>
      <c r="F16" s="3" t="n">
        <v>0.7</v>
      </c>
      <c r="G16" s="3" t="n">
        <v>0.7</v>
      </c>
      <c r="H16" s="3" t="n">
        <v>0.7</v>
      </c>
      <c r="I16" s="3" t="n">
        <v>0.7</v>
      </c>
      <c r="J16" s="3" t="n">
        <v>0.7</v>
      </c>
      <c r="K16" s="3" t="n">
        <v>0.7</v>
      </c>
      <c r="L16" s="3" t="n">
        <v>0.7</v>
      </c>
    </row>
    <row r="17" customFormat="false" ht="15" hidden="false" customHeight="false" outlineLevel="0" collapsed="false">
      <c r="A17" s="0" t="s">
        <v>103</v>
      </c>
      <c r="C17" s="3" t="n">
        <v>15</v>
      </c>
      <c r="D17" s="3" t="n">
        <v>17</v>
      </c>
      <c r="E17" s="3" t="n">
        <v>18.5</v>
      </c>
      <c r="F17" s="3" t="n">
        <v>18.5</v>
      </c>
      <c r="G17" s="3" t="n">
        <v>18.5</v>
      </c>
      <c r="H17" s="3" t="n">
        <v>18.5</v>
      </c>
      <c r="I17" s="3" t="n">
        <v>18.5</v>
      </c>
      <c r="J17" s="3" t="n">
        <v>18.5</v>
      </c>
      <c r="K17" s="3" t="n">
        <v>18.5</v>
      </c>
      <c r="L17" s="3" t="n">
        <v>18.5</v>
      </c>
    </row>
    <row r="18" customFormat="false" ht="15" hidden="false" customHeight="false" outlineLevel="0" collapsed="false">
      <c r="A18" s="0" t="s">
        <v>104</v>
      </c>
      <c r="C18" s="3" t="n">
        <v>20</v>
      </c>
      <c r="D18" s="3" t="n">
        <v>20</v>
      </c>
      <c r="E18" s="3" t="n">
        <v>17</v>
      </c>
      <c r="F18" s="3" t="n">
        <v>15.5</v>
      </c>
      <c r="G18" s="3" t="n">
        <v>15.5</v>
      </c>
      <c r="H18" s="3" t="n">
        <v>15.5</v>
      </c>
      <c r="I18" s="3" t="n">
        <v>15.5</v>
      </c>
      <c r="J18" s="3" t="n">
        <v>15.5</v>
      </c>
      <c r="K18" s="3" t="n">
        <v>15.5</v>
      </c>
      <c r="L18" s="3" t="n">
        <v>15.5</v>
      </c>
    </row>
    <row r="19" customFormat="false" ht="15" hidden="false" customHeight="false" outlineLevel="0" collapsed="false">
      <c r="A19" s="0" t="s">
        <v>105</v>
      </c>
      <c r="C19" s="3" t="n">
        <v>35</v>
      </c>
      <c r="D19" s="3" t="n">
        <v>35</v>
      </c>
      <c r="E19" s="3" t="n">
        <v>35</v>
      </c>
      <c r="F19" s="3" t="n">
        <v>35</v>
      </c>
      <c r="G19" s="3" t="n">
        <v>35</v>
      </c>
      <c r="H19" s="3" t="n">
        <v>35</v>
      </c>
      <c r="I19" s="3" t="n">
        <v>35</v>
      </c>
      <c r="J19" s="3" t="n">
        <v>35</v>
      </c>
      <c r="K19" s="3" t="n">
        <v>35</v>
      </c>
      <c r="L19" s="3" t="n">
        <v>35</v>
      </c>
    </row>
    <row r="20" customFormat="false" ht="15" hidden="false" customHeight="false" outlineLevel="0" collapsed="false">
      <c r="A20" s="0" t="s">
        <v>106</v>
      </c>
      <c r="B20" s="3" t="n">
        <v>9.5</v>
      </c>
    </row>
    <row r="21" customFormat="false" ht="15" hidden="false" customHeight="false" outlineLevel="0" collapsed="false">
      <c r="A21" s="0" t="s">
        <v>107</v>
      </c>
      <c r="B21" s="3" t="n">
        <v>1</v>
      </c>
    </row>
    <row r="22" customFormat="false" ht="15" hidden="false" customHeight="false" outlineLevel="0" collapsed="false">
      <c r="A22" s="0" t="s">
        <v>108</v>
      </c>
      <c r="B22" s="3" t="n">
        <v>10</v>
      </c>
    </row>
    <row r="23" customFormat="false" ht="15" hidden="false" customHeight="false" outlineLevel="0" collapsed="false">
      <c r="A23" s="0" t="s">
        <v>109</v>
      </c>
      <c r="B23" s="3" t="n">
        <v>-5</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2</v>
      </c>
      <c r="D27" s="3" t="n">
        <v>-8</v>
      </c>
      <c r="E27" s="3" t="n">
        <v>-6</v>
      </c>
      <c r="F27" s="3" t="n">
        <v>5</v>
      </c>
      <c r="G27" s="3" t="n">
        <v>5</v>
      </c>
      <c r="H27" s="3" t="n">
        <v>2</v>
      </c>
      <c r="I27" s="3" t="n">
        <v>2</v>
      </c>
      <c r="J27" s="3" t="n">
        <v>2</v>
      </c>
      <c r="K27" s="3" t="n">
        <v>2</v>
      </c>
      <c r="L27" s="3" t="n">
        <v>2</v>
      </c>
    </row>
    <row r="28" customFormat="false" ht="15" hidden="false" customHeight="false" outlineLevel="0" collapsed="false">
      <c r="A28" s="0" t="s">
        <v>100</v>
      </c>
      <c r="C28" s="3" t="n">
        <v>55</v>
      </c>
      <c r="D28" s="3" t="n">
        <v>51</v>
      </c>
      <c r="E28" s="3" t="n">
        <v>50</v>
      </c>
      <c r="F28" s="3" t="n">
        <v>50</v>
      </c>
      <c r="G28" s="3" t="n">
        <v>50</v>
      </c>
      <c r="H28" s="3" t="n">
        <v>50</v>
      </c>
      <c r="I28" s="3" t="n">
        <v>50</v>
      </c>
      <c r="J28" s="3" t="n">
        <v>50</v>
      </c>
      <c r="K28" s="3" t="n">
        <v>50</v>
      </c>
      <c r="L28" s="3" t="n">
        <v>50</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0.7</v>
      </c>
      <c r="D30" s="3" t="n">
        <v>0.7</v>
      </c>
      <c r="E30" s="3" t="n">
        <v>0.7</v>
      </c>
      <c r="F30" s="3" t="n">
        <v>0.7</v>
      </c>
      <c r="G30" s="3" t="n">
        <v>0.7</v>
      </c>
      <c r="H30" s="3" t="n">
        <v>0.7</v>
      </c>
      <c r="I30" s="3" t="n">
        <v>0.7</v>
      </c>
      <c r="J30" s="3" t="n">
        <v>0.7</v>
      </c>
      <c r="K30" s="3" t="n">
        <v>0.7</v>
      </c>
      <c r="L30" s="3" t="n">
        <v>0.7</v>
      </c>
    </row>
    <row r="31" customFormat="false" ht="15" hidden="false" customHeight="false" outlineLevel="0" collapsed="false">
      <c r="A31" s="0" t="s">
        <v>103</v>
      </c>
      <c r="C31" s="3" t="n">
        <v>15</v>
      </c>
      <c r="D31" s="3" t="n">
        <v>16</v>
      </c>
      <c r="E31" s="3" t="n">
        <v>17</v>
      </c>
      <c r="F31" s="3" t="n">
        <v>17</v>
      </c>
      <c r="G31" s="3" t="n">
        <v>17</v>
      </c>
      <c r="H31" s="3" t="n">
        <v>17</v>
      </c>
      <c r="I31" s="3" t="n">
        <v>17</v>
      </c>
      <c r="J31" s="3" t="n">
        <v>17</v>
      </c>
      <c r="K31" s="3" t="n">
        <v>17</v>
      </c>
      <c r="L31" s="3" t="n">
        <v>17</v>
      </c>
    </row>
    <row r="32" customFormat="false" ht="15" hidden="false" customHeight="false" outlineLevel="0" collapsed="false">
      <c r="A32" s="0" t="s">
        <v>104</v>
      </c>
      <c r="C32" s="3" t="n">
        <v>19.5</v>
      </c>
      <c r="D32" s="3" t="n">
        <v>19</v>
      </c>
      <c r="E32" s="3" t="n">
        <v>16</v>
      </c>
      <c r="F32" s="3" t="n">
        <v>14.5</v>
      </c>
      <c r="G32" s="3" t="n">
        <v>14.5</v>
      </c>
      <c r="H32" s="3" t="n">
        <v>14.5</v>
      </c>
      <c r="I32" s="3" t="n">
        <v>14.5</v>
      </c>
      <c r="J32" s="3" t="n">
        <v>14.5</v>
      </c>
      <c r="K32" s="3" t="n">
        <v>14.5</v>
      </c>
      <c r="L32" s="3" t="n">
        <v>14.5</v>
      </c>
    </row>
    <row r="33" customFormat="false" ht="15" hidden="false" customHeight="false" outlineLevel="0" collapsed="false">
      <c r="A33" s="0" t="s">
        <v>105</v>
      </c>
      <c r="C33" s="3" t="n">
        <v>33</v>
      </c>
      <c r="D33" s="3" t="n">
        <v>33</v>
      </c>
      <c r="E33" s="3" t="n">
        <v>33</v>
      </c>
      <c r="F33" s="3" t="n">
        <v>33</v>
      </c>
      <c r="G33" s="3" t="n">
        <v>33</v>
      </c>
      <c r="H33" s="3" t="n">
        <v>33</v>
      </c>
      <c r="I33" s="3" t="n">
        <v>33</v>
      </c>
      <c r="J33" s="3" t="n">
        <v>33</v>
      </c>
      <c r="K33" s="3" t="n">
        <v>33</v>
      </c>
      <c r="L33" s="3" t="n">
        <v>33</v>
      </c>
    </row>
    <row r="34" customFormat="false" ht="15" hidden="false" customHeight="false" outlineLevel="0" collapsed="false">
      <c r="A34" s="0" t="s">
        <v>106</v>
      </c>
      <c r="B34" s="3" t="n">
        <v>9.5</v>
      </c>
    </row>
    <row r="35" customFormat="false" ht="15" hidden="false" customHeight="false" outlineLevel="0" collapsed="false">
      <c r="A35" s="0" t="s">
        <v>107</v>
      </c>
      <c r="B35" s="3" t="n">
        <v>1.5</v>
      </c>
    </row>
    <row r="36" customFormat="false" ht="15" hidden="false" customHeight="false" outlineLevel="0" collapsed="false">
      <c r="A36" s="0" t="s">
        <v>108</v>
      </c>
      <c r="B36" s="3" t="n">
        <v>12</v>
      </c>
    </row>
    <row r="37" customFormat="false" ht="15" hidden="false" customHeight="false" outlineLevel="0" collapsed="false">
      <c r="A37" s="0" t="s">
        <v>109</v>
      </c>
      <c r="B37" s="3" t="n">
        <v>-5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8</v>
      </c>
      <c r="D41" s="3" t="n">
        <v>2</v>
      </c>
      <c r="E41" s="3" t="n">
        <v>0</v>
      </c>
      <c r="F41" s="3" t="n">
        <v>7</v>
      </c>
      <c r="G41" s="3" t="n">
        <v>7</v>
      </c>
      <c r="H41" s="3" t="n">
        <v>2.5</v>
      </c>
      <c r="I41" s="3" t="n">
        <v>2.5</v>
      </c>
      <c r="J41" s="3" t="n">
        <v>2.5</v>
      </c>
      <c r="K41" s="3" t="n">
        <v>2.5</v>
      </c>
      <c r="L41" s="3" t="n">
        <v>2.5</v>
      </c>
    </row>
    <row r="42" customFormat="false" ht="15" hidden="false" customHeight="false" outlineLevel="0" collapsed="false">
      <c r="A42" s="0" t="s">
        <v>100</v>
      </c>
      <c r="C42" s="3" t="n">
        <v>57</v>
      </c>
      <c r="D42" s="3" t="n">
        <v>56</v>
      </c>
      <c r="E42" s="3" t="n">
        <v>55</v>
      </c>
      <c r="F42" s="3" t="n">
        <v>55</v>
      </c>
      <c r="G42" s="3" t="n">
        <v>55</v>
      </c>
      <c r="H42" s="3" t="n">
        <v>55</v>
      </c>
      <c r="I42" s="3" t="n">
        <v>55</v>
      </c>
      <c r="J42" s="3" t="n">
        <v>55</v>
      </c>
      <c r="K42" s="3" t="n">
        <v>55</v>
      </c>
      <c r="L42" s="3" t="n">
        <v>55</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0.7</v>
      </c>
      <c r="D44" s="3" t="n">
        <v>0.7</v>
      </c>
      <c r="E44" s="3" t="n">
        <v>0.7</v>
      </c>
      <c r="F44" s="3" t="n">
        <v>0.7</v>
      </c>
      <c r="G44" s="3" t="n">
        <v>0.7</v>
      </c>
      <c r="H44" s="3" t="n">
        <v>0.7</v>
      </c>
      <c r="I44" s="3" t="n">
        <v>0.7</v>
      </c>
      <c r="J44" s="3" t="n">
        <v>0.7</v>
      </c>
      <c r="K44" s="3" t="n">
        <v>0.7</v>
      </c>
      <c r="L44" s="3" t="n">
        <v>0.7</v>
      </c>
    </row>
    <row r="45" customFormat="false" ht="15" hidden="false" customHeight="false" outlineLevel="0" collapsed="false">
      <c r="A45" s="0" t="s">
        <v>103</v>
      </c>
      <c r="C45" s="3" t="n">
        <v>15</v>
      </c>
      <c r="D45" s="3" t="n">
        <v>15</v>
      </c>
      <c r="E45" s="3" t="n">
        <v>15</v>
      </c>
      <c r="F45" s="3" t="n">
        <v>15</v>
      </c>
      <c r="G45" s="3" t="n">
        <v>15</v>
      </c>
      <c r="H45" s="3" t="n">
        <v>15</v>
      </c>
      <c r="I45" s="3" t="n">
        <v>15</v>
      </c>
      <c r="J45" s="3" t="n">
        <v>15</v>
      </c>
      <c r="K45" s="3" t="n">
        <v>15</v>
      </c>
      <c r="L45" s="3" t="n">
        <v>15</v>
      </c>
    </row>
    <row r="46" customFormat="false" ht="15" hidden="false" customHeight="false" outlineLevel="0" collapsed="false">
      <c r="A46" s="0" t="s">
        <v>104</v>
      </c>
      <c r="C46" s="3" t="n">
        <v>19</v>
      </c>
      <c r="D46" s="3" t="n">
        <v>18</v>
      </c>
      <c r="E46" s="3" t="n">
        <v>15</v>
      </c>
      <c r="F46" s="3" t="n">
        <v>13.5</v>
      </c>
      <c r="G46" s="3" t="n">
        <v>13.5</v>
      </c>
      <c r="H46" s="3" t="n">
        <v>13.5</v>
      </c>
      <c r="I46" s="3" t="n">
        <v>13.5</v>
      </c>
      <c r="J46" s="3" t="n">
        <v>13.5</v>
      </c>
      <c r="K46" s="3" t="n">
        <v>13.5</v>
      </c>
      <c r="L46" s="3" t="n">
        <v>13.5</v>
      </c>
    </row>
    <row r="47" customFormat="false" ht="15" hidden="false" customHeight="false" outlineLevel="0" collapsed="false">
      <c r="A47" s="0" t="s">
        <v>105</v>
      </c>
      <c r="C47" s="3" t="n">
        <v>32</v>
      </c>
      <c r="D47" s="3" t="n">
        <v>32</v>
      </c>
      <c r="E47" s="3" t="n">
        <v>32</v>
      </c>
      <c r="F47" s="3" t="n">
        <v>32</v>
      </c>
      <c r="G47" s="3" t="n">
        <v>32</v>
      </c>
      <c r="H47" s="3" t="n">
        <v>32</v>
      </c>
      <c r="I47" s="3" t="n">
        <v>32</v>
      </c>
      <c r="J47" s="3" t="n">
        <v>32</v>
      </c>
      <c r="K47" s="3" t="n">
        <v>32</v>
      </c>
      <c r="L47" s="3" t="n">
        <v>32</v>
      </c>
    </row>
    <row r="48" customFormat="false" ht="15" hidden="false" customHeight="false" outlineLevel="0" collapsed="false">
      <c r="A48" s="0" t="s">
        <v>106</v>
      </c>
      <c r="B48" s="3" t="n">
        <v>9.5</v>
      </c>
    </row>
    <row r="49" customFormat="false" ht="15" hidden="false" customHeight="false" outlineLevel="0" collapsed="false">
      <c r="A49" s="0" t="s">
        <v>107</v>
      </c>
      <c r="B49" s="3" t="n">
        <v>2</v>
      </c>
    </row>
    <row r="50" customFormat="false" ht="15" hidden="false" customHeight="false" outlineLevel="0" collapsed="false">
      <c r="A50" s="0" t="s">
        <v>108</v>
      </c>
      <c r="B50" s="3" t="n">
        <v>13</v>
      </c>
    </row>
    <row r="51" customFormat="false" ht="15" hidden="false" customHeight="false" outlineLevel="0" collapsed="false">
      <c r="A51" s="0" t="s">
        <v>109</v>
      </c>
      <c r="B51" s="3" t="n">
        <v>-5</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0</v>
      </c>
      <c r="D5" s="4" t="n">
        <f aca="false">Assumptions!D13</f>
        <v>-14</v>
      </c>
      <c r="E5" s="4" t="n">
        <f aca="false">Assumptions!E13</f>
        <v>-10</v>
      </c>
      <c r="F5" s="4" t="n">
        <f aca="false">Assumptions!F13</f>
        <v>3</v>
      </c>
      <c r="G5" s="4" t="n">
        <f aca="false">Assumptions!G13</f>
        <v>4</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5588.4</v>
      </c>
      <c r="C6" s="0" t="n">
        <f aca="false">B6*(1+C5/100)</f>
        <v>5588.4</v>
      </c>
      <c r="D6" s="0" t="n">
        <f aca="false">C6*(1+D5/100)</f>
        <v>4806.024</v>
      </c>
      <c r="E6" s="0" t="n">
        <f aca="false">D6*(1+E5/100)</f>
        <v>4325.4216</v>
      </c>
      <c r="F6" s="0" t="n">
        <f aca="false">E6*(1+F5/100)</f>
        <v>4455.184248</v>
      </c>
      <c r="G6" s="0" t="n">
        <f aca="false">F6*(1+G5/100)</f>
        <v>4633.39161792</v>
      </c>
      <c r="H6" s="0" t="n">
        <f aca="false">G6*(1+H5/100)</f>
        <v>4702.8924921888</v>
      </c>
      <c r="I6" s="0" t="n">
        <f aca="false">H6*(1+I5/100)</f>
        <v>4773.43587957163</v>
      </c>
      <c r="J6" s="0" t="n">
        <f aca="false">I6*(1+J5/100)</f>
        <v>4845.03741776521</v>
      </c>
      <c r="K6" s="0" t="n">
        <f aca="false">J6*(1+K5/100)</f>
        <v>4917.71297903168</v>
      </c>
      <c r="L6" s="0" t="n">
        <f aca="false">K6*(1+L5/100)</f>
        <v>4991.47867371716</v>
      </c>
    </row>
    <row r="7" customFormat="false" ht="15" hidden="false" customHeight="false" outlineLevel="0" collapsed="false">
      <c r="A7" s="0" t="s">
        <v>100</v>
      </c>
      <c r="C7" s="4" t="n">
        <f aca="false">Assumptions!C14</f>
        <v>52</v>
      </c>
      <c r="D7" s="4" t="n">
        <f aca="false">Assumptions!D14</f>
        <v>46</v>
      </c>
      <c r="E7" s="4" t="n">
        <f aca="false">Assumptions!E14</f>
        <v>42</v>
      </c>
      <c r="F7" s="4" t="n">
        <f aca="false">Assumptions!F14</f>
        <v>42</v>
      </c>
      <c r="G7" s="4" t="n">
        <f aca="false">Assumptions!G14</f>
        <v>42</v>
      </c>
      <c r="H7" s="4" t="n">
        <f aca="false">Assumptions!H14</f>
        <v>42</v>
      </c>
      <c r="I7" s="4" t="n">
        <f aca="false">Assumptions!I14</f>
        <v>42</v>
      </c>
      <c r="J7" s="4" t="n">
        <f aca="false">Assumptions!J14</f>
        <v>42</v>
      </c>
      <c r="K7" s="4" t="n">
        <f aca="false">Assumptions!K14</f>
        <v>42</v>
      </c>
      <c r="L7" s="4" t="n">
        <f aca="false">Assumptions!L14</f>
        <v>42</v>
      </c>
    </row>
    <row r="8" customFormat="false" ht="15" hidden="false" customHeight="false" outlineLevel="0" collapsed="false">
      <c r="A8" s="0" t="s">
        <v>44</v>
      </c>
      <c r="C8" s="0" t="n">
        <f aca="false">C6*C7/100</f>
        <v>2905.968</v>
      </c>
      <c r="D8" s="0" t="n">
        <f aca="false">D6*D7/100</f>
        <v>2210.77104</v>
      </c>
      <c r="E8" s="0" t="n">
        <f aca="false">E6*E7/100</f>
        <v>1816.677072</v>
      </c>
      <c r="F8" s="0" t="n">
        <f aca="false">F6*F7/100</f>
        <v>1871.17738416</v>
      </c>
      <c r="G8" s="0" t="n">
        <f aca="false">G6*G7/100</f>
        <v>1946.0244795264</v>
      </c>
      <c r="H8" s="0" t="n">
        <f aca="false">H6*H7/100</f>
        <v>1975.2148467193</v>
      </c>
      <c r="I8" s="0" t="n">
        <f aca="false">I6*I7/100</f>
        <v>2004.84306942009</v>
      </c>
      <c r="J8" s="0" t="n">
        <f aca="false">J6*J7/100</f>
        <v>2034.91571546139</v>
      </c>
      <c r="K8" s="0" t="n">
        <f aca="false">K6*K7/100</f>
        <v>2065.43945119331</v>
      </c>
      <c r="L8" s="0" t="n">
        <f aca="false">L6*L7/100</f>
        <v>2096.42104296121</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2866.8492</v>
      </c>
      <c r="D11" s="0" t="n">
        <f aca="false">D8+D10+D24</f>
        <v>2177.128872</v>
      </c>
      <c r="E11" s="0" t="n">
        <f aca="false">E8+E10+E24</f>
        <v>1786.3991208</v>
      </c>
      <c r="F11" s="0" t="n">
        <f aca="false">F8+F10+F24</f>
        <v>1839.991094424</v>
      </c>
      <c r="G11" s="0" t="n">
        <f aca="false">G8+G10+G24</f>
        <v>1913.59073820096</v>
      </c>
      <c r="H11" s="0" t="n">
        <f aca="false">H8+H10+H24</f>
        <v>1942.29459927397</v>
      </c>
      <c r="I11" s="0" t="n">
        <f aca="false">I8+I10+I24</f>
        <v>1971.42901826308</v>
      </c>
      <c r="J11" s="0" t="n">
        <f aca="false">J8+J10+J24</f>
        <v>2001.00045353703</v>
      </c>
      <c r="K11" s="0" t="n">
        <f aca="false">K8+K10+K24</f>
        <v>2031.01546034008</v>
      </c>
      <c r="L11" s="0" t="n">
        <f aca="false">L8+L10+L24</f>
        <v>2061.48069224519</v>
      </c>
    </row>
    <row r="12" customFormat="false" ht="15" hidden="false" customHeight="false" outlineLevel="0" collapsed="false">
      <c r="A12" s="0" t="s">
        <v>118</v>
      </c>
      <c r="C12" s="4" t="n">
        <f aca="false">-C6*Assumptions!C17/100</f>
        <v>-838.26</v>
      </c>
      <c r="D12" s="4" t="n">
        <f aca="false">-D6*Assumptions!D17/100</f>
        <v>-817.02408</v>
      </c>
      <c r="E12" s="4" t="n">
        <f aca="false">-E6*Assumptions!E17/100</f>
        <v>-800.202996</v>
      </c>
      <c r="F12" s="4" t="n">
        <f aca="false">-F6*Assumptions!F17/100</f>
        <v>-824.20908588</v>
      </c>
      <c r="G12" s="4" t="n">
        <f aca="false">-G6*Assumptions!G17/100</f>
        <v>-857.1774493152</v>
      </c>
      <c r="H12" s="4" t="n">
        <f aca="false">-H6*Assumptions!H17/100</f>
        <v>-870.035111054928</v>
      </c>
      <c r="I12" s="4" t="n">
        <f aca="false">-I6*Assumptions!I17/100</f>
        <v>-883.085637720752</v>
      </c>
      <c r="J12" s="4" t="n">
        <f aca="false">-J6*Assumptions!J17/100</f>
        <v>-896.331922286563</v>
      </c>
      <c r="K12" s="4" t="n">
        <f aca="false">-K6*Assumptions!K17/100</f>
        <v>-909.776901120861</v>
      </c>
      <c r="L12" s="4" t="n">
        <f aca="false">-L6*Assumptions!L17/100</f>
        <v>-923.423554637674</v>
      </c>
    </row>
    <row r="13" customFormat="false" ht="15" hidden="false" customHeight="false" outlineLevel="0" collapsed="false">
      <c r="A13" s="0" t="s">
        <v>119</v>
      </c>
      <c r="C13" s="0" t="n">
        <f aca="false">C11+C12</f>
        <v>2028.5892</v>
      </c>
      <c r="D13" s="0" t="n">
        <f aca="false">D11+D12</f>
        <v>1360.104792</v>
      </c>
      <c r="E13" s="0" t="n">
        <f aca="false">E11+E12</f>
        <v>986.1961248</v>
      </c>
      <c r="F13" s="0" t="n">
        <f aca="false">F11+F12</f>
        <v>1015.782008544</v>
      </c>
      <c r="G13" s="0" t="n">
        <f aca="false">G11+G12</f>
        <v>1056.41328888576</v>
      </c>
      <c r="H13" s="0" t="n">
        <f aca="false">H11+H12</f>
        <v>1072.25948821905</v>
      </c>
      <c r="I13" s="0" t="n">
        <f aca="false">I11+I12</f>
        <v>1088.34338054233</v>
      </c>
      <c r="J13" s="0" t="n">
        <f aca="false">J11+J12</f>
        <v>1104.66853125047</v>
      </c>
      <c r="K13" s="0" t="n">
        <f aca="false">K11+K12</f>
        <v>1121.23855921922</v>
      </c>
      <c r="L13" s="0" t="n">
        <f aca="false">L11+L12</f>
        <v>1138.05713760751</v>
      </c>
    </row>
    <row r="14" customFormat="false" ht="15" hidden="false" customHeight="false" outlineLevel="0" collapsed="false">
      <c r="A14" s="0" t="s">
        <v>105</v>
      </c>
      <c r="C14" s="4" t="n">
        <f aca="false">Assumptions!C19</f>
        <v>35</v>
      </c>
      <c r="D14" s="4" t="n">
        <f aca="false">Assumptions!D19</f>
        <v>35</v>
      </c>
      <c r="E14" s="4" t="n">
        <f aca="false">Assumptions!E19</f>
        <v>35</v>
      </c>
      <c r="F14" s="4" t="n">
        <f aca="false">Assumptions!F19</f>
        <v>35</v>
      </c>
      <c r="G14" s="4" t="n">
        <f aca="false">Assumptions!G19</f>
        <v>35</v>
      </c>
      <c r="H14" s="4" t="n">
        <f aca="false">Assumptions!H19</f>
        <v>35</v>
      </c>
      <c r="I14" s="4" t="n">
        <f aca="false">Assumptions!I19</f>
        <v>35</v>
      </c>
      <c r="J14" s="4" t="n">
        <f aca="false">Assumptions!J19</f>
        <v>35</v>
      </c>
      <c r="K14" s="4" t="n">
        <f aca="false">Assumptions!K19</f>
        <v>35</v>
      </c>
      <c r="L14" s="4" t="n">
        <f aca="false">Assumptions!L19</f>
        <v>35</v>
      </c>
    </row>
    <row r="15" customFormat="false" ht="15" hidden="false" customHeight="false" outlineLevel="0" collapsed="false">
      <c r="A15" s="0" t="s">
        <v>120</v>
      </c>
      <c r="C15" s="0" t="n">
        <f aca="false">C13-MAX(0,C13)*C14/100</f>
        <v>1318.58298</v>
      </c>
      <c r="D15" s="0" t="n">
        <f aca="false">D13-MAX(0,D13)*D14/100</f>
        <v>884.0681148</v>
      </c>
      <c r="E15" s="0" t="n">
        <f aca="false">E13-MAX(0,E13)*E14/100</f>
        <v>641.02748112</v>
      </c>
      <c r="F15" s="0" t="n">
        <f aca="false">F13-MAX(0,F13)*F14/100</f>
        <v>660.2583055536</v>
      </c>
      <c r="G15" s="0" t="n">
        <f aca="false">G13-MAX(0,G13)*G14/100</f>
        <v>686.668637775744</v>
      </c>
      <c r="H15" s="0" t="n">
        <f aca="false">H13-MAX(0,H13)*H14/100</f>
        <v>696.96866734238</v>
      </c>
      <c r="I15" s="0" t="n">
        <f aca="false">I13-MAX(0,I13)*I14/100</f>
        <v>707.423197352516</v>
      </c>
      <c r="J15" s="0" t="n">
        <f aca="false">J13-MAX(0,J13)*J14/100</f>
        <v>718.034545312804</v>
      </c>
      <c r="K15" s="0" t="n">
        <f aca="false">K13-MAX(0,K13)*K14/100</f>
        <v>728.805063492495</v>
      </c>
      <c r="L15" s="0" t="n">
        <f aca="false">L13-MAX(0,L13)*L14/100</f>
        <v>739.737139444883</v>
      </c>
    </row>
    <row r="16" customFormat="false" ht="15" hidden="false" customHeight="false" outlineLevel="0" collapsed="false">
      <c r="A16" s="0" t="s">
        <v>121</v>
      </c>
      <c r="C16" s="0" t="n">
        <f aca="false">-C12</f>
        <v>838.26</v>
      </c>
      <c r="D16" s="0" t="n">
        <f aca="false">-D12</f>
        <v>817.02408</v>
      </c>
      <c r="E16" s="0" t="n">
        <f aca="false">-E12</f>
        <v>800.202996</v>
      </c>
      <c r="F16" s="0" t="n">
        <f aca="false">-F12</f>
        <v>824.20908588</v>
      </c>
      <c r="G16" s="0" t="n">
        <f aca="false">-G12</f>
        <v>857.1774493152</v>
      </c>
      <c r="H16" s="0" t="n">
        <f aca="false">-H12</f>
        <v>870.035111054928</v>
      </c>
      <c r="I16" s="0" t="n">
        <f aca="false">-I12</f>
        <v>883.085637720752</v>
      </c>
      <c r="J16" s="0" t="n">
        <f aca="false">-J12</f>
        <v>896.331922286563</v>
      </c>
      <c r="K16" s="0" t="n">
        <f aca="false">-K12</f>
        <v>909.776901120861</v>
      </c>
      <c r="L16" s="0" t="n">
        <f aca="false">-L12</f>
        <v>923.423554637674</v>
      </c>
    </row>
    <row r="17" customFormat="false" ht="15" hidden="false" customHeight="false" outlineLevel="0" collapsed="false">
      <c r="A17" s="0" t="s">
        <v>122</v>
      </c>
      <c r="C17" s="4" t="n">
        <f aca="false">-C6*Assumptions!C18/100</f>
        <v>-1117.68</v>
      </c>
      <c r="D17" s="4" t="n">
        <f aca="false">-D6*Assumptions!D18/100</f>
        <v>-961.2048</v>
      </c>
      <c r="E17" s="4" t="n">
        <f aca="false">-E6*Assumptions!E18/100</f>
        <v>-735.321672</v>
      </c>
      <c r="F17" s="4" t="n">
        <f aca="false">-F6*Assumptions!F18/100</f>
        <v>-690.55355844</v>
      </c>
      <c r="G17" s="4" t="n">
        <f aca="false">-G6*Assumptions!G18/100</f>
        <v>-718.1757007776</v>
      </c>
      <c r="H17" s="4" t="n">
        <f aca="false">-H6*Assumptions!H18/100</f>
        <v>-728.948336289264</v>
      </c>
      <c r="I17" s="4" t="n">
        <f aca="false">-I6*Assumptions!I18/100</f>
        <v>-739.882561333603</v>
      </c>
      <c r="J17" s="4" t="n">
        <f aca="false">-J6*Assumptions!J18/100</f>
        <v>-750.980799753607</v>
      </c>
      <c r="K17" s="4" t="n">
        <f aca="false">-K6*Assumptions!K18/100</f>
        <v>-762.245511749911</v>
      </c>
      <c r="L17" s="4" t="n">
        <f aca="false">-L6*Assumptions!L18/100</f>
        <v>-773.679194426159</v>
      </c>
    </row>
    <row r="18" customFormat="false" ht="15" hidden="false" customHeight="false" outlineLevel="0" collapsed="false">
      <c r="A18" s="0" t="s">
        <v>123</v>
      </c>
      <c r="C18" s="4" t="n">
        <f aca="false">(C6-B6)*Assumptions!$B$23/100</f>
        <v>-0</v>
      </c>
      <c r="D18" s="4" t="n">
        <f aca="false">(D6-C6)*Assumptions!$B$23/100</f>
        <v>39.1188</v>
      </c>
      <c r="E18" s="4" t="n">
        <f aca="false">(E6-D6)*Assumptions!$B$23/100</f>
        <v>24.03012</v>
      </c>
      <c r="F18" s="4" t="n">
        <f aca="false">(F6-E6)*Assumptions!$B$23/100</f>
        <v>-6.4881324</v>
      </c>
      <c r="G18" s="4" t="n">
        <f aca="false">(G6-F6)*Assumptions!$B$23/100</f>
        <v>-8.910368496</v>
      </c>
      <c r="H18" s="4" t="n">
        <f aca="false">(H6-G6)*Assumptions!$B$23/100</f>
        <v>-3.47504371343998</v>
      </c>
      <c r="I18" s="4" t="n">
        <f aca="false">(I6-H6)*Assumptions!$B$23/100</f>
        <v>-3.52716936914158</v>
      </c>
      <c r="J18" s="4" t="n">
        <f aca="false">(J6-I6)*Assumptions!$B$23/100</f>
        <v>-3.5800769096787</v>
      </c>
      <c r="K18" s="4" t="n">
        <f aca="false">(K6-J6)*Assumptions!$B$23/100</f>
        <v>-3.63377806332387</v>
      </c>
      <c r="L18" s="4" t="n">
        <f aca="false">(L6-K6)*Assumptions!$B$23/100</f>
        <v>-3.68828473427375</v>
      </c>
    </row>
    <row r="19" customFormat="false" ht="15" hidden="false" customHeight="false" outlineLevel="0" collapsed="false">
      <c r="A19" s="0" t="s">
        <v>124</v>
      </c>
      <c r="C19" s="0" t="n">
        <f aca="false">C15+C16+C17+C18</f>
        <v>1039.16298</v>
      </c>
      <c r="D19" s="0" t="n">
        <f aca="false">D15+D16+D17+D18</f>
        <v>779.0061948</v>
      </c>
      <c r="E19" s="0" t="n">
        <f aca="false">E15+E16+E17+E18</f>
        <v>729.93892512</v>
      </c>
      <c r="F19" s="0" t="n">
        <f aca="false">F15+F16+F17+F18</f>
        <v>787.4257005936</v>
      </c>
      <c r="G19" s="0" t="n">
        <f aca="false">G15+G16+G17+G18</f>
        <v>816.760017817344</v>
      </c>
      <c r="H19" s="0" t="n">
        <f aca="false">H15+H16+H17+H18</f>
        <v>834.580398394604</v>
      </c>
      <c r="I19" s="0" t="n">
        <f aca="false">I15+I16+I17+I18</f>
        <v>847.099104370523</v>
      </c>
      <c r="J19" s="0" t="n">
        <f aca="false">J15+J16+J17+J18</f>
        <v>859.805590936081</v>
      </c>
      <c r="K19" s="0" t="n">
        <f aca="false">K15+K16+K17+K18</f>
        <v>872.702674800122</v>
      </c>
      <c r="L19" s="0" t="n">
        <f aca="false">L15+L16+L17+L18</f>
        <v>885.793214922124</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949.007287671232</v>
      </c>
      <c r="D21" s="0" t="n">
        <f aca="false">D19*D20</f>
        <v>649.699710014387</v>
      </c>
      <c r="E21" s="0" t="n">
        <f aca="false">E19*E20</f>
        <v>555.960793578572</v>
      </c>
      <c r="F21" s="0" t="n">
        <f aca="false">F19*F20</f>
        <v>547.713075361252</v>
      </c>
      <c r="G21" s="0" t="n">
        <f aca="false">G19*G20</f>
        <v>518.828559213683</v>
      </c>
      <c r="H21" s="0" t="n">
        <f aca="false">H19*H20</f>
        <v>484.153934212064</v>
      </c>
      <c r="I21" s="0" t="n">
        <f aca="false">I19*I20</f>
        <v>448.781957283329</v>
      </c>
      <c r="J21" s="0" t="n">
        <f aca="false">J19*J20</f>
        <v>415.994234376784</v>
      </c>
      <c r="K21" s="0" t="n">
        <f aca="false">K19*K20</f>
        <v>385.601961545603</v>
      </c>
      <c r="L21" s="0" t="n">
        <f aca="false">L19*L20</f>
        <v>357.430128738619</v>
      </c>
    </row>
    <row r="23" customFormat="false" ht="15" hidden="false" customHeight="false" outlineLevel="0" collapsed="false">
      <c r="A23" s="0" t="s">
        <v>102</v>
      </c>
      <c r="C23" s="4" t="n">
        <f aca="false">Assumptions!C16</f>
        <v>0.7</v>
      </c>
      <c r="D23" s="4" t="n">
        <f aca="false">Assumptions!D16</f>
        <v>0.7</v>
      </c>
      <c r="E23" s="4" t="n">
        <f aca="false">Assumptions!E16</f>
        <v>0.7</v>
      </c>
      <c r="F23" s="4" t="n">
        <f aca="false">Assumptions!F16</f>
        <v>0.7</v>
      </c>
      <c r="G23" s="4" t="n">
        <f aca="false">Assumptions!G16</f>
        <v>0.7</v>
      </c>
      <c r="H23" s="4" t="n">
        <f aca="false">Assumptions!H16</f>
        <v>0.7</v>
      </c>
      <c r="I23" s="4" t="n">
        <f aca="false">Assumptions!I16</f>
        <v>0.7</v>
      </c>
      <c r="J23" s="4" t="n">
        <f aca="false">Assumptions!J16</f>
        <v>0.7</v>
      </c>
      <c r="K23" s="4" t="n">
        <f aca="false">Assumptions!K16</f>
        <v>0.7</v>
      </c>
      <c r="L23" s="4" t="n">
        <f aca="false">Assumptions!L16</f>
        <v>0.7</v>
      </c>
    </row>
    <row r="24" customFormat="false" ht="15" hidden="false" customHeight="false" outlineLevel="0" collapsed="false">
      <c r="A24" s="0" t="s">
        <v>127</v>
      </c>
      <c r="C24" s="0" t="n">
        <f aca="false">-C6*C23/100</f>
        <v>-39.1188</v>
      </c>
      <c r="D24" s="0" t="n">
        <f aca="false">-D6*D23/100</f>
        <v>-33.642168</v>
      </c>
      <c r="E24" s="0" t="n">
        <f aca="false">-E6*E23/100</f>
        <v>-30.2779512</v>
      </c>
      <c r="F24" s="0" t="n">
        <f aca="false">-F6*F23/100</f>
        <v>-31.186289736</v>
      </c>
      <c r="G24" s="0" t="n">
        <f aca="false">-G6*G23/100</f>
        <v>-32.43374132544</v>
      </c>
      <c r="H24" s="0" t="n">
        <f aca="false">-H6*H23/100</f>
        <v>-32.9202474453216</v>
      </c>
      <c r="I24" s="0" t="n">
        <f aca="false">-I6*I23/100</f>
        <v>-33.4140511570014</v>
      </c>
      <c r="J24" s="0" t="n">
        <f aca="false">-J6*J23/100</f>
        <v>-33.9152619243564</v>
      </c>
      <c r="K24" s="0" t="n">
        <f aca="false">-K6*K23/100</f>
        <v>-34.4239908532218</v>
      </c>
      <c r="L24" s="0" t="n">
        <f aca="false">-L6*L23/100</f>
        <v>-34.9403507160201</v>
      </c>
    </row>
    <row r="26" customFormat="false" ht="15" hidden="false" customHeight="false" outlineLevel="0" collapsed="false">
      <c r="A26" s="2" t="s">
        <v>128</v>
      </c>
    </row>
    <row r="27" customFormat="false" ht="15" hidden="false" customHeight="false" outlineLevel="0" collapsed="false">
      <c r="A27" s="0" t="s">
        <v>106</v>
      </c>
      <c r="B27" s="4" t="n">
        <f aca="false">Assumptions!$B$20</f>
        <v>9.5</v>
      </c>
    </row>
    <row r="28" customFormat="false" ht="15" hidden="false" customHeight="false" outlineLevel="0" collapsed="false">
      <c r="A28" s="0" t="s">
        <v>107</v>
      </c>
      <c r="B28" s="4" t="n">
        <f aca="false">Assumptions!$B$21</f>
        <v>1</v>
      </c>
    </row>
    <row r="29" customFormat="false" ht="15" hidden="false" customHeight="false" outlineLevel="0" collapsed="false">
      <c r="A29" s="0" t="s">
        <v>108</v>
      </c>
      <c r="B29" s="4" t="n">
        <f aca="false">Assumptions!$B$22</f>
        <v>10</v>
      </c>
    </row>
    <row r="30" customFormat="false" ht="15" hidden="false" customHeight="false" outlineLevel="0" collapsed="false">
      <c r="A30" s="0" t="s">
        <v>129</v>
      </c>
      <c r="B30" s="0" t="n">
        <f aca="false">SUM(C21:L21)</f>
        <v>5313.17164199553</v>
      </c>
    </row>
    <row r="31" customFormat="false" ht="15" hidden="false" customHeight="false" outlineLevel="0" collapsed="false">
      <c r="A31" s="0" t="s">
        <v>130</v>
      </c>
      <c r="B31" s="0" t="n">
        <f aca="false">L19</f>
        <v>885.793214922124</v>
      </c>
    </row>
    <row r="32" customFormat="false" ht="15" hidden="false" customHeight="false" outlineLevel="0" collapsed="false">
      <c r="A32" s="0" t="s">
        <v>131</v>
      </c>
      <c r="B32" s="0" t="n">
        <f aca="false">IF(B27&gt;B28,B31*(1+B28/100)/((B27-B28)/100),B31*B29)</f>
        <v>10525.3076126041</v>
      </c>
    </row>
    <row r="33" customFormat="false" ht="15" hidden="false" customHeight="false" outlineLevel="0" collapsed="false">
      <c r="A33" s="0" t="s">
        <v>132</v>
      </c>
      <c r="B33" s="0" t="n">
        <f aca="false">B31*B29</f>
        <v>8857.93214922124</v>
      </c>
    </row>
    <row r="34" customFormat="false" ht="15" hidden="false" customHeight="false" outlineLevel="0" collapsed="false">
      <c r="A34" s="0" t="s">
        <v>133</v>
      </c>
      <c r="B34" s="0" t="n">
        <f aca="false">MAX(0,MIN(B32,B33))</f>
        <v>8857.93214922124</v>
      </c>
    </row>
    <row r="35" customFormat="false" ht="15" hidden="false" customHeight="false" outlineLevel="0" collapsed="false">
      <c r="A35" s="0" t="s">
        <v>134</v>
      </c>
      <c r="B35" s="0" t="n">
        <f aca="false">B34/(1+B27/100)^L4</f>
        <v>3574.30128738619</v>
      </c>
    </row>
    <row r="36" customFormat="false" ht="15" hidden="false" customHeight="false" outlineLevel="0" collapsed="false">
      <c r="A36" s="0" t="s">
        <v>135</v>
      </c>
      <c r="B36" s="0" t="n">
        <f aca="false">B30+B35</f>
        <v>8887.47292938171</v>
      </c>
    </row>
    <row r="37" customFormat="false" ht="15" hidden="false" customHeight="false" outlineLevel="0" collapsed="false">
      <c r="A37" s="0" t="s">
        <v>136</v>
      </c>
      <c r="B37" s="0" t="n">
        <f aca="false">B36+Assumptions!$B$5-Assumptions!$B$4</f>
        <v>7977.07292938172</v>
      </c>
    </row>
    <row r="38" customFormat="false" ht="15" hidden="false" customHeight="false" outlineLevel="0" collapsed="false">
      <c r="A38" s="0" t="s">
        <v>137</v>
      </c>
      <c r="B38" s="0" t="n">
        <f aca="false">B37/Assumptions!$B$3*Assumptions!$B$10</f>
        <v>4.87289629019116</v>
      </c>
    </row>
    <row r="39" customFormat="false" ht="15" hidden="false" customHeight="false" outlineLevel="0" collapsed="false">
      <c r="A39" s="0" t="s">
        <v>138</v>
      </c>
      <c r="B39" s="4" t="n">
        <f aca="false">B38/Assumptions!$B$2-1</f>
        <v>-0.361350420682679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4.87289629019116</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6390.3653362239</v>
      </c>
    </row>
    <row r="47" customFormat="false" ht="15" hidden="false" customHeight="false" outlineLevel="0" collapsed="false">
      <c r="A47" s="0" t="s">
        <v>143</v>
      </c>
      <c r="B47" s="0" t="n">
        <f aca="false">(SUMPRODUCT(C19:L19/(1+B45/100)^C4:L4)+B46/(1+B45/100)^L4+Assumptions!$B$5-Assumptions!$B$4)/Assumptions!$B$3*Assumptions!$B$10</f>
        <v>3.00878361672261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2</v>
      </c>
      <c r="D5" s="4" t="n">
        <f aca="false">Assumptions!D27</f>
        <v>-8</v>
      </c>
      <c r="E5" s="4" t="n">
        <f aca="false">Assumptions!E27</f>
        <v>-6</v>
      </c>
      <c r="F5" s="4" t="n">
        <f aca="false">Assumptions!F27</f>
        <v>5</v>
      </c>
      <c r="G5" s="4" t="n">
        <f aca="false">Assumptions!G27</f>
        <v>5</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38</v>
      </c>
      <c r="B6" s="3" t="n">
        <v>5588.4</v>
      </c>
      <c r="C6" s="0" t="n">
        <f aca="false">B6*(1+C5/100)</f>
        <v>5700.168</v>
      </c>
      <c r="D6" s="0" t="n">
        <f aca="false">C6*(1+D5/100)</f>
        <v>5244.15456</v>
      </c>
      <c r="E6" s="0" t="n">
        <f aca="false">D6*(1+E5/100)</f>
        <v>4929.5052864</v>
      </c>
      <c r="F6" s="0" t="n">
        <f aca="false">E6*(1+F5/100)</f>
        <v>5175.98055072</v>
      </c>
      <c r="G6" s="0" t="n">
        <f aca="false">F6*(1+G5/100)</f>
        <v>5434.779578256</v>
      </c>
      <c r="H6" s="0" t="n">
        <f aca="false">G6*(1+H5/100)</f>
        <v>5543.47516982112</v>
      </c>
      <c r="I6" s="0" t="n">
        <f aca="false">H6*(1+I5/100)</f>
        <v>5654.34467321754</v>
      </c>
      <c r="J6" s="0" t="n">
        <f aca="false">I6*(1+J5/100)</f>
        <v>5767.43156668189</v>
      </c>
      <c r="K6" s="0" t="n">
        <f aca="false">J6*(1+K5/100)</f>
        <v>5882.78019801553</v>
      </c>
      <c r="L6" s="0" t="n">
        <f aca="false">K6*(1+L5/100)</f>
        <v>6000.43580197584</v>
      </c>
    </row>
    <row r="7" customFormat="false" ht="15" hidden="false" customHeight="false" outlineLevel="0" collapsed="false">
      <c r="A7" s="0" t="s">
        <v>100</v>
      </c>
      <c r="C7" s="4" t="n">
        <f aca="false">Assumptions!C28</f>
        <v>55</v>
      </c>
      <c r="D7" s="4" t="n">
        <f aca="false">Assumptions!D28</f>
        <v>51</v>
      </c>
      <c r="E7" s="4" t="n">
        <f aca="false">Assumptions!E28</f>
        <v>50</v>
      </c>
      <c r="F7" s="4" t="n">
        <f aca="false">Assumptions!F28</f>
        <v>50</v>
      </c>
      <c r="G7" s="4" t="n">
        <f aca="false">Assumptions!G28</f>
        <v>50</v>
      </c>
      <c r="H7" s="4" t="n">
        <f aca="false">Assumptions!H28</f>
        <v>50</v>
      </c>
      <c r="I7" s="4" t="n">
        <f aca="false">Assumptions!I28</f>
        <v>50</v>
      </c>
      <c r="J7" s="4" t="n">
        <f aca="false">Assumptions!J28</f>
        <v>50</v>
      </c>
      <c r="K7" s="4" t="n">
        <f aca="false">Assumptions!K28</f>
        <v>50</v>
      </c>
      <c r="L7" s="4" t="n">
        <f aca="false">Assumptions!L28</f>
        <v>50</v>
      </c>
    </row>
    <row r="8" customFormat="false" ht="15" hidden="false" customHeight="false" outlineLevel="0" collapsed="false">
      <c r="A8" s="0" t="s">
        <v>44</v>
      </c>
      <c r="C8" s="0" t="n">
        <f aca="false">C6*C7/100</f>
        <v>3135.0924</v>
      </c>
      <c r="D8" s="0" t="n">
        <f aca="false">D6*D7/100</f>
        <v>2674.5188256</v>
      </c>
      <c r="E8" s="0" t="n">
        <f aca="false">E6*E7/100</f>
        <v>2464.7526432</v>
      </c>
      <c r="F8" s="0" t="n">
        <f aca="false">F6*F7/100</f>
        <v>2587.99027536</v>
      </c>
      <c r="G8" s="0" t="n">
        <f aca="false">G6*G7/100</f>
        <v>2717.389789128</v>
      </c>
      <c r="H8" s="0" t="n">
        <f aca="false">H6*H7/100</f>
        <v>2771.73758491056</v>
      </c>
      <c r="I8" s="0" t="n">
        <f aca="false">I6*I7/100</f>
        <v>2827.17233660877</v>
      </c>
      <c r="J8" s="0" t="n">
        <f aca="false">J6*J7/100</f>
        <v>2883.71578334095</v>
      </c>
      <c r="K8" s="0" t="n">
        <f aca="false">K6*K7/100</f>
        <v>2941.39009900777</v>
      </c>
      <c r="L8" s="0" t="n">
        <f aca="false">L6*L7/100</f>
        <v>3000.21790098792</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3095.191224</v>
      </c>
      <c r="D11" s="0" t="n">
        <f aca="false">D8+D10+D24</f>
        <v>2637.80974368</v>
      </c>
      <c r="E11" s="0" t="n">
        <f aca="false">E8+E10+E24</f>
        <v>2430.2461061952</v>
      </c>
      <c r="F11" s="0" t="n">
        <f aca="false">F8+F10+F24</f>
        <v>2551.75841150496</v>
      </c>
      <c r="G11" s="0" t="n">
        <f aca="false">G8+G10+G24</f>
        <v>2679.34633208021</v>
      </c>
      <c r="H11" s="0" t="n">
        <f aca="false">H8+H10+H24</f>
        <v>2732.93325872181</v>
      </c>
      <c r="I11" s="0" t="n">
        <f aca="false">I8+I10+I24</f>
        <v>2787.59192389625</v>
      </c>
      <c r="J11" s="0" t="n">
        <f aca="false">J8+J10+J24</f>
        <v>2843.34376237417</v>
      </c>
      <c r="K11" s="0" t="n">
        <f aca="false">K8+K10+K24</f>
        <v>2900.21063762166</v>
      </c>
      <c r="L11" s="0" t="n">
        <f aca="false">L8+L10+L24</f>
        <v>2958.21485037409</v>
      </c>
    </row>
    <row r="12" customFormat="false" ht="15" hidden="false" customHeight="false" outlineLevel="0" collapsed="false">
      <c r="A12" s="0" t="s">
        <v>118</v>
      </c>
      <c r="C12" s="4" t="n">
        <f aca="false">-C6*Assumptions!C31/100</f>
        <v>-855.0252</v>
      </c>
      <c r="D12" s="4" t="n">
        <f aca="false">-D6*Assumptions!D31/100</f>
        <v>-839.0647296</v>
      </c>
      <c r="E12" s="4" t="n">
        <f aca="false">-E6*Assumptions!E31/100</f>
        <v>-838.015898688</v>
      </c>
      <c r="F12" s="4" t="n">
        <f aca="false">-F6*Assumptions!F31/100</f>
        <v>-879.9166936224</v>
      </c>
      <c r="G12" s="4" t="n">
        <f aca="false">-G6*Assumptions!G31/100</f>
        <v>-923.91252830352</v>
      </c>
      <c r="H12" s="4" t="n">
        <f aca="false">-H6*Assumptions!H31/100</f>
        <v>-942.39077886959</v>
      </c>
      <c r="I12" s="4" t="n">
        <f aca="false">-I6*Assumptions!I31/100</f>
        <v>-961.238594446982</v>
      </c>
      <c r="J12" s="4" t="n">
        <f aca="false">-J6*Assumptions!J31/100</f>
        <v>-980.463366335922</v>
      </c>
      <c r="K12" s="4" t="n">
        <f aca="false">-K6*Assumptions!K31/100</f>
        <v>-1000.07263366264</v>
      </c>
      <c r="L12" s="4" t="n">
        <f aca="false">-L6*Assumptions!L31/100</f>
        <v>-1020.07408633589</v>
      </c>
    </row>
    <row r="13" customFormat="false" ht="15" hidden="false" customHeight="false" outlineLevel="0" collapsed="false">
      <c r="A13" s="0" t="s">
        <v>119</v>
      </c>
      <c r="C13" s="0" t="n">
        <f aca="false">C11+C12</f>
        <v>2240.166024</v>
      </c>
      <c r="D13" s="0" t="n">
        <f aca="false">D11+D12</f>
        <v>1798.74501408</v>
      </c>
      <c r="E13" s="0" t="n">
        <f aca="false">E11+E12</f>
        <v>1592.2302075072</v>
      </c>
      <c r="F13" s="0" t="n">
        <f aca="false">F11+F12</f>
        <v>1671.84171788256</v>
      </c>
      <c r="G13" s="0" t="n">
        <f aca="false">G11+G12</f>
        <v>1755.43380377669</v>
      </c>
      <c r="H13" s="0" t="n">
        <f aca="false">H11+H12</f>
        <v>1790.54247985222</v>
      </c>
      <c r="I13" s="0" t="n">
        <f aca="false">I11+I12</f>
        <v>1826.35332944927</v>
      </c>
      <c r="J13" s="0" t="n">
        <f aca="false">J11+J12</f>
        <v>1862.88039603825</v>
      </c>
      <c r="K13" s="0" t="n">
        <f aca="false">K11+K12</f>
        <v>1900.13800395902</v>
      </c>
      <c r="L13" s="0" t="n">
        <f aca="false">L11+L12</f>
        <v>1938.1407640382</v>
      </c>
    </row>
    <row r="14" customFormat="false" ht="15" hidden="false" customHeight="false" outlineLevel="0" collapsed="false">
      <c r="A14" s="0" t="s">
        <v>105</v>
      </c>
      <c r="C14" s="4" t="n">
        <f aca="false">Assumptions!C33</f>
        <v>33</v>
      </c>
      <c r="D14" s="4" t="n">
        <f aca="false">Assumptions!D33</f>
        <v>33</v>
      </c>
      <c r="E14" s="4" t="n">
        <f aca="false">Assumptions!E33</f>
        <v>33</v>
      </c>
      <c r="F14" s="4" t="n">
        <f aca="false">Assumptions!F33</f>
        <v>33</v>
      </c>
      <c r="G14" s="4" t="n">
        <f aca="false">Assumptions!G33</f>
        <v>33</v>
      </c>
      <c r="H14" s="4" t="n">
        <f aca="false">Assumptions!H33</f>
        <v>33</v>
      </c>
      <c r="I14" s="4" t="n">
        <f aca="false">Assumptions!I33</f>
        <v>33</v>
      </c>
      <c r="J14" s="4" t="n">
        <f aca="false">Assumptions!J33</f>
        <v>33</v>
      </c>
      <c r="K14" s="4" t="n">
        <f aca="false">Assumptions!K33</f>
        <v>33</v>
      </c>
      <c r="L14" s="4" t="n">
        <f aca="false">Assumptions!L33</f>
        <v>33</v>
      </c>
    </row>
    <row r="15" customFormat="false" ht="15" hidden="false" customHeight="false" outlineLevel="0" collapsed="false">
      <c r="A15" s="0" t="s">
        <v>120</v>
      </c>
      <c r="C15" s="0" t="n">
        <f aca="false">C13-MAX(0,C13)*C14/100</f>
        <v>1500.91123608</v>
      </c>
      <c r="D15" s="0" t="n">
        <f aca="false">D13-MAX(0,D13)*D14/100</f>
        <v>1205.1591594336</v>
      </c>
      <c r="E15" s="0" t="n">
        <f aca="false">E13-MAX(0,E13)*E14/100</f>
        <v>1066.79423902982</v>
      </c>
      <c r="F15" s="0" t="n">
        <f aca="false">F13-MAX(0,F13)*F14/100</f>
        <v>1120.13395098132</v>
      </c>
      <c r="G15" s="0" t="n">
        <f aca="false">G13-MAX(0,G13)*G14/100</f>
        <v>1176.14064853038</v>
      </c>
      <c r="H15" s="0" t="n">
        <f aca="false">H13-MAX(0,H13)*H14/100</f>
        <v>1199.66346150099</v>
      </c>
      <c r="I15" s="0" t="n">
        <f aca="false">I13-MAX(0,I13)*I14/100</f>
        <v>1223.65673073101</v>
      </c>
      <c r="J15" s="0" t="n">
        <f aca="false">J13-MAX(0,J13)*J14/100</f>
        <v>1248.12986534563</v>
      </c>
      <c r="K15" s="0" t="n">
        <f aca="false">K13-MAX(0,K13)*K14/100</f>
        <v>1273.09246265254</v>
      </c>
      <c r="L15" s="0" t="n">
        <f aca="false">L13-MAX(0,L13)*L14/100</f>
        <v>1298.55431190559</v>
      </c>
    </row>
    <row r="16" customFormat="false" ht="15" hidden="false" customHeight="false" outlineLevel="0" collapsed="false">
      <c r="A16" s="0" t="s">
        <v>121</v>
      </c>
      <c r="C16" s="0" t="n">
        <f aca="false">-C12</f>
        <v>855.0252</v>
      </c>
      <c r="D16" s="0" t="n">
        <f aca="false">-D12</f>
        <v>839.0647296</v>
      </c>
      <c r="E16" s="0" t="n">
        <f aca="false">-E12</f>
        <v>838.015898688</v>
      </c>
      <c r="F16" s="0" t="n">
        <f aca="false">-F12</f>
        <v>879.9166936224</v>
      </c>
      <c r="G16" s="0" t="n">
        <f aca="false">-G12</f>
        <v>923.91252830352</v>
      </c>
      <c r="H16" s="0" t="n">
        <f aca="false">-H12</f>
        <v>942.39077886959</v>
      </c>
      <c r="I16" s="0" t="n">
        <f aca="false">-I12</f>
        <v>961.238594446982</v>
      </c>
      <c r="J16" s="0" t="n">
        <f aca="false">-J12</f>
        <v>980.463366335922</v>
      </c>
      <c r="K16" s="0" t="n">
        <f aca="false">-K12</f>
        <v>1000.07263366264</v>
      </c>
      <c r="L16" s="0" t="n">
        <f aca="false">-L12</f>
        <v>1020.07408633589</v>
      </c>
    </row>
    <row r="17" customFormat="false" ht="15" hidden="false" customHeight="false" outlineLevel="0" collapsed="false">
      <c r="A17" s="0" t="s">
        <v>122</v>
      </c>
      <c r="C17" s="4" t="n">
        <f aca="false">-C6*Assumptions!C32/100</f>
        <v>-1111.53276</v>
      </c>
      <c r="D17" s="4" t="n">
        <f aca="false">-D6*Assumptions!D32/100</f>
        <v>-996.3893664</v>
      </c>
      <c r="E17" s="4" t="n">
        <f aca="false">-E6*Assumptions!E32/100</f>
        <v>-788.720845824</v>
      </c>
      <c r="F17" s="4" t="n">
        <f aca="false">-F6*Assumptions!F32/100</f>
        <v>-750.5171798544</v>
      </c>
      <c r="G17" s="4" t="n">
        <f aca="false">-G6*Assumptions!G32/100</f>
        <v>-788.04303884712</v>
      </c>
      <c r="H17" s="4" t="n">
        <f aca="false">-H6*Assumptions!H32/100</f>
        <v>-803.803899624062</v>
      </c>
      <c r="I17" s="4" t="n">
        <f aca="false">-I6*Assumptions!I32/100</f>
        <v>-819.879977616543</v>
      </c>
      <c r="J17" s="4" t="n">
        <f aca="false">-J6*Assumptions!J32/100</f>
        <v>-836.277577168874</v>
      </c>
      <c r="K17" s="4" t="n">
        <f aca="false">-K6*Assumptions!K32/100</f>
        <v>-853.003128712252</v>
      </c>
      <c r="L17" s="4" t="n">
        <f aca="false">-L6*Assumptions!L32/100</f>
        <v>-870.063191286497</v>
      </c>
    </row>
    <row r="18" customFormat="false" ht="15" hidden="false" customHeight="false" outlineLevel="0" collapsed="false">
      <c r="A18" s="0" t="s">
        <v>123</v>
      </c>
      <c r="C18" s="4" t="n">
        <f aca="false">(C6-B6)*Assumptions!$B$37/100</f>
        <v>-5.5884</v>
      </c>
      <c r="D18" s="4" t="n">
        <f aca="false">(D6-C6)*Assumptions!$B$37/100</f>
        <v>22.800672</v>
      </c>
      <c r="E18" s="4" t="n">
        <f aca="false">(E6-D6)*Assumptions!$B$37/100</f>
        <v>15.73246368</v>
      </c>
      <c r="F18" s="4" t="n">
        <f aca="false">(F6-E6)*Assumptions!$B$37/100</f>
        <v>-12.323763216</v>
      </c>
      <c r="G18" s="4" t="n">
        <f aca="false">(G6-F6)*Assumptions!$B$37/100</f>
        <v>-12.9399513768</v>
      </c>
      <c r="H18" s="4" t="n">
        <f aca="false">(H6-G6)*Assumptions!$B$37/100</f>
        <v>-5.43477957825598</v>
      </c>
      <c r="I18" s="4" t="n">
        <f aca="false">(I6-H6)*Assumptions!$B$37/100</f>
        <v>-5.54347516982111</v>
      </c>
      <c r="J18" s="4" t="n">
        <f aca="false">(J6-I6)*Assumptions!$B$37/100</f>
        <v>-5.65434467321757</v>
      </c>
      <c r="K18" s="4" t="n">
        <f aca="false">(K6-J6)*Assumptions!$B$37/100</f>
        <v>-5.7674315666819</v>
      </c>
      <c r="L18" s="4" t="n">
        <f aca="false">(L6-K6)*Assumptions!$B$37/100</f>
        <v>-5.88278019801555</v>
      </c>
    </row>
    <row r="19" customFormat="false" ht="15" hidden="false" customHeight="false" outlineLevel="0" collapsed="false">
      <c r="A19" s="0" t="s">
        <v>124</v>
      </c>
      <c r="C19" s="0" t="n">
        <f aca="false">C15+C16+C17+C18</f>
        <v>1238.81527608</v>
      </c>
      <c r="D19" s="0" t="n">
        <f aca="false">D15+D16+D17+D18</f>
        <v>1070.6351946336</v>
      </c>
      <c r="E19" s="0" t="n">
        <f aca="false">E15+E16+E17+E18</f>
        <v>1131.82175557382</v>
      </c>
      <c r="F19" s="0" t="n">
        <f aca="false">F15+F16+F17+F18</f>
        <v>1237.20970153332</v>
      </c>
      <c r="G19" s="0" t="n">
        <f aca="false">G15+G16+G17+G18</f>
        <v>1299.07018660998</v>
      </c>
      <c r="H19" s="0" t="n">
        <f aca="false">H15+H16+H17+H18</f>
        <v>1332.81556116826</v>
      </c>
      <c r="I19" s="0" t="n">
        <f aca="false">I15+I16+I17+I18</f>
        <v>1359.47187239163</v>
      </c>
      <c r="J19" s="0" t="n">
        <f aca="false">J15+J16+J17+J18</f>
        <v>1386.66130983946</v>
      </c>
      <c r="K19" s="0" t="n">
        <f aca="false">K15+K16+K17+K18</f>
        <v>1414.39453603625</v>
      </c>
      <c r="L19" s="0" t="n">
        <f aca="false">L15+L16+L17+L18</f>
        <v>1442.68242675697</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1131.33815167123</v>
      </c>
      <c r="D21" s="0" t="n">
        <f aca="false">D19*D20</f>
        <v>892.921494242072</v>
      </c>
      <c r="E21" s="0" t="n">
        <f aca="false">E19*E20</f>
        <v>862.056399191028</v>
      </c>
      <c r="F21" s="0" t="n">
        <f aca="false">F19*F20</f>
        <v>860.571264035139</v>
      </c>
      <c r="G21" s="0" t="n">
        <f aca="false">G19*G20</f>
        <v>825.20532167753</v>
      </c>
      <c r="H21" s="0" t="n">
        <f aca="false">H19*H20</f>
        <v>773.188417508902</v>
      </c>
      <c r="I21" s="0" t="n">
        <f aca="false">I19*I20</f>
        <v>720.230306720622</v>
      </c>
      <c r="J21" s="0" t="n">
        <f aca="false">J19*J20</f>
        <v>670.899463794552</v>
      </c>
      <c r="K21" s="0" t="n">
        <f aca="false">K19*K20</f>
        <v>624.947445726432</v>
      </c>
      <c r="L21" s="0" t="n">
        <f aca="false">L19*L20</f>
        <v>582.142826156128</v>
      </c>
    </row>
    <row r="23" customFormat="false" ht="15" hidden="false" customHeight="false" outlineLevel="0" collapsed="false">
      <c r="A23" s="0" t="s">
        <v>102</v>
      </c>
      <c r="C23" s="4" t="n">
        <f aca="false">Assumptions!C30</f>
        <v>0.7</v>
      </c>
      <c r="D23" s="4" t="n">
        <f aca="false">Assumptions!D30</f>
        <v>0.7</v>
      </c>
      <c r="E23" s="4" t="n">
        <f aca="false">Assumptions!E30</f>
        <v>0.7</v>
      </c>
      <c r="F23" s="4" t="n">
        <f aca="false">Assumptions!F30</f>
        <v>0.7</v>
      </c>
      <c r="G23" s="4" t="n">
        <f aca="false">Assumptions!G30</f>
        <v>0.7</v>
      </c>
      <c r="H23" s="4" t="n">
        <f aca="false">Assumptions!H30</f>
        <v>0.7</v>
      </c>
      <c r="I23" s="4" t="n">
        <f aca="false">Assumptions!I30</f>
        <v>0.7</v>
      </c>
      <c r="J23" s="4" t="n">
        <f aca="false">Assumptions!J30</f>
        <v>0.7</v>
      </c>
      <c r="K23" s="4" t="n">
        <f aca="false">Assumptions!K30</f>
        <v>0.7</v>
      </c>
      <c r="L23" s="4" t="n">
        <f aca="false">Assumptions!L30</f>
        <v>0.7</v>
      </c>
    </row>
    <row r="24" customFormat="false" ht="15" hidden="false" customHeight="false" outlineLevel="0" collapsed="false">
      <c r="A24" s="0" t="s">
        <v>127</v>
      </c>
      <c r="C24" s="0" t="n">
        <f aca="false">-C6*C23/100</f>
        <v>-39.901176</v>
      </c>
      <c r="D24" s="0" t="n">
        <f aca="false">-D6*D23/100</f>
        <v>-36.70908192</v>
      </c>
      <c r="E24" s="0" t="n">
        <f aca="false">-E6*E23/100</f>
        <v>-34.5065370048</v>
      </c>
      <c r="F24" s="0" t="n">
        <f aca="false">-F6*F23/100</f>
        <v>-36.23186385504</v>
      </c>
      <c r="G24" s="0" t="n">
        <f aca="false">-G6*G23/100</f>
        <v>-38.043457047792</v>
      </c>
      <c r="H24" s="0" t="n">
        <f aca="false">-H6*H23/100</f>
        <v>-38.8043261887478</v>
      </c>
      <c r="I24" s="0" t="n">
        <f aca="false">-I6*I23/100</f>
        <v>-39.5804127125228</v>
      </c>
      <c r="J24" s="0" t="n">
        <f aca="false">-J6*J23/100</f>
        <v>-40.3720209667733</v>
      </c>
      <c r="K24" s="0" t="n">
        <f aca="false">-K6*K23/100</f>
        <v>-41.1794613861087</v>
      </c>
      <c r="L24" s="0" t="n">
        <f aca="false">-L6*L23/100</f>
        <v>-42.0030506138309</v>
      </c>
    </row>
    <row r="26" customFormat="false" ht="15" hidden="false" customHeight="false" outlineLevel="0" collapsed="false">
      <c r="A26" s="2" t="s">
        <v>128</v>
      </c>
    </row>
    <row r="27" customFormat="false" ht="15" hidden="false" customHeight="false" outlineLevel="0" collapsed="false">
      <c r="A27" s="0" t="s">
        <v>106</v>
      </c>
      <c r="B27" s="4" t="n">
        <f aca="false">Assumptions!$B$34</f>
        <v>9.5</v>
      </c>
    </row>
    <row r="28" customFormat="false" ht="15" hidden="false" customHeight="false" outlineLevel="0" collapsed="false">
      <c r="A28" s="0" t="s">
        <v>107</v>
      </c>
      <c r="B28" s="4" t="n">
        <f aca="false">Assumptions!$B$35</f>
        <v>1.5</v>
      </c>
    </row>
    <row r="29" customFormat="false" ht="15" hidden="false" customHeight="false" outlineLevel="0" collapsed="false">
      <c r="A29" s="0" t="s">
        <v>108</v>
      </c>
      <c r="B29" s="4" t="n">
        <f aca="false">Assumptions!$B$36</f>
        <v>12</v>
      </c>
    </row>
    <row r="30" customFormat="false" ht="15" hidden="false" customHeight="false" outlineLevel="0" collapsed="false">
      <c r="A30" s="0" t="s">
        <v>129</v>
      </c>
      <c r="B30" s="0" t="n">
        <f aca="false">SUM(C21:L21)</f>
        <v>7943.50109072364</v>
      </c>
    </row>
    <row r="31" customFormat="false" ht="15" hidden="false" customHeight="false" outlineLevel="0" collapsed="false">
      <c r="A31" s="0" t="s">
        <v>130</v>
      </c>
      <c r="B31" s="0" t="n">
        <f aca="false">L19</f>
        <v>1442.68242675697</v>
      </c>
    </row>
    <row r="32" customFormat="false" ht="15" hidden="false" customHeight="false" outlineLevel="0" collapsed="false">
      <c r="A32" s="0" t="s">
        <v>131</v>
      </c>
      <c r="B32" s="0" t="n">
        <f aca="false">IF(B27&gt;B28,B31*(1+B28/100)/((B27-B28)/100),B31*B29)</f>
        <v>18304.0332894791</v>
      </c>
    </row>
    <row r="33" customFormat="false" ht="15" hidden="false" customHeight="false" outlineLevel="0" collapsed="false">
      <c r="A33" s="0" t="s">
        <v>132</v>
      </c>
      <c r="B33" s="0" t="n">
        <f aca="false">B31*B29</f>
        <v>17312.1891210837</v>
      </c>
    </row>
    <row r="34" customFormat="false" ht="15" hidden="false" customHeight="false" outlineLevel="0" collapsed="false">
      <c r="A34" s="0" t="s">
        <v>133</v>
      </c>
      <c r="B34" s="0" t="n">
        <f aca="false">MAX(0,MIN(B32,B33))</f>
        <v>17312.1891210837</v>
      </c>
    </row>
    <row r="35" customFormat="false" ht="15" hidden="false" customHeight="false" outlineLevel="0" collapsed="false">
      <c r="A35" s="0" t="s">
        <v>134</v>
      </c>
      <c r="B35" s="0" t="n">
        <f aca="false">B34/(1+B27/100)^L4</f>
        <v>6985.71391387354</v>
      </c>
    </row>
    <row r="36" customFormat="false" ht="15" hidden="false" customHeight="false" outlineLevel="0" collapsed="false">
      <c r="A36" s="0" t="s">
        <v>135</v>
      </c>
      <c r="B36" s="0" t="n">
        <f aca="false">B30+B35</f>
        <v>14929.2150045972</v>
      </c>
    </row>
    <row r="37" customFormat="false" ht="15" hidden="false" customHeight="false" outlineLevel="0" collapsed="false">
      <c r="A37" s="0" t="s">
        <v>136</v>
      </c>
      <c r="B37" s="0" t="n">
        <f aca="false">B36+Assumptions!$B$5-Assumptions!$B$4</f>
        <v>14018.8150045972</v>
      </c>
    </row>
    <row r="38" customFormat="false" ht="15" hidden="false" customHeight="false" outlineLevel="0" collapsed="false">
      <c r="A38" s="0" t="s">
        <v>137</v>
      </c>
      <c r="B38" s="0" t="n">
        <f aca="false">B37/Assumptions!$B$3*Assumptions!$B$10</f>
        <v>8.56357115367033</v>
      </c>
    </row>
    <row r="39" customFormat="false" ht="15" hidden="false" customHeight="false" outlineLevel="0" collapsed="false">
      <c r="A39" s="0" t="s">
        <v>138</v>
      </c>
      <c r="B39" s="4" t="n">
        <f aca="false">B38/Assumptions!$B$2-1</f>
        <v>0.122355328135036</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8.56357115367033</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10846.8345419135</v>
      </c>
    </row>
    <row r="47" customFormat="false" ht="15" hidden="false" customHeight="false" outlineLevel="0" collapsed="false">
      <c r="A47" s="0" t="s">
        <v>143</v>
      </c>
      <c r="B47" s="0" t="n">
        <f aca="false">(SUMPRODUCT(C19:L19/(1+B45/100)^C4:L4)+B46/(1+B45/100)^L4+Assumptions!$B$5-Assumptions!$B$4)/Assumptions!$B$3*Assumptions!$B$10</f>
        <v>4.92004251714422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8</v>
      </c>
      <c r="D5" s="4" t="n">
        <f aca="false">Assumptions!D41</f>
        <v>2</v>
      </c>
      <c r="E5" s="4" t="n">
        <f aca="false">Assumptions!E41</f>
        <v>0</v>
      </c>
      <c r="F5" s="4" t="n">
        <f aca="false">Assumptions!F41</f>
        <v>7</v>
      </c>
      <c r="G5" s="4" t="n">
        <f aca="false">Assumptions!G41</f>
        <v>7</v>
      </c>
      <c r="H5" s="4" t="n">
        <f aca="false">Assumptions!H41</f>
        <v>2.5</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38</v>
      </c>
      <c r="B6" s="3" t="n">
        <v>5588.4</v>
      </c>
      <c r="C6" s="0" t="n">
        <f aca="false">B6*(1+C5/100)</f>
        <v>6035.472</v>
      </c>
      <c r="D6" s="0" t="n">
        <f aca="false">C6*(1+D5/100)</f>
        <v>6156.18144</v>
      </c>
      <c r="E6" s="0" t="n">
        <f aca="false">D6*(1+E5/100)</f>
        <v>6156.18144</v>
      </c>
      <c r="F6" s="0" t="n">
        <f aca="false">E6*(1+F5/100)</f>
        <v>6587.1141408</v>
      </c>
      <c r="G6" s="0" t="n">
        <f aca="false">F6*(1+G5/100)</f>
        <v>7048.212130656</v>
      </c>
      <c r="H6" s="0" t="n">
        <f aca="false">G6*(1+H5/100)</f>
        <v>7224.4174339224</v>
      </c>
      <c r="I6" s="0" t="n">
        <f aca="false">H6*(1+I5/100)</f>
        <v>7405.02786977046</v>
      </c>
      <c r="J6" s="0" t="n">
        <f aca="false">I6*(1+J5/100)</f>
        <v>7590.15356651472</v>
      </c>
      <c r="K6" s="0" t="n">
        <f aca="false">J6*(1+K5/100)</f>
        <v>7779.90740567759</v>
      </c>
      <c r="L6" s="0" t="n">
        <f aca="false">K6*(1+L5/100)</f>
        <v>7974.40509081953</v>
      </c>
    </row>
    <row r="7" customFormat="false" ht="15" hidden="false" customHeight="false" outlineLevel="0" collapsed="false">
      <c r="A7" s="0" t="s">
        <v>100</v>
      </c>
      <c r="C7" s="4" t="n">
        <f aca="false">Assumptions!C42</f>
        <v>57</v>
      </c>
      <c r="D7" s="4" t="n">
        <f aca="false">Assumptions!D42</f>
        <v>56</v>
      </c>
      <c r="E7" s="4" t="n">
        <f aca="false">Assumptions!E42</f>
        <v>55</v>
      </c>
      <c r="F7" s="4" t="n">
        <f aca="false">Assumptions!F42</f>
        <v>55</v>
      </c>
      <c r="G7" s="4" t="n">
        <f aca="false">Assumptions!G42</f>
        <v>55</v>
      </c>
      <c r="H7" s="4" t="n">
        <f aca="false">Assumptions!H42</f>
        <v>55</v>
      </c>
      <c r="I7" s="4" t="n">
        <f aca="false">Assumptions!I42</f>
        <v>55</v>
      </c>
      <c r="J7" s="4" t="n">
        <f aca="false">Assumptions!J42</f>
        <v>55</v>
      </c>
      <c r="K7" s="4" t="n">
        <f aca="false">Assumptions!K42</f>
        <v>55</v>
      </c>
      <c r="L7" s="4" t="n">
        <f aca="false">Assumptions!L42</f>
        <v>55</v>
      </c>
    </row>
    <row r="8" customFormat="false" ht="15" hidden="false" customHeight="false" outlineLevel="0" collapsed="false">
      <c r="A8" s="0" t="s">
        <v>44</v>
      </c>
      <c r="C8" s="0" t="n">
        <f aca="false">C6*C7/100</f>
        <v>3440.21904</v>
      </c>
      <c r="D8" s="0" t="n">
        <f aca="false">D6*D7/100</f>
        <v>3447.4616064</v>
      </c>
      <c r="E8" s="0" t="n">
        <f aca="false">E6*E7/100</f>
        <v>3385.899792</v>
      </c>
      <c r="F8" s="0" t="n">
        <f aca="false">F6*F7/100</f>
        <v>3622.91277744</v>
      </c>
      <c r="G8" s="0" t="n">
        <f aca="false">G6*G7/100</f>
        <v>3876.5166718608</v>
      </c>
      <c r="H8" s="0" t="n">
        <f aca="false">H6*H7/100</f>
        <v>3973.42958865732</v>
      </c>
      <c r="I8" s="0" t="n">
        <f aca="false">I6*I7/100</f>
        <v>4072.76532837375</v>
      </c>
      <c r="J8" s="0" t="n">
        <f aca="false">J6*J7/100</f>
        <v>4174.5844615831</v>
      </c>
      <c r="K8" s="0" t="n">
        <f aca="false">K6*K7/100</f>
        <v>4278.94907312267</v>
      </c>
      <c r="L8" s="0" t="n">
        <f aca="false">L6*L7/100</f>
        <v>4385.92279995074</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3397.970736</v>
      </c>
      <c r="D11" s="0" t="n">
        <f aca="false">D8+D10+D24</f>
        <v>3404.36833632</v>
      </c>
      <c r="E11" s="0" t="n">
        <f aca="false">E8+E10+E24</f>
        <v>3342.80652192</v>
      </c>
      <c r="F11" s="0" t="n">
        <f aca="false">F8+F10+F24</f>
        <v>3576.8029784544</v>
      </c>
      <c r="G11" s="0" t="n">
        <f aca="false">G8+G10+G24</f>
        <v>3827.17918694621</v>
      </c>
      <c r="H11" s="0" t="n">
        <f aca="false">H8+H10+H24</f>
        <v>3922.85866661986</v>
      </c>
      <c r="I11" s="0" t="n">
        <f aca="false">I8+I10+I24</f>
        <v>4020.93013328536</v>
      </c>
      <c r="J11" s="0" t="n">
        <f aca="false">J8+J10+J24</f>
        <v>4121.45338661749</v>
      </c>
      <c r="K11" s="0" t="n">
        <f aca="false">K8+K10+K24</f>
        <v>4224.48972128293</v>
      </c>
      <c r="L11" s="0" t="n">
        <f aca="false">L8+L10+L24</f>
        <v>4330.101964315</v>
      </c>
    </row>
    <row r="12" customFormat="false" ht="15" hidden="false" customHeight="false" outlineLevel="0" collapsed="false">
      <c r="A12" s="0" t="s">
        <v>118</v>
      </c>
      <c r="C12" s="4" t="n">
        <f aca="false">-C6*Assumptions!C45/100</f>
        <v>-905.3208</v>
      </c>
      <c r="D12" s="4" t="n">
        <f aca="false">-D6*Assumptions!D45/100</f>
        <v>-923.427216</v>
      </c>
      <c r="E12" s="4" t="n">
        <f aca="false">-E6*Assumptions!E45/100</f>
        <v>-923.427216</v>
      </c>
      <c r="F12" s="4" t="n">
        <f aca="false">-F6*Assumptions!F45/100</f>
        <v>-988.06712112</v>
      </c>
      <c r="G12" s="4" t="n">
        <f aca="false">-G6*Assumptions!G45/100</f>
        <v>-1057.2318195984</v>
      </c>
      <c r="H12" s="4" t="n">
        <f aca="false">-H6*Assumptions!H45/100</f>
        <v>-1083.66261508836</v>
      </c>
      <c r="I12" s="4" t="n">
        <f aca="false">-I6*Assumptions!I45/100</f>
        <v>-1110.75418046557</v>
      </c>
      <c r="J12" s="4" t="n">
        <f aca="false">-J6*Assumptions!J45/100</f>
        <v>-1138.52303497721</v>
      </c>
      <c r="K12" s="4" t="n">
        <f aca="false">-K6*Assumptions!K45/100</f>
        <v>-1166.98611085164</v>
      </c>
      <c r="L12" s="4" t="n">
        <f aca="false">-L6*Assumptions!L45/100</f>
        <v>-1196.16076362293</v>
      </c>
    </row>
    <row r="13" customFormat="false" ht="15" hidden="false" customHeight="false" outlineLevel="0" collapsed="false">
      <c r="A13" s="0" t="s">
        <v>119</v>
      </c>
      <c r="C13" s="0" t="n">
        <f aca="false">C11+C12</f>
        <v>2492.649936</v>
      </c>
      <c r="D13" s="0" t="n">
        <f aca="false">D11+D12</f>
        <v>2480.94112032</v>
      </c>
      <c r="E13" s="0" t="n">
        <f aca="false">E11+E12</f>
        <v>2419.37930592</v>
      </c>
      <c r="F13" s="0" t="n">
        <f aca="false">F11+F12</f>
        <v>2588.7358573344</v>
      </c>
      <c r="G13" s="0" t="n">
        <f aca="false">G11+G12</f>
        <v>2769.94736734781</v>
      </c>
      <c r="H13" s="0" t="n">
        <f aca="false">H11+H12</f>
        <v>2839.1960515315</v>
      </c>
      <c r="I13" s="0" t="n">
        <f aca="false">I11+I12</f>
        <v>2910.17595281979</v>
      </c>
      <c r="J13" s="0" t="n">
        <f aca="false">J11+J12</f>
        <v>2982.93035164029</v>
      </c>
      <c r="K13" s="0" t="n">
        <f aca="false">K11+K12</f>
        <v>3057.50361043129</v>
      </c>
      <c r="L13" s="0" t="n">
        <f aca="false">L11+L12</f>
        <v>3133.94120069207</v>
      </c>
    </row>
    <row r="14" customFormat="false" ht="15" hidden="false" customHeight="false" outlineLevel="0" collapsed="false">
      <c r="A14" s="0" t="s">
        <v>105</v>
      </c>
      <c r="C14" s="4" t="n">
        <f aca="false">Assumptions!C47</f>
        <v>32</v>
      </c>
      <c r="D14" s="4" t="n">
        <f aca="false">Assumptions!D47</f>
        <v>32</v>
      </c>
      <c r="E14" s="4" t="n">
        <f aca="false">Assumptions!E47</f>
        <v>32</v>
      </c>
      <c r="F14" s="4" t="n">
        <f aca="false">Assumptions!F47</f>
        <v>32</v>
      </c>
      <c r="G14" s="4" t="n">
        <f aca="false">Assumptions!G47</f>
        <v>32</v>
      </c>
      <c r="H14" s="4" t="n">
        <f aca="false">Assumptions!H47</f>
        <v>32</v>
      </c>
      <c r="I14" s="4" t="n">
        <f aca="false">Assumptions!I47</f>
        <v>32</v>
      </c>
      <c r="J14" s="4" t="n">
        <f aca="false">Assumptions!J47</f>
        <v>32</v>
      </c>
      <c r="K14" s="4" t="n">
        <f aca="false">Assumptions!K47</f>
        <v>32</v>
      </c>
      <c r="L14" s="4" t="n">
        <f aca="false">Assumptions!L47</f>
        <v>32</v>
      </c>
    </row>
    <row r="15" customFormat="false" ht="15" hidden="false" customHeight="false" outlineLevel="0" collapsed="false">
      <c r="A15" s="0" t="s">
        <v>120</v>
      </c>
      <c r="C15" s="0" t="n">
        <f aca="false">C13-MAX(0,C13)*C14/100</f>
        <v>1695.00195648</v>
      </c>
      <c r="D15" s="0" t="n">
        <f aca="false">D13-MAX(0,D13)*D14/100</f>
        <v>1687.0399618176</v>
      </c>
      <c r="E15" s="0" t="n">
        <f aca="false">E13-MAX(0,E13)*E14/100</f>
        <v>1645.1779280256</v>
      </c>
      <c r="F15" s="0" t="n">
        <f aca="false">F13-MAX(0,F13)*F14/100</f>
        <v>1760.34038298739</v>
      </c>
      <c r="G15" s="0" t="n">
        <f aca="false">G13-MAX(0,G13)*G14/100</f>
        <v>1883.56420979651</v>
      </c>
      <c r="H15" s="0" t="n">
        <f aca="false">H13-MAX(0,H13)*H14/100</f>
        <v>1930.65331504142</v>
      </c>
      <c r="I15" s="0" t="n">
        <f aca="false">I13-MAX(0,I13)*I14/100</f>
        <v>1978.91964791746</v>
      </c>
      <c r="J15" s="0" t="n">
        <f aca="false">J13-MAX(0,J13)*J14/100</f>
        <v>2028.39263911539</v>
      </c>
      <c r="K15" s="0" t="n">
        <f aca="false">K13-MAX(0,K13)*K14/100</f>
        <v>2079.10245509328</v>
      </c>
      <c r="L15" s="0" t="n">
        <f aca="false">L13-MAX(0,L13)*L14/100</f>
        <v>2131.08001647061</v>
      </c>
    </row>
    <row r="16" customFormat="false" ht="15" hidden="false" customHeight="false" outlineLevel="0" collapsed="false">
      <c r="A16" s="0" t="s">
        <v>121</v>
      </c>
      <c r="C16" s="0" t="n">
        <f aca="false">-C12</f>
        <v>905.3208</v>
      </c>
      <c r="D16" s="0" t="n">
        <f aca="false">-D12</f>
        <v>923.427216</v>
      </c>
      <c r="E16" s="0" t="n">
        <f aca="false">-E12</f>
        <v>923.427216</v>
      </c>
      <c r="F16" s="0" t="n">
        <f aca="false">-F12</f>
        <v>988.06712112</v>
      </c>
      <c r="G16" s="0" t="n">
        <f aca="false">-G12</f>
        <v>1057.2318195984</v>
      </c>
      <c r="H16" s="0" t="n">
        <f aca="false">-H12</f>
        <v>1083.66261508836</v>
      </c>
      <c r="I16" s="0" t="n">
        <f aca="false">-I12</f>
        <v>1110.75418046557</v>
      </c>
      <c r="J16" s="0" t="n">
        <f aca="false">-J12</f>
        <v>1138.52303497721</v>
      </c>
      <c r="K16" s="0" t="n">
        <f aca="false">-K12</f>
        <v>1166.98611085164</v>
      </c>
      <c r="L16" s="0" t="n">
        <f aca="false">-L12</f>
        <v>1196.16076362293</v>
      </c>
    </row>
    <row r="17" customFormat="false" ht="15" hidden="false" customHeight="false" outlineLevel="0" collapsed="false">
      <c r="A17" s="0" t="s">
        <v>122</v>
      </c>
      <c r="C17" s="4" t="n">
        <f aca="false">-C6*Assumptions!C46/100</f>
        <v>-1146.73968</v>
      </c>
      <c r="D17" s="4" t="n">
        <f aca="false">-D6*Assumptions!D46/100</f>
        <v>-1108.1126592</v>
      </c>
      <c r="E17" s="4" t="n">
        <f aca="false">-E6*Assumptions!E46/100</f>
        <v>-923.427216</v>
      </c>
      <c r="F17" s="4" t="n">
        <f aca="false">-F6*Assumptions!F46/100</f>
        <v>-889.260409008</v>
      </c>
      <c r="G17" s="4" t="n">
        <f aca="false">-G6*Assumptions!G46/100</f>
        <v>-951.50863763856</v>
      </c>
      <c r="H17" s="4" t="n">
        <f aca="false">-H6*Assumptions!H46/100</f>
        <v>-975.296353579524</v>
      </c>
      <c r="I17" s="4" t="n">
        <f aca="false">-I6*Assumptions!I46/100</f>
        <v>-999.678762419012</v>
      </c>
      <c r="J17" s="4" t="n">
        <f aca="false">-J6*Assumptions!J46/100</f>
        <v>-1024.67073147949</v>
      </c>
      <c r="K17" s="4" t="n">
        <f aca="false">-K6*Assumptions!K46/100</f>
        <v>-1050.28749976647</v>
      </c>
      <c r="L17" s="4" t="n">
        <f aca="false">-L6*Assumptions!L46/100</f>
        <v>-1076.54468726064</v>
      </c>
    </row>
    <row r="18" customFormat="false" ht="15" hidden="false" customHeight="false" outlineLevel="0" collapsed="false">
      <c r="A18" s="0" t="s">
        <v>123</v>
      </c>
      <c r="C18" s="4" t="n">
        <f aca="false">(C6-B6)*Assumptions!$B$51/100</f>
        <v>-22.3536</v>
      </c>
      <c r="D18" s="4" t="n">
        <f aca="false">(D6-C6)*Assumptions!$B$51/100</f>
        <v>-6.03547200000003</v>
      </c>
      <c r="E18" s="4" t="n">
        <f aca="false">(E6-D6)*Assumptions!$B$51/100</f>
        <v>-0</v>
      </c>
      <c r="F18" s="4" t="n">
        <f aca="false">(F6-E6)*Assumptions!$B$51/100</f>
        <v>-21.54663504</v>
      </c>
      <c r="G18" s="4" t="n">
        <f aca="false">(G6-F6)*Assumptions!$B$51/100</f>
        <v>-23.0548994928</v>
      </c>
      <c r="H18" s="4" t="n">
        <f aca="false">(H6-G6)*Assumptions!$B$51/100</f>
        <v>-8.81026516331999</v>
      </c>
      <c r="I18" s="4" t="n">
        <f aca="false">(I6-H6)*Assumptions!$B$51/100</f>
        <v>-9.03052179240299</v>
      </c>
      <c r="J18" s="4" t="n">
        <f aca="false">(J6-I6)*Assumptions!$B$51/100</f>
        <v>-9.25628483721303</v>
      </c>
      <c r="K18" s="4" t="n">
        <f aca="false">(K6-J6)*Assumptions!$B$51/100</f>
        <v>-9.48769195814339</v>
      </c>
      <c r="L18" s="4" t="n">
        <f aca="false">(L6-K6)*Assumptions!$B$51/100</f>
        <v>-9.72488425709694</v>
      </c>
    </row>
    <row r="19" customFormat="false" ht="15" hidden="false" customHeight="false" outlineLevel="0" collapsed="false">
      <c r="A19" s="0" t="s">
        <v>124</v>
      </c>
      <c r="C19" s="0" t="n">
        <f aca="false">C15+C16+C17+C18</f>
        <v>1431.22947648</v>
      </c>
      <c r="D19" s="0" t="n">
        <f aca="false">D15+D16+D17+D18</f>
        <v>1496.3190466176</v>
      </c>
      <c r="E19" s="0" t="n">
        <f aca="false">E15+E16+E17+E18</f>
        <v>1645.1779280256</v>
      </c>
      <c r="F19" s="0" t="n">
        <f aca="false">F15+F16+F17+F18</f>
        <v>1837.60046005939</v>
      </c>
      <c r="G19" s="0" t="n">
        <f aca="false">G15+G16+G17+G18</f>
        <v>1966.23249226355</v>
      </c>
      <c r="H19" s="0" t="n">
        <f aca="false">H15+H16+H17+H18</f>
        <v>2030.20931138694</v>
      </c>
      <c r="I19" s="0" t="n">
        <f aca="false">I15+I16+I17+I18</f>
        <v>2080.96454417161</v>
      </c>
      <c r="J19" s="0" t="n">
        <f aca="false">J15+J16+J17+J18</f>
        <v>2132.9886577759</v>
      </c>
      <c r="K19" s="0" t="n">
        <f aca="false">K15+K16+K17+K18</f>
        <v>2186.3133742203</v>
      </c>
      <c r="L19" s="0" t="n">
        <f aca="false">L15+L16+L17+L18</f>
        <v>2240.97120857581</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1307.05888263014</v>
      </c>
      <c r="D21" s="0" t="n">
        <f aca="false">D19*D20</f>
        <v>1247.94649537549</v>
      </c>
      <c r="E21" s="0" t="n">
        <f aca="false">E19*E20</f>
        <v>1253.0561050607</v>
      </c>
      <c r="F21" s="0" t="n">
        <f aca="false">F19*F20</f>
        <v>1278.18764171102</v>
      </c>
      <c r="G21" s="0" t="n">
        <f aca="false">G19*G20</f>
        <v>1249.00527546191</v>
      </c>
      <c r="H21" s="0" t="n">
        <f aca="false">H19*H20</f>
        <v>1177.75810128385</v>
      </c>
      <c r="I21" s="0" t="n">
        <f aca="false">I19*I20</f>
        <v>1102.46762905566</v>
      </c>
      <c r="J21" s="0" t="n">
        <f aca="false">J19*J20</f>
        <v>1031.9902463763</v>
      </c>
      <c r="K21" s="0" t="n">
        <f aca="false">K19*K20</f>
        <v>966.018267155902</v>
      </c>
      <c r="L21" s="0" t="n">
        <f aca="false">L19*L20</f>
        <v>904.263674734977</v>
      </c>
    </row>
    <row r="23" customFormat="false" ht="15" hidden="false" customHeight="false" outlineLevel="0" collapsed="false">
      <c r="A23" s="0" t="s">
        <v>102</v>
      </c>
      <c r="C23" s="4" t="n">
        <f aca="false">Assumptions!C44</f>
        <v>0.7</v>
      </c>
      <c r="D23" s="4" t="n">
        <f aca="false">Assumptions!D44</f>
        <v>0.7</v>
      </c>
      <c r="E23" s="4" t="n">
        <f aca="false">Assumptions!E44</f>
        <v>0.7</v>
      </c>
      <c r="F23" s="4" t="n">
        <f aca="false">Assumptions!F44</f>
        <v>0.7</v>
      </c>
      <c r="G23" s="4" t="n">
        <f aca="false">Assumptions!G44</f>
        <v>0.7</v>
      </c>
      <c r="H23" s="4" t="n">
        <f aca="false">Assumptions!H44</f>
        <v>0.7</v>
      </c>
      <c r="I23" s="4" t="n">
        <f aca="false">Assumptions!I44</f>
        <v>0.7</v>
      </c>
      <c r="J23" s="4" t="n">
        <f aca="false">Assumptions!J44</f>
        <v>0.7</v>
      </c>
      <c r="K23" s="4" t="n">
        <f aca="false">Assumptions!K44</f>
        <v>0.7</v>
      </c>
      <c r="L23" s="4" t="n">
        <f aca="false">Assumptions!L44</f>
        <v>0.7</v>
      </c>
    </row>
    <row r="24" customFormat="false" ht="15" hidden="false" customHeight="false" outlineLevel="0" collapsed="false">
      <c r="A24" s="0" t="s">
        <v>127</v>
      </c>
      <c r="C24" s="0" t="n">
        <f aca="false">-C6*C23/100</f>
        <v>-42.248304</v>
      </c>
      <c r="D24" s="0" t="n">
        <f aca="false">-D6*D23/100</f>
        <v>-43.09327008</v>
      </c>
      <c r="E24" s="0" t="n">
        <f aca="false">-E6*E23/100</f>
        <v>-43.09327008</v>
      </c>
      <c r="F24" s="0" t="n">
        <f aca="false">-F6*F23/100</f>
        <v>-46.1097989856</v>
      </c>
      <c r="G24" s="0" t="n">
        <f aca="false">-G6*G23/100</f>
        <v>-49.337484914592</v>
      </c>
      <c r="H24" s="0" t="n">
        <f aca="false">-H6*H23/100</f>
        <v>-50.5709220374568</v>
      </c>
      <c r="I24" s="0" t="n">
        <f aca="false">-I6*I23/100</f>
        <v>-51.8351950883932</v>
      </c>
      <c r="J24" s="0" t="n">
        <f aca="false">-J6*J23/100</f>
        <v>-53.1310749656031</v>
      </c>
      <c r="K24" s="0" t="n">
        <f aca="false">-K6*K23/100</f>
        <v>-54.4593518397431</v>
      </c>
      <c r="L24" s="0" t="n">
        <f aca="false">-L6*L23/100</f>
        <v>-55.8208356357367</v>
      </c>
    </row>
    <row r="26" customFormat="false" ht="15" hidden="false" customHeight="false" outlineLevel="0" collapsed="false">
      <c r="A26" s="2" t="s">
        <v>128</v>
      </c>
    </row>
    <row r="27" customFormat="false" ht="15" hidden="false" customHeight="false" outlineLevel="0" collapsed="false">
      <c r="A27" s="0" t="s">
        <v>106</v>
      </c>
      <c r="B27" s="4" t="n">
        <f aca="false">Assumptions!$B$48</f>
        <v>9.5</v>
      </c>
    </row>
    <row r="28" customFormat="false" ht="15" hidden="false" customHeight="false" outlineLevel="0" collapsed="false">
      <c r="A28" s="0" t="s">
        <v>107</v>
      </c>
      <c r="B28" s="4" t="n">
        <f aca="false">Assumptions!$B$49</f>
        <v>2</v>
      </c>
    </row>
    <row r="29" customFormat="false" ht="15" hidden="false" customHeight="false" outlineLevel="0" collapsed="false">
      <c r="A29" s="0" t="s">
        <v>108</v>
      </c>
      <c r="B29" s="4" t="n">
        <f aca="false">Assumptions!$B$50</f>
        <v>13</v>
      </c>
    </row>
    <row r="30" customFormat="false" ht="15" hidden="false" customHeight="false" outlineLevel="0" collapsed="false">
      <c r="A30" s="0" t="s">
        <v>129</v>
      </c>
      <c r="B30" s="0" t="n">
        <f aca="false">SUM(C21:L21)</f>
        <v>11517.752318846</v>
      </c>
    </row>
    <row r="31" customFormat="false" ht="15" hidden="false" customHeight="false" outlineLevel="0" collapsed="false">
      <c r="A31" s="0" t="s">
        <v>130</v>
      </c>
      <c r="B31" s="0" t="n">
        <f aca="false">L19</f>
        <v>2240.97120857581</v>
      </c>
    </row>
    <row r="32" customFormat="false" ht="15" hidden="false" customHeight="false" outlineLevel="0" collapsed="false">
      <c r="A32" s="0" t="s">
        <v>131</v>
      </c>
      <c r="B32" s="0" t="n">
        <f aca="false">IF(B27&gt;B28,B31*(1+B28/100)/((B27-B28)/100),B31*B29)</f>
        <v>30477.208436631</v>
      </c>
    </row>
    <row r="33" customFormat="false" ht="15" hidden="false" customHeight="false" outlineLevel="0" collapsed="false">
      <c r="A33" s="0" t="s">
        <v>132</v>
      </c>
      <c r="B33" s="0" t="n">
        <f aca="false">B31*B29</f>
        <v>29132.6257114855</v>
      </c>
    </row>
    <row r="34" customFormat="false" ht="15" hidden="false" customHeight="false" outlineLevel="0" collapsed="false">
      <c r="A34" s="0" t="s">
        <v>133</v>
      </c>
      <c r="B34" s="0" t="n">
        <f aca="false">MAX(0,MIN(B32,B33))</f>
        <v>29132.6257114855</v>
      </c>
    </row>
    <row r="35" customFormat="false" ht="15" hidden="false" customHeight="false" outlineLevel="0" collapsed="false">
      <c r="A35" s="0" t="s">
        <v>134</v>
      </c>
      <c r="B35" s="0" t="n">
        <f aca="false">B34/(1+B27/100)^L4</f>
        <v>11755.4277715547</v>
      </c>
    </row>
    <row r="36" customFormat="false" ht="15" hidden="false" customHeight="false" outlineLevel="0" collapsed="false">
      <c r="A36" s="0" t="s">
        <v>135</v>
      </c>
      <c r="B36" s="0" t="n">
        <f aca="false">B30+B35</f>
        <v>23273.1800904007</v>
      </c>
    </row>
    <row r="37" customFormat="false" ht="15" hidden="false" customHeight="false" outlineLevel="0" collapsed="false">
      <c r="A37" s="0" t="s">
        <v>136</v>
      </c>
      <c r="B37" s="0" t="n">
        <f aca="false">B36+Assumptions!$B$5-Assumptions!$B$4</f>
        <v>22362.7800904007</v>
      </c>
    </row>
    <row r="38" customFormat="false" ht="15" hidden="false" customHeight="false" outlineLevel="0" collapsed="false">
      <c r="A38" s="0" t="s">
        <v>137</v>
      </c>
      <c r="B38" s="0" t="n">
        <f aca="false">B37/Assumptions!$B$3*Assumptions!$B$10</f>
        <v>13.660588176335</v>
      </c>
    </row>
    <row r="39" customFormat="false" ht="15" hidden="false" customHeight="false" outlineLevel="0" collapsed="false">
      <c r="A39" s="0" t="s">
        <v>138</v>
      </c>
      <c r="B39" s="4" t="n">
        <f aca="false">B38/Assumptions!$B$2-1</f>
        <v>0.790378529008522</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13.660588176335</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17583.0048672871</v>
      </c>
    </row>
    <row r="47" customFormat="false" ht="15" hidden="false" customHeight="false" outlineLevel="0" collapsed="false">
      <c r="A47" s="0" t="s">
        <v>143</v>
      </c>
      <c r="B47" s="0" t="n">
        <f aca="false">(SUMPRODUCT(C19:L19/(1+B45/100)^C4:L4)+B46/(1+B45/100)^L4+Assumptions!$B$5-Assumptions!$B$4)/Assumptions!$B$3*Assumptions!$B$10</f>
        <v>7.60799262476556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4.87289629019116</v>
      </c>
      <c r="C4" s="0" t="n">
        <f aca="false">B4/Assumptions!$B$2-1</f>
        <v>-0.361350420682679</v>
      </c>
      <c r="D4" s="4" t="n">
        <f aca="false">Assumptions!$B$24</f>
        <v>0.3</v>
      </c>
      <c r="E4" s="4" t="n">
        <f aca="false">DCF_Bear!$B$43</f>
        <v>4.87289629019116</v>
      </c>
      <c r="F4" s="4" t="n">
        <f aca="false">DCF_Bear!$B$47</f>
        <v>3.00878361672261</v>
      </c>
    </row>
    <row r="5" customFormat="false" ht="15" hidden="false" customHeight="false" outlineLevel="0" collapsed="false">
      <c r="A5" s="0" t="s">
        <v>152</v>
      </c>
      <c r="B5" s="4" t="n">
        <f aca="false">DCF_Base!$B$38</f>
        <v>8.56357115367033</v>
      </c>
      <c r="C5" s="0" t="n">
        <f aca="false">B5/Assumptions!$B$2-1</f>
        <v>0.122355328135036</v>
      </c>
      <c r="D5" s="4" t="n">
        <f aca="false">Assumptions!$B$38</f>
        <v>0.5</v>
      </c>
      <c r="E5" s="4" t="n">
        <f aca="false">DCF_Base!$B$43</f>
        <v>8.56357115367033</v>
      </c>
      <c r="F5" s="4" t="n">
        <f aca="false">DCF_Base!$B$47</f>
        <v>4.92004251714422</v>
      </c>
    </row>
    <row r="6" customFormat="false" ht="15" hidden="false" customHeight="false" outlineLevel="0" collapsed="false">
      <c r="A6" s="0" t="s">
        <v>153</v>
      </c>
      <c r="B6" s="4" t="n">
        <f aca="false">DCF_Bull!$B$38</f>
        <v>13.660588176335</v>
      </c>
      <c r="C6" s="0" t="n">
        <f aca="false">B6/Assumptions!$B$2-1</f>
        <v>0.790378529008522</v>
      </c>
      <c r="D6" s="4" t="n">
        <f aca="false">Assumptions!$B$52</f>
        <v>0.2</v>
      </c>
      <c r="E6" s="4" t="n">
        <f aca="false">DCF_Bull!$B$43</f>
        <v>13.660588176335</v>
      </c>
      <c r="F6" s="4" t="n">
        <f aca="false">DCF_Bull!$B$47</f>
        <v>7.60799262476556</v>
      </c>
    </row>
    <row r="8" customFormat="false" ht="15" hidden="false" customHeight="false" outlineLevel="0" collapsed="false">
      <c r="A8" s="0" t="s">
        <v>154</v>
      </c>
      <c r="B8" s="0" t="n">
        <f aca="false">SUMPRODUCT(B4:B6,D4:D6)</f>
        <v>8.47577209915952</v>
      </c>
    </row>
    <row r="9" customFormat="false" ht="15" hidden="false" customHeight="false" outlineLevel="0" collapsed="false">
      <c r="A9" s="0" t="s">
        <v>155</v>
      </c>
      <c r="B9" s="0" t="n">
        <f aca="false">SUMPRODUCT(E4:E6,D4:D6)</f>
        <v>8.47577209915952</v>
      </c>
    </row>
    <row r="10" customFormat="false" ht="15" hidden="false" customHeight="false" outlineLevel="0" collapsed="false">
      <c r="A10" s="0" t="s">
        <v>156</v>
      </c>
      <c r="B10" s="0" t="n">
        <f aca="false">1-Assumptions!$B$2/B8</f>
        <v>0.0997870269828736</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4.884254868542</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8.87571810797499</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8.56357115367033</v>
      </c>
      <c r="C16" s="3" t="n">
        <v>9.5</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8.2450660418095</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7.29782227314986</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6.53208375934713</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4.92004251714422</v>
      </c>
      <c r="C20" s="3" t="n">
        <v>15</v>
      </c>
    </row>
    <row r="22" customFormat="false" ht="15" hidden="false" customHeight="false" outlineLevel="0" collapsed="false">
      <c r="A22" s="2" t="s">
        <v>167</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9.90137316968269</v>
      </c>
      <c r="C24" s="0" t="n">
        <f aca="false">(SUMPRODUCT(DCF_Base!$C$19:$L$19/(1+$A$24/100)^DCF_Base!$C$4:$L$4)+MAX(0,MIN(IF($A$24&gt;$C$23,DCF_Base!$L$19*(1+$C$23/100)/(($A$24-$C$23)/100),DCF_Base!$L$19*DCF_Base!$B$29),DCF_Base!$L$19*DCF_Base!$B$29))/(1+$A$24/100)^DCF_Base!$L$4+Assumptions!$B$5-Assumptions!$B$4)/Assumptions!$B$3*Assumptions!$B$10</f>
        <v>9.90137316968269</v>
      </c>
      <c r="D24" s="0" t="n">
        <f aca="false">(SUMPRODUCT(DCF_Base!$C$19:$L$19/(1+$A$24/100)^DCF_Base!$C$4:$L$4)+MAX(0,MIN(IF($A$24&gt;$D$23,DCF_Base!$L$19*(1+$D$23/100)/(($A$24-$D$23)/100),DCF_Base!$L$19*DCF_Base!$B$29),DCF_Base!$L$19*DCF_Base!$B$29))/(1+$A$24/100)^DCF_Base!$L$4+Assumptions!$B$5-Assumptions!$B$4)/Assumptions!$B$3*Assumptions!$B$10</f>
        <v>9.90137316968269</v>
      </c>
      <c r="E24" s="0" t="n">
        <f aca="false">(SUMPRODUCT(DCF_Base!$C$19:$L$19/(1+$A$24/100)^DCF_Base!$C$4:$L$4)+MAX(0,MIN(IF($A$24&gt;$E$23,DCF_Base!$L$19*(1+$E$23/100)/(($A$24-$E$23)/100),DCF_Base!$L$19*DCF_Base!$B$29),DCF_Base!$L$19*DCF_Base!$B$29))/(1+$A$24/100)^DCF_Base!$L$4+Assumptions!$B$5-Assumptions!$B$4)/Assumptions!$B$3*Assumptions!$B$10</f>
        <v>9.90137316968269</v>
      </c>
      <c r="F24" s="0" t="n">
        <f aca="false">(SUMPRODUCT(DCF_Base!$C$19:$L$19/(1+$A$24/100)^DCF_Base!$C$4:$L$4)+MAX(0,MIN(IF($A$24&gt;$F$23,DCF_Base!$L$19*(1+$F$23/100)/(($A$24-$F$23)/100),DCF_Base!$L$19*DCF_Base!$B$29),DCF_Base!$L$19*DCF_Base!$B$29))/(1+$A$24/100)^DCF_Base!$L$4+Assumptions!$B$5-Assumptions!$B$4)/Assumptions!$B$3*Assumptions!$B$10</f>
        <v>9.90137316968269</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9.20221620025646</v>
      </c>
      <c r="C25" s="0" t="n">
        <f aca="false">(SUMPRODUCT(DCF_Base!$C$19:$L$19/(1+$A$25/100)^DCF_Base!$C$4:$L$4)+MAX(0,MIN(IF($A$25&gt;$C$23,DCF_Base!$L$19*(1+$C$23/100)/(($A$25-$C$23)/100),DCF_Base!$L$19*DCF_Base!$B$29),DCF_Base!$L$19*DCF_Base!$B$29))/(1+$A$25/100)^DCF_Base!$L$4+Assumptions!$B$5-Assumptions!$B$4)/Assumptions!$B$3*Assumptions!$B$10</f>
        <v>9.20221620025646</v>
      </c>
      <c r="D25" s="0" t="n">
        <f aca="false">(SUMPRODUCT(DCF_Base!$C$19:$L$19/(1+$A$25/100)^DCF_Base!$C$4:$L$4)+MAX(0,MIN(IF($A$25&gt;$D$23,DCF_Base!$L$19*(1+$D$23/100)/(($A$25-$D$23)/100),DCF_Base!$L$19*DCF_Base!$B$29),DCF_Base!$L$19*DCF_Base!$B$29))/(1+$A$25/100)^DCF_Base!$L$4+Assumptions!$B$5-Assumptions!$B$4)/Assumptions!$B$3*Assumptions!$B$10</f>
        <v>9.20221620025646</v>
      </c>
      <c r="E25" s="0" t="n">
        <f aca="false">(SUMPRODUCT(DCF_Base!$C$19:$L$19/(1+$A$25/100)^DCF_Base!$C$4:$L$4)+MAX(0,MIN(IF($A$25&gt;$E$23,DCF_Base!$L$19*(1+$E$23/100)/(($A$25-$E$23)/100),DCF_Base!$L$19*DCF_Base!$B$29),DCF_Base!$L$19*DCF_Base!$B$29))/(1+$A$25/100)^DCF_Base!$L$4+Assumptions!$B$5-Assumptions!$B$4)/Assumptions!$B$3*Assumptions!$B$10</f>
        <v>9.20221620025646</v>
      </c>
      <c r="F25" s="0" t="n">
        <f aca="false">(SUMPRODUCT(DCF_Base!$C$19:$L$19/(1+$A$25/100)^DCF_Base!$C$4:$L$4)+MAX(0,MIN(IF($A$25&gt;$F$23,DCF_Base!$L$19*(1+$F$23/100)/(($A$25-$F$23)/100),DCF_Base!$L$19*DCF_Base!$B$29),DCF_Base!$L$19*DCF_Base!$B$29))/(1+$A$25/100)^DCF_Base!$L$4+Assumptions!$B$5-Assumptions!$B$4)/Assumptions!$B$3*Assumptions!$B$10</f>
        <v>9.20221620025646</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8.26723003926135</v>
      </c>
      <c r="C26" s="0" t="n">
        <f aca="false">(SUMPRODUCT(DCF_Base!$C$19:$L$19/(1+$A$26/100)^DCF_Base!$C$4:$L$4)+MAX(0,MIN(IF($A$26&gt;$C$23,DCF_Base!$L$19*(1+$C$23/100)/(($A$26-$C$23)/100),DCF_Base!$L$19*DCF_Base!$B$29),DCF_Base!$L$19*DCF_Base!$B$29))/(1+$A$26/100)^DCF_Base!$L$4+Assumptions!$B$5-Assumptions!$B$4)/Assumptions!$B$3*Assumptions!$B$10</f>
        <v>8.52173476104789</v>
      </c>
      <c r="D26" s="0" t="n">
        <f aca="false">(SUMPRODUCT(DCF_Base!$C$19:$L$19/(1+$A$26/100)^DCF_Base!$C$4:$L$4)+MAX(0,MIN(IF($A$26&gt;$D$23,DCF_Base!$L$19*(1+$D$23/100)/(($A$26-$D$23)/100),DCF_Base!$L$19*DCF_Base!$B$29),DCF_Base!$L$19*DCF_Base!$B$29))/(1+$A$26/100)^DCF_Base!$L$4+Assumptions!$B$5-Assumptions!$B$4)/Assumptions!$B$3*Assumptions!$B$10</f>
        <v>8.56357115367033</v>
      </c>
      <c r="E26" s="0" t="n">
        <f aca="false">(SUMPRODUCT(DCF_Base!$C$19:$L$19/(1+$A$26/100)^DCF_Base!$C$4:$L$4)+MAX(0,MIN(IF($A$26&gt;$E$23,DCF_Base!$L$19*(1+$E$23/100)/(($A$26-$E$23)/100),DCF_Base!$L$19*DCF_Base!$B$29),DCF_Base!$L$19*DCF_Base!$B$29))/(1+$A$26/100)^DCF_Base!$L$4+Assumptions!$B$5-Assumptions!$B$4)/Assumptions!$B$3*Assumptions!$B$10</f>
        <v>8.56357115367033</v>
      </c>
      <c r="F26" s="0" t="n">
        <f aca="false">(SUMPRODUCT(DCF_Base!$C$19:$L$19/(1+$A$26/100)^DCF_Base!$C$4:$L$4)+MAX(0,MIN(IF($A$26&gt;$F$23,DCF_Base!$L$19*(1+$F$23/100)/(($A$26-$F$23)/100),DCF_Base!$L$19*DCF_Base!$B$29),DCF_Base!$L$19*DCF_Base!$B$29))/(1+$A$26/100)^DCF_Base!$L$4+Assumptions!$B$5-Assumptions!$B$4)/Assumptions!$B$3*Assumptions!$B$10</f>
        <v>8.56357115367033</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7.34630144642248</v>
      </c>
      <c r="C27" s="0" t="n">
        <f aca="false">(SUMPRODUCT(DCF_Base!$C$19:$L$19/(1+$A$27/100)^DCF_Base!$C$4:$L$4)+MAX(0,MIN(IF($A$27&gt;$C$23,DCF_Base!$L$19*(1+$C$23/100)/(($A$27-$C$23)/100),DCF_Base!$L$19*DCF_Base!$B$29),DCF_Base!$L$19*DCF_Base!$B$29))/(1+$A$27/100)^DCF_Base!$L$4+Assumptions!$B$5-Assumptions!$B$4)/Assumptions!$B$3*Assumptions!$B$10</f>
        <v>7.53514416521871</v>
      </c>
      <c r="D27" s="0" t="n">
        <f aca="false">(SUMPRODUCT(DCF_Base!$C$19:$L$19/(1+$A$27/100)^DCF_Base!$C$4:$L$4)+MAX(0,MIN(IF($A$27&gt;$D$23,DCF_Base!$L$19*(1+$D$23/100)/(($A$27-$D$23)/100),DCF_Base!$L$19*DCF_Base!$B$29),DCF_Base!$L$19*DCF_Base!$B$29))/(1+$A$27/100)^DCF_Base!$L$4+Assumptions!$B$5-Assumptions!$B$4)/Assumptions!$B$3*Assumptions!$B$10</f>
        <v>7.74496940832562</v>
      </c>
      <c r="E27" s="0" t="n">
        <f aca="false">(SUMPRODUCT(DCF_Base!$C$19:$L$19/(1+$A$27/100)^DCF_Base!$C$4:$L$4)+MAX(0,MIN(IF($A$27&gt;$E$23,DCF_Base!$L$19*(1+$E$23/100)/(($A$27-$E$23)/100),DCF_Base!$L$19*DCF_Base!$B$29),DCF_Base!$L$19*DCF_Base!$B$29))/(1+$A$27/100)^DCF_Base!$L$4+Assumptions!$B$5-Assumptions!$B$4)/Assumptions!$B$3*Assumptions!$B$10</f>
        <v>7.979479974151</v>
      </c>
      <c r="F27" s="0" t="n">
        <f aca="false">(SUMPRODUCT(DCF_Base!$C$19:$L$19/(1+$A$27/100)^DCF_Base!$C$4:$L$4)+MAX(0,MIN(IF($A$27&gt;$F$23,DCF_Base!$L$19*(1+$F$23/100)/(($A$27-$F$23)/100),DCF_Base!$L$19*DCF_Base!$B$29),DCF_Base!$L$19*DCF_Base!$B$29))/(1+$A$27/100)^DCF_Base!$L$4+Assumptions!$B$5-Assumptions!$B$4)/Assumptions!$B$3*Assumptions!$B$10</f>
        <v>7.979479974151</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6.59489346196041</v>
      </c>
      <c r="C28" s="0" t="n">
        <f aca="false">(SUMPRODUCT(DCF_Base!$C$19:$L$19/(1+$A$28/100)^DCF_Base!$C$4:$L$4)+MAX(0,MIN(IF($A$28&gt;$C$23,DCF_Base!$L$19*(1+$C$23/100)/(($A$28-$C$23)/100),DCF_Base!$L$19*DCF_Base!$B$29),DCF_Base!$L$19*DCF_Base!$B$29))/(1+$A$28/100)^DCF_Base!$L$4+Assumptions!$B$5-Assumptions!$B$4)/Assumptions!$B$3*Assumptions!$B$10</f>
        <v>6.7381216709225</v>
      </c>
      <c r="D28" s="0" t="n">
        <f aca="false">(SUMPRODUCT(DCF_Base!$C$19:$L$19/(1+$A$28/100)^DCF_Base!$C$4:$L$4)+MAX(0,MIN(IF($A$28&gt;$D$23,DCF_Base!$L$19*(1+$D$23/100)/(($A$28-$D$23)/100),DCF_Base!$L$19*DCF_Base!$B$29),DCF_Base!$L$19*DCF_Base!$B$29))/(1+$A$28/100)^DCF_Base!$L$4+Assumptions!$B$5-Assumptions!$B$4)/Assumptions!$B$3*Assumptions!$B$10</f>
        <v>6.8956727007808</v>
      </c>
      <c r="E28" s="0" t="n">
        <f aca="false">(SUMPRODUCT(DCF_Base!$C$19:$L$19/(1+$A$28/100)^DCF_Base!$C$4:$L$4)+MAX(0,MIN(IF($A$28&gt;$E$23,DCF_Base!$L$19*(1+$E$23/100)/(($A$28-$E$23)/100),DCF_Base!$L$19*DCF_Base!$B$29),DCF_Base!$L$19*DCF_Base!$B$29))/(1+$A$28/100)^DCF_Base!$L$4+Assumptions!$B$5-Assumptions!$B$4)/Assumptions!$B$3*Assumptions!$B$10</f>
        <v>7.06980804957155</v>
      </c>
      <c r="F28" s="0" t="n">
        <f aca="false">(SUMPRODUCT(DCF_Base!$C$19:$L$19/(1+$A$28/100)^DCF_Base!$C$4:$L$4)+MAX(0,MIN(IF($A$28&gt;$F$23,DCF_Base!$L$19*(1+$F$23/100)/(($A$28-$F$23)/100),DCF_Base!$L$19*DCF_Base!$B$29),DCF_Base!$L$19*DCF_Base!$B$29))/(1+$A$28/100)^DCF_Base!$L$4+Assumptions!$B$5-Assumptions!$B$4)/Assumptions!$B$3*Assumptions!$B$10</f>
        <v>7.26329177045016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2026-10-16T06:32:37Z</dcterms:created>
  <dc:creator>openpyxl</dc:creator>
  <dc:description/>
  <dc:language>en-NZ</dc:language>
  <cp:lastModifiedBy/>
  <dcterms:modified xsi:type="dcterms:W3CDTF">2026-10-16T06:32:37Z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