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del_Info" sheetId="1" state="visible" r:id="rId3"/>
    <sheet name="Reconciliation" sheetId="2" state="visible" r:id="rId4"/>
    <sheet name="Actuals" sheetId="3" state="visible" r:id="rId5"/>
    <sheet name="Assumptions" sheetId="4" state="visible" r:id="rId6"/>
    <sheet name="DCF_Bear" sheetId="5" state="visible" r:id="rId7"/>
    <sheet name="DCF_Base" sheetId="6" state="visible" r:id="rId8"/>
    <sheet name="DCF_Bull" sheetId="7" state="visible" r:id="rId9"/>
    <sheet name="Valuatio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<sst xmlns="http://schemas.openxmlformats.org/spreadsheetml/2006/main" count="388" uniqueCount="189">
  <si>
    <t xml:space="preserve">Ticker</t>
  </si>
  <si>
    <t xml:space="preserve">CMO.NZ</t>
  </si>
  <si>
    <t xml:space="preserve">Company</t>
  </si>
  <si>
    <t xml:space="preserve">The Colonial Motor Company Limited</t>
  </si>
  <si>
    <t xml:space="preserve">Valuation date</t>
  </si>
  <si>
    <t xml:space="preserve">2026-09-25</t>
  </si>
  <si>
    <t xml:space="preserve">Current price</t>
  </si>
  <si>
    <t xml:space="preserve">Price as of</t>
  </si>
  <si>
    <t xml:space="preserve">2026-09-25T05:00:31Z regular close</t>
  </si>
  <si>
    <t xml:space="preserve">Balance sheet date</t>
  </si>
  <si>
    <t xml:space="preserve">2026-06-30</t>
  </si>
  <si>
    <t xml:space="preserve">Model</t>
  </si>
  <si>
    <t xml:space="preserve">owner_fcf_dcf_component</t>
  </si>
  <si>
    <t xml:space="preserve">Currency (model)</t>
  </si>
  <si>
    <t xml:space="preserve">NZD</t>
  </si>
  <si>
    <t xml:space="preserve">Currency (quote)</t>
  </si>
  <si>
    <t xml:space="preserve">Units</t>
  </si>
  <si>
    <t xml:space="preserve">millions</t>
  </si>
  <si>
    <t xml:space="preserve">Engine</t>
  </si>
  <si>
    <t xml:space="preserve">dcf_engine v1</t>
  </si>
  <si>
    <t xml:space="preserve">Built at</t>
  </si>
  <si>
    <t xml:space="preserve">2026-09-25T11:27:20Z</t>
  </si>
  <si>
    <t xml:space="preserve">Drivers file</t>
  </si>
  <si>
    <t xml:space="preserve">CMO.NZ_Drivers.json</t>
  </si>
  <si>
    <t xml:space="preserve">Convention</t>
  </si>
  <si>
    <t xml:space="preserve">Percents stored as percents; formulas divide by 100. Blue = input, green = link, black = formula.</t>
  </si>
  <si>
    <t xml:space="preserve">Methodology</t>
  </si>
  <si>
    <t xml:space="preserve">summary: Colonial Motor Company is a mature, family-controlled (Gibbons &gt;60%), thinly-traded NZX cyclical vehicle-dealership group (Ford/Mazda anchor, Southpac heavy trucks, Agricentre tractors, an expanding BYD footprint) that also owns most of the freehold land and buildings under its own dealerships -- an owner-occupied, operational property base (not a separate rental-yielding investment trust), so this valuation routes via the owner-FCF DCF engine (industrials/cyclical row) rather than a REIT/NAV model. The single biggest judgment in this build is that FY2026's reported free cash flow ($80.1m) is a one-off: it is inflated almost entirely by a $53.7m inventory reduction (188.4m vs 242.2m) that management itself frames as balance-sheet strengthening, not a repeatable cash-generation level. The model instead anchors to a mid-cycle, component-built FY0 FCF of roughly $30.3m (EBITDA less D&amp;A, taxed, plus D&amp;A back, less normalised capex) and projects forward EBITDA margins that recover only partway from the FY2026 trough (4.37%, the low end of a 10-year 4.29%-6.27% range) toward roughly 5.0-5.2% in the base case -- reflecting the CEO's own explicit September 2026 warning that Chinese-OEM competitive entry has reached an 'unsustainable' level that will pressure margins until an expected brand consolidation occurs, rather than assuming a full reversion to the FY2022-23 COVID-inflated peak. A single 13.5% WACC is used across all three scenarios (cyclicality and competitive risk are priced into the scenario flows themselves, not stacked again as a discount-rate premium) and a conservative 12x terminal cap multiple in the base case keeps the terminal value close to the stock's own current ~12x trading P/E rather than assuming a re-rating. This is a deliberate change from the prior (2026-09-24) hand-built exit-P/E/exit-P/B blend, which argued the owner-FCF engine 'understates' the business; the engine's component-margin-build machinery (mid-cycle EBITDA path, working-capital capture on the revenue CHANGE rather than level) is designed for exactly this situation -- a cyclical retailer whose reported FCF is dominated by inventory swings -- and produces a more auditable, driver-by-driver result than a hand-blended multiple.
key_risks_to_valuation: Chinese-OEM competitive intensity: CEO's own 'unsustainable' warning could mean margins compress further before any consolidation relief, which would push the base case toward the bear path; Ford/Ranger concentration: ~12 of ~19+ dealerships are Ford, and any OEM allocation change or sustained share loss (Ranger already lost the #1 national spot for all of calendar 2025) hits group profitability directly; Geopolitical/commodity shocks: the H2 FY2026 Middle East oil-shock demonstrated real vulnerability to sudden demand-mix disruption the group's inventory could not quickly follow; Thin free float (Gibbons family &gt;60%) means low liquidity and a persistent risk that the stock trades at a discount to intrinsic/property-backed value regardless of fundamentals, which the DCF cannot correct for; Southpac heavy-truck recovery is only 'early signs' per management, not confirmed data, and several leaner H1 FY2027 months are explicitly guided during the DAF model transition; Property revaluation gains (FY2026: $5.42m pre-tax through OCI) are a real source of economic value not captured in the owner-FCF flows, which value the property only through its ongoing operational contribution (capex/D&amp;A), not its appreciation -- this valuation is therefore conservative on the property side if freehold values continue to rise</t>
  </si>
  <si>
    <t xml:space="preserve">Data sources</t>
  </si>
  <si>
    <t xml:space="preserve">price: Yahoo Finance chart API at inputs.price_as_of; 52-week range 6.48-8.64
financials: research/CMO.NZ/Reports/CMO.NZ_Metrics.csv (FY2016-FY2026) and research/CMO.NZ/Reports/CMO.NZ.duckdb core_metrics/kpis; FY2026 annual report research/CMO.NZ/Extracted/CMO.NZ_Annual_FY2026.txt (balance sheet, cash flow, income statement, lease and NCI notes)
qualitative: research/CMO.NZ/Reports/CMO.NZ_Analysis.json, refreshed 2026-09-25 from the FY2026 annual report (released 2026-09-21) and H1 FY2026 result</t>
  </si>
  <si>
    <t xml:space="preserve">Scenario narrative: bear</t>
  </si>
  <si>
    <t xml:space="preserve">Chinese-OEM competitive intensity does not resolve via consolidation and instead produces a prolonged margin war; H2 FY2026-style demand-mix shocks recur; Southpac's truck 'early signs' prove premature and the DAF transition disruption extends; Ford/Ranger concentration risk crystallises as an actual share-loss event.</t>
  </si>
  <si>
    <t xml:space="preserve">Scenario narrative: base</t>
  </si>
  <si>
    <t xml:space="preserve">Moderate, below-peak cyclical recovery: revenue grows near its 10yr trend rate as passenger-vehicle demand stays resilient and NEV model launches (Ranger Hybrid, Mazda 6e/CX-6e, JAC T9 PHEV, Next Gen DAF, expanding BYD footprint) offset Chinese-OEM share pressure without eliminating it; EBITDA margin recovers only partway from the FY2026 trough (4.37%) toward ~5.2%, well short of the FY2022-23 COVID-inflated peak (6.2-6.3%), reflecting the CEO's own 'unsustainable competition' warning.</t>
  </si>
  <si>
    <t xml:space="preserve">Scenario narrative: bull</t>
  </si>
  <si>
    <t xml:space="preserve">The CEO's expected brand consolidation arrives on schedule and CMC's BYD/NEV push is a net share winner; Southpac's truck recovery and the agribusiness tailwind both come through fully; margin recovers toward and through the FY2022-23 peak as the competitive set rationalises and the much-stronger FY2026 balance sheet funds further accretive growth.</t>
  </si>
  <si>
    <t xml:space="preserve">Item</t>
  </si>
  <si>
    <t xml:space="preserve">Value</t>
  </si>
  <si>
    <t xml:space="preserve">Note</t>
  </si>
  <si>
    <t xml:space="preserve">Prior valuation_date</t>
  </si>
  <si>
    <t xml:space="preserve">2026-09-24</t>
  </si>
  <si>
    <t xml:space="preserve">Prior price_then</t>
  </si>
  <si>
    <t xml:space="preserve">Prior bear</t>
  </si>
  <si>
    <t xml:space="preserve">Prior base</t>
  </si>
  <si>
    <t xml:space="preserve">Prior bull</t>
  </si>
  <si>
    <t xml:space="preserve">Prior weighted</t>
  </si>
  <si>
    <t xml:space="preserve">New valuation_date</t>
  </si>
  <si>
    <t xml:space="preserve">New price_then</t>
  </si>
  <si>
    <t xml:space="preserve">New bear</t>
  </si>
  <si>
    <t xml:space="preserve">New base</t>
  </si>
  <si>
    <t xml:space="preserve">New bull</t>
  </si>
  <si>
    <t xml:space="preserve">New weighted</t>
  </si>
  <si>
    <t xml:space="preserve">Bridge</t>
  </si>
  <si>
    <t xml:space="preserve">Prior weighted IV (exit-P/E 60% + exit-P/B 40% blend, not the owner-FCF engine)</t>
  </si>
  <si>
    <t xml:space="preserve">Methodology change: switched to the owner-FCF DCF component engine per this run's explicit routing instruction, replacing the hand-built P/E/P/B blend. The prior build's OWN reference owner-FCF DCF (disclosed there as a deliberately-rejected cross-check) produced base-case IV ~$1.54 on a flat-margin, non-component basis -- this build instead uses the engine's component margin machinery (mid-cycle EBITDA path recovering from the FY2026 trough, working-capital capture on revenue CHANGE) which is designed for exactly this cyclical/WC-dominated situation and is not directly comparable to either prior figure</t>
  </si>
  <si>
    <t xml:space="preserve">Anchors refreshed to FY2026 actuals: net debt roughly halved (narrow basis ~$111.0m at FY2025 vs $71.5m at FY2026, on the inventory-driven borrowings paydown), revenue +6.8%, dividend raised to 40cps</t>
  </si>
  <si>
    <t xml:space="preserve">WACC de-risked from scenario-varying 13.0/14.5/16.5% to a single 13.5% across all scenarios, per the engine's 'charge risk once' rule (risk now lives in the scenario flows, not stacked in the discount rate)</t>
  </si>
  <si>
    <t xml:space="preserve">New weighted IV (component owner-FCF engine, see valuation.json)</t>
  </si>
  <si>
    <t xml:space="preserve">ties to probability_weighted.weighted_iv; not a like-for-like bridge against the prior P/E-blend figure because the valuation METHOD changed, not just the drivers -- see valuation_philosophy for the full rationale</t>
  </si>
  <si>
    <t xml:space="preserve">Period</t>
  </si>
  <si>
    <t xml:space="preserve">Revenue</t>
  </si>
  <si>
    <t xml:space="preserve">CostOfRevenue</t>
  </si>
  <si>
    <t xml:space="preserve">GrossProfit</t>
  </si>
  <si>
    <t xml:space="preserve">GrossMargin</t>
  </si>
  <si>
    <t xml:space="preserve">OperatingIncome</t>
  </si>
  <si>
    <t xml:space="preserve">OperatingMargin</t>
  </si>
  <si>
    <t xml:space="preserve">EBITDA</t>
  </si>
  <si>
    <t xml:space="preserve">NetIncome</t>
  </si>
  <si>
    <t xml:space="preserve">NetMargin</t>
  </si>
  <si>
    <t xml:space="preserve">EPS</t>
  </si>
  <si>
    <t xml:space="preserve">OperatingCashFlow</t>
  </si>
  <si>
    <t xml:space="preserve">CapEx</t>
  </si>
  <si>
    <t xml:space="preserve">FreeCashFlow</t>
  </si>
  <si>
    <t xml:space="preserve">ShareholdersEquity</t>
  </si>
  <si>
    <t xml:space="preserve">TotalAssets</t>
  </si>
  <si>
    <t xml:space="preserve">TotalLiabilities</t>
  </si>
  <si>
    <t xml:space="preserve">TotalDebt</t>
  </si>
  <si>
    <t xml:space="preserve">CashAndEquivalents</t>
  </si>
  <si>
    <t xml:space="preserve">SharesOutstanding</t>
  </si>
  <si>
    <t xml:space="preserve">StockBasedComp</t>
  </si>
  <si>
    <t xml:space="preserve">DividendPerShare</t>
  </si>
  <si>
    <t xml:space="preserve">EBITDABeforeSignificant</t>
  </si>
  <si>
    <t xml:space="preserve">RevenueContinuing</t>
  </si>
  <si>
    <t xml:space="preserve">EBITDAContinuingBeforeSignificant</t>
  </si>
  <si>
    <t xml:space="preserve">EBITContinuingBeforeSignificant</t>
  </si>
  <si>
    <t xml:space="preserve">Currency</t>
  </si>
  <si>
    <t xml:space="preserve">NTAPerShare</t>
  </si>
  <si>
    <t xml:space="preserve">FY2016</t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</si>
  <si>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</si>
  <si>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</si>
  <si>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</si>
  <si>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</si>
  <si>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</si>
  <si>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</si>
  <si>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</si>
  <si>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</si>
  <si>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</si>
  <si>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FY2026</t>
  </si>
  <si>
    <t xml:space="preserve">Input</t>
  </si>
  <si>
    <t xml:space="preserve">Current price (quote currency)</t>
  </si>
  <si>
    <t xml:space="preserve">Shares, final projected (m)</t>
  </si>
  <si>
    <t xml:space="preserve">Net debt (m, model currency)</t>
  </si>
  <si>
    <t xml:space="preserve">Equity bridge total (m, + adds)</t>
  </si>
  <si>
    <t xml:space="preserve">Hurdle rate (%)</t>
  </si>
  <si>
    <t xml:space="preserve">Base revenue FY0 (m)</t>
  </si>
  <si>
    <t xml:space="preserve">FY0</t>
  </si>
  <si>
    <t xml:space="preserve">Currency / units</t>
  </si>
  <si>
    <t xml:space="preserve">NZD millions</t>
  </si>
  <si>
    <t xml:space="preserve">FX rate (model -&gt; quote)</t>
  </si>
  <si>
    <t xml:space="preserve">BEAR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</si>
  <si>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</si>
  <si>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</si>
  <si>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</si>
  <si>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</si>
  <si>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</si>
  <si>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</si>
  <si>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t xml:space="preserve">FY2033</t>
  </si>
  <si>
    <t xml:space="preserve">FY2034</t>
  </si>
  <si>
    <t xml:space="preserve">FY2035</t>
  </si>
  <si>
    <t xml:space="preserve">FY2036</t>
  </si>
  <si>
    <t xml:space="preserve">Revenue growth (%)</t>
  </si>
  <si>
    <t xml:space="preserve">EBITDA margin (%)</t>
  </si>
  <si>
    <t xml:space="preserve">SBC (% of revenue)</t>
  </si>
  <si>
    <t xml:space="preserve">Lease cost (% of revenue)</t>
  </si>
  <si>
    <t xml:space="preserve">D&amp;A (% of revenue)</t>
  </si>
  <si>
    <t xml:space="preserve">Capex (% of revenue)</t>
  </si>
  <si>
    <t xml:space="preserve">Cash tax rate (%)</t>
  </si>
  <si>
    <t xml:space="preserve">WACC (%)</t>
  </si>
  <si>
    <t xml:space="preserve">Terminal growth (%)</t>
  </si>
  <si>
    <t xml:space="preserve">Terminal cap multiple (x FCF)</t>
  </si>
  <si>
    <t xml:space="preserve">Working-capital capture (% of revenue change)</t>
  </si>
  <si>
    <t xml:space="preserve">Scenario weight</t>
  </si>
  <si>
    <t xml:space="preserve">BASE</t>
  </si>
  <si>
    <t xml:space="preserve">BULL</t>
  </si>
  <si>
    <t xml:space="preserve">CMO.NZ owner-FCF component DCF: bear case (millions, NZD)</t>
  </si>
  <si>
    <t xml:space="preserve">Line</t>
  </si>
  <si>
    <t xml:space="preserve">Year index (discount exponent)</t>
  </si>
  <si>
    <t xml:space="preserve">SBC charge</t>
  </si>
  <si>
    <t xml:space="preserve">Owner EBITDA (after SBC and leases)</t>
  </si>
  <si>
    <t xml:space="preserve">D&amp;A</t>
  </si>
  <si>
    <t xml:space="preserve">EBIT</t>
  </si>
  <si>
    <t xml:space="preserve">NOPAT</t>
  </si>
  <si>
    <t xml:space="preserve">D&amp;A add-back</t>
  </si>
  <si>
    <t xml:space="preserve">Capex</t>
  </si>
  <si>
    <t xml:space="preserve">Working capital</t>
  </si>
  <si>
    <t xml:space="preserve">Unlevered owner FCF</t>
  </si>
  <si>
    <t xml:space="preserve">Discount factor</t>
  </si>
  <si>
    <t xml:space="preserve">PV of FCF</t>
  </si>
  <si>
    <t xml:space="preserve">Lease cost</t>
  </si>
  <si>
    <t xml:space="preserve">Valuation</t>
  </si>
  <si>
    <t xml:space="preserve">Sum of PV of FCF</t>
  </si>
  <si>
    <t xml:space="preserve">Terminal-year FCF</t>
  </si>
  <si>
    <t xml:space="preserve">Gordon terminal value</t>
  </si>
  <si>
    <t xml:space="preserve">Cap terminal value</t>
  </si>
  <si>
    <t xml:space="preserve">Terminal value used: MAX(0,MIN(Gordon,cap))</t>
  </si>
  <si>
    <t xml:space="preserve">PV of terminal value</t>
  </si>
  <si>
    <t xml:space="preserve">Enterprise value</t>
  </si>
  <si>
    <t xml:space="preserve">Equity value (EV + bridge - net debt)</t>
  </si>
  <si>
    <t xml:space="preserve">Value per share (quote currency)</t>
  </si>
  <si>
    <t xml:space="preserve">Upside vs price</t>
  </si>
  <si>
    <t xml:space="preserve">Street memo: PV of explicit-period SBC</t>
  </si>
  <si>
    <t xml:space="preserve">Street memo: PV of terminal SBC (Gordon)</t>
  </si>
  <si>
    <t xml:space="preserve">Street value per share</t>
  </si>
  <si>
    <t xml:space="preserve">Terminal value at hurdle: MAX(0,MIN(Gordon@hurdle,cap))</t>
  </si>
  <si>
    <t xml:space="preserve">Hurdle entry price (quote currency)</t>
  </si>
  <si>
    <t xml:space="preserve">CMO.NZ owner-FCF component DCF: base case (millions, NZD)</t>
  </si>
  <si>
    <t xml:space="preserve">CMO.NZ owner-FCF component DCF: bull case (millions, NZD)</t>
  </si>
  <si>
    <t xml:space="preserve">CMO.NZ valuation summary</t>
  </si>
  <si>
    <t xml:space="preserve">Scenario</t>
  </si>
  <si>
    <t xml:space="preserve">Value per share</t>
  </si>
  <si>
    <t xml:space="preserve">Weight</t>
  </si>
  <si>
    <t xml:space="preserve">Hurdle entry price</t>
  </si>
  <si>
    <t xml:space="preserve">Bear</t>
  </si>
  <si>
    <t xml:space="preserve">Base</t>
  </si>
  <si>
    <t xml:space="preserve">Bull</t>
  </si>
  <si>
    <t xml:space="preserve">Probability-weighted value per share</t>
  </si>
  <si>
    <t xml:space="preserve">Street weighted value per share</t>
  </si>
  <si>
    <t xml:space="preserve">Margin of safety (1 - price/weighted)</t>
  </si>
  <si>
    <t xml:space="preserve">Band position (%; 0 = house, 100 = street)</t>
  </si>
  <si>
    <t xml:space="preserve">Weighted 15% hurdle entry price</t>
  </si>
  <si>
    <t xml:space="preserve">Required-return table (base case; each row rebuilds its own terminal value)</t>
  </si>
  <si>
    <t xml:space="preserve">Rate (%)</t>
  </si>
  <si>
    <t xml:space="preserve">Value per share at 9%</t>
  </si>
  <si>
    <t xml:space="preserve">Value per share at 10%</t>
  </si>
  <si>
    <t xml:space="preserve">Value per share at 11%</t>
  </si>
  <si>
    <t xml:space="preserve">Value per share at 12%</t>
  </si>
  <si>
    <t xml:space="preserve">Value per share at 13.5% (WACC)</t>
  </si>
  <si>
    <t xml:space="preserve">Value per share at 15%</t>
  </si>
  <si>
    <t xml:space="preserve">Sensitivity: value per share, rows WACC (%) x columns terminal growth (%)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</si>
</sst>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</row>
    <row r="3" customFormat="false" ht="15" hidden="false" customHeight="false" outlineLevel="0" collapsed="false">
      <c r="A3" s="0" t="s">
        <v>4</v>
      </c>
      <c r="B3" s="0" t="s">
        <v>5</v>
      </c>
    </row>
    <row r="4" customFormat="false" ht="15" hidden="false" customHeight="false" outlineLevel="0" collapsed="false">
      <c r="A4" s="0" t="s">
        <v>6</v>
      </c>
      <c r="B4" s="0" t="n">
        <v>7.31</v>
      </c>
    </row>
    <row r="5" customFormat="false" ht="15" hidden="false" customHeight="false" outlineLevel="0" collapsed="false">
      <c r="A5" s="0" t="s">
        <v>7</v>
      </c>
      <c r="B5" s="0" t="s">
        <v>8</v>
      </c>
    </row>
    <row r="6" customFormat="false" ht="15" hidden="false" customHeight="false" outlineLevel="0" collapsed="false">
      <c r="A6" s="0" t="s">
        <v>9</v>
      </c>
      <c r="B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</row>
    <row r="8" customFormat="false" ht="15" hidden="false" customHeight="false" outlineLevel="0" collapsed="false">
      <c r="A8" s="0" t="s">
        <v>13</v>
      </c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14</v>
      </c>
    </row>
    <row r="10" customFormat="false" ht="15" hidden="false" customHeight="false" outlineLevel="0" collapsed="false">
      <c r="A10" s="0" t="s">
        <v>16</v>
      </c>
      <c r="B10" s="0" t="s">
        <v>17</v>
      </c>
    </row>
    <row r="11" customFormat="false" ht="15" hidden="false" customHeight="false" outlineLevel="0" collapsed="false">
      <c r="A11" s="0" t="s">
        <v>18</v>
      </c>
      <c r="B11" s="0" t="s">
        <v>19</v>
      </c>
    </row>
    <row r="12" customFormat="false" ht="15" hidden="false" customHeight="false" outlineLevel="0" collapsed="false">
      <c r="A12" s="0" t="s">
        <v>20</v>
      </c>
      <c r="B12" s="0" t="s">
        <v>21</v>
      </c>
    </row>
    <row r="13" customFormat="false" ht="15" hidden="false" customHeight="false" outlineLevel="0" collapsed="false">
      <c r="A13" s="0" t="s">
        <v>22</v>
      </c>
      <c r="B13" s="0" t="s">
        <v>23</v>
      </c>
    </row>
    <row r="14" customFormat="false" ht="15" hidden="false" customHeight="false" outlineLevel="0" collapsed="false">
      <c r="A14" s="0" t="s">
        <v>24</v>
      </c>
      <c r="B14" s="0" t="s">
        <v>25</v>
      </c>
    </row>
    <row r="15" customFormat="false" ht="23.85" hidden="false" customHeight="false" outlineLevel="0" collapsed="false">
      <c r="A15" s="0" t="s">
        <v>26</v>
      </c>
      <c r="B15" s="1" t="s">
        <v>27</v>
      </c>
    </row>
    <row r="16" customFormat="false" ht="35.05" hidden="false" customHeight="false" outlineLevel="0" collapsed="false">
      <c r="A16" s="0" t="s">
        <v>28</v>
      </c>
      <c r="B16" s="1" t="s">
        <v>29</v>
      </c>
    </row>
    <row r="17" customFormat="false" ht="15" hidden="false" customHeight="false" outlineLevel="0" collapsed="false">
      <c r="A17" s="0" t="s">
        <v>30</v>
      </c>
      <c r="B17" s="0" t="s">
        <v>31</v>
      </c>
    </row>
    <row r="18" customFormat="false" ht="15" hidden="false" customHeight="false" outlineLevel="0" collapsed="false">
      <c r="A18" s="0" t="s">
        <v>32</v>
      </c>
      <c r="B18" s="0" t="s">
        <v>33</v>
      </c>
    </row>
    <row r="19" customFormat="false" ht="15" hidden="false" customHeight="false" outlineLevel="0" collapsed="false">
      <c r="A19" s="0" t="s">
        <v>34</v>
      </c>
      <c r="B19" s="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</cols>
  <sheetData>
    <row r="1" customFormat="false" ht="15" hidden="false" customHeight="false" outlineLevel="0" collapsed="false">
      <c r="A1" s="2" t="s">
        <v>36</v>
      </c>
      <c r="B1" s="2" t="s">
        <v>37</v>
      </c>
      <c r="C1" s="2" t="s">
        <v>38</v>
      </c>
    </row>
    <row r="2" customFormat="false" ht="15" hidden="false" customHeight="false" outlineLevel="0" collapsed="false">
      <c r="A2" s="0" t="s">
        <v>39</v>
      </c>
      <c r="B2" s="0" t="s">
        <v>40</v>
      </c>
    </row>
    <row r="3" customFormat="false" ht="15" hidden="false" customHeight="false" outlineLevel="0" collapsed="false">
      <c r="A3" s="0" t="s">
        <v>41</v>
      </c>
      <c r="B3" s="0" t="n">
        <v>6.85</v>
      </c>
    </row>
    <row r="4" customFormat="false" ht="15" hidden="false" customHeight="false" outlineLevel="0" collapsed="false">
      <c r="A4" s="0" t="s">
        <v>42</v>
      </c>
    </row>
    <row r="5" customFormat="false" ht="15" hidden="false" customHeight="false" outlineLevel="0" collapsed="false">
      <c r="A5" s="0" t="s">
        <v>43</v>
      </c>
    </row>
    <row r="6" customFormat="false" ht="15" hidden="false" customHeight="false" outlineLevel="0" collapsed="false">
      <c r="A6" s="0" t="s">
        <v>44</v>
      </c>
    </row>
    <row r="7" customFormat="false" ht="15" hidden="false" customHeight="false" outlineLevel="0" collapsed="false">
      <c r="A7" s="0" t="s">
        <v>45</v>
      </c>
      <c r="B7" s="0" t="n">
        <v>7.55</v>
      </c>
    </row>
    <row r="8" customFormat="false" ht="15" hidden="false" customHeight="false" outlineLevel="0" collapsed="false">
      <c r="A8" s="0" t="s">
        <v>46</v>
      </c>
      <c r="B8" s="0" t="s">
        <v>5</v>
      </c>
    </row>
    <row r="9" customFormat="false" ht="15" hidden="false" customHeight="false" outlineLevel="0" collapsed="false">
      <c r="A9" s="0" t="s">
        <v>47</v>
      </c>
      <c r="B9" s="0" t="n">
        <v>7.31</v>
      </c>
    </row>
    <row r="10" customFormat="false" ht="15" hidden="false" customHeight="false" outlineLevel="0" collapsed="false">
      <c r="A10" s="0" t="s">
        <v>48</v>
      </c>
      <c r="B10" s="0" t="n">
        <v>5.46</v>
      </c>
    </row>
    <row r="11" customFormat="false" ht="15" hidden="false" customHeight="false" outlineLevel="0" collapsed="false">
      <c r="A11" s="0" t="s">
        <v>49</v>
      </c>
      <c r="B11" s="0" t="n">
        <v>6.85</v>
      </c>
    </row>
    <row r="12" customFormat="false" ht="15" hidden="false" customHeight="false" outlineLevel="0" collapsed="false">
      <c r="A12" s="0" t="s">
        <v>50</v>
      </c>
      <c r="B12" s="0" t="n">
        <v>9.37</v>
      </c>
    </row>
    <row r="13" customFormat="false" ht="15" hidden="false" customHeight="false" outlineLevel="0" collapsed="false">
      <c r="A13" s="0" t="s">
        <v>51</v>
      </c>
      <c r="B13" s="0" t="n">
        <v>7.13</v>
      </c>
    </row>
    <row r="15" customFormat="false" ht="15" hidden="false" customHeight="false" outlineLevel="0" collapsed="false">
      <c r="A15" s="2" t="s">
        <v>52</v>
      </c>
    </row>
    <row r="16" customFormat="false" ht="15" hidden="false" customHeight="false" outlineLevel="0" collapsed="false">
      <c r="A16" s="0" t="s">
        <v>53</v>
      </c>
      <c r="B16" s="0" t="n">
        <v>7.55</v>
      </c>
    </row>
    <row r="17" customFormat="false" ht="15" hidden="false" customHeight="false" outlineLevel="0" collapsed="false">
      <c r="A17" s="0" t="s">
        <v>54</v>
      </c>
    </row>
    <row r="18" customFormat="false" ht="15" hidden="false" customHeight="false" outlineLevel="0" collapsed="false">
      <c r="A18" s="0" t="s">
        <v>55</v>
      </c>
    </row>
    <row r="19" customFormat="false" ht="15" hidden="false" customHeight="false" outlineLevel="0" collapsed="false">
      <c r="A19" s="0" t="s">
        <v>56</v>
      </c>
    </row>
    <row r="20" customFormat="false" ht="15" hidden="false" customHeight="false" outlineLevel="0" collapsed="false">
      <c r="A20" s="0" t="s">
        <v>57</v>
      </c>
      <c r="C20" s="0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59</v>
      </c>
      <c r="B1" s="2" t="s">
        <v>60</v>
      </c>
      <c r="C1" s="2" t="s">
        <v>61</v>
      </c>
      <c r="D1" s="2" t="s">
        <v>62</v>
      </c>
      <c r="E1" s="2" t="s">
        <v>63</v>
      </c>
      <c r="F1" s="2" t="s">
        <v>64</v>
      </c>
      <c r="G1" s="2" t="s">
        <v>65</v>
      </c>
      <c r="H1" s="2" t="s">
        <v>66</v>
      </c>
      <c r="I1" s="2" t="s">
        <v>67</v>
      </c>
      <c r="J1" s="2" t="s">
        <v>68</v>
      </c>
      <c r="K1" s="2" t="s">
        <v>69</v>
      </c>
      <c r="L1" s="2" t="s">
        <v>70</v>
      </c>
      <c r="M1" s="2" t="s">
        <v>71</v>
      </c>
      <c r="N1" s="2" t="s">
        <v>72</v>
      </c>
      <c r="O1" s="2" t="s">
        <v>73</v>
      </c>
      <c r="P1" s="2" t="s">
        <v>74</v>
      </c>
      <c r="Q1" s="2" t="s">
        <v>75</v>
      </c>
      <c r="R1" s="2" t="s">
        <v>76</v>
      </c>
      <c r="S1" s="2" t="s">
        <v>77</v>
      </c>
      <c r="T1" s="2" t="s">
        <v>78</v>
      </c>
      <c r="U1" s="2" t="s">
        <v>79</v>
      </c>
      <c r="V1" s="2" t="s">
        <v>80</v>
      </c>
      <c r="W1" s="2" t="s">
        <v>81</v>
      </c>
      <c r="X1" s="2" t="s">
        <v>82</v>
      </c>
      <c r="Y1" s="2" t="s">
        <v>83</v>
      </c>
      <c r="Z1" s="2" t="s">
        <v>84</v>
      </c>
      <c r="AA1" s="2" t="s">
        <v>16</v>
      </c>
      <c r="AB1" s="2" t="s">
        <v>85</v>
      </c>
      <c r="AC1" s="2" t="s">
        <v>86</v>
      </c>
    </row>
    <row r="2" customFormat="false" ht="15" hidden="false" customHeight="false" outlineLevel="0" collapsed="false">
      <c r="A2" s="0" t="s">
        <v>87</v>
      </c>
      <c r="B2" s="0" t="n">
        <v>867.237</v>
      </c>
      <c r="C2" s="0" t="n">
        <v>727.605</v>
      </c>
      <c r="D2" s="0" t="n">
        <v>139.632</v>
      </c>
      <c r="E2" s="0" t="n">
        <v>16.1007890576624</v>
      </c>
      <c r="F2" s="0" t="n">
        <v>32.999</v>
      </c>
      <c r="G2" s="0" t="n">
        <v>3.8050728924158</v>
      </c>
      <c r="H2" s="0" t="n">
        <v>37.181</v>
      </c>
      <c r="I2" s="0" t="n">
        <v>21.479</v>
      </c>
      <c r="J2" s="0" t="n">
        <v>2.47671628401464</v>
      </c>
      <c r="K2" s="0" t="n">
        <v>0.657</v>
      </c>
      <c r="L2" s="0" t="n">
        <v>38.242</v>
      </c>
      <c r="M2" s="0" t="n">
        <v>7.426</v>
      </c>
      <c r="N2" s="0" t="n">
        <v>30.816</v>
      </c>
      <c r="O2" s="0" t="n">
        <v>163.822</v>
      </c>
      <c r="P2" s="0" t="n">
        <v>300.918</v>
      </c>
      <c r="Q2" s="0" t="n">
        <v>135.113</v>
      </c>
      <c r="R2" s="0" t="n">
        <v>88.902</v>
      </c>
      <c r="S2" s="0" t="n">
        <v>15.402</v>
      </c>
      <c r="T2" s="0" t="n">
        <v>32.694632</v>
      </c>
      <c r="U2" s="0" t="n">
        <v>0</v>
      </c>
      <c r="V2" s="0" t="n">
        <v>0.4</v>
      </c>
      <c r="AA2" s="0" t="s">
        <v>17</v>
      </c>
      <c r="AB2" s="0" t="s">
        <v>14</v>
      </c>
    </row>
    <row r="3" customFormat="false" ht="15" hidden="false" customHeight="false" outlineLevel="0" collapsed="false">
      <c r="A3" s="0" t="s">
        <v>88</v>
      </c>
      <c r="B3" s="0" t="n">
        <v>854.764</v>
      </c>
      <c r="C3" s="0" t="n">
        <v>716.611</v>
      </c>
      <c r="D3" s="0" t="n">
        <v>138.153</v>
      </c>
      <c r="E3" s="0" t="n">
        <v>16.1627068992143</v>
      </c>
      <c r="F3" s="0" t="n">
        <v>35.902</v>
      </c>
      <c r="G3" s="0" t="n">
        <v>4.20022368747397</v>
      </c>
      <c r="H3" s="0" t="n">
        <v>39.652</v>
      </c>
      <c r="I3" s="0" t="n">
        <v>22.232</v>
      </c>
      <c r="J3" s="0" t="n">
        <v>2.60095184167794</v>
      </c>
      <c r="K3" s="0" t="n">
        <v>0.68</v>
      </c>
      <c r="L3" s="0" t="n">
        <v>15.827</v>
      </c>
      <c r="M3" s="0" t="n">
        <v>14.077</v>
      </c>
      <c r="N3" s="0" t="n">
        <v>1.75</v>
      </c>
      <c r="O3" s="0" t="n">
        <v>180.864</v>
      </c>
      <c r="P3" s="0" t="n">
        <v>316.892</v>
      </c>
      <c r="Q3" s="0" t="n">
        <v>134.007</v>
      </c>
      <c r="R3" s="0" t="n">
        <v>88.719</v>
      </c>
      <c r="S3" s="0" t="n">
        <v>8.06</v>
      </c>
      <c r="T3" s="0" t="n">
        <v>32.694632</v>
      </c>
      <c r="U3" s="0" t="n">
        <v>0</v>
      </c>
      <c r="V3" s="0" t="n">
        <v>0.44</v>
      </c>
      <c r="AA3" s="0" t="s">
        <v>17</v>
      </c>
      <c r="AB3" s="0" t="s">
        <v>14</v>
      </c>
    </row>
    <row r="4" customFormat="false" ht="15" hidden="false" customHeight="false" outlineLevel="0" collapsed="false">
      <c r="A4" s="0" t="s">
        <v>89</v>
      </c>
      <c r="B4" s="0" t="n">
        <v>904.034</v>
      </c>
      <c r="C4" s="0" t="n">
        <v>755.544</v>
      </c>
      <c r="D4" s="0" t="n">
        <v>148.49</v>
      </c>
      <c r="E4" s="0" t="n">
        <v>16.4252671912782</v>
      </c>
      <c r="F4" s="0" t="n">
        <v>42.406</v>
      </c>
      <c r="G4" s="0" t="n">
        <v>4.69075278142194</v>
      </c>
      <c r="H4" s="0" t="n">
        <v>46.147</v>
      </c>
      <c r="I4" s="0" t="n">
        <v>24.985</v>
      </c>
      <c r="J4" s="0" t="n">
        <v>2.76372348827588</v>
      </c>
      <c r="K4" s="0" t="n">
        <v>0.764</v>
      </c>
      <c r="L4" s="0" t="n">
        <v>-11.354</v>
      </c>
      <c r="M4" s="0" t="n">
        <v>14.895</v>
      </c>
      <c r="N4" s="0" t="n">
        <v>-26.249</v>
      </c>
      <c r="O4" s="0" t="n">
        <v>196.875</v>
      </c>
      <c r="P4" s="0" t="n">
        <v>389.368</v>
      </c>
      <c r="Q4" s="0" t="n">
        <v>189.622</v>
      </c>
      <c r="R4" s="0" t="n">
        <v>130.328</v>
      </c>
      <c r="S4" s="0" t="n">
        <v>10.251</v>
      </c>
      <c r="T4" s="0" t="n">
        <v>32.694632</v>
      </c>
      <c r="U4" s="0" t="n">
        <v>0</v>
      </c>
      <c r="V4" s="0" t="n">
        <v>0.5</v>
      </c>
      <c r="AA4" s="0" t="s">
        <v>17</v>
      </c>
      <c r="AB4" s="0" t="s">
        <v>14</v>
      </c>
    </row>
    <row r="5" customFormat="false" ht="15" hidden="false" customHeight="false" outlineLevel="0" collapsed="false">
      <c r="A5" s="0" t="s">
        <v>90</v>
      </c>
      <c r="B5" s="0" t="n">
        <v>909.002</v>
      </c>
      <c r="C5" s="0" t="n">
        <v>757.262</v>
      </c>
      <c r="D5" s="0" t="n">
        <v>151.74</v>
      </c>
      <c r="E5" s="0" t="n">
        <v>16.6930325785862</v>
      </c>
      <c r="F5" s="0" t="n">
        <v>38.685</v>
      </c>
      <c r="G5" s="0" t="n">
        <v>4.25576621393572</v>
      </c>
      <c r="H5" s="0" t="n">
        <v>43.056</v>
      </c>
      <c r="I5" s="0" t="n">
        <v>21.901</v>
      </c>
      <c r="J5" s="0" t="n">
        <v>2.40934563400301</v>
      </c>
      <c r="K5" s="0" t="n">
        <v>0.67</v>
      </c>
      <c r="L5" s="0" t="n">
        <v>36.582</v>
      </c>
      <c r="M5" s="0" t="n">
        <v>16.319</v>
      </c>
      <c r="N5" s="0" t="n">
        <v>20.263</v>
      </c>
      <c r="O5" s="0" t="n">
        <v>209.155</v>
      </c>
      <c r="P5" s="0" t="n">
        <v>387.696</v>
      </c>
      <c r="Q5" s="0" t="n">
        <v>175.402</v>
      </c>
      <c r="R5" s="0" t="n">
        <v>123.009</v>
      </c>
      <c r="S5" s="0" t="n">
        <v>7.182</v>
      </c>
      <c r="T5" s="0" t="n">
        <v>32.694632</v>
      </c>
      <c r="U5" s="0" t="n">
        <v>0</v>
      </c>
      <c r="V5" s="0" t="n">
        <v>0.45</v>
      </c>
      <c r="AA5" s="0" t="s">
        <v>17</v>
      </c>
      <c r="AB5" s="0" t="s">
        <v>14</v>
      </c>
    </row>
    <row r="6" customFormat="false" ht="15" hidden="false" customHeight="false" outlineLevel="0" collapsed="false">
      <c r="A6" s="0" t="s">
        <v>91</v>
      </c>
      <c r="B6" s="0" t="n">
        <v>754.922</v>
      </c>
      <c r="C6" s="0" t="n">
        <v>609.316</v>
      </c>
      <c r="D6" s="0" t="n">
        <v>145.606</v>
      </c>
      <c r="E6" s="0" t="n">
        <v>19.2875555355388</v>
      </c>
      <c r="F6" s="0" t="n">
        <v>31.215</v>
      </c>
      <c r="G6" s="0" t="n">
        <v>4.13486426412265</v>
      </c>
      <c r="H6" s="0" t="n">
        <v>37.504</v>
      </c>
      <c r="I6" s="0" t="n">
        <v>21.828</v>
      </c>
      <c r="J6" s="0" t="n">
        <v>2.89142454452248</v>
      </c>
      <c r="K6" s="0" t="n">
        <v>0.668</v>
      </c>
      <c r="L6" s="0" t="n">
        <v>64.221</v>
      </c>
      <c r="M6" s="0" t="n">
        <v>13.626</v>
      </c>
      <c r="N6" s="0" t="n">
        <v>50.595</v>
      </c>
      <c r="O6" s="0" t="n">
        <v>227.31</v>
      </c>
      <c r="P6" s="0" t="n">
        <v>384.232</v>
      </c>
      <c r="Q6" s="0" t="n">
        <v>153.432</v>
      </c>
      <c r="R6" s="0" t="n">
        <v>108.245</v>
      </c>
      <c r="S6" s="0" t="n">
        <v>16.995</v>
      </c>
      <c r="T6" s="0" t="n">
        <v>32.694632</v>
      </c>
      <c r="U6" s="0" t="n">
        <v>0</v>
      </c>
      <c r="V6" s="0" t="n">
        <v>0.32</v>
      </c>
      <c r="AA6" s="0" t="s">
        <v>17</v>
      </c>
      <c r="AB6" s="0" t="s">
        <v>14</v>
      </c>
    </row>
    <row r="7" customFormat="false" ht="15" hidden="false" customHeight="false" outlineLevel="0" collapsed="false">
      <c r="A7" s="0" t="s">
        <v>92</v>
      </c>
      <c r="B7" s="0" t="n">
        <v>901.173</v>
      </c>
      <c r="C7" s="0" t="n">
        <v>734.905</v>
      </c>
      <c r="D7" s="0" t="n">
        <v>166.268</v>
      </c>
      <c r="E7" s="0" t="n">
        <v>18.4501754934957</v>
      </c>
      <c r="F7" s="0" t="n">
        <v>43.707</v>
      </c>
      <c r="G7" s="0" t="n">
        <v>4.85001215083009</v>
      </c>
      <c r="H7" s="0" t="n">
        <v>50.492</v>
      </c>
      <c r="I7" s="0" t="n">
        <v>24.833</v>
      </c>
      <c r="J7" s="0" t="n">
        <v>2.75563071685459</v>
      </c>
      <c r="K7" s="0" t="n">
        <v>0.76</v>
      </c>
      <c r="L7" s="0" t="n">
        <v>28.89</v>
      </c>
      <c r="M7" s="0" t="n">
        <v>22.916</v>
      </c>
      <c r="N7" s="0" t="n">
        <v>5.974</v>
      </c>
      <c r="O7" s="0" t="n">
        <v>262.443</v>
      </c>
      <c r="P7" s="0" t="n">
        <v>447.745</v>
      </c>
      <c r="Q7" s="0" t="n">
        <v>181.911</v>
      </c>
      <c r="R7" s="0" t="n">
        <v>118.782</v>
      </c>
      <c r="S7" s="0" t="n">
        <v>14.736</v>
      </c>
      <c r="T7" s="0" t="n">
        <v>32.694632</v>
      </c>
      <c r="U7" s="0" t="n">
        <v>0</v>
      </c>
      <c r="V7" s="0" t="n">
        <v>0.55</v>
      </c>
      <c r="AA7" s="0" t="s">
        <v>17</v>
      </c>
      <c r="AB7" s="0" t="s">
        <v>14</v>
      </c>
    </row>
    <row r="8" customFormat="false" ht="15" hidden="false" customHeight="false" outlineLevel="0" collapsed="false">
      <c r="A8" s="0" t="s">
        <v>93</v>
      </c>
      <c r="B8" s="0" t="n">
        <v>1002.848</v>
      </c>
      <c r="C8" s="0" t="n">
        <v>815.425</v>
      </c>
      <c r="D8" s="0" t="n">
        <v>187.423</v>
      </c>
      <c r="E8" s="0" t="n">
        <v>18.689073518619</v>
      </c>
      <c r="F8" s="0" t="n">
        <v>53.775</v>
      </c>
      <c r="G8" s="0" t="n">
        <v>5.36222837359201</v>
      </c>
      <c r="H8" s="0" t="n">
        <v>61.857</v>
      </c>
      <c r="I8" s="0" t="n">
        <v>33.186</v>
      </c>
      <c r="J8" s="0" t="n">
        <v>3.30917546826638</v>
      </c>
      <c r="K8" s="0" t="n">
        <v>1.015</v>
      </c>
      <c r="L8" s="0" t="n">
        <v>67.255</v>
      </c>
      <c r="M8" s="0" t="n">
        <v>22.518</v>
      </c>
      <c r="N8" s="0" t="n">
        <v>44.737</v>
      </c>
      <c r="O8" s="0" t="n">
        <v>303.34</v>
      </c>
      <c r="P8" s="0" t="n">
        <v>458.213</v>
      </c>
      <c r="Q8" s="0" t="n">
        <v>150.373</v>
      </c>
      <c r="R8" s="0" t="n">
        <v>95.879</v>
      </c>
      <c r="S8" s="0" t="n">
        <v>11.844</v>
      </c>
      <c r="T8" s="0" t="n">
        <v>32.694632</v>
      </c>
      <c r="U8" s="0" t="n">
        <v>0</v>
      </c>
      <c r="V8" s="0" t="n">
        <v>0.62</v>
      </c>
      <c r="AA8" s="0" t="s">
        <v>17</v>
      </c>
      <c r="AB8" s="0" t="s">
        <v>14</v>
      </c>
    </row>
    <row r="9" customFormat="false" ht="15" hidden="false" customHeight="false" outlineLevel="0" collapsed="false">
      <c r="A9" s="0" t="s">
        <v>94</v>
      </c>
      <c r="B9" s="0" t="n">
        <v>997.225</v>
      </c>
      <c r="C9" s="0" t="n">
        <v>801.918</v>
      </c>
      <c r="D9" s="0" t="n">
        <v>195.307</v>
      </c>
      <c r="E9" s="0" t="n">
        <v>19.5850485096142</v>
      </c>
      <c r="F9" s="0" t="n">
        <v>54.351</v>
      </c>
      <c r="G9" s="0" t="n">
        <v>5.45022437263406</v>
      </c>
      <c r="H9" s="0" t="n">
        <v>62.522</v>
      </c>
      <c r="I9" s="0" t="n">
        <v>27.848</v>
      </c>
      <c r="J9" s="0" t="n">
        <v>2.79254932437514</v>
      </c>
      <c r="K9" s="0" t="n">
        <v>0.852</v>
      </c>
      <c r="L9" s="0" t="n">
        <v>-10.224</v>
      </c>
      <c r="M9" s="0" t="n">
        <v>24.927</v>
      </c>
      <c r="N9" s="0" t="n">
        <v>-35.151</v>
      </c>
      <c r="O9" s="0" t="n">
        <v>310.773</v>
      </c>
      <c r="P9" s="0" t="n">
        <v>548.418</v>
      </c>
      <c r="Q9" s="0" t="n">
        <v>232.496</v>
      </c>
      <c r="R9" s="0" t="n">
        <v>151.395</v>
      </c>
      <c r="S9" s="0" t="n">
        <v>9.854</v>
      </c>
      <c r="T9" s="0" t="n">
        <v>32.694632</v>
      </c>
      <c r="U9" s="0" t="n">
        <v>0</v>
      </c>
      <c r="V9" s="0" t="n">
        <v>0.57</v>
      </c>
      <c r="AA9" s="0" t="s">
        <v>17</v>
      </c>
      <c r="AB9" s="0" t="s">
        <v>14</v>
      </c>
    </row>
    <row r="10" customFormat="false" ht="15" hidden="false" customHeight="false" outlineLevel="0" collapsed="false">
      <c r="A10" s="0" t="s">
        <v>95</v>
      </c>
      <c r="B10" s="0" t="n">
        <v>1012.92</v>
      </c>
      <c r="C10" s="0" t="n">
        <v>821.895</v>
      </c>
      <c r="D10" s="0" t="n">
        <v>191.025</v>
      </c>
      <c r="E10" s="0" t="n">
        <v>18.8588437388935</v>
      </c>
      <c r="F10" s="0" t="n">
        <v>43.166</v>
      </c>
      <c r="G10" s="0" t="n">
        <v>4.2615408916795</v>
      </c>
      <c r="H10" s="0" t="n">
        <v>53.187</v>
      </c>
      <c r="I10" s="0" t="n">
        <v>4.535</v>
      </c>
      <c r="J10" s="0" t="n">
        <v>0.447715515539233</v>
      </c>
      <c r="K10" s="0" t="n">
        <v>0.139</v>
      </c>
      <c r="L10" s="0" t="n">
        <v>-40.981</v>
      </c>
      <c r="M10" s="0" t="n">
        <v>16.118</v>
      </c>
      <c r="N10" s="0" t="n">
        <v>-57.099</v>
      </c>
      <c r="O10" s="0" t="n">
        <v>296.443</v>
      </c>
      <c r="P10" s="0" t="n">
        <v>598.539</v>
      </c>
      <c r="Q10" s="0" t="n">
        <v>296.978</v>
      </c>
      <c r="R10" s="0" t="n">
        <v>232.237</v>
      </c>
      <c r="S10" s="0" t="n">
        <v>11.473</v>
      </c>
      <c r="T10" s="0" t="n">
        <v>32.694632</v>
      </c>
      <c r="U10" s="0" t="n">
        <v>0</v>
      </c>
      <c r="V10" s="0" t="n">
        <v>0.35</v>
      </c>
      <c r="AA10" s="0" t="s">
        <v>17</v>
      </c>
      <c r="AB10" s="0" t="s">
        <v>14</v>
      </c>
    </row>
    <row r="11" customFormat="false" ht="15" hidden="false" customHeight="false" outlineLevel="0" collapsed="false">
      <c r="A11" s="0" t="s">
        <v>96</v>
      </c>
      <c r="B11" s="0" t="n">
        <v>1001.621</v>
      </c>
      <c r="C11" s="0" t="n">
        <v>808.169</v>
      </c>
      <c r="D11" s="0" t="n">
        <v>193.452</v>
      </c>
      <c r="E11" s="0" t="n">
        <v>19.313892180775</v>
      </c>
      <c r="F11" s="0" t="n">
        <v>41.916</v>
      </c>
      <c r="G11" s="0" t="n">
        <v>4.18481641259518</v>
      </c>
      <c r="H11" s="0" t="n">
        <v>50.973</v>
      </c>
      <c r="I11" s="0" t="n">
        <v>18.343</v>
      </c>
      <c r="J11" s="0" t="n">
        <v>1.8313314117815</v>
      </c>
      <c r="K11" s="0" t="n">
        <v>0.561</v>
      </c>
      <c r="L11" s="0" t="n">
        <v>45.305</v>
      </c>
      <c r="M11" s="0" t="n">
        <v>11.668</v>
      </c>
      <c r="N11" s="0" t="n">
        <v>33.637</v>
      </c>
      <c r="O11" s="0" t="n">
        <v>306.981</v>
      </c>
      <c r="P11" s="0" t="n">
        <v>586.516</v>
      </c>
      <c r="Q11" s="0" t="n">
        <v>274.056</v>
      </c>
      <c r="R11" s="0" t="n">
        <v>215.594</v>
      </c>
      <c r="S11" s="0" t="n">
        <v>11.996</v>
      </c>
      <c r="T11" s="0" t="n">
        <v>32.694632</v>
      </c>
      <c r="U11" s="0" t="n">
        <v>0</v>
      </c>
      <c r="V11" s="0" t="n">
        <v>0.35</v>
      </c>
      <c r="AA11" s="0" t="s">
        <v>17</v>
      </c>
      <c r="AB11" s="0" t="s">
        <v>14</v>
      </c>
      <c r="AC11" s="0" t="n">
        <v>9.36</v>
      </c>
    </row>
    <row r="12" customFormat="false" ht="15" hidden="false" customHeight="false" outlineLevel="0" collapsed="false">
      <c r="A12" s="0" t="s">
        <v>97</v>
      </c>
      <c r="B12" s="0" t="n">
        <v>1069.936</v>
      </c>
      <c r="C12" s="0" t="n">
        <v>868.16</v>
      </c>
      <c r="D12" s="0" t="n">
        <v>201.776</v>
      </c>
      <c r="E12" s="0" t="n">
        <v>18.8586980903531</v>
      </c>
      <c r="F12" s="0" t="n">
        <v>37.554</v>
      </c>
      <c r="G12" s="0" t="n">
        <v>3.50992956588058</v>
      </c>
      <c r="H12" s="0" t="n">
        <v>46.71</v>
      </c>
      <c r="I12" s="0" t="n">
        <v>19.871</v>
      </c>
      <c r="J12" s="0" t="n">
        <v>1.8572138894289</v>
      </c>
      <c r="K12" s="0" t="n">
        <v>0.608</v>
      </c>
      <c r="L12" s="0" t="n">
        <v>85.936</v>
      </c>
      <c r="M12" s="0" t="n">
        <v>5.862</v>
      </c>
      <c r="N12" s="0" t="n">
        <v>80.074</v>
      </c>
      <c r="O12" s="0" t="n">
        <v>320.477</v>
      </c>
      <c r="P12" s="0" t="n">
        <v>537.646</v>
      </c>
      <c r="Q12" s="0" t="n">
        <v>211.393</v>
      </c>
      <c r="R12" s="0" t="n">
        <v>154.745</v>
      </c>
      <c r="S12" s="0" t="n">
        <v>10.976</v>
      </c>
      <c r="T12" s="0" t="n">
        <v>32.694632</v>
      </c>
      <c r="U12" s="0" t="n">
        <v>0</v>
      </c>
      <c r="V12" s="0" t="n">
        <v>0.4</v>
      </c>
      <c r="AA12" s="0" t="s">
        <v>17</v>
      </c>
      <c r="AB12" s="0" t="s">
        <v>14</v>
      </c>
      <c r="AC12" s="0" t="n">
        <v>9.77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</cols>
  <sheetData>
    <row r="1" customFormat="false" ht="15" hidden="false" customHeight="false" outlineLevel="0" collapsed="false">
      <c r="A1" s="2" t="s">
        <v>98</v>
      </c>
      <c r="B1" s="2" t="s">
        <v>37</v>
      </c>
    </row>
    <row r="2" customFormat="false" ht="15" hidden="false" customHeight="false" outlineLevel="0" collapsed="false">
      <c r="A2" s="0" t="s">
        <v>99</v>
      </c>
      <c r="B2" s="3" t="n">
        <v>7.31</v>
      </c>
    </row>
    <row r="3" customFormat="false" ht="15" hidden="false" customHeight="false" outlineLevel="0" collapsed="false">
      <c r="A3" s="0" t="s">
        <v>100</v>
      </c>
      <c r="B3" s="3" t="n">
        <v>32.695</v>
      </c>
    </row>
    <row r="4" customFormat="false" ht="15" hidden="false" customHeight="false" outlineLevel="0" collapsed="false">
      <c r="A4" s="0" t="s">
        <v>101</v>
      </c>
      <c r="B4" s="3" t="n">
        <v>71.51</v>
      </c>
    </row>
    <row r="5" customFormat="false" ht="15" hidden="false" customHeight="false" outlineLevel="0" collapsed="false">
      <c r="A5" s="0" t="s">
        <v>102</v>
      </c>
      <c r="B5" s="3" t="n">
        <v>122.53</v>
      </c>
    </row>
    <row r="6" customFormat="false" ht="15" hidden="false" customHeight="false" outlineLevel="0" collapsed="false">
      <c r="A6" s="0" t="s">
        <v>103</v>
      </c>
      <c r="B6" s="3" t="n">
        <v>15</v>
      </c>
    </row>
    <row r="7" customFormat="false" ht="15" hidden="false" customHeight="false" outlineLevel="0" collapsed="false">
      <c r="A7" s="0" t="s">
        <v>104</v>
      </c>
      <c r="B7" s="3" t="n">
        <v>1069.936</v>
      </c>
    </row>
    <row r="8" customFormat="false" ht="15" hidden="false" customHeight="false" outlineLevel="0" collapsed="false">
      <c r="A8" s="0" t="s">
        <v>105</v>
      </c>
      <c r="B8" s="3" t="s">
        <v>97</v>
      </c>
    </row>
    <row r="9" customFormat="false" ht="15" hidden="false" customHeight="false" outlineLevel="0" collapsed="false">
      <c r="A9" s="0" t="s">
        <v>106</v>
      </c>
      <c r="B9" s="3" t="s">
        <v>107</v>
      </c>
    </row>
    <row r="10" customFormat="false" ht="15" hidden="false" customHeight="false" outlineLevel="0" collapsed="false">
      <c r="A10" s="0" t="s">
        <v>108</v>
      </c>
      <c r="B10" s="3" t="n">
        <v>1</v>
      </c>
    </row>
    <row r="12" customFormat="false" ht="15" hidden="false" customHeight="false" outlineLevel="0" collapsed="false">
      <c r="A12" s="2" t="s">
        <v>109</v>
      </c>
      <c r="C12" s="2" t="s">
        <v>110</v>
      </c>
      <c r="D12" s="2" t="s">
        <v>111</v>
      </c>
      <c r="E12" s="2" t="s">
        <v>112</v>
      </c>
      <c r="F12" s="2" t="s">
        <v>113</v>
      </c>
      <c r="G12" s="2" t="s">
        <v>114</v>
      </c>
      <c r="H12" s="2" t="s">
        <v>115</v>
      </c>
      <c r="I12" s="2" t="s">
        <v>116</v>
      </c>
      <c r="J12" s="2" t="s">
        <v>117</v>
      </c>
      <c r="K12" s="2" t="s">
        <v>118</v>
      </c>
      <c r="L12" s="2" t="s">
        <v>119</v>
      </c>
    </row>
    <row r="13" customFormat="false" ht="15" hidden="false" customHeight="false" outlineLevel="0" collapsed="false">
      <c r="A13" s="0" t="s">
        <v>120</v>
      </c>
      <c r="C13" s="3" t="n">
        <v>-1.5</v>
      </c>
      <c r="D13" s="3" t="n">
        <v>-1</v>
      </c>
      <c r="E13" s="3" t="n">
        <v>0.5</v>
      </c>
      <c r="F13" s="3" t="n">
        <v>1</v>
      </c>
      <c r="G13" s="3" t="n">
        <v>1.5</v>
      </c>
      <c r="H13" s="3" t="n">
        <v>1.8</v>
      </c>
      <c r="I13" s="3" t="n">
        <v>2</v>
      </c>
      <c r="J13" s="3" t="n">
        <v>2</v>
      </c>
      <c r="K13" s="3" t="n">
        <v>2.2</v>
      </c>
      <c r="L13" s="3" t="n">
        <v>2.2</v>
      </c>
    </row>
    <row r="14" customFormat="false" ht="15" hidden="false" customHeight="false" outlineLevel="0" collapsed="false">
      <c r="A14" s="0" t="s">
        <v>121</v>
      </c>
      <c r="C14" s="3" t="n">
        <v>3.8</v>
      </c>
      <c r="D14" s="3" t="n">
        <v>3.7</v>
      </c>
      <c r="E14" s="3" t="n">
        <v>3.8</v>
      </c>
      <c r="F14" s="3" t="n">
        <v>3.9</v>
      </c>
      <c r="G14" s="3" t="n">
        <v>4</v>
      </c>
      <c r="H14" s="3" t="n">
        <v>4.1</v>
      </c>
      <c r="I14" s="3" t="n">
        <v>4.2</v>
      </c>
      <c r="J14" s="3" t="n">
        <v>4.3</v>
      </c>
      <c r="K14" s="3" t="n">
        <v>4.3</v>
      </c>
      <c r="L14" s="3" t="n">
        <v>4.4</v>
      </c>
    </row>
    <row r="15" customFormat="false" ht="15" hidden="false" customHeight="false" outlineLevel="0" collapsed="false">
      <c r="A15" s="0" t="s">
        <v>122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r="16" customFormat="false" ht="15" hidden="false" customHeight="false" outlineLevel="0" collapsed="false">
      <c r="A16" s="0" t="s">
        <v>123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r="17" customFormat="false" ht="15" hidden="false" customHeight="false" outlineLevel="0" collapsed="false">
      <c r="A17" s="0" t="s">
        <v>124</v>
      </c>
      <c r="C17" s="3" t="n">
        <v>0.9</v>
      </c>
      <c r="D17" s="3" t="n">
        <v>0.9</v>
      </c>
      <c r="E17" s="3" t="n">
        <v>0.9</v>
      </c>
      <c r="F17" s="3" t="n">
        <v>0.9</v>
      </c>
      <c r="G17" s="3" t="n">
        <v>0.9</v>
      </c>
      <c r="H17" s="3" t="n">
        <v>0.9</v>
      </c>
      <c r="I17" s="3" t="n">
        <v>0.9</v>
      </c>
      <c r="J17" s="3" t="n">
        <v>0.9</v>
      </c>
      <c r="K17" s="3" t="n">
        <v>0.9</v>
      </c>
      <c r="L17" s="3" t="n">
        <v>0.9</v>
      </c>
    </row>
    <row r="18" customFormat="false" ht="15" hidden="false" customHeight="false" outlineLevel="0" collapsed="false">
      <c r="A18" s="0" t="s">
        <v>125</v>
      </c>
      <c r="C18" s="3" t="n">
        <v>1.4</v>
      </c>
      <c r="D18" s="3" t="n">
        <v>1.4</v>
      </c>
      <c r="E18" s="3" t="n">
        <v>1.5</v>
      </c>
      <c r="F18" s="3" t="n">
        <v>1.5</v>
      </c>
      <c r="G18" s="3" t="n">
        <v>1.6</v>
      </c>
      <c r="H18" s="3" t="n">
        <v>1.6</v>
      </c>
      <c r="I18" s="3" t="n">
        <v>1.7</v>
      </c>
      <c r="J18" s="3" t="n">
        <v>1.7</v>
      </c>
      <c r="K18" s="3" t="n">
        <v>1.7</v>
      </c>
      <c r="L18" s="3" t="n">
        <v>1.7</v>
      </c>
    </row>
    <row r="19" customFormat="false" ht="15" hidden="false" customHeight="false" outlineLevel="0" collapsed="false">
      <c r="A19" s="0" t="s">
        <v>126</v>
      </c>
      <c r="C19" s="3" t="n">
        <v>28</v>
      </c>
      <c r="D19" s="3" t="n">
        <v>28</v>
      </c>
      <c r="E19" s="3" t="n">
        <v>28</v>
      </c>
      <c r="F19" s="3" t="n">
        <v>28</v>
      </c>
      <c r="G19" s="3" t="n">
        <v>28</v>
      </c>
      <c r="H19" s="3" t="n">
        <v>28</v>
      </c>
      <c r="I19" s="3" t="n">
        <v>28</v>
      </c>
      <c r="J19" s="3" t="n">
        <v>28</v>
      </c>
      <c r="K19" s="3" t="n">
        <v>28</v>
      </c>
      <c r="L19" s="3" t="n">
        <v>28</v>
      </c>
    </row>
    <row r="20" customFormat="false" ht="15" hidden="false" customHeight="false" outlineLevel="0" collapsed="false">
      <c r="A20" s="0" t="s">
        <v>127</v>
      </c>
      <c r="B20" s="3" t="n">
        <v>13.5</v>
      </c>
    </row>
    <row r="21" customFormat="false" ht="15" hidden="false" customHeight="false" outlineLevel="0" collapsed="false">
      <c r="A21" s="0" t="s">
        <v>128</v>
      </c>
      <c r="B21" s="3" t="n">
        <v>1.5</v>
      </c>
    </row>
    <row r="22" customFormat="false" ht="15" hidden="false" customHeight="false" outlineLevel="0" collapsed="false">
      <c r="A22" s="0" t="s">
        <v>129</v>
      </c>
      <c r="B22" s="3" t="n">
        <v>10</v>
      </c>
    </row>
    <row r="23" customFormat="false" ht="15" hidden="false" customHeight="false" outlineLevel="0" collapsed="false">
      <c r="A23" s="0" t="s">
        <v>130</v>
      </c>
      <c r="B23" s="3" t="n">
        <v>-12</v>
      </c>
    </row>
    <row r="24" customFormat="false" ht="15" hidden="false" customHeight="false" outlineLevel="0" collapsed="false">
      <c r="A24" s="0" t="s">
        <v>131</v>
      </c>
      <c r="B24" s="3" t="n">
        <v>0.25</v>
      </c>
    </row>
    <row r="26" customFormat="false" ht="15" hidden="false" customHeight="false" outlineLevel="0" collapsed="false">
      <c r="A26" s="2" t="s">
        <v>132</v>
      </c>
      <c r="C26" s="2" t="s">
        <v>110</v>
      </c>
      <c r="D26" s="2" t="s">
        <v>111</v>
      </c>
      <c r="E26" s="2" t="s">
        <v>112</v>
      </c>
      <c r="F26" s="2" t="s">
        <v>113</v>
      </c>
      <c r="G26" s="2" t="s">
        <v>114</v>
      </c>
      <c r="H26" s="2" t="s">
        <v>115</v>
      </c>
      <c r="I26" s="2" t="s">
        <v>116</v>
      </c>
      <c r="J26" s="2" t="s">
        <v>117</v>
      </c>
      <c r="K26" s="2" t="s">
        <v>118</v>
      </c>
      <c r="L26" s="2" t="s">
        <v>119</v>
      </c>
    </row>
    <row r="27" customFormat="false" ht="15" hidden="false" customHeight="false" outlineLevel="0" collapsed="false">
      <c r="A27" s="0" t="s">
        <v>120</v>
      </c>
      <c r="C27" s="3" t="n">
        <v>3.5</v>
      </c>
      <c r="D27" s="3" t="n">
        <v>3.5</v>
      </c>
      <c r="E27" s="3" t="n">
        <v>3</v>
      </c>
      <c r="F27" s="3" t="n">
        <v>3</v>
      </c>
      <c r="G27" s="3" t="n">
        <v>2.8</v>
      </c>
      <c r="H27" s="3" t="n">
        <v>2.5</v>
      </c>
      <c r="I27" s="3" t="n">
        <v>2.5</v>
      </c>
      <c r="J27" s="3" t="n">
        <v>2.5</v>
      </c>
      <c r="K27" s="3" t="n">
        <v>2.5</v>
      </c>
      <c r="L27" s="3" t="n">
        <v>2.5</v>
      </c>
    </row>
    <row r="28" customFormat="false" ht="15" hidden="false" customHeight="false" outlineLevel="0" collapsed="false">
      <c r="A28" s="0" t="s">
        <v>121</v>
      </c>
      <c r="C28" s="3" t="n">
        <v>4.5</v>
      </c>
      <c r="D28" s="3" t="n">
        <v>4.6</v>
      </c>
      <c r="E28" s="3" t="n">
        <v>4.8</v>
      </c>
      <c r="F28" s="3" t="n">
        <v>4.9</v>
      </c>
      <c r="G28" s="3" t="n">
        <v>5</v>
      </c>
      <c r="H28" s="3" t="n">
        <v>5</v>
      </c>
      <c r="I28" s="3" t="n">
        <v>5.1</v>
      </c>
      <c r="J28" s="3" t="n">
        <v>5.1</v>
      </c>
      <c r="K28" s="3" t="n">
        <v>5.2</v>
      </c>
      <c r="L28" s="3" t="n">
        <v>5.2</v>
      </c>
    </row>
    <row r="29" customFormat="false" ht="15" hidden="false" customHeight="false" outlineLevel="0" collapsed="false">
      <c r="A29" s="0" t="s">
        <v>122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r="30" customFormat="false" ht="15" hidden="false" customHeight="false" outlineLevel="0" collapsed="false">
      <c r="A30" s="0" t="s">
        <v>123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r="31" customFormat="false" ht="15" hidden="false" customHeight="false" outlineLevel="0" collapsed="false">
      <c r="A31" s="0" t="s">
        <v>124</v>
      </c>
      <c r="C31" s="3" t="n">
        <v>0.9</v>
      </c>
      <c r="D31" s="3" t="n">
        <v>0.9</v>
      </c>
      <c r="E31" s="3" t="n">
        <v>0.9</v>
      </c>
      <c r="F31" s="3" t="n">
        <v>0.9</v>
      </c>
      <c r="G31" s="3" t="n">
        <v>0.9</v>
      </c>
      <c r="H31" s="3" t="n">
        <v>0.9</v>
      </c>
      <c r="I31" s="3" t="n">
        <v>0.9</v>
      </c>
      <c r="J31" s="3" t="n">
        <v>0.9</v>
      </c>
      <c r="K31" s="3" t="n">
        <v>0.9</v>
      </c>
      <c r="L31" s="3" t="n">
        <v>0.9</v>
      </c>
    </row>
    <row r="32" customFormat="false" ht="15" hidden="false" customHeight="false" outlineLevel="0" collapsed="false">
      <c r="A32" s="0" t="s">
        <v>125</v>
      </c>
      <c r="C32" s="3" t="n">
        <v>1.7</v>
      </c>
      <c r="D32" s="3" t="n">
        <v>1.8</v>
      </c>
      <c r="E32" s="3" t="n">
        <v>1.8</v>
      </c>
      <c r="F32" s="3" t="n">
        <v>1.9</v>
      </c>
      <c r="G32" s="3" t="n">
        <v>1.9</v>
      </c>
      <c r="H32" s="3" t="n">
        <v>2</v>
      </c>
      <c r="I32" s="3" t="n">
        <v>2</v>
      </c>
      <c r="J32" s="3" t="n">
        <v>2</v>
      </c>
      <c r="K32" s="3" t="n">
        <v>2</v>
      </c>
      <c r="L32" s="3" t="n">
        <v>2</v>
      </c>
    </row>
    <row r="33" customFormat="false" ht="15" hidden="false" customHeight="false" outlineLevel="0" collapsed="false">
      <c r="A33" s="0" t="s">
        <v>126</v>
      </c>
      <c r="C33" s="3" t="n">
        <v>28</v>
      </c>
      <c r="D33" s="3" t="n">
        <v>28</v>
      </c>
      <c r="E33" s="3" t="n">
        <v>28</v>
      </c>
      <c r="F33" s="3" t="n">
        <v>28</v>
      </c>
      <c r="G33" s="3" t="n">
        <v>28</v>
      </c>
      <c r="H33" s="3" t="n">
        <v>28</v>
      </c>
      <c r="I33" s="3" t="n">
        <v>28</v>
      </c>
      <c r="J33" s="3" t="n">
        <v>28</v>
      </c>
      <c r="K33" s="3" t="n">
        <v>28</v>
      </c>
      <c r="L33" s="3" t="n">
        <v>28</v>
      </c>
    </row>
    <row r="34" customFormat="false" ht="15" hidden="false" customHeight="false" outlineLevel="0" collapsed="false">
      <c r="A34" s="0" t="s">
        <v>127</v>
      </c>
      <c r="B34" s="3" t="n">
        <v>13.5</v>
      </c>
    </row>
    <row r="35" customFormat="false" ht="15" hidden="false" customHeight="false" outlineLevel="0" collapsed="false">
      <c r="A35" s="0" t="s">
        <v>128</v>
      </c>
      <c r="B35" s="3" t="n">
        <v>2.2</v>
      </c>
    </row>
    <row r="36" customFormat="false" ht="15" hidden="false" customHeight="false" outlineLevel="0" collapsed="false">
      <c r="A36" s="0" t="s">
        <v>129</v>
      </c>
      <c r="B36" s="3" t="n">
        <v>12</v>
      </c>
    </row>
    <row r="37" customFormat="false" ht="15" hidden="false" customHeight="false" outlineLevel="0" collapsed="false">
      <c r="A37" s="0" t="s">
        <v>130</v>
      </c>
      <c r="B37" s="3" t="n">
        <v>-8</v>
      </c>
    </row>
    <row r="38" customFormat="false" ht="15" hidden="false" customHeight="false" outlineLevel="0" collapsed="false">
      <c r="A38" s="0" t="s">
        <v>131</v>
      </c>
      <c r="B38" s="3" t="n">
        <v>0.5</v>
      </c>
    </row>
    <row r="40" customFormat="false" ht="15" hidden="false" customHeight="false" outlineLevel="0" collapsed="false">
      <c r="A40" s="2" t="s">
        <v>133</v>
      </c>
      <c r="C40" s="2" t="s">
        <v>110</v>
      </c>
      <c r="D40" s="2" t="s">
        <v>111</v>
      </c>
      <c r="E40" s="2" t="s">
        <v>112</v>
      </c>
      <c r="F40" s="2" t="s">
        <v>113</v>
      </c>
      <c r="G40" s="2" t="s">
        <v>114</v>
      </c>
      <c r="H40" s="2" t="s">
        <v>115</v>
      </c>
      <c r="I40" s="2" t="s">
        <v>116</v>
      </c>
      <c r="J40" s="2" t="s">
        <v>117</v>
      </c>
      <c r="K40" s="2" t="s">
        <v>118</v>
      </c>
      <c r="L40" s="2" t="s">
        <v>119</v>
      </c>
    </row>
    <row r="41" customFormat="false" ht="15" hidden="false" customHeight="false" outlineLevel="0" collapsed="false">
      <c r="A41" s="0" t="s">
        <v>120</v>
      </c>
      <c r="C41" s="3" t="n">
        <v>6</v>
      </c>
      <c r="D41" s="3" t="n">
        <v>5.5</v>
      </c>
      <c r="E41" s="3" t="n">
        <v>5</v>
      </c>
      <c r="F41" s="3" t="n">
        <v>4.5</v>
      </c>
      <c r="G41" s="3" t="n">
        <v>4</v>
      </c>
      <c r="H41" s="3" t="n">
        <v>3.5</v>
      </c>
      <c r="I41" s="3" t="n">
        <v>3</v>
      </c>
      <c r="J41" s="3" t="n">
        <v>3</v>
      </c>
      <c r="K41" s="3" t="n">
        <v>2.8</v>
      </c>
      <c r="L41" s="3" t="n">
        <v>2.8</v>
      </c>
    </row>
    <row r="42" customFormat="false" ht="15" hidden="false" customHeight="false" outlineLevel="0" collapsed="false">
      <c r="A42" s="0" t="s">
        <v>121</v>
      </c>
      <c r="C42" s="3" t="n">
        <v>4.8</v>
      </c>
      <c r="D42" s="3" t="n">
        <v>5.1</v>
      </c>
      <c r="E42" s="3" t="n">
        <v>5.4</v>
      </c>
      <c r="F42" s="3" t="n">
        <v>5.6</v>
      </c>
      <c r="G42" s="3" t="n">
        <v>5.8</v>
      </c>
      <c r="H42" s="3" t="n">
        <v>5.9</v>
      </c>
      <c r="I42" s="3" t="n">
        <v>6</v>
      </c>
      <c r="J42" s="3" t="n">
        <v>6.1</v>
      </c>
      <c r="K42" s="3" t="n">
        <v>6.1</v>
      </c>
      <c r="L42" s="3" t="n">
        <v>6.2</v>
      </c>
    </row>
    <row r="43" customFormat="false" ht="15" hidden="false" customHeight="false" outlineLevel="0" collapsed="false">
      <c r="A43" s="0" t="s">
        <v>122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r="44" customFormat="false" ht="15" hidden="false" customHeight="false" outlineLevel="0" collapsed="false">
      <c r="A44" s="0" t="s">
        <v>123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r="45" customFormat="false" ht="15" hidden="false" customHeight="false" outlineLevel="0" collapsed="false">
      <c r="A45" s="0" t="s">
        <v>124</v>
      </c>
      <c r="C45" s="3" t="n">
        <v>0.9</v>
      </c>
      <c r="D45" s="3" t="n">
        <v>0.9</v>
      </c>
      <c r="E45" s="3" t="n">
        <v>0.9</v>
      </c>
      <c r="F45" s="3" t="n">
        <v>0.9</v>
      </c>
      <c r="G45" s="3" t="n">
        <v>0.9</v>
      </c>
      <c r="H45" s="3" t="n">
        <v>0.9</v>
      </c>
      <c r="I45" s="3" t="n">
        <v>0.9</v>
      </c>
      <c r="J45" s="3" t="n">
        <v>0.9</v>
      </c>
      <c r="K45" s="3" t="n">
        <v>0.9</v>
      </c>
      <c r="L45" s="3" t="n">
        <v>0.9</v>
      </c>
    </row>
    <row r="46" customFormat="false" ht="15" hidden="false" customHeight="false" outlineLevel="0" collapsed="false">
      <c r="A46" s="0" t="s">
        <v>125</v>
      </c>
      <c r="C46" s="3" t="n">
        <v>1.8</v>
      </c>
      <c r="D46" s="3" t="n">
        <v>1.9</v>
      </c>
      <c r="E46" s="3" t="n">
        <v>1.9</v>
      </c>
      <c r="F46" s="3" t="n">
        <v>2</v>
      </c>
      <c r="G46" s="3" t="n">
        <v>2</v>
      </c>
      <c r="H46" s="3" t="n">
        <v>2</v>
      </c>
      <c r="I46" s="3" t="n">
        <v>2</v>
      </c>
      <c r="J46" s="3" t="n">
        <v>2</v>
      </c>
      <c r="K46" s="3" t="n">
        <v>2</v>
      </c>
      <c r="L46" s="3" t="n">
        <v>2</v>
      </c>
    </row>
    <row r="47" customFormat="false" ht="15" hidden="false" customHeight="false" outlineLevel="0" collapsed="false">
      <c r="A47" s="0" t="s">
        <v>126</v>
      </c>
      <c r="C47" s="3" t="n">
        <v>28</v>
      </c>
      <c r="D47" s="3" t="n">
        <v>28</v>
      </c>
      <c r="E47" s="3" t="n">
        <v>28</v>
      </c>
      <c r="F47" s="3" t="n">
        <v>28</v>
      </c>
      <c r="G47" s="3" t="n">
        <v>28</v>
      </c>
      <c r="H47" s="3" t="n">
        <v>28</v>
      </c>
      <c r="I47" s="3" t="n">
        <v>28</v>
      </c>
      <c r="J47" s="3" t="n">
        <v>28</v>
      </c>
      <c r="K47" s="3" t="n">
        <v>28</v>
      </c>
      <c r="L47" s="3" t="n">
        <v>28</v>
      </c>
    </row>
    <row r="48" customFormat="false" ht="15" hidden="false" customHeight="false" outlineLevel="0" collapsed="false">
      <c r="A48" s="0" t="s">
        <v>127</v>
      </c>
      <c r="B48" s="3" t="n">
        <v>13.5</v>
      </c>
    </row>
    <row r="49" customFormat="false" ht="15" hidden="false" customHeight="false" outlineLevel="0" collapsed="false">
      <c r="A49" s="0" t="s">
        <v>128</v>
      </c>
      <c r="B49" s="3" t="n">
        <v>2.7</v>
      </c>
    </row>
    <row r="50" customFormat="false" ht="15" hidden="false" customHeight="false" outlineLevel="0" collapsed="false">
      <c r="A50" s="0" t="s">
        <v>129</v>
      </c>
      <c r="B50" s="3" t="n">
        <v>15</v>
      </c>
    </row>
    <row r="51" customFormat="false" ht="15" hidden="false" customHeight="false" outlineLevel="0" collapsed="false">
      <c r="A51" s="0" t="s">
        <v>130</v>
      </c>
      <c r="B51" s="3" t="n">
        <v>-6</v>
      </c>
    </row>
    <row r="52" customFormat="false" ht="15" hidden="false" customHeight="false" outlineLevel="0" collapsed="false">
      <c r="A52" s="0" t="s">
        <v>131</v>
      </c>
      <c r="B52" s="3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134</v>
      </c>
    </row>
    <row r="3" customFormat="false" ht="15" hidden="false" customHeight="false" outlineLevel="0" collapsed="false">
      <c r="A3" s="0" t="s">
        <v>135</v>
      </c>
      <c r="B3" s="0" t="s">
        <v>97</v>
      </c>
      <c r="C3" s="2" t="s">
        <v>110</v>
      </c>
      <c r="D3" s="2" t="s">
        <v>111</v>
      </c>
      <c r="E3" s="2" t="s">
        <v>112</v>
      </c>
      <c r="F3" s="2" t="s">
        <v>113</v>
      </c>
      <c r="G3" s="2" t="s">
        <v>114</v>
      </c>
      <c r="H3" s="2" t="s">
        <v>115</v>
      </c>
      <c r="I3" s="2" t="s">
        <v>116</v>
      </c>
      <c r="J3" s="2" t="s">
        <v>117</v>
      </c>
      <c r="K3" s="2" t="s">
        <v>118</v>
      </c>
      <c r="L3" s="2" t="s">
        <v>119</v>
      </c>
    </row>
    <row r="4" customFormat="false" ht="15" hidden="false" customHeight="false" outlineLevel="0" collapsed="false">
      <c r="A4" s="0" t="s">
        <v>136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120</v>
      </c>
      <c r="C5" s="4" t="n">
        <f aca="false">Assumptions!C13</f>
        <v>-1.5</v>
      </c>
      <c r="D5" s="4" t="n">
        <f aca="false">Assumptions!D13</f>
        <v>-1</v>
      </c>
      <c r="E5" s="4" t="n">
        <f aca="false">Assumptions!E13</f>
        <v>0.5</v>
      </c>
      <c r="F5" s="4" t="n">
        <f aca="false">Assumptions!F13</f>
        <v>1</v>
      </c>
      <c r="G5" s="4" t="n">
        <f aca="false">Assumptions!G13</f>
        <v>1.5</v>
      </c>
      <c r="H5" s="4" t="n">
        <f aca="false">Assumptions!H13</f>
        <v>1.8</v>
      </c>
      <c r="I5" s="4" t="n">
        <f aca="false">Assumptions!I13</f>
        <v>2</v>
      </c>
      <c r="J5" s="4" t="n">
        <f aca="false">Assumptions!J13</f>
        <v>2</v>
      </c>
      <c r="K5" s="4" t="n">
        <f aca="false">Assumptions!K13</f>
        <v>2.2</v>
      </c>
      <c r="L5" s="4" t="n">
        <f aca="false">Assumptions!L13</f>
        <v>2.2</v>
      </c>
    </row>
    <row r="6" customFormat="false" ht="15" hidden="false" customHeight="false" outlineLevel="0" collapsed="false">
      <c r="A6" s="0" t="s">
        <v>60</v>
      </c>
      <c r="B6" s="3" t="n">
        <v>1069.936</v>
      </c>
      <c r="C6" s="0" t="n">
        <f aca="false">B6*(1+C5/100)</f>
        <v>1053.88696</v>
      </c>
      <c r="D6" s="0" t="n">
        <f aca="false">C6*(1+D5/100)</f>
        <v>1043.3480904</v>
      </c>
      <c r="E6" s="0" t="n">
        <f aca="false">D6*(1+E5/100)</f>
        <v>1048.564830852</v>
      </c>
      <c r="F6" s="0" t="n">
        <f aca="false">E6*(1+F5/100)</f>
        <v>1059.05047916052</v>
      </c>
      <c r="G6" s="0" t="n">
        <f aca="false">F6*(1+G5/100)</f>
        <v>1074.93623634793</v>
      </c>
      <c r="H6" s="0" t="n">
        <f aca="false">G6*(1+H5/100)</f>
        <v>1094.28508860219</v>
      </c>
      <c r="I6" s="0" t="n">
        <f aca="false">H6*(1+I5/100)</f>
        <v>1116.17079037423</v>
      </c>
      <c r="J6" s="0" t="n">
        <f aca="false">I6*(1+J5/100)</f>
        <v>1138.49420618172</v>
      </c>
      <c r="K6" s="0" t="n">
        <f aca="false">J6*(1+K5/100)</f>
        <v>1163.54107871772</v>
      </c>
      <c r="L6" s="0" t="n">
        <f aca="false">K6*(1+L5/100)</f>
        <v>1189.13898244951</v>
      </c>
    </row>
    <row r="7" customFormat="false" ht="15" hidden="false" customHeight="false" outlineLevel="0" collapsed="false">
      <c r="A7" s="0" t="s">
        <v>121</v>
      </c>
      <c r="C7" s="4" t="n">
        <f aca="false">Assumptions!C14</f>
        <v>3.8</v>
      </c>
      <c r="D7" s="4" t="n">
        <f aca="false">Assumptions!D14</f>
        <v>3.7</v>
      </c>
      <c r="E7" s="4" t="n">
        <f aca="false">Assumptions!E14</f>
        <v>3.8</v>
      </c>
      <c r="F7" s="4" t="n">
        <f aca="false">Assumptions!F14</f>
        <v>3.9</v>
      </c>
      <c r="G7" s="4" t="n">
        <f aca="false">Assumptions!G14</f>
        <v>4</v>
      </c>
      <c r="H7" s="4" t="n">
        <f aca="false">Assumptions!H14</f>
        <v>4.1</v>
      </c>
      <c r="I7" s="4" t="n">
        <f aca="false">Assumptions!I14</f>
        <v>4.2</v>
      </c>
      <c r="J7" s="4" t="n">
        <f aca="false">Assumptions!J14</f>
        <v>4.3</v>
      </c>
      <c r="K7" s="4" t="n">
        <f aca="false">Assumptions!K14</f>
        <v>4.3</v>
      </c>
      <c r="L7" s="4" t="n">
        <f aca="false">Assumptions!L14</f>
        <v>4.4</v>
      </c>
    </row>
    <row r="8" customFormat="false" ht="15" hidden="false" customHeight="false" outlineLevel="0" collapsed="false">
      <c r="A8" s="0" t="s">
        <v>66</v>
      </c>
      <c r="C8" s="0" t="n">
        <f aca="false">C6*C7/100</f>
        <v>40.04770448</v>
      </c>
      <c r="D8" s="0" t="n">
        <f aca="false">D6*D7/100</f>
        <v>38.6038793448</v>
      </c>
      <c r="E8" s="0" t="n">
        <f aca="false">E6*E7/100</f>
        <v>39.845463572376</v>
      </c>
      <c r="F8" s="0" t="n">
        <f aca="false">F6*F7/100</f>
        <v>41.3029686872603</v>
      </c>
      <c r="G8" s="0" t="n">
        <f aca="false">G6*G7/100</f>
        <v>42.9974494539171</v>
      </c>
      <c r="H8" s="0" t="n">
        <f aca="false">H6*H7/100</f>
        <v>44.8656886326898</v>
      </c>
      <c r="I8" s="0" t="n">
        <f aca="false">I6*I7/100</f>
        <v>46.8791731957178</v>
      </c>
      <c r="J8" s="0" t="n">
        <f aca="false">J6*J7/100</f>
        <v>48.9552508658139</v>
      </c>
      <c r="K8" s="0" t="n">
        <f aca="false">K6*K7/100</f>
        <v>50.0322663848618</v>
      </c>
      <c r="L8" s="0" t="n">
        <f aca="false">L6*L7/100</f>
        <v>52.3221152277783</v>
      </c>
    </row>
    <row r="9" customFormat="false" ht="15" hidden="false" customHeight="false" outlineLevel="0" collapsed="false">
      <c r="A9" s="0" t="s">
        <v>122</v>
      </c>
      <c r="C9" s="4" t="n">
        <f aca="false">Assumptions!C15</f>
        <v>0</v>
      </c>
      <c r="D9" s="4" t="n">
        <f aca="false">Assumptions!D15</f>
        <v>0</v>
      </c>
      <c r="E9" s="4" t="n">
        <f aca="false">Assumptions!E15</f>
        <v>0</v>
      </c>
      <c r="F9" s="4" t="n">
        <f aca="false">Assumptions!F15</f>
        <v>0</v>
      </c>
      <c r="G9" s="4" t="n">
        <f aca="false">Assumptions!G15</f>
        <v>0</v>
      </c>
      <c r="H9" s="4" t="n">
        <f aca="false">Assumptions!H15</f>
        <v>0</v>
      </c>
      <c r="I9" s="4" t="n">
        <f aca="false">Assumptions!I15</f>
        <v>0</v>
      </c>
      <c r="J9" s="4" t="n">
        <f aca="false">Assumptions!J15</f>
        <v>0</v>
      </c>
      <c r="K9" s="4" t="n">
        <f aca="false">Assumptions!K15</f>
        <v>0</v>
      </c>
      <c r="L9" s="4" t="n">
        <f aca="false">Assumptions!L15</f>
        <v>0</v>
      </c>
    </row>
    <row r="10" customFormat="false" ht="15" hidden="false" customHeight="false" outlineLevel="0" collapsed="false">
      <c r="A10" s="0" t="s">
        <v>137</v>
      </c>
      <c r="C10" s="0" t="n">
        <f aca="false">-C6*C9/100</f>
        <v>-0</v>
      </c>
      <c r="D10" s="0" t="n">
        <f aca="false">-D6*D9/100</f>
        <v>-0</v>
      </c>
      <c r="E10" s="0" t="n">
        <f aca="false">-E6*E9/100</f>
        <v>-0</v>
      </c>
      <c r="F10" s="0" t="n">
        <f aca="false">-F6*F9/100</f>
        <v>-0</v>
      </c>
      <c r="G10" s="0" t="n">
        <f aca="false">-G6*G9/100</f>
        <v>-0</v>
      </c>
      <c r="H10" s="0" t="n">
        <f aca="false">-H6*H9/100</f>
        <v>-0</v>
      </c>
      <c r="I10" s="0" t="n">
        <f aca="false">-I6*I9/100</f>
        <v>-0</v>
      </c>
      <c r="J10" s="0" t="n">
        <f aca="false">-J6*J9/100</f>
        <v>-0</v>
      </c>
      <c r="K10" s="0" t="n">
        <f aca="false">-K6*K9/100</f>
        <v>-0</v>
      </c>
      <c r="L10" s="0" t="n">
        <f aca="false">-L6*L9/100</f>
        <v>-0</v>
      </c>
    </row>
    <row r="11" customFormat="false" ht="15" hidden="false" customHeight="false" outlineLevel="0" collapsed="false">
      <c r="A11" s="0" t="s">
        <v>138</v>
      </c>
      <c r="C11" s="0" t="n">
        <f aca="false">C8+C10+C24</f>
        <v>40.04770448</v>
      </c>
      <c r="D11" s="0" t="n">
        <f aca="false">D8+D10+D24</f>
        <v>38.6038793448</v>
      </c>
      <c r="E11" s="0" t="n">
        <f aca="false">E8+E10+E24</f>
        <v>39.845463572376</v>
      </c>
      <c r="F11" s="0" t="n">
        <f aca="false">F8+F10+F24</f>
        <v>41.3029686872603</v>
      </c>
      <c r="G11" s="0" t="n">
        <f aca="false">G8+G10+G24</f>
        <v>42.9974494539171</v>
      </c>
      <c r="H11" s="0" t="n">
        <f aca="false">H8+H10+H24</f>
        <v>44.8656886326898</v>
      </c>
      <c r="I11" s="0" t="n">
        <f aca="false">I8+I10+I24</f>
        <v>46.8791731957178</v>
      </c>
      <c r="J11" s="0" t="n">
        <f aca="false">J8+J10+J24</f>
        <v>48.9552508658139</v>
      </c>
      <c r="K11" s="0" t="n">
        <f aca="false">K8+K10+K24</f>
        <v>50.0322663848618</v>
      </c>
      <c r="L11" s="0" t="n">
        <f aca="false">L8+L10+L24</f>
        <v>52.3221152277783</v>
      </c>
    </row>
    <row r="12" customFormat="false" ht="15" hidden="false" customHeight="false" outlineLevel="0" collapsed="false">
      <c r="A12" s="0" t="s">
        <v>139</v>
      </c>
      <c r="C12" s="4" t="n">
        <f aca="false">-C6*Assumptions!C17/100</f>
        <v>-9.48498264</v>
      </c>
      <c r="D12" s="4" t="n">
        <f aca="false">-D6*Assumptions!D17/100</f>
        <v>-9.3901328136</v>
      </c>
      <c r="E12" s="4" t="n">
        <f aca="false">-E6*Assumptions!E17/100</f>
        <v>-9.437083477668</v>
      </c>
      <c r="F12" s="4" t="n">
        <f aca="false">-F6*Assumptions!F17/100</f>
        <v>-9.53145431244468</v>
      </c>
      <c r="G12" s="4" t="n">
        <f aca="false">-G6*Assumptions!G17/100</f>
        <v>-9.67442612713135</v>
      </c>
      <c r="H12" s="4" t="n">
        <f aca="false">-H6*Assumptions!H17/100</f>
        <v>-9.84856579741971</v>
      </c>
      <c r="I12" s="4" t="n">
        <f aca="false">-I6*Assumptions!I17/100</f>
        <v>-10.0455371133681</v>
      </c>
      <c r="J12" s="4" t="n">
        <f aca="false">-J6*Assumptions!J17/100</f>
        <v>-10.2464478556355</v>
      </c>
      <c r="K12" s="4" t="n">
        <f aca="false">-K6*Assumptions!K17/100</f>
        <v>-10.4718697084595</v>
      </c>
      <c r="L12" s="4" t="n">
        <f aca="false">-L6*Assumptions!L17/100</f>
        <v>-10.7022508420456</v>
      </c>
    </row>
    <row r="13" customFormat="false" ht="15" hidden="false" customHeight="false" outlineLevel="0" collapsed="false">
      <c r="A13" s="0" t="s">
        <v>140</v>
      </c>
      <c r="C13" s="0" t="n">
        <f aca="false">C11+C12</f>
        <v>30.56272184</v>
      </c>
      <c r="D13" s="0" t="n">
        <f aca="false">D11+D12</f>
        <v>29.2137465312</v>
      </c>
      <c r="E13" s="0" t="n">
        <f aca="false">E11+E12</f>
        <v>30.408380094708</v>
      </c>
      <c r="F13" s="0" t="n">
        <f aca="false">F11+F12</f>
        <v>31.7715143748156</v>
      </c>
      <c r="G13" s="0" t="n">
        <f aca="false">G11+G12</f>
        <v>33.3230233267858</v>
      </c>
      <c r="H13" s="0" t="n">
        <f aca="false">H11+H12</f>
        <v>35.0171228352701</v>
      </c>
      <c r="I13" s="0" t="n">
        <f aca="false">I11+I12</f>
        <v>36.8336360823497</v>
      </c>
      <c r="J13" s="0" t="n">
        <f aca="false">J11+J12</f>
        <v>38.7088030101784</v>
      </c>
      <c r="K13" s="0" t="n">
        <f aca="false">K11+K12</f>
        <v>39.5603966764024</v>
      </c>
      <c r="L13" s="0" t="n">
        <f aca="false">L11+L12</f>
        <v>41.6198643857327</v>
      </c>
    </row>
    <row r="14" customFormat="false" ht="15" hidden="false" customHeight="false" outlineLevel="0" collapsed="false">
      <c r="A14" s="0" t="s">
        <v>126</v>
      </c>
      <c r="C14" s="4" t="n">
        <f aca="false">Assumptions!C19</f>
        <v>28</v>
      </c>
      <c r="D14" s="4" t="n">
        <f aca="false">Assumptions!D19</f>
        <v>28</v>
      </c>
      <c r="E14" s="4" t="n">
        <f aca="false">Assumptions!E19</f>
        <v>28</v>
      </c>
      <c r="F14" s="4" t="n">
        <f aca="false">Assumptions!F19</f>
        <v>28</v>
      </c>
      <c r="G14" s="4" t="n">
        <f aca="false">Assumptions!G19</f>
        <v>28</v>
      </c>
      <c r="H14" s="4" t="n">
        <f aca="false">Assumptions!H19</f>
        <v>28</v>
      </c>
      <c r="I14" s="4" t="n">
        <f aca="false">Assumptions!I19</f>
        <v>28</v>
      </c>
      <c r="J14" s="4" t="n">
        <f aca="false">Assumptions!J19</f>
        <v>28</v>
      </c>
      <c r="K14" s="4" t="n">
        <f aca="false">Assumptions!K19</f>
        <v>28</v>
      </c>
      <c r="L14" s="4" t="n">
        <f aca="false">Assumptions!L19</f>
        <v>28</v>
      </c>
    </row>
    <row r="15" customFormat="false" ht="15" hidden="false" customHeight="false" outlineLevel="0" collapsed="false">
      <c r="A15" s="0" t="s">
        <v>141</v>
      </c>
      <c r="C15" s="0" t="n">
        <f aca="false">C13-MAX(0,C13)*C14/100</f>
        <v>22.0051597248</v>
      </c>
      <c r="D15" s="0" t="n">
        <f aca="false">D13-MAX(0,D13)*D14/100</f>
        <v>21.033897502464</v>
      </c>
      <c r="E15" s="0" t="n">
        <f aca="false">E13-MAX(0,E13)*E14/100</f>
        <v>21.8940336681898</v>
      </c>
      <c r="F15" s="0" t="n">
        <f aca="false">F13-MAX(0,F13)*F14/100</f>
        <v>22.8754903498672</v>
      </c>
      <c r="G15" s="0" t="n">
        <f aca="false">G13-MAX(0,G13)*G14/100</f>
        <v>23.9925767952857</v>
      </c>
      <c r="H15" s="0" t="n">
        <f aca="false">H13-MAX(0,H13)*H14/100</f>
        <v>25.2123284413945</v>
      </c>
      <c r="I15" s="0" t="n">
        <f aca="false">I13-MAX(0,I13)*I14/100</f>
        <v>26.5202179792918</v>
      </c>
      <c r="J15" s="0" t="n">
        <f aca="false">J13-MAX(0,J13)*J14/100</f>
        <v>27.8703381673285</v>
      </c>
      <c r="K15" s="0" t="n">
        <f aca="false">K13-MAX(0,K13)*K14/100</f>
        <v>28.4834856070097</v>
      </c>
      <c r="L15" s="0" t="n">
        <f aca="false">L13-MAX(0,L13)*L14/100</f>
        <v>29.9663023577276</v>
      </c>
    </row>
    <row r="16" customFormat="false" ht="15" hidden="false" customHeight="false" outlineLevel="0" collapsed="false">
      <c r="A16" s="0" t="s">
        <v>142</v>
      </c>
      <c r="C16" s="0" t="n">
        <f aca="false">-C12</f>
        <v>9.48498264</v>
      </c>
      <c r="D16" s="0" t="n">
        <f aca="false">-D12</f>
        <v>9.3901328136</v>
      </c>
      <c r="E16" s="0" t="n">
        <f aca="false">-E12</f>
        <v>9.437083477668</v>
      </c>
      <c r="F16" s="0" t="n">
        <f aca="false">-F12</f>
        <v>9.53145431244468</v>
      </c>
      <c r="G16" s="0" t="n">
        <f aca="false">-G12</f>
        <v>9.67442612713135</v>
      </c>
      <c r="H16" s="0" t="n">
        <f aca="false">-H12</f>
        <v>9.84856579741971</v>
      </c>
      <c r="I16" s="0" t="n">
        <f aca="false">-I12</f>
        <v>10.0455371133681</v>
      </c>
      <c r="J16" s="0" t="n">
        <f aca="false">-J12</f>
        <v>10.2464478556355</v>
      </c>
      <c r="K16" s="0" t="n">
        <f aca="false">-K12</f>
        <v>10.4718697084595</v>
      </c>
      <c r="L16" s="0" t="n">
        <f aca="false">-L12</f>
        <v>10.7022508420456</v>
      </c>
    </row>
    <row r="17" customFormat="false" ht="15" hidden="false" customHeight="false" outlineLevel="0" collapsed="false">
      <c r="A17" s="0" t="s">
        <v>143</v>
      </c>
      <c r="C17" s="4" t="n">
        <f aca="false">-C6*Assumptions!C18/100</f>
        <v>-14.75441744</v>
      </c>
      <c r="D17" s="4" t="n">
        <f aca="false">-D6*Assumptions!D18/100</f>
        <v>-14.6068732656</v>
      </c>
      <c r="E17" s="4" t="n">
        <f aca="false">-E6*Assumptions!E18/100</f>
        <v>-15.72847246278</v>
      </c>
      <c r="F17" s="4" t="n">
        <f aca="false">-F6*Assumptions!F18/100</f>
        <v>-15.8857571874078</v>
      </c>
      <c r="G17" s="4" t="n">
        <f aca="false">-G6*Assumptions!G18/100</f>
        <v>-17.1989797815668</v>
      </c>
      <c r="H17" s="4" t="n">
        <f aca="false">-H6*Assumptions!H18/100</f>
        <v>-17.508561417635</v>
      </c>
      <c r="I17" s="4" t="n">
        <f aca="false">-I6*Assumptions!I18/100</f>
        <v>-18.974903436362</v>
      </c>
      <c r="J17" s="4" t="n">
        <f aca="false">-J6*Assumptions!J18/100</f>
        <v>-19.3544015050892</v>
      </c>
      <c r="K17" s="4" t="n">
        <f aca="false">-K6*Assumptions!K18/100</f>
        <v>-19.7801983382012</v>
      </c>
      <c r="L17" s="4" t="n">
        <f aca="false">-L6*Assumptions!L18/100</f>
        <v>-20.2153627016416</v>
      </c>
    </row>
    <row r="18" customFormat="false" ht="15" hidden="false" customHeight="false" outlineLevel="0" collapsed="false">
      <c r="A18" s="0" t="s">
        <v>144</v>
      </c>
      <c r="C18" s="4" t="n">
        <f aca="false">(C6-B6)*Assumptions!$B$23/100</f>
        <v>1.92588480000001</v>
      </c>
      <c r="D18" s="4" t="n">
        <f aca="false">(D6-C6)*Assumptions!$B$23/100</f>
        <v>1.264664352</v>
      </c>
      <c r="E18" s="4" t="n">
        <f aca="false">(E6-D6)*Assumptions!$B$23/100</f>
        <v>-0.626008854239981</v>
      </c>
      <c r="F18" s="4" t="n">
        <f aca="false">(F6-E6)*Assumptions!$B$23/100</f>
        <v>-1.2582777970224</v>
      </c>
      <c r="G18" s="4" t="n">
        <f aca="false">(G6-F6)*Assumptions!$B$23/100</f>
        <v>-1.90629086248893</v>
      </c>
      <c r="H18" s="4" t="n">
        <f aca="false">(H6-G6)*Assumptions!$B$23/100</f>
        <v>-2.32186227051153</v>
      </c>
      <c r="I18" s="4" t="n">
        <f aca="false">(I6-H6)*Assumptions!$B$23/100</f>
        <v>-2.62628421264526</v>
      </c>
      <c r="J18" s="4" t="n">
        <f aca="false">(J6-I6)*Assumptions!$B$23/100</f>
        <v>-2.67880989689817</v>
      </c>
      <c r="K18" s="4" t="n">
        <f aca="false">(K6-J6)*Assumptions!$B$23/100</f>
        <v>-3.00562470431974</v>
      </c>
      <c r="L18" s="4" t="n">
        <f aca="false">(L6-K6)*Assumptions!$B$23/100</f>
        <v>-3.07174844781477</v>
      </c>
    </row>
    <row r="19" customFormat="false" ht="15" hidden="false" customHeight="false" outlineLevel="0" collapsed="false">
      <c r="A19" s="0" t="s">
        <v>145</v>
      </c>
      <c r="C19" s="0" t="n">
        <f aca="false">C15+C16+C17+C18</f>
        <v>18.6616097248</v>
      </c>
      <c r="D19" s="0" t="n">
        <f aca="false">D15+D16+D17+D18</f>
        <v>17.081821402464</v>
      </c>
      <c r="E19" s="0" t="n">
        <f aca="false">E15+E16+E17+E18</f>
        <v>14.9766358288378</v>
      </c>
      <c r="F19" s="0" t="n">
        <f aca="false">F15+F16+F17+F18</f>
        <v>15.2629096778817</v>
      </c>
      <c r="G19" s="0" t="n">
        <f aca="false">G15+G16+G17+G18</f>
        <v>14.5617322783613</v>
      </c>
      <c r="H19" s="0" t="n">
        <f aca="false">H15+H16+H17+H18</f>
        <v>15.2304705506676</v>
      </c>
      <c r="I19" s="0" t="n">
        <f aca="false">I15+I16+I17+I18</f>
        <v>14.9645674436527</v>
      </c>
      <c r="J19" s="0" t="n">
        <f aca="false">J15+J16+J17+J18</f>
        <v>16.0835746209766</v>
      </c>
      <c r="K19" s="0" t="n">
        <f aca="false">K15+K16+K17+K18</f>
        <v>16.1695322729482</v>
      </c>
      <c r="L19" s="0" t="n">
        <f aca="false">L15+L16+L17+L18</f>
        <v>17.3814420503167</v>
      </c>
    </row>
    <row r="20" customFormat="false" ht="15" hidden="false" customHeight="false" outlineLevel="0" collapsed="false">
      <c r="A20" s="0" t="s">
        <v>146</v>
      </c>
      <c r="C20" s="0" t="n">
        <f aca="false">1/(1+$B$27/100)^C4</f>
        <v>0.881057268722467</v>
      </c>
      <c r="D20" s="0" t="n">
        <f aca="false">1/(1+$B$27/100)^D4</f>
        <v>0.776261910768693</v>
      </c>
      <c r="E20" s="0" t="n">
        <f aca="false">1/(1+$B$27/100)^E4</f>
        <v>0.683931198915148</v>
      </c>
      <c r="F20" s="0" t="n">
        <f aca="false">1/(1+$B$27/100)^F4</f>
        <v>0.602582554110263</v>
      </c>
      <c r="G20" s="0" t="n">
        <f aca="false">1/(1+$B$27/100)^G4</f>
        <v>0.530909739304196</v>
      </c>
      <c r="H20" s="0" t="n">
        <f aca="false">1/(1+$B$27/100)^H4</f>
        <v>0.467761884849512</v>
      </c>
      <c r="I20" s="0" t="n">
        <f aca="false">1/(1+$B$27/100)^I4</f>
        <v>0.412125008677984</v>
      </c>
      <c r="J20" s="0" t="n">
        <f aca="false">1/(1+$B$27/100)^J4</f>
        <v>0.363105734518048</v>
      </c>
      <c r="K20" s="0" t="n">
        <f aca="false">1/(1+$B$27/100)^K4</f>
        <v>0.319916946711936</v>
      </c>
      <c r="L20" s="0" t="n">
        <f aca="false">1/(1+$B$27/100)^L4</f>
        <v>0.28186515128805</v>
      </c>
    </row>
    <row r="21" customFormat="false" ht="15" hidden="false" customHeight="false" outlineLevel="0" collapsed="false">
      <c r="A21" s="0" t="s">
        <v>147</v>
      </c>
      <c r="C21" s="0" t="n">
        <f aca="false">C19*C20</f>
        <v>16.4419468940969</v>
      </c>
      <c r="D21" s="0" t="n">
        <f aca="false">D19*D20</f>
        <v>13.2599673212863</v>
      </c>
      <c r="E21" s="0" t="n">
        <f aca="false">E19*E20</f>
        <v>10.2429884981326</v>
      </c>
      <c r="F21" s="0" t="n">
        <f aca="false">F19*F20</f>
        <v>9.19716309685221</v>
      </c>
      <c r="G21" s="0" t="n">
        <f aca="false">G19*G20</f>
        <v>7.73096548772231</v>
      </c>
      <c r="H21" s="0" t="n">
        <f aca="false">H19*H20</f>
        <v>7.12423361192526</v>
      </c>
      <c r="I21" s="0" t="n">
        <f aca="false">I19*I20</f>
        <v>6.16727248757764</v>
      </c>
      <c r="J21" s="0" t="n">
        <f aca="false">J19*J20</f>
        <v>5.84003817642552</v>
      </c>
      <c r="K21" s="0" t="n">
        <f aca="false">K19*K20</f>
        <v>5.17290739452171</v>
      </c>
      <c r="L21" s="0" t="n">
        <f aca="false">L19*L20</f>
        <v>4.899222793117</v>
      </c>
    </row>
    <row r="23" customFormat="false" ht="15" hidden="false" customHeight="false" outlineLevel="0" collapsed="false">
      <c r="A23" s="0" t="s">
        <v>123</v>
      </c>
      <c r="C23" s="4" t="n">
        <f aca="false">Assumptions!C16</f>
        <v>0</v>
      </c>
      <c r="D23" s="4" t="n">
        <f aca="false">Assumptions!D16</f>
        <v>0</v>
      </c>
      <c r="E23" s="4" t="n">
        <f aca="false">Assumptions!E16</f>
        <v>0</v>
      </c>
      <c r="F23" s="4" t="n">
        <f aca="false">Assumptions!F16</f>
        <v>0</v>
      </c>
      <c r="G23" s="4" t="n">
        <f aca="false">Assumptions!G16</f>
        <v>0</v>
      </c>
      <c r="H23" s="4" t="n">
        <f aca="false">Assumptions!H16</f>
        <v>0</v>
      </c>
      <c r="I23" s="4" t="n">
        <f aca="false">Assumptions!I16</f>
        <v>0</v>
      </c>
      <c r="J23" s="4" t="n">
        <f aca="false">Assumptions!J16</f>
        <v>0</v>
      </c>
      <c r="K23" s="4" t="n">
        <f aca="false">Assumptions!K16</f>
        <v>0</v>
      </c>
      <c r="L23" s="4" t="n">
        <f aca="false">Assumptions!L16</f>
        <v>0</v>
      </c>
    </row>
    <row r="24" customFormat="false" ht="15" hidden="false" customHeight="false" outlineLevel="0" collapsed="false">
      <c r="A24" s="0" t="s">
        <v>148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149</v>
      </c>
    </row>
    <row r="27" customFormat="false" ht="15" hidden="false" customHeight="false" outlineLevel="0" collapsed="false">
      <c r="A27" s="0" t="s">
        <v>127</v>
      </c>
      <c r="B27" s="4" t="n">
        <f aca="false">Assumptions!$B$20</f>
        <v>13.5</v>
      </c>
    </row>
    <row r="28" customFormat="false" ht="15" hidden="false" customHeight="false" outlineLevel="0" collapsed="false">
      <c r="A28" s="0" t="s">
        <v>128</v>
      </c>
      <c r="B28" s="4" t="n">
        <f aca="false">Assumptions!$B$21</f>
        <v>1.5</v>
      </c>
    </row>
    <row r="29" customFormat="false" ht="15" hidden="false" customHeight="false" outlineLevel="0" collapsed="false">
      <c r="A29" s="0" t="s">
        <v>129</v>
      </c>
      <c r="B29" s="4" t="n">
        <f aca="false">Assumptions!$B$22</f>
        <v>10</v>
      </c>
    </row>
    <row r="30" customFormat="false" ht="15" hidden="false" customHeight="false" outlineLevel="0" collapsed="false">
      <c r="A30" s="0" t="s">
        <v>150</v>
      </c>
      <c r="B30" s="0" t="n">
        <f aca="false">SUM(C21:L21)</f>
        <v>86.0767057616574</v>
      </c>
    </row>
    <row r="31" customFormat="false" ht="15" hidden="false" customHeight="false" outlineLevel="0" collapsed="false">
      <c r="A31" s="0" t="s">
        <v>151</v>
      </c>
      <c r="B31" s="0" t="n">
        <f aca="false">L19</f>
        <v>17.3814420503167</v>
      </c>
    </row>
    <row r="32" customFormat="false" ht="15" hidden="false" customHeight="false" outlineLevel="0" collapsed="false">
      <c r="A32" s="0" t="s">
        <v>152</v>
      </c>
      <c r="B32" s="0" t="n">
        <f aca="false">IF(B27&gt;B28,B31*(1+B28/100)/((B27-B28)/100),B31*B29)</f>
        <v>147.018030675596</v>
      </c>
    </row>
    <row r="33" customFormat="false" ht="15" hidden="false" customHeight="false" outlineLevel="0" collapsed="false">
      <c r="A33" s="0" t="s">
        <v>153</v>
      </c>
      <c r="B33" s="0" t="n">
        <f aca="false">B31*B29</f>
        <v>173.814420503167</v>
      </c>
    </row>
    <row r="34" customFormat="false" ht="15" hidden="false" customHeight="false" outlineLevel="0" collapsed="false">
      <c r="A34" s="0" t="s">
        <v>154</v>
      </c>
      <c r="B34" s="0" t="n">
        <f aca="false">MAX(0,MIN(B32,B33))</f>
        <v>147.018030675596</v>
      </c>
    </row>
    <row r="35" customFormat="false" ht="15" hidden="false" customHeight="false" outlineLevel="0" collapsed="false">
      <c r="A35" s="0" t="s">
        <v>155</v>
      </c>
      <c r="B35" s="0" t="n">
        <f aca="false">B34/(1+B27/100)^L4</f>
        <v>41.4392594584479</v>
      </c>
    </row>
    <row r="36" customFormat="false" ht="15" hidden="false" customHeight="false" outlineLevel="0" collapsed="false">
      <c r="A36" s="0" t="s">
        <v>156</v>
      </c>
      <c r="B36" s="0" t="n">
        <f aca="false">B30+B35</f>
        <v>127.515965220105</v>
      </c>
    </row>
    <row r="37" customFormat="false" ht="15" hidden="false" customHeight="false" outlineLevel="0" collapsed="false">
      <c r="A37" s="0" t="s">
        <v>157</v>
      </c>
      <c r="B37" s="0" t="n">
        <f aca="false">B36+Assumptions!$B$5-Assumptions!$B$4</f>
        <v>178.535965220105</v>
      </c>
    </row>
    <row r="38" customFormat="false" ht="15" hidden="false" customHeight="false" outlineLevel="0" collapsed="false">
      <c r="A38" s="0" t="s">
        <v>158</v>
      </c>
      <c r="B38" s="0" t="n">
        <f aca="false">B37/Assumptions!$B$3*Assumptions!$B$10</f>
        <v>5.46065041199282</v>
      </c>
    </row>
    <row r="39" customFormat="false" ht="15" hidden="false" customHeight="false" outlineLevel="0" collapsed="false">
      <c r="A39" s="0" t="s">
        <v>159</v>
      </c>
      <c r="B39" s="4" t="n">
        <f aca="false">B38/Assumptions!$B$2-1</f>
        <v>-0.252988999727384</v>
      </c>
    </row>
    <row r="41" customFormat="false" ht="15" hidden="false" customHeight="false" outlineLevel="0" collapsed="false">
      <c r="A41" s="0" t="s">
        <v>160</v>
      </c>
      <c r="B41" s="0" t="n">
        <f aca="false">SUMPRODUCT(-C10:L10/(1+$B$27/100)^C4:L4)</f>
        <v>0</v>
      </c>
    </row>
    <row r="42" customFormat="false" ht="15" hidden="false" customHeight="false" outlineLevel="0" collapsed="false">
      <c r="A42" s="0" t="s">
        <v>161</v>
      </c>
      <c r="B42" s="0" t="n">
        <f aca="false">IF(B27&gt;B28,-L10*(1+B28/100)/((B27-B28)/100),-L10*20)/(1+B27/100)^L4</f>
        <v>0</v>
      </c>
    </row>
    <row r="43" customFormat="false" ht="15" hidden="false" customHeight="false" outlineLevel="0" collapsed="false">
      <c r="A43" s="0" t="s">
        <v>162</v>
      </c>
      <c r="B43" s="0" t="n">
        <f aca="false">(B37+B41+B42)/Assumptions!$B$3*Assumptions!$B$10</f>
        <v>5.46065041199282</v>
      </c>
    </row>
    <row r="45" customFormat="false" ht="15" hidden="false" customHeight="false" outlineLevel="0" collapsed="false">
      <c r="A45" s="0" t="s">
        <v>103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163</v>
      </c>
      <c r="B46" s="0" t="n">
        <f aca="false">MAX(0,MIN(IF(B45&gt;B28,B31*(1+B28/100)/((B45-B28)/100),B31*B29),B31*B29))</f>
        <v>130.682693933863</v>
      </c>
    </row>
    <row r="47" customFormat="false" ht="15" hidden="false" customHeight="false" outlineLevel="0" collapsed="false">
      <c r="A47" s="0" t="s">
        <v>164</v>
      </c>
      <c r="B47" s="0" t="n">
        <f aca="false">(SUMPRODUCT(C19:L19/(1+B45/100)^C4:L4)+B46/(1+B45/100)^L4+Assumptions!$B$5-Assumptions!$B$4)/Assumptions!$B$3*Assumptions!$B$10</f>
        <v>5.03566810786951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165</v>
      </c>
    </row>
    <row r="3" customFormat="false" ht="15" hidden="false" customHeight="false" outlineLevel="0" collapsed="false">
      <c r="A3" s="0" t="s">
        <v>135</v>
      </c>
      <c r="B3" s="0" t="s">
        <v>97</v>
      </c>
      <c r="C3" s="2" t="s">
        <v>110</v>
      </c>
      <c r="D3" s="2" t="s">
        <v>111</v>
      </c>
      <c r="E3" s="2" t="s">
        <v>112</v>
      </c>
      <c r="F3" s="2" t="s">
        <v>113</v>
      </c>
      <c r="G3" s="2" t="s">
        <v>114</v>
      </c>
      <c r="H3" s="2" t="s">
        <v>115</v>
      </c>
      <c r="I3" s="2" t="s">
        <v>116</v>
      </c>
      <c r="J3" s="2" t="s">
        <v>117</v>
      </c>
      <c r="K3" s="2" t="s">
        <v>118</v>
      </c>
      <c r="L3" s="2" t="s">
        <v>119</v>
      </c>
    </row>
    <row r="4" customFormat="false" ht="15" hidden="false" customHeight="false" outlineLevel="0" collapsed="false">
      <c r="A4" s="0" t="s">
        <v>136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120</v>
      </c>
      <c r="C5" s="4" t="n">
        <f aca="false">Assumptions!C27</f>
        <v>3.5</v>
      </c>
      <c r="D5" s="4" t="n">
        <f aca="false">Assumptions!D27</f>
        <v>3.5</v>
      </c>
      <c r="E5" s="4" t="n">
        <f aca="false">Assumptions!E27</f>
        <v>3</v>
      </c>
      <c r="F5" s="4" t="n">
        <f aca="false">Assumptions!F27</f>
        <v>3</v>
      </c>
      <c r="G5" s="4" t="n">
        <f aca="false">Assumptions!G27</f>
        <v>2.8</v>
      </c>
      <c r="H5" s="4" t="n">
        <f aca="false">Assumptions!H27</f>
        <v>2.5</v>
      </c>
      <c r="I5" s="4" t="n">
        <f aca="false">Assumptions!I27</f>
        <v>2.5</v>
      </c>
      <c r="J5" s="4" t="n">
        <f aca="false">Assumptions!J27</f>
        <v>2.5</v>
      </c>
      <c r="K5" s="4" t="n">
        <f aca="false">Assumptions!K27</f>
        <v>2.5</v>
      </c>
      <c r="L5" s="4" t="n">
        <f aca="false">Assumptions!L27</f>
        <v>2.5</v>
      </c>
    </row>
    <row r="6" customFormat="false" ht="15" hidden="false" customHeight="false" outlineLevel="0" collapsed="false">
      <c r="A6" s="0" t="s">
        <v>60</v>
      </c>
      <c r="B6" s="3" t="n">
        <v>1069.936</v>
      </c>
      <c r="C6" s="0" t="n">
        <f aca="false">B6*(1+C5/100)</f>
        <v>1107.38376</v>
      </c>
      <c r="D6" s="0" t="n">
        <f aca="false">C6*(1+D5/100)</f>
        <v>1146.1421916</v>
      </c>
      <c r="E6" s="0" t="n">
        <f aca="false">D6*(1+E5/100)</f>
        <v>1180.526457348</v>
      </c>
      <c r="F6" s="0" t="n">
        <f aca="false">E6*(1+F5/100)</f>
        <v>1215.94225106844</v>
      </c>
      <c r="G6" s="0" t="n">
        <f aca="false">F6*(1+G5/100)</f>
        <v>1249.98863409836</v>
      </c>
      <c r="H6" s="0" t="n">
        <f aca="false">G6*(1+H5/100)</f>
        <v>1281.23834995082</v>
      </c>
      <c r="I6" s="0" t="n">
        <f aca="false">H6*(1+I5/100)</f>
        <v>1313.26930869959</v>
      </c>
      <c r="J6" s="0" t="n">
        <f aca="false">I6*(1+J5/100)</f>
        <v>1346.10104141707</v>
      </c>
      <c r="K6" s="0" t="n">
        <f aca="false">J6*(1+K5/100)</f>
        <v>1379.7535674525</v>
      </c>
      <c r="L6" s="0" t="n">
        <f aca="false">K6*(1+L5/100)</f>
        <v>1414.24740663881</v>
      </c>
    </row>
    <row r="7" customFormat="false" ht="15" hidden="false" customHeight="false" outlineLevel="0" collapsed="false">
      <c r="A7" s="0" t="s">
        <v>121</v>
      </c>
      <c r="C7" s="4" t="n">
        <f aca="false">Assumptions!C28</f>
        <v>4.5</v>
      </c>
      <c r="D7" s="4" t="n">
        <f aca="false">Assumptions!D28</f>
        <v>4.6</v>
      </c>
      <c r="E7" s="4" t="n">
        <f aca="false">Assumptions!E28</f>
        <v>4.8</v>
      </c>
      <c r="F7" s="4" t="n">
        <f aca="false">Assumptions!F28</f>
        <v>4.9</v>
      </c>
      <c r="G7" s="4" t="n">
        <f aca="false">Assumptions!G28</f>
        <v>5</v>
      </c>
      <c r="H7" s="4" t="n">
        <f aca="false">Assumptions!H28</f>
        <v>5</v>
      </c>
      <c r="I7" s="4" t="n">
        <f aca="false">Assumptions!I28</f>
        <v>5.1</v>
      </c>
      <c r="J7" s="4" t="n">
        <f aca="false">Assumptions!J28</f>
        <v>5.1</v>
      </c>
      <c r="K7" s="4" t="n">
        <f aca="false">Assumptions!K28</f>
        <v>5.2</v>
      </c>
      <c r="L7" s="4" t="n">
        <f aca="false">Assumptions!L28</f>
        <v>5.2</v>
      </c>
    </row>
    <row r="8" customFormat="false" ht="15" hidden="false" customHeight="false" outlineLevel="0" collapsed="false">
      <c r="A8" s="0" t="s">
        <v>66</v>
      </c>
      <c r="C8" s="0" t="n">
        <f aca="false">C6*C7/100</f>
        <v>49.8322692</v>
      </c>
      <c r="D8" s="0" t="n">
        <f aca="false">D6*D7/100</f>
        <v>52.7225408136</v>
      </c>
      <c r="E8" s="0" t="n">
        <f aca="false">E6*E7/100</f>
        <v>56.665269952704</v>
      </c>
      <c r="F8" s="0" t="n">
        <f aca="false">F6*F7/100</f>
        <v>59.5811703023536</v>
      </c>
      <c r="G8" s="0" t="n">
        <f aca="false">G6*G7/100</f>
        <v>62.4994317049178</v>
      </c>
      <c r="H8" s="0" t="n">
        <f aca="false">H6*H7/100</f>
        <v>64.0619174975408</v>
      </c>
      <c r="I8" s="0" t="n">
        <f aca="false">I6*I7/100</f>
        <v>66.9767347436789</v>
      </c>
      <c r="J8" s="0" t="n">
        <f aca="false">J6*J7/100</f>
        <v>68.6511531122708</v>
      </c>
      <c r="K8" s="0" t="n">
        <f aca="false">K6*K7/100</f>
        <v>71.7471855075301</v>
      </c>
      <c r="L8" s="0" t="n">
        <f aca="false">L6*L7/100</f>
        <v>73.5408651452183</v>
      </c>
    </row>
    <row r="9" customFormat="false" ht="15" hidden="false" customHeight="false" outlineLevel="0" collapsed="false">
      <c r="A9" s="0" t="s">
        <v>122</v>
      </c>
      <c r="C9" s="4" t="n">
        <f aca="false">Assumptions!C29</f>
        <v>0</v>
      </c>
      <c r="D9" s="4" t="n">
        <f aca="false">Assumptions!D29</f>
        <v>0</v>
      </c>
      <c r="E9" s="4" t="n">
        <f aca="false">Assumptions!E29</f>
        <v>0</v>
      </c>
      <c r="F9" s="4" t="n">
        <f aca="false">Assumptions!F29</f>
        <v>0</v>
      </c>
      <c r="G9" s="4" t="n">
        <f aca="false">Assumptions!G29</f>
        <v>0</v>
      </c>
      <c r="H9" s="4" t="n">
        <f aca="false">Assumptions!H29</f>
        <v>0</v>
      </c>
      <c r="I9" s="4" t="n">
        <f aca="false">Assumptions!I29</f>
        <v>0</v>
      </c>
      <c r="J9" s="4" t="n">
        <f aca="false">Assumptions!J29</f>
        <v>0</v>
      </c>
      <c r="K9" s="4" t="n">
        <f aca="false">Assumptions!K29</f>
        <v>0</v>
      </c>
      <c r="L9" s="4" t="n">
        <f aca="false">Assumptions!L29</f>
        <v>0</v>
      </c>
    </row>
    <row r="10" customFormat="false" ht="15" hidden="false" customHeight="false" outlineLevel="0" collapsed="false">
      <c r="A10" s="0" t="s">
        <v>137</v>
      </c>
      <c r="C10" s="0" t="n">
        <f aca="false">-C6*C9/100</f>
        <v>-0</v>
      </c>
      <c r="D10" s="0" t="n">
        <f aca="false">-D6*D9/100</f>
        <v>-0</v>
      </c>
      <c r="E10" s="0" t="n">
        <f aca="false">-E6*E9/100</f>
        <v>-0</v>
      </c>
      <c r="F10" s="0" t="n">
        <f aca="false">-F6*F9/100</f>
        <v>-0</v>
      </c>
      <c r="G10" s="0" t="n">
        <f aca="false">-G6*G9/100</f>
        <v>-0</v>
      </c>
      <c r="H10" s="0" t="n">
        <f aca="false">-H6*H9/100</f>
        <v>-0</v>
      </c>
      <c r="I10" s="0" t="n">
        <f aca="false">-I6*I9/100</f>
        <v>-0</v>
      </c>
      <c r="J10" s="0" t="n">
        <f aca="false">-J6*J9/100</f>
        <v>-0</v>
      </c>
      <c r="K10" s="0" t="n">
        <f aca="false">-K6*K9/100</f>
        <v>-0</v>
      </c>
      <c r="L10" s="0" t="n">
        <f aca="false">-L6*L9/100</f>
        <v>-0</v>
      </c>
    </row>
    <row r="11" customFormat="false" ht="15" hidden="false" customHeight="false" outlineLevel="0" collapsed="false">
      <c r="A11" s="0" t="s">
        <v>138</v>
      </c>
      <c r="C11" s="0" t="n">
        <f aca="false">C8+C10+C24</f>
        <v>49.8322692</v>
      </c>
      <c r="D11" s="0" t="n">
        <f aca="false">D8+D10+D24</f>
        <v>52.7225408136</v>
      </c>
      <c r="E11" s="0" t="n">
        <f aca="false">E8+E10+E24</f>
        <v>56.665269952704</v>
      </c>
      <c r="F11" s="0" t="n">
        <f aca="false">F8+F10+F24</f>
        <v>59.5811703023536</v>
      </c>
      <c r="G11" s="0" t="n">
        <f aca="false">G8+G10+G24</f>
        <v>62.4994317049178</v>
      </c>
      <c r="H11" s="0" t="n">
        <f aca="false">H8+H10+H24</f>
        <v>64.0619174975408</v>
      </c>
      <c r="I11" s="0" t="n">
        <f aca="false">I8+I10+I24</f>
        <v>66.9767347436789</v>
      </c>
      <c r="J11" s="0" t="n">
        <f aca="false">J8+J10+J24</f>
        <v>68.6511531122708</v>
      </c>
      <c r="K11" s="0" t="n">
        <f aca="false">K8+K10+K24</f>
        <v>71.7471855075301</v>
      </c>
      <c r="L11" s="0" t="n">
        <f aca="false">L8+L10+L24</f>
        <v>73.5408651452183</v>
      </c>
    </row>
    <row r="12" customFormat="false" ht="15" hidden="false" customHeight="false" outlineLevel="0" collapsed="false">
      <c r="A12" s="0" t="s">
        <v>139</v>
      </c>
      <c r="C12" s="4" t="n">
        <f aca="false">-C6*Assumptions!C31/100</f>
        <v>-9.96645384</v>
      </c>
      <c r="D12" s="4" t="n">
        <f aca="false">-D6*Assumptions!D31/100</f>
        <v>-10.3152797244</v>
      </c>
      <c r="E12" s="4" t="n">
        <f aca="false">-E6*Assumptions!E31/100</f>
        <v>-10.624738116132</v>
      </c>
      <c r="F12" s="4" t="n">
        <f aca="false">-F6*Assumptions!F31/100</f>
        <v>-10.943480259616</v>
      </c>
      <c r="G12" s="4" t="n">
        <f aca="false">-G6*Assumptions!G31/100</f>
        <v>-11.2498977068852</v>
      </c>
      <c r="H12" s="4" t="n">
        <f aca="false">-H6*Assumptions!H31/100</f>
        <v>-11.5311451495573</v>
      </c>
      <c r="I12" s="4" t="n">
        <f aca="false">-I6*Assumptions!I31/100</f>
        <v>-11.8194237782963</v>
      </c>
      <c r="J12" s="4" t="n">
        <f aca="false">-J6*Assumptions!J31/100</f>
        <v>-12.1149093727537</v>
      </c>
      <c r="K12" s="4" t="n">
        <f aca="false">-K6*Assumptions!K31/100</f>
        <v>-12.4177821070725</v>
      </c>
      <c r="L12" s="4" t="n">
        <f aca="false">-L6*Assumptions!L31/100</f>
        <v>-12.7282266597493</v>
      </c>
    </row>
    <row r="13" customFormat="false" ht="15" hidden="false" customHeight="false" outlineLevel="0" collapsed="false">
      <c r="A13" s="0" t="s">
        <v>140</v>
      </c>
      <c r="C13" s="0" t="n">
        <f aca="false">C11+C12</f>
        <v>39.86581536</v>
      </c>
      <c r="D13" s="0" t="n">
        <f aca="false">D11+D12</f>
        <v>42.4072610892</v>
      </c>
      <c r="E13" s="0" t="n">
        <f aca="false">E11+E12</f>
        <v>46.040531836572</v>
      </c>
      <c r="F13" s="0" t="n">
        <f aca="false">F11+F12</f>
        <v>48.6376900427376</v>
      </c>
      <c r="G13" s="0" t="n">
        <f aca="false">G11+G12</f>
        <v>51.2495339980326</v>
      </c>
      <c r="H13" s="0" t="n">
        <f aca="false">H11+H12</f>
        <v>52.5307723479834</v>
      </c>
      <c r="I13" s="0" t="n">
        <f aca="false">I11+I12</f>
        <v>55.1573109653826</v>
      </c>
      <c r="J13" s="0" t="n">
        <f aca="false">J11+J12</f>
        <v>56.5362437395172</v>
      </c>
      <c r="K13" s="0" t="n">
        <f aca="false">K11+K12</f>
        <v>59.3294034004576</v>
      </c>
      <c r="L13" s="0" t="n">
        <f aca="false">L11+L12</f>
        <v>60.812638485469</v>
      </c>
    </row>
    <row r="14" customFormat="false" ht="15" hidden="false" customHeight="false" outlineLevel="0" collapsed="false">
      <c r="A14" s="0" t="s">
        <v>126</v>
      </c>
      <c r="C14" s="4" t="n">
        <f aca="false">Assumptions!C33</f>
        <v>28</v>
      </c>
      <c r="D14" s="4" t="n">
        <f aca="false">Assumptions!D33</f>
        <v>28</v>
      </c>
      <c r="E14" s="4" t="n">
        <f aca="false">Assumptions!E33</f>
        <v>28</v>
      </c>
      <c r="F14" s="4" t="n">
        <f aca="false">Assumptions!F33</f>
        <v>28</v>
      </c>
      <c r="G14" s="4" t="n">
        <f aca="false">Assumptions!G33</f>
        <v>28</v>
      </c>
      <c r="H14" s="4" t="n">
        <f aca="false">Assumptions!H33</f>
        <v>28</v>
      </c>
      <c r="I14" s="4" t="n">
        <f aca="false">Assumptions!I33</f>
        <v>28</v>
      </c>
      <c r="J14" s="4" t="n">
        <f aca="false">Assumptions!J33</f>
        <v>28</v>
      </c>
      <c r="K14" s="4" t="n">
        <f aca="false">Assumptions!K33</f>
        <v>28</v>
      </c>
      <c r="L14" s="4" t="n">
        <f aca="false">Assumptions!L33</f>
        <v>28</v>
      </c>
    </row>
    <row r="15" customFormat="false" ht="15" hidden="false" customHeight="false" outlineLevel="0" collapsed="false">
      <c r="A15" s="0" t="s">
        <v>141</v>
      </c>
      <c r="C15" s="0" t="n">
        <f aca="false">C13-MAX(0,C13)*C14/100</f>
        <v>28.7033870592</v>
      </c>
      <c r="D15" s="0" t="n">
        <f aca="false">D13-MAX(0,D13)*D14/100</f>
        <v>30.533227984224</v>
      </c>
      <c r="E15" s="0" t="n">
        <f aca="false">E13-MAX(0,E13)*E14/100</f>
        <v>33.1491829223318</v>
      </c>
      <c r="F15" s="0" t="n">
        <f aca="false">F13-MAX(0,F13)*F14/100</f>
        <v>35.0191368307711</v>
      </c>
      <c r="G15" s="0" t="n">
        <f aca="false">G13-MAX(0,G13)*G14/100</f>
        <v>36.8996644785835</v>
      </c>
      <c r="H15" s="0" t="n">
        <f aca="false">H13-MAX(0,H13)*H14/100</f>
        <v>37.8221560905481</v>
      </c>
      <c r="I15" s="0" t="n">
        <f aca="false">I13-MAX(0,I13)*I14/100</f>
        <v>39.7132638950755</v>
      </c>
      <c r="J15" s="0" t="n">
        <f aca="false">J13-MAX(0,J13)*J14/100</f>
        <v>40.7060954924524</v>
      </c>
      <c r="K15" s="0" t="n">
        <f aca="false">K13-MAX(0,K13)*K14/100</f>
        <v>42.7171704483295</v>
      </c>
      <c r="L15" s="0" t="n">
        <f aca="false">L13-MAX(0,L13)*L14/100</f>
        <v>43.7850997095377</v>
      </c>
    </row>
    <row r="16" customFormat="false" ht="15" hidden="false" customHeight="false" outlineLevel="0" collapsed="false">
      <c r="A16" s="0" t="s">
        <v>142</v>
      </c>
      <c r="C16" s="0" t="n">
        <f aca="false">-C12</f>
        <v>9.96645384</v>
      </c>
      <c r="D16" s="0" t="n">
        <f aca="false">-D12</f>
        <v>10.3152797244</v>
      </c>
      <c r="E16" s="0" t="n">
        <f aca="false">-E12</f>
        <v>10.624738116132</v>
      </c>
      <c r="F16" s="0" t="n">
        <f aca="false">-F12</f>
        <v>10.943480259616</v>
      </c>
      <c r="G16" s="0" t="n">
        <f aca="false">-G12</f>
        <v>11.2498977068852</v>
      </c>
      <c r="H16" s="0" t="n">
        <f aca="false">-H12</f>
        <v>11.5311451495573</v>
      </c>
      <c r="I16" s="0" t="n">
        <f aca="false">-I12</f>
        <v>11.8194237782963</v>
      </c>
      <c r="J16" s="0" t="n">
        <f aca="false">-J12</f>
        <v>12.1149093727537</v>
      </c>
      <c r="K16" s="0" t="n">
        <f aca="false">-K12</f>
        <v>12.4177821070725</v>
      </c>
      <c r="L16" s="0" t="n">
        <f aca="false">-L12</f>
        <v>12.7282266597493</v>
      </c>
    </row>
    <row r="17" customFormat="false" ht="15" hidden="false" customHeight="false" outlineLevel="0" collapsed="false">
      <c r="A17" s="0" t="s">
        <v>143</v>
      </c>
      <c r="C17" s="4" t="n">
        <f aca="false">-C6*Assumptions!C32/100</f>
        <v>-18.82552392</v>
      </c>
      <c r="D17" s="4" t="n">
        <f aca="false">-D6*Assumptions!D32/100</f>
        <v>-20.6305594488</v>
      </c>
      <c r="E17" s="4" t="n">
        <f aca="false">-E6*Assumptions!E32/100</f>
        <v>-21.249476232264</v>
      </c>
      <c r="F17" s="4" t="n">
        <f aca="false">-F6*Assumptions!F32/100</f>
        <v>-23.1029027703004</v>
      </c>
      <c r="G17" s="4" t="n">
        <f aca="false">-G6*Assumptions!G32/100</f>
        <v>-23.7497840478688</v>
      </c>
      <c r="H17" s="4" t="n">
        <f aca="false">-H6*Assumptions!H32/100</f>
        <v>-25.6247669990163</v>
      </c>
      <c r="I17" s="4" t="n">
        <f aca="false">-I6*Assumptions!I32/100</f>
        <v>-26.2653861739917</v>
      </c>
      <c r="J17" s="4" t="n">
        <f aca="false">-J6*Assumptions!J32/100</f>
        <v>-26.9220208283415</v>
      </c>
      <c r="K17" s="4" t="n">
        <f aca="false">-K6*Assumptions!K32/100</f>
        <v>-27.59507134905</v>
      </c>
      <c r="L17" s="4" t="n">
        <f aca="false">-L6*Assumptions!L32/100</f>
        <v>-28.2849481327763</v>
      </c>
    </row>
    <row r="18" customFormat="false" ht="15" hidden="false" customHeight="false" outlineLevel="0" collapsed="false">
      <c r="A18" s="0" t="s">
        <v>144</v>
      </c>
      <c r="C18" s="4" t="n">
        <f aca="false">(C6-B6)*Assumptions!$B$37/100</f>
        <v>-2.9958208</v>
      </c>
      <c r="D18" s="4" t="n">
        <f aca="false">(D6-C6)*Assumptions!$B$37/100</f>
        <v>-3.100674528</v>
      </c>
      <c r="E18" s="4" t="n">
        <f aca="false">(E6-D6)*Assumptions!$B$37/100</f>
        <v>-2.75074125984</v>
      </c>
      <c r="F18" s="4" t="n">
        <f aca="false">(F6-E6)*Assumptions!$B$37/100</f>
        <v>-2.8332634976352</v>
      </c>
      <c r="G18" s="4" t="n">
        <f aca="false">(G6-F6)*Assumptions!$B$37/100</f>
        <v>-2.72371064239331</v>
      </c>
      <c r="H18" s="4" t="n">
        <f aca="false">(H6-G6)*Assumptions!$B$37/100</f>
        <v>-2.49997726819671</v>
      </c>
      <c r="I18" s="4" t="n">
        <f aca="false">(I6-H6)*Assumptions!$B$37/100</f>
        <v>-2.56247669990162</v>
      </c>
      <c r="J18" s="4" t="n">
        <f aca="false">(J6-I6)*Assumptions!$B$37/100</f>
        <v>-2.62653861739916</v>
      </c>
      <c r="K18" s="4" t="n">
        <f aca="false">(K6-J6)*Assumptions!$B$37/100</f>
        <v>-2.69220208283414</v>
      </c>
      <c r="L18" s="4" t="n">
        <f aca="false">(L6-K6)*Assumptions!$B$37/100</f>
        <v>-2.759507134905</v>
      </c>
    </row>
    <row r="19" customFormat="false" ht="15" hidden="false" customHeight="false" outlineLevel="0" collapsed="false">
      <c r="A19" s="0" t="s">
        <v>145</v>
      </c>
      <c r="C19" s="0" t="n">
        <f aca="false">C15+C16+C17+C18</f>
        <v>16.8484961792</v>
      </c>
      <c r="D19" s="0" t="n">
        <f aca="false">D15+D16+D17+D18</f>
        <v>17.117273731824</v>
      </c>
      <c r="E19" s="0" t="n">
        <f aca="false">E15+E16+E17+E18</f>
        <v>19.7737035463598</v>
      </c>
      <c r="F19" s="0" t="n">
        <f aca="false">F15+F16+F17+F18</f>
        <v>20.0264508224515</v>
      </c>
      <c r="G19" s="0" t="n">
        <f aca="false">G15+G16+G17+G18</f>
        <v>21.6760674952066</v>
      </c>
      <c r="H19" s="0" t="n">
        <f aca="false">H15+H16+H17+H18</f>
        <v>21.2285569728924</v>
      </c>
      <c r="I19" s="0" t="n">
        <f aca="false">I15+I16+I17+I18</f>
        <v>22.7048247994784</v>
      </c>
      <c r="J19" s="0" t="n">
        <f aca="false">J15+J16+J17+J18</f>
        <v>23.2724454194654</v>
      </c>
      <c r="K19" s="0" t="n">
        <f aca="false">K15+K16+K17+K18</f>
        <v>24.8476791235178</v>
      </c>
      <c r="L19" s="0" t="n">
        <f aca="false">L15+L16+L17+L18</f>
        <v>25.4688711016057</v>
      </c>
    </row>
    <row r="20" customFormat="false" ht="15" hidden="false" customHeight="false" outlineLevel="0" collapsed="false">
      <c r="A20" s="0" t="s">
        <v>146</v>
      </c>
      <c r="C20" s="0" t="n">
        <f aca="false">1/(1+$B$27/100)^C4</f>
        <v>0.881057268722467</v>
      </c>
      <c r="D20" s="0" t="n">
        <f aca="false">1/(1+$B$27/100)^D4</f>
        <v>0.776261910768693</v>
      </c>
      <c r="E20" s="0" t="n">
        <f aca="false">1/(1+$B$27/100)^E4</f>
        <v>0.683931198915148</v>
      </c>
      <c r="F20" s="0" t="n">
        <f aca="false">1/(1+$B$27/100)^F4</f>
        <v>0.602582554110263</v>
      </c>
      <c r="G20" s="0" t="n">
        <f aca="false">1/(1+$B$27/100)^G4</f>
        <v>0.530909739304196</v>
      </c>
      <c r="H20" s="0" t="n">
        <f aca="false">1/(1+$B$27/100)^H4</f>
        <v>0.467761884849512</v>
      </c>
      <c r="I20" s="0" t="n">
        <f aca="false">1/(1+$B$27/100)^I4</f>
        <v>0.412125008677984</v>
      </c>
      <c r="J20" s="0" t="n">
        <f aca="false">1/(1+$B$27/100)^J4</f>
        <v>0.363105734518048</v>
      </c>
      <c r="K20" s="0" t="n">
        <f aca="false">1/(1+$B$27/100)^K4</f>
        <v>0.319916946711936</v>
      </c>
      <c r="L20" s="0" t="n">
        <f aca="false">1/(1+$B$27/100)^L4</f>
        <v>0.28186515128805</v>
      </c>
    </row>
    <row r="21" customFormat="false" ht="15" hidden="false" customHeight="false" outlineLevel="0" collapsed="false">
      <c r="A21" s="0" t="s">
        <v>147</v>
      </c>
      <c r="C21" s="0" t="n">
        <f aca="false">C19*C20</f>
        <v>14.8444900257269</v>
      </c>
      <c r="D21" s="0" t="n">
        <f aca="false">D19*D20</f>
        <v>13.2874876142165</v>
      </c>
      <c r="E21" s="0" t="n">
        <f aca="false">E19*E20</f>
        <v>13.5238527734546</v>
      </c>
      <c r="F21" s="0" t="n">
        <f aca="false">F19*F20</f>
        <v>12.0675898863564</v>
      </c>
      <c r="G21" s="0" t="n">
        <f aca="false">G19*G20</f>
        <v>11.5080353430203</v>
      </c>
      <c r="H21" s="0" t="n">
        <f aca="false">H19*H20</f>
        <v>9.9299098222754</v>
      </c>
      <c r="I21" s="0" t="n">
        <f aca="false">I19*I20</f>
        <v>9.35722611751715</v>
      </c>
      <c r="J21" s="0" t="n">
        <f aca="false">J19*J20</f>
        <v>8.45035838806615</v>
      </c>
      <c r="K21" s="0" t="n">
        <f aca="false">K19*K20</f>
        <v>7.94919363807374</v>
      </c>
      <c r="L21" s="0" t="n">
        <f aca="false">L19*L20</f>
        <v>7.17878720618994</v>
      </c>
    </row>
    <row r="23" customFormat="false" ht="15" hidden="false" customHeight="false" outlineLevel="0" collapsed="false">
      <c r="A23" s="0" t="s">
        <v>123</v>
      </c>
      <c r="C23" s="4" t="n">
        <f aca="false">Assumptions!C30</f>
        <v>0</v>
      </c>
      <c r="D23" s="4" t="n">
        <f aca="false">Assumptions!D30</f>
        <v>0</v>
      </c>
      <c r="E23" s="4" t="n">
        <f aca="false">Assumptions!E30</f>
        <v>0</v>
      </c>
      <c r="F23" s="4" t="n">
        <f aca="false">Assumptions!F30</f>
        <v>0</v>
      </c>
      <c r="G23" s="4" t="n">
        <f aca="false">Assumptions!G30</f>
        <v>0</v>
      </c>
      <c r="H23" s="4" t="n">
        <f aca="false">Assumptions!H30</f>
        <v>0</v>
      </c>
      <c r="I23" s="4" t="n">
        <f aca="false">Assumptions!I30</f>
        <v>0</v>
      </c>
      <c r="J23" s="4" t="n">
        <f aca="false">Assumptions!J30</f>
        <v>0</v>
      </c>
      <c r="K23" s="4" t="n">
        <f aca="false">Assumptions!K30</f>
        <v>0</v>
      </c>
      <c r="L23" s="4" t="n">
        <f aca="false">Assumptions!L30</f>
        <v>0</v>
      </c>
    </row>
    <row r="24" customFormat="false" ht="15" hidden="false" customHeight="false" outlineLevel="0" collapsed="false">
      <c r="A24" s="0" t="s">
        <v>148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149</v>
      </c>
    </row>
    <row r="27" customFormat="false" ht="15" hidden="false" customHeight="false" outlineLevel="0" collapsed="false">
      <c r="A27" s="0" t="s">
        <v>127</v>
      </c>
      <c r="B27" s="4" t="n">
        <f aca="false">Assumptions!$B$34</f>
        <v>13.5</v>
      </c>
    </row>
    <row r="28" customFormat="false" ht="15" hidden="false" customHeight="false" outlineLevel="0" collapsed="false">
      <c r="A28" s="0" t="s">
        <v>128</v>
      </c>
      <c r="B28" s="4" t="n">
        <f aca="false">Assumptions!$B$35</f>
        <v>2.2</v>
      </c>
    </row>
    <row r="29" customFormat="false" ht="15" hidden="false" customHeight="false" outlineLevel="0" collapsed="false">
      <c r="A29" s="0" t="s">
        <v>129</v>
      </c>
      <c r="B29" s="4" t="n">
        <f aca="false">Assumptions!$B$36</f>
        <v>12</v>
      </c>
    </row>
    <row r="30" customFormat="false" ht="15" hidden="false" customHeight="false" outlineLevel="0" collapsed="false">
      <c r="A30" s="0" t="s">
        <v>150</v>
      </c>
      <c r="B30" s="0" t="n">
        <f aca="false">SUM(C21:L21)</f>
        <v>108.096930814897</v>
      </c>
    </row>
    <row r="31" customFormat="false" ht="15" hidden="false" customHeight="false" outlineLevel="0" collapsed="false">
      <c r="A31" s="0" t="s">
        <v>151</v>
      </c>
      <c r="B31" s="0" t="n">
        <f aca="false">L19</f>
        <v>25.4688711016057</v>
      </c>
    </row>
    <row r="32" customFormat="false" ht="15" hidden="false" customHeight="false" outlineLevel="0" collapsed="false">
      <c r="A32" s="0" t="s">
        <v>152</v>
      </c>
      <c r="B32" s="0" t="n">
        <f aca="false">IF(B27&gt;B28,B31*(1+B28/100)/((B27-B28)/100),B31*B29)</f>
        <v>230.346781113638</v>
      </c>
    </row>
    <row r="33" customFormat="false" ht="15" hidden="false" customHeight="false" outlineLevel="0" collapsed="false">
      <c r="A33" s="0" t="s">
        <v>153</v>
      </c>
      <c r="B33" s="0" t="n">
        <f aca="false">B31*B29</f>
        <v>305.626453219269</v>
      </c>
    </row>
    <row r="34" customFormat="false" ht="15" hidden="false" customHeight="false" outlineLevel="0" collapsed="false">
      <c r="A34" s="0" t="s">
        <v>154</v>
      </c>
      <c r="B34" s="0" t="n">
        <f aca="false">MAX(0,MIN(B32,B33))</f>
        <v>230.346781113638</v>
      </c>
    </row>
    <row r="35" customFormat="false" ht="15" hidden="false" customHeight="false" outlineLevel="0" collapsed="false">
      <c r="A35" s="0" t="s">
        <v>155</v>
      </c>
      <c r="B35" s="0" t="n">
        <f aca="false">B34/(1+B27/100)^L4</f>
        <v>64.9267303073108</v>
      </c>
    </row>
    <row r="36" customFormat="false" ht="15" hidden="false" customHeight="false" outlineLevel="0" collapsed="false">
      <c r="A36" s="0" t="s">
        <v>156</v>
      </c>
      <c r="B36" s="0" t="n">
        <f aca="false">B30+B35</f>
        <v>173.023661122208</v>
      </c>
    </row>
    <row r="37" customFormat="false" ht="15" hidden="false" customHeight="false" outlineLevel="0" collapsed="false">
      <c r="A37" s="0" t="s">
        <v>157</v>
      </c>
      <c r="B37" s="0" t="n">
        <f aca="false">B36+Assumptions!$B$5-Assumptions!$B$4</f>
        <v>224.043661122208</v>
      </c>
    </row>
    <row r="38" customFormat="false" ht="15" hidden="false" customHeight="false" outlineLevel="0" collapsed="false">
      <c r="A38" s="0" t="s">
        <v>158</v>
      </c>
      <c r="B38" s="0" t="n">
        <f aca="false">B37/Assumptions!$B$3*Assumptions!$B$10</f>
        <v>6.85253589607609</v>
      </c>
    </row>
    <row r="39" customFormat="false" ht="15" hidden="false" customHeight="false" outlineLevel="0" collapsed="false">
      <c r="A39" s="0" t="s">
        <v>159</v>
      </c>
      <c r="B39" s="4" t="n">
        <f aca="false">B38/Assumptions!$B$2-1</f>
        <v>-0.0625805887720806</v>
      </c>
    </row>
    <row r="41" customFormat="false" ht="15" hidden="false" customHeight="false" outlineLevel="0" collapsed="false">
      <c r="A41" s="0" t="s">
        <v>160</v>
      </c>
      <c r="B41" s="0" t="n">
        <f aca="false">SUMPRODUCT(-C10:L10/(1+$B$27/100)^C4:L4)</f>
        <v>0</v>
      </c>
    </row>
    <row r="42" customFormat="false" ht="15" hidden="false" customHeight="false" outlineLevel="0" collapsed="false">
      <c r="A42" s="0" t="s">
        <v>161</v>
      </c>
      <c r="B42" s="0" t="n">
        <f aca="false">IF(B27&gt;B28,-L10*(1+B28/100)/((B27-B28)/100),-L10*20)/(1+B27/100)^L4</f>
        <v>0</v>
      </c>
    </row>
    <row r="43" customFormat="false" ht="15" hidden="false" customHeight="false" outlineLevel="0" collapsed="false">
      <c r="A43" s="0" t="s">
        <v>162</v>
      </c>
      <c r="B43" s="0" t="n">
        <f aca="false">(B37+B41+B42)/Assumptions!$B$3*Assumptions!$B$10</f>
        <v>6.85253589607609</v>
      </c>
    </row>
    <row r="45" customFormat="false" ht="15" hidden="false" customHeight="false" outlineLevel="0" collapsed="false">
      <c r="A45" s="0" t="s">
        <v>103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163</v>
      </c>
      <c r="B46" s="0" t="n">
        <f aca="false">MAX(0,MIN(IF(B45&gt;B28,B31*(1+B28/100)/((B45-B28)/100),B31*B29),B31*B29))</f>
        <v>203.353017701883</v>
      </c>
    </row>
    <row r="47" customFormat="false" ht="15" hidden="false" customHeight="false" outlineLevel="0" collapsed="false">
      <c r="A47" s="0" t="s">
        <v>164</v>
      </c>
      <c r="B47" s="0" t="n">
        <f aca="false">(SUMPRODUCT(C19:L19/(1+B45/100)^C4:L4)+B46/(1+B45/100)^L4+Assumptions!$B$5-Assumptions!$B$4)/Assumptions!$B$3*Assumptions!$B$10</f>
        <v>6.20242092114812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166</v>
      </c>
    </row>
    <row r="3" customFormat="false" ht="15" hidden="false" customHeight="false" outlineLevel="0" collapsed="false">
      <c r="A3" s="0" t="s">
        <v>135</v>
      </c>
      <c r="B3" s="0" t="s">
        <v>97</v>
      </c>
      <c r="C3" s="2" t="s">
        <v>110</v>
      </c>
      <c r="D3" s="2" t="s">
        <v>111</v>
      </c>
      <c r="E3" s="2" t="s">
        <v>112</v>
      </c>
      <c r="F3" s="2" t="s">
        <v>113</v>
      </c>
      <c r="G3" s="2" t="s">
        <v>114</v>
      </c>
      <c r="H3" s="2" t="s">
        <v>115</v>
      </c>
      <c r="I3" s="2" t="s">
        <v>116</v>
      </c>
      <c r="J3" s="2" t="s">
        <v>117</v>
      </c>
      <c r="K3" s="2" t="s">
        <v>118</v>
      </c>
      <c r="L3" s="2" t="s">
        <v>119</v>
      </c>
    </row>
    <row r="4" customFormat="false" ht="15" hidden="false" customHeight="false" outlineLevel="0" collapsed="false">
      <c r="A4" s="0" t="s">
        <v>136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120</v>
      </c>
      <c r="C5" s="4" t="n">
        <f aca="false">Assumptions!C41</f>
        <v>6</v>
      </c>
      <c r="D5" s="4" t="n">
        <f aca="false">Assumptions!D41</f>
        <v>5.5</v>
      </c>
      <c r="E5" s="4" t="n">
        <f aca="false">Assumptions!E41</f>
        <v>5</v>
      </c>
      <c r="F5" s="4" t="n">
        <f aca="false">Assumptions!F41</f>
        <v>4.5</v>
      </c>
      <c r="G5" s="4" t="n">
        <f aca="false">Assumptions!G41</f>
        <v>4</v>
      </c>
      <c r="H5" s="4" t="n">
        <f aca="false">Assumptions!H41</f>
        <v>3.5</v>
      </c>
      <c r="I5" s="4" t="n">
        <f aca="false">Assumptions!I41</f>
        <v>3</v>
      </c>
      <c r="J5" s="4" t="n">
        <f aca="false">Assumptions!J41</f>
        <v>3</v>
      </c>
      <c r="K5" s="4" t="n">
        <f aca="false">Assumptions!K41</f>
        <v>2.8</v>
      </c>
      <c r="L5" s="4" t="n">
        <f aca="false">Assumptions!L41</f>
        <v>2.8</v>
      </c>
    </row>
    <row r="6" customFormat="false" ht="15" hidden="false" customHeight="false" outlineLevel="0" collapsed="false">
      <c r="A6" s="0" t="s">
        <v>60</v>
      </c>
      <c r="B6" s="3" t="n">
        <v>1069.936</v>
      </c>
      <c r="C6" s="0" t="n">
        <f aca="false">B6*(1+C5/100)</f>
        <v>1134.13216</v>
      </c>
      <c r="D6" s="0" t="n">
        <f aca="false">C6*(1+D5/100)</f>
        <v>1196.5094288</v>
      </c>
      <c r="E6" s="0" t="n">
        <f aca="false">D6*(1+E5/100)</f>
        <v>1256.33490024</v>
      </c>
      <c r="F6" s="0" t="n">
        <f aca="false">E6*(1+F5/100)</f>
        <v>1312.8699707508</v>
      </c>
      <c r="G6" s="0" t="n">
        <f aca="false">F6*(1+G5/100)</f>
        <v>1365.38476958083</v>
      </c>
      <c r="H6" s="0" t="n">
        <f aca="false">G6*(1+H5/100)</f>
        <v>1413.17323651616</v>
      </c>
      <c r="I6" s="0" t="n">
        <f aca="false">H6*(1+I5/100)</f>
        <v>1455.56843361165</v>
      </c>
      <c r="J6" s="0" t="n">
        <f aca="false">I6*(1+J5/100)</f>
        <v>1499.23548662</v>
      </c>
      <c r="K6" s="0" t="n">
        <f aca="false">J6*(1+K5/100)</f>
        <v>1541.21408024536</v>
      </c>
      <c r="L6" s="0" t="n">
        <f aca="false">K6*(1+L5/100)</f>
        <v>1584.36807449223</v>
      </c>
    </row>
    <row r="7" customFormat="false" ht="15" hidden="false" customHeight="false" outlineLevel="0" collapsed="false">
      <c r="A7" s="0" t="s">
        <v>121</v>
      </c>
      <c r="C7" s="4" t="n">
        <f aca="false">Assumptions!C42</f>
        <v>4.8</v>
      </c>
      <c r="D7" s="4" t="n">
        <f aca="false">Assumptions!D42</f>
        <v>5.1</v>
      </c>
      <c r="E7" s="4" t="n">
        <f aca="false">Assumptions!E42</f>
        <v>5.4</v>
      </c>
      <c r="F7" s="4" t="n">
        <f aca="false">Assumptions!F42</f>
        <v>5.6</v>
      </c>
      <c r="G7" s="4" t="n">
        <f aca="false">Assumptions!G42</f>
        <v>5.8</v>
      </c>
      <c r="H7" s="4" t="n">
        <f aca="false">Assumptions!H42</f>
        <v>5.9</v>
      </c>
      <c r="I7" s="4" t="n">
        <f aca="false">Assumptions!I42</f>
        <v>6</v>
      </c>
      <c r="J7" s="4" t="n">
        <f aca="false">Assumptions!J42</f>
        <v>6.1</v>
      </c>
      <c r="K7" s="4" t="n">
        <f aca="false">Assumptions!K42</f>
        <v>6.1</v>
      </c>
      <c r="L7" s="4" t="n">
        <f aca="false">Assumptions!L42</f>
        <v>6.2</v>
      </c>
    </row>
    <row r="8" customFormat="false" ht="15" hidden="false" customHeight="false" outlineLevel="0" collapsed="false">
      <c r="A8" s="0" t="s">
        <v>66</v>
      </c>
      <c r="C8" s="0" t="n">
        <f aca="false">C6*C7/100</f>
        <v>54.43834368</v>
      </c>
      <c r="D8" s="0" t="n">
        <f aca="false">D6*D7/100</f>
        <v>61.0219808688</v>
      </c>
      <c r="E8" s="0" t="n">
        <f aca="false">E6*E7/100</f>
        <v>67.84208461296</v>
      </c>
      <c r="F8" s="0" t="n">
        <f aca="false">F6*F7/100</f>
        <v>73.5207183620448</v>
      </c>
      <c r="G8" s="0" t="n">
        <f aca="false">G6*G7/100</f>
        <v>79.1923166356882</v>
      </c>
      <c r="H8" s="0" t="n">
        <f aca="false">H6*H7/100</f>
        <v>83.3772209544535</v>
      </c>
      <c r="I8" s="0" t="n">
        <f aca="false">I6*I7/100</f>
        <v>87.3341060166988</v>
      </c>
      <c r="J8" s="0" t="n">
        <f aca="false">J6*J7/100</f>
        <v>91.4533646838197</v>
      </c>
      <c r="K8" s="0" t="n">
        <f aca="false">K6*K7/100</f>
        <v>94.0140588949667</v>
      </c>
      <c r="L8" s="0" t="n">
        <f aca="false">L6*L7/100</f>
        <v>98.230820618518</v>
      </c>
    </row>
    <row r="9" customFormat="false" ht="15" hidden="false" customHeight="false" outlineLevel="0" collapsed="false">
      <c r="A9" s="0" t="s">
        <v>122</v>
      </c>
      <c r="C9" s="4" t="n">
        <f aca="false">Assumptions!C43</f>
        <v>0</v>
      </c>
      <c r="D9" s="4" t="n">
        <f aca="false">Assumptions!D43</f>
        <v>0</v>
      </c>
      <c r="E9" s="4" t="n">
        <f aca="false">Assumptions!E43</f>
        <v>0</v>
      </c>
      <c r="F9" s="4" t="n">
        <f aca="false">Assumptions!F43</f>
        <v>0</v>
      </c>
      <c r="G9" s="4" t="n">
        <f aca="false">Assumptions!G43</f>
        <v>0</v>
      </c>
      <c r="H9" s="4" t="n">
        <f aca="false">Assumptions!H43</f>
        <v>0</v>
      </c>
      <c r="I9" s="4" t="n">
        <f aca="false">Assumptions!I43</f>
        <v>0</v>
      </c>
      <c r="J9" s="4" t="n">
        <f aca="false">Assumptions!J43</f>
        <v>0</v>
      </c>
      <c r="K9" s="4" t="n">
        <f aca="false">Assumptions!K43</f>
        <v>0</v>
      </c>
      <c r="L9" s="4" t="n">
        <f aca="false">Assumptions!L43</f>
        <v>0</v>
      </c>
    </row>
    <row r="10" customFormat="false" ht="15" hidden="false" customHeight="false" outlineLevel="0" collapsed="false">
      <c r="A10" s="0" t="s">
        <v>137</v>
      </c>
      <c r="C10" s="0" t="n">
        <f aca="false">-C6*C9/100</f>
        <v>-0</v>
      </c>
      <c r="D10" s="0" t="n">
        <f aca="false">-D6*D9/100</f>
        <v>-0</v>
      </c>
      <c r="E10" s="0" t="n">
        <f aca="false">-E6*E9/100</f>
        <v>-0</v>
      </c>
      <c r="F10" s="0" t="n">
        <f aca="false">-F6*F9/100</f>
        <v>-0</v>
      </c>
      <c r="G10" s="0" t="n">
        <f aca="false">-G6*G9/100</f>
        <v>-0</v>
      </c>
      <c r="H10" s="0" t="n">
        <f aca="false">-H6*H9/100</f>
        <v>-0</v>
      </c>
      <c r="I10" s="0" t="n">
        <f aca="false">-I6*I9/100</f>
        <v>-0</v>
      </c>
      <c r="J10" s="0" t="n">
        <f aca="false">-J6*J9/100</f>
        <v>-0</v>
      </c>
      <c r="K10" s="0" t="n">
        <f aca="false">-K6*K9/100</f>
        <v>-0</v>
      </c>
      <c r="L10" s="0" t="n">
        <f aca="false">-L6*L9/100</f>
        <v>-0</v>
      </c>
    </row>
    <row r="11" customFormat="false" ht="15" hidden="false" customHeight="false" outlineLevel="0" collapsed="false">
      <c r="A11" s="0" t="s">
        <v>138</v>
      </c>
      <c r="C11" s="0" t="n">
        <f aca="false">C8+C10+C24</f>
        <v>54.43834368</v>
      </c>
      <c r="D11" s="0" t="n">
        <f aca="false">D8+D10+D24</f>
        <v>61.0219808688</v>
      </c>
      <c r="E11" s="0" t="n">
        <f aca="false">E8+E10+E24</f>
        <v>67.84208461296</v>
      </c>
      <c r="F11" s="0" t="n">
        <f aca="false">F8+F10+F24</f>
        <v>73.5207183620448</v>
      </c>
      <c r="G11" s="0" t="n">
        <f aca="false">G8+G10+G24</f>
        <v>79.1923166356882</v>
      </c>
      <c r="H11" s="0" t="n">
        <f aca="false">H8+H10+H24</f>
        <v>83.3772209544535</v>
      </c>
      <c r="I11" s="0" t="n">
        <f aca="false">I8+I10+I24</f>
        <v>87.3341060166988</v>
      </c>
      <c r="J11" s="0" t="n">
        <f aca="false">J8+J10+J24</f>
        <v>91.4533646838197</v>
      </c>
      <c r="K11" s="0" t="n">
        <f aca="false">K8+K10+K24</f>
        <v>94.0140588949667</v>
      </c>
      <c r="L11" s="0" t="n">
        <f aca="false">L8+L10+L24</f>
        <v>98.230820618518</v>
      </c>
    </row>
    <row r="12" customFormat="false" ht="15" hidden="false" customHeight="false" outlineLevel="0" collapsed="false">
      <c r="A12" s="0" t="s">
        <v>139</v>
      </c>
      <c r="C12" s="4" t="n">
        <f aca="false">-C6*Assumptions!C45/100</f>
        <v>-10.20718944</v>
      </c>
      <c r="D12" s="4" t="n">
        <f aca="false">-D6*Assumptions!D45/100</f>
        <v>-10.7685848592</v>
      </c>
      <c r="E12" s="4" t="n">
        <f aca="false">-E6*Assumptions!E45/100</f>
        <v>-11.30701410216</v>
      </c>
      <c r="F12" s="4" t="n">
        <f aca="false">-F6*Assumptions!F45/100</f>
        <v>-11.8158297367572</v>
      </c>
      <c r="G12" s="4" t="n">
        <f aca="false">-G6*Assumptions!G45/100</f>
        <v>-12.2884629262275</v>
      </c>
      <c r="H12" s="4" t="n">
        <f aca="false">-H6*Assumptions!H45/100</f>
        <v>-12.7185591286454</v>
      </c>
      <c r="I12" s="4" t="n">
        <f aca="false">-I6*Assumptions!I45/100</f>
        <v>-13.1001159025048</v>
      </c>
      <c r="J12" s="4" t="n">
        <f aca="false">-J6*Assumptions!J45/100</f>
        <v>-13.49311937958</v>
      </c>
      <c r="K12" s="4" t="n">
        <f aca="false">-K6*Assumptions!K45/100</f>
        <v>-13.8709267222082</v>
      </c>
      <c r="L12" s="4" t="n">
        <f aca="false">-L6*Assumptions!L45/100</f>
        <v>-14.25931267043</v>
      </c>
    </row>
    <row r="13" customFormat="false" ht="15" hidden="false" customHeight="false" outlineLevel="0" collapsed="false">
      <c r="A13" s="0" t="s">
        <v>140</v>
      </c>
      <c r="C13" s="0" t="n">
        <f aca="false">C11+C12</f>
        <v>44.23115424</v>
      </c>
      <c r="D13" s="0" t="n">
        <f aca="false">D11+D12</f>
        <v>50.2533960096</v>
      </c>
      <c r="E13" s="0" t="n">
        <f aca="false">E11+E12</f>
        <v>56.5350705108</v>
      </c>
      <c r="F13" s="0" t="n">
        <f aca="false">F11+F12</f>
        <v>61.7048886252876</v>
      </c>
      <c r="G13" s="0" t="n">
        <f aca="false">G11+G12</f>
        <v>66.9038537094608</v>
      </c>
      <c r="H13" s="0" t="n">
        <f aca="false">H11+H12</f>
        <v>70.658661825808</v>
      </c>
      <c r="I13" s="0" t="n">
        <f aca="false">I11+I12</f>
        <v>74.2339901141939</v>
      </c>
      <c r="J13" s="0" t="n">
        <f aca="false">J11+J12</f>
        <v>77.9602453042398</v>
      </c>
      <c r="K13" s="0" t="n">
        <f aca="false">K11+K12</f>
        <v>80.1431321727585</v>
      </c>
      <c r="L13" s="0" t="n">
        <f aca="false">L11+L12</f>
        <v>83.9715079480879</v>
      </c>
    </row>
    <row r="14" customFormat="false" ht="15" hidden="false" customHeight="false" outlineLevel="0" collapsed="false">
      <c r="A14" s="0" t="s">
        <v>126</v>
      </c>
      <c r="C14" s="4" t="n">
        <f aca="false">Assumptions!C47</f>
        <v>28</v>
      </c>
      <c r="D14" s="4" t="n">
        <f aca="false">Assumptions!D47</f>
        <v>28</v>
      </c>
      <c r="E14" s="4" t="n">
        <f aca="false">Assumptions!E47</f>
        <v>28</v>
      </c>
      <c r="F14" s="4" t="n">
        <f aca="false">Assumptions!F47</f>
        <v>28</v>
      </c>
      <c r="G14" s="4" t="n">
        <f aca="false">Assumptions!G47</f>
        <v>28</v>
      </c>
      <c r="H14" s="4" t="n">
        <f aca="false">Assumptions!H47</f>
        <v>28</v>
      </c>
      <c r="I14" s="4" t="n">
        <f aca="false">Assumptions!I47</f>
        <v>28</v>
      </c>
      <c r="J14" s="4" t="n">
        <f aca="false">Assumptions!J47</f>
        <v>28</v>
      </c>
      <c r="K14" s="4" t="n">
        <f aca="false">Assumptions!K47</f>
        <v>28</v>
      </c>
      <c r="L14" s="4" t="n">
        <f aca="false">Assumptions!L47</f>
        <v>28</v>
      </c>
    </row>
    <row r="15" customFormat="false" ht="15" hidden="false" customHeight="false" outlineLevel="0" collapsed="false">
      <c r="A15" s="0" t="s">
        <v>141</v>
      </c>
      <c r="C15" s="0" t="n">
        <f aca="false">C13-MAX(0,C13)*C14/100</f>
        <v>31.8464310528</v>
      </c>
      <c r="D15" s="0" t="n">
        <f aca="false">D13-MAX(0,D13)*D14/100</f>
        <v>36.182445126912</v>
      </c>
      <c r="E15" s="0" t="n">
        <f aca="false">E13-MAX(0,E13)*E14/100</f>
        <v>40.705250767776</v>
      </c>
      <c r="F15" s="0" t="n">
        <f aca="false">F13-MAX(0,F13)*F14/100</f>
        <v>44.4275198102071</v>
      </c>
      <c r="G15" s="0" t="n">
        <f aca="false">G13-MAX(0,G13)*G14/100</f>
        <v>48.1707746708118</v>
      </c>
      <c r="H15" s="0" t="n">
        <f aca="false">H13-MAX(0,H13)*H14/100</f>
        <v>50.8742365145818</v>
      </c>
      <c r="I15" s="0" t="n">
        <f aca="false">I13-MAX(0,I13)*I14/100</f>
        <v>53.4484728822196</v>
      </c>
      <c r="J15" s="0" t="n">
        <f aca="false">J13-MAX(0,J13)*J14/100</f>
        <v>56.1313766190526</v>
      </c>
      <c r="K15" s="0" t="n">
        <f aca="false">K13-MAX(0,K13)*K14/100</f>
        <v>57.7030551643861</v>
      </c>
      <c r="L15" s="0" t="n">
        <f aca="false">L13-MAX(0,L13)*L14/100</f>
        <v>60.4594857226233</v>
      </c>
    </row>
    <row r="16" customFormat="false" ht="15" hidden="false" customHeight="false" outlineLevel="0" collapsed="false">
      <c r="A16" s="0" t="s">
        <v>142</v>
      </c>
      <c r="C16" s="0" t="n">
        <f aca="false">-C12</f>
        <v>10.20718944</v>
      </c>
      <c r="D16" s="0" t="n">
        <f aca="false">-D12</f>
        <v>10.7685848592</v>
      </c>
      <c r="E16" s="0" t="n">
        <f aca="false">-E12</f>
        <v>11.30701410216</v>
      </c>
      <c r="F16" s="0" t="n">
        <f aca="false">-F12</f>
        <v>11.8158297367572</v>
      </c>
      <c r="G16" s="0" t="n">
        <f aca="false">-G12</f>
        <v>12.2884629262275</v>
      </c>
      <c r="H16" s="0" t="n">
        <f aca="false">-H12</f>
        <v>12.7185591286454</v>
      </c>
      <c r="I16" s="0" t="n">
        <f aca="false">-I12</f>
        <v>13.1001159025048</v>
      </c>
      <c r="J16" s="0" t="n">
        <f aca="false">-J12</f>
        <v>13.49311937958</v>
      </c>
      <c r="K16" s="0" t="n">
        <f aca="false">-K12</f>
        <v>13.8709267222082</v>
      </c>
      <c r="L16" s="0" t="n">
        <f aca="false">-L12</f>
        <v>14.25931267043</v>
      </c>
    </row>
    <row r="17" customFormat="false" ht="15" hidden="false" customHeight="false" outlineLevel="0" collapsed="false">
      <c r="A17" s="0" t="s">
        <v>143</v>
      </c>
      <c r="C17" s="4" t="n">
        <f aca="false">-C6*Assumptions!C46/100</f>
        <v>-20.41437888</v>
      </c>
      <c r="D17" s="4" t="n">
        <f aca="false">-D6*Assumptions!D46/100</f>
        <v>-22.7336791472</v>
      </c>
      <c r="E17" s="4" t="n">
        <f aca="false">-E6*Assumptions!E46/100</f>
        <v>-23.87036310456</v>
      </c>
      <c r="F17" s="4" t="n">
        <f aca="false">-F6*Assumptions!F46/100</f>
        <v>-26.257399415016</v>
      </c>
      <c r="G17" s="4" t="n">
        <f aca="false">-G6*Assumptions!G46/100</f>
        <v>-27.3076953916166</v>
      </c>
      <c r="H17" s="4" t="n">
        <f aca="false">-H6*Assumptions!H46/100</f>
        <v>-28.2634647303232</v>
      </c>
      <c r="I17" s="4" t="n">
        <f aca="false">-I6*Assumptions!I46/100</f>
        <v>-29.1113686722329</v>
      </c>
      <c r="J17" s="4" t="n">
        <f aca="false">-J6*Assumptions!J46/100</f>
        <v>-29.9847097323999</v>
      </c>
      <c r="K17" s="4" t="n">
        <f aca="false">-K6*Assumptions!K46/100</f>
        <v>-30.8242816049071</v>
      </c>
      <c r="L17" s="4" t="n">
        <f aca="false">-L6*Assumptions!L46/100</f>
        <v>-31.6873614898445</v>
      </c>
    </row>
    <row r="18" customFormat="false" ht="15" hidden="false" customHeight="false" outlineLevel="0" collapsed="false">
      <c r="A18" s="0" t="s">
        <v>144</v>
      </c>
      <c r="C18" s="4" t="n">
        <f aca="false">(C6-B6)*Assumptions!$B$51/100</f>
        <v>-3.8517696</v>
      </c>
      <c r="D18" s="4" t="n">
        <f aca="false">(D6-C6)*Assumptions!$B$51/100</f>
        <v>-3.74263612799999</v>
      </c>
      <c r="E18" s="4" t="n">
        <f aca="false">(E6-D6)*Assumptions!$B$51/100</f>
        <v>-3.5895282864</v>
      </c>
      <c r="F18" s="4" t="n">
        <f aca="false">(F6-E6)*Assumptions!$B$51/100</f>
        <v>-3.39210423064799</v>
      </c>
      <c r="G18" s="4" t="n">
        <f aca="false">(G6-F6)*Assumptions!$B$51/100</f>
        <v>-3.15088792980193</v>
      </c>
      <c r="H18" s="4" t="n">
        <f aca="false">(H6-G6)*Assumptions!$B$51/100</f>
        <v>-2.86730801611975</v>
      </c>
      <c r="I18" s="4" t="n">
        <f aca="false">(I6-H6)*Assumptions!$B$51/100</f>
        <v>-2.5437118257291</v>
      </c>
      <c r="J18" s="4" t="n">
        <f aca="false">(J6-I6)*Assumptions!$B$51/100</f>
        <v>-2.62002318050097</v>
      </c>
      <c r="K18" s="4" t="n">
        <f aca="false">(K6-J6)*Assumptions!$B$51/100</f>
        <v>-2.5187156175216</v>
      </c>
      <c r="L18" s="4" t="n">
        <f aca="false">(L6-K6)*Assumptions!$B$51/100</f>
        <v>-2.5892396548122</v>
      </c>
    </row>
    <row r="19" customFormat="false" ht="15" hidden="false" customHeight="false" outlineLevel="0" collapsed="false">
      <c r="A19" s="0" t="s">
        <v>145</v>
      </c>
      <c r="C19" s="0" t="n">
        <f aca="false">C15+C16+C17+C18</f>
        <v>17.7874720128</v>
      </c>
      <c r="D19" s="0" t="n">
        <f aca="false">D15+D16+D17+D18</f>
        <v>20.474714710912</v>
      </c>
      <c r="E19" s="0" t="n">
        <f aca="false">E15+E16+E17+E18</f>
        <v>24.552373478976</v>
      </c>
      <c r="F19" s="0" t="n">
        <f aca="false">F15+F16+F17+F18</f>
        <v>26.5938459013003</v>
      </c>
      <c r="G19" s="0" t="n">
        <f aca="false">G15+G16+G17+G18</f>
        <v>30.0006542756207</v>
      </c>
      <c r="H19" s="0" t="n">
        <f aca="false">H15+H16+H17+H18</f>
        <v>32.4620228967843</v>
      </c>
      <c r="I19" s="0" t="n">
        <f aca="false">I15+I16+I17+I18</f>
        <v>34.8935082867625</v>
      </c>
      <c r="J19" s="0" t="n">
        <f aca="false">J15+J16+J17+J18</f>
        <v>37.0197630857317</v>
      </c>
      <c r="K19" s="0" t="n">
        <f aca="false">K15+K16+K17+K18</f>
        <v>38.2309846641656</v>
      </c>
      <c r="L19" s="0" t="n">
        <f aca="false">L15+L16+L17+L18</f>
        <v>40.4421972483966</v>
      </c>
    </row>
    <row r="20" customFormat="false" ht="15" hidden="false" customHeight="false" outlineLevel="0" collapsed="false">
      <c r="A20" s="0" t="s">
        <v>146</v>
      </c>
      <c r="C20" s="0" t="n">
        <f aca="false">1/(1+$B$27/100)^C4</f>
        <v>0.881057268722467</v>
      </c>
      <c r="D20" s="0" t="n">
        <f aca="false">1/(1+$B$27/100)^D4</f>
        <v>0.776261910768693</v>
      </c>
      <c r="E20" s="0" t="n">
        <f aca="false">1/(1+$B$27/100)^E4</f>
        <v>0.683931198915148</v>
      </c>
      <c r="F20" s="0" t="n">
        <f aca="false">1/(1+$B$27/100)^F4</f>
        <v>0.602582554110263</v>
      </c>
      <c r="G20" s="0" t="n">
        <f aca="false">1/(1+$B$27/100)^G4</f>
        <v>0.530909739304196</v>
      </c>
      <c r="H20" s="0" t="n">
        <f aca="false">1/(1+$B$27/100)^H4</f>
        <v>0.467761884849512</v>
      </c>
      <c r="I20" s="0" t="n">
        <f aca="false">1/(1+$B$27/100)^I4</f>
        <v>0.412125008677984</v>
      </c>
      <c r="J20" s="0" t="n">
        <f aca="false">1/(1+$B$27/100)^J4</f>
        <v>0.363105734518048</v>
      </c>
      <c r="K20" s="0" t="n">
        <f aca="false">1/(1+$B$27/100)^K4</f>
        <v>0.319916946711936</v>
      </c>
      <c r="L20" s="0" t="n">
        <f aca="false">1/(1+$B$27/100)^L4</f>
        <v>0.28186515128805</v>
      </c>
    </row>
    <row r="21" customFormat="false" ht="15" hidden="false" customHeight="false" outlineLevel="0" collapsed="false">
      <c r="A21" s="0" t="s">
        <v>147</v>
      </c>
      <c r="C21" s="0" t="n">
        <f aca="false">C19*C20</f>
        <v>15.6717815090749</v>
      </c>
      <c r="D21" s="0" t="n">
        <f aca="false">D19*D20</f>
        <v>15.8937411639364</v>
      </c>
      <c r="E21" s="0" t="n">
        <f aca="false">E19*E20</f>
        <v>16.7921342296885</v>
      </c>
      <c r="F21" s="0" t="n">
        <f aca="false">F19*F20</f>
        <v>16.0249875868203</v>
      </c>
      <c r="G21" s="0" t="n">
        <f aca="false">G19*G20</f>
        <v>15.9276395404251</v>
      </c>
      <c r="H21" s="0" t="n">
        <f aca="false">H19*H20</f>
        <v>15.1844970162278</v>
      </c>
      <c r="I21" s="0" t="n">
        <f aca="false">I19*I20</f>
        <v>14.3804874054873</v>
      </c>
      <c r="J21" s="0" t="n">
        <f aca="false">J19*J20</f>
        <v>13.4420882669287</v>
      </c>
      <c r="K21" s="0" t="n">
        <f aca="false">K19*K20</f>
        <v>12.2307398835507</v>
      </c>
      <c r="L21" s="0" t="n">
        <f aca="false">L19*L20</f>
        <v>11.3992460458405</v>
      </c>
    </row>
    <row r="23" customFormat="false" ht="15" hidden="false" customHeight="false" outlineLevel="0" collapsed="false">
      <c r="A23" s="0" t="s">
        <v>123</v>
      </c>
      <c r="C23" s="4" t="n">
        <f aca="false">Assumptions!C44</f>
        <v>0</v>
      </c>
      <c r="D23" s="4" t="n">
        <f aca="false">Assumptions!D44</f>
        <v>0</v>
      </c>
      <c r="E23" s="4" t="n">
        <f aca="false">Assumptions!E44</f>
        <v>0</v>
      </c>
      <c r="F23" s="4" t="n">
        <f aca="false">Assumptions!F44</f>
        <v>0</v>
      </c>
      <c r="G23" s="4" t="n">
        <f aca="false">Assumptions!G44</f>
        <v>0</v>
      </c>
      <c r="H23" s="4" t="n">
        <f aca="false">Assumptions!H44</f>
        <v>0</v>
      </c>
      <c r="I23" s="4" t="n">
        <f aca="false">Assumptions!I44</f>
        <v>0</v>
      </c>
      <c r="J23" s="4" t="n">
        <f aca="false">Assumptions!J44</f>
        <v>0</v>
      </c>
      <c r="K23" s="4" t="n">
        <f aca="false">Assumptions!K44</f>
        <v>0</v>
      </c>
      <c r="L23" s="4" t="n">
        <f aca="false">Assumptions!L44</f>
        <v>0</v>
      </c>
    </row>
    <row r="24" customFormat="false" ht="15" hidden="false" customHeight="false" outlineLevel="0" collapsed="false">
      <c r="A24" s="0" t="s">
        <v>148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149</v>
      </c>
    </row>
    <row r="27" customFormat="false" ht="15" hidden="false" customHeight="false" outlineLevel="0" collapsed="false">
      <c r="A27" s="0" t="s">
        <v>127</v>
      </c>
      <c r="B27" s="4" t="n">
        <f aca="false">Assumptions!$B$48</f>
        <v>13.5</v>
      </c>
    </row>
    <row r="28" customFormat="false" ht="15" hidden="false" customHeight="false" outlineLevel="0" collapsed="false">
      <c r="A28" s="0" t="s">
        <v>128</v>
      </c>
      <c r="B28" s="4" t="n">
        <f aca="false">Assumptions!$B$49</f>
        <v>2.7</v>
      </c>
    </row>
    <row r="29" customFormat="false" ht="15" hidden="false" customHeight="false" outlineLevel="0" collapsed="false">
      <c r="A29" s="0" t="s">
        <v>129</v>
      </c>
      <c r="B29" s="4" t="n">
        <f aca="false">Assumptions!$B$50</f>
        <v>15</v>
      </c>
    </row>
    <row r="30" customFormat="false" ht="15" hidden="false" customHeight="false" outlineLevel="0" collapsed="false">
      <c r="A30" s="0" t="s">
        <v>150</v>
      </c>
      <c r="B30" s="0" t="n">
        <f aca="false">SUM(C21:L21)</f>
        <v>146.94734264798</v>
      </c>
    </row>
    <row r="31" customFormat="false" ht="15" hidden="false" customHeight="false" outlineLevel="0" collapsed="false">
      <c r="A31" s="0" t="s">
        <v>151</v>
      </c>
      <c r="B31" s="0" t="n">
        <f aca="false">L19</f>
        <v>40.4421972483966</v>
      </c>
    </row>
    <row r="32" customFormat="false" ht="15" hidden="false" customHeight="false" outlineLevel="0" collapsed="false">
      <c r="A32" s="0" t="s">
        <v>152</v>
      </c>
      <c r="B32" s="0" t="n">
        <f aca="false">IF(B27&gt;B28,B31*(1+B28/100)/((B27-B28)/100),B31*B29)</f>
        <v>384.575338649105</v>
      </c>
    </row>
    <row r="33" customFormat="false" ht="15" hidden="false" customHeight="false" outlineLevel="0" collapsed="false">
      <c r="A33" s="0" t="s">
        <v>153</v>
      </c>
      <c r="B33" s="0" t="n">
        <f aca="false">B31*B29</f>
        <v>606.63295872595</v>
      </c>
    </row>
    <row r="34" customFormat="false" ht="15" hidden="false" customHeight="false" outlineLevel="0" collapsed="false">
      <c r="A34" s="0" t="s">
        <v>154</v>
      </c>
      <c r="B34" s="0" t="n">
        <f aca="false">MAX(0,MIN(B32,B33))</f>
        <v>384.575338649105</v>
      </c>
    </row>
    <row r="35" customFormat="false" ht="15" hidden="false" customHeight="false" outlineLevel="0" collapsed="false">
      <c r="A35" s="0" t="s">
        <v>155</v>
      </c>
      <c r="B35" s="0" t="n">
        <f aca="false">B34/(1+B27/100)^L4</f>
        <v>108.398386009983</v>
      </c>
    </row>
    <row r="36" customFormat="false" ht="15" hidden="false" customHeight="false" outlineLevel="0" collapsed="false">
      <c r="A36" s="0" t="s">
        <v>156</v>
      </c>
      <c r="B36" s="0" t="n">
        <f aca="false">B30+B35</f>
        <v>255.345728657963</v>
      </c>
    </row>
    <row r="37" customFormat="false" ht="15" hidden="false" customHeight="false" outlineLevel="0" collapsed="false">
      <c r="A37" s="0" t="s">
        <v>157</v>
      </c>
      <c r="B37" s="0" t="n">
        <f aca="false">B36+Assumptions!$B$5-Assumptions!$B$4</f>
        <v>306.365728657963</v>
      </c>
    </row>
    <row r="38" customFormat="false" ht="15" hidden="false" customHeight="false" outlineLevel="0" collapsed="false">
      <c r="A38" s="0" t="s">
        <v>158</v>
      </c>
      <c r="B38" s="0" t="n">
        <f aca="false">B37/Assumptions!$B$3*Assumptions!$B$10</f>
        <v>9.37041531298251</v>
      </c>
    </row>
    <row r="39" customFormat="false" ht="15" hidden="false" customHeight="false" outlineLevel="0" collapsed="false">
      <c r="A39" s="0" t="s">
        <v>159</v>
      </c>
      <c r="B39" s="4" t="n">
        <f aca="false">B38/Assumptions!$B$2-1</f>
        <v>0.281862559915528</v>
      </c>
    </row>
    <row r="41" customFormat="false" ht="15" hidden="false" customHeight="false" outlineLevel="0" collapsed="false">
      <c r="A41" s="0" t="s">
        <v>160</v>
      </c>
      <c r="B41" s="0" t="n">
        <f aca="false">SUMPRODUCT(-C10:L10/(1+$B$27/100)^C4:L4)</f>
        <v>0</v>
      </c>
    </row>
    <row r="42" customFormat="false" ht="15" hidden="false" customHeight="false" outlineLevel="0" collapsed="false">
      <c r="A42" s="0" t="s">
        <v>161</v>
      </c>
      <c r="B42" s="0" t="n">
        <f aca="false">IF(B27&gt;B28,-L10*(1+B28/100)/((B27-B28)/100),-L10*20)/(1+B27/100)^L4</f>
        <v>0</v>
      </c>
    </row>
    <row r="43" customFormat="false" ht="15" hidden="false" customHeight="false" outlineLevel="0" collapsed="false">
      <c r="A43" s="0" t="s">
        <v>162</v>
      </c>
      <c r="B43" s="0" t="n">
        <f aca="false">(B37+B41+B42)/Assumptions!$B$3*Assumptions!$B$10</f>
        <v>9.37041531298251</v>
      </c>
    </row>
    <row r="45" customFormat="false" ht="15" hidden="false" customHeight="false" outlineLevel="0" collapsed="false">
      <c r="A45" s="0" t="s">
        <v>103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163</v>
      </c>
      <c r="B46" s="0" t="n">
        <f aca="false">MAX(0,MIN(IF(B45&gt;B28,B31*(1+B28/100)/((B45-B28)/100),B31*B29),B31*B29))</f>
        <v>337.675907106531</v>
      </c>
    </row>
    <row r="47" customFormat="false" ht="15" hidden="false" customHeight="false" outlineLevel="0" collapsed="false">
      <c r="A47" s="0" t="s">
        <v>164</v>
      </c>
      <c r="B47" s="0" t="n">
        <f aca="false">(SUMPRODUCT(C19:L19/(1+B45/100)^C4:L4)+B46/(1+B45/100)^L4+Assumptions!$B$5-Assumptions!$B$4)/Assumptions!$B$3*Assumptions!$B$10</f>
        <v>8.31380893636908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2" t="s">
        <v>167</v>
      </c>
    </row>
    <row r="3" customFormat="false" ht="15" hidden="false" customHeight="false" outlineLevel="0" collapsed="false">
      <c r="A3" s="2" t="s">
        <v>168</v>
      </c>
      <c r="B3" s="2" t="s">
        <v>169</v>
      </c>
      <c r="C3" s="2" t="s">
        <v>159</v>
      </c>
      <c r="D3" s="2" t="s">
        <v>170</v>
      </c>
      <c r="E3" s="2" t="s">
        <v>162</v>
      </c>
      <c r="F3" s="2" t="s">
        <v>171</v>
      </c>
    </row>
    <row r="4" customFormat="false" ht="15" hidden="false" customHeight="false" outlineLevel="0" collapsed="false">
      <c r="A4" s="0" t="s">
        <v>172</v>
      </c>
      <c r="B4" s="4" t="n">
        <f aca="false">DCF_Bear!$B$38</f>
        <v>5.46065041199282</v>
      </c>
      <c r="C4" s="0" t="n">
        <f aca="false">B4/Assumptions!$B$2-1</f>
        <v>-0.252988999727384</v>
      </c>
      <c r="D4" s="4" t="n">
        <f aca="false">Assumptions!$B$24</f>
        <v>0.25</v>
      </c>
      <c r="E4" s="4" t="n">
        <f aca="false">DCF_Bear!$B$43</f>
        <v>5.46065041199282</v>
      </c>
      <c r="F4" s="4" t="n">
        <f aca="false">DCF_Bear!$B$47</f>
        <v>5.03566810786951</v>
      </c>
    </row>
    <row r="5" customFormat="false" ht="15" hidden="false" customHeight="false" outlineLevel="0" collapsed="false">
      <c r="A5" s="0" t="s">
        <v>173</v>
      </c>
      <c r="B5" s="4" t="n">
        <f aca="false">DCF_Base!$B$38</f>
        <v>6.85253589607609</v>
      </c>
      <c r="C5" s="0" t="n">
        <f aca="false">B5/Assumptions!$B$2-1</f>
        <v>-0.0625805887720806</v>
      </c>
      <c r="D5" s="4" t="n">
        <f aca="false">Assumptions!$B$38</f>
        <v>0.5</v>
      </c>
      <c r="E5" s="4" t="n">
        <f aca="false">DCF_Base!$B$43</f>
        <v>6.85253589607609</v>
      </c>
      <c r="F5" s="4" t="n">
        <f aca="false">DCF_Base!$B$47</f>
        <v>6.20242092114812</v>
      </c>
    </row>
    <row r="6" customFormat="false" ht="15" hidden="false" customHeight="false" outlineLevel="0" collapsed="false">
      <c r="A6" s="0" t="s">
        <v>174</v>
      </c>
      <c r="B6" s="4" t="n">
        <f aca="false">DCF_Bull!$B$38</f>
        <v>9.37041531298251</v>
      </c>
      <c r="C6" s="0" t="n">
        <f aca="false">B6/Assumptions!$B$2-1</f>
        <v>0.281862559915528</v>
      </c>
      <c r="D6" s="4" t="n">
        <f aca="false">Assumptions!$B$52</f>
        <v>0.25</v>
      </c>
      <c r="E6" s="4" t="n">
        <f aca="false">DCF_Bull!$B$43</f>
        <v>9.37041531298251</v>
      </c>
      <c r="F6" s="4" t="n">
        <f aca="false">DCF_Bull!$B$47</f>
        <v>8.31380893636908</v>
      </c>
    </row>
    <row r="8" customFormat="false" ht="15" hidden="false" customHeight="false" outlineLevel="0" collapsed="false">
      <c r="A8" s="0" t="s">
        <v>175</v>
      </c>
      <c r="B8" s="0" t="n">
        <f aca="false">SUMPRODUCT(B4:B6,D4:D6)</f>
        <v>7.13403437928188</v>
      </c>
    </row>
    <row r="9" customFormat="false" ht="15" hidden="false" customHeight="false" outlineLevel="0" collapsed="false">
      <c r="A9" s="0" t="s">
        <v>176</v>
      </c>
      <c r="B9" s="0" t="n">
        <f aca="false">SUMPRODUCT(E4:E6,D4:D6)</f>
        <v>7.13403437928188</v>
      </c>
    </row>
    <row r="10" customFormat="false" ht="15" hidden="false" customHeight="false" outlineLevel="0" collapsed="false">
      <c r="A10" s="0" t="s">
        <v>177</v>
      </c>
      <c r="B10" s="0" t="n">
        <f aca="false">1-Assumptions!$B$2/B8</f>
        <v>-0.0246656535927479</v>
      </c>
    </row>
    <row r="11" customFormat="false" ht="15" hidden="false" customHeight="false" outlineLevel="0" collapsed="false">
      <c r="A11" s="0" t="s">
        <v>178</v>
      </c>
      <c r="B11" s="0" t="str">
        <f aca="false">IF(ABS(B9-B8)&gt;0.01*ABS(B8),(Assumptions!$B$2-B8)/(B9-B8)*100,"n/a")</f>
        <v>n/a</v>
      </c>
    </row>
    <row r="12" customFormat="false" ht="15" hidden="false" customHeight="false" outlineLevel="0" collapsed="false">
      <c r="A12" s="0" t="s">
        <v>179</v>
      </c>
      <c r="B12" s="0" t="n">
        <f aca="false">SUMPRODUCT(F4:F6,D4:D6)</f>
        <v>6.43857972163371</v>
      </c>
    </row>
    <row r="14" customFormat="false" ht="15" hidden="false" customHeight="false" outlineLevel="0" collapsed="false">
      <c r="A14" s="2" t="s">
        <v>180</v>
      </c>
      <c r="C14" s="0" t="s">
        <v>181</v>
      </c>
    </row>
    <row r="15" customFormat="false" ht="15" hidden="false" customHeight="false" outlineLevel="0" collapsed="false">
      <c r="A15" s="0" t="s">
        <v>182</v>
      </c>
      <c r="B15" s="0" t="n">
        <f aca="false">(SUMPRODUCT(DCF_Base!$C$19:$L$19/(1+$C$15/100)^DCF_Base!$C$4:$L$4)+MAX(0,MIN(IF($C$15&gt;DCF_Base!$B$28,DCF_Base!$L$19*(1+DCF_Base!$B$28/100)/(($C$15-DCF_Base!$B$28)/100),DCF_Base!$L$19*DCF_Base!$B$29),DCF_Base!$L$19*DCF_Base!$B$29))/(1+$C$15/100)^DCF_Base!$L$4+Assumptions!$B$5-Assumptions!$B$4)/Assumptions!$B$3*Assumptions!$B$10</f>
        <v>9.55758988498663</v>
      </c>
      <c r="C15" s="3" t="n">
        <v>9</v>
      </c>
    </row>
    <row r="16" customFormat="false" ht="15" hidden="false" customHeight="false" outlineLevel="0" collapsed="false">
      <c r="A16" s="0" t="s">
        <v>183</v>
      </c>
      <c r="B16" s="0" t="n">
        <f aca="false">(SUMPRODUCT(DCF_Base!$C$19:$L$19/(1+$C$16/100)^DCF_Base!$C$4:$L$4)+MAX(0,MIN(IF($C$16&gt;DCF_Base!$B$28,DCF_Base!$L$19*(1+DCF_Base!$B$28/100)/(($C$16-DCF_Base!$B$28)/100),DCF_Base!$L$19*DCF_Base!$B$29),DCF_Base!$L$19*DCF_Base!$B$29))/(1+$C$16/100)^DCF_Base!$L$4+Assumptions!$B$5-Assumptions!$B$4)/Assumptions!$B$3*Assumptions!$B$10</f>
        <v>9.0276001724653</v>
      </c>
      <c r="C16" s="3" t="n">
        <v>10</v>
      </c>
    </row>
    <row r="17" customFormat="false" ht="15" hidden="false" customHeight="false" outlineLevel="0" collapsed="false">
      <c r="A17" s="0" t="s">
        <v>184</v>
      </c>
      <c r="B17" s="0" t="n">
        <f aca="false">(SUMPRODUCT(DCF_Base!$C$19:$L$19/(1+$C$17/100)^DCF_Base!$C$4:$L$4)+MAX(0,MIN(IF($C$17&gt;DCF_Base!$B$28,DCF_Base!$L$19*(1+DCF_Base!$B$28/100)/(($C$17-DCF_Base!$B$28)/100),DCF_Base!$L$19*DCF_Base!$B$29),DCF_Base!$L$19*DCF_Base!$B$29))/(1+$C$17/100)^DCF_Base!$L$4+Assumptions!$B$5-Assumptions!$B$4)/Assumptions!$B$3*Assumptions!$B$10</f>
        <v>8.43690058275036</v>
      </c>
      <c r="C17" s="3" t="n">
        <v>11</v>
      </c>
    </row>
    <row r="18" customFormat="false" ht="15" hidden="false" customHeight="false" outlineLevel="0" collapsed="false">
      <c r="A18" s="0" t="s">
        <v>185</v>
      </c>
      <c r="B18" s="0" t="n">
        <f aca="false">(SUMPRODUCT(DCF_Base!$C$19:$L$19/(1+$C$18/100)^DCF_Base!$C$4:$L$4)+MAX(0,MIN(IF($C$18&gt;DCF_Base!$B$28,DCF_Base!$L$19*(1+DCF_Base!$B$28/100)/(($C$18-DCF_Base!$B$28)/100),DCF_Base!$L$19*DCF_Base!$B$29),DCF_Base!$L$19*DCF_Base!$B$29))/(1+$C$18/100)^DCF_Base!$L$4+Assumptions!$B$5-Assumptions!$B$4)/Assumptions!$B$3*Assumptions!$B$10</f>
        <v>7.70494746539211</v>
      </c>
      <c r="C18" s="3" t="n">
        <v>12</v>
      </c>
    </row>
    <row r="19" customFormat="false" ht="15" hidden="false" customHeight="false" outlineLevel="0" collapsed="false">
      <c r="A19" s="0" t="s">
        <v>186</v>
      </c>
      <c r="B19" s="0" t="n">
        <f aca="false">(SUMPRODUCT(DCF_Base!$C$19:$L$19/(1+$C$19/100)^DCF_Base!$C$4:$L$4)+MAX(0,MIN(IF($C$19&gt;DCF_Base!$B$28,DCF_Base!$L$19*(1+DCF_Base!$B$28/100)/(($C$19-DCF_Base!$B$28)/100),DCF_Base!$L$19*DCF_Base!$B$29),DCF_Base!$L$19*DCF_Base!$B$29))/(1+$C$19/100)^DCF_Base!$L$4+Assumptions!$B$5-Assumptions!$B$4)/Assumptions!$B$3*Assumptions!$B$10</f>
        <v>6.85253589607609</v>
      </c>
      <c r="C19" s="3" t="n">
        <v>13.5</v>
      </c>
    </row>
    <row r="20" customFormat="false" ht="15" hidden="false" customHeight="false" outlineLevel="0" collapsed="false">
      <c r="A20" s="0" t="s">
        <v>187</v>
      </c>
      <c r="B20" s="0" t="n">
        <f aca="false">(SUMPRODUCT(DCF_Base!$C$19:$L$19/(1+$C$20/100)^DCF_Base!$C$4:$L$4)+MAX(0,MIN(IF($C$20&gt;DCF_Base!$B$28,DCF_Base!$L$19*(1+DCF_Base!$B$28/100)/(($C$20-DCF_Base!$B$28)/100),DCF_Base!$L$19*DCF_Base!$B$29),DCF_Base!$L$19*DCF_Base!$B$29))/(1+$C$20/100)^DCF_Base!$L$4+Assumptions!$B$5-Assumptions!$B$4)/Assumptions!$B$3*Assumptions!$B$10</f>
        <v>6.20242092114812</v>
      </c>
      <c r="C20" s="3" t="n">
        <v>15</v>
      </c>
    </row>
    <row r="22" customFormat="false" ht="15" hidden="false" customHeight="false" outlineLevel="0" collapsed="false">
      <c r="A22" s="2" t="s">
        <v>188</v>
      </c>
    </row>
    <row r="23" customFormat="false" ht="15" hidden="false" customHeight="false" outlineLevel="0" collapsed="false">
      <c r="B23" s="3" t="n">
        <v>1.2</v>
      </c>
      <c r="C23" s="3" t="n">
        <v>1.7</v>
      </c>
      <c r="D23" s="3" t="n">
        <v>2.2</v>
      </c>
      <c r="E23" s="3" t="n">
        <v>2.7</v>
      </c>
      <c r="F23" s="3" t="n">
        <v>3.2</v>
      </c>
    </row>
    <row r="24" customFormat="false" ht="15" hidden="false" customHeight="false" outlineLevel="0" collapsed="false">
      <c r="A24" s="3" t="n">
        <v>11.5</v>
      </c>
      <c r="B24" s="0" t="n">
        <f aca="false">(SUMPRODUCT(DCF_Base!$C$19:$L$19/(1+$A$24/100)^DCF_Base!$C$4:$L$4)+MAX(0,MIN(IF($A$24&gt;$B$23,DCF_Base!$L$19*(1+$B$23/100)/(($A$24-$B$23)/100),DCF_Base!$L$19*DCF_Base!$B$29),DCF_Base!$L$19*DCF_Base!$B$29))/(1+$A$24/100)^DCF_Base!$L$4+Assumptions!$B$5-Assumptions!$B$4)/Assumptions!$B$3*Assumptions!$B$10</f>
        <v>7.74572030465263</v>
      </c>
      <c r="C24" s="0" t="n">
        <f aca="false">(SUMPRODUCT(DCF_Base!$C$19:$L$19/(1+$A$24/100)^DCF_Base!$C$4:$L$4)+MAX(0,MIN(IF($A$24&gt;$C$23,DCF_Base!$L$19*(1+$C$23/100)/(($A$24-$C$23)/100),DCF_Base!$L$19*DCF_Base!$B$29),DCF_Base!$L$19*DCF_Base!$B$29))/(1+$A$24/100)^DCF_Base!$L$4+Assumptions!$B$5-Assumptions!$B$4)/Assumptions!$B$3*Assumptions!$B$10</f>
        <v>7.89058456430162</v>
      </c>
      <c r="D24" s="0" t="n">
        <f aca="false">(SUMPRODUCT(DCF_Base!$C$19:$L$19/(1+$A$24/100)^DCF_Base!$C$4:$L$4)+MAX(0,MIN(IF($A$24&gt;$D$23,DCF_Base!$L$19*(1+$D$23/100)/(($A$24-$D$23)/100),DCF_Base!$L$19*DCF_Base!$B$29),DCF_Base!$L$19*DCF_Base!$B$29))/(1+$A$24/100)^DCF_Base!$L$4+Assumptions!$B$5-Assumptions!$B$4)/Assumptions!$B$3*Assumptions!$B$10</f>
        <v>8.05102562606339</v>
      </c>
      <c r="E24" s="0" t="n">
        <f aca="false">(SUMPRODUCT(DCF_Base!$C$19:$L$19/(1+$A$24/100)^DCF_Base!$C$4:$L$4)+MAX(0,MIN(IF($A$24&gt;$E$23,DCF_Base!$L$19*(1+$E$23/100)/(($A$24-$E$23)/100),DCF_Base!$L$19*DCF_Base!$B$29),DCF_Base!$L$19*DCF_Base!$B$29))/(1+$A$24/100)^DCF_Base!$L$4+Assumptions!$B$5-Assumptions!$B$4)/Assumptions!$B$3*Assumptions!$B$10</f>
        <v>8.22969862666174</v>
      </c>
      <c r="F24" s="0" t="n">
        <f aca="false">(SUMPRODUCT(DCF_Base!$C$19:$L$19/(1+$A$24/100)^DCF_Base!$C$4:$L$4)+MAX(0,MIN(IF($A$24&gt;$F$23,DCF_Base!$L$19*(1+$F$23/100)/(($A$24-$F$23)/100),DCF_Base!$L$19*DCF_Base!$B$29),DCF_Base!$L$19*DCF_Base!$B$29))/(1+$A$24/100)^DCF_Base!$L$4+Assumptions!$B$5-Assumptions!$B$4)/Assumptions!$B$3*Assumptions!$B$10</f>
        <v>8.316134695292</v>
      </c>
    </row>
    <row r="25" customFormat="false" ht="15" hidden="false" customHeight="false" outlineLevel="0" collapsed="false">
      <c r="A25" s="3" t="n">
        <v>12.5</v>
      </c>
      <c r="B25" s="0" t="n">
        <f aca="false">(SUMPRODUCT(DCF_Base!$C$19:$L$19/(1+$A$25/100)^DCF_Base!$C$4:$L$4)+MAX(0,MIN(IF($A$25&gt;$B$23,DCF_Base!$L$19*(1+$B$23/100)/(($A$25-$B$23)/100),DCF_Base!$L$19*DCF_Base!$B$29),DCF_Base!$L$19*DCF_Base!$B$29))/(1+$A$25/100)^DCF_Base!$L$4+Assumptions!$B$5-Assumptions!$B$4)/Assumptions!$B$3*Assumptions!$B$10</f>
        <v>7.1609882919459</v>
      </c>
      <c r="C25" s="0" t="n">
        <f aca="false">(SUMPRODUCT(DCF_Base!$C$19:$L$19/(1+$A$25/100)^DCF_Base!$C$4:$L$4)+MAX(0,MIN(IF($A$25&gt;$C$23,DCF_Base!$L$19*(1+$C$23/100)/(($A$25-$C$23)/100),DCF_Base!$L$19*DCF_Base!$B$29),DCF_Base!$L$19*DCF_Base!$B$29))/(1+$A$25/100)^DCF_Base!$L$4+Assumptions!$B$5-Assumptions!$B$4)/Assumptions!$B$3*Assumptions!$B$10</f>
        <v>7.271554765198</v>
      </c>
      <c r="D25" s="0" t="n">
        <f aca="false">(SUMPRODUCT(DCF_Base!$C$19:$L$19/(1+$A$25/100)^DCF_Base!$C$4:$L$4)+MAX(0,MIN(IF($A$25&gt;$D$23,DCF_Base!$L$19*(1+$D$23/100)/(($A$25-$D$23)/100),DCF_Base!$L$19*DCF_Base!$B$29),DCF_Base!$L$19*DCF_Base!$B$29))/(1+$A$25/100)^DCF_Base!$L$4+Assumptions!$B$5-Assumptions!$B$4)/Assumptions!$B$3*Assumptions!$B$10</f>
        <v>7.39285584750369</v>
      </c>
      <c r="E25" s="0" t="n">
        <f aca="false">(SUMPRODUCT(DCF_Base!$C$19:$L$19/(1+$A$25/100)^DCF_Base!$C$4:$L$4)+MAX(0,MIN(IF($A$25&gt;$E$23,DCF_Base!$L$19*(1+$E$23/100)/(($A$25-$E$23)/100),DCF_Base!$L$19*DCF_Base!$B$29),DCF_Base!$L$19*DCF_Base!$B$29))/(1+$A$25/100)^DCF_Base!$L$4+Assumptions!$B$5-Assumptions!$B$4)/Assumptions!$B$3*Assumptions!$B$10</f>
        <v>7.52653459126915</v>
      </c>
      <c r="F25" s="0" t="n">
        <f aca="false">(SUMPRODUCT(DCF_Base!$C$19:$L$19/(1+$A$25/100)^DCF_Base!$C$4:$L$4)+MAX(0,MIN(IF($A$25&gt;$F$23,DCF_Base!$L$19*(1+$F$23/100)/(($A$25-$F$23)/100),DCF_Base!$L$19*DCF_Base!$B$29),DCF_Base!$L$19*DCF_Base!$B$29))/(1+$A$25/100)^DCF_Base!$L$4+Assumptions!$B$5-Assumptions!$B$4)/Assumptions!$B$3*Assumptions!$B$10</f>
        <v>7.67458739350402</v>
      </c>
    </row>
    <row r="26" customFormat="false" ht="15" hidden="false" customHeight="false" outlineLevel="0" collapsed="false">
      <c r="A26" s="3" t="n">
        <v>13.5</v>
      </c>
      <c r="B26" s="0" t="n">
        <f aca="false">(SUMPRODUCT(DCF_Base!$C$19:$L$19/(1+$A$26/100)^DCF_Base!$C$4:$L$4)+MAX(0,MIN(IF($A$26&gt;$B$23,DCF_Base!$L$19*(1+$B$23/100)/(($A$26-$B$23)/100),DCF_Base!$L$19*DCF_Base!$B$29),DCF_Base!$L$19*DCF_Base!$B$29))/(1+$A$26/100)^DCF_Base!$L$4+Assumptions!$B$5-Assumptions!$B$4)/Assumptions!$B$3*Assumptions!$B$10</f>
        <v>6.67323517131024</v>
      </c>
      <c r="C26" s="0" t="n">
        <f aca="false">(SUMPRODUCT(DCF_Base!$C$19:$L$19/(1+$A$26/100)^DCF_Base!$C$4:$L$4)+MAX(0,MIN(IF($A$26&gt;$C$23,DCF_Base!$L$19*(1+$C$23/100)/(($A$26-$C$23)/100),DCF_Base!$L$19*DCF_Base!$B$29),DCF_Base!$L$19*DCF_Base!$B$29))/(1+$A$26/100)^DCF_Base!$L$4+Assumptions!$B$5-Assumptions!$B$4)/Assumptions!$B$3*Assumptions!$B$10</f>
        <v>6.75908678952439</v>
      </c>
      <c r="D26" s="0" t="n">
        <f aca="false">(SUMPRODUCT(DCF_Base!$C$19:$L$19/(1+$A$26/100)^DCF_Base!$C$4:$L$4)+MAX(0,MIN(IF($A$26&gt;$D$23,DCF_Base!$L$19*(1+$D$23/100)/(($A$26-$D$23)/100),DCF_Base!$L$19*DCF_Base!$B$29),DCF_Base!$L$19*DCF_Base!$B$29))/(1+$A$26/100)^DCF_Base!$L$4+Assumptions!$B$5-Assumptions!$B$4)/Assumptions!$B$3*Assumptions!$B$10</f>
        <v>6.85253589607609</v>
      </c>
      <c r="E26" s="0" t="n">
        <f aca="false">(SUMPRODUCT(DCF_Base!$C$19:$L$19/(1+$A$26/100)^DCF_Base!$C$4:$L$4)+MAX(0,MIN(IF($A$26&gt;$E$23,DCF_Base!$L$19*(1+$E$23/100)/(($A$26-$E$23)/100),DCF_Base!$L$19*DCF_Base!$B$29),DCF_Base!$L$19*DCF_Base!$B$29))/(1+$A$26/100)^DCF_Base!$L$4+Assumptions!$B$5-Assumptions!$B$4)/Assumptions!$B$3*Assumptions!$B$10</f>
        <v>6.95463769767887</v>
      </c>
      <c r="F26" s="0" t="n">
        <f aca="false">(SUMPRODUCT(DCF_Base!$C$19:$L$19/(1+$A$26/100)^DCF_Base!$C$4:$L$4)+MAX(0,MIN(IF($A$26&gt;$F$23,DCF_Base!$L$19*(1+$F$23/100)/(($A$26-$F$23)/100),DCF_Base!$L$19*DCF_Base!$B$29),DCF_Base!$L$19*DCF_Base!$B$29))/(1+$A$26/100)^DCF_Base!$L$4+Assumptions!$B$5-Assumptions!$B$4)/Assumptions!$B$3*Assumptions!$B$10</f>
        <v>7.06665229555376</v>
      </c>
    </row>
    <row r="27" customFormat="false" ht="15" hidden="false" customHeight="false" outlineLevel="0" collapsed="false">
      <c r="A27" s="3" t="n">
        <v>14.5</v>
      </c>
      <c r="B27" s="0" t="n">
        <f aca="false">(SUMPRODUCT(DCF_Base!$C$19:$L$19/(1+$A$27/100)^DCF_Base!$C$4:$L$4)+MAX(0,MIN(IF($A$27&gt;$B$23,DCF_Base!$L$19*(1+$B$23/100)/(($A$27-$B$23)/100),DCF_Base!$L$19*DCF_Base!$B$29),DCF_Base!$L$19*DCF_Base!$B$29))/(1+$A$27/100)^DCF_Base!$L$4+Assumptions!$B$5-Assumptions!$B$4)/Assumptions!$B$3*Assumptions!$B$10</f>
        <v>6.26046028292737</v>
      </c>
      <c r="C27" s="0" t="n">
        <f aca="false">(SUMPRODUCT(DCF_Base!$C$19:$L$19/(1+$A$27/100)^DCF_Base!$C$4:$L$4)+MAX(0,MIN(IF($A$27&gt;$C$23,DCF_Base!$L$19*(1+$C$23/100)/(($A$27-$C$23)/100),DCF_Base!$L$19*DCF_Base!$B$29),DCF_Base!$L$19*DCF_Base!$B$29))/(1+$A$27/100)^DCF_Base!$L$4+Assumptions!$B$5-Assumptions!$B$4)/Assumptions!$B$3*Assumptions!$B$10</f>
        <v>6.32809775496323</v>
      </c>
      <c r="D27" s="0" t="n">
        <f aca="false">(SUMPRODUCT(DCF_Base!$C$19:$L$19/(1+$A$27/100)^DCF_Base!$C$4:$L$4)+MAX(0,MIN(IF($A$27&gt;$D$23,DCF_Base!$L$19*(1+$D$23/100)/(($A$27-$D$23)/100),DCF_Base!$L$19*DCF_Base!$B$29),DCF_Base!$L$19*DCF_Base!$B$29))/(1+$A$27/100)^DCF_Base!$L$4+Assumptions!$B$5-Assumptions!$B$4)/Assumptions!$B$3*Assumptions!$B$10</f>
        <v>6.40123420846542</v>
      </c>
      <c r="E27" s="0" t="n">
        <f aca="false">(SUMPRODUCT(DCF_Base!$C$19:$L$19/(1+$A$27/100)^DCF_Base!$C$4:$L$4)+MAX(0,MIN(IF($A$27&gt;$E$23,DCF_Base!$L$19*(1+$E$23/100)/(($A$27-$E$23)/100),DCF_Base!$L$19*DCF_Base!$B$29),DCF_Base!$L$19*DCF_Base!$B$29))/(1+$A$27/100)^DCF_Base!$L$4+Assumptions!$B$5-Assumptions!$B$4)/Assumptions!$B$3*Assumptions!$B$10</f>
        <v>6.4805686665017</v>
      </c>
      <c r="F27" s="0" t="n">
        <f aca="false">(SUMPRODUCT(DCF_Base!$C$19:$L$19/(1+$A$27/100)^DCF_Base!$C$4:$L$4)+MAX(0,MIN(IF($A$27&gt;$F$23,DCF_Base!$L$19*(1+$F$23/100)/(($A$27-$F$23)/100),DCF_Base!$L$19*DCF_Base!$B$29),DCF_Base!$L$19*DCF_Base!$B$29))/(1+$A$27/100)^DCF_Base!$L$4+Assumptions!$B$5-Assumptions!$B$4)/Assumptions!$B$3*Assumptions!$B$10</f>
        <v>6.56692387303676</v>
      </c>
    </row>
    <row r="28" customFormat="false" ht="15" hidden="false" customHeight="false" outlineLevel="0" collapsed="false">
      <c r="A28" s="3" t="n">
        <v>15.5</v>
      </c>
      <c r="B28" s="0" t="n">
        <f aca="false">(SUMPRODUCT(DCF_Base!$C$19:$L$19/(1+$A$28/100)^DCF_Base!$C$4:$L$4)+MAX(0,MIN(IF($A$28&gt;$B$23,DCF_Base!$L$19*(1+$B$23/100)/(($A$28-$B$23)/100),DCF_Base!$L$19*DCF_Base!$B$29),DCF_Base!$L$19*DCF_Base!$B$29))/(1+$A$28/100)^DCF_Base!$L$4+Assumptions!$B$5-Assumptions!$B$4)/Assumptions!$B$3*Assumptions!$B$10</f>
        <v>5.90682682545472</v>
      </c>
      <c r="C28" s="0" t="n">
        <f aca="false">(SUMPRODUCT(DCF_Base!$C$19:$L$19/(1+$A$28/100)^DCF_Base!$C$4:$L$4)+MAX(0,MIN(IF($A$28&gt;$C$23,DCF_Base!$L$19*(1+$C$23/100)/(($A$28-$C$23)/100),DCF_Base!$L$19*DCF_Base!$B$29),DCF_Base!$L$19*DCF_Base!$B$29))/(1+$A$28/100)^DCF_Base!$L$4+Assumptions!$B$5-Assumptions!$B$4)/Assumptions!$B$3*Assumptions!$B$10</f>
        <v>5.9607835249414</v>
      </c>
      <c r="D28" s="0" t="n">
        <f aca="false">(SUMPRODUCT(DCF_Base!$C$19:$L$19/(1+$A$28/100)^DCF_Base!$C$4:$L$4)+MAX(0,MIN(IF($A$28&gt;$D$23,DCF_Base!$L$19*(1+$D$23/100)/(($A$28-$D$23)/100),DCF_Base!$L$19*DCF_Base!$B$29),DCF_Base!$L$19*DCF_Base!$B$29))/(1+$A$28/100)^DCF_Base!$L$4+Assumptions!$B$5-Assumptions!$B$4)/Assumptions!$B$3*Assumptions!$B$10</f>
        <v>6.01879711912633</v>
      </c>
      <c r="E28" s="0" t="n">
        <f aca="false">(SUMPRODUCT(DCF_Base!$C$19:$L$19/(1+$A$28/100)^DCF_Base!$C$4:$L$4)+MAX(0,MIN(IF($A$28&gt;$E$23,DCF_Base!$L$19*(1+$E$23/100)/(($A$28-$E$23)/100),DCF_Base!$L$19*DCF_Base!$B$29),DCF_Base!$L$19*DCF_Base!$B$29))/(1+$A$28/100)^DCF_Base!$L$4+Assumptions!$B$5-Assumptions!$B$4)/Assumptions!$B$3*Assumptions!$B$10</f>
        <v>6.08134302535695</v>
      </c>
      <c r="F28" s="0" t="n">
        <f aca="false">(SUMPRODUCT(DCF_Base!$C$19:$L$19/(1+$A$28/100)^DCF_Base!$C$4:$L$4)+MAX(0,MIN(IF($A$28&gt;$F$23,DCF_Base!$L$19*(1+$F$23/100)/(($A$28-$F$23)/100),DCF_Base!$L$19*DCF_Base!$B$29),DCF_Base!$L$19*DCF_Base!$B$29))/(1+$A$28/100)^DCF_Base!$L$4+Assumptions!$B$5-Assumptions!$B$4)/Assumptions!$B$3*Assumptions!$B$10</f>
        <v>6.14897396461446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2026-09-25T11:27:20Z</dcterms:created>
  <dc:creator>openpyxl</dc:creator>
  <dc:description/>
  <dc:language>en-NZ</dc:language>
  <cp:lastModifiedBy/>
  <dcterms:modified xsi:type="dcterms:W3CDTF">2026-09-25T11:27:20Z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