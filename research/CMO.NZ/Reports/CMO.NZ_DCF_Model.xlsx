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FCF Reference (not used)" sheetId="2" r:id="rId2"/>
    <sheet name="Sensitivity" sheetId="3" r:id="rId3"/>
    <sheet name="FCF Quality" sheetId="4" r:id="rId4"/>
    <sheet name="Historical" sheetId="5" r:id="rId5"/>
    <sheet name="Model_Info" sheetId="6" r:id="rId6"/>
  </sheets>
  <calcPr calcId="124519" fullCalcOnLoad="1"/>
</workbook>
</file>

<file path=xl/sharedStrings.xml><?xml version="1.0" encoding="utf-8"?>
<sst xmlns="http://schemas.openxmlformats.org/spreadsheetml/2006/main" count="180" uniqueCount="171">
  <si>
    <t>CMO.NZ Valuation Model - Colonial Motor Company</t>
  </si>
  <si>
    <t>BLENDED MODEL: 60% Exit-P/E (earnings) + 40% Exit-P/B (book value) - NOT a pure FCF-DCF. See Model_Info tab.</t>
  </si>
  <si>
    <t>Gray cells are INPUTS - adjust to see valuation change</t>
  </si>
  <si>
    <t>KEY INPUTS</t>
  </si>
  <si>
    <t>Current Stock Price</t>
  </si>
  <si>
    <t>Shares Outstanding (M)</t>
  </si>
  <si>
    <t>Cash (M)</t>
  </si>
  <si>
    <t>Structural Net Debt (M)</t>
  </si>
  <si>
    <t>&lt;- bank borrowings + at-call deposits + leases, ex-floorplan (see Model_Info)</t>
  </si>
  <si>
    <t>FY2025 Statutory NPAT (M)</t>
  </si>
  <si>
    <t>FY2025 Book Value / Equity (M)</t>
  </si>
  <si>
    <t>FY2025 BVPS</t>
  </si>
  <si>
    <t>Cost of Equity / WACC</t>
  </si>
  <si>
    <t>Dividend Payout Ratio</t>
  </si>
  <si>
    <t>Exit P/E Multiple (Year 5)</t>
  </si>
  <si>
    <t>Exit P/B Multiple (Year 5)</t>
  </si>
  <si>
    <t>BVPS Compounding Rate (equity growth)</t>
  </si>
  <si>
    <t>Weight: Exit-P/E Model</t>
  </si>
  <si>
    <t>Weight: Exit-P/B Model</t>
  </si>
  <si>
    <t>NPAT PROJECTION (5yr, mid-cycle base)</t>
  </si>
  <si>
    <t>FY27</t>
  </si>
  <si>
    <t>FY28</t>
  </si>
  <si>
    <t>FY29</t>
  </si>
  <si>
    <t>FY30</t>
  </si>
  <si>
    <t>FY31</t>
  </si>
  <si>
    <t>Projected NPAT (M)</t>
  </si>
  <si>
    <t>Dividends (M)</t>
  </si>
  <si>
    <t>BOOK VALUE (BVPS) PROJECTION</t>
  </si>
  <si>
    <t>Projected BVPS</t>
  </si>
  <si>
    <t>VALUATION - EXIT P/E MODEL</t>
  </si>
  <si>
    <t>Year-5 NPAT (M)</t>
  </si>
  <si>
    <t>Exit Equity Value (M)</t>
  </si>
  <si>
    <t>PV of Exit Equity Value @ CoE (M)</t>
  </si>
  <si>
    <t>PV of Interim Dividends @ CoE (M)</t>
  </si>
  <si>
    <t>Equity Value Today (M)</t>
  </si>
  <si>
    <t>Exit-P/E Intrinsic Value / Share</t>
  </si>
  <si>
    <t>VALUATION - EXIT P/B MODEL</t>
  </si>
  <si>
    <t>Year-5 BVPS</t>
  </si>
  <si>
    <t>Exit Value / Share</t>
  </si>
  <si>
    <t>PV of Exit Value / Share @ CoE</t>
  </si>
  <si>
    <t>PV of Interim Dividends / Share @ CoE</t>
  </si>
  <si>
    <t>Exit-P/B Intrinsic Value / Share</t>
  </si>
  <si>
    <t>BLENDED INTRINSIC VALUE / SHARE</t>
  </si>
  <si>
    <t>ENTRY PRICE (15% IRR Target)</t>
  </si>
  <si>
    <t>PV of Interim Dividends @15% (M)</t>
  </si>
  <si>
    <t>Blended Exit Equity Value Y5 (M)</t>
  </si>
  <si>
    <t>PV of Blended Exit @15% (M)</t>
  </si>
  <si>
    <t>Entry Equity Value (M)</t>
  </si>
  <si>
    <t>Entry Price (15% IRR)</t>
  </si>
  <si>
    <t>Upside to Blended IV</t>
  </si>
  <si>
    <t>Discount to Entry Price</t>
  </si>
  <si>
    <t>Reference Owner-FCF Gordon-Growth DCF</t>
  </si>
  <si>
    <t>DISCLOSED FOR TRANSPARENCY ONLY - NOT part of the blended intrinsic value.</t>
  </si>
  <si>
    <t>Shows why a pure FCF-DCF understates this property-backed, working-capital-heavy dealership group.</t>
  </si>
  <si>
    <t>Sum PV of FCF (M)</t>
  </si>
  <si>
    <t>Terminal Value (M)</t>
  </si>
  <si>
    <t>Terminal Value Bound</t>
  </si>
  <si>
    <t>gordon</t>
  </si>
  <si>
    <t>PV of Terminal Value (M)</t>
  </si>
  <si>
    <t>Enterprise Value (M)</t>
  </si>
  <si>
    <t>Equity Value (M)</t>
  </si>
  <si>
    <t>Reference Intrinsic Value / Share</t>
  </si>
  <si>
    <t>Owner FCF Y1-Y5 (M)</t>
  </si>
  <si>
    <t>Owner FCF Margin</t>
  </si>
  <si>
    <t>Sensitivity Analysis - Exit-P/E Model</t>
  </si>
  <si>
    <t>Intrinsic Value by Cost of Equity &amp; Terminal-Growth-Implied Exit P/E</t>
  </si>
  <si>
    <t>CoE \ Term G</t>
  </si>
  <si>
    <t>Note: matrix values are pre-computed from the Python model (exit-P/E component only,</t>
  </si>
  <si>
    <t>base-case NPAT path). Not live formulas - see DCF Model tab for the interactive blended IV.</t>
  </si>
  <si>
    <t>FCF Quality - Reported vs Owner FCF Reconciliation</t>
  </si>
  <si>
    <t>SBC verified NIL across all periods - reported FCF = owner FCF exactly (no SBC/interest-income adjustment applies).</t>
  </si>
  <si>
    <t>FY2016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</si>
  <si>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</si>
  <si>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</si>
  <si>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</si>
  <si>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</si>
  <si>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</si>
  <si>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</si>
  <si>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</si>
  <si>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</si>
  <si>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</si>
  <si>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Reported FCF (company definition)</t>
  </si>
  <si>
    <t>Less: SBC incl. equity-award taxes</t>
  </si>
  <si>
    <t>Less: Interest income</t>
  </si>
  <si>
    <t>Revenue (M)</t>
  </si>
  <si>
    <t>Reported FCF Margin</t>
  </si>
  <si>
    <t>Memo: NPAT (statutory) (M)</t>
  </si>
  <si>
    <t>Memo: NPAT normalized (FY24 trading profit after tax)</t>
  </si>
  <si>
    <t>Memo: FY2024 statutory NPAT includes a -$12.7m one-off non-cash deferred tax charge</t>
  </si>
  <si>
    <t>(removal of tax depreciation on commercial buildings). Trading profit after tax was ~$17.9m.</t>
  </si>
  <si>
    <t>CapEx FY2021-2025 is a proxy (net investing outflow, not gross PP&amp;E) - see Model_Info.</t>
  </si>
  <si>
    <t>Historical Growth Rates &amp; Multiples</t>
  </si>
  <si>
    <t>Metric</t>
  </si>
  <si>
    <t>3-Year CAGR</t>
  </si>
  <si>
    <t>5-Year CAGR</t>
  </si>
  <si>
    <t>9-Year CAGR</t>
  </si>
  <si>
    <t>Revenue</t>
  </si>
  <si>
    <t>EPS</t>
  </si>
  <si>
    <t>Equity / Book Value</t>
  </si>
  <si>
    <t>Selected Growth Rate:</t>
  </si>
  <si>
    <t>Source:</t>
  </si>
  <si>
    <t>equity_5yr_cagr</t>
  </si>
  <si>
    <t>Historical Multiples (FY-end close, ex-outliers)</t>
  </si>
  <si>
    <t>FY</t>
  </si>
  <si>
    <t>P/E</t>
  </si>
  <si>
    <t>P/B</t>
  </si>
  <si>
    <t>EV/EBITDA</t>
  </si>
  <si>
    <t>P/S</t>
  </si>
  <si>
    <t>FY2024 (OUTLIER)</t>
  </si>
  <si>
    <t>Averages ex-outlier: P/E 11.1 (max 13.1) | P/B 1.07 (max 1.38, min 0.73) | EV/EBITDA 8.0 (max 9.4, min 6.4) | P/S 0.285</t>
  </si>
  <si>
    <t>10yr price range: min $5.14, max $10.96, current $6.85 (lower-middle of range)</t>
  </si>
  <si>
    <t>CMO.NZ DCF Model - Provenance &amp; Methodology Notes</t>
  </si>
  <si>
    <t>BUILT BY: Claude (dcf-analyst workflow), Sonnet 5, via the Stocks/Research repo research-stock pipeline.</t>
  </si>
  <si>
    <t>DATA VINTAGE: Share price $6.85 = Yahoo Finance close 7-Aug-2026 (verified live 10-Aug-2026, matched within 5%).</t>
  </si>
  <si>
    <t>Financials from research/CMO.NZ/Reports/CMO.NZ_Metrics.csv (FY2016-FY2025 annual + H1-2017 through H1-2026</t>
  </si>
  <si>
    <t>half-years, NZD millions). Qualitative context from CMO.NZ_Analysis.json (as of Feb-2026 H1FY2026 result</t>
  </si>
  <si>
    <t>and 30-Jun-2026 BYD expansion announcement).</t>
  </si>
  <si>
    <t>METHODOLOGY - WHY THIS IS NOT A STANDARD FCF-GORDON-GROWTH DCF:</t>
  </si>
  <si>
    <t>CMC reported FCF is dominated by vehicle inventory/floorplan working-capital swings (FY16-25 ranged from</t>
  </si>
  <si>
    <t>-$57.1m to +$50.6m with no discernible trend) and by a recent property development supercycle (elevated</t>
  </si>
  <si>
    <t>capex FY2021-2023) that depresses owner FCF without reducing true economic earning power. A pure owner-FCF</t>
  </si>
  <si>
    <t>Gordon-growth DCF was built and produces a base-case IV of just $1.54/share - an obvious, order-of-magnitude</t>
  </si>
  <si>
    <t>understatement versus a $6.85 market price and $9.39 book value per share. This reference calc is preserved</t>
  </si>
  <si>
    <t>on the "FCF Reference (not used)" tab purely for transparency.</t>
  </si>
  <si>
    <t>The PRIMARY valuation instead blends two models, both driven off mid-cycle, through-the-cycle earnings:</t>
  </si>
  <si>
    <t xml:space="preserve">  (a) 60% weight: Exit-P/E model - 5yr NPAT projection (revenue x EBITDA margin ramp - D&amp;A - interest -</t>
  </si>
  <si>
    <t xml:space="preserve">      tax = NPAT), Year-5 NPAT x exit P/E multiple, discounted to present at cost of equity, plus PV of</t>
  </si>
  <si>
    <t xml:space="preserve">      interim dividends (62% payout ratio).</t>
  </si>
  <si>
    <t xml:space="preserve">  (b) 40% weight: Exit-P/B model - BVPS compounded forward at a through-cycle equity growth rate, Year-5</t>
  </si>
  <si>
    <t xml:space="preserve">      BVPS x exit P/B multiple, discounted to present at cost of equity, plus the same PV of dividends</t>
  </si>
  <si>
    <t xml:space="preserve">      (added because dividends are a distribution the exit BVPS compounding does not itself capture).</t>
  </si>
  <si>
    <t>Exit multiples (P/E 11.1x base / 13.1x bull / 9.4x bear; P/B 1.07x base / 1.38x bull / 0.73x bear) are the</t>
  </si>
  <si>
    <t>10-year historical average/max/min ex the FY2024 deferred-tax-outlier year, per the Step 8c.4 exit-multiple-</t>
  </si>
  <si>
    <t>cap convention used across this research library for cyclical/asset-backed names.</t>
  </si>
  <si>
    <t>NET DEBT TREATMENT (read before changing B9 on the DCF Model tab):</t>
  </si>
  <si>
    <t>FY2025 broad "TotalDebt" of $215.594m = Bank Borrowings ($70.726m) + At Call Deposits ($28.074m) + Vehicle</t>
  </si>
  <si>
    <t>Floorplan Finance ($92.451m) + Credit Contracts ($0.166m) + Lease Liabilities ($24.177m). The DCF equity</t>
  </si>
  <si>
    <t>bridge uses a NARROWER $110.981m net-debt figure (Bank Borrowings + At Call Deposits + Lease Liabilities,</t>
  </si>
  <si>
    <t>less $11.996m cash), EXCLUDING Vehicle Floorplan Finance and Credit Contracts. Justification: CMC's own</t>
  </si>
  <si>
    <t>FY2020 annual report states "property [is] funded by retained earnings and inventory funded by short term</t>
  </si>
  <si>
    <t>borrowing" - floorplan finance is inventory-secured, self-liquidating financing that revolves 1:1 against</t>
  </si>
  <si>
    <t>a $242.2m vehicle inventory asset, not structural leverage. The Step 8c sanity-check implied EV/EBITDA was</t>
  </si>
  <si>
    <t>instead computed on the BROAD net-debt basis ($203.598m) to stay apples-to-apples with the historical</t>
  </si>
  <si>
    <t>EV/EBITDA series supplied (which was itself computed on the full broad TotalDebt).</t>
  </si>
  <si>
    <t>STOCK-BASED COMPENSATION: Verified NIL across all periods - filings disclose no share-based payment scheme.</t>
  </si>
  <si>
    <t>Interest income is immaterial in all years (largest was $0.222m in FY2017) - no material net-cash pile,</t>
  </si>
  <si>
    <t>so no interest-income strip-out applies. Shares outstanding (32,694,632) are constant - no buybacks, no</t>
  </si>
  <si>
    <t>dilution modeled.</t>
  </si>
  <si>
    <t>FY2024 NPAT NORMALIZATION: Statutory FY2024 NetIncome ($4.535m, EPS $0.139) includes a one-off, non-cash</t>
  </si>
  <si>
    <t>-$12.7m deferred tax charge (removal of tax depreciation on commercial buildings). Trading profit after</t>
  </si>
  <si>
    <t>tax that year was ~$17.9m (trading EPS ~$0.547) - this normalized figure is used wherever FY2024 is a CAGR</t>
  </si>
  <si>
    <t>endpoint or mid-cycle input; the raw statutory figure is never used directly.</t>
  </si>
  <si>
    <t>CAPEX DATA CAVEAT: CapEx for FY2021-FY2025 and all half-years is a PROXY (net investing cash outflow, not</t>
  </si>
  <si>
    <t>gross PP&amp;E purchases) because CMC's annual reports switched to a concise disclosure format from FY2021.</t>
  </si>
  <si>
    <t>FY2020 cross-check: net capex $13.244m vs gross capex $13.626m (proxy understates true capex by ~2.8%).</t>
  </si>
  <si>
    <t>SANITY CHECK RESULT: PASSED. Implied P/E 12.9x (vs 11.1x historical avg, well within 2.0x bound), implied</t>
  </si>
  <si>
    <t>P/B 0.77x (vs current market 0.73x, well within 0.73-1.38x historical range), implied EV/EBITDA 8.6x (vs</t>
  </si>
  <si>
    <t>6.4-9.4x historical band), base-case upside only +5.8% (well under the 100% trip threshold).</t>
  </si>
  <si>
    <t>CONCLUSION: CMC is assessed as a fairly-valued to modestly-undervalued mature cyclical income/asset stock</t>
  </si>
  <si>
    <t>(base case +5.8%, probability-weighted +10.2%), NOT a multi-bagger growth story. The dividend (35cps</t>
  </si>
  <si>
    <t>FY2025, ~5.1% yield), the freehold property asset floor, and the currently-depressed 0.73x P/B (vs 1.07x</t>
  </si>
  <si>
    <t>10yr average) are the investment case, set against a genuine but early-stage cyclical earnings recovery.</t>
  </si>
  <si>
    <t>CELL COLOUR CONVENTIONS: Gray-shaded cells on the "DCF Model" tab are INPUTS - change these and the model</t>
  </si>
  <si>
    <t>recalculates live via formulas. White cells are formulas/outputs - do not hand-edit. Green cells are the</t>
  </si>
  <si>
    <t>headline valuation outputs (Blended Intrinsic Value, Entry Price).</t>
  </si>
  <si>
    <t>REFRESH AFTER NEXT EARNINGS: Re-verify the live share price, roll FY2026 actuals into the historical tabs</t>
  </si>
  <si>
    <t>once the FY2026 annual report (year to 30-Jun-2026) is released (expected ~Aug-2026), re-check whether the</t>
  </si>
  <si>
    <t>H1-2026 cyclical recovery (+50% trading profit after tax YoY) continued into H2 as management flagged it</t>
  </si>
  <si>
    <t>"may not be a realistic prospect" to sustain, and re-pull the FY2025/FY2026 balance sheet debt breakdown</t>
  </si>
  <si>
    <t>(Bank Borrowings / At Call Deposits / Vehicle Floorplan Finance / Lease Liabilities) to refresh the net-debt</t>
  </si>
  <si>
    <t>bridge. All figures in this model go stale and MUST be re-checked against the next filing before reuse.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</si>
</sst>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%"/>
    <numFmt numFmtId="166" formatCode="&quot;$&quot;#,##0.00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0" fontId="0" fillId="0" borderId="0" xfId="0" applyAlignment="1">
      <alignment vertical="top" wrapText="1"/>
    </xf>
    <xf numFmtId="164" fontId="0" fillId="0" borderId="2" xfId="0" applyNumberFormat="1" applyBorder="1"/>
    <xf numFmtId="165" fontId="0" fillId="2" borderId="2" xfId="0" applyNumberFormat="1" applyFill="1" applyBorder="1"/>
    <xf numFmtId="0" fontId="4" fillId="3" borderId="2" xfId="0" applyFont="1" applyFill="1" applyBorder="1"/>
    <xf numFmtId="166" fontId="0" fillId="0" borderId="2" xfId="0" applyNumberFormat="1" applyBorder="1"/>
    <xf numFmtId="0" fontId="5" fillId="0" borderId="0" xfId="0" applyFont="1"/>
    <xf numFmtId="166" fontId="4" fillId="4" borderId="2" xfId="0" applyNumberFormat="1" applyFont="1" applyFill="1" applyBorder="1"/>
    <xf numFmtId="165" fontId="0" fillId="0" borderId="2" xfId="0" applyNumberFormat="1" applyBorder="1"/>
    <xf numFmtId="165" fontId="4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cols>
    <col min="1" max="1" width="32.7109375" customWidth="1"/>
    <col min="2" max="8" width="14.7109375" customWidth="1"/>
  </cols>
  <sheetData>
    <row r="1" spans="1:3">
      <c r="A1" s="1" t="s">
        <v>0</v>
      </c>
    </row>
    <row r="2" spans="1:3">
      <c r="A2" s="2" t="s">
        <v>1</v>
      </c>
    </row>
    <row r="3" spans="1:3">
      <c r="A3" s="2" t="s">
        <v>2</v>
      </c>
    </row>
    <row r="5" spans="1:3">
      <c r="A5" s="3" t="s">
        <v>3</v>
      </c>
    </row>
    <row r="6" spans="1:3">
      <c r="A6" t="s">
        <v>4</v>
      </c>
      <c r="B6" s="4">
        <v>6.85</v>
      </c>
    </row>
    <row r="7" spans="1:3">
      <c r="A7" t="s">
        <v>5</v>
      </c>
      <c r="B7" s="4">
        <v>32.694632</v>
      </c>
    </row>
    <row r="8" spans="1:3">
      <c r="A8" t="s">
        <v>6</v>
      </c>
      <c r="B8" s="4">
        <v>11.996</v>
      </c>
    </row>
    <row r="9" spans="1:3">
      <c r="A9" t="s">
        <v>7</v>
      </c>
      <c r="B9" s="4">
        <v>110.981</v>
      </c>
      <c r="C9" s="5" t="s">
        <v>8</v>
      </c>
    </row>
    <row r="10" spans="1:3">
      <c r="A10" t="s">
        <v>9</v>
      </c>
      <c r="B10" s="4">
        <v>18.343</v>
      </c>
    </row>
    <row r="11" spans="1:3">
      <c r="A11" t="s">
        <v>10</v>
      </c>
      <c r="B11" s="4">
        <v>306.981</v>
      </c>
    </row>
    <row r="12" spans="1:3">
      <c r="A12" t="s">
        <v>11</v>
      </c>
      <c r="B12" s="6">
        <f>B11/B7</f>
        <v>0</v>
      </c>
    </row>
    <row r="14" spans="1:3">
      <c r="A14" t="s">
        <v>12</v>
      </c>
      <c r="B14" s="7">
        <v>0.145</v>
      </c>
    </row>
    <row r="15" spans="1:3">
      <c r="A15" t="s">
        <v>13</v>
      </c>
      <c r="B15" s="7">
        <v>0.62</v>
      </c>
    </row>
    <row r="16" spans="1:3">
      <c r="A16" t="s">
        <v>14</v>
      </c>
      <c r="B16" s="4">
        <v>11.1</v>
      </c>
    </row>
    <row r="17" spans="1:6">
      <c r="A17" t="s">
        <v>15</v>
      </c>
      <c r="B17" s="4">
        <v>1.07</v>
      </c>
    </row>
    <row r="18" spans="1:6">
      <c r="A18" t="s">
        <v>16</v>
      </c>
      <c r="B18" s="7">
        <v>0.045</v>
      </c>
    </row>
    <row r="19" spans="1:6">
      <c r="A19" t="s">
        <v>17</v>
      </c>
      <c r="B19" s="7">
        <v>0.6</v>
      </c>
    </row>
    <row r="20" spans="1:6">
      <c r="A20" t="s">
        <v>18</v>
      </c>
      <c r="B20" s="6">
        <f>1-B19</f>
        <v>0</v>
      </c>
    </row>
    <row r="22" spans="1:6">
      <c r="A22" s="3" t="s">
        <v>19</v>
      </c>
      <c r="B22" s="8" t="s">
        <v>20</v>
      </c>
      <c r="C22" s="8" t="s">
        <v>21</v>
      </c>
      <c r="D22" s="8" t="s">
        <v>22</v>
      </c>
      <c r="E22" s="8" t="s">
        <v>23</v>
      </c>
      <c r="F22" s="8" t="s">
        <v>24</v>
      </c>
    </row>
    <row r="23" spans="1:6">
      <c r="A23" t="s">
        <v>25</v>
      </c>
      <c r="B23" s="4">
        <v>24.0004417536</v>
      </c>
      <c r="C23" s="4">
        <v>25.616721502944</v>
      </c>
      <c r="D23" s="4">
        <v>26.78499925633584</v>
      </c>
      <c r="E23" s="4">
        <v>27.94594907484927</v>
      </c>
      <c r="F23" s="4">
        <v>29.06584188703991</v>
      </c>
    </row>
    <row r="24" spans="1:6">
      <c r="A24" t="s">
        <v>26</v>
      </c>
      <c r="B24" s="6">
        <f>B23*$B$15</f>
        <v>0</v>
      </c>
      <c r="C24" s="6">
        <f>C23*$B$15</f>
        <v>0</v>
      </c>
      <c r="D24" s="6">
        <f>D23*$B$15</f>
        <v>0</v>
      </c>
      <c r="E24" s="6">
        <f>E23*$B$15</f>
        <v>0</v>
      </c>
      <c r="F24" s="6">
        <f>F23*$B$15</f>
        <v>0</v>
      </c>
    </row>
    <row r="26" spans="1:6">
      <c r="A26" s="3" t="s">
        <v>27</v>
      </c>
    </row>
    <row r="27" spans="1:6">
      <c r="A27" t="s">
        <v>28</v>
      </c>
      <c r="B27" s="6">
        <f>B12*(1+$B$18)</f>
        <v>0</v>
      </c>
      <c r="C27" s="6">
        <f>B27*(1+$B$18)</f>
        <v>0</v>
      </c>
      <c r="D27" s="6">
        <f>C27*(1+$B$18)</f>
        <v>0</v>
      </c>
      <c r="E27" s="6">
        <f>D27*(1+$B$18)</f>
        <v>0</v>
      </c>
      <c r="F27" s="6">
        <f>E27*(1+$B$18)</f>
        <v>0</v>
      </c>
    </row>
    <row r="29" spans="1:6">
      <c r="A29" s="3" t="s">
        <v>29</v>
      </c>
    </row>
    <row r="30" spans="1:6">
      <c r="A30" t="s">
        <v>30</v>
      </c>
      <c r="B30" s="6">
        <f>F23</f>
        <v>0</v>
      </c>
    </row>
    <row r="31" spans="1:6">
      <c r="A31" t="s">
        <v>31</v>
      </c>
      <c r="B31" s="6">
        <f>B30*B16</f>
        <v>0</v>
      </c>
    </row>
    <row r="32" spans="1:6">
      <c r="A32" t="s">
        <v>32</v>
      </c>
      <c r="B32" s="6">
        <f>B31/(1+$B$14)^5</f>
        <v>0</v>
      </c>
    </row>
    <row r="33" spans="1:2">
      <c r="A33" t="s">
        <v>33</v>
      </c>
      <c r="B33" s="6">
        <f>NPV($B$14,B24:F24)</f>
        <v>0</v>
      </c>
    </row>
    <row r="34" spans="1:2">
      <c r="A34" t="s">
        <v>34</v>
      </c>
      <c r="B34" s="6">
        <f>B32+B33</f>
        <v>0</v>
      </c>
    </row>
    <row r="35" spans="1:2">
      <c r="A35" t="s">
        <v>35</v>
      </c>
      <c r="B35" s="9">
        <f>B34/B7</f>
        <v>0</v>
      </c>
    </row>
    <row r="37" spans="1:2">
      <c r="A37" s="3" t="s">
        <v>36</v>
      </c>
    </row>
    <row r="38" spans="1:2">
      <c r="A38" t="s">
        <v>37</v>
      </c>
      <c r="B38" s="6">
        <f>F27</f>
        <v>0</v>
      </c>
    </row>
    <row r="39" spans="1:2">
      <c r="A39" t="s">
        <v>38</v>
      </c>
      <c r="B39" s="6">
        <f>B38*B17</f>
        <v>0</v>
      </c>
    </row>
    <row r="40" spans="1:2">
      <c r="A40" t="s">
        <v>39</v>
      </c>
      <c r="B40" s="6">
        <f>B39/(1+$B$14)^5</f>
        <v>0</v>
      </c>
    </row>
    <row r="41" spans="1:2">
      <c r="A41" t="s">
        <v>40</v>
      </c>
      <c r="B41" s="6">
        <f>B33/B7</f>
        <v>0</v>
      </c>
    </row>
    <row r="42" spans="1:2">
      <c r="A42" t="s">
        <v>41</v>
      </c>
      <c r="B42" s="9">
        <f>B40+B41</f>
        <v>0</v>
      </c>
    </row>
    <row r="44" spans="1:2">
      <c r="A44" s="10" t="s">
        <v>42</v>
      </c>
      <c r="B44" s="11">
        <f>B35*B19+B42*B20</f>
        <v>0</v>
      </c>
    </row>
    <row r="46" spans="1:2">
      <c r="A46" s="3" t="s">
        <v>43</v>
      </c>
    </row>
    <row r="47" spans="1:2">
      <c r="A47" t="s">
        <v>44</v>
      </c>
      <c r="B47" s="6">
        <f>NPV(0.15,B24:F24)</f>
        <v>0</v>
      </c>
    </row>
    <row r="48" spans="1:2">
      <c r="A48" t="s">
        <v>45</v>
      </c>
      <c r="B48" s="6">
        <f>B31*B19+(B39*B7)*B20</f>
        <v>0</v>
      </c>
    </row>
    <row r="49" spans="1:2">
      <c r="A49" t="s">
        <v>46</v>
      </c>
      <c r="B49" s="6">
        <f>B48/(1.15^5)</f>
        <v>0</v>
      </c>
    </row>
    <row r="50" spans="1:2">
      <c r="A50" t="s">
        <v>47</v>
      </c>
      <c r="B50" s="6">
        <f>B47+B49</f>
        <v>0</v>
      </c>
    </row>
    <row r="51" spans="1:2">
      <c r="A51" t="s">
        <v>48</v>
      </c>
      <c r="B51" s="11">
        <f>B50/B7</f>
        <v>0</v>
      </c>
    </row>
    <row r="53" spans="1:2">
      <c r="A53" t="s">
        <v>49</v>
      </c>
      <c r="B53" s="12">
        <f>(B44-B6)/B6</f>
        <v>0</v>
      </c>
    </row>
    <row r="54" spans="1:2">
      <c r="A54" t="s">
        <v>50</v>
      </c>
      <c r="B54" s="12">
        <f>(B6-B51)/B6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cols>
    <col min="1" max="1" width="30.7109375" customWidth="1"/>
    <col min="2" max="7" width="13.7109375" customWidth="1"/>
  </cols>
  <sheetData>
    <row r="1" spans="1:6">
      <c r="A1" s="1" t="s">
        <v>51</v>
      </c>
    </row>
    <row r="2" spans="1:6">
      <c r="A2" s="2" t="s">
        <v>52</v>
      </c>
    </row>
    <row r="3" spans="1:6">
      <c r="A3" s="2" t="s">
        <v>53</v>
      </c>
    </row>
    <row r="5" spans="1:6">
      <c r="A5" t="s">
        <v>54</v>
      </c>
      <c r="B5" s="6">
        <v>68.90000000000001</v>
      </c>
    </row>
    <row r="6" spans="1:6">
      <c r="A6" t="s">
        <v>55</v>
      </c>
      <c r="B6" s="6">
        <v>181.9</v>
      </c>
    </row>
    <row r="7" spans="1:6">
      <c r="A7" t="s">
        <v>56</v>
      </c>
      <c r="B7" t="s">
        <v>57</v>
      </c>
    </row>
    <row r="8" spans="1:6">
      <c r="A8" t="s">
        <v>58</v>
      </c>
      <c r="B8" s="6">
        <v>92.40000000000001</v>
      </c>
    </row>
    <row r="9" spans="1:6">
      <c r="A9" t="s">
        <v>59</v>
      </c>
      <c r="B9" s="6">
        <v>161.4</v>
      </c>
    </row>
    <row r="10" spans="1:6">
      <c r="A10" t="s">
        <v>60</v>
      </c>
      <c r="B10" s="6">
        <v>50.4</v>
      </c>
    </row>
    <row r="11" spans="1:6">
      <c r="A11" s="10" t="s">
        <v>61</v>
      </c>
      <c r="B11" s="9">
        <v>1.54</v>
      </c>
    </row>
    <row r="13" spans="1:6">
      <c r="A13" t="s">
        <v>62</v>
      </c>
      <c r="B13" s="6">
        <v>17.92180422879999</v>
      </c>
      <c r="C13" s="6">
        <v>19.92630426477601</v>
      </c>
      <c r="D13" s="6">
        <v>20.83816792359431</v>
      </c>
      <c r="E13" s="6">
        <v>22.09136122744697</v>
      </c>
      <c r="F13" s="6">
        <v>22.29454299253548</v>
      </c>
    </row>
    <row r="14" spans="1:6">
      <c r="A14" t="s">
        <v>63</v>
      </c>
      <c r="B14" s="12">
        <v>0.01720461538461537</v>
      </c>
      <c r="C14" s="12">
        <v>0.01848202898550726</v>
      </c>
      <c r="D14" s="12">
        <v>0.01876485436893203</v>
      </c>
      <c r="E14" s="12">
        <v>0.01935151750972762</v>
      </c>
      <c r="F14" s="12">
        <v>0.01905317073170731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cols>
    <col min="1" max="1" width="20.7109375" customWidth="1"/>
    <col min="2" max="7" width="12.7109375" customWidth="1"/>
  </cols>
  <sheetData>
    <row r="1" spans="1:6">
      <c r="A1" s="1" t="s">
        <v>64</v>
      </c>
    </row>
    <row r="2" spans="1:6">
      <c r="A2" t="s">
        <v>65</v>
      </c>
    </row>
    <row r="4" spans="1:6">
      <c r="A4" s="8" t="s">
        <v>66</v>
      </c>
      <c r="B4" s="13">
        <v>0.01</v>
      </c>
      <c r="C4" s="13">
        <v>0.015</v>
      </c>
      <c r="D4" s="13">
        <v>0.02</v>
      </c>
      <c r="E4" s="13">
        <v>0.025</v>
      </c>
      <c r="F4" s="13">
        <v>0.03</v>
      </c>
    </row>
    <row r="5" spans="1:6">
      <c r="A5" s="13">
        <v>0.125</v>
      </c>
      <c r="B5" s="9">
        <v>6.62</v>
      </c>
      <c r="C5" s="9">
        <v>6.91</v>
      </c>
      <c r="D5" s="9">
        <v>7.26</v>
      </c>
      <c r="E5" s="9">
        <v>7.65</v>
      </c>
      <c r="F5" s="9">
        <v>8.1</v>
      </c>
    </row>
    <row r="6" spans="1:6">
      <c r="A6" s="13">
        <v>0.135</v>
      </c>
      <c r="B6" s="9">
        <v>6.36</v>
      </c>
      <c r="C6" s="9">
        <v>6.65</v>
      </c>
      <c r="D6" s="9">
        <v>6.98</v>
      </c>
      <c r="E6" s="9">
        <v>7.35</v>
      </c>
      <c r="F6" s="9">
        <v>7.78</v>
      </c>
    </row>
    <row r="7" spans="1:6">
      <c r="A7" s="13">
        <v>0.145</v>
      </c>
      <c r="B7" s="9">
        <v>6.12</v>
      </c>
      <c r="C7" s="9">
        <v>6.39</v>
      </c>
      <c r="D7" s="9">
        <v>6.71</v>
      </c>
      <c r="E7" s="9">
        <v>7.07</v>
      </c>
      <c r="F7" s="9">
        <v>7.48</v>
      </c>
    </row>
    <row r="8" spans="1:6">
      <c r="A8" s="13">
        <v>0.155</v>
      </c>
      <c r="B8" s="9">
        <v>5.89</v>
      </c>
      <c r="C8" s="9">
        <v>6.15</v>
      </c>
      <c r="D8" s="9">
        <v>6.45</v>
      </c>
      <c r="E8" s="9">
        <v>6.8</v>
      </c>
      <c r="F8" s="9">
        <v>7.19</v>
      </c>
    </row>
    <row r="9" spans="1:6">
      <c r="A9" s="13">
        <v>0.165</v>
      </c>
      <c r="B9" s="9">
        <v>5.67</v>
      </c>
      <c r="C9" s="9">
        <v>5.92</v>
      </c>
      <c r="D9" s="9">
        <v>6.21</v>
      </c>
      <c r="E9" s="9">
        <v>6.54</v>
      </c>
      <c r="F9" s="9">
        <v>6.92</v>
      </c>
    </row>
    <row r="11" spans="1:6">
      <c r="A11" t="s">
        <v>67</v>
      </c>
    </row>
    <row r="12" spans="1:6">
      <c r="A12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cols>
    <col min="1" max="1" width="26.7109375" customWidth="1"/>
    <col min="2" max="11" width="11.7109375" customWidth="1"/>
  </cols>
  <sheetData>
    <row r="1" spans="1:11">
      <c r="A1" s="1" t="s">
        <v>69</v>
      </c>
    </row>
    <row r="2" spans="1:11">
      <c r="A2" s="2" t="s">
        <v>70</v>
      </c>
    </row>
    <row r="4" spans="1:11">
      <c r="A4" s="8"/>
      <c r="B4" s="8" t="s">
        <v>71</v>
      </c>
      <c r="C4" s="8" t="s">
        <v>72</v>
      </c>
      <c r="D4" s="8" t="s">
        <v>73</v>
      </c>
      <c r="E4" s="8" t="s">
        <v>74</v>
      </c>
      <c r="F4" s="8" t="s">
        <v>75</v>
      </c>
      <c r="G4" s="8" t="s">
        <v>76</v>
      </c>
      <c r="H4" s="8" t="s">
        <v>77</v>
      </c>
      <c r="I4" s="8" t="s">
        <v>78</v>
      </c>
      <c r="J4" s="8" t="s">
        <v>79</v>
      </c>
      <c r="K4" s="8" t="s">
        <v>80</v>
      </c>
    </row>
    <row r="5" spans="1:11">
      <c r="A5" t="s">
        <v>81</v>
      </c>
      <c r="B5" s="6">
        <v>30.816</v>
      </c>
      <c r="C5" s="6">
        <v>1.75</v>
      </c>
      <c r="D5" s="6">
        <v>-26.249</v>
      </c>
      <c r="E5" s="6">
        <v>20.263</v>
      </c>
      <c r="F5" s="6">
        <v>50.595</v>
      </c>
      <c r="G5" s="6">
        <v>5.974</v>
      </c>
      <c r="H5" s="6">
        <v>44.737</v>
      </c>
      <c r="I5" s="6">
        <v>-35.151</v>
      </c>
      <c r="J5" s="6">
        <v>-57.099</v>
      </c>
      <c r="K5" s="6">
        <v>33.637</v>
      </c>
    </row>
    <row r="6" spans="1:11">
      <c r="A6" t="s">
        <v>82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</row>
    <row r="7" spans="1:11">
      <c r="A7" t="s">
        <v>83</v>
      </c>
      <c r="B7" s="6">
        <v>0.18</v>
      </c>
      <c r="C7" s="6">
        <v>0.222</v>
      </c>
      <c r="D7" s="6">
        <v>0</v>
      </c>
      <c r="E7" s="6">
        <v>0.007</v>
      </c>
      <c r="F7" s="6">
        <v>0.006</v>
      </c>
      <c r="G7" s="6">
        <v>0</v>
      </c>
      <c r="H7" s="6">
        <v>0</v>
      </c>
      <c r="I7" s="6">
        <v>0</v>
      </c>
      <c r="J7" s="6">
        <v>0</v>
      </c>
      <c r="K7" s="6">
        <v>0</v>
      </c>
    </row>
    <row r="8" spans="1:11">
      <c r="A8" t="inlineStr">
        <is>
          <t>= Owner FCF</t>
        </is>
      </c>
      <c r="B8" s="6">
        <f>B5-B6-B7</f>
        <v>0</v>
      </c>
      <c r="C8" s="6">
        <f>C5-C6-C7</f>
        <v>0</v>
      </c>
      <c r="D8" s="6">
        <f>D5-D6-D7</f>
        <v>0</v>
      </c>
      <c r="E8" s="6">
        <f>E5-E6-E7</f>
        <v>0</v>
      </c>
      <c r="F8" s="6">
        <f>F5-F6-F7</f>
        <v>0</v>
      </c>
      <c r="G8" s="6">
        <f>G5-G6-G7</f>
        <v>0</v>
      </c>
      <c r="H8" s="6">
        <f>H5-H6-H7</f>
        <v>0</v>
      </c>
      <c r="I8" s="6">
        <f>I5-I6-I7</f>
        <v>0</v>
      </c>
      <c r="J8" s="6">
        <f>J5-J6-J7</f>
        <v>0</v>
      </c>
      <c r="K8" s="6">
        <f>K5-K6-K7</f>
        <v>0</v>
      </c>
    </row>
    <row r="9" spans="1:11">
      <c r="A9" t="s">
        <v>84</v>
      </c>
      <c r="B9" s="6">
        <v>867.237</v>
      </c>
      <c r="C9" s="6">
        <v>854.764</v>
      </c>
      <c r="D9" s="6">
        <v>904.034</v>
      </c>
      <c r="E9" s="6">
        <v>909.002</v>
      </c>
      <c r="F9" s="6">
        <v>754.922</v>
      </c>
      <c r="G9" s="6">
        <v>901.173</v>
      </c>
      <c r="H9" s="6">
        <v>1002.848</v>
      </c>
      <c r="I9" s="6">
        <v>997.225</v>
      </c>
      <c r="J9" s="6">
        <v>1012.92</v>
      </c>
      <c r="K9" s="6">
        <v>1001.621</v>
      </c>
    </row>
    <row r="10" spans="1:11">
      <c r="A10" t="s">
        <v>85</v>
      </c>
      <c r="B10" s="12">
        <f>B5/B9</f>
        <v>0</v>
      </c>
      <c r="C10" s="12">
        <f>C5/C9</f>
        <v>0</v>
      </c>
      <c r="D10" s="12">
        <f>D5/D9</f>
        <v>0</v>
      </c>
      <c r="E10" s="12">
        <f>E5/E9</f>
        <v>0</v>
      </c>
      <c r="F10" s="12">
        <f>F5/F9</f>
        <v>0</v>
      </c>
      <c r="G10" s="12">
        <f>G5/G9</f>
        <v>0</v>
      </c>
      <c r="H10" s="12">
        <f>H5/H9</f>
        <v>0</v>
      </c>
      <c r="I10" s="12">
        <f>I5/I9</f>
        <v>0</v>
      </c>
      <c r="J10" s="12">
        <f>J5/J9</f>
        <v>0</v>
      </c>
      <c r="K10" s="12">
        <f>K5/K9</f>
        <v>0</v>
      </c>
    </row>
    <row r="11" spans="1:11">
      <c r="A11" t="s">
        <v>63</v>
      </c>
      <c r="B11" s="12">
        <f>B8/B9</f>
        <v>0</v>
      </c>
      <c r="C11" s="12">
        <f>C8/C9</f>
        <v>0</v>
      </c>
      <c r="D11" s="12">
        <f>D8/D9</f>
        <v>0</v>
      </c>
      <c r="E11" s="12">
        <f>E8/E9</f>
        <v>0</v>
      </c>
      <c r="F11" s="12">
        <f>F8/F9</f>
        <v>0</v>
      </c>
      <c r="G11" s="12">
        <f>G8/G9</f>
        <v>0</v>
      </c>
      <c r="H11" s="12">
        <f>H8/H9</f>
        <v>0</v>
      </c>
      <c r="I11" s="12">
        <f>I8/I9</f>
        <v>0</v>
      </c>
      <c r="J11" s="12">
        <f>J8/J9</f>
        <v>0</v>
      </c>
      <c r="K11" s="12">
        <f>K8/K9</f>
        <v>0</v>
      </c>
    </row>
    <row r="13" spans="1:11">
      <c r="A13" t="s">
        <v>86</v>
      </c>
      <c r="B13" s="6">
        <v>21.479</v>
      </c>
      <c r="C13" s="6">
        <v>22.232</v>
      </c>
      <c r="D13" s="6">
        <v>24.985</v>
      </c>
      <c r="E13" s="6">
        <v>21.901</v>
      </c>
      <c r="F13" s="6">
        <v>21.828</v>
      </c>
      <c r="G13" s="6">
        <v>24.833</v>
      </c>
      <c r="H13" s="6">
        <v>33.186</v>
      </c>
      <c r="I13" s="6">
        <v>27.848</v>
      </c>
      <c r="J13" s="6">
        <v>4.535</v>
      </c>
      <c r="K13" s="6">
        <v>18.343</v>
      </c>
    </row>
    <row r="14" spans="1:11">
      <c r="A14" t="s">
        <v>87</v>
      </c>
      <c r="B14" s="6">
        <v>21.479</v>
      </c>
      <c r="C14" s="6">
        <v>22.232</v>
      </c>
      <c r="D14" s="6">
        <v>24.985</v>
      </c>
      <c r="E14" s="6">
        <v>21.901</v>
      </c>
      <c r="F14" s="6">
        <v>21.828</v>
      </c>
      <c r="G14" s="6">
        <v>24.833</v>
      </c>
      <c r="H14" s="6">
        <v>33.186</v>
      </c>
      <c r="I14" s="6">
        <v>27.848</v>
      </c>
      <c r="J14" s="6">
        <v>17.9</v>
      </c>
      <c r="K14" s="6">
        <v>18.343</v>
      </c>
    </row>
    <row r="16" spans="1:11">
      <c r="A16" t="s">
        <v>88</v>
      </c>
    </row>
    <row r="17" spans="1:1">
      <c r="A17" t="s">
        <v>89</v>
      </c>
    </row>
    <row r="18" spans="1:1">
      <c r="A18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cols>
    <col min="1" max="1" width="22.7109375" customWidth="1"/>
    <col min="2" max="4" width="15.7109375" customWidth="1"/>
  </cols>
  <sheetData>
    <row r="1" spans="1:5">
      <c r="A1" s="1" t="s">
        <v>91</v>
      </c>
    </row>
    <row r="3" spans="1:5">
      <c r="A3" s="8" t="s">
        <v>92</v>
      </c>
      <c r="B3" s="8" t="s">
        <v>93</v>
      </c>
      <c r="C3" s="8" t="s">
        <v>94</v>
      </c>
      <c r="D3" s="8" t="s">
        <v>95</v>
      </c>
    </row>
    <row r="4" spans="1:5">
      <c r="A4" t="s">
        <v>96</v>
      </c>
      <c r="B4" s="12">
        <v>-0.0004</v>
      </c>
      <c r="C4" s="12">
        <v>0.0582</v>
      </c>
      <c r="D4" s="12">
        <v>0.0161</v>
      </c>
    </row>
    <row r="5" spans="1:5">
      <c r="A5" t="s">
        <v>97</v>
      </c>
      <c r="B5" s="12">
        <v>-0.1793</v>
      </c>
      <c r="C5" s="12">
        <v>-0.0343</v>
      </c>
      <c r="D5" s="12">
        <v>-0.0174</v>
      </c>
    </row>
    <row r="6" spans="1:5">
      <c r="A6" t="s">
        <v>98</v>
      </c>
      <c r="B6" s="12">
        <v>0.004</v>
      </c>
      <c r="C6" s="12">
        <v>0.0619</v>
      </c>
      <c r="D6" s="12">
        <v>0.0723</v>
      </c>
    </row>
    <row r="8" spans="1:5">
      <c r="A8" s="10" t="s">
        <v>99</v>
      </c>
      <c r="B8" s="12">
        <v>0.0619</v>
      </c>
    </row>
    <row r="9" spans="1:5">
      <c r="A9" t="s">
        <v>100</v>
      </c>
      <c r="B9" t="s">
        <v>101</v>
      </c>
    </row>
    <row r="11" spans="1:5">
      <c r="A11" s="3" t="s">
        <v>102</v>
      </c>
    </row>
    <row r="12" spans="1:5">
      <c r="A12" s="8" t="s">
        <v>103</v>
      </c>
      <c r="B12" s="8" t="s">
        <v>104</v>
      </c>
      <c r="C12" s="8" t="s">
        <v>105</v>
      </c>
      <c r="D12" s="8" t="s">
        <v>106</v>
      </c>
      <c r="E12" s="8" t="s">
        <v>107</v>
      </c>
    </row>
    <row r="14" spans="1:5">
      <c r="A14" t="s">
        <v>72</v>
      </c>
      <c r="B14" s="6">
        <v>11</v>
      </c>
      <c r="C14" s="6">
        <v>1.36</v>
      </c>
      <c r="D14" s="6">
        <v>8.199999999999999</v>
      </c>
      <c r="E14" s="6">
        <v>0.287</v>
      </c>
    </row>
    <row r="15" spans="1:5">
      <c r="A15" t="s">
        <v>73</v>
      </c>
      <c r="B15" s="6">
        <v>10.5</v>
      </c>
      <c r="C15" s="6">
        <v>1.33</v>
      </c>
      <c r="D15" s="6">
        <v>8.300000000000001</v>
      </c>
      <c r="E15" s="6">
        <v>0.289</v>
      </c>
    </row>
    <row r="16" spans="1:5">
      <c r="A16" t="s">
        <v>74</v>
      </c>
      <c r="B16" s="6">
        <v>13.1</v>
      </c>
      <c r="C16" s="6">
        <v>1.38</v>
      </c>
      <c r="D16" s="6">
        <v>9.4</v>
      </c>
      <c r="E16" s="6">
        <v>0.317</v>
      </c>
    </row>
    <row r="17" spans="1:5">
      <c r="A17" t="s">
        <v>75</v>
      </c>
      <c r="B17" s="6">
        <v>10.3</v>
      </c>
      <c r="C17" s="6">
        <v>0.99</v>
      </c>
      <c r="D17" s="6">
        <v>8.4</v>
      </c>
      <c r="E17" s="6">
        <v>0.297</v>
      </c>
    </row>
    <row r="18" spans="1:5">
      <c r="A18" t="s">
        <v>76</v>
      </c>
      <c r="B18" s="6">
        <v>12.1</v>
      </c>
      <c r="C18" s="6">
        <v>1.15</v>
      </c>
      <c r="D18" s="6">
        <v>8</v>
      </c>
      <c r="E18" s="6">
        <v>0.334</v>
      </c>
    </row>
    <row r="19" spans="1:5">
      <c r="A19" t="s">
        <v>77</v>
      </c>
      <c r="B19" s="6">
        <v>9.4</v>
      </c>
      <c r="C19" s="6">
        <v>1.03</v>
      </c>
      <c r="D19" s="6">
        <v>6.4</v>
      </c>
      <c r="E19" s="6">
        <v>0.31</v>
      </c>
    </row>
    <row r="20" spans="1:5">
      <c r="A20" t="s">
        <v>78</v>
      </c>
      <c r="B20" s="6">
        <v>10.1</v>
      </c>
      <c r="C20" s="6">
        <v>0.9</v>
      </c>
      <c r="D20" s="6">
        <v>6.8</v>
      </c>
      <c r="E20" s="6">
        <v>0.282</v>
      </c>
    </row>
    <row r="21" spans="1:5">
      <c r="A21" t="s">
        <v>108</v>
      </c>
      <c r="B21" s="6">
        <v>49.2</v>
      </c>
      <c r="C21" s="6">
        <v>0.75</v>
      </c>
      <c r="D21" s="6">
        <v>8.4</v>
      </c>
      <c r="E21" s="6">
        <v>0.221</v>
      </c>
    </row>
    <row r="22" spans="1:5">
      <c r="A22" t="s">
        <v>80</v>
      </c>
      <c r="B22" s="6">
        <v>12.3</v>
      </c>
      <c r="C22" s="6">
        <v>0.73</v>
      </c>
      <c r="D22" s="6">
        <v>8.4</v>
      </c>
      <c r="E22" s="6">
        <v>0.225</v>
      </c>
    </row>
    <row r="23" spans="1:5">
      <c r="A23" t="s">
        <v>109</v>
      </c>
    </row>
    <row r="24" spans="1:5">
      <c r="A24" t="s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71"/>
  <sheetViews>
    <sheetView workbookViewId="0"/>
  </sheetViews>
  <sheetFormatPr defaultRowHeight="15"/>
  <cols>
    <col min="1" max="1" width="100.7109375" customWidth="1"/>
  </cols>
  <sheetData>
    <row r="1" spans="1:1">
      <c r="A1" s="1" t="s">
        <v>111</v>
      </c>
    </row>
    <row r="3" spans="1:1">
      <c r="A3" t="s">
        <v>112</v>
      </c>
    </row>
    <row r="4" spans="1:1">
      <c r="A4" t="s">
        <v>113</v>
      </c>
    </row>
    <row r="5" spans="1:1">
      <c r="A5" t="s">
        <v>114</v>
      </c>
    </row>
    <row r="6" spans="1:1">
      <c r="A6" t="s">
        <v>115</v>
      </c>
    </row>
    <row r="7" spans="1:1">
      <c r="A7" t="s">
        <v>116</v>
      </c>
    </row>
    <row r="9" spans="1:1">
      <c r="A9" t="s">
        <v>117</v>
      </c>
    </row>
    <row r="10" spans="1:1">
      <c r="A10" t="s">
        <v>118</v>
      </c>
    </row>
    <row r="11" spans="1:1">
      <c r="A11" t="s">
        <v>119</v>
      </c>
    </row>
    <row r="12" spans="1:1">
      <c r="A12" t="s">
        <v>120</v>
      </c>
    </row>
    <row r="13" spans="1:1">
      <c r="A13" t="s">
        <v>121</v>
      </c>
    </row>
    <row r="14" spans="1:1">
      <c r="A14" t="s">
        <v>122</v>
      </c>
    </row>
    <row r="15" spans="1:1">
      <c r="A15" t="s">
        <v>123</v>
      </c>
    </row>
    <row r="17" spans="1:1">
      <c r="A17" t="s">
        <v>124</v>
      </c>
    </row>
    <row r="18" spans="1:1">
      <c r="A18" t="s">
        <v>125</v>
      </c>
    </row>
    <row r="19" spans="1:1">
      <c r="A19" t="s">
        <v>126</v>
      </c>
    </row>
    <row r="20" spans="1:1">
      <c r="A20" t="s">
        <v>127</v>
      </c>
    </row>
    <row r="21" spans="1:1">
      <c r="A21" t="s">
        <v>128</v>
      </c>
    </row>
    <row r="22" spans="1:1">
      <c r="A22" t="s">
        <v>129</v>
      </c>
    </row>
    <row r="23" spans="1:1">
      <c r="A23" t="s">
        <v>130</v>
      </c>
    </row>
    <row r="24" spans="1:1">
      <c r="A24" t="s">
        <v>131</v>
      </c>
    </row>
    <row r="25" spans="1:1">
      <c r="A25" t="s">
        <v>132</v>
      </c>
    </row>
    <row r="26" spans="1:1">
      <c r="A26" t="s">
        <v>133</v>
      </c>
    </row>
    <row r="28" spans="1:1">
      <c r="A28" t="s">
        <v>134</v>
      </c>
    </row>
    <row r="29" spans="1:1">
      <c r="A29" t="s">
        <v>135</v>
      </c>
    </row>
    <row r="30" spans="1:1">
      <c r="A30" t="s">
        <v>136</v>
      </c>
    </row>
    <row r="31" spans="1:1">
      <c r="A31" t="s">
        <v>137</v>
      </c>
    </row>
    <row r="32" spans="1:1">
      <c r="A32" t="s">
        <v>138</v>
      </c>
    </row>
    <row r="33" spans="1:1">
      <c r="A33" t="s">
        <v>139</v>
      </c>
    </row>
    <row r="34" spans="1:1">
      <c r="A34" t="s">
        <v>140</v>
      </c>
    </row>
    <row r="35" spans="1:1">
      <c r="A35" t="s">
        <v>141</v>
      </c>
    </row>
    <row r="36" spans="1:1">
      <c r="A36" t="s">
        <v>142</v>
      </c>
    </row>
    <row r="37" spans="1:1">
      <c r="A37" t="s">
        <v>143</v>
      </c>
    </row>
    <row r="39" spans="1:1">
      <c r="A39" t="s">
        <v>144</v>
      </c>
    </row>
    <row r="40" spans="1:1">
      <c r="A40" t="s">
        <v>145</v>
      </c>
    </row>
    <row r="41" spans="1:1">
      <c r="A41" t="s">
        <v>146</v>
      </c>
    </row>
    <row r="42" spans="1:1">
      <c r="A42" t="s">
        <v>147</v>
      </c>
    </row>
    <row r="44" spans="1:1">
      <c r="A44" t="s">
        <v>148</v>
      </c>
    </row>
    <row r="45" spans="1:1">
      <c r="A45" t="s">
        <v>149</v>
      </c>
    </row>
    <row r="46" spans="1:1">
      <c r="A46" t="s">
        <v>150</v>
      </c>
    </row>
    <row r="47" spans="1:1">
      <c r="A47" t="s">
        <v>151</v>
      </c>
    </row>
    <row r="49" spans="1:1">
      <c r="A49" t="s">
        <v>152</v>
      </c>
    </row>
    <row r="50" spans="1:1">
      <c r="A50" t="s">
        <v>153</v>
      </c>
    </row>
    <row r="51" spans="1:1">
      <c r="A51" t="s">
        <v>154</v>
      </c>
    </row>
    <row r="53" spans="1:1">
      <c r="A53" t="s">
        <v>155</v>
      </c>
    </row>
    <row r="54" spans="1:1">
      <c r="A54" t="s">
        <v>156</v>
      </c>
    </row>
    <row r="55" spans="1:1">
      <c r="A55" t="s">
        <v>157</v>
      </c>
    </row>
    <row r="57" spans="1:1">
      <c r="A57" t="s">
        <v>158</v>
      </c>
    </row>
    <row r="58" spans="1:1">
      <c r="A58" t="s">
        <v>159</v>
      </c>
    </row>
    <row r="59" spans="1:1">
      <c r="A59" t="s">
        <v>160</v>
      </c>
    </row>
    <row r="60" spans="1:1">
      <c r="A60" t="s">
        <v>161</v>
      </c>
    </row>
    <row r="62" spans="1:1">
      <c r="A62" t="s">
        <v>162</v>
      </c>
    </row>
    <row r="63" spans="1:1">
      <c r="A63" t="s">
        <v>163</v>
      </c>
    </row>
    <row r="64" spans="1:1">
      <c r="A64" t="s">
        <v>164</v>
      </c>
    </row>
    <row r="66" spans="1:1">
      <c r="A66" t="s">
        <v>165</v>
      </c>
    </row>
    <row r="67" spans="1:1">
      <c r="A67" t="s">
        <v>166</v>
      </c>
    </row>
    <row r="68" spans="1:1">
      <c r="A68" t="s">
        <v>167</v>
      </c>
    </row>
    <row r="69" spans="1:1">
      <c r="A69" t="s">
        <v>168</v>
      </c>
    </row>
    <row r="70" spans="1:1">
      <c r="A70" t="s">
        <v>169</v>
      </c>
    </row>
    <row r="71" spans="1:1">
      <c r="A7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DCF Model</vt:lpstr>
      <vt:lpstr>FCF Reference (not used)</vt:lpstr>
      <vt:lpstr>Sensitivity</vt:lpstr>
      <vt:lpstr>FCF Quality</vt:lpstr>
      <vt:lpstr>Historical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2026-08-09T15:43:47Z</dcterms:created>
  <dcterms:modified xsi:type="dcterms:W3CDTF">2026-08-09T15:43:47Z</dcterms:modified>
</cp:coreProperties>
</file>