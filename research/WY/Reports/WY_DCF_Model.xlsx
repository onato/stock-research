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<sst xmlns="http://schemas.openxmlformats.org/spreadsheetml/2006/main" count="390" uniqueCount="175">
  <si>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</si>
  <si>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WY</t>
  </si>
  <si>
    <t xml:space="preserve">Company</t>
  </si>
  <si>
    <t xml:space="preserve">Weyerhaeuser Company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</si>
  <si>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</si>
  <si>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</si>
  <si>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</si>
  <si>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</si>
  <si>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2026-10-02T20:00:03Z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</si>
  <si>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</si>
  <si>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</si>
  <si>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</si>
  <si>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</si>
  <si>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</si>
  <si>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</si>
  <si>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</si>
  <si>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</si>
  <si>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</si>
  <si>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</si>
  <si>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</si>
  <si>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</si>
  <si>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2026-10-02T22:03:14Z</t>
  </si>
  <si>
    <t xml:space="preserve">Drivers file</t>
  </si>
  <si>
    <t xml:space="preserve">WY_Drivers.json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</si>
  <si>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</si>
  <si>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</si>
  <si>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</si>
  <si>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mid-cycle owner-FCF DCF. The latest owner FCF (~-$6M) is a housing-trough, post-interest number and is not projected; flows are rebuilt from a revenue path and a component margin build that recovers to a mid-cycle EBITDA margin. Net debt is deducted once. The REIT status shows up as a low cash tax rate on the timber half of the flow, not as a switch to AFFO-at-CoE capitalisation.
key_risks_to_valuation: Mid-cycle margin assumption (23.5% base): each 1pp of terminal EBITDA margin is worth roughly $1/share.; Terminal multiple: the timberland asset base argues for more than a cyclical 12-15x; the cap chosen (16x base) carries a large share of value.; Timberland is carried at historical cost; a private-market acreage NAV may exceed this flow-based value, and the DCF does not capture it as a separate asset.; Lumpy SLS land/conservation sales can swing any single year by $50-100M of EBITDA.; Capex history after FY2018 comes from XBRL tags outside the CSV (PropertyPlantAndEquipmentAdditions + PaymentsForCapitalImprovements); if reforestation is double-counted in the first tag, capex is overstated by ~0.7% of sales.</t>
  </si>
  <si>
    <t xml:space="preserve">Data sources</t>
  </si>
  <si>
    <t xml:space="preserve">price: Yahoo Finance chart API at inputs.price_as_of; 52-week range 18.41-27.75
financials: research/WY/Reports/WY_Metrics.csv (SEC XBRL core_metrics) for revenue, EBITDA, OCF, debt, cash and shares; SEC companyfacts API (CIK 106535) for capex (PropertyPlantAndEquipmentAdditions, PaymentsForCapitalImprovements), SBC, interest and cash taxes paid, buybacks and diluted shares through Q2 2026
qualitative: research/WY/Reports/WY_Analysis.json (Q2 2026 results, FY2026 SLS guidance ~$450M, Monticello capex, $1.5B EBITDA roadmap, 75-80% FAD payout policy)</t>
  </si>
  <si>
    <t xml:space="preserve">Scenario narrative: bear</t>
  </si>
  <si>
    <t xml:space="preserve">Affordability keeps starts near 1.4M through the decade, OSB overcapacity proves structural, lumber rallies are curtailment-driven and fade, and SLS earnings stay lumpy because large conservation easements do not recur. Margin stalls near 19%, leverage stays ~4x EBITDA, and the base dividend is funded but buybacks stop.</t>
  </si>
  <si>
    <t xml:space="preserve">Scenario narrative: base</t>
  </si>
  <si>
    <t xml:space="preserve">Housing grinds back toward trend by FY2028-29 on demographic undersupply; lumber normalises, OSB stays mediocre, Monticello EWP starts in H1 2027, and Strategic Land Solutions holds ~$450M EBITDA with Climate Solutions growing. EBITDA margin recovers from ~18.5% to a 23.5% mid-cycle level -- about half of management's $1.5B incremental-EBITDA roadmap. Capex tapers from the Monticello peak to ~6% of sales.</t>
  </si>
  <si>
    <t xml:space="preserve">Scenario narrative: bull</t>
  </si>
  <si>
    <t xml:space="preserve">Mortgage rates fall and single-family starts re-accelerate from 2027; lumber and EWP realizations reset higher, OSB oversupply clears, and the natural-climate pipeline (carbon credits, biocarbon with Aymium, CCS leasing, solar/wind, data-centre sites) scales. Most of the $1.5B roadmap lands, margin reaches 28%, and the market capitalises the timberland-backed flow at a higher exit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</si>
  <si>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</si>
  <si>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</si>
  <si>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</si>
  <si>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</si>
  <si>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</si>
  <si>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</si>
  <si>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</si>
  <si>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</si>
  <si>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</si>
  <si>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</si>
  <si>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</si>
  <si>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</si>
  <si>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</si>
  <si>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</si>
  <si>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</si>
  <si>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</si>
  <si>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</si>
  <si>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</si>
  <si>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</si>
  <si>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</si>
  <si>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</si>
  <si>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</si>
  <si>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</si>
  <si>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</si>
  <si>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</si>
  <si>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</si>
  <si>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</si>
  <si>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</si>
  <si>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</si>
  <si>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</si>
  <si>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</si>
  <si>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</si>
  <si>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</si>
  <si>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</si>
  <si>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</si>
  <si>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</si>
  <si>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</si>
  <si>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</si>
  <si>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</si>
  <si>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</si>
  <si>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</si>
  <si>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</si>
  <si>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</si>
  <si>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</si>
  <si>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</si>
  <si>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</si>
  <si>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</si>
  <si>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</si>
  <si>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</si>
  <si>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</si>
  <si>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</si>
  <si>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</si>
  <si>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</si>
  <si>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</si>
  <si>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</si>
  <si>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</si>
  <si>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</si>
  <si>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</si>
  <si>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</si>
  <si>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</si>
  <si>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</si>
  <si>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</si>
  <si>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</si>
  <si>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</si>
  <si>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</si>
  <si>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</si>
  <si>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</si>
  <si>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</si>
  <si>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</si>
  <si>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</si>
  <si>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</si>
  <si>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</si>
  <si>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</si>
  <si>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</si>
  <si>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</si>
  <si>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</si>
  <si>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</si>
  <si>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</si>
  <si>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</si>
  <si>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</si>
  <si>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</si>
  <si>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</si>
  <si>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</si>
  <si>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</si>
  <si>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</si>
  <si>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</si>
  <si>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</si>
  <si>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</si>
  <si>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</si>
  <si>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</si>
  <si>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</si>
  <si>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</si>
  <si>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</si>
  <si>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</si>
  <si>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</si>
  <si>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</si>
  <si>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</si>
  <si>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</si>
  <si>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</si>
  <si>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</si>
  <si>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</si>
  <si>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</si>
  <si>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</si>
  <si>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</si>
  <si>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</si>
  <si>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</si>
  <si>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</si>
  <si>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</si>
  <si>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</si>
  <si>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</si>
  <si>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</si>
  <si>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</si>
  <si>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</si>
  <si>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</si>
  <si>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</si>
  <si>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WY owner-FCF component DCF: base case (millions, USD)</t>
  </si>
  <si>
    <t xml:space="preserve">WY owner-FCF component DCF: bull case (millions, USD)</t>
  </si>
  <si>
    <t xml:space="preserve">WY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</si>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</sst>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18.47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243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10933</v>
      </c>
      <c r="F3" s="0" t="n">
        <v>-93</v>
      </c>
      <c r="G3" s="0" t="n">
        <v>-0.850635690112503</v>
      </c>
      <c r="I3" s="0" t="n">
        <v>790</v>
      </c>
      <c r="J3" s="0" t="n">
        <v>7.22583005579438</v>
      </c>
      <c r="L3" s="0" t="n">
        <v>635</v>
      </c>
      <c r="M3" s="0" t="n">
        <v>680</v>
      </c>
      <c r="N3" s="0" t="n">
        <v>-45</v>
      </c>
      <c r="O3" s="0" t="n">
        <v>8171</v>
      </c>
      <c r="S3" s="0" t="n">
        <v>114</v>
      </c>
      <c r="T3" s="0" t="n">
        <v>209.546</v>
      </c>
      <c r="U3" s="0" t="n">
        <v>41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8100</v>
      </c>
      <c r="D4" s="0" t="n">
        <v>592</v>
      </c>
      <c r="E4" s="0" t="n">
        <v>7.30864197530864</v>
      </c>
      <c r="F4" s="0" t="n">
        <v>-2601</v>
      </c>
      <c r="G4" s="0" t="n">
        <v>-32.1111111111111</v>
      </c>
      <c r="H4" s="0" t="n">
        <v>-1975</v>
      </c>
      <c r="I4" s="0" t="n">
        <v>-1242</v>
      </c>
      <c r="J4" s="0" t="n">
        <v>-15.3333333333333</v>
      </c>
      <c r="K4" s="0" t="n">
        <v>-5.57</v>
      </c>
      <c r="L4" s="0" t="n">
        <v>-1299</v>
      </c>
      <c r="M4" s="0" t="n">
        <v>390</v>
      </c>
      <c r="N4" s="0" t="n">
        <v>-1689</v>
      </c>
      <c r="O4" s="0" t="n">
        <v>4847</v>
      </c>
      <c r="P4" s="0" t="n">
        <v>16695</v>
      </c>
      <c r="Q4" s="0" t="n">
        <v>11848</v>
      </c>
      <c r="S4" s="0" t="n">
        <v>2294</v>
      </c>
      <c r="T4" s="0" t="n">
        <v>211.289</v>
      </c>
      <c r="U4" s="0" t="n">
        <v>47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5068</v>
      </c>
      <c r="D5" s="0" t="n">
        <v>407</v>
      </c>
      <c r="E5" s="0" t="n">
        <v>8.03078137332281</v>
      </c>
      <c r="F5" s="0" t="n">
        <v>-379</v>
      </c>
      <c r="G5" s="0" t="n">
        <v>-7.47829518547751</v>
      </c>
      <c r="H5" s="0" t="n">
        <v>159</v>
      </c>
      <c r="I5" s="0" t="n">
        <v>-568</v>
      </c>
      <c r="J5" s="0" t="n">
        <v>-11.2075769534333</v>
      </c>
      <c r="K5" s="0" t="n">
        <v>-2.58</v>
      </c>
      <c r="L5" s="0" t="n">
        <v>-203</v>
      </c>
      <c r="M5" s="0" t="n">
        <v>187</v>
      </c>
      <c r="N5" s="0" t="n">
        <v>-390</v>
      </c>
      <c r="O5" s="0" t="n">
        <v>4054</v>
      </c>
      <c r="P5" s="0" t="n">
        <v>15250</v>
      </c>
      <c r="Q5" s="0" t="n">
        <v>11196</v>
      </c>
      <c r="S5" s="0" t="n">
        <v>1869</v>
      </c>
      <c r="T5" s="0" t="n">
        <v>211.359</v>
      </c>
      <c r="U5" s="0" t="n">
        <v>26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5954</v>
      </c>
      <c r="D6" s="0" t="n">
        <v>1123</v>
      </c>
      <c r="E6" s="0" t="n">
        <v>18.8612697346322</v>
      </c>
      <c r="F6" s="0" t="n">
        <v>454</v>
      </c>
      <c r="G6" s="0" t="n">
        <v>7.62512596573732</v>
      </c>
      <c r="H6" s="0" t="n">
        <v>949</v>
      </c>
      <c r="I6" s="0" t="n">
        <v>1283</v>
      </c>
      <c r="J6" s="0" t="n">
        <v>21.5485387974471</v>
      </c>
      <c r="K6" s="0" t="n">
        <v>4</v>
      </c>
      <c r="L6" s="0" t="n">
        <v>689</v>
      </c>
      <c r="M6" s="0" t="n">
        <v>194</v>
      </c>
      <c r="N6" s="0" t="n">
        <v>495</v>
      </c>
      <c r="O6" s="0" t="n">
        <v>4614</v>
      </c>
      <c r="P6" s="0" t="n">
        <v>13464</v>
      </c>
      <c r="Q6" s="0" t="n">
        <v>8815</v>
      </c>
      <c r="S6" s="0" t="n">
        <v>1467</v>
      </c>
      <c r="T6" s="0" t="n">
        <v>535.976</v>
      </c>
      <c r="U6" s="0" t="n">
        <v>24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6216</v>
      </c>
      <c r="D7" s="0" t="n">
        <v>1096</v>
      </c>
      <c r="E7" s="0" t="n">
        <v>17.6319176319176</v>
      </c>
      <c r="F7" s="0" t="n">
        <v>594</v>
      </c>
      <c r="G7" s="0" t="n">
        <v>9.55598455598456</v>
      </c>
      <c r="H7" s="0" t="n">
        <v>1070</v>
      </c>
      <c r="I7" s="0" t="n">
        <v>331</v>
      </c>
      <c r="J7" s="0" t="n">
        <v>5.32496782496783</v>
      </c>
      <c r="K7" s="0" t="n">
        <v>0.62</v>
      </c>
      <c r="L7" s="0" t="n">
        <v>291</v>
      </c>
      <c r="M7" s="0" t="n">
        <v>212</v>
      </c>
      <c r="N7" s="0" t="n">
        <v>79</v>
      </c>
      <c r="O7" s="0" t="n">
        <v>4267</v>
      </c>
      <c r="P7" s="0" t="n">
        <v>12634</v>
      </c>
      <c r="Q7" s="0" t="n">
        <v>8367</v>
      </c>
      <c r="S7" s="0" t="n">
        <v>953</v>
      </c>
      <c r="T7" s="0" t="n">
        <v>536.425</v>
      </c>
      <c r="U7" s="0" t="n">
        <v>25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5989</v>
      </c>
      <c r="D8" s="0" t="n">
        <v>996</v>
      </c>
      <c r="E8" s="0" t="n">
        <v>16.6304892302555</v>
      </c>
      <c r="F8" s="0" t="n">
        <v>618</v>
      </c>
      <c r="G8" s="0" t="n">
        <v>10.3189180163633</v>
      </c>
      <c r="H8" s="0" t="n">
        <v>1062</v>
      </c>
      <c r="I8" s="0" t="n">
        <v>385</v>
      </c>
      <c r="J8" s="0" t="n">
        <v>6.42845216229755</v>
      </c>
      <c r="K8" s="0" t="n">
        <v>0.71</v>
      </c>
      <c r="L8" s="0" t="n">
        <v>581</v>
      </c>
      <c r="M8" s="0" t="n">
        <v>256</v>
      </c>
      <c r="N8" s="0" t="n">
        <v>325</v>
      </c>
      <c r="O8" s="0" t="n">
        <v>4113</v>
      </c>
      <c r="P8" s="0" t="n">
        <v>12592</v>
      </c>
      <c r="Q8" s="0" t="n">
        <v>8479</v>
      </c>
      <c r="R8" s="0" t="n">
        <v>4291</v>
      </c>
      <c r="S8" s="0" t="n">
        <v>898</v>
      </c>
      <c r="T8" s="0" t="n">
        <v>542.393</v>
      </c>
      <c r="U8" s="0" t="n">
        <v>37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7254</v>
      </c>
      <c r="D9" s="0" t="n">
        <v>1538</v>
      </c>
      <c r="E9" s="0" t="n">
        <v>21.2020953956438</v>
      </c>
      <c r="F9" s="0" t="n">
        <v>634</v>
      </c>
      <c r="G9" s="0" t="n">
        <v>8.74000551419906</v>
      </c>
      <c r="H9" s="0" t="n">
        <v>1092</v>
      </c>
      <c r="I9" s="0" t="n">
        <v>563</v>
      </c>
      <c r="J9" s="0" t="n">
        <v>7.76123518059002</v>
      </c>
      <c r="K9" s="0" t="n">
        <v>0.95</v>
      </c>
      <c r="L9" s="0" t="n">
        <v>1004</v>
      </c>
      <c r="M9" s="0" t="n">
        <v>261</v>
      </c>
      <c r="N9" s="0" t="n">
        <v>743</v>
      </c>
      <c r="O9" s="0" t="n">
        <v>6832</v>
      </c>
      <c r="P9" s="0" t="n">
        <v>14372</v>
      </c>
      <c r="Q9" s="0" t="n">
        <v>7745</v>
      </c>
      <c r="R9" s="0" t="n">
        <v>4891</v>
      </c>
      <c r="S9" s="0" t="n">
        <v>822</v>
      </c>
      <c r="T9" s="0" t="n">
        <v>583.548</v>
      </c>
      <c r="U9" s="0" t="n">
        <v>42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5489</v>
      </c>
      <c r="D10" s="0" t="n">
        <v>1306</v>
      </c>
      <c r="E10" s="0" t="n">
        <v>23.793040626708</v>
      </c>
      <c r="F10" s="0" t="n">
        <v>987</v>
      </c>
      <c r="G10" s="0" t="n">
        <v>17.981417380215</v>
      </c>
      <c r="H10" s="0" t="n">
        <v>1325</v>
      </c>
      <c r="I10" s="0" t="n">
        <v>1826</v>
      </c>
      <c r="J10" s="0" t="n">
        <v>33.2665330661323</v>
      </c>
      <c r="K10" s="0" t="n">
        <v>3.2</v>
      </c>
      <c r="L10" s="0" t="n">
        <v>1109</v>
      </c>
      <c r="M10" s="0" t="n">
        <v>354</v>
      </c>
      <c r="N10" s="0" t="n">
        <v>755</v>
      </c>
      <c r="O10" s="0" t="n">
        <v>5304</v>
      </c>
      <c r="P10" s="0" t="n">
        <v>13603</v>
      </c>
      <c r="Q10" s="0" t="n">
        <v>7961</v>
      </c>
      <c r="R10" s="0" t="n">
        <v>4891</v>
      </c>
      <c r="S10" s="0" t="n">
        <v>1577</v>
      </c>
      <c r="T10" s="0" t="n">
        <v>524.474</v>
      </c>
      <c r="U10" s="0" t="n">
        <v>40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5246</v>
      </c>
      <c r="D11" s="0" t="n">
        <v>1093</v>
      </c>
      <c r="E11" s="0" t="n">
        <v>20.8349218452154</v>
      </c>
      <c r="F11" s="0" t="n">
        <v>644</v>
      </c>
      <c r="G11" s="0" t="n">
        <v>12.2760198246283</v>
      </c>
      <c r="H11" s="0" t="n">
        <v>1123</v>
      </c>
      <c r="I11" s="0" t="n">
        <v>506</v>
      </c>
      <c r="J11" s="0" t="n">
        <v>9.64544414792223</v>
      </c>
      <c r="K11" s="0" t="n">
        <v>0.89</v>
      </c>
      <c r="L11" s="0" t="n">
        <v>1075</v>
      </c>
      <c r="M11" s="0" t="n">
        <v>443</v>
      </c>
      <c r="N11" s="0" t="n">
        <v>632</v>
      </c>
      <c r="O11" s="0" t="n">
        <v>4869</v>
      </c>
      <c r="P11" s="0" t="n">
        <v>12720</v>
      </c>
      <c r="Q11" s="0" t="n">
        <v>7851</v>
      </c>
      <c r="R11" s="0" t="n">
        <v>4787</v>
      </c>
      <c r="S11" s="0" t="n">
        <v>1011</v>
      </c>
      <c r="T11" s="0" t="n">
        <v>510.483</v>
      </c>
      <c r="U11" s="0" t="n">
        <v>31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6365</v>
      </c>
      <c r="C12" s="0" t="n">
        <v>4980</v>
      </c>
      <c r="D12" s="0" t="n">
        <v>1385</v>
      </c>
      <c r="E12" s="0" t="n">
        <v>21.7596229379419</v>
      </c>
      <c r="F12" s="0" t="n">
        <v>822</v>
      </c>
      <c r="G12" s="0" t="n">
        <v>12.9143754909662</v>
      </c>
      <c r="H12" s="0" t="n">
        <v>1387</v>
      </c>
      <c r="I12" s="0" t="n">
        <v>1027</v>
      </c>
      <c r="J12" s="0" t="n">
        <v>16.1351139041634</v>
      </c>
      <c r="K12" s="0" t="n">
        <v>1.4</v>
      </c>
      <c r="L12" s="0" t="n">
        <v>735</v>
      </c>
      <c r="M12" s="0" t="n">
        <v>451</v>
      </c>
      <c r="N12" s="0" t="n">
        <v>284</v>
      </c>
      <c r="O12" s="0" t="n">
        <v>9180</v>
      </c>
      <c r="P12" s="0" t="n">
        <v>19243</v>
      </c>
      <c r="Q12" s="0" t="n">
        <v>10063</v>
      </c>
      <c r="R12" s="0" t="n">
        <v>6610</v>
      </c>
      <c r="S12" s="0" t="n">
        <v>676</v>
      </c>
      <c r="T12" s="0" t="n">
        <v>748.528</v>
      </c>
      <c r="U12" s="0" t="n">
        <v>60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7196</v>
      </c>
      <c r="C13" s="0" t="n">
        <v>5298</v>
      </c>
      <c r="D13" s="0" t="n">
        <v>1898</v>
      </c>
      <c r="E13" s="0" t="n">
        <v>26.3757643135075</v>
      </c>
      <c r="F13" s="0" t="n">
        <v>1131</v>
      </c>
      <c r="G13" s="0" t="n">
        <v>15.7170650361312</v>
      </c>
      <c r="H13" s="0" t="n">
        <v>1652</v>
      </c>
      <c r="I13" s="0" t="n">
        <v>582</v>
      </c>
      <c r="J13" s="0" t="n">
        <v>8.08782657031684</v>
      </c>
      <c r="K13" s="0" t="n">
        <v>0.77</v>
      </c>
      <c r="L13" s="0" t="n">
        <v>1201</v>
      </c>
      <c r="M13" s="0" t="n">
        <v>358</v>
      </c>
      <c r="N13" s="0" t="n">
        <v>843</v>
      </c>
      <c r="O13" s="0" t="n">
        <v>8899</v>
      </c>
      <c r="P13" s="0" t="n">
        <v>18059</v>
      </c>
      <c r="Q13" s="0" t="n">
        <v>9160</v>
      </c>
      <c r="R13" s="0" t="n">
        <v>5992</v>
      </c>
      <c r="S13" s="0" t="n">
        <v>824</v>
      </c>
      <c r="T13" s="0" t="n">
        <v>755.223</v>
      </c>
      <c r="U13" s="0" t="n">
        <v>40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7476</v>
      </c>
      <c r="C14" s="0" t="n">
        <v>5592</v>
      </c>
      <c r="D14" s="0" t="n">
        <v>1884</v>
      </c>
      <c r="E14" s="0" t="n">
        <v>25.2006420545746</v>
      </c>
      <c r="F14" s="0" t="n">
        <v>1394</v>
      </c>
      <c r="G14" s="0" t="n">
        <v>18.6463349384698</v>
      </c>
      <c r="H14" s="0" t="n">
        <v>1880</v>
      </c>
      <c r="I14" s="0" t="n">
        <v>748</v>
      </c>
      <c r="J14" s="0" t="n">
        <v>10.0053504547887</v>
      </c>
      <c r="K14" s="0" t="n">
        <v>0.99</v>
      </c>
      <c r="L14" s="0" t="n">
        <v>1112</v>
      </c>
      <c r="M14" s="0" t="n">
        <v>368</v>
      </c>
      <c r="N14" s="0" t="n">
        <v>744</v>
      </c>
      <c r="O14" s="0" t="n">
        <v>9046</v>
      </c>
      <c r="P14" s="0" t="n">
        <v>17249</v>
      </c>
      <c r="Q14" s="0" t="n">
        <v>8203</v>
      </c>
      <c r="R14" s="0" t="n">
        <v>5919</v>
      </c>
      <c r="S14" s="0" t="n">
        <v>334</v>
      </c>
      <c r="T14" s="0" t="n">
        <v>746.391</v>
      </c>
      <c r="U14" s="0" t="n">
        <v>42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6554</v>
      </c>
      <c r="C15" s="0" t="n">
        <v>5412</v>
      </c>
      <c r="D15" s="0" t="n">
        <v>1142</v>
      </c>
      <c r="E15" s="0" t="n">
        <v>17.424473603906</v>
      </c>
      <c r="F15" s="0" t="n">
        <v>651</v>
      </c>
      <c r="G15" s="0" t="n">
        <v>9.93286542569423</v>
      </c>
      <c r="H15" s="0" t="n">
        <v>1161</v>
      </c>
      <c r="I15" s="0" t="n">
        <v>-76</v>
      </c>
      <c r="J15" s="0" t="n">
        <v>-1.15959719255417</v>
      </c>
      <c r="K15" s="0" t="n">
        <v>-0.1</v>
      </c>
      <c r="L15" s="0" t="n">
        <v>966</v>
      </c>
      <c r="O15" s="0" t="n">
        <v>8177</v>
      </c>
      <c r="P15" s="0" t="n">
        <v>16406</v>
      </c>
      <c r="Q15" s="0" t="n">
        <v>8229</v>
      </c>
      <c r="R15" s="0" t="n">
        <v>6147</v>
      </c>
      <c r="S15" s="0" t="n">
        <v>139</v>
      </c>
      <c r="T15" s="0" t="n">
        <v>745.3</v>
      </c>
      <c r="U15" s="0" t="n">
        <v>30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7532</v>
      </c>
      <c r="C16" s="0" t="n">
        <v>5447</v>
      </c>
      <c r="D16" s="0" t="n">
        <v>2085</v>
      </c>
      <c r="E16" s="0" t="n">
        <v>27.6818906001062</v>
      </c>
      <c r="F16" s="0" t="n">
        <v>1710</v>
      </c>
      <c r="G16" s="0" t="n">
        <v>22.7031332979288</v>
      </c>
      <c r="H16" s="0" t="n">
        <v>2182</v>
      </c>
      <c r="I16" s="0" t="n">
        <v>797</v>
      </c>
      <c r="J16" s="0" t="n">
        <v>10.5815188528943</v>
      </c>
      <c r="K16" s="0" t="n">
        <v>1.07</v>
      </c>
      <c r="L16" s="0" t="n">
        <v>1529</v>
      </c>
      <c r="O16" s="0" t="n">
        <v>8731</v>
      </c>
      <c r="P16" s="0" t="n">
        <v>16311</v>
      </c>
      <c r="Q16" s="0" t="n">
        <v>7580</v>
      </c>
      <c r="R16" s="0" t="n">
        <v>5475</v>
      </c>
      <c r="S16" s="0" t="n">
        <v>495</v>
      </c>
      <c r="T16" s="0" t="n">
        <v>747.385</v>
      </c>
      <c r="U16" s="0" t="n">
        <v>30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10201</v>
      </c>
      <c r="C17" s="0" t="n">
        <v>6103</v>
      </c>
      <c r="D17" s="0" t="n">
        <v>4098</v>
      </c>
      <c r="E17" s="0" t="n">
        <v>40.1725321046956</v>
      </c>
      <c r="F17" s="0" t="n">
        <v>3643</v>
      </c>
      <c r="G17" s="0" t="n">
        <v>35.7121850798941</v>
      </c>
      <c r="H17" s="0" t="n">
        <v>4120</v>
      </c>
      <c r="I17" s="0" t="n">
        <v>2607</v>
      </c>
      <c r="J17" s="0" t="n">
        <v>25.5563180080384</v>
      </c>
      <c r="K17" s="0" t="n">
        <v>3.48</v>
      </c>
      <c r="L17" s="0" t="n">
        <v>3159</v>
      </c>
      <c r="O17" s="0" t="n">
        <v>10767</v>
      </c>
      <c r="P17" s="0" t="n">
        <v>17652</v>
      </c>
      <c r="Q17" s="0" t="n">
        <v>6885</v>
      </c>
      <c r="R17" s="0" t="n">
        <v>5099</v>
      </c>
      <c r="S17" s="0" t="n">
        <v>1879</v>
      </c>
      <c r="T17" s="0" t="n">
        <v>747.301</v>
      </c>
      <c r="U17" s="0" t="n">
        <v>30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10184</v>
      </c>
      <c r="C18" s="0" t="n">
        <v>6564</v>
      </c>
      <c r="D18" s="0" t="n">
        <v>3620</v>
      </c>
      <c r="E18" s="0" t="n">
        <v>35.5459544383346</v>
      </c>
      <c r="F18" s="0" t="n">
        <v>3080</v>
      </c>
      <c r="G18" s="0" t="n">
        <v>30.2435192458759</v>
      </c>
      <c r="H18" s="0" t="n">
        <v>3560</v>
      </c>
      <c r="I18" s="0" t="n">
        <v>1880</v>
      </c>
      <c r="J18" s="0" t="n">
        <v>18.4603299293009</v>
      </c>
      <c r="K18" s="0" t="n">
        <v>2.53</v>
      </c>
      <c r="L18" s="0" t="n">
        <v>2832</v>
      </c>
      <c r="O18" s="0" t="n">
        <v>10749</v>
      </c>
      <c r="P18" s="0" t="n">
        <v>17340</v>
      </c>
      <c r="Q18" s="0" t="n">
        <v>6591</v>
      </c>
      <c r="R18" s="0" t="n">
        <v>5049</v>
      </c>
      <c r="S18" s="0" t="n">
        <v>1581</v>
      </c>
      <c r="T18" s="0" t="n">
        <v>732.794</v>
      </c>
      <c r="U18" s="0" t="n">
        <v>33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7674</v>
      </c>
      <c r="C19" s="0" t="n">
        <v>5992</v>
      </c>
      <c r="D19" s="0" t="n">
        <v>1682</v>
      </c>
      <c r="E19" s="0" t="n">
        <v>21.9181652332552</v>
      </c>
      <c r="F19" s="0" t="n">
        <v>1186</v>
      </c>
      <c r="G19" s="0" t="n">
        <v>15.4547823820693</v>
      </c>
      <c r="H19" s="0" t="n">
        <v>1686</v>
      </c>
      <c r="I19" s="0" t="n">
        <v>839</v>
      </c>
      <c r="J19" s="0" t="n">
        <v>10.9330205890018</v>
      </c>
      <c r="K19" s="0" t="n">
        <v>1.15</v>
      </c>
      <c r="L19" s="0" t="n">
        <v>1433</v>
      </c>
      <c r="O19" s="0" t="n">
        <v>10236</v>
      </c>
      <c r="P19" s="0" t="n">
        <v>16983</v>
      </c>
      <c r="Q19" s="0" t="n">
        <v>6747</v>
      </c>
      <c r="R19" s="0" t="n">
        <v>5069</v>
      </c>
      <c r="S19" s="0" t="n">
        <v>1164</v>
      </c>
      <c r="T19" s="0" t="n">
        <v>732.222</v>
      </c>
      <c r="U19" s="0" t="n">
        <v>36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7124</v>
      </c>
      <c r="C20" s="0" t="n">
        <v>5811</v>
      </c>
      <c r="D20" s="0" t="n">
        <v>1313</v>
      </c>
      <c r="E20" s="0" t="n">
        <v>18.4306569343066</v>
      </c>
      <c r="F20" s="0" t="n">
        <v>685</v>
      </c>
      <c r="G20" s="0" t="n">
        <v>9.61538461538462</v>
      </c>
      <c r="H20" s="0" t="n">
        <v>1187</v>
      </c>
      <c r="I20" s="0" t="n">
        <v>396</v>
      </c>
      <c r="J20" s="0" t="n">
        <v>5.5586749017406</v>
      </c>
      <c r="K20" s="0" t="n">
        <v>0.54</v>
      </c>
      <c r="L20" s="0" t="n">
        <v>1008</v>
      </c>
      <c r="O20" s="0" t="n">
        <v>9721</v>
      </c>
      <c r="P20" s="0" t="n">
        <v>16536</v>
      </c>
      <c r="Q20" s="0" t="n">
        <v>6815</v>
      </c>
      <c r="R20" s="0" t="n">
        <v>5076</v>
      </c>
      <c r="S20" s="0" t="n">
        <v>684</v>
      </c>
      <c r="T20" s="0" t="n">
        <v>728.957</v>
      </c>
      <c r="U20" s="0" t="n">
        <v>43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6905</v>
      </c>
      <c r="C21" s="0" t="n">
        <v>5880</v>
      </c>
      <c r="D21" s="0" t="n">
        <v>1025</v>
      </c>
      <c r="E21" s="0" t="n">
        <v>14.8443157132513</v>
      </c>
      <c r="F21" s="0" t="n">
        <v>731</v>
      </c>
      <c r="G21" s="0" t="n">
        <v>10.5865314989138</v>
      </c>
      <c r="H21" s="0" t="n">
        <v>1240</v>
      </c>
      <c r="I21" s="0" t="n">
        <v>324</v>
      </c>
      <c r="J21" s="0" t="n">
        <v>4.69225199131065</v>
      </c>
      <c r="K21" s="0" t="n">
        <v>0.45</v>
      </c>
      <c r="L21" s="0" t="n">
        <v>562</v>
      </c>
      <c r="O21" s="0" t="n">
        <v>9426</v>
      </c>
      <c r="P21" s="0" t="n">
        <v>16613</v>
      </c>
      <c r="Q21" s="0" t="n">
        <v>7187</v>
      </c>
      <c r="R21" s="0" t="n">
        <v>5572</v>
      </c>
      <c r="S21" s="0" t="n">
        <v>464</v>
      </c>
      <c r="T21" s="0" t="n">
        <v>723.567</v>
      </c>
      <c r="U21" s="0" t="n">
        <v>43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18.47</v>
      </c>
    </row>
    <row r="3" customFormat="false" ht="15" hidden="false" customHeight="false" outlineLevel="0" collapsed="false">
      <c r="A3" s="0" t="s">
        <v>86</v>
      </c>
      <c r="B3" s="3" t="n">
        <v>722</v>
      </c>
    </row>
    <row r="4" customFormat="false" ht="15" hidden="false" customHeight="false" outlineLevel="0" collapsed="false">
      <c r="A4" s="0" t="s">
        <v>87</v>
      </c>
      <c r="B4" s="3" t="n">
        <v>4776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6905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-1</v>
      </c>
      <c r="D13" s="3" t="n">
        <v>1</v>
      </c>
      <c r="E13" s="3" t="n">
        <v>2</v>
      </c>
      <c r="F13" s="3" t="n">
        <v>2.5</v>
      </c>
      <c r="G13" s="3" t="n">
        <v>2.5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17.5</v>
      </c>
      <c r="D14" s="3" t="n">
        <v>17.5</v>
      </c>
      <c r="E14" s="3" t="n">
        <v>18</v>
      </c>
      <c r="F14" s="3" t="n">
        <v>18.5</v>
      </c>
      <c r="G14" s="3" t="n">
        <v>19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108</v>
      </c>
      <c r="C15" s="3" t="n">
        <v>0.62</v>
      </c>
      <c r="D15" s="3" t="n">
        <v>0.62</v>
      </c>
      <c r="E15" s="3" t="n">
        <v>0.62</v>
      </c>
      <c r="F15" s="3" t="n">
        <v>0.62</v>
      </c>
      <c r="G15" s="3" t="n">
        <v>0.62</v>
      </c>
      <c r="H15" s="3" t="n">
        <v>0.62</v>
      </c>
      <c r="I15" s="3" t="n">
        <v>0.62</v>
      </c>
      <c r="J15" s="3" t="n">
        <v>0.62</v>
      </c>
      <c r="K15" s="3" t="n">
        <v>0.62</v>
      </c>
      <c r="L15" s="3" t="n">
        <v>0.62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7.4</v>
      </c>
      <c r="D17" s="3" t="n">
        <v>7.4</v>
      </c>
      <c r="E17" s="3" t="n">
        <v>7.3</v>
      </c>
      <c r="F17" s="3" t="n">
        <v>7.2</v>
      </c>
      <c r="G17" s="3" t="n">
        <v>7.2</v>
      </c>
      <c r="H17" s="3" t="n">
        <v>7.2</v>
      </c>
      <c r="I17" s="3" t="n">
        <v>7.2</v>
      </c>
      <c r="J17" s="3" t="n">
        <v>7.2</v>
      </c>
      <c r="K17" s="3" t="n">
        <v>7.2</v>
      </c>
      <c r="L17" s="3" t="n">
        <v>7.2</v>
      </c>
    </row>
    <row r="18" customFormat="false" ht="15" hidden="false" customHeight="false" outlineLevel="0" collapsed="false">
      <c r="A18" s="0" t="s">
        <v>111</v>
      </c>
      <c r="C18" s="3" t="n">
        <v>8.3</v>
      </c>
      <c r="D18" s="3" t="n">
        <v>7.5</v>
      </c>
      <c r="E18" s="3" t="n">
        <v>6.3</v>
      </c>
      <c r="F18" s="3" t="n">
        <v>6</v>
      </c>
      <c r="G18" s="3" t="n">
        <v>6</v>
      </c>
      <c r="H18" s="3" t="n">
        <v>6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112</v>
      </c>
      <c r="C19" s="3" t="n">
        <v>9</v>
      </c>
      <c r="D19" s="3" t="n">
        <v>9</v>
      </c>
      <c r="E19" s="3" t="n">
        <v>9</v>
      </c>
      <c r="F19" s="3" t="n">
        <v>10</v>
      </c>
      <c r="G19" s="3" t="n">
        <v>10</v>
      </c>
      <c r="H19" s="3" t="n">
        <v>10</v>
      </c>
      <c r="I19" s="3" t="n">
        <v>10</v>
      </c>
      <c r="J19" s="3" t="n">
        <v>10</v>
      </c>
      <c r="K19" s="3" t="n">
        <v>10</v>
      </c>
      <c r="L19" s="3" t="n">
        <v>10</v>
      </c>
    </row>
    <row r="20" customFormat="false" ht="15" hidden="false" customHeight="false" outlineLevel="0" collapsed="false">
      <c r="A20" s="0" t="s">
        <v>113</v>
      </c>
      <c r="B20" s="3" t="n">
        <v>8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-8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</v>
      </c>
      <c r="D27" s="3" t="n">
        <v>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18.5</v>
      </c>
      <c r="D28" s="3" t="n">
        <v>20.5</v>
      </c>
      <c r="E28" s="3" t="n">
        <v>22</v>
      </c>
      <c r="F28" s="3" t="n">
        <v>23</v>
      </c>
      <c r="G28" s="3" t="n">
        <v>23.5</v>
      </c>
      <c r="H28" s="3" t="n">
        <v>23.5</v>
      </c>
      <c r="I28" s="3" t="n">
        <v>23.5</v>
      </c>
      <c r="J28" s="3" t="n">
        <v>23.5</v>
      </c>
      <c r="K28" s="3" t="n">
        <v>23.5</v>
      </c>
      <c r="L28" s="3" t="n">
        <v>23.5</v>
      </c>
    </row>
    <row r="29" customFormat="false" ht="15" hidden="false" customHeight="false" outlineLevel="0" collapsed="false">
      <c r="A29" s="0" t="s">
        <v>108</v>
      </c>
      <c r="C29" s="3" t="n">
        <v>0.62</v>
      </c>
      <c r="D29" s="3" t="n">
        <v>0.62</v>
      </c>
      <c r="E29" s="3" t="n">
        <v>0.62</v>
      </c>
      <c r="F29" s="3" t="n">
        <v>0.62</v>
      </c>
      <c r="G29" s="3" t="n">
        <v>0.62</v>
      </c>
      <c r="H29" s="3" t="n">
        <v>0.62</v>
      </c>
      <c r="I29" s="3" t="n">
        <v>0.62</v>
      </c>
      <c r="J29" s="3" t="n">
        <v>0.62</v>
      </c>
      <c r="K29" s="3" t="n">
        <v>0.62</v>
      </c>
      <c r="L29" s="3" t="n">
        <v>0.62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7.3</v>
      </c>
      <c r="D31" s="3" t="n">
        <v>7.2</v>
      </c>
      <c r="E31" s="3" t="n">
        <v>7.1</v>
      </c>
      <c r="F31" s="3" t="n">
        <v>7</v>
      </c>
      <c r="G31" s="3" t="n">
        <v>7</v>
      </c>
      <c r="H31" s="3" t="n">
        <v>7</v>
      </c>
      <c r="I31" s="3" t="n">
        <v>7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111</v>
      </c>
      <c r="C32" s="3" t="n">
        <v>8.3</v>
      </c>
      <c r="D32" s="3" t="n">
        <v>7.4</v>
      </c>
      <c r="E32" s="3" t="n">
        <v>6.3</v>
      </c>
      <c r="F32" s="3" t="n">
        <v>6</v>
      </c>
      <c r="G32" s="3" t="n">
        <v>6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112</v>
      </c>
      <c r="C33" s="3" t="n">
        <v>9</v>
      </c>
      <c r="D33" s="3" t="n">
        <v>10</v>
      </c>
      <c r="E33" s="3" t="n">
        <v>11</v>
      </c>
      <c r="F33" s="3" t="n">
        <v>12</v>
      </c>
      <c r="G33" s="3" t="n">
        <v>13</v>
      </c>
      <c r="H33" s="3" t="n">
        <v>13</v>
      </c>
      <c r="I33" s="3" t="n">
        <v>13</v>
      </c>
      <c r="J33" s="3" t="n">
        <v>13</v>
      </c>
      <c r="K33" s="3" t="n">
        <v>13</v>
      </c>
      <c r="L33" s="3" t="n">
        <v>13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-8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2</v>
      </c>
      <c r="D41" s="3" t="n">
        <v>9</v>
      </c>
      <c r="E41" s="3" t="n">
        <v>8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19</v>
      </c>
      <c r="D42" s="3" t="n">
        <v>23</v>
      </c>
      <c r="E42" s="3" t="n">
        <v>26</v>
      </c>
      <c r="F42" s="3" t="n">
        <v>27.5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108</v>
      </c>
      <c r="C43" s="3" t="n">
        <v>0.62</v>
      </c>
      <c r="D43" s="3" t="n">
        <v>0.62</v>
      </c>
      <c r="E43" s="3" t="n">
        <v>0.62</v>
      </c>
      <c r="F43" s="3" t="n">
        <v>0.62</v>
      </c>
      <c r="G43" s="3" t="n">
        <v>0.62</v>
      </c>
      <c r="H43" s="3" t="n">
        <v>0.62</v>
      </c>
      <c r="I43" s="3" t="n">
        <v>0.62</v>
      </c>
      <c r="J43" s="3" t="n">
        <v>0.62</v>
      </c>
      <c r="K43" s="3" t="n">
        <v>0.62</v>
      </c>
      <c r="L43" s="3" t="n">
        <v>0.62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7.3</v>
      </c>
      <c r="D45" s="3" t="n">
        <v>7</v>
      </c>
      <c r="E45" s="3" t="n">
        <v>6.8</v>
      </c>
      <c r="F45" s="3" t="n">
        <v>6.7</v>
      </c>
      <c r="G45" s="3" t="n">
        <v>6.7</v>
      </c>
      <c r="H45" s="3" t="n">
        <v>6.7</v>
      </c>
      <c r="I45" s="3" t="n">
        <v>6.7</v>
      </c>
      <c r="J45" s="3" t="n">
        <v>6.7</v>
      </c>
      <c r="K45" s="3" t="n">
        <v>6.7</v>
      </c>
      <c r="L45" s="3" t="n">
        <v>6.7</v>
      </c>
    </row>
    <row r="46" customFormat="false" ht="15" hidden="false" customHeight="false" outlineLevel="0" collapsed="false">
      <c r="A46" s="0" t="s">
        <v>111</v>
      </c>
      <c r="C46" s="3" t="n">
        <v>8.3</v>
      </c>
      <c r="D46" s="3" t="n">
        <v>7.2</v>
      </c>
      <c r="E46" s="3" t="n">
        <v>6.2</v>
      </c>
      <c r="F46" s="3" t="n">
        <v>6</v>
      </c>
      <c r="G46" s="3" t="n">
        <v>6</v>
      </c>
      <c r="H46" s="3" t="n">
        <v>6</v>
      </c>
      <c r="I46" s="3" t="n">
        <v>6</v>
      </c>
      <c r="J46" s="3" t="n">
        <v>6</v>
      </c>
      <c r="K46" s="3" t="n">
        <v>6</v>
      </c>
      <c r="L46" s="3" t="n">
        <v>6</v>
      </c>
    </row>
    <row r="47" customFormat="false" ht="15" hidden="false" customHeight="false" outlineLevel="0" collapsed="false">
      <c r="A47" s="0" t="s">
        <v>112</v>
      </c>
      <c r="C47" s="3" t="n">
        <v>9</v>
      </c>
      <c r="D47" s="3" t="n">
        <v>11</v>
      </c>
      <c r="E47" s="3" t="n">
        <v>13</v>
      </c>
      <c r="F47" s="3" t="n">
        <v>14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-8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-1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6905</v>
      </c>
      <c r="C6" s="0" t="n">
        <f aca="false">B6*(1+C5/100)</f>
        <v>6835.95</v>
      </c>
      <c r="D6" s="0" t="n">
        <f aca="false">C6*(1+D5/100)</f>
        <v>6904.3095</v>
      </c>
      <c r="E6" s="0" t="n">
        <f aca="false">D6*(1+E5/100)</f>
        <v>7042.39569</v>
      </c>
      <c r="F6" s="0" t="n">
        <f aca="false">E6*(1+F5/100)</f>
        <v>7218.45558225</v>
      </c>
      <c r="G6" s="0" t="n">
        <f aca="false">F6*(1+G5/100)</f>
        <v>7398.91697180625</v>
      </c>
      <c r="H6" s="0" t="n">
        <f aca="false">G6*(1+H5/100)</f>
        <v>7546.89531124237</v>
      </c>
      <c r="I6" s="0" t="n">
        <f aca="false">H6*(1+I5/100)</f>
        <v>7697.83321746722</v>
      </c>
      <c r="J6" s="0" t="n">
        <f aca="false">I6*(1+J5/100)</f>
        <v>7851.78988181657</v>
      </c>
      <c r="K6" s="0" t="n">
        <f aca="false">J6*(1+K5/100)</f>
        <v>8008.8256794529</v>
      </c>
      <c r="L6" s="0" t="n">
        <f aca="false">K6*(1+L5/100)</f>
        <v>8169.00219304196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17.5</v>
      </c>
      <c r="D7" s="4" t="n">
        <f aca="false">Assumptions!D14</f>
        <v>17.5</v>
      </c>
      <c r="E7" s="4" t="n">
        <f aca="false">Assumptions!E14</f>
        <v>18</v>
      </c>
      <c r="F7" s="4" t="n">
        <f aca="false">Assumptions!F14</f>
        <v>18.5</v>
      </c>
      <c r="G7" s="4" t="n">
        <f aca="false">Assumptions!G14</f>
        <v>19</v>
      </c>
      <c r="H7" s="4" t="n">
        <f aca="false">Assumptions!H14</f>
        <v>19</v>
      </c>
      <c r="I7" s="4" t="n">
        <f aca="false">Assumptions!I14</f>
        <v>19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1196.29125</v>
      </c>
      <c r="D8" s="0" t="n">
        <f aca="false">D6*D7/100</f>
        <v>1208.2541625</v>
      </c>
      <c r="E8" s="0" t="n">
        <f aca="false">E6*E7/100</f>
        <v>1267.6312242</v>
      </c>
      <c r="F8" s="0" t="n">
        <f aca="false">F6*F7/100</f>
        <v>1335.41428271625</v>
      </c>
      <c r="G8" s="0" t="n">
        <f aca="false">G6*G7/100</f>
        <v>1405.79422464319</v>
      </c>
      <c r="H8" s="0" t="n">
        <f aca="false">H6*H7/100</f>
        <v>1433.91010913605</v>
      </c>
      <c r="I8" s="0" t="n">
        <f aca="false">I6*I7/100</f>
        <v>1462.58831131877</v>
      </c>
      <c r="J8" s="0" t="n">
        <f aca="false">J6*J7/100</f>
        <v>1491.84007754515</v>
      </c>
      <c r="K8" s="0" t="n">
        <f aca="false">K6*K7/100</f>
        <v>1521.67687909605</v>
      </c>
      <c r="L8" s="0" t="n">
        <f aca="false">L6*L7/100</f>
        <v>1552.11041667797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0.62</v>
      </c>
      <c r="D9" s="4" t="n">
        <f aca="false">Assumptions!D15</f>
        <v>0.62</v>
      </c>
      <c r="E9" s="4" t="n">
        <f aca="false">Assumptions!E15</f>
        <v>0.62</v>
      </c>
      <c r="F9" s="4" t="n">
        <f aca="false">Assumptions!F15</f>
        <v>0.62</v>
      </c>
      <c r="G9" s="4" t="n">
        <f aca="false">Assumptions!G15</f>
        <v>0.62</v>
      </c>
      <c r="H9" s="4" t="n">
        <f aca="false">Assumptions!H15</f>
        <v>0.62</v>
      </c>
      <c r="I9" s="4" t="n">
        <f aca="false">Assumptions!I15</f>
        <v>0.62</v>
      </c>
      <c r="J9" s="4" t="n">
        <f aca="false">Assumptions!J15</f>
        <v>0.62</v>
      </c>
      <c r="K9" s="4" t="n">
        <f aca="false">Assumptions!K15</f>
        <v>0.62</v>
      </c>
      <c r="L9" s="4" t="n">
        <f aca="false">Assumptions!L15</f>
        <v>0.62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-42.38289</v>
      </c>
      <c r="D10" s="0" t="n">
        <f aca="false">-D6*D9/100</f>
        <v>-42.8067189</v>
      </c>
      <c r="E10" s="0" t="n">
        <f aca="false">-E6*E9/100</f>
        <v>-43.662853278</v>
      </c>
      <c r="F10" s="0" t="n">
        <f aca="false">-F6*F9/100</f>
        <v>-44.75442460995</v>
      </c>
      <c r="G10" s="0" t="n">
        <f aca="false">-G6*G9/100</f>
        <v>-45.8732852251987</v>
      </c>
      <c r="H10" s="0" t="n">
        <f aca="false">-H6*H9/100</f>
        <v>-46.7907509297027</v>
      </c>
      <c r="I10" s="0" t="n">
        <f aca="false">-I6*I9/100</f>
        <v>-47.7265659482968</v>
      </c>
      <c r="J10" s="0" t="n">
        <f aca="false">-J6*J9/100</f>
        <v>-48.6810972672627</v>
      </c>
      <c r="K10" s="0" t="n">
        <f aca="false">-K6*K9/100</f>
        <v>-49.654719212608</v>
      </c>
      <c r="L10" s="0" t="n">
        <f aca="false">-L6*L9/100</f>
        <v>-50.6478135968601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1153.90836</v>
      </c>
      <c r="D11" s="0" t="n">
        <f aca="false">D8+D10+D24</f>
        <v>1165.4474436</v>
      </c>
      <c r="E11" s="0" t="n">
        <f aca="false">E8+E10+E24</f>
        <v>1223.968370922</v>
      </c>
      <c r="F11" s="0" t="n">
        <f aca="false">F8+F10+F24</f>
        <v>1290.6598581063</v>
      </c>
      <c r="G11" s="0" t="n">
        <f aca="false">G8+G10+G24</f>
        <v>1359.92093941799</v>
      </c>
      <c r="H11" s="0" t="n">
        <f aca="false">H8+H10+H24</f>
        <v>1387.11935820635</v>
      </c>
      <c r="I11" s="0" t="n">
        <f aca="false">I8+I10+I24</f>
        <v>1414.86174537048</v>
      </c>
      <c r="J11" s="0" t="n">
        <f aca="false">J8+J10+J24</f>
        <v>1443.15898027789</v>
      </c>
      <c r="K11" s="0" t="n">
        <f aca="false">K8+K10+K24</f>
        <v>1472.02215988344</v>
      </c>
      <c r="L11" s="0" t="n">
        <f aca="false">L8+L10+L24</f>
        <v>1501.46260308111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-505.8603</v>
      </c>
      <c r="D12" s="4" t="n">
        <f aca="false">-D6*Assumptions!D17/100</f>
        <v>-510.918903</v>
      </c>
      <c r="E12" s="4" t="n">
        <f aca="false">-E6*Assumptions!E17/100</f>
        <v>-514.09488537</v>
      </c>
      <c r="F12" s="4" t="n">
        <f aca="false">-F6*Assumptions!F17/100</f>
        <v>-519.728801922</v>
      </c>
      <c r="G12" s="4" t="n">
        <f aca="false">-G6*Assumptions!G17/100</f>
        <v>-532.72202197005</v>
      </c>
      <c r="H12" s="4" t="n">
        <f aca="false">-H6*Assumptions!H17/100</f>
        <v>-543.376462409451</v>
      </c>
      <c r="I12" s="4" t="n">
        <f aca="false">-I6*Assumptions!I17/100</f>
        <v>-554.24399165764</v>
      </c>
      <c r="J12" s="4" t="n">
        <f aca="false">-J6*Assumptions!J17/100</f>
        <v>-565.328871490793</v>
      </c>
      <c r="K12" s="4" t="n">
        <f aca="false">-K6*Assumptions!K17/100</f>
        <v>-576.635448920609</v>
      </c>
      <c r="L12" s="4" t="n">
        <f aca="false">-L6*Assumptions!L17/100</f>
        <v>-588.168157899021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648.04806</v>
      </c>
      <c r="D13" s="0" t="n">
        <f aca="false">D11+D12</f>
        <v>654.5285406</v>
      </c>
      <c r="E13" s="0" t="n">
        <f aca="false">E11+E12</f>
        <v>709.873485552</v>
      </c>
      <c r="F13" s="0" t="n">
        <f aca="false">F11+F12</f>
        <v>770.9310561843</v>
      </c>
      <c r="G13" s="0" t="n">
        <f aca="false">G11+G12</f>
        <v>827.198917447939</v>
      </c>
      <c r="H13" s="0" t="n">
        <f aca="false">H11+H12</f>
        <v>843.742895796897</v>
      </c>
      <c r="I13" s="0" t="n">
        <f aca="false">I11+I12</f>
        <v>860.617753712835</v>
      </c>
      <c r="J13" s="0" t="n">
        <f aca="false">J11+J12</f>
        <v>877.830108787092</v>
      </c>
      <c r="K13" s="0" t="n">
        <f aca="false">K11+K12</f>
        <v>895.386710962834</v>
      </c>
      <c r="L13" s="0" t="n">
        <f aca="false">L11+L12</f>
        <v>913.294445182091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9</v>
      </c>
      <c r="D14" s="4" t="n">
        <f aca="false">Assumptions!D19</f>
        <v>9</v>
      </c>
      <c r="E14" s="4" t="n">
        <f aca="false">Assumptions!E19</f>
        <v>9</v>
      </c>
      <c r="F14" s="4" t="n">
        <f aca="false">Assumptions!F19</f>
        <v>10</v>
      </c>
      <c r="G14" s="4" t="n">
        <f aca="false">Assumptions!G19</f>
        <v>10</v>
      </c>
      <c r="H14" s="4" t="n">
        <f aca="false">Assumptions!H19</f>
        <v>10</v>
      </c>
      <c r="I14" s="4" t="n">
        <f aca="false">Assumptions!I19</f>
        <v>10</v>
      </c>
      <c r="J14" s="4" t="n">
        <f aca="false">Assumptions!J19</f>
        <v>10</v>
      </c>
      <c r="K14" s="4" t="n">
        <f aca="false">Assumptions!K19</f>
        <v>10</v>
      </c>
      <c r="L14" s="4" t="n">
        <f aca="false">Assumptions!L19</f>
        <v>10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589.7237346</v>
      </c>
      <c r="D15" s="0" t="n">
        <f aca="false">D13-MAX(0,D13)*D14/100</f>
        <v>595.620971946</v>
      </c>
      <c r="E15" s="0" t="n">
        <f aca="false">E13-MAX(0,E13)*E14/100</f>
        <v>645.98487185232</v>
      </c>
      <c r="F15" s="0" t="n">
        <f aca="false">F13-MAX(0,F13)*F14/100</f>
        <v>693.83795056587</v>
      </c>
      <c r="G15" s="0" t="n">
        <f aca="false">G13-MAX(0,G13)*G14/100</f>
        <v>744.479025703145</v>
      </c>
      <c r="H15" s="0" t="n">
        <f aca="false">H13-MAX(0,H13)*H14/100</f>
        <v>759.368606217208</v>
      </c>
      <c r="I15" s="0" t="n">
        <f aca="false">I13-MAX(0,I13)*I14/100</f>
        <v>774.555978341552</v>
      </c>
      <c r="J15" s="0" t="n">
        <f aca="false">J13-MAX(0,J13)*J14/100</f>
        <v>790.047097908383</v>
      </c>
      <c r="K15" s="0" t="n">
        <f aca="false">K13-MAX(0,K13)*K14/100</f>
        <v>805.848039866551</v>
      </c>
      <c r="L15" s="0" t="n">
        <f aca="false">L13-MAX(0,L13)*L14/100</f>
        <v>821.965000663882</v>
      </c>
    </row>
    <row r="16" customFormat="false" ht="15" hidden="false" customHeight="false" outlineLevel="0" collapsed="false">
      <c r="A16" s="0" t="s">
        <v>128</v>
      </c>
      <c r="C16" s="0" t="n">
        <f aca="false">-C12</f>
        <v>505.8603</v>
      </c>
      <c r="D16" s="0" t="n">
        <f aca="false">-D12</f>
        <v>510.918903</v>
      </c>
      <c r="E16" s="0" t="n">
        <f aca="false">-E12</f>
        <v>514.09488537</v>
      </c>
      <c r="F16" s="0" t="n">
        <f aca="false">-F12</f>
        <v>519.728801922</v>
      </c>
      <c r="G16" s="0" t="n">
        <f aca="false">-G12</f>
        <v>532.72202197005</v>
      </c>
      <c r="H16" s="0" t="n">
        <f aca="false">-H12</f>
        <v>543.376462409451</v>
      </c>
      <c r="I16" s="0" t="n">
        <f aca="false">-I12</f>
        <v>554.24399165764</v>
      </c>
      <c r="J16" s="0" t="n">
        <f aca="false">-J12</f>
        <v>565.328871490793</v>
      </c>
      <c r="K16" s="0" t="n">
        <f aca="false">-K12</f>
        <v>576.635448920609</v>
      </c>
      <c r="L16" s="0" t="n">
        <f aca="false">-L12</f>
        <v>588.168157899021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-567.38385</v>
      </c>
      <c r="D17" s="4" t="n">
        <f aca="false">-D6*Assumptions!D18/100</f>
        <v>-517.8232125</v>
      </c>
      <c r="E17" s="4" t="n">
        <f aca="false">-E6*Assumptions!E18/100</f>
        <v>-443.67092847</v>
      </c>
      <c r="F17" s="4" t="n">
        <f aca="false">-F6*Assumptions!F18/100</f>
        <v>-433.107334935</v>
      </c>
      <c r="G17" s="4" t="n">
        <f aca="false">-G6*Assumptions!G18/100</f>
        <v>-443.935018308375</v>
      </c>
      <c r="H17" s="4" t="n">
        <f aca="false">-H6*Assumptions!H18/100</f>
        <v>-452.813718674543</v>
      </c>
      <c r="I17" s="4" t="n">
        <f aca="false">-I6*Assumptions!I18/100</f>
        <v>-461.869993048033</v>
      </c>
      <c r="J17" s="4" t="n">
        <f aca="false">-J6*Assumptions!J18/100</f>
        <v>-471.107392908994</v>
      </c>
      <c r="K17" s="4" t="n">
        <f aca="false">-K6*Assumptions!K18/100</f>
        <v>-480.529540767174</v>
      </c>
      <c r="L17" s="4" t="n">
        <f aca="false">-L6*Assumptions!L18/100</f>
        <v>-490.140131582517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5.52400000000001</v>
      </c>
      <c r="D18" s="4" t="n">
        <f aca="false">(D6-C6)*Assumptions!$B$23/100</f>
        <v>-5.46876000000004</v>
      </c>
      <c r="E18" s="4" t="n">
        <f aca="false">(E6-D6)*Assumptions!$B$23/100</f>
        <v>-11.0468952</v>
      </c>
      <c r="F18" s="4" t="n">
        <f aca="false">(F6-E6)*Assumptions!$B$23/100</f>
        <v>-14.08479138</v>
      </c>
      <c r="G18" s="4" t="n">
        <f aca="false">(G6-F6)*Assumptions!$B$23/100</f>
        <v>-14.4369111645</v>
      </c>
      <c r="H18" s="4" t="n">
        <f aca="false">(H6-G6)*Assumptions!$B$23/100</f>
        <v>-11.83826715489</v>
      </c>
      <c r="I18" s="4" t="n">
        <f aca="false">(I6-H6)*Assumptions!$B$23/100</f>
        <v>-12.0750324979878</v>
      </c>
      <c r="J18" s="4" t="n">
        <f aca="false">(J6-I6)*Assumptions!$B$23/100</f>
        <v>-12.3165331479476</v>
      </c>
      <c r="K18" s="4" t="n">
        <f aca="false">(K6-J6)*Assumptions!$B$23/100</f>
        <v>-12.5628638109065</v>
      </c>
      <c r="L18" s="4" t="n">
        <f aca="false">(L6-K6)*Assumptions!$B$23/100</f>
        <v>-12.8141210871247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533.7241846</v>
      </c>
      <c r="D19" s="0" t="n">
        <f aca="false">D15+D16+D17+D18</f>
        <v>583.247902446</v>
      </c>
      <c r="E19" s="0" t="n">
        <f aca="false">E15+E16+E17+E18</f>
        <v>705.36193355232</v>
      </c>
      <c r="F19" s="0" t="n">
        <f aca="false">F15+F16+F17+F18</f>
        <v>766.37462617287</v>
      </c>
      <c r="G19" s="0" t="n">
        <f aca="false">G15+G16+G17+G18</f>
        <v>818.82911820032</v>
      </c>
      <c r="H19" s="0" t="n">
        <f aca="false">H15+H16+H17+H18</f>
        <v>838.093082797226</v>
      </c>
      <c r="I19" s="0" t="n">
        <f aca="false">I15+I16+I17+I18</f>
        <v>854.85494445317</v>
      </c>
      <c r="J19" s="0" t="n">
        <f aca="false">J15+J16+J17+J18</f>
        <v>871.952043342234</v>
      </c>
      <c r="K19" s="0" t="n">
        <f aca="false">K15+K16+K17+K18</f>
        <v>889.391084209079</v>
      </c>
      <c r="L19" s="0" t="n">
        <f aca="false">L15+L16+L17+L18</f>
        <v>907.17890589326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494.189059814814</v>
      </c>
      <c r="D21" s="0" t="n">
        <f aca="false">D19*D20</f>
        <v>500.041068626543</v>
      </c>
      <c r="E21" s="0" t="n">
        <f aca="false">E19*E20</f>
        <v>559.939044442158</v>
      </c>
      <c r="F21" s="0" t="n">
        <f aca="false">F19*F20</f>
        <v>563.308228662781</v>
      </c>
      <c r="G21" s="0" t="n">
        <f aca="false">G19*G20</f>
        <v>557.281339089102</v>
      </c>
      <c r="H21" s="0" t="n">
        <f aca="false">H19*H20</f>
        <v>528.140805279639</v>
      </c>
      <c r="I21" s="0" t="n">
        <f aca="false">I19*I20</f>
        <v>498.79964943077</v>
      </c>
      <c r="J21" s="0" t="n">
        <f aca="false">J19*J20</f>
        <v>471.088557795727</v>
      </c>
      <c r="K21" s="0" t="n">
        <f aca="false">K19*K20</f>
        <v>444.91697125152</v>
      </c>
      <c r="L21" s="0" t="n">
        <f aca="false">L19*L20</f>
        <v>420.199361737547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5037.9040861306</v>
      </c>
    </row>
    <row r="31" customFormat="false" ht="15" hidden="false" customHeight="false" outlineLevel="0" collapsed="false">
      <c r="A31" s="0" t="s">
        <v>137</v>
      </c>
      <c r="B31" s="0" t="n">
        <f aca="false">L19</f>
        <v>907.17890589326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15422.0414001854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10886.1468707191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10886.1468707191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5042.39234085056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10080.2964269812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5304.29642698116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7.34667095149745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-0.602237631212915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306.655128911086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398.815536544473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8.32377713633895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7117.86526162404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0.891174233888791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6905</v>
      </c>
      <c r="C6" s="0" t="n">
        <f aca="false">B6*(1+C5/100)</f>
        <v>6974.05</v>
      </c>
      <c r="D6" s="0" t="n">
        <f aca="false">C6*(1+D5/100)</f>
        <v>7322.7525</v>
      </c>
      <c r="E6" s="0" t="n">
        <f aca="false">D6*(1+E5/100)</f>
        <v>7688.890125</v>
      </c>
      <c r="F6" s="0" t="n">
        <f aca="false">E6*(1+F5/100)</f>
        <v>8034.890180625</v>
      </c>
      <c r="G6" s="0" t="n">
        <f aca="false">F6*(1+G5/100)</f>
        <v>8356.28578785</v>
      </c>
      <c r="H6" s="0" t="n">
        <f aca="false">G6*(1+H5/100)</f>
        <v>8648.75579042475</v>
      </c>
      <c r="I6" s="0" t="n">
        <f aca="false">H6*(1+I5/100)</f>
        <v>8908.21846413749</v>
      </c>
      <c r="J6" s="0" t="n">
        <f aca="false">I6*(1+J5/100)</f>
        <v>9130.92392574093</v>
      </c>
      <c r="K6" s="0" t="n">
        <f aca="false">J6*(1+K5/100)</f>
        <v>9359.19702388445</v>
      </c>
      <c r="L6" s="0" t="n">
        <f aca="false">K6*(1+L5/100)</f>
        <v>9593.17694948156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18.5</v>
      </c>
      <c r="D7" s="4" t="n">
        <f aca="false">Assumptions!D28</f>
        <v>20.5</v>
      </c>
      <c r="E7" s="4" t="n">
        <f aca="false">Assumptions!E28</f>
        <v>22</v>
      </c>
      <c r="F7" s="4" t="n">
        <f aca="false">Assumptions!F28</f>
        <v>23</v>
      </c>
      <c r="G7" s="4" t="n">
        <f aca="false">Assumptions!G28</f>
        <v>23.5</v>
      </c>
      <c r="H7" s="4" t="n">
        <f aca="false">Assumptions!H28</f>
        <v>23.5</v>
      </c>
      <c r="I7" s="4" t="n">
        <f aca="false">Assumptions!I28</f>
        <v>23.5</v>
      </c>
      <c r="J7" s="4" t="n">
        <f aca="false">Assumptions!J28</f>
        <v>23.5</v>
      </c>
      <c r="K7" s="4" t="n">
        <f aca="false">Assumptions!K28</f>
        <v>23.5</v>
      </c>
      <c r="L7" s="4" t="n">
        <f aca="false">Assumptions!L28</f>
        <v>23.5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1290.19925</v>
      </c>
      <c r="D8" s="0" t="n">
        <f aca="false">D6*D7/100</f>
        <v>1501.1642625</v>
      </c>
      <c r="E8" s="0" t="n">
        <f aca="false">E6*E7/100</f>
        <v>1691.5558275</v>
      </c>
      <c r="F8" s="0" t="n">
        <f aca="false">F6*F7/100</f>
        <v>1848.02474154375</v>
      </c>
      <c r="G8" s="0" t="n">
        <f aca="false">G6*G7/100</f>
        <v>1963.72716014475</v>
      </c>
      <c r="H8" s="0" t="n">
        <f aca="false">H6*H7/100</f>
        <v>2032.45761074982</v>
      </c>
      <c r="I8" s="0" t="n">
        <f aca="false">I6*I7/100</f>
        <v>2093.43133907231</v>
      </c>
      <c r="J8" s="0" t="n">
        <f aca="false">J6*J7/100</f>
        <v>2145.76712254912</v>
      </c>
      <c r="K8" s="0" t="n">
        <f aca="false">K6*K7/100</f>
        <v>2199.41130061285</v>
      </c>
      <c r="L8" s="0" t="n">
        <f aca="false">L6*L7/100</f>
        <v>2254.39658312817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0.62</v>
      </c>
      <c r="D9" s="4" t="n">
        <f aca="false">Assumptions!D29</f>
        <v>0.62</v>
      </c>
      <c r="E9" s="4" t="n">
        <f aca="false">Assumptions!E29</f>
        <v>0.62</v>
      </c>
      <c r="F9" s="4" t="n">
        <f aca="false">Assumptions!F29</f>
        <v>0.62</v>
      </c>
      <c r="G9" s="4" t="n">
        <f aca="false">Assumptions!G29</f>
        <v>0.62</v>
      </c>
      <c r="H9" s="4" t="n">
        <f aca="false">Assumptions!H29</f>
        <v>0.62</v>
      </c>
      <c r="I9" s="4" t="n">
        <f aca="false">Assumptions!I29</f>
        <v>0.62</v>
      </c>
      <c r="J9" s="4" t="n">
        <f aca="false">Assumptions!J29</f>
        <v>0.62</v>
      </c>
      <c r="K9" s="4" t="n">
        <f aca="false">Assumptions!K29</f>
        <v>0.62</v>
      </c>
      <c r="L9" s="4" t="n">
        <f aca="false">Assumptions!L29</f>
        <v>0.62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-43.23911</v>
      </c>
      <c r="D10" s="0" t="n">
        <f aca="false">-D6*D9/100</f>
        <v>-45.4010655</v>
      </c>
      <c r="E10" s="0" t="n">
        <f aca="false">-E6*E9/100</f>
        <v>-47.671118775</v>
      </c>
      <c r="F10" s="0" t="n">
        <f aca="false">-F6*F9/100</f>
        <v>-49.816319119875</v>
      </c>
      <c r="G10" s="0" t="n">
        <f aca="false">-G6*G9/100</f>
        <v>-51.80897188467</v>
      </c>
      <c r="H10" s="0" t="n">
        <f aca="false">-H6*H9/100</f>
        <v>-53.6222859006335</v>
      </c>
      <c r="I10" s="0" t="n">
        <f aca="false">-I6*I9/100</f>
        <v>-55.2309544776525</v>
      </c>
      <c r="J10" s="0" t="n">
        <f aca="false">-J6*J9/100</f>
        <v>-56.6117283395938</v>
      </c>
      <c r="K10" s="0" t="n">
        <f aca="false">-K6*K9/100</f>
        <v>-58.0270215480836</v>
      </c>
      <c r="L10" s="0" t="n">
        <f aca="false">-L6*L9/100</f>
        <v>-59.4776970867857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1246.96014</v>
      </c>
      <c r="D11" s="0" t="n">
        <f aca="false">D8+D10+D24</f>
        <v>1455.763197</v>
      </c>
      <c r="E11" s="0" t="n">
        <f aca="false">E8+E10+E24</f>
        <v>1643.884708725</v>
      </c>
      <c r="F11" s="0" t="n">
        <f aca="false">F8+F10+F24</f>
        <v>1798.20842242388</v>
      </c>
      <c r="G11" s="0" t="n">
        <f aca="false">G8+G10+G24</f>
        <v>1911.91818826008</v>
      </c>
      <c r="H11" s="0" t="n">
        <f aca="false">H8+H10+H24</f>
        <v>1978.83532484918</v>
      </c>
      <c r="I11" s="0" t="n">
        <f aca="false">I8+I10+I24</f>
        <v>2038.20038459466</v>
      </c>
      <c r="J11" s="0" t="n">
        <f aca="false">J8+J10+J24</f>
        <v>2089.15539420952</v>
      </c>
      <c r="K11" s="0" t="n">
        <f aca="false">K8+K10+K24</f>
        <v>2141.38427906476</v>
      </c>
      <c r="L11" s="0" t="n">
        <f aca="false">L8+L10+L24</f>
        <v>2194.91888604138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-509.10565</v>
      </c>
      <c r="D12" s="4" t="n">
        <f aca="false">-D6*Assumptions!D31/100</f>
        <v>-527.23818</v>
      </c>
      <c r="E12" s="4" t="n">
        <f aca="false">-E6*Assumptions!E31/100</f>
        <v>-545.911198875</v>
      </c>
      <c r="F12" s="4" t="n">
        <f aca="false">-F6*Assumptions!F31/100</f>
        <v>-562.44231264375</v>
      </c>
      <c r="G12" s="4" t="n">
        <f aca="false">-G6*Assumptions!G31/100</f>
        <v>-584.9400051495</v>
      </c>
      <c r="H12" s="4" t="n">
        <f aca="false">-H6*Assumptions!H31/100</f>
        <v>-605.412905329733</v>
      </c>
      <c r="I12" s="4" t="n">
        <f aca="false">-I6*Assumptions!I31/100</f>
        <v>-623.575292489625</v>
      </c>
      <c r="J12" s="4" t="n">
        <f aca="false">-J6*Assumptions!J31/100</f>
        <v>-639.164674801865</v>
      </c>
      <c r="K12" s="4" t="n">
        <f aca="false">-K6*Assumptions!K31/100</f>
        <v>-655.143791671912</v>
      </c>
      <c r="L12" s="4" t="n">
        <f aca="false">-L6*Assumptions!L31/100</f>
        <v>-671.522386463709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737.85449</v>
      </c>
      <c r="D13" s="0" t="n">
        <f aca="false">D11+D12</f>
        <v>928.525017</v>
      </c>
      <c r="E13" s="0" t="n">
        <f aca="false">E11+E12</f>
        <v>1097.97350985</v>
      </c>
      <c r="F13" s="0" t="n">
        <f aca="false">F11+F12</f>
        <v>1235.76610978013</v>
      </c>
      <c r="G13" s="0" t="n">
        <f aca="false">G11+G12</f>
        <v>1326.97818311058</v>
      </c>
      <c r="H13" s="0" t="n">
        <f aca="false">H11+H12</f>
        <v>1373.42241951945</v>
      </c>
      <c r="I13" s="0" t="n">
        <f aca="false">I11+I12</f>
        <v>1414.62509210503</v>
      </c>
      <c r="J13" s="0" t="n">
        <f aca="false">J11+J12</f>
        <v>1449.99071940766</v>
      </c>
      <c r="K13" s="0" t="n">
        <f aca="false">K11+K12</f>
        <v>1486.24048739285</v>
      </c>
      <c r="L13" s="0" t="n">
        <f aca="false">L11+L12</f>
        <v>1523.39649957767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9</v>
      </c>
      <c r="D14" s="4" t="n">
        <f aca="false">Assumptions!D33</f>
        <v>10</v>
      </c>
      <c r="E14" s="4" t="n">
        <f aca="false">Assumptions!E33</f>
        <v>11</v>
      </c>
      <c r="F14" s="4" t="n">
        <f aca="false">Assumptions!F33</f>
        <v>12</v>
      </c>
      <c r="G14" s="4" t="n">
        <f aca="false">Assumptions!G33</f>
        <v>13</v>
      </c>
      <c r="H14" s="4" t="n">
        <f aca="false">Assumptions!H33</f>
        <v>13</v>
      </c>
      <c r="I14" s="4" t="n">
        <f aca="false">Assumptions!I33</f>
        <v>13</v>
      </c>
      <c r="J14" s="4" t="n">
        <f aca="false">Assumptions!J33</f>
        <v>13</v>
      </c>
      <c r="K14" s="4" t="n">
        <f aca="false">Assumptions!K33</f>
        <v>13</v>
      </c>
      <c r="L14" s="4" t="n">
        <f aca="false">Assumptions!L33</f>
        <v>13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671.4475859</v>
      </c>
      <c r="D15" s="0" t="n">
        <f aca="false">D13-MAX(0,D13)*D14/100</f>
        <v>835.6725153</v>
      </c>
      <c r="E15" s="0" t="n">
        <f aca="false">E13-MAX(0,E13)*E14/100</f>
        <v>977.1964237665</v>
      </c>
      <c r="F15" s="0" t="n">
        <f aca="false">F13-MAX(0,F13)*F14/100</f>
        <v>1087.47417660651</v>
      </c>
      <c r="G15" s="0" t="n">
        <f aca="false">G13-MAX(0,G13)*G14/100</f>
        <v>1154.4710193062</v>
      </c>
      <c r="H15" s="0" t="n">
        <f aca="false">H13-MAX(0,H13)*H14/100</f>
        <v>1194.87750498192</v>
      </c>
      <c r="I15" s="0" t="n">
        <f aca="false">I13-MAX(0,I13)*I14/100</f>
        <v>1230.72383013138</v>
      </c>
      <c r="J15" s="0" t="n">
        <f aca="false">J13-MAX(0,J13)*J14/100</f>
        <v>1261.49192588466</v>
      </c>
      <c r="K15" s="0" t="n">
        <f aca="false">K13-MAX(0,K13)*K14/100</f>
        <v>1293.02922403178</v>
      </c>
      <c r="L15" s="0" t="n">
        <f aca="false">L13-MAX(0,L13)*L14/100</f>
        <v>1325.35495463257</v>
      </c>
    </row>
    <row r="16" customFormat="false" ht="15" hidden="false" customHeight="false" outlineLevel="0" collapsed="false">
      <c r="A16" s="0" t="s">
        <v>128</v>
      </c>
      <c r="C16" s="0" t="n">
        <f aca="false">-C12</f>
        <v>509.10565</v>
      </c>
      <c r="D16" s="0" t="n">
        <f aca="false">-D12</f>
        <v>527.23818</v>
      </c>
      <c r="E16" s="0" t="n">
        <f aca="false">-E12</f>
        <v>545.911198875</v>
      </c>
      <c r="F16" s="0" t="n">
        <f aca="false">-F12</f>
        <v>562.44231264375</v>
      </c>
      <c r="G16" s="0" t="n">
        <f aca="false">-G12</f>
        <v>584.9400051495</v>
      </c>
      <c r="H16" s="0" t="n">
        <f aca="false">-H12</f>
        <v>605.412905329733</v>
      </c>
      <c r="I16" s="0" t="n">
        <f aca="false">-I12</f>
        <v>623.575292489625</v>
      </c>
      <c r="J16" s="0" t="n">
        <f aca="false">-J12</f>
        <v>639.164674801865</v>
      </c>
      <c r="K16" s="0" t="n">
        <f aca="false">-K12</f>
        <v>655.143791671912</v>
      </c>
      <c r="L16" s="0" t="n">
        <f aca="false">-L12</f>
        <v>671.522386463709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-578.84615</v>
      </c>
      <c r="D17" s="4" t="n">
        <f aca="false">-D6*Assumptions!D32/100</f>
        <v>-541.883685</v>
      </c>
      <c r="E17" s="4" t="n">
        <f aca="false">-E6*Assumptions!E32/100</f>
        <v>-484.400077875</v>
      </c>
      <c r="F17" s="4" t="n">
        <f aca="false">-F6*Assumptions!F32/100</f>
        <v>-482.0934108375</v>
      </c>
      <c r="G17" s="4" t="n">
        <f aca="false">-G6*Assumptions!G32/100</f>
        <v>-501.377147271</v>
      </c>
      <c r="H17" s="4" t="n">
        <f aca="false">-H6*Assumptions!H32/100</f>
        <v>-518.925347425485</v>
      </c>
      <c r="I17" s="4" t="n">
        <f aca="false">-I6*Assumptions!I32/100</f>
        <v>-534.49310784825</v>
      </c>
      <c r="J17" s="4" t="n">
        <f aca="false">-J6*Assumptions!J32/100</f>
        <v>-547.855435544456</v>
      </c>
      <c r="K17" s="4" t="n">
        <f aca="false">-K6*Assumptions!K32/100</f>
        <v>-561.551821433067</v>
      </c>
      <c r="L17" s="4" t="n">
        <f aca="false">-L6*Assumptions!L32/100</f>
        <v>-575.590616968894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-5.52400000000001</v>
      </c>
      <c r="D18" s="4" t="n">
        <f aca="false">(D6-C6)*Assumptions!$B$37/100</f>
        <v>-27.8962</v>
      </c>
      <c r="E18" s="4" t="n">
        <f aca="false">(E6-D6)*Assumptions!$B$37/100</f>
        <v>-29.29101</v>
      </c>
      <c r="F18" s="4" t="n">
        <f aca="false">(F6-E6)*Assumptions!$B$37/100</f>
        <v>-27.68000445</v>
      </c>
      <c r="G18" s="4" t="n">
        <f aca="false">(G6-F6)*Assumptions!$B$37/100</f>
        <v>-25.7116485780001</v>
      </c>
      <c r="H18" s="4" t="n">
        <f aca="false">(H6-G6)*Assumptions!$B$37/100</f>
        <v>-23.39760020598</v>
      </c>
      <c r="I18" s="4" t="n">
        <f aca="false">(I6-H6)*Assumptions!$B$37/100</f>
        <v>-20.7570138970194</v>
      </c>
      <c r="J18" s="4" t="n">
        <f aca="false">(J6-I6)*Assumptions!$B$37/100</f>
        <v>-17.8164369282749</v>
      </c>
      <c r="K18" s="4" t="n">
        <f aca="false">(K6-J6)*Assumptions!$B$37/100</f>
        <v>-18.2618478514817</v>
      </c>
      <c r="L18" s="4" t="n">
        <f aca="false">(L6-K6)*Assumptions!$B$37/100</f>
        <v>-18.7183940477688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596.1830859</v>
      </c>
      <c r="D19" s="0" t="n">
        <f aca="false">D15+D16+D17+D18</f>
        <v>793.1308103</v>
      </c>
      <c r="E19" s="0" t="n">
        <f aca="false">E15+E16+E17+E18</f>
        <v>1009.4165347665</v>
      </c>
      <c r="F19" s="0" t="n">
        <f aca="false">F15+F16+F17+F18</f>
        <v>1140.14307396276</v>
      </c>
      <c r="G19" s="0" t="n">
        <f aca="false">G15+G16+G17+G18</f>
        <v>1212.3222286067</v>
      </c>
      <c r="H19" s="0" t="n">
        <f aca="false">H15+H16+H17+H18</f>
        <v>1257.96746268019</v>
      </c>
      <c r="I19" s="0" t="n">
        <f aca="false">I15+I16+I17+I18</f>
        <v>1299.04900087574</v>
      </c>
      <c r="J19" s="0" t="n">
        <f aca="false">J15+J16+J17+J18</f>
        <v>1334.9847282138</v>
      </c>
      <c r="K19" s="0" t="n">
        <f aca="false">K15+K16+K17+K18</f>
        <v>1368.35934641914</v>
      </c>
      <c r="L19" s="0" t="n">
        <f aca="false">L15+L16+L17+L18</f>
        <v>1402.56833007962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552.021375833333</v>
      </c>
      <c r="D21" s="0" t="n">
        <f aca="false">D19*D20</f>
        <v>679.9818332476</v>
      </c>
      <c r="E21" s="0" t="n">
        <f aca="false">E19*E20</f>
        <v>801.307389916505</v>
      </c>
      <c r="F21" s="0" t="n">
        <f aca="false">F19*F20</f>
        <v>838.039195821743</v>
      </c>
      <c r="G21" s="0" t="n">
        <f aca="false">G19*G20</f>
        <v>825.086138180235</v>
      </c>
      <c r="H21" s="0" t="n">
        <f aca="false">H19*H20</f>
        <v>792.732886588261</v>
      </c>
      <c r="I21" s="0" t="n">
        <f aca="false">I19*I20</f>
        <v>757.982614985863</v>
      </c>
      <c r="J21" s="0" t="n">
        <f aca="false">J19*J20</f>
        <v>721.250709939242</v>
      </c>
      <c r="K21" s="0" t="n">
        <f aca="false">K19*K20</f>
        <v>684.520349710855</v>
      </c>
      <c r="L21" s="0" t="n">
        <f aca="false">L19*L20</f>
        <v>649.66051708669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7302.58301131033</v>
      </c>
    </row>
    <row r="31" customFormat="false" ht="15" hidden="false" customHeight="false" outlineLevel="0" collapsed="false">
      <c r="A31" s="0" t="s">
        <v>137</v>
      </c>
      <c r="B31" s="0" t="n">
        <f aca="false">L19</f>
        <v>1402.56833007962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26138.7734242111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22441.0932812739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22441.0932812739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10394.568273387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17697.1512846974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12921.1512846974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17.8963314192484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-0.0310594791960779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341.861039627386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513.42589138717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19.0809393569417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11501.0603066529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4.58122427061031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2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6905</v>
      </c>
      <c r="C6" s="0" t="n">
        <f aca="false">B6*(1+C5/100)</f>
        <v>7043.1</v>
      </c>
      <c r="D6" s="0" t="n">
        <f aca="false">C6*(1+D5/100)</f>
        <v>7676.979</v>
      </c>
      <c r="E6" s="0" t="n">
        <f aca="false">D6*(1+E5/100)</f>
        <v>8291.13732</v>
      </c>
      <c r="F6" s="0" t="n">
        <f aca="false">E6*(1+F5/100)</f>
        <v>8788.6055592</v>
      </c>
      <c r="G6" s="0" t="n">
        <f aca="false">F6*(1+G5/100)</f>
        <v>9228.03583716</v>
      </c>
      <c r="H6" s="0" t="n">
        <f aca="false">G6*(1+H5/100)</f>
        <v>9597.1572706464</v>
      </c>
      <c r="I6" s="0" t="n">
        <f aca="false">H6*(1+I5/100)</f>
        <v>9933.05777511903</v>
      </c>
      <c r="J6" s="0" t="n">
        <f aca="false">I6*(1+J5/100)</f>
        <v>10231.0495083726</v>
      </c>
      <c r="K6" s="0" t="n">
        <f aca="false">J6*(1+K5/100)</f>
        <v>10537.9809936238</v>
      </c>
      <c r="L6" s="0" t="n">
        <f aca="false">K6*(1+L5/100)</f>
        <v>10854.1204234325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19</v>
      </c>
      <c r="D7" s="4" t="n">
        <f aca="false">Assumptions!D42</f>
        <v>23</v>
      </c>
      <c r="E7" s="4" t="n">
        <f aca="false">Assumptions!E42</f>
        <v>26</v>
      </c>
      <c r="F7" s="4" t="n">
        <f aca="false">Assumptions!F42</f>
        <v>27.5</v>
      </c>
      <c r="G7" s="4" t="n">
        <f aca="false">Assumptions!G42</f>
        <v>28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1338.189</v>
      </c>
      <c r="D8" s="0" t="n">
        <f aca="false">D6*D7/100</f>
        <v>1765.70517</v>
      </c>
      <c r="E8" s="0" t="n">
        <f aca="false">E6*E7/100</f>
        <v>2155.6957032</v>
      </c>
      <c r="F8" s="0" t="n">
        <f aca="false">F6*F7/100</f>
        <v>2416.86652878</v>
      </c>
      <c r="G8" s="0" t="n">
        <f aca="false">G6*G7/100</f>
        <v>2583.8500344048</v>
      </c>
      <c r="H8" s="0" t="n">
        <f aca="false">H6*H7/100</f>
        <v>2687.20403578099</v>
      </c>
      <c r="I8" s="0" t="n">
        <f aca="false">I6*I7/100</f>
        <v>2781.25617703333</v>
      </c>
      <c r="J8" s="0" t="n">
        <f aca="false">J6*J7/100</f>
        <v>2864.69386234433</v>
      </c>
      <c r="K8" s="0" t="n">
        <f aca="false">K6*K7/100</f>
        <v>2950.63467821466</v>
      </c>
      <c r="L8" s="0" t="n">
        <f aca="false">L6*L7/100</f>
        <v>3039.1537185611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0.62</v>
      </c>
      <c r="D9" s="4" t="n">
        <f aca="false">Assumptions!D43</f>
        <v>0.62</v>
      </c>
      <c r="E9" s="4" t="n">
        <f aca="false">Assumptions!E43</f>
        <v>0.62</v>
      </c>
      <c r="F9" s="4" t="n">
        <f aca="false">Assumptions!F43</f>
        <v>0.62</v>
      </c>
      <c r="G9" s="4" t="n">
        <f aca="false">Assumptions!G43</f>
        <v>0.62</v>
      </c>
      <c r="H9" s="4" t="n">
        <f aca="false">Assumptions!H43</f>
        <v>0.62</v>
      </c>
      <c r="I9" s="4" t="n">
        <f aca="false">Assumptions!I43</f>
        <v>0.62</v>
      </c>
      <c r="J9" s="4" t="n">
        <f aca="false">Assumptions!J43</f>
        <v>0.62</v>
      </c>
      <c r="K9" s="4" t="n">
        <f aca="false">Assumptions!K43</f>
        <v>0.62</v>
      </c>
      <c r="L9" s="4" t="n">
        <f aca="false">Assumptions!L43</f>
        <v>0.62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-43.66722</v>
      </c>
      <c r="D10" s="0" t="n">
        <f aca="false">-D6*D9/100</f>
        <v>-47.5972698</v>
      </c>
      <c r="E10" s="0" t="n">
        <f aca="false">-E6*E9/100</f>
        <v>-51.405051384</v>
      </c>
      <c r="F10" s="0" t="n">
        <f aca="false">-F6*F9/100</f>
        <v>-54.48935446704</v>
      </c>
      <c r="G10" s="0" t="n">
        <f aca="false">-G6*G9/100</f>
        <v>-57.213822190392</v>
      </c>
      <c r="H10" s="0" t="n">
        <f aca="false">-H6*H9/100</f>
        <v>-59.5023750780077</v>
      </c>
      <c r="I10" s="0" t="n">
        <f aca="false">-I6*I9/100</f>
        <v>-61.584958205738</v>
      </c>
      <c r="J10" s="0" t="n">
        <f aca="false">-J6*J9/100</f>
        <v>-63.4325069519101</v>
      </c>
      <c r="K10" s="0" t="n">
        <f aca="false">-K6*K9/100</f>
        <v>-65.3354821604674</v>
      </c>
      <c r="L10" s="0" t="n">
        <f aca="false">-L6*L9/100</f>
        <v>-67.2955466252815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1294.52178</v>
      </c>
      <c r="D11" s="0" t="n">
        <f aca="false">D8+D10+D24</f>
        <v>1718.1079002</v>
      </c>
      <c r="E11" s="0" t="n">
        <f aca="false">E8+E10+E24</f>
        <v>2104.290651816</v>
      </c>
      <c r="F11" s="0" t="n">
        <f aca="false">F8+F10+F24</f>
        <v>2362.37717431296</v>
      </c>
      <c r="G11" s="0" t="n">
        <f aca="false">G8+G10+G24</f>
        <v>2526.63621221441</v>
      </c>
      <c r="H11" s="0" t="n">
        <f aca="false">H8+H10+H24</f>
        <v>2627.70166070299</v>
      </c>
      <c r="I11" s="0" t="n">
        <f aca="false">I8+I10+I24</f>
        <v>2719.67121882759</v>
      </c>
      <c r="J11" s="0" t="n">
        <f aca="false">J8+J10+J24</f>
        <v>2801.26135539242</v>
      </c>
      <c r="K11" s="0" t="n">
        <f aca="false">K8+K10+K24</f>
        <v>2885.29919605419</v>
      </c>
      <c r="L11" s="0" t="n">
        <f aca="false">L8+L10+L24</f>
        <v>2971.85817193582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-514.1463</v>
      </c>
      <c r="D12" s="4" t="n">
        <f aca="false">-D6*Assumptions!D45/100</f>
        <v>-537.38853</v>
      </c>
      <c r="E12" s="4" t="n">
        <f aca="false">-E6*Assumptions!E45/100</f>
        <v>-563.79733776</v>
      </c>
      <c r="F12" s="4" t="n">
        <f aca="false">-F6*Assumptions!F45/100</f>
        <v>-588.8365724664</v>
      </c>
      <c r="G12" s="4" t="n">
        <f aca="false">-G6*Assumptions!G45/100</f>
        <v>-618.27840108972</v>
      </c>
      <c r="H12" s="4" t="n">
        <f aca="false">-H6*Assumptions!H45/100</f>
        <v>-643.009537133309</v>
      </c>
      <c r="I12" s="4" t="n">
        <f aca="false">-I6*Assumptions!I45/100</f>
        <v>-665.514870932975</v>
      </c>
      <c r="J12" s="4" t="n">
        <f aca="false">-J6*Assumptions!J45/100</f>
        <v>-685.480317060964</v>
      </c>
      <c r="K12" s="4" t="n">
        <f aca="false">-K6*Assumptions!K45/100</f>
        <v>-706.044726572793</v>
      </c>
      <c r="L12" s="4" t="n">
        <f aca="false">-L6*Assumptions!L45/100</f>
        <v>-727.226068369977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780.37548</v>
      </c>
      <c r="D13" s="0" t="n">
        <f aca="false">D11+D12</f>
        <v>1180.7193702</v>
      </c>
      <c r="E13" s="0" t="n">
        <f aca="false">E11+E12</f>
        <v>1540.493314056</v>
      </c>
      <c r="F13" s="0" t="n">
        <f aca="false">F11+F12</f>
        <v>1773.54060184656</v>
      </c>
      <c r="G13" s="0" t="n">
        <f aca="false">G11+G12</f>
        <v>1908.35781112469</v>
      </c>
      <c r="H13" s="0" t="n">
        <f aca="false">H11+H12</f>
        <v>1984.69212356968</v>
      </c>
      <c r="I13" s="0" t="n">
        <f aca="false">I11+I12</f>
        <v>2054.15634789461</v>
      </c>
      <c r="J13" s="0" t="n">
        <f aca="false">J11+J12</f>
        <v>2115.78103833145</v>
      </c>
      <c r="K13" s="0" t="n">
        <f aca="false">K11+K12</f>
        <v>2179.2544694814</v>
      </c>
      <c r="L13" s="0" t="n">
        <f aca="false">L11+L12</f>
        <v>2244.63210356584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9</v>
      </c>
      <c r="D14" s="4" t="n">
        <f aca="false">Assumptions!D47</f>
        <v>11</v>
      </c>
      <c r="E14" s="4" t="n">
        <f aca="false">Assumptions!E47</f>
        <v>13</v>
      </c>
      <c r="F14" s="4" t="n">
        <f aca="false">Assumptions!F47</f>
        <v>14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710.1416868</v>
      </c>
      <c r="D15" s="0" t="n">
        <f aca="false">D13-MAX(0,D13)*D14/100</f>
        <v>1050.840239478</v>
      </c>
      <c r="E15" s="0" t="n">
        <f aca="false">E13-MAX(0,E13)*E14/100</f>
        <v>1340.22918322872</v>
      </c>
      <c r="F15" s="0" t="n">
        <f aca="false">F13-MAX(0,F13)*F14/100</f>
        <v>1525.24491758804</v>
      </c>
      <c r="G15" s="0" t="n">
        <f aca="false">G13-MAX(0,G13)*G14/100</f>
        <v>1622.10413945599</v>
      </c>
      <c r="H15" s="0" t="n">
        <f aca="false">H13-MAX(0,H13)*H14/100</f>
        <v>1686.98830503422</v>
      </c>
      <c r="I15" s="0" t="n">
        <f aca="false">I13-MAX(0,I13)*I14/100</f>
        <v>1746.03289571042</v>
      </c>
      <c r="J15" s="0" t="n">
        <f aca="false">J13-MAX(0,J13)*J14/100</f>
        <v>1798.41388258174</v>
      </c>
      <c r="K15" s="0" t="n">
        <f aca="false">K13-MAX(0,K13)*K14/100</f>
        <v>1852.36629905919</v>
      </c>
      <c r="L15" s="0" t="n">
        <f aca="false">L13-MAX(0,L13)*L14/100</f>
        <v>1907.93728803096</v>
      </c>
    </row>
    <row r="16" customFormat="false" ht="15" hidden="false" customHeight="false" outlineLevel="0" collapsed="false">
      <c r="A16" s="0" t="s">
        <v>128</v>
      </c>
      <c r="C16" s="0" t="n">
        <f aca="false">-C12</f>
        <v>514.1463</v>
      </c>
      <c r="D16" s="0" t="n">
        <f aca="false">-D12</f>
        <v>537.38853</v>
      </c>
      <c r="E16" s="0" t="n">
        <f aca="false">-E12</f>
        <v>563.79733776</v>
      </c>
      <c r="F16" s="0" t="n">
        <f aca="false">-F12</f>
        <v>588.8365724664</v>
      </c>
      <c r="G16" s="0" t="n">
        <f aca="false">-G12</f>
        <v>618.27840108972</v>
      </c>
      <c r="H16" s="0" t="n">
        <f aca="false">-H12</f>
        <v>643.009537133309</v>
      </c>
      <c r="I16" s="0" t="n">
        <f aca="false">-I12</f>
        <v>665.514870932975</v>
      </c>
      <c r="J16" s="0" t="n">
        <f aca="false">-J12</f>
        <v>685.480317060964</v>
      </c>
      <c r="K16" s="0" t="n">
        <f aca="false">-K12</f>
        <v>706.044726572793</v>
      </c>
      <c r="L16" s="0" t="n">
        <f aca="false">-L12</f>
        <v>727.226068369977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-584.5773</v>
      </c>
      <c r="D17" s="4" t="n">
        <f aca="false">-D6*Assumptions!D46/100</f>
        <v>-552.742488</v>
      </c>
      <c r="E17" s="4" t="n">
        <f aca="false">-E6*Assumptions!E46/100</f>
        <v>-514.05051384</v>
      </c>
      <c r="F17" s="4" t="n">
        <f aca="false">-F6*Assumptions!F46/100</f>
        <v>-527.316333552</v>
      </c>
      <c r="G17" s="4" t="n">
        <f aca="false">-G6*Assumptions!G46/100</f>
        <v>-553.6821502296</v>
      </c>
      <c r="H17" s="4" t="n">
        <f aca="false">-H6*Assumptions!H46/100</f>
        <v>-575.829436238784</v>
      </c>
      <c r="I17" s="4" t="n">
        <f aca="false">-I6*Assumptions!I46/100</f>
        <v>-595.983466507142</v>
      </c>
      <c r="J17" s="4" t="n">
        <f aca="false">-J6*Assumptions!J46/100</f>
        <v>-613.862970502356</v>
      </c>
      <c r="K17" s="4" t="n">
        <f aca="false">-K6*Assumptions!K46/100</f>
        <v>-632.278859617427</v>
      </c>
      <c r="L17" s="4" t="n">
        <f aca="false">-L6*Assumptions!L46/100</f>
        <v>-651.247225405949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-11.048</v>
      </c>
      <c r="D18" s="4" t="n">
        <f aca="false">(D6-C6)*Assumptions!$B$51/100</f>
        <v>-50.7103200000001</v>
      </c>
      <c r="E18" s="4" t="n">
        <f aca="false">(E6-D6)*Assumptions!$B$51/100</f>
        <v>-49.1326656</v>
      </c>
      <c r="F18" s="4" t="n">
        <f aca="false">(F6-E6)*Assumptions!$B$51/100</f>
        <v>-39.7974591360001</v>
      </c>
      <c r="G18" s="4" t="n">
        <f aca="false">(G6-F6)*Assumptions!$B$51/100</f>
        <v>-35.1544222368</v>
      </c>
      <c r="H18" s="4" t="n">
        <f aca="false">(H6-G6)*Assumptions!$B$51/100</f>
        <v>-29.529714678912</v>
      </c>
      <c r="I18" s="4" t="n">
        <f aca="false">(I6-H6)*Assumptions!$B$51/100</f>
        <v>-26.8720403578099</v>
      </c>
      <c r="J18" s="4" t="n">
        <f aca="false">(J6-I6)*Assumptions!$B$51/100</f>
        <v>-23.8393386602857</v>
      </c>
      <c r="K18" s="4" t="n">
        <f aca="false">(K6-J6)*Assumptions!$B$51/100</f>
        <v>-24.5545188200942</v>
      </c>
      <c r="L18" s="4" t="n">
        <f aca="false">(L6-K6)*Assumptions!$B$51/100</f>
        <v>-25.2911543846971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628.6626868</v>
      </c>
      <c r="D19" s="0" t="n">
        <f aca="false">D15+D16+D17+D18</f>
        <v>984.775961478</v>
      </c>
      <c r="E19" s="0" t="n">
        <f aca="false">E15+E16+E17+E18</f>
        <v>1340.84334154872</v>
      </c>
      <c r="F19" s="0" t="n">
        <f aca="false">F15+F16+F17+F18</f>
        <v>1546.96769736644</v>
      </c>
      <c r="G19" s="0" t="n">
        <f aca="false">G15+G16+G17+G18</f>
        <v>1651.54596807931</v>
      </c>
      <c r="H19" s="0" t="n">
        <f aca="false">H15+H16+H17+H18</f>
        <v>1724.63869124984</v>
      </c>
      <c r="I19" s="0" t="n">
        <f aca="false">I15+I16+I17+I18</f>
        <v>1788.69225977845</v>
      </c>
      <c r="J19" s="0" t="n">
        <f aca="false">J15+J16+J17+J18</f>
        <v>1846.19189048006</v>
      </c>
      <c r="K19" s="0" t="n">
        <f aca="false">K15+K16+K17+K18</f>
        <v>1901.57764719446</v>
      </c>
      <c r="L19" s="0" t="n">
        <f aca="false">L15+L16+L17+L18</f>
        <v>1958.62497661029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582.09508037037</v>
      </c>
      <c r="D21" s="0" t="n">
        <f aca="false">D19*D20</f>
        <v>844.286661075103</v>
      </c>
      <c r="E21" s="0" t="n">
        <f aca="false">E19*E20</f>
        <v>1064.40467467859</v>
      </c>
      <c r="F21" s="0" t="n">
        <f aca="false">F19*F20</f>
        <v>1137.06743887612</v>
      </c>
      <c r="G21" s="0" t="n">
        <f aca="false">G19*G20</f>
        <v>1124.01443500362</v>
      </c>
      <c r="H21" s="0" t="n">
        <f aca="false">H19*H20</f>
        <v>1086.81492057308</v>
      </c>
      <c r="I21" s="0" t="n">
        <f aca="false">I19*I20</f>
        <v>1043.68475366044</v>
      </c>
      <c r="J21" s="0" t="n">
        <f aca="false">J19*J20</f>
        <v>997.440033246255</v>
      </c>
      <c r="K21" s="0" t="n">
        <f aca="false">K19*K20</f>
        <v>951.262253929298</v>
      </c>
      <c r="L21" s="0" t="n">
        <f aca="false">L19*L20</f>
        <v>907.222334765904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9738.29258617879</v>
      </c>
    </row>
    <row r="31" customFormat="false" ht="15" hidden="false" customHeight="false" outlineLevel="0" collapsed="false">
      <c r="A31" s="0" t="s">
        <v>137</v>
      </c>
      <c r="B31" s="0" t="n">
        <f aca="false">L19</f>
        <v>1958.62497661029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40347.674518172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35255.2495789853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35255.2495789853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16330.0020257863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26068.2946119651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21292.2946119651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29.4907127589544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0.596681795287189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372.592950925733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642.11969486295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30.896131935947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16811.5310492383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8.73175365073396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7.34667095149745</v>
      </c>
      <c r="C4" s="0" t="n">
        <f aca="false">B4/Assumptions!$B$2-1</f>
        <v>-0.602237631212915</v>
      </c>
      <c r="D4" s="4" t="n">
        <f aca="false">Assumptions!$B$24</f>
        <v>0.2</v>
      </c>
      <c r="E4" s="4" t="n">
        <f aca="false">DCF_Bear!$B$43</f>
        <v>8.32377713633895</v>
      </c>
      <c r="F4" s="4" t="n">
        <f aca="false">DCF_Bear!$B$47</f>
        <v>0.891174233888791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17.8963314192484</v>
      </c>
      <c r="C5" s="0" t="n">
        <f aca="false">B5/Assumptions!$B$2-1</f>
        <v>-0.0310594791960779</v>
      </c>
      <c r="D5" s="4" t="n">
        <f aca="false">Assumptions!$B$38</f>
        <v>0.5</v>
      </c>
      <c r="E5" s="4" t="n">
        <f aca="false">DCF_Base!$B$43</f>
        <v>19.0809393569417</v>
      </c>
      <c r="F5" s="4" t="n">
        <f aca="false">DCF_Base!$B$47</f>
        <v>4.58122427061031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29.4907127589544</v>
      </c>
      <c r="C6" s="0" t="n">
        <f aca="false">B6/Assumptions!$B$2-1</f>
        <v>0.596681795287189</v>
      </c>
      <c r="D6" s="4" t="n">
        <f aca="false">Assumptions!$B$52</f>
        <v>0.3</v>
      </c>
      <c r="E6" s="4" t="n">
        <f aca="false">DCF_Bull!$B$43</f>
        <v>30.896131935947</v>
      </c>
      <c r="F6" s="4" t="n">
        <f aca="false">DCF_Bull!$B$47</f>
        <v>8.73175365073396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19.26471372761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20.4740646865228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0.0412522988322972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-65.7140693322402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5.0883730773031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17.8963314192484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15.9410372426229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12.7730767163866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10.3551877460323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8.45031474032342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4.58122427061031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21.9685801831571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21.9685801831571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21.9685801831571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21.9685801831571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21.9685801831571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19.8358625155994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19.8358625155994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19.8358625155994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19.8358625155994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19.8358625155994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17.5502518767987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17.8963314192484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17.8963314192484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17.8963314192484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17.8963314192484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14.1063006225832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14.9581426247445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15.9410372426229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16.1304022607462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16.1304022607462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11.4807495459093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12.0865279070705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12.7730767163866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13.5577039270335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14.4630430162415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2026-10-02T22:03:14Z</dcterms:created>
  <dc:creator>openpyxl</dc:creator>
  <dc:description/>
  <dc:language>en-NZ</dc:language>
  <cp:lastModifiedBy/>
  <dcterms:modified xsi:type="dcterms:W3CDTF">2026-10-02T22:03:14Z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