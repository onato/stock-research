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<sst xmlns="http://schemas.openxmlformats.org/spreadsheetml/2006/main" count="347" uniqueCount="160">
  <si>
    <t xml:space="preserve">Ticker</t>
  </si>
  <si>
    <t xml:space="preserve">GFS</t>
  </si>
  <si>
    <t xml:space="preserve">Company</t>
  </si>
  <si>
    <t xml:space="preserve">GlobalFoundries Inc.</t>
  </si>
  <si>
    <t xml:space="preserve">Valuation date</t>
  </si>
  <si>
    <t xml:space="preserve">2026-09-28</t>
  </si>
  <si>
    <t xml:space="preserve">Current price</t>
  </si>
  <si>
    <t xml:space="preserve">Price as of</t>
  </si>
  <si>
    <t xml:space="preserve">2026-09-25T20:00:01Z regular close (Yahoo Finance)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</si>
  <si>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</si>
  <si>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</si>
  <si>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</si>
  <si>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</si>
  <si>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</si>
  <si>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</si>
  <si>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</si>
  <si>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</si>
  <si>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</si>
  <si>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</si>
  <si>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</si>
  <si>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</si>
  <si>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2026-09-28T08:54:58Z</t>
  </si>
  <si>
    <t xml:space="preserve">Drivers file</t>
  </si>
  <si>
    <t xml:space="preserve">GFS_Drivers.json</t>
  </si>
  <si>
    <t xml:space="preserve">Convention</t>
  </si>
  <si>
    <t xml:space="preserve">Percents stored as percents; formulas divide by 100. Blue = input, green = link, black = formula.</t>
  </si>
  <si>
    <t xml:space="preserve">Methodology</t>
  </si>
  <si>
    <t xml:space="preserve">summary: Value GF as what it is: a capital-intensive specialty foundry at mid-cycle, not at the utilisation peak the current quarter is climbing toward. Owner FCF charges SBC (~3% of revenue) and strips the finance income on the ~$3.3bn cash-and-securities pile that is added back at the bridge, and the model deducts the remaining LTA prepayments that were collected years ago and are now being recognised as revenue. The stock's valuation rests on non-IFRS adjusted FCF and adjusted EPS that exclude SBC and amortisation, and on gross margin expansion; the house basis is the cash an owner actually keeps after the fabs are funded. The gap between the house and street values is the price the market is paying for treating stock comp as non-cash, and the gap between the base and bull values is the price of the photonics/AI re-rating.
key_risks_to_valuation: Cyclicality: FY2022 peak revenue 8,108 vs FY2024 trough 6,750 with a $935m capacity impairment; a repeat down-cycle before the margin ramp completes is the bear case, weighted 25%; Capex intensity: &gt;$16bn program over 10+ years is contingent on CHIPS Act / NY State milestone funding; a subsidy shortfall or clawback pushes net capex above the 16-19% of revenue modelled; Contract-liability unwind: ~$954m of prepaid LTA revenue still to be delivered with no cash; the model deducts it at the bridge, but faster LTA cancellations could turn into refunds or lower volumes; Customer concentration and LTA renegotiation: Customer A 16.4% and Customer C 13.9% of FY2025 wafer revenue; renegotiations lowered pricing/volumes in 2024-25 and more are expected in 2026; Smart Mobile Devices (39% of revenue) structural decline from dual-sourcing and memory-driven handset weakness; growth depends on photonics and automotive replacing it; Controlled company (~81% Mubadala) with consent rights and a history of secondary sales; ICFR material weaknesses in FY2023-FY2025 20-Fs not yet remediated; Export controls, tariffs (Jan-2026 25% tariff on advanced computing chips) and Chinese mature-node overcapacity pressure both volume and ASP in GF's nodes; Cash tax: the model ramps from 4% to 15%; loss of AMITC eligibility or faster NOL exhaustion raises cash tax sooner; Non-IFRS framing: the capital-return framework is set on non-IFRS adjusted FCF (pre-SBC); paying 50% of that out while SBC dilutes could push distributions above owner FCF</t>
  </si>
  <si>
    <t xml:space="preserve">Data sources</t>
  </si>
  <si>
    <t xml:space="preserve">price: Yahoo Finance chart API at inputs.price_as_of (regular close, Friday 2026-09-25); 52-week range 32.02-92.55
financials: GFS_Metrics.csv (FY2020-FY2025 20-F, Q1-Q2 2026 6-K, IFRS, USD millions); GFS.duckdb kpis table for MarketableSecurities, DeferredRevenue, InterestIncome, ShareRepurchases, LeaseObligations, CashTaxesPaid; FY2025 20-F cash flow, income statement, balance sheet and EPS note; Q2 2026 6-K balance sheet, EPS note, contract-liability roll-forward, lease note and share-repurchase note
qualitative: GFS_Analysis.json (2026-09-28): business model, end-market mix, LTA/customer concentration, May-2026 Investor Day capital-return framework, Q3 2026 guidance, M&amp;A (MIPS, InfiniLink, AMF, Synopsys ARC), Mubadala control, ICFR weaknesses</t>
  </si>
  <si>
    <t xml:space="preserve">Scenario narrative: bear</t>
  </si>
  <si>
    <t xml:space="preserve">The cycle turns again before the margin story completes. FY2027 flat and FY2028 -8% as smartphone weakness, Chinese mature-node overcapacity (SMIC/HuaHong ASP pressure) and further LTA renegotiations (customers pushing pricing and volume down, top-10 = 63% of volume, Customer A 16%) hit utilisation; pre-SBC EBITDA drops to 27% at the trough and recovers only to 31% because the higher-cost US/German/Singapore footprint cannot match Asian peers. The &gt;$16bn fab program is not scaled back in step with revenue, so capex stays 17-20% of revenue and D&amp;A rises. Export-control/tariff escalation adds friction on the Dresden/Singapore/China-facing business. Cash tax ramps to 18% as incentives expire. Mubadala continues selling down, capping the multiple. Terminal 2%, 12x cap.</t>
  </si>
  <si>
    <t xml:space="preserve">Scenario narrative: base</t>
  </si>
  <si>
    <t xml:space="preserve">Mid-cycle recovery without a re-rating of the business model. Revenue reaches ~$7.25bn in FY2026 on the Q3 guide, then grows mid-single digits as Communications Infrastructure &amp; Data Center (silicon photonics/SiGe, +47-62% YoY in H1-26) and Automotive content offset the structural decline in Smart Mobile Devices (39% of revenue, dual-sourcing and ASP pressure). Gross margin holds ~30% but the acquired MIPS/ARC/AMF/InfiniLink opex keeps pre-SBC EBITDA at 32.5-35%, below the 37% peak of the 2022-24 shortage era. Capex stays structurally heavy (~$1.3-1.5bn/yr net of CHIPS and NY State grants) as Fab 8/Fab 9 are built out, so owner FCF stays a single-digit share of revenue until the tax ramp and capex normalise. The ~$1bn contract-liability unwind is a cash headwind through FY2028 and no new LTA prepayment cycle is assumed. Cash tax stays low on NOLs and the 35% AMITC but ramps to 15%.</t>
  </si>
  <si>
    <t xml:space="preserve">Scenario narrative: bull</t>
  </si>
  <si>
    <t xml:space="preserve">AI-adjacent photonics becomes a second core business. AMF makes GF the largest silicon-photonics pure-play; 400G/lambda, CPO and pluggables for AI data centres plus automotive design wins at Bosch and others push growth to 8-10% for three years. Utilisation returns to the high-80s/90s, GM passes 32% and pre-SBC EBITDA reaches 38%, the mix shifting toward single-sourced, higher-priced specialty nodes. Government funding (CHIPS DFA, $375m quantum award, $300m photonics LOI) keeps net capex at 15% of revenue and the AMITC holds cash tax at ~12%. Capital returns (dividend plus buyback) are funded from FCF without reducing the net cash pile. Terminal 3% growth, 16x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</si>
  <si>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</si>
  <si>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</si>
  <si>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</si>
  <si>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</si>
  <si>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</si>
  <si>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</si>
  <si>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</si>
  <si>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</si>
  <si>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</si>
  <si>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</si>
  <si>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</si>
  <si>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</si>
  <si>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</si>
  <si>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</si>
  <si>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</si>
  <si>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</si>
  <si>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</si>
  <si>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</si>
  <si>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</si>
  <si>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</si>
  <si>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</si>
  <si>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</si>
  <si>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</si>
  <si>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</si>
  <si>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</si>
  <si>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</si>
  <si>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</si>
  <si>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</si>
  <si>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</si>
  <si>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</si>
  <si>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</si>
  <si>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</si>
  <si>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</si>
  <si>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</si>
  <si>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</si>
  <si>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</si>
  <si>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</si>
  <si>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</si>
  <si>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</si>
  <si>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</si>
  <si>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</si>
  <si>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</si>
  <si>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</si>
  <si>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</si>
  <si>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</si>
  <si>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</si>
  <si>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</si>
  <si>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</si>
  <si>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</si>
  <si>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</si>
  <si>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</si>
  <si>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</si>
  <si>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</si>
  <si>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</si>
  <si>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</si>
  <si>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</si>
  <si>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</si>
  <si>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</si>
  <si>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</si>
  <si>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</si>
  <si>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</si>
  <si>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</si>
  <si>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</si>
  <si>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</si>
  <si>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</si>
  <si>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</si>
  <si>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</si>
  <si>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</si>
  <si>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</si>
  <si>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</si>
  <si>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GFS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</si>
  <si>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</si>
  <si>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</si>
  <si>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</si>
  <si>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</si>
  <si>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</si>
  <si>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</si>
  <si>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</si>
  <si>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</si>
  <si>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</si>
  <si>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</si>
  <si>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</si>
  <si>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</si>
  <si>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</si>
  <si>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</si>
  <si>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</si>
  <si>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</si>
  <si>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</si>
  <si>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</si>
  <si>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</si>
  <si>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</si>
  <si>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</si>
  <si>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</si>
  <si>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</si>
  <si>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</si>
  <si>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</si>
  <si>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</si>
  <si>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</si>
  <si>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</si>
  <si>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</si>
  <si>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</si>
  <si>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GFS owner-FCF component DCF: base case (millions, USD)</t>
  </si>
  <si>
    <t xml:space="preserve">GFS owner-FCF component DCF: bull case (millions, USD)</t>
  </si>
  <si>
    <t xml:space="preserve">GFS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</si>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</sst>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4851</v>
      </c>
      <c r="C2" s="0" t="n">
        <v>5563</v>
      </c>
      <c r="D2" s="0" t="n">
        <v>-712</v>
      </c>
      <c r="E2" s="0" t="n">
        <v>-14.7</v>
      </c>
      <c r="F2" s="0" t="n">
        <v>-1656</v>
      </c>
      <c r="G2" s="0" t="n">
        <v>-34.1</v>
      </c>
      <c r="H2" s="0" t="n">
        <v>866</v>
      </c>
      <c r="I2" s="0" t="n">
        <v>-1350</v>
      </c>
      <c r="J2" s="0" t="n">
        <v>-27.8</v>
      </c>
      <c r="K2" s="0" t="n">
        <v>-2.7</v>
      </c>
      <c r="L2" s="0" t="n">
        <v>1004</v>
      </c>
      <c r="M2" s="0" t="n">
        <v>592</v>
      </c>
      <c r="N2" s="0" t="n">
        <v>412</v>
      </c>
      <c r="O2" s="0" t="n">
        <v>7176.4</v>
      </c>
      <c r="P2" s="0" t="n">
        <v>12321.6</v>
      </c>
      <c r="Q2" s="0" t="n">
        <v>5080.1</v>
      </c>
      <c r="R2" s="0" t="n">
        <v>2338</v>
      </c>
      <c r="S2" s="0" t="n">
        <v>908.1</v>
      </c>
      <c r="T2" s="0" t="n">
        <v>500</v>
      </c>
      <c r="U2" s="0" t="n">
        <v>1</v>
      </c>
      <c r="V2" s="0" t="n">
        <v>0</v>
      </c>
      <c r="AA2" s="0" t="s">
        <v>17</v>
      </c>
      <c r="AB2" s="0" t="s">
        <v>14</v>
      </c>
    </row>
    <row r="3" customFormat="false" ht="15" hidden="false" customHeight="false" outlineLevel="0" collapsed="false">
      <c r="A3" s="0" t="s">
        <v>64</v>
      </c>
      <c r="B3" s="0" t="n">
        <v>6585</v>
      </c>
      <c r="C3" s="0" t="n">
        <v>5572</v>
      </c>
      <c r="D3" s="0" t="n">
        <v>1013</v>
      </c>
      <c r="E3" s="0" t="n">
        <v>15.4</v>
      </c>
      <c r="F3" s="0" t="n">
        <v>-60</v>
      </c>
      <c r="G3" s="0" t="n">
        <v>-0.9</v>
      </c>
      <c r="H3" s="0" t="n">
        <v>1558</v>
      </c>
      <c r="I3" s="0" t="n">
        <v>-250</v>
      </c>
      <c r="J3" s="0" t="n">
        <v>-3.8</v>
      </c>
      <c r="K3" s="0" t="n">
        <v>-0.49</v>
      </c>
      <c r="L3" s="0" t="n">
        <v>2839</v>
      </c>
      <c r="M3" s="0" t="n">
        <v>1767</v>
      </c>
      <c r="N3" s="0" t="n">
        <v>1072</v>
      </c>
      <c r="O3" s="0" t="n">
        <v>7975</v>
      </c>
      <c r="P3" s="0" t="n">
        <v>15028</v>
      </c>
      <c r="Q3" s="0" t="n">
        <v>6995</v>
      </c>
      <c r="R3" s="0" t="n">
        <v>2013</v>
      </c>
      <c r="S3" s="0" t="n">
        <v>2939</v>
      </c>
      <c r="T3" s="0" t="n">
        <v>506</v>
      </c>
      <c r="U3" s="0" t="n">
        <v>223</v>
      </c>
      <c r="V3" s="0" t="n">
        <v>0</v>
      </c>
      <c r="AA3" s="0" t="s">
        <v>17</v>
      </c>
      <c r="AB3" s="0" t="s">
        <v>14</v>
      </c>
    </row>
    <row r="4" customFormat="false" ht="15" hidden="false" customHeight="false" outlineLevel="0" collapsed="false">
      <c r="A4" s="0" t="s">
        <v>65</v>
      </c>
      <c r="B4" s="0" t="n">
        <v>8108</v>
      </c>
      <c r="C4" s="0" t="n">
        <v>5869</v>
      </c>
      <c r="D4" s="0" t="n">
        <v>2239</v>
      </c>
      <c r="E4" s="0" t="n">
        <v>27.6</v>
      </c>
      <c r="F4" s="0" t="n">
        <v>1167</v>
      </c>
      <c r="G4" s="0" t="n">
        <v>14.4</v>
      </c>
      <c r="H4" s="0" t="n">
        <v>2790</v>
      </c>
      <c r="I4" s="0" t="n">
        <v>1448</v>
      </c>
      <c r="J4" s="0" t="n">
        <v>17.9</v>
      </c>
      <c r="K4" s="0" t="n">
        <v>2.62</v>
      </c>
      <c r="L4" s="0" t="n">
        <v>2624</v>
      </c>
      <c r="M4" s="0" t="n">
        <v>3059</v>
      </c>
      <c r="N4" s="0" t="n">
        <v>-435</v>
      </c>
      <c r="O4" s="0" t="n">
        <v>9913</v>
      </c>
      <c r="P4" s="0" t="n">
        <v>17841</v>
      </c>
      <c r="Q4" s="0" t="n">
        <v>7881</v>
      </c>
      <c r="R4" s="0" t="n">
        <v>2511</v>
      </c>
      <c r="S4" s="0" t="n">
        <v>2352</v>
      </c>
      <c r="T4" s="0" t="n">
        <v>552</v>
      </c>
      <c r="U4" s="0" t="n">
        <v>181</v>
      </c>
      <c r="V4" s="0" t="n">
        <v>0</v>
      </c>
      <c r="AA4" s="0" t="s">
        <v>17</v>
      </c>
      <c r="AB4" s="0" t="s">
        <v>14</v>
      </c>
    </row>
    <row r="5" customFormat="false" ht="15" hidden="false" customHeight="false" outlineLevel="0" collapsed="false">
      <c r="A5" s="0" t="s">
        <v>66</v>
      </c>
      <c r="B5" s="0" t="n">
        <v>7392</v>
      </c>
      <c r="C5" s="0" t="n">
        <v>5291</v>
      </c>
      <c r="D5" s="0" t="n">
        <v>2101</v>
      </c>
      <c r="E5" s="0" t="n">
        <v>28.4</v>
      </c>
      <c r="F5" s="0" t="n">
        <v>1129</v>
      </c>
      <c r="G5" s="0" t="n">
        <v>15.3</v>
      </c>
      <c r="H5" s="0" t="n">
        <v>2580</v>
      </c>
      <c r="I5" s="0" t="n">
        <v>1020</v>
      </c>
      <c r="J5" s="0" t="n">
        <v>13.8</v>
      </c>
      <c r="K5" s="0" t="n">
        <v>1.83</v>
      </c>
      <c r="L5" s="0" t="n">
        <v>2125</v>
      </c>
      <c r="M5" s="0" t="n">
        <v>1804</v>
      </c>
      <c r="N5" s="0" t="n">
        <v>321</v>
      </c>
      <c r="O5" s="0" t="n">
        <v>11104</v>
      </c>
      <c r="P5" s="0" t="n">
        <v>18044</v>
      </c>
      <c r="Q5" s="0" t="n">
        <v>6893</v>
      </c>
      <c r="R5" s="0" t="n">
        <v>2372</v>
      </c>
      <c r="S5" s="0" t="n">
        <v>2387</v>
      </c>
      <c r="T5" s="0" t="n">
        <v>556</v>
      </c>
      <c r="U5" s="0" t="n">
        <v>150</v>
      </c>
      <c r="V5" s="0" t="n">
        <v>0</v>
      </c>
      <c r="AA5" s="0" t="s">
        <v>17</v>
      </c>
      <c r="AB5" s="0" t="s">
        <v>14</v>
      </c>
    </row>
    <row r="6" customFormat="false" ht="15" hidden="false" customHeight="false" outlineLevel="0" collapsed="false">
      <c r="A6" s="0" t="s">
        <v>67</v>
      </c>
      <c r="B6" s="0" t="n">
        <v>6750</v>
      </c>
      <c r="C6" s="0" t="n">
        <v>5099</v>
      </c>
      <c r="D6" s="0" t="n">
        <v>1651</v>
      </c>
      <c r="E6" s="0" t="n">
        <v>24.5</v>
      </c>
      <c r="F6" s="0" t="n">
        <v>-214</v>
      </c>
      <c r="G6" s="0" t="n">
        <v>-3.2</v>
      </c>
      <c r="H6" s="0" t="n">
        <v>1354</v>
      </c>
      <c r="I6" s="0" t="n">
        <v>-265</v>
      </c>
      <c r="J6" s="0" t="n">
        <v>-3.9</v>
      </c>
      <c r="K6" s="0" t="n">
        <v>-0.48</v>
      </c>
      <c r="L6" s="0" t="n">
        <v>1722</v>
      </c>
      <c r="M6" s="0" t="n">
        <v>625</v>
      </c>
      <c r="N6" s="0" t="n">
        <v>1097</v>
      </c>
      <c r="O6" s="0" t="n">
        <v>10776</v>
      </c>
      <c r="P6" s="0" t="n">
        <v>16799</v>
      </c>
      <c r="Q6" s="0" t="n">
        <v>5975</v>
      </c>
      <c r="R6" s="0" t="n">
        <v>1806</v>
      </c>
      <c r="S6" s="0" t="n">
        <v>2192</v>
      </c>
      <c r="T6" s="0" t="n">
        <v>553</v>
      </c>
      <c r="U6" s="0" t="n">
        <v>186</v>
      </c>
      <c r="V6" s="0" t="n">
        <v>0</v>
      </c>
      <c r="AA6" s="0" t="s">
        <v>17</v>
      </c>
      <c r="AB6" s="0" t="s">
        <v>14</v>
      </c>
    </row>
    <row r="7" customFormat="false" ht="15" hidden="false" customHeight="false" outlineLevel="0" collapsed="false">
      <c r="A7" s="0" t="s">
        <v>68</v>
      </c>
      <c r="B7" s="0" t="n">
        <v>6791</v>
      </c>
      <c r="C7" s="0" t="n">
        <v>5101</v>
      </c>
      <c r="D7" s="0" t="n">
        <v>1690</v>
      </c>
      <c r="E7" s="0" t="n">
        <v>24.9</v>
      </c>
      <c r="F7" s="0" t="n">
        <v>797</v>
      </c>
      <c r="G7" s="0" t="n">
        <v>11.7</v>
      </c>
      <c r="H7" s="0" t="n">
        <v>2111</v>
      </c>
      <c r="I7" s="0" t="n">
        <v>885</v>
      </c>
      <c r="J7" s="0" t="n">
        <v>13</v>
      </c>
      <c r="K7" s="0" t="n">
        <v>1.59</v>
      </c>
      <c r="L7" s="0" t="n">
        <v>1731</v>
      </c>
      <c r="M7" s="0" t="n">
        <v>722</v>
      </c>
      <c r="N7" s="0" t="n">
        <v>1009</v>
      </c>
      <c r="O7" s="0" t="n">
        <v>11928</v>
      </c>
      <c r="P7" s="0" t="n">
        <v>17141</v>
      </c>
      <c r="Q7" s="0" t="n">
        <v>5158</v>
      </c>
      <c r="R7" s="0" t="n">
        <v>1151</v>
      </c>
      <c r="S7" s="0" t="n">
        <v>1809</v>
      </c>
      <c r="T7" s="0" t="n">
        <v>558</v>
      </c>
      <c r="U7" s="0" t="n">
        <v>200</v>
      </c>
      <c r="V7" s="0" t="n">
        <v>0</v>
      </c>
      <c r="AA7" s="0" t="s">
        <v>17</v>
      </c>
      <c r="AB7"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69</v>
      </c>
      <c r="B1" s="2" t="s">
        <v>70</v>
      </c>
    </row>
    <row r="2" customFormat="false" ht="15" hidden="false" customHeight="false" outlineLevel="0" collapsed="false">
      <c r="A2" s="0" t="s">
        <v>71</v>
      </c>
      <c r="B2" s="3" t="n">
        <v>49</v>
      </c>
    </row>
    <row r="3" customFormat="false" ht="15" hidden="false" customHeight="false" outlineLevel="0" collapsed="false">
      <c r="A3" s="0" t="s">
        <v>72</v>
      </c>
      <c r="B3" s="3" t="n">
        <v>556</v>
      </c>
    </row>
    <row r="4" customFormat="false" ht="15" hidden="false" customHeight="false" outlineLevel="0" collapsed="false">
      <c r="A4" s="0" t="s">
        <v>73</v>
      </c>
      <c r="B4" s="3" t="n">
        <v>-2181</v>
      </c>
    </row>
    <row r="5" customFormat="false" ht="15" hidden="false" customHeight="false" outlineLevel="0" collapsed="false">
      <c r="A5" s="0" t="s">
        <v>74</v>
      </c>
      <c r="B5" s="3" t="n">
        <v>-956</v>
      </c>
    </row>
    <row r="6" customFormat="false" ht="15" hidden="false" customHeight="false" outlineLevel="0" collapsed="false">
      <c r="A6" s="0" t="s">
        <v>75</v>
      </c>
      <c r="B6" s="3" t="n">
        <v>15</v>
      </c>
    </row>
    <row r="7" customFormat="false" ht="15" hidden="false" customHeight="false" outlineLevel="0" collapsed="false">
      <c r="A7" s="0" t="s">
        <v>76</v>
      </c>
      <c r="B7" s="3" t="n">
        <v>6791</v>
      </c>
    </row>
    <row r="8" customFormat="false" ht="15" hidden="false" customHeight="false" outlineLevel="0" collapsed="false">
      <c r="A8" s="0" t="s">
        <v>77</v>
      </c>
      <c r="B8" s="3" t="s">
        <v>68</v>
      </c>
    </row>
    <row r="9" customFormat="false" ht="15" hidden="false" customHeight="false" outlineLevel="0" collapsed="false">
      <c r="A9" s="0" t="s">
        <v>78</v>
      </c>
      <c r="B9" s="3" t="s">
        <v>79</v>
      </c>
    </row>
    <row r="10" customFormat="false" ht="15" hidden="false" customHeight="false" outlineLevel="0" collapsed="false">
      <c r="A10" s="0" t="s">
        <v>80</v>
      </c>
      <c r="B10" s="3" t="n">
        <v>1</v>
      </c>
    </row>
    <row r="12" customFormat="false" ht="15" hidden="false" customHeight="false" outlineLevel="0" collapsed="false">
      <c r="A12" s="2" t="s">
        <v>81</v>
      </c>
      <c r="C12" s="2" t="s">
        <v>82</v>
      </c>
      <c r="D12" s="2" t="s">
        <v>83</v>
      </c>
      <c r="E12" s="2" t="s">
        <v>84</v>
      </c>
      <c r="F12" s="2" t="s">
        <v>85</v>
      </c>
      <c r="G12" s="2" t="s">
        <v>86</v>
      </c>
      <c r="H12" s="2" t="s">
        <v>87</v>
      </c>
      <c r="I12" s="2" t="s">
        <v>88</v>
      </c>
      <c r="J12" s="2" t="s">
        <v>89</v>
      </c>
      <c r="K12" s="2" t="s">
        <v>90</v>
      </c>
      <c r="L12" s="2" t="s">
        <v>91</v>
      </c>
    </row>
    <row r="13" customFormat="false" ht="15" hidden="false" customHeight="false" outlineLevel="0" collapsed="false">
      <c r="A13" s="0" t="s">
        <v>92</v>
      </c>
      <c r="C13" s="3" t="n">
        <v>6</v>
      </c>
      <c r="D13" s="3" t="n">
        <v>0</v>
      </c>
      <c r="E13" s="3" t="n">
        <v>-8</v>
      </c>
      <c r="F13" s="3" t="n">
        <v>4</v>
      </c>
      <c r="G13" s="3" t="n">
        <v>5</v>
      </c>
      <c r="H13" s="3" t="n">
        <v>3</v>
      </c>
      <c r="I13" s="3" t="n">
        <v>3</v>
      </c>
      <c r="J13" s="3" t="n">
        <v>2</v>
      </c>
      <c r="K13" s="3" t="n">
        <v>2</v>
      </c>
      <c r="L13" s="3" t="n">
        <v>2</v>
      </c>
    </row>
    <row r="14" customFormat="false" ht="15" hidden="false" customHeight="false" outlineLevel="0" collapsed="false">
      <c r="A14" s="0" t="s">
        <v>93</v>
      </c>
      <c r="C14" s="3" t="n">
        <v>31.5</v>
      </c>
      <c r="D14" s="3" t="n">
        <v>30</v>
      </c>
      <c r="E14" s="3" t="n">
        <v>27</v>
      </c>
      <c r="F14" s="3" t="n">
        <v>29</v>
      </c>
      <c r="G14" s="3" t="n">
        <v>30.5</v>
      </c>
      <c r="H14" s="3" t="n">
        <v>31</v>
      </c>
      <c r="I14" s="3" t="n">
        <v>31</v>
      </c>
      <c r="J14" s="3" t="n">
        <v>31</v>
      </c>
      <c r="K14" s="3" t="n">
        <v>31</v>
      </c>
      <c r="L14" s="3" t="n">
        <v>31</v>
      </c>
    </row>
    <row r="15" customFormat="false" ht="15" hidden="false" customHeight="false" outlineLevel="0" collapsed="false">
      <c r="A15" s="0" t="s">
        <v>94</v>
      </c>
      <c r="C15" s="3" t="n">
        <v>3.6</v>
      </c>
      <c r="D15" s="3" t="n">
        <v>3.6</v>
      </c>
      <c r="E15" s="3" t="n">
        <v>3.6</v>
      </c>
      <c r="F15" s="3" t="n">
        <v>3.5</v>
      </c>
      <c r="G15" s="3" t="n">
        <v>3.4</v>
      </c>
      <c r="H15" s="3" t="n">
        <v>3.3</v>
      </c>
      <c r="I15" s="3" t="n">
        <v>3.2</v>
      </c>
      <c r="J15" s="3" t="n">
        <v>3.2</v>
      </c>
      <c r="K15" s="3" t="n">
        <v>3.2</v>
      </c>
      <c r="L15" s="3" t="n">
        <v>3.2</v>
      </c>
    </row>
    <row r="16" customFormat="false" ht="15" hidden="false" customHeight="false" outlineLevel="0" collapsed="false">
      <c r="A16" s="0" t="s">
        <v>95</v>
      </c>
      <c r="C16" s="3" t="n">
        <v>1.2</v>
      </c>
      <c r="D16" s="3" t="n">
        <v>1.3</v>
      </c>
      <c r="E16" s="3" t="n">
        <v>1.4</v>
      </c>
      <c r="F16" s="3" t="n">
        <v>1.3</v>
      </c>
      <c r="G16" s="3" t="n">
        <v>1.3</v>
      </c>
      <c r="H16" s="3" t="n">
        <v>1.3</v>
      </c>
      <c r="I16" s="3" t="n">
        <v>1.3</v>
      </c>
      <c r="J16" s="3" t="n">
        <v>1.3</v>
      </c>
      <c r="K16" s="3" t="n">
        <v>1.3</v>
      </c>
      <c r="L16" s="3" t="n">
        <v>1.3</v>
      </c>
    </row>
    <row r="17" customFormat="false" ht="15" hidden="false" customHeight="false" outlineLevel="0" collapsed="false">
      <c r="A17" s="0" t="s">
        <v>96</v>
      </c>
      <c r="C17" s="3" t="n">
        <v>18.5</v>
      </c>
      <c r="D17" s="3" t="n">
        <v>18.5</v>
      </c>
      <c r="E17" s="3" t="n">
        <v>20</v>
      </c>
      <c r="F17" s="3" t="n">
        <v>19</v>
      </c>
      <c r="G17" s="3" t="n">
        <v>18.5</v>
      </c>
      <c r="H17" s="3" t="n">
        <v>18</v>
      </c>
      <c r="I17" s="3" t="n">
        <v>18</v>
      </c>
      <c r="J17" s="3" t="n">
        <v>17.5</v>
      </c>
      <c r="K17" s="3" t="n">
        <v>17.5</v>
      </c>
      <c r="L17" s="3" t="n">
        <v>17.5</v>
      </c>
    </row>
    <row r="18" customFormat="false" ht="15" hidden="false" customHeight="false" outlineLevel="0" collapsed="false">
      <c r="A18" s="0" t="s">
        <v>97</v>
      </c>
      <c r="C18" s="3" t="n">
        <v>20</v>
      </c>
      <c r="D18" s="3" t="n">
        <v>19</v>
      </c>
      <c r="E18" s="3" t="n">
        <v>19</v>
      </c>
      <c r="F18" s="3" t="n">
        <v>18</v>
      </c>
      <c r="G18" s="3" t="n">
        <v>18</v>
      </c>
      <c r="H18" s="3" t="n">
        <v>17</v>
      </c>
      <c r="I18" s="3" t="n">
        <v>17</v>
      </c>
      <c r="J18" s="3" t="n">
        <v>17</v>
      </c>
      <c r="K18" s="3" t="n">
        <v>17</v>
      </c>
      <c r="L18" s="3" t="n">
        <v>17</v>
      </c>
    </row>
    <row r="19" customFormat="false" ht="15" hidden="false" customHeight="false" outlineLevel="0" collapsed="false">
      <c r="A19" s="0" t="s">
        <v>98</v>
      </c>
      <c r="C19" s="3" t="n">
        <v>4</v>
      </c>
      <c r="D19" s="3" t="n">
        <v>5</v>
      </c>
      <c r="E19" s="3" t="n">
        <v>6</v>
      </c>
      <c r="F19" s="3" t="n">
        <v>8</v>
      </c>
      <c r="G19" s="3" t="n">
        <v>10</v>
      </c>
      <c r="H19" s="3" t="n">
        <v>12</v>
      </c>
      <c r="I19" s="3" t="n">
        <v>14</v>
      </c>
      <c r="J19" s="3" t="n">
        <v>16</v>
      </c>
      <c r="K19" s="3" t="n">
        <v>18</v>
      </c>
      <c r="L19" s="3" t="n">
        <v>18</v>
      </c>
    </row>
    <row r="20" customFormat="false" ht="15" hidden="false" customHeight="false" outlineLevel="0" collapsed="false">
      <c r="A20" s="0" t="s">
        <v>99</v>
      </c>
      <c r="B20" s="3" t="n">
        <v>10</v>
      </c>
    </row>
    <row r="21" customFormat="false" ht="15" hidden="false" customHeight="false" outlineLevel="0" collapsed="false">
      <c r="A21" s="0" t="s">
        <v>100</v>
      </c>
      <c r="B21" s="3" t="n">
        <v>2</v>
      </c>
    </row>
    <row r="22" customFormat="false" ht="15" hidden="false" customHeight="false" outlineLevel="0" collapsed="false">
      <c r="A22" s="0" t="s">
        <v>101</v>
      </c>
      <c r="B22" s="3" t="n">
        <v>12</v>
      </c>
    </row>
    <row r="23" customFormat="false" ht="15" hidden="false" customHeight="false" outlineLevel="0" collapsed="false">
      <c r="A23" s="0" t="s">
        <v>102</v>
      </c>
      <c r="B23" s="3" t="n">
        <v>-10</v>
      </c>
    </row>
    <row r="24" customFormat="false" ht="15" hidden="false" customHeight="false" outlineLevel="0" collapsed="false">
      <c r="A24" s="0" t="s">
        <v>103</v>
      </c>
      <c r="B24" s="3" t="n">
        <v>0.25</v>
      </c>
    </row>
    <row r="26" customFormat="false" ht="15" hidden="false" customHeight="false" outlineLevel="0" collapsed="false">
      <c r="A26" s="2" t="s">
        <v>104</v>
      </c>
      <c r="C26" s="2" t="s">
        <v>82</v>
      </c>
      <c r="D26" s="2" t="s">
        <v>83</v>
      </c>
      <c r="E26" s="2" t="s">
        <v>84</v>
      </c>
      <c r="F26" s="2" t="s">
        <v>85</v>
      </c>
      <c r="G26" s="2" t="s">
        <v>86</v>
      </c>
      <c r="H26" s="2" t="s">
        <v>87</v>
      </c>
      <c r="I26" s="2" t="s">
        <v>88</v>
      </c>
      <c r="J26" s="2" t="s">
        <v>89</v>
      </c>
      <c r="K26" s="2" t="s">
        <v>90</v>
      </c>
      <c r="L26" s="2" t="s">
        <v>91</v>
      </c>
    </row>
    <row r="27" customFormat="false" ht="15" hidden="false" customHeight="false" outlineLevel="0" collapsed="false">
      <c r="A27" s="0" t="s">
        <v>92</v>
      </c>
      <c r="C27" s="3" t="n">
        <v>7</v>
      </c>
      <c r="D27" s="3" t="n">
        <v>6</v>
      </c>
      <c r="E27" s="3" t="n">
        <v>6</v>
      </c>
      <c r="F27" s="3" t="n">
        <v>5</v>
      </c>
      <c r="G27" s="3" t="n">
        <v>5</v>
      </c>
      <c r="H27" s="3" t="n">
        <v>4</v>
      </c>
      <c r="I27" s="3" t="n">
        <v>4</v>
      </c>
      <c r="J27" s="3" t="n">
        <v>3</v>
      </c>
      <c r="K27" s="3" t="n">
        <v>3</v>
      </c>
      <c r="L27" s="3" t="n">
        <v>3</v>
      </c>
    </row>
    <row r="28" customFormat="false" ht="15" hidden="false" customHeight="false" outlineLevel="0" collapsed="false">
      <c r="A28" s="0" t="s">
        <v>93</v>
      </c>
      <c r="C28" s="3" t="n">
        <v>32.5</v>
      </c>
      <c r="D28" s="3" t="n">
        <v>33.5</v>
      </c>
      <c r="E28" s="3" t="n">
        <v>34</v>
      </c>
      <c r="F28" s="3" t="n">
        <v>34.5</v>
      </c>
      <c r="G28" s="3" t="n">
        <v>35</v>
      </c>
      <c r="H28" s="3" t="n">
        <v>35</v>
      </c>
      <c r="I28" s="3" t="n">
        <v>35</v>
      </c>
      <c r="J28" s="3" t="n">
        <v>35</v>
      </c>
      <c r="K28" s="3" t="n">
        <v>35</v>
      </c>
      <c r="L28" s="3" t="n">
        <v>35</v>
      </c>
    </row>
    <row r="29" customFormat="false" ht="15" hidden="false" customHeight="false" outlineLevel="0" collapsed="false">
      <c r="A29" s="0" t="s">
        <v>94</v>
      </c>
      <c r="C29" s="3" t="n">
        <v>3.5</v>
      </c>
      <c r="D29" s="3" t="n">
        <v>3.4</v>
      </c>
      <c r="E29" s="3" t="n">
        <v>3.3</v>
      </c>
      <c r="F29" s="3" t="n">
        <v>3.2</v>
      </c>
      <c r="G29" s="3" t="n">
        <v>3.1</v>
      </c>
      <c r="H29" s="3" t="n">
        <v>3</v>
      </c>
      <c r="I29" s="3" t="n">
        <v>3</v>
      </c>
      <c r="J29" s="3" t="n">
        <v>3</v>
      </c>
      <c r="K29" s="3" t="n">
        <v>3</v>
      </c>
      <c r="L29" s="3" t="n">
        <v>3</v>
      </c>
    </row>
    <row r="30" customFormat="false" ht="15" hidden="false" customHeight="false" outlineLevel="0" collapsed="false">
      <c r="A30" s="0" t="s">
        <v>95</v>
      </c>
      <c r="C30" s="3" t="n">
        <v>1.2</v>
      </c>
      <c r="D30" s="3" t="n">
        <v>1.2</v>
      </c>
      <c r="E30" s="3" t="n">
        <v>1.2</v>
      </c>
      <c r="F30" s="3" t="n">
        <v>1.2</v>
      </c>
      <c r="G30" s="3" t="n">
        <v>1.2</v>
      </c>
      <c r="H30" s="3" t="n">
        <v>1.2</v>
      </c>
      <c r="I30" s="3" t="n">
        <v>1.2</v>
      </c>
      <c r="J30" s="3" t="n">
        <v>1.2</v>
      </c>
      <c r="K30" s="3" t="n">
        <v>1.2</v>
      </c>
      <c r="L30" s="3" t="n">
        <v>1.2</v>
      </c>
    </row>
    <row r="31" customFormat="false" ht="15" hidden="false" customHeight="false" outlineLevel="0" collapsed="false">
      <c r="A31" s="0" t="s">
        <v>96</v>
      </c>
      <c r="C31" s="3" t="n">
        <v>18</v>
      </c>
      <c r="D31" s="3" t="n">
        <v>17.5</v>
      </c>
      <c r="E31" s="3" t="n">
        <v>17</v>
      </c>
      <c r="F31" s="3" t="n">
        <v>17</v>
      </c>
      <c r="G31" s="3" t="n">
        <v>16.5</v>
      </c>
      <c r="H31" s="3" t="n">
        <v>16.5</v>
      </c>
      <c r="I31" s="3" t="n">
        <v>16.5</v>
      </c>
      <c r="J31" s="3" t="n">
        <v>16</v>
      </c>
      <c r="K31" s="3" t="n">
        <v>16</v>
      </c>
      <c r="L31" s="3" t="n">
        <v>16</v>
      </c>
    </row>
    <row r="32" customFormat="false" ht="15" hidden="false" customHeight="false" outlineLevel="0" collapsed="false">
      <c r="A32" s="0" t="s">
        <v>97</v>
      </c>
      <c r="C32" s="3" t="n">
        <v>19</v>
      </c>
      <c r="D32" s="3" t="n">
        <v>18</v>
      </c>
      <c r="E32" s="3" t="n">
        <v>17.5</v>
      </c>
      <c r="F32" s="3" t="n">
        <v>17</v>
      </c>
      <c r="G32" s="3" t="n">
        <v>17</v>
      </c>
      <c r="H32" s="3" t="n">
        <v>16.5</v>
      </c>
      <c r="I32" s="3" t="n">
        <v>16.5</v>
      </c>
      <c r="J32" s="3" t="n">
        <v>16</v>
      </c>
      <c r="K32" s="3" t="n">
        <v>16</v>
      </c>
      <c r="L32" s="3" t="n">
        <v>16</v>
      </c>
    </row>
    <row r="33" customFormat="false" ht="15" hidden="false" customHeight="false" outlineLevel="0" collapsed="false">
      <c r="A33" s="0" t="s">
        <v>98</v>
      </c>
      <c r="C33" s="3" t="n">
        <v>4</v>
      </c>
      <c r="D33" s="3" t="n">
        <v>5</v>
      </c>
      <c r="E33" s="3" t="n">
        <v>6</v>
      </c>
      <c r="F33" s="3" t="n">
        <v>7</v>
      </c>
      <c r="G33" s="3" t="n">
        <v>8</v>
      </c>
      <c r="H33" s="3" t="n">
        <v>10</v>
      </c>
      <c r="I33" s="3" t="n">
        <v>12</v>
      </c>
      <c r="J33" s="3" t="n">
        <v>13</v>
      </c>
      <c r="K33" s="3" t="n">
        <v>14</v>
      </c>
      <c r="L33" s="3" t="n">
        <v>15</v>
      </c>
    </row>
    <row r="34" customFormat="false" ht="15" hidden="false" customHeight="false" outlineLevel="0" collapsed="false">
      <c r="A34" s="0" t="s">
        <v>99</v>
      </c>
      <c r="B34" s="3" t="n">
        <v>10</v>
      </c>
    </row>
    <row r="35" customFormat="false" ht="15" hidden="false" customHeight="false" outlineLevel="0" collapsed="false">
      <c r="A35" s="0" t="s">
        <v>100</v>
      </c>
      <c r="B35" s="3" t="n">
        <v>2.5</v>
      </c>
    </row>
    <row r="36" customFormat="false" ht="15" hidden="false" customHeight="false" outlineLevel="0" collapsed="false">
      <c r="A36" s="0" t="s">
        <v>101</v>
      </c>
      <c r="B36" s="3" t="n">
        <v>15</v>
      </c>
    </row>
    <row r="37" customFormat="false" ht="15" hidden="false" customHeight="false" outlineLevel="0" collapsed="false">
      <c r="A37" s="0" t="s">
        <v>102</v>
      </c>
      <c r="B37" s="3" t="n">
        <v>-10</v>
      </c>
    </row>
    <row r="38" customFormat="false" ht="15" hidden="false" customHeight="false" outlineLevel="0" collapsed="false">
      <c r="A38" s="0" t="s">
        <v>103</v>
      </c>
      <c r="B38" s="3" t="n">
        <v>0.5</v>
      </c>
    </row>
    <row r="40" customFormat="false" ht="15" hidden="false" customHeight="false" outlineLevel="0" collapsed="false">
      <c r="A40" s="2" t="s">
        <v>105</v>
      </c>
      <c r="C40" s="2" t="s">
        <v>82</v>
      </c>
      <c r="D40" s="2" t="s">
        <v>83</v>
      </c>
      <c r="E40" s="2" t="s">
        <v>84</v>
      </c>
      <c r="F40" s="2" t="s">
        <v>85</v>
      </c>
      <c r="G40" s="2" t="s">
        <v>86</v>
      </c>
      <c r="H40" s="2" t="s">
        <v>87</v>
      </c>
      <c r="I40" s="2" t="s">
        <v>88</v>
      </c>
      <c r="J40" s="2" t="s">
        <v>89</v>
      </c>
      <c r="K40" s="2" t="s">
        <v>90</v>
      </c>
      <c r="L40" s="2" t="s">
        <v>91</v>
      </c>
    </row>
    <row r="41" customFormat="false" ht="15" hidden="false" customHeight="false" outlineLevel="0" collapsed="false">
      <c r="A41" s="0" t="s">
        <v>92</v>
      </c>
      <c r="C41" s="3" t="n">
        <v>8</v>
      </c>
      <c r="D41" s="3" t="n">
        <v>10</v>
      </c>
      <c r="E41" s="3" t="n">
        <v>10</v>
      </c>
      <c r="F41" s="3" t="n">
        <v>8</v>
      </c>
      <c r="G41" s="3" t="n">
        <v>7</v>
      </c>
      <c r="H41" s="3" t="n">
        <v>6</v>
      </c>
      <c r="I41" s="3" t="n">
        <v>5</v>
      </c>
      <c r="J41" s="3" t="n">
        <v>4</v>
      </c>
      <c r="K41" s="3" t="n">
        <v>4</v>
      </c>
      <c r="L41" s="3" t="n">
        <v>3</v>
      </c>
    </row>
    <row r="42" customFormat="false" ht="15" hidden="false" customHeight="false" outlineLevel="0" collapsed="false">
      <c r="A42" s="0" t="s">
        <v>93</v>
      </c>
      <c r="C42" s="3" t="n">
        <v>33</v>
      </c>
      <c r="D42" s="3" t="n">
        <v>35</v>
      </c>
      <c r="E42" s="3" t="n">
        <v>36.5</v>
      </c>
      <c r="F42" s="3" t="n">
        <v>37.5</v>
      </c>
      <c r="G42" s="3" t="n">
        <v>38</v>
      </c>
      <c r="H42" s="3" t="n">
        <v>38</v>
      </c>
      <c r="I42" s="3" t="n">
        <v>38</v>
      </c>
      <c r="J42" s="3" t="n">
        <v>38</v>
      </c>
      <c r="K42" s="3" t="n">
        <v>38</v>
      </c>
      <c r="L42" s="3" t="n">
        <v>38</v>
      </c>
    </row>
    <row r="43" customFormat="false" ht="15" hidden="false" customHeight="false" outlineLevel="0" collapsed="false">
      <c r="A43" s="0" t="s">
        <v>94</v>
      </c>
      <c r="C43" s="3" t="n">
        <v>3.5</v>
      </c>
      <c r="D43" s="3" t="n">
        <v>3.3</v>
      </c>
      <c r="E43" s="3" t="n">
        <v>3.1</v>
      </c>
      <c r="F43" s="3" t="n">
        <v>3</v>
      </c>
      <c r="G43" s="3" t="n">
        <v>2.9</v>
      </c>
      <c r="H43" s="3" t="n">
        <v>2.8</v>
      </c>
      <c r="I43" s="3" t="n">
        <v>2.8</v>
      </c>
      <c r="J43" s="3" t="n">
        <v>2.8</v>
      </c>
      <c r="K43" s="3" t="n">
        <v>2.8</v>
      </c>
      <c r="L43" s="3" t="n">
        <v>2.8</v>
      </c>
    </row>
    <row r="44" customFormat="false" ht="15" hidden="false" customHeight="false" outlineLevel="0" collapsed="false">
      <c r="A44" s="0" t="s">
        <v>95</v>
      </c>
      <c r="C44" s="3" t="n">
        <v>1.2</v>
      </c>
      <c r="D44" s="3" t="n">
        <v>1.2</v>
      </c>
      <c r="E44" s="3" t="n">
        <v>1.2</v>
      </c>
      <c r="F44" s="3" t="n">
        <v>1.2</v>
      </c>
      <c r="G44" s="3" t="n">
        <v>1.2</v>
      </c>
      <c r="H44" s="3" t="n">
        <v>1.2</v>
      </c>
      <c r="I44" s="3" t="n">
        <v>1.2</v>
      </c>
      <c r="J44" s="3" t="n">
        <v>1.2</v>
      </c>
      <c r="K44" s="3" t="n">
        <v>1.2</v>
      </c>
      <c r="L44" s="3" t="n">
        <v>1.2</v>
      </c>
    </row>
    <row r="45" customFormat="false" ht="15" hidden="false" customHeight="false" outlineLevel="0" collapsed="false">
      <c r="A45" s="0" t="s">
        <v>96</v>
      </c>
      <c r="C45" s="3" t="n">
        <v>18</v>
      </c>
      <c r="D45" s="3" t="n">
        <v>17</v>
      </c>
      <c r="E45" s="3" t="n">
        <v>16.5</v>
      </c>
      <c r="F45" s="3" t="n">
        <v>16</v>
      </c>
      <c r="G45" s="3" t="n">
        <v>16</v>
      </c>
      <c r="H45" s="3" t="n">
        <v>15.5</v>
      </c>
      <c r="I45" s="3" t="n">
        <v>15.5</v>
      </c>
      <c r="J45" s="3" t="n">
        <v>15.5</v>
      </c>
      <c r="K45" s="3" t="n">
        <v>15.5</v>
      </c>
      <c r="L45" s="3" t="n">
        <v>15.5</v>
      </c>
    </row>
    <row r="46" customFormat="false" ht="15" hidden="false" customHeight="false" outlineLevel="0" collapsed="false">
      <c r="A46" s="0" t="s">
        <v>97</v>
      </c>
      <c r="C46" s="3" t="n">
        <v>19</v>
      </c>
      <c r="D46" s="3" t="n">
        <v>17</v>
      </c>
      <c r="E46" s="3" t="n">
        <v>16</v>
      </c>
      <c r="F46" s="3" t="n">
        <v>15.5</v>
      </c>
      <c r="G46" s="3" t="n">
        <v>15</v>
      </c>
      <c r="H46" s="3" t="n">
        <v>15</v>
      </c>
      <c r="I46" s="3" t="n">
        <v>15</v>
      </c>
      <c r="J46" s="3" t="n">
        <v>15</v>
      </c>
      <c r="K46" s="3" t="n">
        <v>15</v>
      </c>
      <c r="L46" s="3" t="n">
        <v>15</v>
      </c>
    </row>
    <row r="47" customFormat="false" ht="15" hidden="false" customHeight="false" outlineLevel="0" collapsed="false">
      <c r="A47" s="0" t="s">
        <v>98</v>
      </c>
      <c r="C47" s="3" t="n">
        <v>3</v>
      </c>
      <c r="D47" s="3" t="n">
        <v>4</v>
      </c>
      <c r="E47" s="3" t="n">
        <v>5</v>
      </c>
      <c r="F47" s="3" t="n">
        <v>6</v>
      </c>
      <c r="G47" s="3" t="n">
        <v>7</v>
      </c>
      <c r="H47" s="3" t="n">
        <v>8</v>
      </c>
      <c r="I47" s="3" t="n">
        <v>10</v>
      </c>
      <c r="J47" s="3" t="n">
        <v>11</v>
      </c>
      <c r="K47" s="3" t="n">
        <v>12</v>
      </c>
      <c r="L47" s="3" t="n">
        <v>12</v>
      </c>
    </row>
    <row r="48" customFormat="false" ht="15" hidden="false" customHeight="false" outlineLevel="0" collapsed="false">
      <c r="A48" s="0" t="s">
        <v>99</v>
      </c>
      <c r="B48" s="3" t="n">
        <v>10</v>
      </c>
    </row>
    <row r="49" customFormat="false" ht="15" hidden="false" customHeight="false" outlineLevel="0" collapsed="false">
      <c r="A49" s="0" t="s">
        <v>100</v>
      </c>
      <c r="B49" s="3" t="n">
        <v>3</v>
      </c>
    </row>
    <row r="50" customFormat="false" ht="15" hidden="false" customHeight="false" outlineLevel="0" collapsed="false">
      <c r="A50" s="0" t="s">
        <v>101</v>
      </c>
      <c r="B50" s="3" t="n">
        <v>16</v>
      </c>
    </row>
    <row r="51" customFormat="false" ht="15" hidden="false" customHeight="false" outlineLevel="0" collapsed="false">
      <c r="A51" s="0" t="s">
        <v>102</v>
      </c>
      <c r="B51" s="3" t="n">
        <v>-10</v>
      </c>
    </row>
    <row r="52" customFormat="false" ht="15" hidden="false" customHeight="false" outlineLevel="0" collapsed="false">
      <c r="A52" s="0" t="s">
        <v>103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106</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Assumptions!C13</f>
        <v>6</v>
      </c>
      <c r="D5" s="4" t="n">
        <f aca="false">Assumptions!D13</f>
        <v>0</v>
      </c>
      <c r="E5" s="4" t="n">
        <f aca="false">Assumptions!E13</f>
        <v>-8</v>
      </c>
      <c r="F5" s="4" t="n">
        <f aca="false">Assumptions!F13</f>
        <v>4</v>
      </c>
      <c r="G5" s="4" t="n">
        <f aca="false">Assumptions!G13</f>
        <v>5</v>
      </c>
      <c r="H5" s="4" t="n">
        <f aca="false">Assumptions!H13</f>
        <v>3</v>
      </c>
      <c r="I5" s="4" t="n">
        <f aca="false">Assumptions!I13</f>
        <v>3</v>
      </c>
      <c r="J5" s="4" t="n">
        <f aca="false">Assumptions!J13</f>
        <v>2</v>
      </c>
      <c r="K5" s="4" t="n">
        <f aca="false">Assumptions!K13</f>
        <v>2</v>
      </c>
      <c r="L5" s="4" t="n">
        <f aca="false">Assumptions!L13</f>
        <v>2</v>
      </c>
    </row>
    <row r="6" customFormat="false" ht="15" hidden="false" customHeight="false" outlineLevel="0" collapsed="false">
      <c r="A6" s="0" t="s">
        <v>37</v>
      </c>
      <c r="B6" s="3" t="n">
        <v>6791</v>
      </c>
      <c r="C6" s="0" t="n">
        <f aca="false">B6*(1+C5/100)</f>
        <v>7198.46</v>
      </c>
      <c r="D6" s="0" t="n">
        <f aca="false">C6*(1+D5/100)</f>
        <v>7198.46</v>
      </c>
      <c r="E6" s="0" t="n">
        <f aca="false">D6*(1+E5/100)</f>
        <v>6622.5832</v>
      </c>
      <c r="F6" s="0" t="n">
        <f aca="false">E6*(1+F5/100)</f>
        <v>6887.486528</v>
      </c>
      <c r="G6" s="0" t="n">
        <f aca="false">F6*(1+G5/100)</f>
        <v>7231.8608544</v>
      </c>
      <c r="H6" s="0" t="n">
        <f aca="false">G6*(1+H5/100)</f>
        <v>7448.816680032</v>
      </c>
      <c r="I6" s="0" t="n">
        <f aca="false">H6*(1+I5/100)</f>
        <v>7672.28118043296</v>
      </c>
      <c r="J6" s="0" t="n">
        <f aca="false">I6*(1+J5/100)</f>
        <v>7825.72680404162</v>
      </c>
      <c r="K6" s="0" t="n">
        <f aca="false">J6*(1+K5/100)</f>
        <v>7982.24134012245</v>
      </c>
      <c r="L6" s="0" t="n">
        <f aca="false">K6*(1+L5/100)</f>
        <v>8141.8861669249</v>
      </c>
    </row>
    <row r="7" customFormat="false" ht="15" hidden="false" customHeight="false" outlineLevel="0" collapsed="false">
      <c r="A7" s="0" t="s">
        <v>93</v>
      </c>
      <c r="C7" s="4" t="n">
        <f aca="false">Assumptions!C14</f>
        <v>31.5</v>
      </c>
      <c r="D7" s="4" t="n">
        <f aca="false">Assumptions!D14</f>
        <v>30</v>
      </c>
      <c r="E7" s="4" t="n">
        <f aca="false">Assumptions!E14</f>
        <v>27</v>
      </c>
      <c r="F7" s="4" t="n">
        <f aca="false">Assumptions!F14</f>
        <v>29</v>
      </c>
      <c r="G7" s="4" t="n">
        <f aca="false">Assumptions!G14</f>
        <v>30.5</v>
      </c>
      <c r="H7" s="4" t="n">
        <f aca="false">Assumptions!H14</f>
        <v>31</v>
      </c>
      <c r="I7" s="4" t="n">
        <f aca="false">Assumptions!I14</f>
        <v>31</v>
      </c>
      <c r="J7" s="4" t="n">
        <f aca="false">Assumptions!J14</f>
        <v>31</v>
      </c>
      <c r="K7" s="4" t="n">
        <f aca="false">Assumptions!K14</f>
        <v>31</v>
      </c>
      <c r="L7" s="4" t="n">
        <f aca="false">Assumptions!L14</f>
        <v>31</v>
      </c>
    </row>
    <row r="8" customFormat="false" ht="15" hidden="false" customHeight="false" outlineLevel="0" collapsed="false">
      <c r="A8" s="0" t="s">
        <v>43</v>
      </c>
      <c r="C8" s="0" t="n">
        <f aca="false">C6*C7/100</f>
        <v>2267.5149</v>
      </c>
      <c r="D8" s="0" t="n">
        <f aca="false">D6*D7/100</f>
        <v>2159.538</v>
      </c>
      <c r="E8" s="0" t="n">
        <f aca="false">E6*E7/100</f>
        <v>1788.097464</v>
      </c>
      <c r="F8" s="0" t="n">
        <f aca="false">F6*F7/100</f>
        <v>1997.37109312</v>
      </c>
      <c r="G8" s="0" t="n">
        <f aca="false">G6*G7/100</f>
        <v>2205.717560592</v>
      </c>
      <c r="H8" s="0" t="n">
        <f aca="false">H6*H7/100</f>
        <v>2309.13317080992</v>
      </c>
      <c r="I8" s="0" t="n">
        <f aca="false">I6*I7/100</f>
        <v>2378.40716593422</v>
      </c>
      <c r="J8" s="0" t="n">
        <f aca="false">J6*J7/100</f>
        <v>2425.9753092529</v>
      </c>
      <c r="K8" s="0" t="n">
        <f aca="false">K6*K7/100</f>
        <v>2474.49481543796</v>
      </c>
      <c r="L8" s="0" t="n">
        <f aca="false">L6*L7/100</f>
        <v>2523.98471174672</v>
      </c>
    </row>
    <row r="9" customFormat="false" ht="15" hidden="false" customHeight="false" outlineLevel="0" collapsed="false">
      <c r="A9" s="0" t="s">
        <v>94</v>
      </c>
      <c r="C9" s="4" t="n">
        <f aca="false">Assumptions!C15</f>
        <v>3.6</v>
      </c>
      <c r="D9" s="4" t="n">
        <f aca="false">Assumptions!D15</f>
        <v>3.6</v>
      </c>
      <c r="E9" s="4" t="n">
        <f aca="false">Assumptions!E15</f>
        <v>3.6</v>
      </c>
      <c r="F9" s="4" t="n">
        <f aca="false">Assumptions!F15</f>
        <v>3.5</v>
      </c>
      <c r="G9" s="4" t="n">
        <f aca="false">Assumptions!G15</f>
        <v>3.4</v>
      </c>
      <c r="H9" s="4" t="n">
        <f aca="false">Assumptions!H15</f>
        <v>3.3</v>
      </c>
      <c r="I9" s="4" t="n">
        <f aca="false">Assumptions!I15</f>
        <v>3.2</v>
      </c>
      <c r="J9" s="4" t="n">
        <f aca="false">Assumptions!J15</f>
        <v>3.2</v>
      </c>
      <c r="K9" s="4" t="n">
        <f aca="false">Assumptions!K15</f>
        <v>3.2</v>
      </c>
      <c r="L9" s="4" t="n">
        <f aca="false">Assumptions!L15</f>
        <v>3.2</v>
      </c>
    </row>
    <row r="10" customFormat="false" ht="15" hidden="false" customHeight="false" outlineLevel="0" collapsed="false">
      <c r="A10" s="0" t="s">
        <v>109</v>
      </c>
      <c r="C10" s="0" t="n">
        <f aca="false">-C6*C9/100</f>
        <v>-259.14456</v>
      </c>
      <c r="D10" s="0" t="n">
        <f aca="false">-D6*D9/100</f>
        <v>-259.14456</v>
      </c>
      <c r="E10" s="0" t="n">
        <f aca="false">-E6*E9/100</f>
        <v>-238.4129952</v>
      </c>
      <c r="F10" s="0" t="n">
        <f aca="false">-F6*F9/100</f>
        <v>-241.06202848</v>
      </c>
      <c r="G10" s="0" t="n">
        <f aca="false">-G6*G9/100</f>
        <v>-245.8832690496</v>
      </c>
      <c r="H10" s="0" t="n">
        <f aca="false">-H6*H9/100</f>
        <v>-245.810950441056</v>
      </c>
      <c r="I10" s="0" t="n">
        <f aca="false">-I6*I9/100</f>
        <v>-245.512997773855</v>
      </c>
      <c r="J10" s="0" t="n">
        <f aca="false">-J6*J9/100</f>
        <v>-250.423257729332</v>
      </c>
      <c r="K10" s="0" t="n">
        <f aca="false">-K6*K9/100</f>
        <v>-255.431722883919</v>
      </c>
      <c r="L10" s="0" t="n">
        <f aca="false">-L6*L9/100</f>
        <v>-260.540357341597</v>
      </c>
    </row>
    <row r="11" customFormat="false" ht="15" hidden="false" customHeight="false" outlineLevel="0" collapsed="false">
      <c r="A11" s="0" t="s">
        <v>110</v>
      </c>
      <c r="C11" s="0" t="n">
        <f aca="false">C8+C10+C24</f>
        <v>1921.98882</v>
      </c>
      <c r="D11" s="0" t="n">
        <f aca="false">D8+D10+D24</f>
        <v>1806.81346</v>
      </c>
      <c r="E11" s="0" t="n">
        <f aca="false">E8+E10+E24</f>
        <v>1456.968304</v>
      </c>
      <c r="F11" s="0" t="n">
        <f aca="false">F8+F10+F24</f>
        <v>1666.771739776</v>
      </c>
      <c r="G11" s="0" t="n">
        <f aca="false">G8+G10+G24</f>
        <v>1865.8201004352</v>
      </c>
      <c r="H11" s="0" t="n">
        <f aca="false">H8+H10+H24</f>
        <v>1966.48760352845</v>
      </c>
      <c r="I11" s="0" t="n">
        <f aca="false">I8+I10+I24</f>
        <v>2033.15451281473</v>
      </c>
      <c r="J11" s="0" t="n">
        <f aca="false">J8+J10+J24</f>
        <v>2073.81760307103</v>
      </c>
      <c r="K11" s="0" t="n">
        <f aca="false">K8+K10+K24</f>
        <v>2115.29395513245</v>
      </c>
      <c r="L11" s="0" t="n">
        <f aca="false">L8+L10+L24</f>
        <v>2157.5998342351</v>
      </c>
    </row>
    <row r="12" customFormat="false" ht="15" hidden="false" customHeight="false" outlineLevel="0" collapsed="false">
      <c r="A12" s="0" t="s">
        <v>111</v>
      </c>
      <c r="C12" s="4" t="n">
        <f aca="false">-C6*Assumptions!C17/100</f>
        <v>-1331.7151</v>
      </c>
      <c r="D12" s="4" t="n">
        <f aca="false">-D6*Assumptions!D17/100</f>
        <v>-1331.7151</v>
      </c>
      <c r="E12" s="4" t="n">
        <f aca="false">-E6*Assumptions!E17/100</f>
        <v>-1324.51664</v>
      </c>
      <c r="F12" s="4" t="n">
        <f aca="false">-F6*Assumptions!F17/100</f>
        <v>-1308.62244032</v>
      </c>
      <c r="G12" s="4" t="n">
        <f aca="false">-G6*Assumptions!G17/100</f>
        <v>-1337.894258064</v>
      </c>
      <c r="H12" s="4" t="n">
        <f aca="false">-H6*Assumptions!H17/100</f>
        <v>-1340.78700240576</v>
      </c>
      <c r="I12" s="4" t="n">
        <f aca="false">-I6*Assumptions!I17/100</f>
        <v>-1381.01061247793</v>
      </c>
      <c r="J12" s="4" t="n">
        <f aca="false">-J6*Assumptions!J17/100</f>
        <v>-1369.50219070728</v>
      </c>
      <c r="K12" s="4" t="n">
        <f aca="false">-K6*Assumptions!K17/100</f>
        <v>-1396.89223452143</v>
      </c>
      <c r="L12" s="4" t="n">
        <f aca="false">-L6*Assumptions!L17/100</f>
        <v>-1424.83007921186</v>
      </c>
    </row>
    <row r="13" customFormat="false" ht="15" hidden="false" customHeight="false" outlineLevel="0" collapsed="false">
      <c r="A13" s="0" t="s">
        <v>112</v>
      </c>
      <c r="C13" s="0" t="n">
        <f aca="false">C11+C12</f>
        <v>590.27372</v>
      </c>
      <c r="D13" s="0" t="n">
        <f aca="false">D11+D12</f>
        <v>475.09836</v>
      </c>
      <c r="E13" s="0" t="n">
        <f aca="false">E11+E12</f>
        <v>132.451664</v>
      </c>
      <c r="F13" s="0" t="n">
        <f aca="false">F11+F12</f>
        <v>358.149299456</v>
      </c>
      <c r="G13" s="0" t="n">
        <f aca="false">G11+G12</f>
        <v>527.9258423712</v>
      </c>
      <c r="H13" s="0" t="n">
        <f aca="false">H11+H12</f>
        <v>625.700601122689</v>
      </c>
      <c r="I13" s="0" t="n">
        <f aca="false">I11+I12</f>
        <v>652.143900336802</v>
      </c>
      <c r="J13" s="0" t="n">
        <f aca="false">J11+J12</f>
        <v>704.315412363746</v>
      </c>
      <c r="K13" s="0" t="n">
        <f aca="false">K11+K12</f>
        <v>718.40172061102</v>
      </c>
      <c r="L13" s="0" t="n">
        <f aca="false">L11+L12</f>
        <v>732.769755023241</v>
      </c>
    </row>
    <row r="14" customFormat="false" ht="15" hidden="false" customHeight="false" outlineLevel="0" collapsed="false">
      <c r="A14" s="0" t="s">
        <v>98</v>
      </c>
      <c r="C14" s="4" t="n">
        <f aca="false">Assumptions!C19</f>
        <v>4</v>
      </c>
      <c r="D14" s="4" t="n">
        <f aca="false">Assumptions!D19</f>
        <v>5</v>
      </c>
      <c r="E14" s="4" t="n">
        <f aca="false">Assumptions!E19</f>
        <v>6</v>
      </c>
      <c r="F14" s="4" t="n">
        <f aca="false">Assumptions!F19</f>
        <v>8</v>
      </c>
      <c r="G14" s="4" t="n">
        <f aca="false">Assumptions!G19</f>
        <v>10</v>
      </c>
      <c r="H14" s="4" t="n">
        <f aca="false">Assumptions!H19</f>
        <v>12</v>
      </c>
      <c r="I14" s="4" t="n">
        <f aca="false">Assumptions!I19</f>
        <v>14</v>
      </c>
      <c r="J14" s="4" t="n">
        <f aca="false">Assumptions!J19</f>
        <v>16</v>
      </c>
      <c r="K14" s="4" t="n">
        <f aca="false">Assumptions!K19</f>
        <v>18</v>
      </c>
      <c r="L14" s="4" t="n">
        <f aca="false">Assumptions!L19</f>
        <v>18</v>
      </c>
    </row>
    <row r="15" customFormat="false" ht="15" hidden="false" customHeight="false" outlineLevel="0" collapsed="false">
      <c r="A15" s="0" t="s">
        <v>113</v>
      </c>
      <c r="C15" s="0" t="n">
        <f aca="false">C13-MAX(0,C13)*C14/100</f>
        <v>566.6627712</v>
      </c>
      <c r="D15" s="0" t="n">
        <f aca="false">D13-MAX(0,D13)*D14/100</f>
        <v>451.343442</v>
      </c>
      <c r="E15" s="0" t="n">
        <f aca="false">E13-MAX(0,E13)*E14/100</f>
        <v>124.50456416</v>
      </c>
      <c r="F15" s="0" t="n">
        <f aca="false">F13-MAX(0,F13)*F14/100</f>
        <v>329.49735549952</v>
      </c>
      <c r="G15" s="0" t="n">
        <f aca="false">G13-MAX(0,G13)*G14/100</f>
        <v>475.13325813408</v>
      </c>
      <c r="H15" s="0" t="n">
        <f aca="false">H13-MAX(0,H13)*H14/100</f>
        <v>550.616528987966</v>
      </c>
      <c r="I15" s="0" t="n">
        <f aca="false">I13-MAX(0,I13)*I14/100</f>
        <v>560.843754289649</v>
      </c>
      <c r="J15" s="0" t="n">
        <f aca="false">J13-MAX(0,J13)*J14/100</f>
        <v>591.624946385546</v>
      </c>
      <c r="K15" s="0" t="n">
        <f aca="false">K13-MAX(0,K13)*K14/100</f>
        <v>589.089410901037</v>
      </c>
      <c r="L15" s="0" t="n">
        <f aca="false">L13-MAX(0,L13)*L14/100</f>
        <v>600.871199119058</v>
      </c>
    </row>
    <row r="16" customFormat="false" ht="15" hidden="false" customHeight="false" outlineLevel="0" collapsed="false">
      <c r="A16" s="0" t="s">
        <v>114</v>
      </c>
      <c r="C16" s="0" t="n">
        <f aca="false">-C12</f>
        <v>1331.7151</v>
      </c>
      <c r="D16" s="0" t="n">
        <f aca="false">-D12</f>
        <v>1331.7151</v>
      </c>
      <c r="E16" s="0" t="n">
        <f aca="false">-E12</f>
        <v>1324.51664</v>
      </c>
      <c r="F16" s="0" t="n">
        <f aca="false">-F12</f>
        <v>1308.62244032</v>
      </c>
      <c r="G16" s="0" t="n">
        <f aca="false">-G12</f>
        <v>1337.894258064</v>
      </c>
      <c r="H16" s="0" t="n">
        <f aca="false">-H12</f>
        <v>1340.78700240576</v>
      </c>
      <c r="I16" s="0" t="n">
        <f aca="false">-I12</f>
        <v>1381.01061247793</v>
      </c>
      <c r="J16" s="0" t="n">
        <f aca="false">-J12</f>
        <v>1369.50219070728</v>
      </c>
      <c r="K16" s="0" t="n">
        <f aca="false">-K12</f>
        <v>1396.89223452143</v>
      </c>
      <c r="L16" s="0" t="n">
        <f aca="false">-L12</f>
        <v>1424.83007921186</v>
      </c>
    </row>
    <row r="17" customFormat="false" ht="15" hidden="false" customHeight="false" outlineLevel="0" collapsed="false">
      <c r="A17" s="0" t="s">
        <v>115</v>
      </c>
      <c r="C17" s="4" t="n">
        <f aca="false">-C6*Assumptions!C18/100</f>
        <v>-1439.692</v>
      </c>
      <c r="D17" s="4" t="n">
        <f aca="false">-D6*Assumptions!D18/100</f>
        <v>-1367.7074</v>
      </c>
      <c r="E17" s="4" t="n">
        <f aca="false">-E6*Assumptions!E18/100</f>
        <v>-1258.290808</v>
      </c>
      <c r="F17" s="4" t="n">
        <f aca="false">-F6*Assumptions!F18/100</f>
        <v>-1239.74757504</v>
      </c>
      <c r="G17" s="4" t="n">
        <f aca="false">-G6*Assumptions!G18/100</f>
        <v>-1301.734953792</v>
      </c>
      <c r="H17" s="4" t="n">
        <f aca="false">-H6*Assumptions!H18/100</f>
        <v>-1266.29883560544</v>
      </c>
      <c r="I17" s="4" t="n">
        <f aca="false">-I6*Assumptions!I18/100</f>
        <v>-1304.2878006736</v>
      </c>
      <c r="J17" s="4" t="n">
        <f aca="false">-J6*Assumptions!J18/100</f>
        <v>-1330.37355668708</v>
      </c>
      <c r="K17" s="4" t="n">
        <f aca="false">-K6*Assumptions!K18/100</f>
        <v>-1356.98102782082</v>
      </c>
      <c r="L17" s="4" t="n">
        <f aca="false">-L6*Assumptions!L18/100</f>
        <v>-1384.12064837723</v>
      </c>
    </row>
    <row r="18" customFormat="false" ht="15" hidden="false" customHeight="false" outlineLevel="0" collapsed="false">
      <c r="A18" s="0" t="s">
        <v>116</v>
      </c>
      <c r="C18" s="4" t="n">
        <f aca="false">(C6-B6)*Assumptions!$B$23/100</f>
        <v>-40.746</v>
      </c>
      <c r="D18" s="4" t="n">
        <f aca="false">(D6-C6)*Assumptions!$B$23/100</f>
        <v>-0</v>
      </c>
      <c r="E18" s="4" t="n">
        <f aca="false">(E6-D6)*Assumptions!$B$23/100</f>
        <v>57.58768</v>
      </c>
      <c r="F18" s="4" t="n">
        <f aca="false">(F6-E6)*Assumptions!$B$23/100</f>
        <v>-26.4903328</v>
      </c>
      <c r="G18" s="4" t="n">
        <f aca="false">(G6-F6)*Assumptions!$B$23/100</f>
        <v>-34.43743264</v>
      </c>
      <c r="H18" s="4" t="n">
        <f aca="false">(H6-G6)*Assumptions!$B$23/100</f>
        <v>-21.6955825632001</v>
      </c>
      <c r="I18" s="4" t="n">
        <f aca="false">(I6-H6)*Assumptions!$B$23/100</f>
        <v>-22.346450040096</v>
      </c>
      <c r="J18" s="4" t="n">
        <f aca="false">(J6-I6)*Assumptions!$B$23/100</f>
        <v>-15.3445623608659</v>
      </c>
      <c r="K18" s="4" t="n">
        <f aca="false">(K6-J6)*Assumptions!$B$23/100</f>
        <v>-15.6514536080833</v>
      </c>
      <c r="L18" s="4" t="n">
        <f aca="false">(L6-K6)*Assumptions!$B$23/100</f>
        <v>-15.964482680245</v>
      </c>
    </row>
    <row r="19" customFormat="false" ht="15" hidden="false" customHeight="false" outlineLevel="0" collapsed="false">
      <c r="A19" s="0" t="s">
        <v>117</v>
      </c>
      <c r="C19" s="0" t="n">
        <f aca="false">C15+C16+C17+C18</f>
        <v>417.9398712</v>
      </c>
      <c r="D19" s="0" t="n">
        <f aca="false">D15+D16+D17+D18</f>
        <v>415.351142</v>
      </c>
      <c r="E19" s="0" t="n">
        <f aca="false">E15+E16+E17+E18</f>
        <v>248.31807616</v>
      </c>
      <c r="F19" s="0" t="n">
        <f aca="false">F15+F16+F17+F18</f>
        <v>371.88188797952</v>
      </c>
      <c r="G19" s="0" t="n">
        <f aca="false">G15+G16+G17+G18</f>
        <v>476.85512976608</v>
      </c>
      <c r="H19" s="0" t="n">
        <f aca="false">H15+H16+H17+H18</f>
        <v>603.409113225086</v>
      </c>
      <c r="I19" s="0" t="n">
        <f aca="false">I15+I16+I17+I18</f>
        <v>615.220116053883</v>
      </c>
      <c r="J19" s="0" t="n">
        <f aca="false">J15+J16+J17+J18</f>
        <v>615.409018044888</v>
      </c>
      <c r="K19" s="0" t="n">
        <f aca="false">K15+K16+K17+K18</f>
        <v>613.349163993566</v>
      </c>
      <c r="L19" s="0" t="n">
        <f aca="false">L15+L16+L17+L18</f>
        <v>625.616147273437</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379.945337454546</v>
      </c>
      <c r="D21" s="0" t="n">
        <f aca="false">D19*D20</f>
        <v>343.26540661157</v>
      </c>
      <c r="E21" s="0" t="n">
        <f aca="false">E19*E20</f>
        <v>186.565045950413</v>
      </c>
      <c r="F21" s="0" t="n">
        <f aca="false">F19*F20</f>
        <v>254.000333296578</v>
      </c>
      <c r="G21" s="0" t="n">
        <f aca="false">G19*G20</f>
        <v>296.089518081899</v>
      </c>
      <c r="H21" s="0" t="n">
        <f aca="false">H19*H20</f>
        <v>340.608713572429</v>
      </c>
      <c r="I21" s="0" t="n">
        <f aca="false">I19*I20</f>
        <v>315.705197051888</v>
      </c>
      <c r="J21" s="0" t="n">
        <f aca="false">J19*J20</f>
        <v>287.092848765565</v>
      </c>
      <c r="K21" s="0" t="n">
        <f aca="false">K19*K20</f>
        <v>260.119919680426</v>
      </c>
      <c r="L21" s="0" t="n">
        <f aca="false">L19*L20</f>
        <v>241.202107340031</v>
      </c>
    </row>
    <row r="23" customFormat="false" ht="15" hidden="false" customHeight="false" outlineLevel="0" collapsed="false">
      <c r="A23" s="0" t="s">
        <v>95</v>
      </c>
      <c r="C23" s="4" t="n">
        <f aca="false">Assumptions!C16</f>
        <v>1.2</v>
      </c>
      <c r="D23" s="4" t="n">
        <f aca="false">Assumptions!D16</f>
        <v>1.3</v>
      </c>
      <c r="E23" s="4" t="n">
        <f aca="false">Assumptions!E16</f>
        <v>1.4</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120</v>
      </c>
      <c r="C24" s="0" t="n">
        <f aca="false">-C6*C23/100</f>
        <v>-86.38152</v>
      </c>
      <c r="D24" s="0" t="n">
        <f aca="false">-D6*D23/100</f>
        <v>-93.57998</v>
      </c>
      <c r="E24" s="0" t="n">
        <f aca="false">-E6*E23/100</f>
        <v>-92.7161648</v>
      </c>
      <c r="F24" s="0" t="n">
        <f aca="false">-F6*F23/100</f>
        <v>-89.537324864</v>
      </c>
      <c r="G24" s="0" t="n">
        <f aca="false">-G6*G23/100</f>
        <v>-94.0141911072</v>
      </c>
      <c r="H24" s="0" t="n">
        <f aca="false">-H6*H23/100</f>
        <v>-96.834616840416</v>
      </c>
      <c r="I24" s="0" t="n">
        <f aca="false">-I6*I23/100</f>
        <v>-99.7396553456285</v>
      </c>
      <c r="J24" s="0" t="n">
        <f aca="false">-J6*J23/100</f>
        <v>-101.734448452541</v>
      </c>
      <c r="K24" s="0" t="n">
        <f aca="false">-K6*K23/100</f>
        <v>-103.769137421592</v>
      </c>
      <c r="L24" s="0" t="n">
        <f aca="false">-L6*L23/100</f>
        <v>-105.844520170024</v>
      </c>
    </row>
    <row r="26" customFormat="false" ht="15" hidden="false" customHeight="false" outlineLevel="0" collapsed="false">
      <c r="A26" s="2" t="s">
        <v>121</v>
      </c>
    </row>
    <row r="27" customFormat="false" ht="15" hidden="false" customHeight="false" outlineLevel="0" collapsed="false">
      <c r="A27" s="0" t="s">
        <v>99</v>
      </c>
      <c r="B27" s="4" t="n">
        <f aca="false">Assumptions!$B$20</f>
        <v>10</v>
      </c>
    </row>
    <row r="28" customFormat="false" ht="15" hidden="false" customHeight="false" outlineLevel="0" collapsed="false">
      <c r="A28" s="0" t="s">
        <v>100</v>
      </c>
      <c r="B28" s="4" t="n">
        <f aca="false">Assumptions!$B$21</f>
        <v>2</v>
      </c>
    </row>
    <row r="29" customFormat="false" ht="15" hidden="false" customHeight="false" outlineLevel="0" collapsed="false">
      <c r="A29" s="0" t="s">
        <v>101</v>
      </c>
      <c r="B29" s="4" t="n">
        <f aca="false">Assumptions!$B$22</f>
        <v>12</v>
      </c>
    </row>
    <row r="30" customFormat="false" ht="15" hidden="false" customHeight="false" outlineLevel="0" collapsed="false">
      <c r="A30" s="0" t="s">
        <v>122</v>
      </c>
      <c r="B30" s="0" t="n">
        <f aca="false">SUM(C21:L21)</f>
        <v>2904.59442780535</v>
      </c>
    </row>
    <row r="31" customFormat="false" ht="15" hidden="false" customHeight="false" outlineLevel="0" collapsed="false">
      <c r="A31" s="0" t="s">
        <v>123</v>
      </c>
      <c r="B31" s="0" t="n">
        <f aca="false">L19</f>
        <v>625.616147273437</v>
      </c>
    </row>
    <row r="32" customFormat="false" ht="15" hidden="false" customHeight="false" outlineLevel="0" collapsed="false">
      <c r="A32" s="0" t="s">
        <v>124</v>
      </c>
      <c r="B32" s="0" t="n">
        <f aca="false">IF(B27&gt;B28,B31*(1+B28/100)/((B27-B28)/100),B31*B29)</f>
        <v>7976.60587773632</v>
      </c>
    </row>
    <row r="33" customFormat="false" ht="15" hidden="false" customHeight="false" outlineLevel="0" collapsed="false">
      <c r="A33" s="0" t="s">
        <v>125</v>
      </c>
      <c r="B33" s="0" t="n">
        <f aca="false">B31*B29</f>
        <v>7507.39376728124</v>
      </c>
    </row>
    <row r="34" customFormat="false" ht="15" hidden="false" customHeight="false" outlineLevel="0" collapsed="false">
      <c r="A34" s="0" t="s">
        <v>126</v>
      </c>
      <c r="B34" s="0" t="n">
        <f aca="false">MAX(0,MIN(B32,B33))</f>
        <v>7507.39376728124</v>
      </c>
    </row>
    <row r="35" customFormat="false" ht="15" hidden="false" customHeight="false" outlineLevel="0" collapsed="false">
      <c r="A35" s="0" t="s">
        <v>127</v>
      </c>
      <c r="B35" s="0" t="n">
        <f aca="false">B34/(1+B27/100)^L4</f>
        <v>2894.42528808037</v>
      </c>
    </row>
    <row r="36" customFormat="false" ht="15" hidden="false" customHeight="false" outlineLevel="0" collapsed="false">
      <c r="A36" s="0" t="s">
        <v>128</v>
      </c>
      <c r="B36" s="0" t="n">
        <f aca="false">B30+B35</f>
        <v>5799.01971588572</v>
      </c>
    </row>
    <row r="37" customFormat="false" ht="15" hidden="false" customHeight="false" outlineLevel="0" collapsed="false">
      <c r="A37" s="0" t="s">
        <v>129</v>
      </c>
      <c r="B37" s="0" t="n">
        <f aca="false">B36+Assumptions!$B$5-Assumptions!$B$4</f>
        <v>7024.01971588572</v>
      </c>
    </row>
    <row r="38" customFormat="false" ht="15" hidden="false" customHeight="false" outlineLevel="0" collapsed="false">
      <c r="A38" s="0" t="s">
        <v>130</v>
      </c>
      <c r="B38" s="0" t="n">
        <f aca="false">B37/Assumptions!$B$3*Assumptions!$B$10</f>
        <v>12.633128985406</v>
      </c>
    </row>
    <row r="39" customFormat="false" ht="15" hidden="false" customHeight="false" outlineLevel="0" collapsed="false">
      <c r="A39" s="0" t="s">
        <v>131</v>
      </c>
      <c r="B39" s="4" t="n">
        <f aca="false">B38/Assumptions!$B$2-1</f>
        <v>-0.742181041114164</v>
      </c>
    </row>
    <row r="41" customFormat="false" ht="15" hidden="false" customHeight="false" outlineLevel="0" collapsed="false">
      <c r="A41" s="0" t="s">
        <v>132</v>
      </c>
      <c r="B41" s="0" t="n">
        <f aca="false">SUMPRODUCT(-C10:L10/(1+$B$27/100)^C4:L4)</f>
        <v>1536.54373809637</v>
      </c>
    </row>
    <row r="42" customFormat="false" ht="15" hidden="false" customHeight="false" outlineLevel="0" collapsed="false">
      <c r="A42" s="0" t="s">
        <v>133</v>
      </c>
      <c r="B42" s="0" t="n">
        <f aca="false">IF(B27&gt;B28,-L10*(1+B28/100)/((B27-B28)/100),-L10*20)/(1+B27/100)^L4</f>
        <v>1280.73222658247</v>
      </c>
    </row>
    <row r="43" customFormat="false" ht="15" hidden="false" customHeight="false" outlineLevel="0" collapsed="false">
      <c r="A43" s="0" t="s">
        <v>134</v>
      </c>
      <c r="B43" s="0" t="n">
        <f aca="false">(B37+B41+B42)/Assumptions!$B$3*Assumptions!$B$10</f>
        <v>17.7001720873463</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4908.68054014543</v>
      </c>
    </row>
    <row r="47" customFormat="false" ht="15" hidden="false" customHeight="false" outlineLevel="0" collapsed="false">
      <c r="A47" s="0" t="s">
        <v>136</v>
      </c>
      <c r="B47" s="0" t="n">
        <f aca="false">(SUMPRODUCT(C19:L19/(1+B45/100)^C4:L4)+B46/(1+B45/100)^L4+Assumptions!$B$5-Assumptions!$B$4)/Assumptions!$B$3*Assumptions!$B$10</f>
        <v>8.54523126423583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137</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Assumptions!C27</f>
        <v>7</v>
      </c>
      <c r="D5" s="4" t="n">
        <f aca="false">Assumptions!D27</f>
        <v>6</v>
      </c>
      <c r="E5" s="4" t="n">
        <f aca="false">Assumptions!E27</f>
        <v>6</v>
      </c>
      <c r="F5" s="4" t="n">
        <f aca="false">Assumptions!F27</f>
        <v>5</v>
      </c>
      <c r="G5" s="4" t="n">
        <f aca="false">Assumptions!G27</f>
        <v>5</v>
      </c>
      <c r="H5" s="4" t="n">
        <f aca="false">Assumptions!H27</f>
        <v>4</v>
      </c>
      <c r="I5" s="4" t="n">
        <f aca="false">Assumptions!I27</f>
        <v>4</v>
      </c>
      <c r="J5" s="4" t="n">
        <f aca="false">Assumptions!J27</f>
        <v>3</v>
      </c>
      <c r="K5" s="4" t="n">
        <f aca="false">Assumptions!K27</f>
        <v>3</v>
      </c>
      <c r="L5" s="4" t="n">
        <f aca="false">Assumptions!L27</f>
        <v>3</v>
      </c>
    </row>
    <row r="6" customFormat="false" ht="15" hidden="false" customHeight="false" outlineLevel="0" collapsed="false">
      <c r="A6" s="0" t="s">
        <v>37</v>
      </c>
      <c r="B6" s="3" t="n">
        <v>6791</v>
      </c>
      <c r="C6" s="0" t="n">
        <f aca="false">B6*(1+C5/100)</f>
        <v>7266.37</v>
      </c>
      <c r="D6" s="0" t="n">
        <f aca="false">C6*(1+D5/100)</f>
        <v>7702.3522</v>
      </c>
      <c r="E6" s="0" t="n">
        <f aca="false">D6*(1+E5/100)</f>
        <v>8164.493332</v>
      </c>
      <c r="F6" s="0" t="n">
        <f aca="false">E6*(1+F5/100)</f>
        <v>8572.7179986</v>
      </c>
      <c r="G6" s="0" t="n">
        <f aca="false">F6*(1+G5/100)</f>
        <v>9001.35389853</v>
      </c>
      <c r="H6" s="0" t="n">
        <f aca="false">G6*(1+H5/100)</f>
        <v>9361.40805447121</v>
      </c>
      <c r="I6" s="0" t="n">
        <f aca="false">H6*(1+I5/100)</f>
        <v>9735.86437665005</v>
      </c>
      <c r="J6" s="0" t="n">
        <f aca="false">I6*(1+J5/100)</f>
        <v>10027.9403079496</v>
      </c>
      <c r="K6" s="0" t="n">
        <f aca="false">J6*(1+K5/100)</f>
        <v>10328.778517188</v>
      </c>
      <c r="L6" s="0" t="n">
        <f aca="false">K6*(1+L5/100)</f>
        <v>10638.6418727037</v>
      </c>
    </row>
    <row r="7" customFormat="false" ht="15" hidden="false" customHeight="false" outlineLevel="0" collapsed="false">
      <c r="A7" s="0" t="s">
        <v>93</v>
      </c>
      <c r="C7" s="4" t="n">
        <f aca="false">Assumptions!C28</f>
        <v>32.5</v>
      </c>
      <c r="D7" s="4" t="n">
        <f aca="false">Assumptions!D28</f>
        <v>33.5</v>
      </c>
      <c r="E7" s="4" t="n">
        <f aca="false">Assumptions!E28</f>
        <v>34</v>
      </c>
      <c r="F7" s="4" t="n">
        <f aca="false">Assumptions!F28</f>
        <v>34.5</v>
      </c>
      <c r="G7" s="4" t="n">
        <f aca="false">Assumptions!G28</f>
        <v>35</v>
      </c>
      <c r="H7" s="4" t="n">
        <f aca="false">Assumptions!H28</f>
        <v>35</v>
      </c>
      <c r="I7" s="4" t="n">
        <f aca="false">Assumptions!I28</f>
        <v>35</v>
      </c>
      <c r="J7" s="4" t="n">
        <f aca="false">Assumptions!J28</f>
        <v>35</v>
      </c>
      <c r="K7" s="4" t="n">
        <f aca="false">Assumptions!K28</f>
        <v>35</v>
      </c>
      <c r="L7" s="4" t="n">
        <f aca="false">Assumptions!L28</f>
        <v>35</v>
      </c>
    </row>
    <row r="8" customFormat="false" ht="15" hidden="false" customHeight="false" outlineLevel="0" collapsed="false">
      <c r="A8" s="0" t="s">
        <v>43</v>
      </c>
      <c r="C8" s="0" t="n">
        <f aca="false">C6*C7/100</f>
        <v>2361.57025</v>
      </c>
      <c r="D8" s="0" t="n">
        <f aca="false">D6*D7/100</f>
        <v>2580.287987</v>
      </c>
      <c r="E8" s="0" t="n">
        <f aca="false">E6*E7/100</f>
        <v>2775.92773288</v>
      </c>
      <c r="F8" s="0" t="n">
        <f aca="false">F6*F7/100</f>
        <v>2957.587709517</v>
      </c>
      <c r="G8" s="0" t="n">
        <f aca="false">G6*G7/100</f>
        <v>3150.4738644855</v>
      </c>
      <c r="H8" s="0" t="n">
        <f aca="false">H6*H7/100</f>
        <v>3276.49281906492</v>
      </c>
      <c r="I8" s="0" t="n">
        <f aca="false">I6*I7/100</f>
        <v>3407.55253182752</v>
      </c>
      <c r="J8" s="0" t="n">
        <f aca="false">J6*J7/100</f>
        <v>3509.77910778234</v>
      </c>
      <c r="K8" s="0" t="n">
        <f aca="false">K6*K7/100</f>
        <v>3615.07248101582</v>
      </c>
      <c r="L8" s="0" t="n">
        <f aca="false">L6*L7/100</f>
        <v>3723.52465544629</v>
      </c>
    </row>
    <row r="9" customFormat="false" ht="15" hidden="false" customHeight="false" outlineLevel="0" collapsed="false">
      <c r="A9" s="0" t="s">
        <v>94</v>
      </c>
      <c r="C9" s="4" t="n">
        <f aca="false">Assumptions!C29</f>
        <v>3.5</v>
      </c>
      <c r="D9" s="4" t="n">
        <f aca="false">Assumptions!D29</f>
        <v>3.4</v>
      </c>
      <c r="E9" s="4" t="n">
        <f aca="false">Assumptions!E29</f>
        <v>3.3</v>
      </c>
      <c r="F9" s="4" t="n">
        <f aca="false">Assumptions!F29</f>
        <v>3.2</v>
      </c>
      <c r="G9" s="4" t="n">
        <f aca="false">Assumptions!G29</f>
        <v>3.1</v>
      </c>
      <c r="H9" s="4" t="n">
        <f aca="false">Assumptions!H29</f>
        <v>3</v>
      </c>
      <c r="I9" s="4" t="n">
        <f aca="false">Assumptions!I29</f>
        <v>3</v>
      </c>
      <c r="J9" s="4" t="n">
        <f aca="false">Assumptions!J29</f>
        <v>3</v>
      </c>
      <c r="K9" s="4" t="n">
        <f aca="false">Assumptions!K29</f>
        <v>3</v>
      </c>
      <c r="L9" s="4" t="n">
        <f aca="false">Assumptions!L29</f>
        <v>3</v>
      </c>
    </row>
    <row r="10" customFormat="false" ht="15" hidden="false" customHeight="false" outlineLevel="0" collapsed="false">
      <c r="A10" s="0" t="s">
        <v>109</v>
      </c>
      <c r="C10" s="0" t="n">
        <f aca="false">-C6*C9/100</f>
        <v>-254.32295</v>
      </c>
      <c r="D10" s="0" t="n">
        <f aca="false">-D6*D9/100</f>
        <v>-261.8799748</v>
      </c>
      <c r="E10" s="0" t="n">
        <f aca="false">-E6*E9/100</f>
        <v>-269.428279956</v>
      </c>
      <c r="F10" s="0" t="n">
        <f aca="false">-F6*F9/100</f>
        <v>-274.3269759552</v>
      </c>
      <c r="G10" s="0" t="n">
        <f aca="false">-G6*G9/100</f>
        <v>-279.04197085443</v>
      </c>
      <c r="H10" s="0" t="n">
        <f aca="false">-H6*H9/100</f>
        <v>-280.842241634136</v>
      </c>
      <c r="I10" s="0" t="n">
        <f aca="false">-I6*I9/100</f>
        <v>-292.075931299502</v>
      </c>
      <c r="J10" s="0" t="n">
        <f aca="false">-J6*J9/100</f>
        <v>-300.838209238487</v>
      </c>
      <c r="K10" s="0" t="n">
        <f aca="false">-K6*K9/100</f>
        <v>-309.863355515641</v>
      </c>
      <c r="L10" s="0" t="n">
        <f aca="false">-L6*L9/100</f>
        <v>-319.159256181111</v>
      </c>
    </row>
    <row r="11" customFormat="false" ht="15" hidden="false" customHeight="false" outlineLevel="0" collapsed="false">
      <c r="A11" s="0" t="s">
        <v>110</v>
      </c>
      <c r="C11" s="0" t="n">
        <f aca="false">C8+C10+C24</f>
        <v>2020.05086</v>
      </c>
      <c r="D11" s="0" t="n">
        <f aca="false">D8+D10+D24</f>
        <v>2225.9797858</v>
      </c>
      <c r="E11" s="0" t="n">
        <f aca="false">E8+E10+E24</f>
        <v>2408.52553294</v>
      </c>
      <c r="F11" s="0" t="n">
        <f aca="false">F8+F10+F24</f>
        <v>2580.3881175786</v>
      </c>
      <c r="G11" s="0" t="n">
        <f aca="false">G8+G10+G24</f>
        <v>2763.41564684871</v>
      </c>
      <c r="H11" s="0" t="n">
        <f aca="false">H8+H10+H24</f>
        <v>2883.31368077713</v>
      </c>
      <c r="I11" s="0" t="n">
        <f aca="false">I8+I10+I24</f>
        <v>2998.64622800822</v>
      </c>
      <c r="J11" s="0" t="n">
        <f aca="false">J8+J10+J24</f>
        <v>3088.60561484846</v>
      </c>
      <c r="K11" s="0" t="n">
        <f aca="false">K8+K10+K24</f>
        <v>3181.26378329392</v>
      </c>
      <c r="L11" s="0" t="n">
        <f aca="false">L8+L10+L24</f>
        <v>3276.70169679273</v>
      </c>
    </row>
    <row r="12" customFormat="false" ht="15" hidden="false" customHeight="false" outlineLevel="0" collapsed="false">
      <c r="A12" s="0" t="s">
        <v>111</v>
      </c>
      <c r="C12" s="4" t="n">
        <f aca="false">-C6*Assumptions!C31/100</f>
        <v>-1307.9466</v>
      </c>
      <c r="D12" s="4" t="n">
        <f aca="false">-D6*Assumptions!D31/100</f>
        <v>-1347.911635</v>
      </c>
      <c r="E12" s="4" t="n">
        <f aca="false">-E6*Assumptions!E31/100</f>
        <v>-1387.96386644</v>
      </c>
      <c r="F12" s="4" t="n">
        <f aca="false">-F6*Assumptions!F31/100</f>
        <v>-1457.362059762</v>
      </c>
      <c r="G12" s="4" t="n">
        <f aca="false">-G6*Assumptions!G31/100</f>
        <v>-1485.22339325745</v>
      </c>
      <c r="H12" s="4" t="n">
        <f aca="false">-H6*Assumptions!H31/100</f>
        <v>-1544.63232898775</v>
      </c>
      <c r="I12" s="4" t="n">
        <f aca="false">-I6*Assumptions!I31/100</f>
        <v>-1606.41762214726</v>
      </c>
      <c r="J12" s="4" t="n">
        <f aca="false">-J6*Assumptions!J31/100</f>
        <v>-1604.47044927193</v>
      </c>
      <c r="K12" s="4" t="n">
        <f aca="false">-K6*Assumptions!K31/100</f>
        <v>-1652.60456275009</v>
      </c>
      <c r="L12" s="4" t="n">
        <f aca="false">-L6*Assumptions!L31/100</f>
        <v>-1702.18269963259</v>
      </c>
    </row>
    <row r="13" customFormat="false" ht="15" hidden="false" customHeight="false" outlineLevel="0" collapsed="false">
      <c r="A13" s="0" t="s">
        <v>112</v>
      </c>
      <c r="C13" s="0" t="n">
        <f aca="false">C11+C12</f>
        <v>712.10426</v>
      </c>
      <c r="D13" s="0" t="n">
        <f aca="false">D11+D12</f>
        <v>878.068150800001</v>
      </c>
      <c r="E13" s="0" t="n">
        <f aca="false">E11+E12</f>
        <v>1020.5616665</v>
      </c>
      <c r="F13" s="0" t="n">
        <f aca="false">F11+F12</f>
        <v>1123.0260578166</v>
      </c>
      <c r="G13" s="0" t="n">
        <f aca="false">G11+G12</f>
        <v>1278.19225359126</v>
      </c>
      <c r="H13" s="0" t="n">
        <f aca="false">H11+H12</f>
        <v>1338.68135178938</v>
      </c>
      <c r="I13" s="0" t="n">
        <f aca="false">I11+I12</f>
        <v>1392.22860586096</v>
      </c>
      <c r="J13" s="0" t="n">
        <f aca="false">J11+J12</f>
        <v>1484.13516557653</v>
      </c>
      <c r="K13" s="0" t="n">
        <f aca="false">K11+K12</f>
        <v>1528.65922054383</v>
      </c>
      <c r="L13" s="0" t="n">
        <f aca="false">L11+L12</f>
        <v>1574.51899716015</v>
      </c>
    </row>
    <row r="14" customFormat="false" ht="15" hidden="false" customHeight="false" outlineLevel="0" collapsed="false">
      <c r="A14" s="0" t="s">
        <v>98</v>
      </c>
      <c r="C14" s="4" t="n">
        <f aca="false">Assumptions!C33</f>
        <v>4</v>
      </c>
      <c r="D14" s="4" t="n">
        <f aca="false">Assumptions!D33</f>
        <v>5</v>
      </c>
      <c r="E14" s="4" t="n">
        <f aca="false">Assumptions!E33</f>
        <v>6</v>
      </c>
      <c r="F14" s="4" t="n">
        <f aca="false">Assumptions!F33</f>
        <v>7</v>
      </c>
      <c r="G14" s="4" t="n">
        <f aca="false">Assumptions!G33</f>
        <v>8</v>
      </c>
      <c r="H14" s="4" t="n">
        <f aca="false">Assumptions!H33</f>
        <v>10</v>
      </c>
      <c r="I14" s="4" t="n">
        <f aca="false">Assumptions!I33</f>
        <v>12</v>
      </c>
      <c r="J14" s="4" t="n">
        <f aca="false">Assumptions!J33</f>
        <v>13</v>
      </c>
      <c r="K14" s="4" t="n">
        <f aca="false">Assumptions!K33</f>
        <v>14</v>
      </c>
      <c r="L14" s="4" t="n">
        <f aca="false">Assumptions!L33</f>
        <v>15</v>
      </c>
    </row>
    <row r="15" customFormat="false" ht="15" hidden="false" customHeight="false" outlineLevel="0" collapsed="false">
      <c r="A15" s="0" t="s">
        <v>113</v>
      </c>
      <c r="C15" s="0" t="n">
        <f aca="false">C13-MAX(0,C13)*C14/100</f>
        <v>683.6200896</v>
      </c>
      <c r="D15" s="0" t="n">
        <f aca="false">D13-MAX(0,D13)*D14/100</f>
        <v>834.164743260001</v>
      </c>
      <c r="E15" s="0" t="n">
        <f aca="false">E13-MAX(0,E13)*E14/100</f>
        <v>959.32796651</v>
      </c>
      <c r="F15" s="0" t="n">
        <f aca="false">F13-MAX(0,F13)*F14/100</f>
        <v>1044.41423376944</v>
      </c>
      <c r="G15" s="0" t="n">
        <f aca="false">G13-MAX(0,G13)*G14/100</f>
        <v>1175.93687330396</v>
      </c>
      <c r="H15" s="0" t="n">
        <f aca="false">H13-MAX(0,H13)*H14/100</f>
        <v>1204.81321661044</v>
      </c>
      <c r="I15" s="0" t="n">
        <f aca="false">I13-MAX(0,I13)*I14/100</f>
        <v>1225.16117315764</v>
      </c>
      <c r="J15" s="0" t="n">
        <f aca="false">J13-MAX(0,J13)*J14/100</f>
        <v>1291.19759405158</v>
      </c>
      <c r="K15" s="0" t="n">
        <f aca="false">K13-MAX(0,K13)*K14/100</f>
        <v>1314.64692966769</v>
      </c>
      <c r="L15" s="0" t="n">
        <f aca="false">L13-MAX(0,L13)*L14/100</f>
        <v>1338.34114758612</v>
      </c>
    </row>
    <row r="16" customFormat="false" ht="15" hidden="false" customHeight="false" outlineLevel="0" collapsed="false">
      <c r="A16" s="0" t="s">
        <v>114</v>
      </c>
      <c r="C16" s="0" t="n">
        <f aca="false">-C12</f>
        <v>1307.9466</v>
      </c>
      <c r="D16" s="0" t="n">
        <f aca="false">-D12</f>
        <v>1347.911635</v>
      </c>
      <c r="E16" s="0" t="n">
        <f aca="false">-E12</f>
        <v>1387.96386644</v>
      </c>
      <c r="F16" s="0" t="n">
        <f aca="false">-F12</f>
        <v>1457.362059762</v>
      </c>
      <c r="G16" s="0" t="n">
        <f aca="false">-G12</f>
        <v>1485.22339325745</v>
      </c>
      <c r="H16" s="0" t="n">
        <f aca="false">-H12</f>
        <v>1544.63232898775</v>
      </c>
      <c r="I16" s="0" t="n">
        <f aca="false">-I12</f>
        <v>1606.41762214726</v>
      </c>
      <c r="J16" s="0" t="n">
        <f aca="false">-J12</f>
        <v>1604.47044927193</v>
      </c>
      <c r="K16" s="0" t="n">
        <f aca="false">-K12</f>
        <v>1652.60456275009</v>
      </c>
      <c r="L16" s="0" t="n">
        <f aca="false">-L12</f>
        <v>1702.18269963259</v>
      </c>
    </row>
    <row r="17" customFormat="false" ht="15" hidden="false" customHeight="false" outlineLevel="0" collapsed="false">
      <c r="A17" s="0" t="s">
        <v>115</v>
      </c>
      <c r="C17" s="4" t="n">
        <f aca="false">-C6*Assumptions!C32/100</f>
        <v>-1380.6103</v>
      </c>
      <c r="D17" s="4" t="n">
        <f aca="false">-D6*Assumptions!D32/100</f>
        <v>-1386.423396</v>
      </c>
      <c r="E17" s="4" t="n">
        <f aca="false">-E6*Assumptions!E32/100</f>
        <v>-1428.7863331</v>
      </c>
      <c r="F17" s="4" t="n">
        <f aca="false">-F6*Assumptions!F32/100</f>
        <v>-1457.362059762</v>
      </c>
      <c r="G17" s="4" t="n">
        <f aca="false">-G6*Assumptions!G32/100</f>
        <v>-1530.2301627501</v>
      </c>
      <c r="H17" s="4" t="n">
        <f aca="false">-H6*Assumptions!H32/100</f>
        <v>-1544.63232898775</v>
      </c>
      <c r="I17" s="4" t="n">
        <f aca="false">-I6*Assumptions!I32/100</f>
        <v>-1606.41762214726</v>
      </c>
      <c r="J17" s="4" t="n">
        <f aca="false">-J6*Assumptions!J32/100</f>
        <v>-1604.47044927193</v>
      </c>
      <c r="K17" s="4" t="n">
        <f aca="false">-K6*Assumptions!K32/100</f>
        <v>-1652.60456275009</v>
      </c>
      <c r="L17" s="4" t="n">
        <f aca="false">-L6*Assumptions!L32/100</f>
        <v>-1702.18269963259</v>
      </c>
    </row>
    <row r="18" customFormat="false" ht="15" hidden="false" customHeight="false" outlineLevel="0" collapsed="false">
      <c r="A18" s="0" t="s">
        <v>116</v>
      </c>
      <c r="C18" s="4" t="n">
        <f aca="false">(C6-B6)*Assumptions!$B$37/100</f>
        <v>-47.5370000000001</v>
      </c>
      <c r="D18" s="4" t="n">
        <f aca="false">(D6-C6)*Assumptions!$B$37/100</f>
        <v>-43.59822</v>
      </c>
      <c r="E18" s="4" t="n">
        <f aca="false">(E6-D6)*Assumptions!$B$37/100</f>
        <v>-46.2141132000001</v>
      </c>
      <c r="F18" s="4" t="n">
        <f aca="false">(F6-E6)*Assumptions!$B$37/100</f>
        <v>-40.8224666600001</v>
      </c>
      <c r="G18" s="4" t="n">
        <f aca="false">(G6-F6)*Assumptions!$B$37/100</f>
        <v>-42.8635899930001</v>
      </c>
      <c r="H18" s="4" t="n">
        <f aca="false">(H6-G6)*Assumptions!$B$37/100</f>
        <v>-36.0054155941201</v>
      </c>
      <c r="I18" s="4" t="n">
        <f aca="false">(I6-H6)*Assumptions!$B$37/100</f>
        <v>-37.4456322178849</v>
      </c>
      <c r="J18" s="4" t="n">
        <f aca="false">(J6-I6)*Assumptions!$B$37/100</f>
        <v>-29.2075931299501</v>
      </c>
      <c r="K18" s="4" t="n">
        <f aca="false">(K6-J6)*Assumptions!$B$37/100</f>
        <v>-30.0838209238487</v>
      </c>
      <c r="L18" s="4" t="n">
        <f aca="false">(L6-K6)*Assumptions!$B$37/100</f>
        <v>-30.9863355515641</v>
      </c>
    </row>
    <row r="19" customFormat="false" ht="15" hidden="false" customHeight="false" outlineLevel="0" collapsed="false">
      <c r="A19" s="0" t="s">
        <v>117</v>
      </c>
      <c r="C19" s="0" t="n">
        <f aca="false">C15+C16+C17+C18</f>
        <v>563.4193896</v>
      </c>
      <c r="D19" s="0" t="n">
        <f aca="false">D15+D16+D17+D18</f>
        <v>752.05476226</v>
      </c>
      <c r="E19" s="0" t="n">
        <f aca="false">E15+E16+E17+E18</f>
        <v>872.29138665</v>
      </c>
      <c r="F19" s="0" t="n">
        <f aca="false">F15+F16+F17+F18</f>
        <v>1003.59176710944</v>
      </c>
      <c r="G19" s="0" t="n">
        <f aca="false">G15+G16+G17+G18</f>
        <v>1088.06651381831</v>
      </c>
      <c r="H19" s="0" t="n">
        <f aca="false">H15+H16+H17+H18</f>
        <v>1168.80780101632</v>
      </c>
      <c r="I19" s="0" t="n">
        <f aca="false">I15+I16+I17+I18</f>
        <v>1187.71554093976</v>
      </c>
      <c r="J19" s="0" t="n">
        <f aca="false">J15+J16+J17+J18</f>
        <v>1261.99000092163</v>
      </c>
      <c r="K19" s="0" t="n">
        <f aca="false">K15+K16+K17+K18</f>
        <v>1284.56310874385</v>
      </c>
      <c r="L19" s="0" t="n">
        <f aca="false">L15+L16+L17+L18</f>
        <v>1307.35481203456</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512.199445090909</v>
      </c>
      <c r="D21" s="0" t="n">
        <f aca="false">D19*D20</f>
        <v>621.532861371901</v>
      </c>
      <c r="E21" s="0" t="n">
        <f aca="false">E19*E20</f>
        <v>655.365429489106</v>
      </c>
      <c r="F21" s="0" t="n">
        <f aca="false">F19*F20</f>
        <v>685.466680629355</v>
      </c>
      <c r="G21" s="0" t="n">
        <f aca="false">G19*G20</f>
        <v>675.603699336427</v>
      </c>
      <c r="H21" s="0" t="n">
        <f aca="false">H19*H20</f>
        <v>659.761532917198</v>
      </c>
      <c r="I21" s="0" t="n">
        <f aca="false">I19*I20</f>
        <v>609.485871982012</v>
      </c>
      <c r="J21" s="0" t="n">
        <f aca="false">J19*J20</f>
        <v>588.72764918083</v>
      </c>
      <c r="K21" s="0" t="n">
        <f aca="false">K19*K20</f>
        <v>544.78015506742</v>
      </c>
      <c r="L21" s="0" t="n">
        <f aca="false">L19*L20</f>
        <v>504.041874683331</v>
      </c>
    </row>
    <row r="23" customFormat="false" ht="15" hidden="false" customHeight="false" outlineLevel="0" collapsed="false">
      <c r="A23" s="0" t="s">
        <v>95</v>
      </c>
      <c r="C23" s="4" t="n">
        <f aca="false">Assumptions!C30</f>
        <v>1.2</v>
      </c>
      <c r="D23" s="4" t="n">
        <f aca="false">Assumptions!D30</f>
        <v>1.2</v>
      </c>
      <c r="E23" s="4" t="n">
        <f aca="false">Assumptions!E30</f>
        <v>1.2</v>
      </c>
      <c r="F23" s="4" t="n">
        <f aca="false">Assumptions!F30</f>
        <v>1.2</v>
      </c>
      <c r="G23" s="4" t="n">
        <f aca="false">Assumptions!G30</f>
        <v>1.2</v>
      </c>
      <c r="H23" s="4" t="n">
        <f aca="false">Assumptions!H30</f>
        <v>1.2</v>
      </c>
      <c r="I23" s="4" t="n">
        <f aca="false">Assumptions!I30</f>
        <v>1.2</v>
      </c>
      <c r="J23" s="4" t="n">
        <f aca="false">Assumptions!J30</f>
        <v>1.2</v>
      </c>
      <c r="K23" s="4" t="n">
        <f aca="false">Assumptions!K30</f>
        <v>1.2</v>
      </c>
      <c r="L23" s="4" t="n">
        <f aca="false">Assumptions!L30</f>
        <v>1.2</v>
      </c>
    </row>
    <row r="24" customFormat="false" ht="15" hidden="false" customHeight="false" outlineLevel="0" collapsed="false">
      <c r="A24" s="0" t="s">
        <v>120</v>
      </c>
      <c r="C24" s="0" t="n">
        <f aca="false">-C6*C23/100</f>
        <v>-87.19644</v>
      </c>
      <c r="D24" s="0" t="n">
        <f aca="false">-D6*D23/100</f>
        <v>-92.4282264</v>
      </c>
      <c r="E24" s="0" t="n">
        <f aca="false">-E6*E23/100</f>
        <v>-97.973919984</v>
      </c>
      <c r="F24" s="0" t="n">
        <f aca="false">-F6*F23/100</f>
        <v>-102.8726159832</v>
      </c>
      <c r="G24" s="0" t="n">
        <f aca="false">-G6*G23/100</f>
        <v>-108.01624678236</v>
      </c>
      <c r="H24" s="0" t="n">
        <f aca="false">-H6*H23/100</f>
        <v>-112.336896653654</v>
      </c>
      <c r="I24" s="0" t="n">
        <f aca="false">-I6*I23/100</f>
        <v>-116.830372519801</v>
      </c>
      <c r="J24" s="0" t="n">
        <f aca="false">-J6*J23/100</f>
        <v>-120.335283695395</v>
      </c>
      <c r="K24" s="0" t="n">
        <f aca="false">-K6*K23/100</f>
        <v>-123.945342206257</v>
      </c>
      <c r="L24" s="0" t="n">
        <f aca="false">-L6*L23/100</f>
        <v>-127.663702472444</v>
      </c>
    </row>
    <row r="26" customFormat="false" ht="15" hidden="false" customHeight="false" outlineLevel="0" collapsed="false">
      <c r="A26" s="2" t="s">
        <v>121</v>
      </c>
    </row>
    <row r="27" customFormat="false" ht="15" hidden="false" customHeight="false" outlineLevel="0" collapsed="false">
      <c r="A27" s="0" t="s">
        <v>99</v>
      </c>
      <c r="B27" s="4" t="n">
        <f aca="false">Assumptions!$B$34</f>
        <v>10</v>
      </c>
    </row>
    <row r="28" customFormat="false" ht="15" hidden="false" customHeight="false" outlineLevel="0" collapsed="false">
      <c r="A28" s="0" t="s">
        <v>100</v>
      </c>
      <c r="B28" s="4" t="n">
        <f aca="false">Assumptions!$B$35</f>
        <v>2.5</v>
      </c>
    </row>
    <row r="29" customFormat="false" ht="15" hidden="false" customHeight="false" outlineLevel="0" collapsed="false">
      <c r="A29" s="0" t="s">
        <v>101</v>
      </c>
      <c r="B29" s="4" t="n">
        <f aca="false">Assumptions!$B$36</f>
        <v>15</v>
      </c>
    </row>
    <row r="30" customFormat="false" ht="15" hidden="false" customHeight="false" outlineLevel="0" collapsed="false">
      <c r="A30" s="0" t="s">
        <v>122</v>
      </c>
      <c r="B30" s="0" t="n">
        <f aca="false">SUM(C21:L21)</f>
        <v>6056.96519974849</v>
      </c>
    </row>
    <row r="31" customFormat="false" ht="15" hidden="false" customHeight="false" outlineLevel="0" collapsed="false">
      <c r="A31" s="0" t="s">
        <v>123</v>
      </c>
      <c r="B31" s="0" t="n">
        <f aca="false">L19</f>
        <v>1307.35481203456</v>
      </c>
    </row>
    <row r="32" customFormat="false" ht="15" hidden="false" customHeight="false" outlineLevel="0" collapsed="false">
      <c r="A32" s="0" t="s">
        <v>124</v>
      </c>
      <c r="B32" s="0" t="n">
        <f aca="false">IF(B27&gt;B28,B31*(1+B28/100)/((B27-B28)/100),B31*B29)</f>
        <v>17867.182431139</v>
      </c>
    </row>
    <row r="33" customFormat="false" ht="15" hidden="false" customHeight="false" outlineLevel="0" collapsed="false">
      <c r="A33" s="0" t="s">
        <v>125</v>
      </c>
      <c r="B33" s="0" t="n">
        <f aca="false">B31*B29</f>
        <v>19610.3221805184</v>
      </c>
    </row>
    <row r="34" customFormat="false" ht="15" hidden="false" customHeight="false" outlineLevel="0" collapsed="false">
      <c r="A34" s="0" t="s">
        <v>126</v>
      </c>
      <c r="B34" s="0" t="n">
        <f aca="false">MAX(0,MIN(B32,B33))</f>
        <v>17867.182431139</v>
      </c>
    </row>
    <row r="35" customFormat="false" ht="15" hidden="false" customHeight="false" outlineLevel="0" collapsed="false">
      <c r="A35" s="0" t="s">
        <v>127</v>
      </c>
      <c r="B35" s="0" t="n">
        <f aca="false">B34/(1+B27/100)^L4</f>
        <v>6888.57228733885</v>
      </c>
    </row>
    <row r="36" customFormat="false" ht="15" hidden="false" customHeight="false" outlineLevel="0" collapsed="false">
      <c r="A36" s="0" t="s">
        <v>128</v>
      </c>
      <c r="B36" s="0" t="n">
        <f aca="false">B30+B35</f>
        <v>12945.5374870873</v>
      </c>
    </row>
    <row r="37" customFormat="false" ht="15" hidden="false" customHeight="false" outlineLevel="0" collapsed="false">
      <c r="A37" s="0" t="s">
        <v>129</v>
      </c>
      <c r="B37" s="0" t="n">
        <f aca="false">B36+Assumptions!$B$5-Assumptions!$B$4</f>
        <v>14170.5374870873</v>
      </c>
    </row>
    <row r="38" customFormat="false" ht="15" hidden="false" customHeight="false" outlineLevel="0" collapsed="false">
      <c r="A38" s="0" t="s">
        <v>130</v>
      </c>
      <c r="B38" s="0" t="n">
        <f aca="false">B37/Assumptions!$B$3*Assumptions!$B$10</f>
        <v>25.4865782141859</v>
      </c>
    </row>
    <row r="39" customFormat="false" ht="15" hidden="false" customHeight="false" outlineLevel="0" collapsed="false">
      <c r="A39" s="0" t="s">
        <v>131</v>
      </c>
      <c r="B39" s="4" t="n">
        <f aca="false">B38/Assumptions!$B$2-1</f>
        <v>-0.479865750730901</v>
      </c>
    </row>
    <row r="41" customFormat="false" ht="15" hidden="false" customHeight="false" outlineLevel="0" collapsed="false">
      <c r="A41" s="0" t="s">
        <v>132</v>
      </c>
      <c r="B41" s="0" t="n">
        <f aca="false">SUMPRODUCT(-C10:L10/(1+$B$27/100)^C4:L4)</f>
        <v>1713.90451762957</v>
      </c>
    </row>
    <row r="42" customFormat="false" ht="15" hidden="false" customHeight="false" outlineLevel="0" collapsed="false">
      <c r="A42" s="0" t="s">
        <v>133</v>
      </c>
      <c r="B42" s="0" t="n">
        <f aca="false">IF(B27&gt;B28,-L10*(1+B28/100)/((B27-B28)/100),-L10*20)/(1+B27/100)^L4</f>
        <v>1681.67936289262</v>
      </c>
    </row>
    <row r="43" customFormat="false" ht="15" hidden="false" customHeight="false" outlineLevel="0" collapsed="false">
      <c r="A43" s="0" t="s">
        <v>134</v>
      </c>
      <c r="B43" s="0" t="n">
        <f aca="false">(B37+B41+B42)/Assumptions!$B$3*Assumptions!$B$10</f>
        <v>31.5937434669236</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10720.3094586834</v>
      </c>
    </row>
    <row r="47" customFormat="false" ht="15" hidden="false" customHeight="false" outlineLevel="0" collapsed="false">
      <c r="A47" s="0" t="s">
        <v>136</v>
      </c>
      <c r="B47" s="0" t="n">
        <f aca="false">(SUMPRODUCT(C19:L19/(1+B45/100)^C4:L4)+B46/(1+B45/100)^L4+Assumptions!$B$5-Assumptions!$B$4)/Assumptions!$B$3*Assumptions!$B$10</f>
        <v>15.6015717093585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Assumptions!C41</f>
        <v>8</v>
      </c>
      <c r="D5" s="4" t="n">
        <f aca="false">Assumptions!D41</f>
        <v>10</v>
      </c>
      <c r="E5" s="4" t="n">
        <f aca="false">Assumptions!E41</f>
        <v>10</v>
      </c>
      <c r="F5" s="4" t="n">
        <f aca="false">Assumptions!F41</f>
        <v>8</v>
      </c>
      <c r="G5" s="4" t="n">
        <f aca="false">Assumptions!G41</f>
        <v>7</v>
      </c>
      <c r="H5" s="4" t="n">
        <f aca="false">Assumptions!H41</f>
        <v>6</v>
      </c>
      <c r="I5" s="4" t="n">
        <f aca="false">Assumptions!I41</f>
        <v>5</v>
      </c>
      <c r="J5" s="4" t="n">
        <f aca="false">Assumptions!J41</f>
        <v>4</v>
      </c>
      <c r="K5" s="4" t="n">
        <f aca="false">Assumptions!K41</f>
        <v>4</v>
      </c>
      <c r="L5" s="4" t="n">
        <f aca="false">Assumptions!L41</f>
        <v>3</v>
      </c>
    </row>
    <row r="6" customFormat="false" ht="15" hidden="false" customHeight="false" outlineLevel="0" collapsed="false">
      <c r="A6" s="0" t="s">
        <v>37</v>
      </c>
      <c r="B6" s="3" t="n">
        <v>6791</v>
      </c>
      <c r="C6" s="0" t="n">
        <f aca="false">B6*(1+C5/100)</f>
        <v>7334.28</v>
      </c>
      <c r="D6" s="0" t="n">
        <f aca="false">C6*(1+D5/100)</f>
        <v>8067.708</v>
      </c>
      <c r="E6" s="0" t="n">
        <f aca="false">D6*(1+E5/100)</f>
        <v>8874.4788</v>
      </c>
      <c r="F6" s="0" t="n">
        <f aca="false">E6*(1+F5/100)</f>
        <v>9584.437104</v>
      </c>
      <c r="G6" s="0" t="n">
        <f aca="false">F6*(1+G5/100)</f>
        <v>10255.34770128</v>
      </c>
      <c r="H6" s="0" t="n">
        <f aca="false">G6*(1+H5/100)</f>
        <v>10870.6685633568</v>
      </c>
      <c r="I6" s="0" t="n">
        <f aca="false">H6*(1+I5/100)</f>
        <v>11414.2019915246</v>
      </c>
      <c r="J6" s="0" t="n">
        <f aca="false">I6*(1+J5/100)</f>
        <v>11870.7700711856</v>
      </c>
      <c r="K6" s="0" t="n">
        <f aca="false">J6*(1+K5/100)</f>
        <v>12345.6008740331</v>
      </c>
      <c r="L6" s="0" t="n">
        <f aca="false">K6*(1+L5/100)</f>
        <v>12715.9689002541</v>
      </c>
    </row>
    <row r="7" customFormat="false" ht="15" hidden="false" customHeight="false" outlineLevel="0" collapsed="false">
      <c r="A7" s="0" t="s">
        <v>93</v>
      </c>
      <c r="C7" s="4" t="n">
        <f aca="false">Assumptions!C42</f>
        <v>33</v>
      </c>
      <c r="D7" s="4" t="n">
        <f aca="false">Assumptions!D42</f>
        <v>35</v>
      </c>
      <c r="E7" s="4" t="n">
        <f aca="false">Assumptions!E42</f>
        <v>36.5</v>
      </c>
      <c r="F7" s="4" t="n">
        <f aca="false">Assumptions!F42</f>
        <v>37.5</v>
      </c>
      <c r="G7" s="4" t="n">
        <f aca="false">Assumptions!G42</f>
        <v>38</v>
      </c>
      <c r="H7" s="4" t="n">
        <f aca="false">Assumptions!H42</f>
        <v>38</v>
      </c>
      <c r="I7" s="4" t="n">
        <f aca="false">Assumptions!I42</f>
        <v>38</v>
      </c>
      <c r="J7" s="4" t="n">
        <f aca="false">Assumptions!J42</f>
        <v>38</v>
      </c>
      <c r="K7" s="4" t="n">
        <f aca="false">Assumptions!K42</f>
        <v>38</v>
      </c>
      <c r="L7" s="4" t="n">
        <f aca="false">Assumptions!L42</f>
        <v>38</v>
      </c>
    </row>
    <row r="8" customFormat="false" ht="15" hidden="false" customHeight="false" outlineLevel="0" collapsed="false">
      <c r="A8" s="0" t="s">
        <v>43</v>
      </c>
      <c r="C8" s="0" t="n">
        <f aca="false">C6*C7/100</f>
        <v>2420.3124</v>
      </c>
      <c r="D8" s="0" t="n">
        <f aca="false">D6*D7/100</f>
        <v>2823.6978</v>
      </c>
      <c r="E8" s="0" t="n">
        <f aca="false">E6*E7/100</f>
        <v>3239.184762</v>
      </c>
      <c r="F8" s="0" t="n">
        <f aca="false">F6*F7/100</f>
        <v>3594.163914</v>
      </c>
      <c r="G8" s="0" t="n">
        <f aca="false">G6*G7/100</f>
        <v>3897.0321264864</v>
      </c>
      <c r="H8" s="0" t="n">
        <f aca="false">H6*H7/100</f>
        <v>4130.85405407559</v>
      </c>
      <c r="I8" s="0" t="n">
        <f aca="false">I6*I7/100</f>
        <v>4337.39675677937</v>
      </c>
      <c r="J8" s="0" t="n">
        <f aca="false">J6*J7/100</f>
        <v>4510.89262705054</v>
      </c>
      <c r="K8" s="0" t="n">
        <f aca="false">K6*K7/100</f>
        <v>4691.32833213256</v>
      </c>
      <c r="L8" s="0" t="n">
        <f aca="false">L6*L7/100</f>
        <v>4832.06818209654</v>
      </c>
    </row>
    <row r="9" customFormat="false" ht="15" hidden="false" customHeight="false" outlineLevel="0" collapsed="false">
      <c r="A9" s="0" t="s">
        <v>94</v>
      </c>
      <c r="C9" s="4" t="n">
        <f aca="false">Assumptions!C43</f>
        <v>3.5</v>
      </c>
      <c r="D9" s="4" t="n">
        <f aca="false">Assumptions!D43</f>
        <v>3.3</v>
      </c>
      <c r="E9" s="4" t="n">
        <f aca="false">Assumptions!E43</f>
        <v>3.1</v>
      </c>
      <c r="F9" s="4" t="n">
        <f aca="false">Assumptions!F43</f>
        <v>3</v>
      </c>
      <c r="G9" s="4" t="n">
        <f aca="false">Assumptions!G43</f>
        <v>2.9</v>
      </c>
      <c r="H9" s="4" t="n">
        <f aca="false">Assumptions!H43</f>
        <v>2.8</v>
      </c>
      <c r="I9" s="4" t="n">
        <f aca="false">Assumptions!I43</f>
        <v>2.8</v>
      </c>
      <c r="J9" s="4" t="n">
        <f aca="false">Assumptions!J43</f>
        <v>2.8</v>
      </c>
      <c r="K9" s="4" t="n">
        <f aca="false">Assumptions!K43</f>
        <v>2.8</v>
      </c>
      <c r="L9" s="4" t="n">
        <f aca="false">Assumptions!L43</f>
        <v>2.8</v>
      </c>
    </row>
    <row r="10" customFormat="false" ht="15" hidden="false" customHeight="false" outlineLevel="0" collapsed="false">
      <c r="A10" s="0" t="s">
        <v>109</v>
      </c>
      <c r="C10" s="0" t="n">
        <f aca="false">-C6*C9/100</f>
        <v>-256.6998</v>
      </c>
      <c r="D10" s="0" t="n">
        <f aca="false">-D6*D9/100</f>
        <v>-266.234364</v>
      </c>
      <c r="E10" s="0" t="n">
        <f aca="false">-E6*E9/100</f>
        <v>-275.1088428</v>
      </c>
      <c r="F10" s="0" t="n">
        <f aca="false">-F6*F9/100</f>
        <v>-287.53311312</v>
      </c>
      <c r="G10" s="0" t="n">
        <f aca="false">-G6*G9/100</f>
        <v>-297.40508333712</v>
      </c>
      <c r="H10" s="0" t="n">
        <f aca="false">-H6*H9/100</f>
        <v>-304.378719773991</v>
      </c>
      <c r="I10" s="0" t="n">
        <f aca="false">-I6*I9/100</f>
        <v>-319.59765576269</v>
      </c>
      <c r="J10" s="0" t="n">
        <f aca="false">-J6*J9/100</f>
        <v>-332.381561993198</v>
      </c>
      <c r="K10" s="0" t="n">
        <f aca="false">-K6*K9/100</f>
        <v>-345.676824472926</v>
      </c>
      <c r="L10" s="0" t="n">
        <f aca="false">-L6*L9/100</f>
        <v>-356.047129207113</v>
      </c>
    </row>
    <row r="11" customFormat="false" ht="15" hidden="false" customHeight="false" outlineLevel="0" collapsed="false">
      <c r="A11" s="0" t="s">
        <v>110</v>
      </c>
      <c r="C11" s="0" t="n">
        <f aca="false">C8+C10+C24</f>
        <v>2075.60124</v>
      </c>
      <c r="D11" s="0" t="n">
        <f aca="false">D8+D10+D24</f>
        <v>2460.65094</v>
      </c>
      <c r="E11" s="0" t="n">
        <f aca="false">E8+E10+E24</f>
        <v>2857.5821736</v>
      </c>
      <c r="F11" s="0" t="n">
        <f aca="false">F8+F10+F24</f>
        <v>3191.617555632</v>
      </c>
      <c r="G11" s="0" t="n">
        <f aca="false">G8+G10+G24</f>
        <v>3476.56287073392</v>
      </c>
      <c r="H11" s="0" t="n">
        <f aca="false">H8+H10+H24</f>
        <v>3696.02731154131</v>
      </c>
      <c r="I11" s="0" t="n">
        <f aca="false">I8+I10+I24</f>
        <v>3880.82867711838</v>
      </c>
      <c r="J11" s="0" t="n">
        <f aca="false">J8+J10+J24</f>
        <v>4036.06182420312</v>
      </c>
      <c r="K11" s="0" t="n">
        <f aca="false">K8+K10+K24</f>
        <v>4197.50429717124</v>
      </c>
      <c r="L11" s="0" t="n">
        <f aca="false">L8+L10+L24</f>
        <v>4323.42942608638</v>
      </c>
    </row>
    <row r="12" customFormat="false" ht="15" hidden="false" customHeight="false" outlineLevel="0" collapsed="false">
      <c r="A12" s="0" t="s">
        <v>111</v>
      </c>
      <c r="C12" s="4" t="n">
        <f aca="false">-C6*Assumptions!C45/100</f>
        <v>-1320.1704</v>
      </c>
      <c r="D12" s="4" t="n">
        <f aca="false">-D6*Assumptions!D45/100</f>
        <v>-1371.51036</v>
      </c>
      <c r="E12" s="4" t="n">
        <f aca="false">-E6*Assumptions!E45/100</f>
        <v>-1464.289002</v>
      </c>
      <c r="F12" s="4" t="n">
        <f aca="false">-F6*Assumptions!F45/100</f>
        <v>-1533.50993664</v>
      </c>
      <c r="G12" s="4" t="n">
        <f aca="false">-G6*Assumptions!G45/100</f>
        <v>-1640.8556322048</v>
      </c>
      <c r="H12" s="4" t="n">
        <f aca="false">-H6*Assumptions!H45/100</f>
        <v>-1684.9536273203</v>
      </c>
      <c r="I12" s="4" t="n">
        <f aca="false">-I6*Assumptions!I45/100</f>
        <v>-1769.20130868632</v>
      </c>
      <c r="J12" s="4" t="n">
        <f aca="false">-J6*Assumptions!J45/100</f>
        <v>-1839.96936103377</v>
      </c>
      <c r="K12" s="4" t="n">
        <f aca="false">-K6*Assumptions!K45/100</f>
        <v>-1913.56813547512</v>
      </c>
      <c r="L12" s="4" t="n">
        <f aca="false">-L6*Assumptions!L45/100</f>
        <v>-1970.97517953938</v>
      </c>
    </row>
    <row r="13" customFormat="false" ht="15" hidden="false" customHeight="false" outlineLevel="0" collapsed="false">
      <c r="A13" s="0" t="s">
        <v>112</v>
      </c>
      <c r="C13" s="0" t="n">
        <f aca="false">C11+C12</f>
        <v>755.43084</v>
      </c>
      <c r="D13" s="0" t="n">
        <f aca="false">D11+D12</f>
        <v>1089.14058</v>
      </c>
      <c r="E13" s="0" t="n">
        <f aca="false">E11+E12</f>
        <v>1393.2931716</v>
      </c>
      <c r="F13" s="0" t="n">
        <f aca="false">F11+F12</f>
        <v>1658.107618992</v>
      </c>
      <c r="G13" s="0" t="n">
        <f aca="false">G11+G12</f>
        <v>1835.70723852912</v>
      </c>
      <c r="H13" s="0" t="n">
        <f aca="false">H11+H12</f>
        <v>2011.07368422101</v>
      </c>
      <c r="I13" s="0" t="n">
        <f aca="false">I11+I12</f>
        <v>2111.62736843206</v>
      </c>
      <c r="J13" s="0" t="n">
        <f aca="false">J11+J12</f>
        <v>2196.09246316934</v>
      </c>
      <c r="K13" s="0" t="n">
        <f aca="false">K11+K12</f>
        <v>2283.93616169612</v>
      </c>
      <c r="L13" s="0" t="n">
        <f aca="false">L11+L12</f>
        <v>2352.454246547</v>
      </c>
    </row>
    <row r="14" customFormat="false" ht="15" hidden="false" customHeight="false" outlineLevel="0" collapsed="false">
      <c r="A14" s="0" t="s">
        <v>98</v>
      </c>
      <c r="C14" s="4" t="n">
        <f aca="false">Assumptions!C47</f>
        <v>3</v>
      </c>
      <c r="D14" s="4" t="n">
        <f aca="false">Assumptions!D47</f>
        <v>4</v>
      </c>
      <c r="E14" s="4" t="n">
        <f aca="false">Assumptions!E47</f>
        <v>5</v>
      </c>
      <c r="F14" s="4" t="n">
        <f aca="false">Assumptions!F47</f>
        <v>6</v>
      </c>
      <c r="G14" s="4" t="n">
        <f aca="false">Assumptions!G47</f>
        <v>7</v>
      </c>
      <c r="H14" s="4" t="n">
        <f aca="false">Assumptions!H47</f>
        <v>8</v>
      </c>
      <c r="I14" s="4" t="n">
        <f aca="false">Assumptions!I47</f>
        <v>10</v>
      </c>
      <c r="J14" s="4" t="n">
        <f aca="false">Assumptions!J47</f>
        <v>11</v>
      </c>
      <c r="K14" s="4" t="n">
        <f aca="false">Assumptions!K47</f>
        <v>12</v>
      </c>
      <c r="L14" s="4" t="n">
        <f aca="false">Assumptions!L47</f>
        <v>12</v>
      </c>
    </row>
    <row r="15" customFormat="false" ht="15" hidden="false" customHeight="false" outlineLevel="0" collapsed="false">
      <c r="A15" s="0" t="s">
        <v>113</v>
      </c>
      <c r="C15" s="0" t="n">
        <f aca="false">C13-MAX(0,C13)*C14/100</f>
        <v>732.7679148</v>
      </c>
      <c r="D15" s="0" t="n">
        <f aca="false">D13-MAX(0,D13)*D14/100</f>
        <v>1045.5749568</v>
      </c>
      <c r="E15" s="0" t="n">
        <f aca="false">E13-MAX(0,E13)*E14/100</f>
        <v>1323.62851302</v>
      </c>
      <c r="F15" s="0" t="n">
        <f aca="false">F13-MAX(0,F13)*F14/100</f>
        <v>1558.62116185248</v>
      </c>
      <c r="G15" s="0" t="n">
        <f aca="false">G13-MAX(0,G13)*G14/100</f>
        <v>1707.20773183208</v>
      </c>
      <c r="H15" s="0" t="n">
        <f aca="false">H13-MAX(0,H13)*H14/100</f>
        <v>1850.18778948333</v>
      </c>
      <c r="I15" s="0" t="n">
        <f aca="false">I13-MAX(0,I13)*I14/100</f>
        <v>1900.46463158885</v>
      </c>
      <c r="J15" s="0" t="n">
        <f aca="false">J13-MAX(0,J13)*J14/100</f>
        <v>1954.52229222071</v>
      </c>
      <c r="K15" s="0" t="n">
        <f aca="false">K13-MAX(0,K13)*K14/100</f>
        <v>2009.86382229258</v>
      </c>
      <c r="L15" s="0" t="n">
        <f aca="false">L13-MAX(0,L13)*L14/100</f>
        <v>2070.15973696136</v>
      </c>
    </row>
    <row r="16" customFormat="false" ht="15" hidden="false" customHeight="false" outlineLevel="0" collapsed="false">
      <c r="A16" s="0" t="s">
        <v>114</v>
      </c>
      <c r="C16" s="0" t="n">
        <f aca="false">-C12</f>
        <v>1320.1704</v>
      </c>
      <c r="D16" s="0" t="n">
        <f aca="false">-D12</f>
        <v>1371.51036</v>
      </c>
      <c r="E16" s="0" t="n">
        <f aca="false">-E12</f>
        <v>1464.289002</v>
      </c>
      <c r="F16" s="0" t="n">
        <f aca="false">-F12</f>
        <v>1533.50993664</v>
      </c>
      <c r="G16" s="0" t="n">
        <f aca="false">-G12</f>
        <v>1640.8556322048</v>
      </c>
      <c r="H16" s="0" t="n">
        <f aca="false">-H12</f>
        <v>1684.9536273203</v>
      </c>
      <c r="I16" s="0" t="n">
        <f aca="false">-I12</f>
        <v>1769.20130868632</v>
      </c>
      <c r="J16" s="0" t="n">
        <f aca="false">-J12</f>
        <v>1839.96936103377</v>
      </c>
      <c r="K16" s="0" t="n">
        <f aca="false">-K12</f>
        <v>1913.56813547512</v>
      </c>
      <c r="L16" s="0" t="n">
        <f aca="false">-L12</f>
        <v>1970.97517953938</v>
      </c>
    </row>
    <row r="17" customFormat="false" ht="15" hidden="false" customHeight="false" outlineLevel="0" collapsed="false">
      <c r="A17" s="0" t="s">
        <v>115</v>
      </c>
      <c r="C17" s="4" t="n">
        <f aca="false">-C6*Assumptions!C46/100</f>
        <v>-1393.5132</v>
      </c>
      <c r="D17" s="4" t="n">
        <f aca="false">-D6*Assumptions!D46/100</f>
        <v>-1371.51036</v>
      </c>
      <c r="E17" s="4" t="n">
        <f aca="false">-E6*Assumptions!E46/100</f>
        <v>-1419.916608</v>
      </c>
      <c r="F17" s="4" t="n">
        <f aca="false">-F6*Assumptions!F46/100</f>
        <v>-1485.58775112</v>
      </c>
      <c r="G17" s="4" t="n">
        <f aca="false">-G6*Assumptions!G46/100</f>
        <v>-1538.302155192</v>
      </c>
      <c r="H17" s="4" t="n">
        <f aca="false">-H6*Assumptions!H46/100</f>
        <v>-1630.60028450352</v>
      </c>
      <c r="I17" s="4" t="n">
        <f aca="false">-I6*Assumptions!I46/100</f>
        <v>-1712.1302987287</v>
      </c>
      <c r="J17" s="4" t="n">
        <f aca="false">-J6*Assumptions!J46/100</f>
        <v>-1780.61551067785</v>
      </c>
      <c r="K17" s="4" t="n">
        <f aca="false">-K6*Assumptions!K46/100</f>
        <v>-1851.84013110496</v>
      </c>
      <c r="L17" s="4" t="n">
        <f aca="false">-L6*Assumptions!L46/100</f>
        <v>-1907.39533503811</v>
      </c>
    </row>
    <row r="18" customFormat="false" ht="15" hidden="false" customHeight="false" outlineLevel="0" collapsed="false">
      <c r="A18" s="0" t="s">
        <v>116</v>
      </c>
      <c r="C18" s="4" t="n">
        <f aca="false">(C6-B6)*Assumptions!$B$51/100</f>
        <v>-54.3280000000001</v>
      </c>
      <c r="D18" s="4" t="n">
        <f aca="false">(D6-C6)*Assumptions!$B$51/100</f>
        <v>-73.3428000000001</v>
      </c>
      <c r="E18" s="4" t="n">
        <f aca="false">(E6-D6)*Assumptions!$B$51/100</f>
        <v>-80.6770800000001</v>
      </c>
      <c r="F18" s="4" t="n">
        <f aca="false">(F6-E6)*Assumptions!$B$51/100</f>
        <v>-70.9958304000002</v>
      </c>
      <c r="G18" s="4" t="n">
        <f aca="false">(G6-F6)*Assumptions!$B$51/100</f>
        <v>-67.0910597280001</v>
      </c>
      <c r="H18" s="4" t="n">
        <f aca="false">(H6-G6)*Assumptions!$B$51/100</f>
        <v>-61.53208620768</v>
      </c>
      <c r="I18" s="4" t="n">
        <f aca="false">(I6-H6)*Assumptions!$B$51/100</f>
        <v>-54.3533428167841</v>
      </c>
      <c r="J18" s="4" t="n">
        <f aca="false">(J6-I6)*Assumptions!$B$51/100</f>
        <v>-45.6568079660987</v>
      </c>
      <c r="K18" s="4" t="n">
        <f aca="false">(K6-J6)*Assumptions!$B$51/100</f>
        <v>-47.4830802847426</v>
      </c>
      <c r="L18" s="4" t="n">
        <f aca="false">(L6-K6)*Assumptions!$B$51/100</f>
        <v>-37.0368026220993</v>
      </c>
    </row>
    <row r="19" customFormat="false" ht="15" hidden="false" customHeight="false" outlineLevel="0" collapsed="false">
      <c r="A19" s="0" t="s">
        <v>117</v>
      </c>
      <c r="C19" s="0" t="n">
        <f aca="false">C15+C16+C17+C18</f>
        <v>605.0971148</v>
      </c>
      <c r="D19" s="0" t="n">
        <f aca="false">D15+D16+D17+D18</f>
        <v>972.2321568</v>
      </c>
      <c r="E19" s="0" t="n">
        <f aca="false">E15+E16+E17+E18</f>
        <v>1287.32382702</v>
      </c>
      <c r="F19" s="0" t="n">
        <f aca="false">F15+F16+F17+F18</f>
        <v>1535.54751697248</v>
      </c>
      <c r="G19" s="0" t="n">
        <f aca="false">G15+G16+G17+G18</f>
        <v>1742.67014911688</v>
      </c>
      <c r="H19" s="0" t="n">
        <f aca="false">H15+H16+H17+H18</f>
        <v>1843.00904609243</v>
      </c>
      <c r="I19" s="0" t="n">
        <f aca="false">I15+I16+I17+I18</f>
        <v>1903.18229872969</v>
      </c>
      <c r="J19" s="0" t="n">
        <f aca="false">J15+J16+J17+J18</f>
        <v>1968.21933461054</v>
      </c>
      <c r="K19" s="0" t="n">
        <f aca="false">K15+K16+K17+K18</f>
        <v>2024.108746378</v>
      </c>
      <c r="L19" s="0" t="n">
        <f aca="false">L15+L16+L17+L18</f>
        <v>2096.70277884053</v>
      </c>
    </row>
    <row r="20" customFormat="false" ht="15" hidden="false" customHeight="false" outlineLevel="0" collapsed="false">
      <c r="A20" s="0" t="s">
        <v>118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119</v>
      </c>
      <c r="C21" s="0" t="n">
        <f aca="false">C19*C20</f>
        <v>550.088286181819</v>
      </c>
      <c r="D21" s="0" t="n">
        <f aca="false">D19*D20</f>
        <v>803.497650247934</v>
      </c>
      <c r="E21" s="0" t="n">
        <f aca="false">E19*E20</f>
        <v>967.185444793388</v>
      </c>
      <c r="F21" s="0" t="n">
        <f aca="false">F19*F20</f>
        <v>1048.79961544463</v>
      </c>
      <c r="G21" s="0" t="n">
        <f aca="false">G19*G20</f>
        <v>1082.06105464535</v>
      </c>
      <c r="H21" s="0" t="n">
        <f aca="false">H19*H20</f>
        <v>1040.33055937246</v>
      </c>
      <c r="I21" s="0" t="n">
        <f aca="false">I19*I20</f>
        <v>976.633447066119</v>
      </c>
      <c r="J21" s="0" t="n">
        <f aca="false">J19*J20</f>
        <v>918.188845467309</v>
      </c>
      <c r="K21" s="0" t="n">
        <f aca="false">K19*K20</f>
        <v>858.419698665827</v>
      </c>
      <c r="L21" s="0" t="n">
        <f aca="false">L19*L20</f>
        <v>808.369686310218</v>
      </c>
    </row>
    <row r="23" customFormat="false" ht="15" hidden="false" customHeight="false" outlineLevel="0" collapsed="false">
      <c r="A23" s="0" t="s">
        <v>95</v>
      </c>
      <c r="C23" s="4" t="n">
        <f aca="false">Assumptions!C44</f>
        <v>1.2</v>
      </c>
      <c r="D23" s="4" t="n">
        <f aca="false">Assumptions!D44</f>
        <v>1.2</v>
      </c>
      <c r="E23" s="4" t="n">
        <f aca="false">Assumptions!E44</f>
        <v>1.2</v>
      </c>
      <c r="F23" s="4" t="n">
        <f aca="false">Assumptions!F44</f>
        <v>1.2</v>
      </c>
      <c r="G23" s="4" t="n">
        <f aca="false">Assumptions!G44</f>
        <v>1.2</v>
      </c>
      <c r="H23" s="4" t="n">
        <f aca="false">Assumptions!H44</f>
        <v>1.2</v>
      </c>
      <c r="I23" s="4" t="n">
        <f aca="false">Assumptions!I44</f>
        <v>1.2</v>
      </c>
      <c r="J23" s="4" t="n">
        <f aca="false">Assumptions!J44</f>
        <v>1.2</v>
      </c>
      <c r="K23" s="4" t="n">
        <f aca="false">Assumptions!K44</f>
        <v>1.2</v>
      </c>
      <c r="L23" s="4" t="n">
        <f aca="false">Assumptions!L44</f>
        <v>1.2</v>
      </c>
    </row>
    <row r="24" customFormat="false" ht="15" hidden="false" customHeight="false" outlineLevel="0" collapsed="false">
      <c r="A24" s="0" t="s">
        <v>120</v>
      </c>
      <c r="C24" s="0" t="n">
        <f aca="false">-C6*C23/100</f>
        <v>-88.01136</v>
      </c>
      <c r="D24" s="0" t="n">
        <f aca="false">-D6*D23/100</f>
        <v>-96.812496</v>
      </c>
      <c r="E24" s="0" t="n">
        <f aca="false">-E6*E23/100</f>
        <v>-106.4937456</v>
      </c>
      <c r="F24" s="0" t="n">
        <f aca="false">-F6*F23/100</f>
        <v>-115.013245248</v>
      </c>
      <c r="G24" s="0" t="n">
        <f aca="false">-G6*G23/100</f>
        <v>-123.06417241536</v>
      </c>
      <c r="H24" s="0" t="n">
        <f aca="false">-H6*H23/100</f>
        <v>-130.448022760282</v>
      </c>
      <c r="I24" s="0" t="n">
        <f aca="false">-I6*I23/100</f>
        <v>-136.970423898296</v>
      </c>
      <c r="J24" s="0" t="n">
        <f aca="false">-J6*J23/100</f>
        <v>-142.449240854228</v>
      </c>
      <c r="K24" s="0" t="n">
        <f aca="false">-K6*K23/100</f>
        <v>-148.147210488397</v>
      </c>
      <c r="L24" s="0" t="n">
        <f aca="false">-L6*L23/100</f>
        <v>-152.591626803049</v>
      </c>
    </row>
    <row r="26" customFormat="false" ht="15" hidden="false" customHeight="false" outlineLevel="0" collapsed="false">
      <c r="A26" s="2" t="s">
        <v>121</v>
      </c>
    </row>
    <row r="27" customFormat="false" ht="15" hidden="false" customHeight="false" outlineLevel="0" collapsed="false">
      <c r="A27" s="0" t="s">
        <v>99</v>
      </c>
      <c r="B27" s="4" t="n">
        <f aca="false">Assumptions!$B$48</f>
        <v>10</v>
      </c>
    </row>
    <row r="28" customFormat="false" ht="15" hidden="false" customHeight="false" outlineLevel="0" collapsed="false">
      <c r="A28" s="0" t="s">
        <v>100</v>
      </c>
      <c r="B28" s="4" t="n">
        <f aca="false">Assumptions!$B$49</f>
        <v>3</v>
      </c>
    </row>
    <row r="29" customFormat="false" ht="15" hidden="false" customHeight="false" outlineLevel="0" collapsed="false">
      <c r="A29" s="0" t="s">
        <v>101</v>
      </c>
      <c r="B29" s="4" t="n">
        <f aca="false">Assumptions!$B$50</f>
        <v>16</v>
      </c>
    </row>
    <row r="30" customFormat="false" ht="15" hidden="false" customHeight="false" outlineLevel="0" collapsed="false">
      <c r="A30" s="0" t="s">
        <v>122</v>
      </c>
      <c r="B30" s="0" t="n">
        <f aca="false">SUM(C21:L21)</f>
        <v>9053.57428819505</v>
      </c>
    </row>
    <row r="31" customFormat="false" ht="15" hidden="false" customHeight="false" outlineLevel="0" collapsed="false">
      <c r="A31" s="0" t="s">
        <v>123</v>
      </c>
      <c r="B31" s="0" t="n">
        <f aca="false">L19</f>
        <v>2096.70277884053</v>
      </c>
    </row>
    <row r="32" customFormat="false" ht="15" hidden="false" customHeight="false" outlineLevel="0" collapsed="false">
      <c r="A32" s="0" t="s">
        <v>124</v>
      </c>
      <c r="B32" s="0" t="n">
        <f aca="false">IF(B27&gt;B28,B31*(1+B28/100)/((B27-B28)/100),B31*B29)</f>
        <v>30851.4837457964</v>
      </c>
    </row>
    <row r="33" customFormat="false" ht="15" hidden="false" customHeight="false" outlineLevel="0" collapsed="false">
      <c r="A33" s="0" t="s">
        <v>125</v>
      </c>
      <c r="B33" s="0" t="n">
        <f aca="false">B31*B29</f>
        <v>33547.2444614485</v>
      </c>
    </row>
    <row r="34" customFormat="false" ht="15" hidden="false" customHeight="false" outlineLevel="0" collapsed="false">
      <c r="A34" s="0" t="s">
        <v>126</v>
      </c>
      <c r="B34" s="0" t="n">
        <f aca="false">MAX(0,MIN(B32,B33))</f>
        <v>30851.4837457964</v>
      </c>
    </row>
    <row r="35" customFormat="false" ht="15" hidden="false" customHeight="false" outlineLevel="0" collapsed="false">
      <c r="A35" s="0" t="s">
        <v>127</v>
      </c>
      <c r="B35" s="0" t="n">
        <f aca="false">B34/(1+B27/100)^L4</f>
        <v>11894.5825271361</v>
      </c>
    </row>
    <row r="36" customFormat="false" ht="15" hidden="false" customHeight="false" outlineLevel="0" collapsed="false">
      <c r="A36" s="0" t="s">
        <v>128</v>
      </c>
      <c r="B36" s="0" t="n">
        <f aca="false">B30+B35</f>
        <v>20948.1568153311</v>
      </c>
    </row>
    <row r="37" customFormat="false" ht="15" hidden="false" customHeight="false" outlineLevel="0" collapsed="false">
      <c r="A37" s="0" t="s">
        <v>129</v>
      </c>
      <c r="B37" s="0" t="n">
        <f aca="false">B36+Assumptions!$B$5-Assumptions!$B$4</f>
        <v>22173.1568153311</v>
      </c>
    </row>
    <row r="38" customFormat="false" ht="15" hidden="false" customHeight="false" outlineLevel="0" collapsed="false">
      <c r="A38" s="0" t="s">
        <v>130</v>
      </c>
      <c r="B38" s="0" t="n">
        <f aca="false">B37/Assumptions!$B$3*Assumptions!$B$10</f>
        <v>39.8797784448401</v>
      </c>
    </row>
    <row r="39" customFormat="false" ht="15" hidden="false" customHeight="false" outlineLevel="0" collapsed="false">
      <c r="A39" s="0" t="s">
        <v>131</v>
      </c>
      <c r="B39" s="4" t="n">
        <f aca="false">B38/Assumptions!$B$2-1</f>
        <v>-0.186126970513467</v>
      </c>
    </row>
    <row r="41" customFormat="false" ht="15" hidden="false" customHeight="false" outlineLevel="0" collapsed="false">
      <c r="A41" s="0" t="s">
        <v>132</v>
      </c>
      <c r="B41" s="0" t="n">
        <f aca="false">SUMPRODUCT(-C10:L10/(1+$B$27/100)^C4:L4)</f>
        <v>1815.88807783931</v>
      </c>
    </row>
    <row r="42" customFormat="false" ht="15" hidden="false" customHeight="false" outlineLevel="0" collapsed="false">
      <c r="A42" s="0" t="s">
        <v>133</v>
      </c>
      <c r="B42" s="0" t="n">
        <f aca="false">IF(B27&gt;B28,-L10*(1+B28/100)/((B27-B28)/100),-L10*20)/(1+B27/100)^L4</f>
        <v>2019.85326897208</v>
      </c>
    </row>
    <row r="43" customFormat="false" ht="15" hidden="false" customHeight="false" outlineLevel="0" collapsed="false">
      <c r="A43" s="0" t="s">
        <v>134</v>
      </c>
      <c r="B43" s="0" t="n">
        <f aca="false">(B37+B41+B42)/Assumptions!$B$3*Assumptions!$B$10</f>
        <v>46.778593816803</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17996.6988517146</v>
      </c>
    </row>
    <row r="47" customFormat="false" ht="15" hidden="false" customHeight="false" outlineLevel="0" collapsed="false">
      <c r="A47" s="0" t="s">
        <v>136</v>
      </c>
      <c r="B47" s="0" t="n">
        <f aca="false">(SUMPRODUCT(C19:L19/(1+B45/100)^C4:L4)+B46/(1+B45/100)^L4+Assumptions!$B$5-Assumptions!$B$4)/Assumptions!$B$3*Assumptions!$B$10</f>
        <v>22.9765442997292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139</v>
      </c>
    </row>
    <row r="3" customFormat="false" ht="15" hidden="false" customHeight="false" outlineLevel="0" collapsed="false">
      <c r="A3" s="2" t="s">
        <v>140</v>
      </c>
      <c r="B3" s="2" t="s">
        <v>141</v>
      </c>
      <c r="C3" s="2" t="s">
        <v>131</v>
      </c>
      <c r="D3" s="2" t="s">
        <v>142</v>
      </c>
      <c r="E3" s="2" t="s">
        <v>134</v>
      </c>
      <c r="F3" s="2" t="s">
        <v>143</v>
      </c>
    </row>
    <row r="4" customFormat="false" ht="15" hidden="false" customHeight="false" outlineLevel="0" collapsed="false">
      <c r="A4" s="0" t="s">
        <v>144</v>
      </c>
      <c r="B4" s="4" t="n">
        <f aca="false">DCF_Bear!$B$38</f>
        <v>12.633128985406</v>
      </c>
      <c r="C4" s="0" t="n">
        <f aca="false">B4/Assumptions!$B$2-1</f>
        <v>-0.742181041114164</v>
      </c>
      <c r="D4" s="4" t="n">
        <f aca="false">Assumptions!$B$24</f>
        <v>0.25</v>
      </c>
      <c r="E4" s="4" t="n">
        <f aca="false">DCF_Bear!$B$43</f>
        <v>17.7001720873463</v>
      </c>
      <c r="F4" s="4" t="n">
        <f aca="false">DCF_Bear!$B$47</f>
        <v>8.54523126423583</v>
      </c>
    </row>
    <row r="5" customFormat="false" ht="15" hidden="false" customHeight="false" outlineLevel="0" collapsed="false">
      <c r="A5" s="0" t="s">
        <v>145</v>
      </c>
      <c r="B5" s="4" t="n">
        <f aca="false">DCF_Base!$B$38</f>
        <v>25.4865782141859</v>
      </c>
      <c r="C5" s="0" t="n">
        <f aca="false">B5/Assumptions!$B$2-1</f>
        <v>-0.479865750730901</v>
      </c>
      <c r="D5" s="4" t="n">
        <f aca="false">Assumptions!$B$38</f>
        <v>0.5</v>
      </c>
      <c r="E5" s="4" t="n">
        <f aca="false">DCF_Base!$B$43</f>
        <v>31.5937434669236</v>
      </c>
      <c r="F5" s="4" t="n">
        <f aca="false">DCF_Base!$B$47</f>
        <v>15.6015717093585</v>
      </c>
    </row>
    <row r="6" customFormat="false" ht="15" hidden="false" customHeight="false" outlineLevel="0" collapsed="false">
      <c r="A6" s="0" t="s">
        <v>146</v>
      </c>
      <c r="B6" s="4" t="n">
        <f aca="false">DCF_Bull!$B$38</f>
        <v>39.8797784448401</v>
      </c>
      <c r="C6" s="0" t="n">
        <f aca="false">B6/Assumptions!$B$2-1</f>
        <v>-0.186126970513467</v>
      </c>
      <c r="D6" s="4" t="n">
        <f aca="false">Assumptions!$B$52</f>
        <v>0.25</v>
      </c>
      <c r="E6" s="4" t="n">
        <f aca="false">DCF_Bull!$B$43</f>
        <v>46.778593816803</v>
      </c>
      <c r="F6" s="4" t="n">
        <f aca="false">DCF_Bull!$B$47</f>
        <v>22.9765442997292</v>
      </c>
    </row>
    <row r="8" customFormat="false" ht="15" hidden="false" customHeight="false" outlineLevel="0" collapsed="false">
      <c r="A8" s="0" t="s">
        <v>147</v>
      </c>
      <c r="B8" s="0" t="n">
        <f aca="false">SUMPRODUCT(B4:B6,D4:D6)</f>
        <v>25.8715159646545</v>
      </c>
    </row>
    <row r="9" customFormat="false" ht="15" hidden="false" customHeight="false" outlineLevel="0" collapsed="false">
      <c r="A9" s="0" t="s">
        <v>148</v>
      </c>
      <c r="B9" s="0" t="n">
        <f aca="false">SUMPRODUCT(E4:E6,D4:D6)</f>
        <v>31.9165632094991</v>
      </c>
    </row>
    <row r="10" customFormat="false" ht="15" hidden="false" customHeight="false" outlineLevel="0" collapsed="false">
      <c r="A10" s="0" t="s">
        <v>149</v>
      </c>
      <c r="B10" s="0" t="n">
        <f aca="false">1-Assumptions!$B$2/B8</f>
        <v>-0.89397482802877</v>
      </c>
    </row>
    <row r="11" customFormat="false" ht="15" hidden="false" customHeight="false" outlineLevel="0" collapsed="false">
      <c r="A11" s="0" t="s">
        <v>150</v>
      </c>
      <c r="B11" s="0" t="n">
        <f aca="false">IF(ABS(B9-B8)&gt;0.01*ABS(B8),(Assumptions!$B$2-B8)/(B9-B8)*100,"n/a")</f>
        <v>382.602204723377</v>
      </c>
    </row>
    <row r="12" customFormat="false" ht="15" hidden="false" customHeight="false" outlineLevel="0" collapsed="false">
      <c r="A12" s="0" t="s">
        <v>151</v>
      </c>
      <c r="B12" s="0" t="n">
        <f aca="false">SUMPRODUCT(F4:F6,D4:D6)</f>
        <v>15.6812297456705</v>
      </c>
    </row>
    <row r="14" customFormat="false" ht="15" hidden="false" customHeight="false" outlineLevel="0" collapsed="false">
      <c r="A14" s="2" t="s">
        <v>152</v>
      </c>
      <c r="C14" s="0" t="s">
        <v>153</v>
      </c>
    </row>
    <row r="15" customFormat="false" ht="15" hidden="false" customHeight="false" outlineLevel="0" collapsed="false">
      <c r="A15" s="0" t="s">
        <v>154</v>
      </c>
      <c r="B15" s="0" t="n">
        <f aca="false">(SUMPRODUCT(DCF_Base!$C$19:$L$19/(1+$C$15/100)^DCF_Base!$C$4:$L$4)+MAX(0,MIN(IF($C$15&gt;DCF_Base!$B$28,DCF_Base!$L$19*(1+DCF_Base!$B$28/100)/(($C$15-DCF_Base!$B$28)/100),DCF_Base!$L$19*DCF_Base!$B$29),DCF_Base!$L$19*DCF_Base!$B$29))/(1+$C$15/100)^DCF_Base!$L$4+Assumptions!$B$5-Assumptions!$B$4)/Assumptions!$B$3*Assumptions!$B$10</f>
        <v>28.550161539675</v>
      </c>
      <c r="C15" s="3" t="n">
        <v>9</v>
      </c>
    </row>
    <row r="16" customFormat="false" ht="15" hidden="false" customHeight="false" outlineLevel="0" collapsed="false">
      <c r="A16" s="0" t="s">
        <v>155</v>
      </c>
      <c r="B16" s="0" t="n">
        <f aca="false">(SUMPRODUCT(DCF_Base!$C$19:$L$19/(1+$C$16/100)^DCF_Base!$C$4:$L$4)+MAX(0,MIN(IF($C$16&gt;DCF_Base!$B$28,DCF_Base!$L$19*(1+DCF_Base!$B$28/100)/(($C$16-DCF_Base!$B$28)/100),DCF_Base!$L$19*DCF_Base!$B$29),DCF_Base!$L$19*DCF_Base!$B$29))/(1+$C$16/100)^DCF_Base!$L$4+Assumptions!$B$5-Assumptions!$B$4)/Assumptions!$B$3*Assumptions!$B$10</f>
        <v>25.4865782141859</v>
      </c>
      <c r="C16" s="3" t="n">
        <v>10</v>
      </c>
    </row>
    <row r="17" customFormat="false" ht="15" hidden="false" customHeight="false" outlineLevel="0" collapsed="false">
      <c r="A17" s="0" t="s">
        <v>156</v>
      </c>
      <c r="B17" s="0" t="n">
        <f aca="false">(SUMPRODUCT(DCF_Base!$C$19:$L$19/(1+$C$17/100)^DCF_Base!$C$4:$L$4)+MAX(0,MIN(IF($C$17&gt;DCF_Base!$B$28,DCF_Base!$L$19*(1+DCF_Base!$B$28/100)/(($C$17-DCF_Base!$B$28)/100),DCF_Base!$L$19*DCF_Base!$B$29),DCF_Base!$L$19*DCF_Base!$B$29))/(1+$C$17/100)^DCF_Base!$L$4+Assumptions!$B$5-Assumptions!$B$4)/Assumptions!$B$3*Assumptions!$B$10</f>
        <v>22.5665684648008</v>
      </c>
      <c r="C17" s="3" t="n">
        <v>11</v>
      </c>
    </row>
    <row r="18" customFormat="false" ht="15" hidden="false" customHeight="false" outlineLevel="0" collapsed="false">
      <c r="A18" s="0" t="s">
        <v>157</v>
      </c>
      <c r="B18" s="0" t="n">
        <f aca="false">(SUMPRODUCT(DCF_Base!$C$19:$L$19/(1+$C$18/100)^DCF_Base!$C$4:$L$4)+MAX(0,MIN(IF($C$18&gt;DCF_Base!$B$28,DCF_Base!$L$19*(1+DCF_Base!$B$28/100)/(($C$18-DCF_Base!$B$28)/100),DCF_Base!$L$19*DCF_Base!$B$29),DCF_Base!$L$19*DCF_Base!$B$29))/(1+$C$18/100)^DCF_Base!$L$4+Assumptions!$B$5-Assumptions!$B$4)/Assumptions!$B$3*Assumptions!$B$10</f>
        <v>20.2672414632043</v>
      </c>
      <c r="C18" s="3" t="n">
        <v>12</v>
      </c>
    </row>
    <row r="19" customFormat="false" ht="15" hidden="false" customHeight="false" outlineLevel="0" collapsed="false">
      <c r="A19" s="0" t="s">
        <v>158</v>
      </c>
      <c r="B19" s="0" t="n">
        <f aca="false">(SUMPRODUCT(DCF_Base!$C$19:$L$19/(1+$C$19/100)^DCF_Base!$C$4:$L$4)+MAX(0,MIN(IF($C$19&gt;DCF_Base!$B$28,DCF_Base!$L$19*(1+DCF_Base!$B$28/100)/(($C$19-DCF_Base!$B$28)/100),DCF_Base!$L$19*DCF_Base!$B$29),DCF_Base!$L$19*DCF_Base!$B$29))/(1+$C$19/100)^DCF_Base!$L$4+Assumptions!$B$5-Assumptions!$B$4)/Assumptions!$B$3*Assumptions!$B$10</f>
        <v>15.6015717093585</v>
      </c>
      <c r="C19" s="3" t="n">
        <v>15</v>
      </c>
    </row>
    <row r="21" customFormat="false" ht="15" hidden="false" customHeight="false" outlineLevel="0" collapsed="false">
      <c r="A21" s="2" t="s">
        <v>159</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30.5845466509028</v>
      </c>
      <c r="C23" s="0" t="n">
        <f aca="false">(SUMPRODUCT(DCF_Base!$C$19:$L$19/(1+$A$23/100)^DCF_Base!$C$4:$L$4)+MAX(0,MIN(IF($A$23&gt;$C$22,DCF_Base!$L$19*(1+$C$22/100)/(($A$23-$C$22)/100),DCF_Base!$L$19*DCF_Base!$B$29),DCF_Base!$L$19*DCF_Base!$B$29))/(1+$A$23/100)^DCF_Base!$L$4+Assumptions!$B$5-Assumptions!$B$4)/Assumptions!$B$3*Assumptions!$B$10</f>
        <v>30.5845466509028</v>
      </c>
      <c r="D23" s="0" t="n">
        <f aca="false">(SUMPRODUCT(DCF_Base!$C$19:$L$19/(1+$A$23/100)^DCF_Base!$C$4:$L$4)+MAX(0,MIN(IF($A$23&gt;$D$22,DCF_Base!$L$19*(1+$D$22/100)/(($A$23-$D$22)/100),DCF_Base!$L$19*DCF_Base!$B$29),DCF_Base!$L$19*DCF_Base!$B$29))/(1+$A$23/100)^DCF_Base!$L$4+Assumptions!$B$5-Assumptions!$B$4)/Assumptions!$B$3*Assumptions!$B$10</f>
        <v>30.5845466509028</v>
      </c>
      <c r="E23" s="0" t="n">
        <f aca="false">(SUMPRODUCT(DCF_Base!$C$19:$L$19/(1+$A$23/100)^DCF_Base!$C$4:$L$4)+MAX(0,MIN(IF($A$23&gt;$E$22,DCF_Base!$L$19*(1+$E$22/100)/(($A$23-$E$22)/100),DCF_Base!$L$19*DCF_Base!$B$29),DCF_Base!$L$19*DCF_Base!$B$29))/(1+$A$23/100)^DCF_Base!$L$4+Assumptions!$B$5-Assumptions!$B$4)/Assumptions!$B$3*Assumptions!$B$10</f>
        <v>30.5845466509028</v>
      </c>
      <c r="F23" s="0" t="n">
        <f aca="false">(SUMPRODUCT(DCF_Base!$C$19:$L$19/(1+$A$23/100)^DCF_Base!$C$4:$L$4)+MAX(0,MIN(IF($A$23&gt;$F$22,DCF_Base!$L$19*(1+$F$22/100)/(($A$23-$F$22)/100),DCF_Base!$L$19*DCF_Base!$B$29),DCF_Base!$L$19*DCF_Base!$B$29))/(1+$A$23/100)^DCF_Base!$L$4+Assumptions!$B$5-Assumptions!$B$4)/Assumptions!$B$3*Assumptions!$B$10</f>
        <v>30.5845466509028</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27.0934112251533</v>
      </c>
      <c r="C24" s="0" t="n">
        <f aca="false">(SUMPRODUCT(DCF_Base!$C$19:$L$19/(1+$A$24/100)^DCF_Base!$C$4:$L$4)+MAX(0,MIN(IF($A$24&gt;$C$22,DCF_Base!$L$19*(1+$C$22/100)/(($A$24-$C$22)/100),DCF_Base!$L$19*DCF_Base!$B$29),DCF_Base!$L$19*DCF_Base!$B$29))/(1+$A$24/100)^DCF_Base!$L$4+Assumptions!$B$5-Assumptions!$B$4)/Assumptions!$B$3*Assumptions!$B$10</f>
        <v>28.1244877464706</v>
      </c>
      <c r="D24" s="0" t="n">
        <f aca="false">(SUMPRODUCT(DCF_Base!$C$19:$L$19/(1+$A$24/100)^DCF_Base!$C$4:$L$4)+MAX(0,MIN(IF($A$24&gt;$D$22,DCF_Base!$L$19*(1+$D$22/100)/(($A$24-$D$22)/100),DCF_Base!$L$19*DCF_Base!$B$29),DCF_Base!$L$19*DCF_Base!$B$29))/(1+$A$24/100)^DCF_Base!$L$4+Assumptions!$B$5-Assumptions!$B$4)/Assumptions!$B$3*Assumptions!$B$10</f>
        <v>28.550161539675</v>
      </c>
      <c r="E24" s="0" t="n">
        <f aca="false">(SUMPRODUCT(DCF_Base!$C$19:$L$19/(1+$A$24/100)^DCF_Base!$C$4:$L$4)+MAX(0,MIN(IF($A$24&gt;$E$22,DCF_Base!$L$19*(1+$E$22/100)/(($A$24-$E$22)/100),DCF_Base!$L$19*DCF_Base!$B$29),DCF_Base!$L$19*DCF_Base!$B$29))/(1+$A$24/100)^DCF_Base!$L$4+Assumptions!$B$5-Assumptions!$B$4)/Assumptions!$B$3*Assumptions!$B$10</f>
        <v>28.550161539675</v>
      </c>
      <c r="F24" s="0" t="n">
        <f aca="false">(SUMPRODUCT(DCF_Base!$C$19:$L$19/(1+$A$24/100)^DCF_Base!$C$4:$L$4)+MAX(0,MIN(IF($A$24&gt;$F$22,DCF_Base!$L$19*(1+$F$22/100)/(($A$24-$F$22)/100),DCF_Base!$L$19*DCF_Base!$B$29),DCF_Base!$L$19*DCF_Base!$B$29))/(1+$A$24/100)^DCF_Base!$L$4+Assumptions!$B$5-Assumptions!$B$4)/Assumptions!$B$3*Assumptions!$B$10</f>
        <v>28.550161539675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23.9223348451587</v>
      </c>
      <c r="C25" s="0" t="n">
        <f aca="false">(SUMPRODUCT(DCF_Base!$C$19:$L$19/(1+$A$25/100)^DCF_Base!$C$4:$L$4)+MAX(0,MIN(IF($A$25&gt;$C$22,DCF_Base!$L$19*(1+$C$22/100)/(($A$25-$C$22)/100),DCF_Base!$L$19*DCF_Base!$B$29),DCF_Base!$L$19*DCF_Base!$B$29))/(1+$A$25/100)^DCF_Base!$L$4+Assumptions!$B$5-Assumptions!$B$4)/Assumptions!$B$3*Assumptions!$B$10</f>
        <v>24.6555739243902</v>
      </c>
      <c r="D25" s="0" t="n">
        <f aca="false">(SUMPRODUCT(DCF_Base!$C$19:$L$19/(1+$A$25/100)^DCF_Base!$C$4:$L$4)+MAX(0,MIN(IF($A$25&gt;$D$22,DCF_Base!$L$19*(1+$D$22/100)/(($A$25-$D$22)/100),DCF_Base!$L$19*DCF_Base!$B$29),DCF_Base!$L$19*DCF_Base!$B$29))/(1+$A$25/100)^DCF_Base!$L$4+Assumptions!$B$5-Assumptions!$B$4)/Assumptions!$B$3*Assumptions!$B$10</f>
        <v>25.4865782141859</v>
      </c>
      <c r="E25" s="0" t="n">
        <f aca="false">(SUMPRODUCT(DCF_Base!$C$19:$L$19/(1+$A$25/100)^DCF_Base!$C$4:$L$4)+MAX(0,MIN(IF($A$25&gt;$E$22,DCF_Base!$L$19*(1+$E$22/100)/(($A$25-$E$22)/100),DCF_Base!$L$19*DCF_Base!$B$29),DCF_Base!$L$19*DCF_Base!$B$29))/(1+$A$25/100)^DCF_Base!$L$4+Assumptions!$B$5-Assumptions!$B$4)/Assumptions!$B$3*Assumptions!$B$10</f>
        <v>26.4362974025238</v>
      </c>
      <c r="F25" s="0" t="n">
        <f aca="false">(SUMPRODUCT(DCF_Base!$C$19:$L$19/(1+$A$25/100)^DCF_Base!$C$4:$L$4)+MAX(0,MIN(IF($A$25&gt;$F$22,DCF_Base!$L$19*(1+$F$22/100)/(($A$25-$F$22)/100),DCF_Base!$L$19*DCF_Base!$B$29),DCF_Base!$L$19*DCF_Base!$B$29))/(1+$A$25/100)^DCF_Base!$L$4+Assumptions!$B$5-Assumptions!$B$4)/Assumptions!$B$3*Assumptions!$B$10</f>
        <v>26.6953117266159</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21.4282354334509</v>
      </c>
      <c r="C26" s="0" t="n">
        <f aca="false">(SUMPRODUCT(DCF_Base!$C$19:$L$19/(1+$A$26/100)^DCF_Base!$C$4:$L$4)+MAX(0,MIN(IF($A$26&gt;$C$22,DCF_Base!$L$19*(1+$C$22/100)/(($A$26-$C$22)/100),DCF_Base!$L$19*DCF_Base!$B$29),DCF_Base!$L$19*DCF_Base!$B$29))/(1+$A$26/100)^DCF_Base!$L$4+Assumptions!$B$5-Assumptions!$B$4)/Assumptions!$B$3*Assumptions!$B$10</f>
        <v>21.9657815871439</v>
      </c>
      <c r="D26" s="0" t="n">
        <f aca="false">(SUMPRODUCT(DCF_Base!$C$19:$L$19/(1+$A$26/100)^DCF_Base!$C$4:$L$4)+MAX(0,MIN(IF($A$26&gt;$D$22,DCF_Base!$L$19*(1+$D$22/100)/(($A$26-$D$22)/100),DCF_Base!$L$19*DCF_Base!$B$29),DCF_Base!$L$19*DCF_Base!$B$29))/(1+$A$26/100)^DCF_Base!$L$4+Assumptions!$B$5-Assumptions!$B$4)/Assumptions!$B$3*Assumptions!$B$10</f>
        <v>22.5665684648008</v>
      </c>
      <c r="E26" s="0" t="n">
        <f aca="false">(SUMPRODUCT(DCF_Base!$C$19:$L$19/(1+$A$26/100)^DCF_Base!$C$4:$L$4)+MAX(0,MIN(IF($A$26&gt;$E$22,DCF_Base!$L$19*(1+$E$22/100)/(($A$26-$E$22)/100),DCF_Base!$L$19*DCF_Base!$B$29),DCF_Base!$L$19*DCF_Base!$B$29))/(1+$A$26/100)^DCF_Base!$L$4+Assumptions!$B$5-Assumptions!$B$4)/Assumptions!$B$3*Assumptions!$B$10</f>
        <v>23.2424537021648</v>
      </c>
      <c r="F26" s="0" t="n">
        <f aca="false">(SUMPRODUCT(DCF_Base!$C$19:$L$19/(1+$A$26/100)^DCF_Base!$C$4:$L$4)+MAX(0,MIN(IF($A$26&gt;$F$22,DCF_Base!$L$19*(1+$F$22/100)/(($A$26-$F$22)/100),DCF_Base!$L$19*DCF_Base!$B$29),DCF_Base!$L$19*DCF_Base!$B$29))/(1+$A$26/100)^DCF_Base!$L$4+Assumptions!$B$5-Assumptions!$B$4)/Assumptions!$B$3*Assumptions!$B$10</f>
        <v>24.0084569711773</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19.4171932285393</v>
      </c>
      <c r="C27" s="0" t="n">
        <f aca="false">(SUMPRODUCT(DCF_Base!$C$19:$L$19/(1+$A$27/100)^DCF_Base!$C$4:$L$4)+MAX(0,MIN(IF($A$27&gt;$C$22,DCF_Base!$L$19*(1+$C$22/100)/(($A$27-$C$22)/100),DCF_Base!$L$19*DCF_Base!$B$29),DCF_Base!$L$19*DCF_Base!$B$29))/(1+$A$27/100)^DCF_Base!$L$4+Assumptions!$B$5-Assumptions!$B$4)/Assumptions!$B$3*Assumptions!$B$10</f>
        <v>19.8209661400052</v>
      </c>
      <c r="D27" s="0" t="n">
        <f aca="false">(SUMPRODUCT(DCF_Base!$C$19:$L$19/(1+$A$27/100)^DCF_Base!$C$4:$L$4)+MAX(0,MIN(IF($A$27&gt;$D$22,DCF_Base!$L$19*(1+$D$22/100)/(($A$27-$D$22)/100),DCF_Base!$L$19*DCF_Base!$B$29),DCF_Base!$L$19*DCF_Base!$B$29))/(1+$A$27/100)^DCF_Base!$L$4+Assumptions!$B$5-Assumptions!$B$4)/Assumptions!$B$3*Assumptions!$B$10</f>
        <v>20.2672414632043</v>
      </c>
      <c r="E27" s="0" t="n">
        <f aca="false">(SUMPRODUCT(DCF_Base!$C$19:$L$19/(1+$A$27/100)^DCF_Base!$C$4:$L$4)+MAX(0,MIN(IF($A$27&gt;$E$22,DCF_Base!$L$19*(1+$E$22/100)/(($A$27-$E$22)/100),DCF_Base!$L$19*DCF_Base!$B$29),DCF_Base!$L$19*DCF_Base!$B$29))/(1+$A$27/100)^DCF_Base!$L$4+Assumptions!$B$5-Assumptions!$B$4)/Assumptions!$B$3*Assumptions!$B$10</f>
        <v>20.7631029334256</v>
      </c>
      <c r="F27" s="0" t="n">
        <f aca="false">(SUMPRODUCT(DCF_Base!$C$19:$L$19/(1+$A$27/100)^DCF_Base!$C$4:$L$4)+MAX(0,MIN(IF($A$27&gt;$F$22,DCF_Base!$L$19*(1+$F$22/100)/(($A$27-$F$22)/100),DCF_Base!$L$19*DCF_Base!$B$29),DCF_Base!$L$19*DCF_Base!$B$29))/(1+$A$27/100)^DCF_Base!$L$4+Assumptions!$B$5-Assumptions!$B$4)/Assumptions!$B$3*Assumptions!$B$10</f>
        <v>21.3173010472023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2026-09-28T08:54:58Z</dcterms:created>
  <dc:creator>openpyxl</dc:creator>
  <dc:description/>
  <dc:language>en-NZ</dc:language>
  <cp:lastModifiedBy/>
  <dcterms:modified xsi:type="dcterms:W3CDTF">2026-09-28T08:54:59Z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