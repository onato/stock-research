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<sst xmlns="http://schemas.openxmlformats.org/spreadsheetml/2006/main" count="389" uniqueCount="174">
  <si>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</si>
  <si>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CTSH</t>
  </si>
  <si>
    <t xml:space="preserve">Company</t>
  </si>
  <si>
    <t xml:space="preserve">Cognizant Technology Solutions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</si>
  <si>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</si>
  <si>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</si>
  <si>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</si>
  <si>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</si>
  <si>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</si>
  <si>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</si>
  <si>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</si>
  <si>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</si>
  <si>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</si>
  <si>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</si>
  <si>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</si>
  <si>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</si>
  <si>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</si>
  <si>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</si>
  <si>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</si>
  <si>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</si>
  <si>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</si>
  <si>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2026-09-26T01:18:01Z</t>
  </si>
  <si>
    <t xml:space="preserve">Drivers file</t>
  </si>
  <si>
    <t xml:space="preserve">CTSH_Drivers.json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</si>
  <si>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</si>
  <si>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</si>
  <si>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</si>
  <si>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mature, cash-generative IT services company priced at roughly 10x adjusted earnings and ~11-12x owner FCF because the market is pricing a meaningful chance that GenAI hollows out its labour-based revenue model. The owner-FCF build charges SBC, Project Leap cash and a cash tax rate above the book rate, and grows only organically after FY2026 so acquired growth is never valued without its purchase price. The valuation turns on one question -- whether AI is net deflationary for Cognizant's revenue -- which is why the bear case is heavily weighted and the terminal multiple is capped at 14x base / 10x bear.
key_risks_to_valuation: GenAI/agentic tooling deflating application development, maintenance and testing revenue faster than AI-services demand replaces it; Pricing pressure from TCS, Infosys, HCLTech and Accenture compressing the ~16% adjusted operating margin; Cash tax rate persistently above the book rate (India payments, foreign R&amp;E capitalisation, India-Mauritius treaty amendment); India ITD dispute over the 2016 CTS India buyback -- contingent liability and deposit are both excluded from the equity bridge; Debt-funded buybacks and acquisitions ($1B revolver drawn Q2 2026) turned net cash into net debt; continued M&amp;A at high prices would destroy value the organic-only model does not capture; US H-1B visa fee/cap changes raising onshore delivery costs</t>
  </si>
  <si>
    <t xml:space="preserve">Data sources</t>
  </si>
  <si>
    <t xml:space="preserve">price: Yahoo Finance chart API at inputs.price_as_of (regular close); 52-week range 37.08-87.03.
financials: SEC EDGAR: FY2025 10-K (filed 2026-02-12) and Q2 2026 10-Q (filed 2026-07-29, balance sheet 2026-06-30, share count, debt note, Project Leap, buyback detail); XBRL companyfacts for SBC, interest income, D&amp;A, cash taxes paid and buybacks; CTSH_Metrics.csv for the FY2007-FY2025 history.
qualitative: CTSH_Analysis.json (2026-09-26): FY2026 guidance from the Q2 2026 earnings release, segment mix, competitive and AI-transition risks.</t>
  </si>
  <si>
    <t xml:space="preserve">Scenario narrative: bear</t>
  </si>
  <si>
    <t xml:space="preserve">The market's fear case, and why the stock sits near the bottom of its 37-87 range: agentic coding and testing tools collapse the effort in application maintenance and testing, historically Cognizant's core, clients reprice renewals, and the commoditised remainder is fought over by the lower-cost Indian majors. Revenue flattens in FY2027 and shrinks 1.5% in each of FY2028-29 before stabilising at 1-1.5% growth, adjusted operating margin compresses ~2.5pp, the CMT segment keeps shrinking, and US visa policy and the India-Mauritius treaty change raise cost and cash tax. It is a shrinking business rather than a cash-burning one, so the terminal value is capped at 10x rather than floored at zero.</t>
  </si>
  <si>
    <t xml:space="preserve">Scenario narrative: base</t>
  </si>
  <si>
    <t xml:space="preserve">Cognizant delivers FY2026 on guidance (revenue ~+5% including 3Cloud and Astreya, adjusted operating margin ~16.1%) and then grows organically at 3-4%, fading to 2.5% -- roughly its FY22-25 organic pace. The two axes that matter, AI-driven productivity deflation of legacy application-development/maintenance hours versus new AI-transformation and managed-services demand, roughly cancel; Project Leap's $230-320M of 2026 cash charges fund the 'broader and shorter pyramid' and margins hold near 16% adjusted. Cash tax stays ~27.5% of EBIT, above the book rate, as it has for three years.</t>
  </si>
  <si>
    <t xml:space="preserve">Scenario narrative: bull</t>
  </si>
  <si>
    <t xml:space="preserve">The Q2 2026 pattern persists: seven $100M+ TCV wins a quarter, Financial Services growing double digits, Health Sciences steady on the TriZetto platform, and 3Cloud (Azure/AI) and Astreya (AI infrastructure managed services) give Cognizant a credible AI-builder position. Organic growth runs 5-6.5% for three years before fading, and the AI-enabled delivery model lets revenue per head rise while the pyramid shrinks, adding ~1.5pp to adjusted operating margin (toward 17.5-18%, still below Accenture's).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</si>
  <si>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</si>
  <si>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</si>
  <si>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</si>
  <si>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</si>
  <si>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</si>
  <si>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</si>
  <si>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</si>
  <si>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</si>
  <si>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</si>
  <si>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</si>
  <si>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</si>
  <si>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</si>
  <si>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</si>
  <si>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</si>
  <si>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</si>
  <si>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</si>
  <si>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</si>
  <si>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</si>
  <si>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</si>
  <si>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</si>
  <si>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</si>
  <si>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</si>
  <si>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</si>
  <si>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</si>
  <si>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</si>
  <si>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</si>
  <si>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</si>
  <si>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</si>
  <si>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</si>
  <si>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</si>
  <si>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</si>
  <si>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</si>
  <si>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</si>
  <si>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</si>
  <si>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</si>
  <si>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</si>
  <si>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</si>
  <si>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</si>
  <si>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</si>
  <si>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</si>
  <si>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</si>
  <si>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</si>
  <si>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</si>
  <si>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</si>
  <si>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</si>
  <si>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</si>
  <si>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</si>
  <si>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</si>
  <si>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</si>
  <si>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</si>
  <si>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</si>
  <si>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</si>
  <si>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</si>
  <si>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</si>
  <si>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</si>
  <si>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</si>
  <si>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</si>
  <si>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</si>
  <si>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</si>
  <si>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</si>
  <si>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</si>
  <si>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</si>
  <si>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</si>
  <si>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</si>
  <si>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</si>
  <si>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</si>
  <si>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</si>
  <si>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</si>
  <si>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</si>
  <si>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</si>
  <si>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</si>
  <si>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</si>
  <si>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</si>
  <si>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</si>
  <si>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</si>
  <si>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</si>
  <si>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</si>
  <si>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</si>
  <si>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</si>
  <si>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</si>
  <si>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</si>
  <si>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</si>
  <si>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</si>
  <si>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</si>
  <si>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CTSH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</si>
  <si>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</si>
  <si>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</si>
  <si>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</si>
  <si>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</si>
  <si>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</si>
  <si>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</si>
  <si>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</si>
  <si>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</si>
  <si>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</si>
  <si>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</si>
  <si>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</si>
  <si>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</si>
  <si>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</si>
  <si>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</si>
  <si>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</si>
  <si>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</si>
  <si>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</si>
  <si>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</si>
  <si>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</si>
  <si>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</si>
  <si>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</si>
  <si>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</si>
  <si>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</si>
  <si>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</si>
  <si>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</si>
  <si>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</si>
  <si>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</si>
  <si>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</si>
  <si>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</si>
  <si>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</si>
  <si>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CTSH owner-FCF component DCF: base case (millions, USD)</t>
  </si>
  <si>
    <t xml:space="preserve">CTSH owner-FCF component DCF: bull case (millions, USD)</t>
  </si>
  <si>
    <t xml:space="preserve">CTSH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</si>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</sst>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57.33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1073.499</v>
      </c>
      <c r="S2" s="0" t="n">
        <v>265.937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2135.577</v>
      </c>
      <c r="F3" s="0" t="n">
        <v>381.522</v>
      </c>
      <c r="G3" s="0" t="n">
        <v>17.8650547369634</v>
      </c>
      <c r="H3" s="0" t="n">
        <v>435.44</v>
      </c>
      <c r="I3" s="0" t="n">
        <v>350.133</v>
      </c>
      <c r="J3" s="0" t="n">
        <v>16.3952411924272</v>
      </c>
      <c r="K3" s="0" t="n">
        <v>1.22</v>
      </c>
      <c r="L3" s="0" t="n">
        <v>344.32</v>
      </c>
      <c r="M3" s="0" t="n">
        <v>182.467</v>
      </c>
      <c r="N3" s="0" t="n">
        <v>161.853</v>
      </c>
      <c r="O3" s="0" t="n">
        <v>1468.21</v>
      </c>
      <c r="S3" s="0" t="n">
        <v>339.845</v>
      </c>
      <c r="T3" s="0" t="n">
        <v>303.593</v>
      </c>
      <c r="U3" s="0" t="n">
        <v>35.916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2816.304</v>
      </c>
      <c r="F4" s="0" t="n">
        <v>516.67</v>
      </c>
      <c r="G4" s="0" t="n">
        <v>18.3456757509133</v>
      </c>
      <c r="H4" s="0" t="n">
        <v>591.467</v>
      </c>
      <c r="I4" s="0" t="n">
        <v>430.845</v>
      </c>
      <c r="J4" s="0" t="n">
        <v>15.298241951153</v>
      </c>
      <c r="K4" s="0" t="n">
        <v>1.49</v>
      </c>
      <c r="L4" s="0" t="n">
        <v>429.705</v>
      </c>
      <c r="M4" s="0" t="n">
        <v>169.41</v>
      </c>
      <c r="N4" s="0" t="n">
        <v>260.295</v>
      </c>
      <c r="O4" s="0" t="n">
        <v>1965.578</v>
      </c>
      <c r="P4" s="0" t="n">
        <v>2374.56</v>
      </c>
      <c r="Q4" s="0" t="n">
        <v>408.982</v>
      </c>
      <c r="S4" s="0" t="n">
        <v>735.066</v>
      </c>
      <c r="T4" s="0" t="n">
        <v>298.94</v>
      </c>
      <c r="U4" s="0" t="n">
        <v>43.9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3278.663</v>
      </c>
      <c r="F5" s="0" t="n">
        <v>618.49</v>
      </c>
      <c r="G5" s="0" t="n">
        <v>18.8640918569551</v>
      </c>
      <c r="H5" s="0" t="n">
        <v>707.861</v>
      </c>
      <c r="I5" s="0" t="n">
        <v>534.963</v>
      </c>
      <c r="J5" s="0" t="n">
        <v>16.316498523941</v>
      </c>
      <c r="K5" s="0" t="n">
        <v>1.82</v>
      </c>
      <c r="L5" s="0" t="n">
        <v>672.325</v>
      </c>
      <c r="M5" s="0" t="n">
        <v>76.639</v>
      </c>
      <c r="N5" s="0" t="n">
        <v>595.686</v>
      </c>
      <c r="O5" s="0" t="n">
        <v>2653.177</v>
      </c>
      <c r="P5" s="0" t="n">
        <v>3338.24</v>
      </c>
      <c r="Q5" s="0" t="n">
        <v>685.063</v>
      </c>
      <c r="S5" s="0" t="n">
        <v>1100.93</v>
      </c>
      <c r="T5" s="0" t="n">
        <v>301.115</v>
      </c>
      <c r="U5" s="0" t="n">
        <v>44.816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4592.389</v>
      </c>
      <c r="F6" s="0" t="n">
        <v>861.852</v>
      </c>
      <c r="G6" s="0" t="n">
        <v>18.7669642096957</v>
      </c>
      <c r="H6" s="0" t="n">
        <v>972.024</v>
      </c>
      <c r="I6" s="0" t="n">
        <v>733.54</v>
      </c>
      <c r="J6" s="0" t="n">
        <v>15.9729500266637</v>
      </c>
      <c r="K6" s="0" t="n">
        <v>2.44</v>
      </c>
      <c r="L6" s="0" t="n">
        <v>764.654</v>
      </c>
      <c r="M6" s="0" t="n">
        <v>185.512</v>
      </c>
      <c r="N6" s="0" t="n">
        <v>579.142</v>
      </c>
      <c r="O6" s="0" t="n">
        <v>3584.431</v>
      </c>
      <c r="P6" s="0" t="n">
        <v>4583.074</v>
      </c>
      <c r="Q6" s="0" t="n">
        <v>998.643</v>
      </c>
      <c r="S6" s="0" t="n">
        <v>1540.969</v>
      </c>
      <c r="T6" s="0" t="n">
        <v>309.137</v>
      </c>
      <c r="U6" s="0" t="n">
        <v>56.984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6121.156</v>
      </c>
      <c r="F7" s="0" t="n">
        <v>1136.468</v>
      </c>
      <c r="G7" s="0" t="n">
        <v>18.5662316072324</v>
      </c>
      <c r="H7" s="0" t="n">
        <v>1260.643</v>
      </c>
      <c r="I7" s="0" t="n">
        <v>883.618</v>
      </c>
      <c r="J7" s="0" t="n">
        <v>14.4354759133732</v>
      </c>
      <c r="K7" s="0" t="n">
        <v>2.91</v>
      </c>
      <c r="L7" s="0" t="n">
        <v>875.152</v>
      </c>
      <c r="M7" s="0" t="n">
        <v>288.221</v>
      </c>
      <c r="N7" s="0" t="n">
        <v>586.931</v>
      </c>
      <c r="O7" s="0" t="n">
        <v>3952.886</v>
      </c>
      <c r="P7" s="0" t="n">
        <v>5507.933</v>
      </c>
      <c r="Q7" s="0" t="n">
        <v>1555.047</v>
      </c>
      <c r="S7" s="0" t="n">
        <v>1310.906</v>
      </c>
      <c r="T7" s="0" t="n">
        <v>310.351</v>
      </c>
      <c r="U7" s="0" t="n">
        <v>90.232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7346.472</v>
      </c>
      <c r="F8" s="0" t="n">
        <v>1361.496</v>
      </c>
      <c r="G8" s="0" t="n">
        <v>18.5326507744125</v>
      </c>
      <c r="H8" s="0" t="n">
        <v>1518.084</v>
      </c>
      <c r="I8" s="0" t="n">
        <v>1051.263</v>
      </c>
      <c r="J8" s="0" t="n">
        <v>14.3097666471743</v>
      </c>
      <c r="K8" s="0" t="n">
        <v>1.74</v>
      </c>
      <c r="L8" s="0" t="n">
        <v>1172.583</v>
      </c>
      <c r="M8" s="0" t="n">
        <v>334.465</v>
      </c>
      <c r="N8" s="0" t="n">
        <v>838.118</v>
      </c>
      <c r="O8" s="0" t="n">
        <v>4854.4</v>
      </c>
      <c r="P8" s="0" t="n">
        <v>6521.571</v>
      </c>
      <c r="Q8" s="0" t="n">
        <v>1667.188</v>
      </c>
      <c r="S8" s="0" t="n">
        <v>1570.1</v>
      </c>
      <c r="T8" s="0" t="n">
        <v>611.722</v>
      </c>
      <c r="U8" s="0" t="n">
        <v>107.355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8843.2</v>
      </c>
      <c r="F9" s="0" t="n">
        <v>1677.9</v>
      </c>
      <c r="G9" s="0" t="n">
        <v>18.9739008503709</v>
      </c>
      <c r="H9" s="0" t="n">
        <v>1857.8</v>
      </c>
      <c r="I9" s="0" t="n">
        <v>1228.6</v>
      </c>
      <c r="J9" s="0" t="n">
        <v>13.8931608467523</v>
      </c>
      <c r="K9" s="0" t="n">
        <v>2.03</v>
      </c>
      <c r="L9" s="0" t="n">
        <v>1423.8</v>
      </c>
      <c r="M9" s="0" t="n">
        <v>261.6</v>
      </c>
      <c r="N9" s="0" t="n">
        <v>1162.2</v>
      </c>
      <c r="O9" s="0" t="n">
        <v>6136</v>
      </c>
      <c r="P9" s="0" t="n">
        <v>8134.718</v>
      </c>
      <c r="Q9" s="0" t="n">
        <v>1998.927</v>
      </c>
      <c r="R9" s="0" t="n">
        <v>0</v>
      </c>
      <c r="S9" s="0" t="n">
        <v>2213</v>
      </c>
      <c r="T9" s="0" t="n">
        <v>609.7</v>
      </c>
      <c r="U9" s="0" t="n">
        <v>118.8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10263</v>
      </c>
      <c r="F10" s="0" t="n">
        <v>1885</v>
      </c>
      <c r="G10" s="0" t="n">
        <v>18.3669492351164</v>
      </c>
      <c r="H10" s="0" t="n">
        <v>2093</v>
      </c>
      <c r="I10" s="0" t="n">
        <v>1439</v>
      </c>
      <c r="J10" s="0" t="n">
        <v>14.0212413524311</v>
      </c>
      <c r="K10" s="0" t="n">
        <v>2.37</v>
      </c>
      <c r="L10" s="0" t="n">
        <v>1473</v>
      </c>
      <c r="M10" s="0" t="n">
        <v>212</v>
      </c>
      <c r="N10" s="0" t="n">
        <v>1261</v>
      </c>
      <c r="O10" s="0" t="n">
        <v>7740</v>
      </c>
      <c r="P10" s="0" t="n">
        <v>11479</v>
      </c>
      <c r="Q10" s="0" t="n">
        <v>3738.8</v>
      </c>
      <c r="R10" s="0" t="n">
        <v>1637.5</v>
      </c>
      <c r="S10" s="0" t="n">
        <v>2010</v>
      </c>
      <c r="T10" s="0" t="n">
        <v>613</v>
      </c>
      <c r="U10" s="0" t="n">
        <v>135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12416</v>
      </c>
      <c r="F11" s="0" t="n">
        <v>2142</v>
      </c>
      <c r="G11" s="0" t="n">
        <v>17.2519329896907</v>
      </c>
      <c r="H11" s="0" t="n">
        <v>2472</v>
      </c>
      <c r="I11" s="0" t="n">
        <v>1624</v>
      </c>
      <c r="J11" s="0" t="n">
        <v>13.0798969072165</v>
      </c>
      <c r="K11" s="0" t="n">
        <v>2.67</v>
      </c>
      <c r="L11" s="0" t="n">
        <v>2187</v>
      </c>
      <c r="M11" s="0" t="n">
        <v>273</v>
      </c>
      <c r="N11" s="0" t="n">
        <v>1914</v>
      </c>
      <c r="O11" s="0" t="n">
        <v>9278</v>
      </c>
      <c r="P11" s="0" t="n">
        <v>13061</v>
      </c>
      <c r="Q11" s="0" t="n">
        <v>3783</v>
      </c>
      <c r="R11" s="0" t="n">
        <v>1283</v>
      </c>
      <c r="S11" s="0" t="n">
        <v>2125</v>
      </c>
      <c r="T11" s="0" t="n">
        <v>613</v>
      </c>
      <c r="U11" s="0" t="n">
        <v>192</v>
      </c>
      <c r="V11" s="0" t="n">
        <v>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13487</v>
      </c>
      <c r="F12" s="0" t="n">
        <v>2289</v>
      </c>
      <c r="G12" s="0" t="n">
        <v>16.9718988655743</v>
      </c>
      <c r="H12" s="0" t="n">
        <v>2668</v>
      </c>
      <c r="I12" s="0" t="n">
        <v>1553</v>
      </c>
      <c r="J12" s="0" t="n">
        <v>11.5147920219471</v>
      </c>
      <c r="K12" s="0" t="n">
        <v>2.56</v>
      </c>
      <c r="L12" s="0" t="n">
        <v>1645</v>
      </c>
      <c r="M12" s="0" t="n">
        <v>300</v>
      </c>
      <c r="N12" s="0" t="n">
        <v>1345</v>
      </c>
      <c r="O12" s="0" t="n">
        <v>10728</v>
      </c>
      <c r="P12" s="0" t="n">
        <v>14262</v>
      </c>
      <c r="Q12" s="0" t="n">
        <v>3534</v>
      </c>
      <c r="R12" s="0" t="n">
        <v>878</v>
      </c>
      <c r="S12" s="0" t="n">
        <v>2034</v>
      </c>
      <c r="T12" s="0" t="n">
        <v>610</v>
      </c>
      <c r="U12" s="0" t="n">
        <v>217</v>
      </c>
      <c r="V12" s="0" t="n">
        <v>0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14810</v>
      </c>
      <c r="F13" s="0" t="n">
        <v>2481</v>
      </c>
      <c r="G13" s="0" t="n">
        <v>16.7521944632005</v>
      </c>
      <c r="H13" s="0" t="n">
        <v>2924</v>
      </c>
      <c r="I13" s="0" t="n">
        <v>1504</v>
      </c>
      <c r="J13" s="0" t="n">
        <v>10.1553004726536</v>
      </c>
      <c r="K13" s="0" t="n">
        <v>2.54</v>
      </c>
      <c r="L13" s="0" t="n">
        <v>2407</v>
      </c>
      <c r="M13" s="0" t="n">
        <v>284</v>
      </c>
      <c r="N13" s="0" t="n">
        <v>2123</v>
      </c>
      <c r="O13" s="0" t="n">
        <v>10669</v>
      </c>
      <c r="P13" s="0" t="n">
        <v>15221</v>
      </c>
      <c r="Q13" s="0" t="n">
        <v>4552</v>
      </c>
      <c r="R13" s="0" t="n">
        <v>873</v>
      </c>
      <c r="S13" s="0" t="n">
        <v>1925</v>
      </c>
      <c r="T13" s="0" t="n">
        <v>595</v>
      </c>
      <c r="U13" s="0" t="n">
        <v>221</v>
      </c>
      <c r="V13" s="0" t="n">
        <v>0.45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16125</v>
      </c>
      <c r="F14" s="0" t="n">
        <v>2801</v>
      </c>
      <c r="G14" s="0" t="n">
        <v>17.3705426356589</v>
      </c>
      <c r="H14" s="0" t="n">
        <v>3299</v>
      </c>
      <c r="I14" s="0" t="n">
        <v>2101</v>
      </c>
      <c r="J14" s="0" t="n">
        <v>13.0294573643411</v>
      </c>
      <c r="K14" s="0" t="n">
        <v>3.61</v>
      </c>
      <c r="L14" s="0" t="n">
        <v>2592</v>
      </c>
      <c r="M14" s="0" t="n">
        <v>377</v>
      </c>
      <c r="N14" s="0" t="n">
        <v>2215</v>
      </c>
      <c r="O14" s="0" t="n">
        <v>11424</v>
      </c>
      <c r="P14" s="0" t="n">
        <v>15846</v>
      </c>
      <c r="Q14" s="0" t="n">
        <v>4422</v>
      </c>
      <c r="R14" s="0" t="n">
        <v>745</v>
      </c>
      <c r="S14" s="0" t="n">
        <v>1161</v>
      </c>
      <c r="T14" s="0" t="n">
        <v>584</v>
      </c>
      <c r="U14" s="0" t="n">
        <v>267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16783</v>
      </c>
      <c r="F15" s="0" t="n">
        <v>2453</v>
      </c>
      <c r="G15" s="0" t="n">
        <v>14.6159804564142</v>
      </c>
      <c r="H15" s="0" t="n">
        <v>2979</v>
      </c>
      <c r="I15" s="0" t="n">
        <v>1842</v>
      </c>
      <c r="J15" s="0" t="n">
        <v>10.975391765477</v>
      </c>
      <c r="K15" s="0" t="n">
        <v>3.3</v>
      </c>
      <c r="L15" s="0" t="n">
        <v>2499</v>
      </c>
      <c r="M15" s="0" t="n">
        <v>392</v>
      </c>
      <c r="N15" s="0" t="n">
        <v>2107</v>
      </c>
      <c r="O15" s="0" t="n">
        <v>11022</v>
      </c>
      <c r="P15" s="0" t="n">
        <v>16204</v>
      </c>
      <c r="Q15" s="0" t="n">
        <v>5182</v>
      </c>
      <c r="R15" s="0" t="n">
        <v>738</v>
      </c>
      <c r="S15" s="0" t="n">
        <v>2645</v>
      </c>
      <c r="T15" s="0" t="n">
        <v>560</v>
      </c>
      <c r="U15" s="0" t="n">
        <v>217</v>
      </c>
      <c r="V15" s="0" t="n">
        <v>0.8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16652</v>
      </c>
      <c r="F16" s="0" t="n">
        <v>2114</v>
      </c>
      <c r="G16" s="0" t="n">
        <v>12.695171751141</v>
      </c>
      <c r="H16" s="0" t="n">
        <v>2673</v>
      </c>
      <c r="I16" s="0" t="n">
        <v>1392</v>
      </c>
      <c r="J16" s="0" t="n">
        <v>8.35935623348547</v>
      </c>
      <c r="K16" s="0" t="n">
        <v>2.58</v>
      </c>
      <c r="L16" s="0" t="n">
        <v>3299</v>
      </c>
      <c r="M16" s="0" t="n">
        <v>398</v>
      </c>
      <c r="N16" s="0" t="n">
        <v>2901</v>
      </c>
      <c r="O16" s="0" t="n">
        <v>10836</v>
      </c>
      <c r="P16" s="0" t="n">
        <v>16923</v>
      </c>
      <c r="Q16" s="0" t="n">
        <v>6087</v>
      </c>
      <c r="R16" s="0" t="n">
        <v>663</v>
      </c>
      <c r="S16" s="0" t="n">
        <v>2680</v>
      </c>
      <c r="T16" s="0" t="n">
        <v>541</v>
      </c>
      <c r="U16" s="0" t="n">
        <v>232</v>
      </c>
      <c r="V16" s="0" t="n">
        <v>0.88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18507</v>
      </c>
      <c r="F17" s="0" t="n">
        <v>2826</v>
      </c>
      <c r="G17" s="0" t="n">
        <v>15.2698978764792</v>
      </c>
      <c r="H17" s="0" t="n">
        <v>3400</v>
      </c>
      <c r="I17" s="0" t="n">
        <v>2137</v>
      </c>
      <c r="J17" s="0" t="n">
        <v>11.5469822229427</v>
      </c>
      <c r="K17" s="0" t="n">
        <v>4.06</v>
      </c>
      <c r="L17" s="0" t="n">
        <v>2495</v>
      </c>
      <c r="M17" s="0" t="n">
        <v>279</v>
      </c>
      <c r="N17" s="0" t="n">
        <v>2216</v>
      </c>
      <c r="O17" s="0" t="n">
        <v>11991</v>
      </c>
      <c r="P17" s="0" t="n">
        <v>17852</v>
      </c>
      <c r="Q17" s="0" t="n">
        <v>5861</v>
      </c>
      <c r="R17" s="0" t="n">
        <v>626</v>
      </c>
      <c r="S17" s="0" t="n">
        <v>1792</v>
      </c>
      <c r="T17" s="0" t="n">
        <v>528</v>
      </c>
      <c r="U17" s="0" t="n">
        <v>246</v>
      </c>
      <c r="V17" s="0" t="n">
        <v>0.96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19428</v>
      </c>
      <c r="F18" s="0" t="n">
        <v>2968</v>
      </c>
      <c r="G18" s="0" t="n">
        <v>15.2769199094091</v>
      </c>
      <c r="H18" s="0" t="n">
        <v>3537</v>
      </c>
      <c r="I18" s="0" t="n">
        <v>2290</v>
      </c>
      <c r="J18" s="0" t="n">
        <v>11.787111385629</v>
      </c>
      <c r="K18" s="0" t="n">
        <v>4.42</v>
      </c>
      <c r="L18" s="0" t="n">
        <v>2568</v>
      </c>
      <c r="M18" s="0" t="n">
        <v>332</v>
      </c>
      <c r="N18" s="0" t="n">
        <v>2236</v>
      </c>
      <c r="O18" s="0" t="n">
        <v>12309</v>
      </c>
      <c r="P18" s="0" t="n">
        <v>17852</v>
      </c>
      <c r="Q18" s="0" t="n">
        <v>5543</v>
      </c>
      <c r="R18" s="0" t="n">
        <v>638</v>
      </c>
      <c r="S18" s="0" t="n">
        <v>2191</v>
      </c>
      <c r="T18" s="0" t="n">
        <v>519</v>
      </c>
      <c r="U18" s="0" t="n">
        <v>261</v>
      </c>
      <c r="V18" s="0" t="n">
        <v>1.08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19353</v>
      </c>
      <c r="F19" s="0" t="n">
        <v>2689</v>
      </c>
      <c r="G19" s="0" t="n">
        <v>13.8944866428977</v>
      </c>
      <c r="H19" s="0" t="n">
        <v>3244</v>
      </c>
      <c r="I19" s="0" t="n">
        <v>2126</v>
      </c>
      <c r="J19" s="0" t="n">
        <v>10.985376944143</v>
      </c>
      <c r="K19" s="0" t="n">
        <v>4.21</v>
      </c>
      <c r="L19" s="0" t="n">
        <v>2330</v>
      </c>
      <c r="M19" s="0" t="n">
        <v>317</v>
      </c>
      <c r="N19" s="0" t="n">
        <v>2013</v>
      </c>
      <c r="O19" s="0" t="n">
        <v>13227</v>
      </c>
      <c r="P19" s="0" t="n">
        <v>18483</v>
      </c>
      <c r="Q19" s="0" t="n">
        <v>5256</v>
      </c>
      <c r="R19" s="0" t="n">
        <v>606</v>
      </c>
      <c r="S19" s="0" t="n">
        <v>2621</v>
      </c>
      <c r="T19" s="0" t="n">
        <v>505</v>
      </c>
      <c r="U19" s="0" t="n">
        <v>176</v>
      </c>
      <c r="V19" s="0" t="n">
        <v>1.16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19736</v>
      </c>
      <c r="F20" s="0" t="n">
        <v>2892</v>
      </c>
      <c r="G20" s="0" t="n">
        <v>14.6534252128091</v>
      </c>
      <c r="H20" s="0" t="n">
        <v>3434</v>
      </c>
      <c r="I20" s="0" t="n">
        <v>2240</v>
      </c>
      <c r="J20" s="0" t="n">
        <v>11.3498175922173</v>
      </c>
      <c r="K20" s="0" t="n">
        <v>4.52</v>
      </c>
      <c r="L20" s="0" t="n">
        <v>2124</v>
      </c>
      <c r="M20" s="0" t="n">
        <v>297</v>
      </c>
      <c r="N20" s="0" t="n">
        <v>1827</v>
      </c>
      <c r="O20" s="0" t="n">
        <v>14408</v>
      </c>
      <c r="P20" s="0" t="n">
        <v>19966</v>
      </c>
      <c r="Q20" s="0" t="n">
        <v>5558</v>
      </c>
      <c r="R20" s="0" t="n">
        <v>875</v>
      </c>
      <c r="S20" s="0" t="n">
        <v>2231</v>
      </c>
      <c r="T20" s="0" t="n">
        <v>497</v>
      </c>
      <c r="U20" s="0" t="n">
        <v>175</v>
      </c>
      <c r="V20" s="0" t="n">
        <v>1.2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21108</v>
      </c>
      <c r="F21" s="0" t="n">
        <v>3389</v>
      </c>
      <c r="G21" s="0" t="n">
        <v>16.0555239719538</v>
      </c>
      <c r="H21" s="0" t="n">
        <v>3939</v>
      </c>
      <c r="I21" s="0" t="n">
        <v>2230</v>
      </c>
      <c r="J21" s="0" t="n">
        <v>10.5647148000758</v>
      </c>
      <c r="K21" s="0" t="n">
        <v>4.57</v>
      </c>
      <c r="L21" s="0" t="n">
        <v>2883</v>
      </c>
      <c r="M21" s="0" t="n">
        <v>288</v>
      </c>
      <c r="N21" s="0" t="n">
        <v>2595</v>
      </c>
      <c r="O21" s="0" t="n">
        <v>15015</v>
      </c>
      <c r="P21" s="0" t="n">
        <v>20692</v>
      </c>
      <c r="Q21" s="0" t="n">
        <v>5677</v>
      </c>
      <c r="R21" s="0" t="n">
        <v>543</v>
      </c>
      <c r="S21" s="0" t="n">
        <v>1901</v>
      </c>
      <c r="T21" s="0" t="n">
        <v>489</v>
      </c>
      <c r="U21" s="0" t="n">
        <v>181</v>
      </c>
      <c r="V21" s="0" t="n">
        <v>1.24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57.33</v>
      </c>
    </row>
    <row r="3" customFormat="false" ht="15" hidden="false" customHeight="false" outlineLevel="0" collapsed="false">
      <c r="A3" s="0" t="s">
        <v>86</v>
      </c>
      <c r="B3" s="3" t="n">
        <v>453</v>
      </c>
    </row>
    <row r="4" customFormat="false" ht="15" hidden="false" customHeight="false" outlineLevel="0" collapsed="false">
      <c r="A4" s="0" t="s">
        <v>87</v>
      </c>
      <c r="B4" s="3" t="n">
        <v>509</v>
      </c>
    </row>
    <row r="5" customFormat="false" ht="15" hidden="false" customHeight="false" outlineLevel="0" collapsed="false">
      <c r="A5" s="0" t="s">
        <v>88</v>
      </c>
      <c r="B5" s="3" t="n">
        <v>106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21108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4.5</v>
      </c>
      <c r="D13" s="3" t="n">
        <v>1</v>
      </c>
      <c r="E13" s="3" t="n">
        <v>-1.5</v>
      </c>
      <c r="F13" s="3" t="n">
        <v>-1.5</v>
      </c>
      <c r="G13" s="3" t="n">
        <v>0</v>
      </c>
      <c r="H13" s="3" t="n">
        <v>1</v>
      </c>
      <c r="I13" s="3" t="n">
        <v>1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18.3</v>
      </c>
      <c r="D14" s="3" t="n">
        <v>18.5</v>
      </c>
      <c r="E14" s="3" t="n">
        <v>17.9</v>
      </c>
      <c r="F14" s="3" t="n">
        <v>17.4</v>
      </c>
      <c r="G14" s="3" t="n">
        <v>17</v>
      </c>
      <c r="H14" s="3" t="n">
        <v>16.7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108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2.7</v>
      </c>
      <c r="D17" s="3" t="n">
        <v>2.7</v>
      </c>
      <c r="E17" s="3" t="n">
        <v>2.6</v>
      </c>
      <c r="F17" s="3" t="n">
        <v>2.5</v>
      </c>
      <c r="G17" s="3" t="n">
        <v>2.4</v>
      </c>
      <c r="H17" s="3" t="n">
        <v>2.3</v>
      </c>
      <c r="I17" s="3" t="n">
        <v>2.3</v>
      </c>
      <c r="J17" s="3" t="n">
        <v>2.3</v>
      </c>
      <c r="K17" s="3" t="n">
        <v>2.3</v>
      </c>
      <c r="L17" s="3" t="n">
        <v>2.3</v>
      </c>
    </row>
    <row r="18" customFormat="false" ht="15" hidden="false" customHeight="false" outlineLevel="0" collapsed="false">
      <c r="A18" s="0" t="s">
        <v>111</v>
      </c>
      <c r="C18" s="3" t="n">
        <v>1.5</v>
      </c>
      <c r="D18" s="3" t="n">
        <v>1.5</v>
      </c>
      <c r="E18" s="3" t="n">
        <v>1.5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112</v>
      </c>
      <c r="C19" s="3" t="n">
        <v>28.5</v>
      </c>
      <c r="D19" s="3" t="n">
        <v>28.5</v>
      </c>
      <c r="E19" s="3" t="n">
        <v>28.5</v>
      </c>
      <c r="F19" s="3" t="n">
        <v>28.5</v>
      </c>
      <c r="G19" s="3" t="n">
        <v>28.5</v>
      </c>
      <c r="H19" s="3" t="n">
        <v>28.5</v>
      </c>
      <c r="I19" s="3" t="n">
        <v>28.5</v>
      </c>
      <c r="J19" s="3" t="n">
        <v>28.5</v>
      </c>
      <c r="K19" s="3" t="n">
        <v>28.5</v>
      </c>
      <c r="L19" s="3" t="n">
        <v>28.5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1</v>
      </c>
    </row>
    <row r="22" customFormat="false" ht="15" hidden="false" customHeight="false" outlineLevel="0" collapsed="false">
      <c r="A22" s="0" t="s">
        <v>115</v>
      </c>
      <c r="B22" s="3" t="n">
        <v>10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18.5</v>
      </c>
      <c r="D28" s="3" t="n">
        <v>19.2</v>
      </c>
      <c r="E28" s="3" t="n">
        <v>19.3</v>
      </c>
      <c r="F28" s="3" t="n">
        <v>19.3</v>
      </c>
      <c r="G28" s="3" t="n">
        <v>19.4</v>
      </c>
      <c r="H28" s="3" t="n">
        <v>19.4</v>
      </c>
      <c r="I28" s="3" t="n">
        <v>19.4</v>
      </c>
      <c r="J28" s="3" t="n">
        <v>19.4</v>
      </c>
      <c r="K28" s="3" t="n">
        <v>19.4</v>
      </c>
      <c r="L28" s="3" t="n">
        <v>19.4</v>
      </c>
    </row>
    <row r="29" customFormat="false" ht="15" hidden="false" customHeight="false" outlineLevel="0" collapsed="false">
      <c r="A29" s="0" t="s">
        <v>108</v>
      </c>
      <c r="C29" s="3" t="n">
        <v>0.9</v>
      </c>
      <c r="D29" s="3" t="n">
        <v>0.9</v>
      </c>
      <c r="E29" s="3" t="n">
        <v>0.9</v>
      </c>
      <c r="F29" s="3" t="n">
        <v>0.9</v>
      </c>
      <c r="G29" s="3" t="n">
        <v>0.9</v>
      </c>
      <c r="H29" s="3" t="n">
        <v>0.9</v>
      </c>
      <c r="I29" s="3" t="n">
        <v>0.9</v>
      </c>
      <c r="J29" s="3" t="n">
        <v>0.9</v>
      </c>
      <c r="K29" s="3" t="n">
        <v>0.9</v>
      </c>
      <c r="L29" s="3" t="n">
        <v>0.9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2.7</v>
      </c>
      <c r="D31" s="3" t="n">
        <v>2.6</v>
      </c>
      <c r="E31" s="3" t="n">
        <v>2.5</v>
      </c>
      <c r="F31" s="3" t="n">
        <v>2.4</v>
      </c>
      <c r="G31" s="3" t="n">
        <v>2.3</v>
      </c>
      <c r="H31" s="3" t="n">
        <v>2.2</v>
      </c>
      <c r="I31" s="3" t="n">
        <v>2.2</v>
      </c>
      <c r="J31" s="3" t="n">
        <v>2.2</v>
      </c>
      <c r="K31" s="3" t="n">
        <v>2.2</v>
      </c>
      <c r="L31" s="3" t="n">
        <v>2.2</v>
      </c>
    </row>
    <row r="32" customFormat="false" ht="15" hidden="false" customHeight="false" outlineLevel="0" collapsed="false">
      <c r="A32" s="0" t="s">
        <v>111</v>
      </c>
      <c r="C32" s="3" t="n">
        <v>1.5</v>
      </c>
      <c r="D32" s="3" t="n">
        <v>1.5</v>
      </c>
      <c r="E32" s="3" t="n">
        <v>1.5</v>
      </c>
      <c r="F32" s="3" t="n">
        <v>1.6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112</v>
      </c>
      <c r="C33" s="3" t="n">
        <v>27.5</v>
      </c>
      <c r="D33" s="3" t="n">
        <v>27.5</v>
      </c>
      <c r="E33" s="3" t="n">
        <v>27.5</v>
      </c>
      <c r="F33" s="3" t="n">
        <v>27.5</v>
      </c>
      <c r="G33" s="3" t="n">
        <v>27.5</v>
      </c>
      <c r="H33" s="3" t="n">
        <v>27.5</v>
      </c>
      <c r="I33" s="3" t="n">
        <v>27.5</v>
      </c>
      <c r="J33" s="3" t="n">
        <v>27.5</v>
      </c>
      <c r="K33" s="3" t="n">
        <v>27.5</v>
      </c>
      <c r="L33" s="3" t="n">
        <v>27.5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5.5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18.7</v>
      </c>
      <c r="D42" s="3" t="n">
        <v>19.5</v>
      </c>
      <c r="E42" s="3" t="n">
        <v>19.8</v>
      </c>
      <c r="F42" s="3" t="n">
        <v>20.1</v>
      </c>
      <c r="G42" s="3" t="n">
        <v>20.4</v>
      </c>
      <c r="H42" s="3" t="n">
        <v>20.6</v>
      </c>
      <c r="I42" s="3" t="n">
        <v>20.8</v>
      </c>
      <c r="J42" s="3" t="n">
        <v>20.9</v>
      </c>
      <c r="K42" s="3" t="n">
        <v>21</v>
      </c>
      <c r="L42" s="3" t="n">
        <v>21</v>
      </c>
    </row>
    <row r="43" customFormat="false" ht="15" hidden="false" customHeight="false" outlineLevel="0" collapsed="false">
      <c r="A43" s="0" t="s">
        <v>108</v>
      </c>
      <c r="C43" s="3" t="n">
        <v>0.9</v>
      </c>
      <c r="D43" s="3" t="n">
        <v>0.9</v>
      </c>
      <c r="E43" s="3" t="n">
        <v>0.9</v>
      </c>
      <c r="F43" s="3" t="n">
        <v>0.9</v>
      </c>
      <c r="G43" s="3" t="n">
        <v>0.9</v>
      </c>
      <c r="H43" s="3" t="n">
        <v>0.9</v>
      </c>
      <c r="I43" s="3" t="n">
        <v>0.9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2.7</v>
      </c>
      <c r="D45" s="3" t="n">
        <v>2.6</v>
      </c>
      <c r="E45" s="3" t="n">
        <v>2.5</v>
      </c>
      <c r="F45" s="3" t="n">
        <v>2.4</v>
      </c>
      <c r="G45" s="3" t="n">
        <v>2.3</v>
      </c>
      <c r="H45" s="3" t="n">
        <v>2.2</v>
      </c>
      <c r="I45" s="3" t="n">
        <v>2.2</v>
      </c>
      <c r="J45" s="3" t="n">
        <v>2.2</v>
      </c>
      <c r="K45" s="3" t="n">
        <v>2.2</v>
      </c>
      <c r="L45" s="3" t="n">
        <v>2.2</v>
      </c>
    </row>
    <row r="46" customFormat="false" ht="15" hidden="false" customHeight="false" outlineLevel="0" collapsed="false">
      <c r="A46" s="0" t="s">
        <v>111</v>
      </c>
      <c r="C46" s="3" t="n">
        <v>1.5</v>
      </c>
      <c r="D46" s="3" t="n">
        <v>1.5</v>
      </c>
      <c r="E46" s="3" t="n">
        <v>1.5</v>
      </c>
      <c r="F46" s="3" t="n">
        <v>1.6</v>
      </c>
      <c r="G46" s="3" t="n">
        <v>1.6</v>
      </c>
      <c r="H46" s="3" t="n">
        <v>1.6</v>
      </c>
      <c r="I46" s="3" t="n">
        <v>1.6</v>
      </c>
      <c r="J46" s="3" t="n">
        <v>1.6</v>
      </c>
      <c r="K46" s="3" t="n">
        <v>1.6</v>
      </c>
      <c r="L46" s="3" t="n">
        <v>1.6</v>
      </c>
    </row>
    <row r="47" customFormat="false" ht="15" hidden="false" customHeight="false" outlineLevel="0" collapsed="false">
      <c r="A47" s="0" t="s">
        <v>112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4.5</v>
      </c>
      <c r="D5" s="4" t="n">
        <f aca="false">Assumptions!D13</f>
        <v>1</v>
      </c>
      <c r="E5" s="4" t="n">
        <f aca="false">Assumptions!E13</f>
        <v>-1.5</v>
      </c>
      <c r="F5" s="4" t="n">
        <f aca="false">Assumptions!F13</f>
        <v>-1.5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21108</v>
      </c>
      <c r="C6" s="0" t="n">
        <f aca="false">B6*(1+C5/100)</f>
        <v>22057.86</v>
      </c>
      <c r="D6" s="0" t="n">
        <f aca="false">C6*(1+D5/100)</f>
        <v>22278.4386</v>
      </c>
      <c r="E6" s="0" t="n">
        <f aca="false">D6*(1+E5/100)</f>
        <v>21944.262021</v>
      </c>
      <c r="F6" s="0" t="n">
        <f aca="false">E6*(1+F5/100)</f>
        <v>21615.098090685</v>
      </c>
      <c r="G6" s="0" t="n">
        <f aca="false">F6*(1+G5/100)</f>
        <v>21615.098090685</v>
      </c>
      <c r="H6" s="0" t="n">
        <f aca="false">G6*(1+H5/100)</f>
        <v>21831.2490715918</v>
      </c>
      <c r="I6" s="0" t="n">
        <f aca="false">H6*(1+I5/100)</f>
        <v>22049.5615623078</v>
      </c>
      <c r="J6" s="0" t="n">
        <f aca="false">I6*(1+J5/100)</f>
        <v>22380.3049857424</v>
      </c>
      <c r="K6" s="0" t="n">
        <f aca="false">J6*(1+K5/100)</f>
        <v>22716.0095605285</v>
      </c>
      <c r="L6" s="0" t="n">
        <f aca="false">K6*(1+L5/100)</f>
        <v>23056.7497039364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18.3</v>
      </c>
      <c r="D7" s="4" t="n">
        <f aca="false">Assumptions!D14</f>
        <v>18.5</v>
      </c>
      <c r="E7" s="4" t="n">
        <f aca="false">Assumptions!E14</f>
        <v>17.9</v>
      </c>
      <c r="F7" s="4" t="n">
        <f aca="false">Assumptions!F14</f>
        <v>17.4</v>
      </c>
      <c r="G7" s="4" t="n">
        <f aca="false">Assumptions!G14</f>
        <v>17</v>
      </c>
      <c r="H7" s="4" t="n">
        <f aca="false">Assumptions!H14</f>
        <v>16.7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4036.58838</v>
      </c>
      <c r="D8" s="0" t="n">
        <f aca="false">D6*D7/100</f>
        <v>4121.511141</v>
      </c>
      <c r="E8" s="0" t="n">
        <f aca="false">E6*E7/100</f>
        <v>3928.022901759</v>
      </c>
      <c r="F8" s="0" t="n">
        <f aca="false">F6*F7/100</f>
        <v>3761.02706777919</v>
      </c>
      <c r="G8" s="0" t="n">
        <f aca="false">G6*G7/100</f>
        <v>3674.56667541645</v>
      </c>
      <c r="H8" s="0" t="n">
        <f aca="false">H6*H7/100</f>
        <v>3645.81859495584</v>
      </c>
      <c r="I8" s="0" t="n">
        <f aca="false">I6*I7/100</f>
        <v>3638.17765778078</v>
      </c>
      <c r="J8" s="0" t="n">
        <f aca="false">J6*J7/100</f>
        <v>3692.75032264749</v>
      </c>
      <c r="K8" s="0" t="n">
        <f aca="false">K6*K7/100</f>
        <v>3748.14157748721</v>
      </c>
      <c r="L8" s="0" t="n">
        <f aca="false">L6*L7/100</f>
        <v>3804.36370114951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-198.52074</v>
      </c>
      <c r="D10" s="0" t="n">
        <f aca="false">-D6*D9/100</f>
        <v>-200.5059474</v>
      </c>
      <c r="E10" s="0" t="n">
        <f aca="false">-E6*E9/100</f>
        <v>-197.498358189</v>
      </c>
      <c r="F10" s="0" t="n">
        <f aca="false">-F6*F9/100</f>
        <v>-194.535882816165</v>
      </c>
      <c r="G10" s="0" t="n">
        <f aca="false">-G6*G9/100</f>
        <v>-194.535882816165</v>
      </c>
      <c r="H10" s="0" t="n">
        <f aca="false">-H6*H9/100</f>
        <v>-196.481241644327</v>
      </c>
      <c r="I10" s="0" t="n">
        <f aca="false">-I6*I9/100</f>
        <v>-198.44605406077</v>
      </c>
      <c r="J10" s="0" t="n">
        <f aca="false">-J6*J9/100</f>
        <v>-201.422744871681</v>
      </c>
      <c r="K10" s="0" t="n">
        <f aca="false">-K6*K9/100</f>
        <v>-204.444086044757</v>
      </c>
      <c r="L10" s="0" t="n">
        <f aca="false">-L6*L9/100</f>
        <v>-207.510747335428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3838.06764</v>
      </c>
      <c r="D11" s="0" t="n">
        <f aca="false">D8+D10+D24</f>
        <v>3921.0051936</v>
      </c>
      <c r="E11" s="0" t="n">
        <f aca="false">E8+E10+E24</f>
        <v>3730.52454357</v>
      </c>
      <c r="F11" s="0" t="n">
        <f aca="false">F8+F10+F24</f>
        <v>3566.49118496302</v>
      </c>
      <c r="G11" s="0" t="n">
        <f aca="false">G8+G10+G24</f>
        <v>3480.03079260028</v>
      </c>
      <c r="H11" s="0" t="n">
        <f aca="false">H8+H10+H24</f>
        <v>3449.33735331151</v>
      </c>
      <c r="I11" s="0" t="n">
        <f aca="false">I8+I10+I24</f>
        <v>3439.73160372001</v>
      </c>
      <c r="J11" s="0" t="n">
        <f aca="false">J8+J10+J24</f>
        <v>3491.32757777581</v>
      </c>
      <c r="K11" s="0" t="n">
        <f aca="false">K8+K10+K24</f>
        <v>3543.69749144245</v>
      </c>
      <c r="L11" s="0" t="n">
        <f aca="false">L8+L10+L24</f>
        <v>3596.85295381408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-595.56222</v>
      </c>
      <c r="D12" s="4" t="n">
        <f aca="false">-D6*Assumptions!D17/100</f>
        <v>-601.5178422</v>
      </c>
      <c r="E12" s="4" t="n">
        <f aca="false">-E6*Assumptions!E17/100</f>
        <v>-570.550812546</v>
      </c>
      <c r="F12" s="4" t="n">
        <f aca="false">-F6*Assumptions!F17/100</f>
        <v>-540.377452267125</v>
      </c>
      <c r="G12" s="4" t="n">
        <f aca="false">-G6*Assumptions!G17/100</f>
        <v>-518.76235417644</v>
      </c>
      <c r="H12" s="4" t="n">
        <f aca="false">-H6*Assumptions!H17/100</f>
        <v>-502.118728646612</v>
      </c>
      <c r="I12" s="4" t="n">
        <f aca="false">-I6*Assumptions!I17/100</f>
        <v>-507.139915933079</v>
      </c>
      <c r="J12" s="4" t="n">
        <f aca="false">-J6*Assumptions!J17/100</f>
        <v>-514.747014672075</v>
      </c>
      <c r="K12" s="4" t="n">
        <f aca="false">-K6*Assumptions!K17/100</f>
        <v>-522.468219892156</v>
      </c>
      <c r="L12" s="4" t="n">
        <f aca="false">-L6*Assumptions!L17/100</f>
        <v>-530.305243190538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3242.50542</v>
      </c>
      <c r="D13" s="0" t="n">
        <f aca="false">D11+D12</f>
        <v>3319.4873514</v>
      </c>
      <c r="E13" s="0" t="n">
        <f aca="false">E11+E12</f>
        <v>3159.973731024</v>
      </c>
      <c r="F13" s="0" t="n">
        <f aca="false">F11+F12</f>
        <v>3026.1137326959</v>
      </c>
      <c r="G13" s="0" t="n">
        <f aca="false">G11+G12</f>
        <v>2961.26843842384</v>
      </c>
      <c r="H13" s="0" t="n">
        <f aca="false">H11+H12</f>
        <v>2947.2186246649</v>
      </c>
      <c r="I13" s="0" t="n">
        <f aca="false">I11+I12</f>
        <v>2932.59168778693</v>
      </c>
      <c r="J13" s="0" t="n">
        <f aca="false">J11+J12</f>
        <v>2976.58056310374</v>
      </c>
      <c r="K13" s="0" t="n">
        <f aca="false">K11+K12</f>
        <v>3021.22927155029</v>
      </c>
      <c r="L13" s="0" t="n">
        <f aca="false">L11+L12</f>
        <v>3066.54771062355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28.5</v>
      </c>
      <c r="D14" s="4" t="n">
        <f aca="false">Assumptions!D19</f>
        <v>28.5</v>
      </c>
      <c r="E14" s="4" t="n">
        <f aca="false">Assumptions!E19</f>
        <v>28.5</v>
      </c>
      <c r="F14" s="4" t="n">
        <f aca="false">Assumptions!F19</f>
        <v>28.5</v>
      </c>
      <c r="G14" s="4" t="n">
        <f aca="false">Assumptions!G19</f>
        <v>28.5</v>
      </c>
      <c r="H14" s="4" t="n">
        <f aca="false">Assumptions!H19</f>
        <v>28.5</v>
      </c>
      <c r="I14" s="4" t="n">
        <f aca="false">Assumptions!I19</f>
        <v>28.5</v>
      </c>
      <c r="J14" s="4" t="n">
        <f aca="false">Assumptions!J19</f>
        <v>28.5</v>
      </c>
      <c r="K14" s="4" t="n">
        <f aca="false">Assumptions!K19</f>
        <v>28.5</v>
      </c>
      <c r="L14" s="4" t="n">
        <f aca="false">Assumptions!L19</f>
        <v>28.5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2318.3913753</v>
      </c>
      <c r="D15" s="0" t="n">
        <f aca="false">D13-MAX(0,D13)*D14/100</f>
        <v>2373.433456251</v>
      </c>
      <c r="E15" s="0" t="n">
        <f aca="false">E13-MAX(0,E13)*E14/100</f>
        <v>2259.38121768216</v>
      </c>
      <c r="F15" s="0" t="n">
        <f aca="false">F13-MAX(0,F13)*F14/100</f>
        <v>2163.67131887757</v>
      </c>
      <c r="G15" s="0" t="n">
        <f aca="false">G13-MAX(0,G13)*G14/100</f>
        <v>2117.30693347305</v>
      </c>
      <c r="H15" s="0" t="n">
        <f aca="false">H13-MAX(0,H13)*H14/100</f>
        <v>2107.2613166354</v>
      </c>
      <c r="I15" s="0" t="n">
        <f aca="false">I13-MAX(0,I13)*I14/100</f>
        <v>2096.80305676766</v>
      </c>
      <c r="J15" s="0" t="n">
        <f aca="false">J13-MAX(0,J13)*J14/100</f>
        <v>2128.25510261917</v>
      </c>
      <c r="K15" s="0" t="n">
        <f aca="false">K13-MAX(0,K13)*K14/100</f>
        <v>2160.17892915846</v>
      </c>
      <c r="L15" s="0" t="n">
        <f aca="false">L13-MAX(0,L13)*L14/100</f>
        <v>2192.58161309584</v>
      </c>
    </row>
    <row r="16" customFormat="false" ht="15" hidden="false" customHeight="false" outlineLevel="0" collapsed="false">
      <c r="A16" s="0" t="s">
        <v>128</v>
      </c>
      <c r="C16" s="0" t="n">
        <f aca="false">-C12</f>
        <v>595.56222</v>
      </c>
      <c r="D16" s="0" t="n">
        <f aca="false">-D12</f>
        <v>601.5178422</v>
      </c>
      <c r="E16" s="0" t="n">
        <f aca="false">-E12</f>
        <v>570.550812546</v>
      </c>
      <c r="F16" s="0" t="n">
        <f aca="false">-F12</f>
        <v>540.377452267125</v>
      </c>
      <c r="G16" s="0" t="n">
        <f aca="false">-G12</f>
        <v>518.76235417644</v>
      </c>
      <c r="H16" s="0" t="n">
        <f aca="false">-H12</f>
        <v>502.118728646612</v>
      </c>
      <c r="I16" s="0" t="n">
        <f aca="false">-I12</f>
        <v>507.139915933079</v>
      </c>
      <c r="J16" s="0" t="n">
        <f aca="false">-J12</f>
        <v>514.747014672075</v>
      </c>
      <c r="K16" s="0" t="n">
        <f aca="false">-K12</f>
        <v>522.468219892156</v>
      </c>
      <c r="L16" s="0" t="n">
        <f aca="false">-L12</f>
        <v>530.305243190538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-330.8679</v>
      </c>
      <c r="D17" s="4" t="n">
        <f aca="false">-D6*Assumptions!D18/100</f>
        <v>-334.176579</v>
      </c>
      <c r="E17" s="4" t="n">
        <f aca="false">-E6*Assumptions!E18/100</f>
        <v>-329.163930315</v>
      </c>
      <c r="F17" s="4" t="n">
        <f aca="false">-F6*Assumptions!F18/100</f>
        <v>-345.84156945096</v>
      </c>
      <c r="G17" s="4" t="n">
        <f aca="false">-G6*Assumptions!G18/100</f>
        <v>-345.84156945096</v>
      </c>
      <c r="H17" s="4" t="n">
        <f aca="false">-H6*Assumptions!H18/100</f>
        <v>-349.29998514547</v>
      </c>
      <c r="I17" s="4" t="n">
        <f aca="false">-I6*Assumptions!I18/100</f>
        <v>-352.792984996924</v>
      </c>
      <c r="J17" s="4" t="n">
        <f aca="false">-J6*Assumptions!J18/100</f>
        <v>-358.084879771878</v>
      </c>
      <c r="K17" s="4" t="n">
        <f aca="false">-K6*Assumptions!K18/100</f>
        <v>-363.456152968456</v>
      </c>
      <c r="L17" s="4" t="n">
        <f aca="false">-L6*Assumptions!L18/100</f>
        <v>-368.907995262983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-142.479</v>
      </c>
      <c r="D18" s="4" t="n">
        <f aca="false">(D6-C6)*Assumptions!$B$23/100</f>
        <v>-33.0867900000001</v>
      </c>
      <c r="E18" s="4" t="n">
        <f aca="false">(E6-D6)*Assumptions!$B$23/100</f>
        <v>50.1264868499999</v>
      </c>
      <c r="F18" s="4" t="n">
        <f aca="false">(F6-E6)*Assumptions!$B$23/100</f>
        <v>49.3745895472501</v>
      </c>
      <c r="G18" s="4" t="n">
        <f aca="false">(G6-F6)*Assumptions!$B$23/100</f>
        <v>-0</v>
      </c>
      <c r="H18" s="4" t="n">
        <f aca="false">(H6-G6)*Assumptions!$B$23/100</f>
        <v>-32.4226471360273</v>
      </c>
      <c r="I18" s="4" t="n">
        <f aca="false">(I6-H6)*Assumptions!$B$23/100</f>
        <v>-32.7468736073877</v>
      </c>
      <c r="J18" s="4" t="n">
        <f aca="false">(J6-I6)*Assumptions!$B$23/100</f>
        <v>-49.6115135151922</v>
      </c>
      <c r="K18" s="4" t="n">
        <f aca="false">(K6-J6)*Assumptions!$B$23/100</f>
        <v>-50.3556862179201</v>
      </c>
      <c r="L18" s="4" t="n">
        <f aca="false">(L6-K6)*Assumptions!$B$23/100</f>
        <v>-51.1110215111888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2440.6066953</v>
      </c>
      <c r="D19" s="0" t="n">
        <f aca="false">D15+D16+D17+D18</f>
        <v>2607.687929451</v>
      </c>
      <c r="E19" s="0" t="n">
        <f aca="false">E15+E16+E17+E18</f>
        <v>2550.89458676316</v>
      </c>
      <c r="F19" s="0" t="n">
        <f aca="false">F15+F16+F17+F18</f>
        <v>2407.58179124098</v>
      </c>
      <c r="G19" s="0" t="n">
        <f aca="false">G15+G16+G17+G18</f>
        <v>2290.22771819853</v>
      </c>
      <c r="H19" s="0" t="n">
        <f aca="false">H15+H16+H17+H18</f>
        <v>2227.65741300052</v>
      </c>
      <c r="I19" s="0" t="n">
        <f aca="false">I15+I16+I17+I18</f>
        <v>2218.40311409642</v>
      </c>
      <c r="J19" s="0" t="n">
        <f aca="false">J15+J16+J17+J18</f>
        <v>2235.30572400418</v>
      </c>
      <c r="K19" s="0" t="n">
        <f aca="false">K15+K16+K17+K18</f>
        <v>2268.83530986424</v>
      </c>
      <c r="L19" s="0" t="n">
        <f aca="false">L15+L16+L17+L18</f>
        <v>2302.8678395122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2239.0887112844</v>
      </c>
      <c r="D21" s="0" t="n">
        <f aca="false">D19*D20</f>
        <v>2194.83875890161</v>
      </c>
      <c r="E21" s="0" t="n">
        <f aca="false">E19*E20</f>
        <v>1969.75865927571</v>
      </c>
      <c r="F21" s="0" t="n">
        <f aca="false">F19*F20</f>
        <v>1705.59163861662</v>
      </c>
      <c r="G21" s="0" t="n">
        <f aca="false">G19*G20</f>
        <v>1488.49087582767</v>
      </c>
      <c r="H21" s="0" t="n">
        <f aca="false">H19*H20</f>
        <v>1328.27933085249</v>
      </c>
      <c r="I21" s="0" t="n">
        <f aca="false">I19*I20</f>
        <v>1213.5424722778</v>
      </c>
      <c r="J21" s="0" t="n">
        <f aca="false">J19*J20</f>
        <v>1121.82456763722</v>
      </c>
      <c r="K21" s="0" t="n">
        <f aca="false">K19*K20</f>
        <v>1044.63480380897</v>
      </c>
      <c r="L21" s="0" t="n">
        <f aca="false">L19*L20</f>
        <v>972.756262262481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15278.806080745</v>
      </c>
    </row>
    <row r="31" customFormat="false" ht="15" hidden="false" customHeight="false" outlineLevel="0" collapsed="false">
      <c r="A31" s="0" t="s">
        <v>137</v>
      </c>
      <c r="B31" s="0" t="n">
        <f aca="false">L19</f>
        <v>2302.8678395122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29073.7064738415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23028.678395122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23028.678395122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9727.56262262481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25006.3687033698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24603.3687033698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54.3120721928692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-0.0526413362485743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1276.23096757058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1106.64162554625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59.5722765926857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16613.5465564809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34.7286416295603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21108</v>
      </c>
      <c r="C6" s="0" t="n">
        <f aca="false">B6*(1+C5/100)</f>
        <v>22163.4</v>
      </c>
      <c r="D6" s="0" t="n">
        <f aca="false">C6*(1+D5/100)</f>
        <v>23049.936</v>
      </c>
      <c r="E6" s="0" t="n">
        <f aca="false">D6*(1+E5/100)</f>
        <v>23971.93344</v>
      </c>
      <c r="F6" s="0" t="n">
        <f aca="false">E6*(1+F5/100)</f>
        <v>24810.9511104</v>
      </c>
      <c r="G6" s="0" t="n">
        <f aca="false">F6*(1+G5/100)</f>
        <v>25679.334399264</v>
      </c>
      <c r="H6" s="0" t="n">
        <f aca="false">G6*(1+H5/100)</f>
        <v>26449.7144312419</v>
      </c>
      <c r="I6" s="0" t="n">
        <f aca="false">H6*(1+I5/100)</f>
        <v>27243.2058641792</v>
      </c>
      <c r="J6" s="0" t="n">
        <f aca="false">I6*(1+J5/100)</f>
        <v>28060.5020401046</v>
      </c>
      <c r="K6" s="0" t="n">
        <f aca="false">J6*(1+K5/100)</f>
        <v>28762.0145911072</v>
      </c>
      <c r="L6" s="0" t="n">
        <f aca="false">K6*(1+L5/100)</f>
        <v>29481.0649558848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18.5</v>
      </c>
      <c r="D7" s="4" t="n">
        <f aca="false">Assumptions!D28</f>
        <v>19.2</v>
      </c>
      <c r="E7" s="4" t="n">
        <f aca="false">Assumptions!E28</f>
        <v>19.3</v>
      </c>
      <c r="F7" s="4" t="n">
        <f aca="false">Assumptions!F28</f>
        <v>19.3</v>
      </c>
      <c r="G7" s="4" t="n">
        <f aca="false">Assumptions!G28</f>
        <v>19.4</v>
      </c>
      <c r="H7" s="4" t="n">
        <f aca="false">Assumptions!H28</f>
        <v>19.4</v>
      </c>
      <c r="I7" s="4" t="n">
        <f aca="false">Assumptions!I28</f>
        <v>19.4</v>
      </c>
      <c r="J7" s="4" t="n">
        <f aca="false">Assumptions!J28</f>
        <v>19.4</v>
      </c>
      <c r="K7" s="4" t="n">
        <f aca="false">Assumptions!K28</f>
        <v>19.4</v>
      </c>
      <c r="L7" s="4" t="n">
        <f aca="false">Assumptions!L28</f>
        <v>19.4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4100.229</v>
      </c>
      <c r="D8" s="0" t="n">
        <f aca="false">D6*D7/100</f>
        <v>4425.587712</v>
      </c>
      <c r="E8" s="0" t="n">
        <f aca="false">E6*E7/100</f>
        <v>4626.58315392</v>
      </c>
      <c r="F8" s="0" t="n">
        <f aca="false">F6*F7/100</f>
        <v>4788.5135643072</v>
      </c>
      <c r="G8" s="0" t="n">
        <f aca="false">G6*G7/100</f>
        <v>4981.79087345722</v>
      </c>
      <c r="H8" s="0" t="n">
        <f aca="false">H6*H7/100</f>
        <v>5131.24459966093</v>
      </c>
      <c r="I8" s="0" t="n">
        <f aca="false">I6*I7/100</f>
        <v>5285.18193765076</v>
      </c>
      <c r="J8" s="0" t="n">
        <f aca="false">J6*J7/100</f>
        <v>5443.73739578028</v>
      </c>
      <c r="K8" s="0" t="n">
        <f aca="false">K6*K7/100</f>
        <v>5579.83083067479</v>
      </c>
      <c r="L8" s="0" t="n">
        <f aca="false">L6*L7/100</f>
        <v>5719.32660144166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0.9</v>
      </c>
      <c r="D9" s="4" t="n">
        <f aca="false">Assumptions!D29</f>
        <v>0.9</v>
      </c>
      <c r="E9" s="4" t="n">
        <f aca="false">Assumptions!E29</f>
        <v>0.9</v>
      </c>
      <c r="F9" s="4" t="n">
        <f aca="false">Assumptions!F29</f>
        <v>0.9</v>
      </c>
      <c r="G9" s="4" t="n">
        <f aca="false">Assumptions!G29</f>
        <v>0.9</v>
      </c>
      <c r="H9" s="4" t="n">
        <f aca="false">Assumptions!H29</f>
        <v>0.9</v>
      </c>
      <c r="I9" s="4" t="n">
        <f aca="false">Assumptions!I29</f>
        <v>0.9</v>
      </c>
      <c r="J9" s="4" t="n">
        <f aca="false">Assumptions!J29</f>
        <v>0.9</v>
      </c>
      <c r="K9" s="4" t="n">
        <f aca="false">Assumptions!K29</f>
        <v>0.9</v>
      </c>
      <c r="L9" s="4" t="n">
        <f aca="false">Assumptions!L29</f>
        <v>0.9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-199.4706</v>
      </c>
      <c r="D10" s="0" t="n">
        <f aca="false">-D6*D9/100</f>
        <v>-207.449424</v>
      </c>
      <c r="E10" s="0" t="n">
        <f aca="false">-E6*E9/100</f>
        <v>-215.74740096</v>
      </c>
      <c r="F10" s="0" t="n">
        <f aca="false">-F6*F9/100</f>
        <v>-223.2985599936</v>
      </c>
      <c r="G10" s="0" t="n">
        <f aca="false">-G6*G9/100</f>
        <v>-231.114009593376</v>
      </c>
      <c r="H10" s="0" t="n">
        <f aca="false">-H6*H9/100</f>
        <v>-238.047429881177</v>
      </c>
      <c r="I10" s="0" t="n">
        <f aca="false">-I6*I9/100</f>
        <v>-245.188852777613</v>
      </c>
      <c r="J10" s="0" t="n">
        <f aca="false">-J6*J9/100</f>
        <v>-252.544518360941</v>
      </c>
      <c r="K10" s="0" t="n">
        <f aca="false">-K6*K9/100</f>
        <v>-258.858131319965</v>
      </c>
      <c r="L10" s="0" t="n">
        <f aca="false">-L6*L9/100</f>
        <v>-265.329584602964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3900.7584</v>
      </c>
      <c r="D11" s="0" t="n">
        <f aca="false">D8+D10+D24</f>
        <v>4218.138288</v>
      </c>
      <c r="E11" s="0" t="n">
        <f aca="false">E8+E10+E24</f>
        <v>4410.83575296</v>
      </c>
      <c r="F11" s="0" t="n">
        <f aca="false">F8+F10+F24</f>
        <v>4565.2150043136</v>
      </c>
      <c r="G11" s="0" t="n">
        <f aca="false">G8+G10+G24</f>
        <v>4750.67686386384</v>
      </c>
      <c r="H11" s="0" t="n">
        <f aca="false">H8+H10+H24</f>
        <v>4893.19716977976</v>
      </c>
      <c r="I11" s="0" t="n">
        <f aca="false">I8+I10+I24</f>
        <v>5039.99308487315</v>
      </c>
      <c r="J11" s="0" t="n">
        <f aca="false">J8+J10+J24</f>
        <v>5191.19287741934</v>
      </c>
      <c r="K11" s="0" t="n">
        <f aca="false">K8+K10+K24</f>
        <v>5320.97269935483</v>
      </c>
      <c r="L11" s="0" t="n">
        <f aca="false">L8+L10+L24</f>
        <v>5453.9970168387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-598.4118</v>
      </c>
      <c r="D12" s="4" t="n">
        <f aca="false">-D6*Assumptions!D31/100</f>
        <v>-599.298336</v>
      </c>
      <c r="E12" s="4" t="n">
        <f aca="false">-E6*Assumptions!E31/100</f>
        <v>-599.298336</v>
      </c>
      <c r="F12" s="4" t="n">
        <f aca="false">-F6*Assumptions!F31/100</f>
        <v>-595.4628266496</v>
      </c>
      <c r="G12" s="4" t="n">
        <f aca="false">-G6*Assumptions!G31/100</f>
        <v>-590.624691183072</v>
      </c>
      <c r="H12" s="4" t="n">
        <f aca="false">-H6*Assumptions!H31/100</f>
        <v>-581.893717487322</v>
      </c>
      <c r="I12" s="4" t="n">
        <f aca="false">-I6*Assumptions!I31/100</f>
        <v>-599.350529011942</v>
      </c>
      <c r="J12" s="4" t="n">
        <f aca="false">-J6*Assumptions!J31/100</f>
        <v>-617.3310448823</v>
      </c>
      <c r="K12" s="4" t="n">
        <f aca="false">-K6*Assumptions!K31/100</f>
        <v>-632.764321004358</v>
      </c>
      <c r="L12" s="4" t="n">
        <f aca="false">-L6*Assumptions!L31/100</f>
        <v>-648.583429029467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3302.3466</v>
      </c>
      <c r="D13" s="0" t="n">
        <f aca="false">D11+D12</f>
        <v>3618.839952</v>
      </c>
      <c r="E13" s="0" t="n">
        <f aca="false">E11+E12</f>
        <v>3811.53741696</v>
      </c>
      <c r="F13" s="0" t="n">
        <f aca="false">F11+F12</f>
        <v>3969.752177664</v>
      </c>
      <c r="G13" s="0" t="n">
        <f aca="false">G11+G12</f>
        <v>4160.05217268077</v>
      </c>
      <c r="H13" s="0" t="n">
        <f aca="false">H11+H12</f>
        <v>4311.30345229243</v>
      </c>
      <c r="I13" s="0" t="n">
        <f aca="false">I11+I12</f>
        <v>4440.64255586121</v>
      </c>
      <c r="J13" s="0" t="n">
        <f aca="false">J11+J12</f>
        <v>4573.86183253704</v>
      </c>
      <c r="K13" s="0" t="n">
        <f aca="false">K11+K12</f>
        <v>4688.20837835047</v>
      </c>
      <c r="L13" s="0" t="n">
        <f aca="false">L11+L12</f>
        <v>4805.41358780923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27.5</v>
      </c>
      <c r="D14" s="4" t="n">
        <f aca="false">Assumptions!D33</f>
        <v>27.5</v>
      </c>
      <c r="E14" s="4" t="n">
        <f aca="false">Assumptions!E33</f>
        <v>27.5</v>
      </c>
      <c r="F14" s="4" t="n">
        <f aca="false">Assumptions!F33</f>
        <v>27.5</v>
      </c>
      <c r="G14" s="4" t="n">
        <f aca="false">Assumptions!G33</f>
        <v>27.5</v>
      </c>
      <c r="H14" s="4" t="n">
        <f aca="false">Assumptions!H33</f>
        <v>27.5</v>
      </c>
      <c r="I14" s="4" t="n">
        <f aca="false">Assumptions!I33</f>
        <v>27.5</v>
      </c>
      <c r="J14" s="4" t="n">
        <f aca="false">Assumptions!J33</f>
        <v>27.5</v>
      </c>
      <c r="K14" s="4" t="n">
        <f aca="false">Assumptions!K33</f>
        <v>27.5</v>
      </c>
      <c r="L14" s="4" t="n">
        <f aca="false">Assumptions!L33</f>
        <v>27.5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2394.201285</v>
      </c>
      <c r="D15" s="0" t="n">
        <f aca="false">D13-MAX(0,D13)*D14/100</f>
        <v>2623.6589652</v>
      </c>
      <c r="E15" s="0" t="n">
        <f aca="false">E13-MAX(0,E13)*E14/100</f>
        <v>2763.364627296</v>
      </c>
      <c r="F15" s="0" t="n">
        <f aca="false">F13-MAX(0,F13)*F14/100</f>
        <v>2878.0703288064</v>
      </c>
      <c r="G15" s="0" t="n">
        <f aca="false">G13-MAX(0,G13)*G14/100</f>
        <v>3016.03782519356</v>
      </c>
      <c r="H15" s="0" t="n">
        <f aca="false">H13-MAX(0,H13)*H14/100</f>
        <v>3125.69500291201</v>
      </c>
      <c r="I15" s="0" t="n">
        <f aca="false">I13-MAX(0,I13)*I14/100</f>
        <v>3219.46585299937</v>
      </c>
      <c r="J15" s="0" t="n">
        <f aca="false">J13-MAX(0,J13)*J14/100</f>
        <v>3316.04982858936</v>
      </c>
      <c r="K15" s="0" t="n">
        <f aca="false">K13-MAX(0,K13)*K14/100</f>
        <v>3398.95107430409</v>
      </c>
      <c r="L15" s="0" t="n">
        <f aca="false">L13-MAX(0,L13)*L14/100</f>
        <v>3483.92485116169</v>
      </c>
    </row>
    <row r="16" customFormat="false" ht="15" hidden="false" customHeight="false" outlineLevel="0" collapsed="false">
      <c r="A16" s="0" t="s">
        <v>128</v>
      </c>
      <c r="C16" s="0" t="n">
        <f aca="false">-C12</f>
        <v>598.4118</v>
      </c>
      <c r="D16" s="0" t="n">
        <f aca="false">-D12</f>
        <v>599.298336</v>
      </c>
      <c r="E16" s="0" t="n">
        <f aca="false">-E12</f>
        <v>599.298336</v>
      </c>
      <c r="F16" s="0" t="n">
        <f aca="false">-F12</f>
        <v>595.4628266496</v>
      </c>
      <c r="G16" s="0" t="n">
        <f aca="false">-G12</f>
        <v>590.624691183072</v>
      </c>
      <c r="H16" s="0" t="n">
        <f aca="false">-H12</f>
        <v>581.893717487322</v>
      </c>
      <c r="I16" s="0" t="n">
        <f aca="false">-I12</f>
        <v>599.350529011942</v>
      </c>
      <c r="J16" s="0" t="n">
        <f aca="false">-J12</f>
        <v>617.3310448823</v>
      </c>
      <c r="K16" s="0" t="n">
        <f aca="false">-K12</f>
        <v>632.764321004358</v>
      </c>
      <c r="L16" s="0" t="n">
        <f aca="false">-L12</f>
        <v>648.583429029467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-332.451</v>
      </c>
      <c r="D17" s="4" t="n">
        <f aca="false">-D6*Assumptions!D32/100</f>
        <v>-345.74904</v>
      </c>
      <c r="E17" s="4" t="n">
        <f aca="false">-E6*Assumptions!E32/100</f>
        <v>-359.5790016</v>
      </c>
      <c r="F17" s="4" t="n">
        <f aca="false">-F6*Assumptions!F32/100</f>
        <v>-396.9752177664</v>
      </c>
      <c r="G17" s="4" t="n">
        <f aca="false">-G6*Assumptions!G32/100</f>
        <v>-410.869350388224</v>
      </c>
      <c r="H17" s="4" t="n">
        <f aca="false">-H6*Assumptions!H32/100</f>
        <v>-423.195430899871</v>
      </c>
      <c r="I17" s="4" t="n">
        <f aca="false">-I6*Assumptions!I32/100</f>
        <v>-435.891293826867</v>
      </c>
      <c r="J17" s="4" t="n">
        <f aca="false">-J6*Assumptions!J32/100</f>
        <v>-448.968032641673</v>
      </c>
      <c r="K17" s="4" t="n">
        <f aca="false">-K6*Assumptions!K32/100</f>
        <v>-460.192233457715</v>
      </c>
      <c r="L17" s="4" t="n">
        <f aca="false">-L6*Assumptions!L32/100</f>
        <v>-471.697039294158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-158.31</v>
      </c>
      <c r="D18" s="4" t="n">
        <f aca="false">(D6-C6)*Assumptions!$B$37/100</f>
        <v>-132.9804</v>
      </c>
      <c r="E18" s="4" t="n">
        <f aca="false">(E6-D6)*Assumptions!$B$37/100</f>
        <v>-138.299616</v>
      </c>
      <c r="F18" s="4" t="n">
        <f aca="false">(F6-E6)*Assumptions!$B$37/100</f>
        <v>-125.85265056</v>
      </c>
      <c r="G18" s="4" t="n">
        <f aca="false">(G6-F6)*Assumptions!$B$37/100</f>
        <v>-130.2574933296</v>
      </c>
      <c r="H18" s="4" t="n">
        <f aca="false">(H6-G6)*Assumptions!$B$37/100</f>
        <v>-115.557004796688</v>
      </c>
      <c r="I18" s="4" t="n">
        <f aca="false">(I6-H6)*Assumptions!$B$37/100</f>
        <v>-119.023714940589</v>
      </c>
      <c r="J18" s="4" t="n">
        <f aca="false">(J6-I6)*Assumptions!$B$37/100</f>
        <v>-122.594426388807</v>
      </c>
      <c r="K18" s="4" t="n">
        <f aca="false">(K6-J6)*Assumptions!$B$37/100</f>
        <v>-105.226882650392</v>
      </c>
      <c r="L18" s="4" t="n">
        <f aca="false">(L6-K6)*Assumptions!$B$37/100</f>
        <v>-107.857554716651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2501.852085</v>
      </c>
      <c r="D19" s="0" t="n">
        <f aca="false">D15+D16+D17+D18</f>
        <v>2744.2278612</v>
      </c>
      <c r="E19" s="0" t="n">
        <f aca="false">E15+E16+E17+E18</f>
        <v>2864.784345696</v>
      </c>
      <c r="F19" s="0" t="n">
        <f aca="false">F15+F16+F17+F18</f>
        <v>2950.7052871296</v>
      </c>
      <c r="G19" s="0" t="n">
        <f aca="false">G15+G16+G17+G18</f>
        <v>3065.5356726588</v>
      </c>
      <c r="H19" s="0" t="n">
        <f aca="false">H15+H16+H17+H18</f>
        <v>3168.83628470278</v>
      </c>
      <c r="I19" s="0" t="n">
        <f aca="false">I15+I16+I17+I18</f>
        <v>3263.90137324386</v>
      </c>
      <c r="J19" s="0" t="n">
        <f aca="false">J15+J16+J17+J18</f>
        <v>3361.81841444118</v>
      </c>
      <c r="K19" s="0" t="n">
        <f aca="false">K15+K16+K17+K18</f>
        <v>3466.29627920034</v>
      </c>
      <c r="L19" s="0" t="n">
        <f aca="false">L15+L16+L17+L18</f>
        <v>3552.95368618035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2295.27714220183</v>
      </c>
      <c r="D21" s="0" t="n">
        <f aca="false">D19*D20</f>
        <v>2309.76168773672</v>
      </c>
      <c r="E21" s="0" t="n">
        <f aca="false">E19*E20</f>
        <v>2212.139145684</v>
      </c>
      <c r="F21" s="0" t="n">
        <f aca="false">F19*F20</f>
        <v>2090.35401582598</v>
      </c>
      <c r="G21" s="0" t="n">
        <f aca="false">G19*G20</f>
        <v>1992.38784947817</v>
      </c>
      <c r="H21" s="0" t="n">
        <f aca="false">H19*H20</f>
        <v>1889.47354079759</v>
      </c>
      <c r="I21" s="0" t="n">
        <f aca="false">I19*I20</f>
        <v>1785.46582295552</v>
      </c>
      <c r="J21" s="0" t="n">
        <f aca="false">J19*J20</f>
        <v>1687.183300591</v>
      </c>
      <c r="K21" s="0" t="n">
        <f aca="false">K19*K20</f>
        <v>1595.97909897783</v>
      </c>
      <c r="L21" s="0" t="n">
        <f aca="false">L19*L20</f>
        <v>1500.80603344245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19358.8276376911</v>
      </c>
    </row>
    <row r="31" customFormat="false" ht="15" hidden="false" customHeight="false" outlineLevel="0" collapsed="false">
      <c r="A31" s="0" t="s">
        <v>137</v>
      </c>
      <c r="B31" s="0" t="n">
        <f aca="false">L19</f>
        <v>3552.95368618035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56027.346589767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49741.3516065249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49741.3516065249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21011.2844681943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40370.1121058854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39967.1121058854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88.2276205427935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0.538943320125475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1466.67547731292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1767.38516959341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95.366827268856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29134.2202266789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47.9105365090419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5.5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21108</v>
      </c>
      <c r="C6" s="0" t="n">
        <f aca="false">B6*(1+C5/100)</f>
        <v>22268.94</v>
      </c>
      <c r="D6" s="0" t="n">
        <f aca="false">C6*(1+D5/100)</f>
        <v>23716.4211</v>
      </c>
      <c r="E6" s="0" t="n">
        <f aca="false">D6*(1+E5/100)</f>
        <v>25139.406366</v>
      </c>
      <c r="F6" s="0" t="n">
        <f aca="false">E6*(1+F5/100)</f>
        <v>26522.07371613</v>
      </c>
      <c r="G6" s="0" t="n">
        <f aca="false">F6*(1+G5/100)</f>
        <v>27848.1774019365</v>
      </c>
      <c r="H6" s="0" t="n">
        <f aca="false">G6*(1+H5/100)</f>
        <v>29101.3453850236</v>
      </c>
      <c r="I6" s="0" t="n">
        <f aca="false">H6*(1+I5/100)</f>
        <v>30265.3992004246</v>
      </c>
      <c r="J6" s="0" t="n">
        <f aca="false">I6*(1+J5/100)</f>
        <v>31324.6881724394</v>
      </c>
      <c r="K6" s="0" t="n">
        <f aca="false">J6*(1+K5/100)</f>
        <v>32264.4288176126</v>
      </c>
      <c r="L6" s="0" t="n">
        <f aca="false">K6*(1+L5/100)</f>
        <v>33232.361682141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18.7</v>
      </c>
      <c r="D7" s="4" t="n">
        <f aca="false">Assumptions!D42</f>
        <v>19.5</v>
      </c>
      <c r="E7" s="4" t="n">
        <f aca="false">Assumptions!E42</f>
        <v>19.8</v>
      </c>
      <c r="F7" s="4" t="n">
        <f aca="false">Assumptions!F42</f>
        <v>20.1</v>
      </c>
      <c r="G7" s="4" t="n">
        <f aca="false">Assumptions!G42</f>
        <v>20.4</v>
      </c>
      <c r="H7" s="4" t="n">
        <f aca="false">Assumptions!H42</f>
        <v>20.6</v>
      </c>
      <c r="I7" s="4" t="n">
        <f aca="false">Assumptions!I42</f>
        <v>20.8</v>
      </c>
      <c r="J7" s="4" t="n">
        <f aca="false">Assumptions!J42</f>
        <v>20.9</v>
      </c>
      <c r="K7" s="4" t="n">
        <f aca="false">Assumptions!K42</f>
        <v>21</v>
      </c>
      <c r="L7" s="4" t="n">
        <f aca="false">Assumptions!L42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4164.29178</v>
      </c>
      <c r="D8" s="0" t="n">
        <f aca="false">D6*D7/100</f>
        <v>4624.7021145</v>
      </c>
      <c r="E8" s="0" t="n">
        <f aca="false">E6*E7/100</f>
        <v>4977.602460468</v>
      </c>
      <c r="F8" s="0" t="n">
        <f aca="false">F6*F7/100</f>
        <v>5330.93681694213</v>
      </c>
      <c r="G8" s="0" t="n">
        <f aca="false">G6*G7/100</f>
        <v>5681.02818999504</v>
      </c>
      <c r="H8" s="0" t="n">
        <f aca="false">H6*H7/100</f>
        <v>5994.87714931487</v>
      </c>
      <c r="I8" s="0" t="n">
        <f aca="false">I6*I7/100</f>
        <v>6295.20303368831</v>
      </c>
      <c r="J8" s="0" t="n">
        <f aca="false">J6*J7/100</f>
        <v>6546.85982803984</v>
      </c>
      <c r="K8" s="0" t="n">
        <f aca="false">K6*K7/100</f>
        <v>6775.53005169865</v>
      </c>
      <c r="L8" s="0" t="n">
        <f aca="false">L6*L7/100</f>
        <v>6978.79595324961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0.9</v>
      </c>
      <c r="D9" s="4" t="n">
        <f aca="false">Assumptions!D43</f>
        <v>0.9</v>
      </c>
      <c r="E9" s="4" t="n">
        <f aca="false">Assumptions!E43</f>
        <v>0.9</v>
      </c>
      <c r="F9" s="4" t="n">
        <f aca="false">Assumptions!F43</f>
        <v>0.9</v>
      </c>
      <c r="G9" s="4" t="n">
        <f aca="false">Assumptions!G43</f>
        <v>0.9</v>
      </c>
      <c r="H9" s="4" t="n">
        <f aca="false">Assumptions!H43</f>
        <v>0.9</v>
      </c>
      <c r="I9" s="4" t="n">
        <f aca="false">Assumptions!I43</f>
        <v>0.9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-200.42046</v>
      </c>
      <c r="D10" s="0" t="n">
        <f aca="false">-D6*D9/100</f>
        <v>-213.4477899</v>
      </c>
      <c r="E10" s="0" t="n">
        <f aca="false">-E6*E9/100</f>
        <v>-226.254657294</v>
      </c>
      <c r="F10" s="0" t="n">
        <f aca="false">-F6*F9/100</f>
        <v>-238.69866344517</v>
      </c>
      <c r="G10" s="0" t="n">
        <f aca="false">-G6*G9/100</f>
        <v>-250.633596617428</v>
      </c>
      <c r="H10" s="0" t="n">
        <f aca="false">-H6*H9/100</f>
        <v>-261.912108465213</v>
      </c>
      <c r="I10" s="0" t="n">
        <f aca="false">-I6*I9/100</f>
        <v>-272.388592803821</v>
      </c>
      <c r="J10" s="0" t="n">
        <f aca="false">-J6*J9/100</f>
        <v>-281.922193551955</v>
      </c>
      <c r="K10" s="0" t="n">
        <f aca="false">-K6*K9/100</f>
        <v>-290.379859358514</v>
      </c>
      <c r="L10" s="0" t="n">
        <f aca="false">-L6*L9/100</f>
        <v>-299.091255139269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3963.87132</v>
      </c>
      <c r="D11" s="0" t="n">
        <f aca="false">D8+D10+D24</f>
        <v>4411.2543246</v>
      </c>
      <c r="E11" s="0" t="n">
        <f aca="false">E8+E10+E24</f>
        <v>4751.347803174</v>
      </c>
      <c r="F11" s="0" t="n">
        <f aca="false">F8+F10+F24</f>
        <v>5092.23815349696</v>
      </c>
      <c r="G11" s="0" t="n">
        <f aca="false">G8+G10+G24</f>
        <v>5430.39459337762</v>
      </c>
      <c r="H11" s="0" t="n">
        <f aca="false">H8+H10+H24</f>
        <v>5732.96504084966</v>
      </c>
      <c r="I11" s="0" t="n">
        <f aca="false">I8+I10+I24</f>
        <v>6022.81444088449</v>
      </c>
      <c r="J11" s="0" t="n">
        <f aca="false">J8+J10+J24</f>
        <v>6264.93763448789</v>
      </c>
      <c r="K11" s="0" t="n">
        <f aca="false">K8+K10+K24</f>
        <v>6485.15019234014</v>
      </c>
      <c r="L11" s="0" t="n">
        <f aca="false">L8+L10+L24</f>
        <v>6679.70469811034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-601.26138</v>
      </c>
      <c r="D12" s="4" t="n">
        <f aca="false">-D6*Assumptions!D45/100</f>
        <v>-616.6269486</v>
      </c>
      <c r="E12" s="4" t="n">
        <f aca="false">-E6*Assumptions!E45/100</f>
        <v>-628.48515915</v>
      </c>
      <c r="F12" s="4" t="n">
        <f aca="false">-F6*Assumptions!F45/100</f>
        <v>-636.52976918712</v>
      </c>
      <c r="G12" s="4" t="n">
        <f aca="false">-G6*Assumptions!G45/100</f>
        <v>-640.508080244539</v>
      </c>
      <c r="H12" s="4" t="n">
        <f aca="false">-H6*Assumptions!H45/100</f>
        <v>-640.22959847052</v>
      </c>
      <c r="I12" s="4" t="n">
        <f aca="false">-I6*Assumptions!I45/100</f>
        <v>-665.838782409341</v>
      </c>
      <c r="J12" s="4" t="n">
        <f aca="false">-J6*Assumptions!J45/100</f>
        <v>-689.143139793668</v>
      </c>
      <c r="K12" s="4" t="n">
        <f aca="false">-K6*Assumptions!K45/100</f>
        <v>-709.817433987478</v>
      </c>
      <c r="L12" s="4" t="n">
        <f aca="false">-L6*Assumptions!L45/100</f>
        <v>-731.111957007102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3362.60994</v>
      </c>
      <c r="D13" s="0" t="n">
        <f aca="false">D11+D12</f>
        <v>3794.627376</v>
      </c>
      <c r="E13" s="0" t="n">
        <f aca="false">E11+E12</f>
        <v>4122.862644024</v>
      </c>
      <c r="F13" s="0" t="n">
        <f aca="false">F11+F12</f>
        <v>4455.70838430984</v>
      </c>
      <c r="G13" s="0" t="n">
        <f aca="false">G11+G12</f>
        <v>4789.88651313308</v>
      </c>
      <c r="H13" s="0" t="n">
        <f aca="false">H11+H12</f>
        <v>5092.73544237914</v>
      </c>
      <c r="I13" s="0" t="n">
        <f aca="false">I11+I12</f>
        <v>5356.97565847515</v>
      </c>
      <c r="J13" s="0" t="n">
        <f aca="false">J11+J12</f>
        <v>5575.79449469422</v>
      </c>
      <c r="K13" s="0" t="n">
        <f aca="false">K11+K12</f>
        <v>5775.33275835266</v>
      </c>
      <c r="L13" s="0" t="n">
        <f aca="false">L11+L12</f>
        <v>5948.59274110324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2454.7052562</v>
      </c>
      <c r="D15" s="0" t="n">
        <f aca="false">D13-MAX(0,D13)*D14/100</f>
        <v>2770.07798448</v>
      </c>
      <c r="E15" s="0" t="n">
        <f aca="false">E13-MAX(0,E13)*E14/100</f>
        <v>3009.68973013752</v>
      </c>
      <c r="F15" s="0" t="n">
        <f aca="false">F13-MAX(0,F13)*F14/100</f>
        <v>3252.66712054618</v>
      </c>
      <c r="G15" s="0" t="n">
        <f aca="false">G13-MAX(0,G13)*G14/100</f>
        <v>3496.61715458715</v>
      </c>
      <c r="H15" s="0" t="n">
        <f aca="false">H13-MAX(0,H13)*H14/100</f>
        <v>3717.69687293677</v>
      </c>
      <c r="I15" s="0" t="n">
        <f aca="false">I13-MAX(0,I13)*I14/100</f>
        <v>3910.59223068686</v>
      </c>
      <c r="J15" s="0" t="n">
        <f aca="false">J13-MAX(0,J13)*J14/100</f>
        <v>4070.32998112678</v>
      </c>
      <c r="K15" s="0" t="n">
        <f aca="false">K13-MAX(0,K13)*K14/100</f>
        <v>4215.99291359744</v>
      </c>
      <c r="L15" s="0" t="n">
        <f aca="false">L13-MAX(0,L13)*L14/100</f>
        <v>4342.47270100537</v>
      </c>
    </row>
    <row r="16" customFormat="false" ht="15" hidden="false" customHeight="false" outlineLevel="0" collapsed="false">
      <c r="A16" s="0" t="s">
        <v>128</v>
      </c>
      <c r="C16" s="0" t="n">
        <f aca="false">-C12</f>
        <v>601.26138</v>
      </c>
      <c r="D16" s="0" t="n">
        <f aca="false">-D12</f>
        <v>616.6269486</v>
      </c>
      <c r="E16" s="0" t="n">
        <f aca="false">-E12</f>
        <v>628.48515915</v>
      </c>
      <c r="F16" s="0" t="n">
        <f aca="false">-F12</f>
        <v>636.52976918712</v>
      </c>
      <c r="G16" s="0" t="n">
        <f aca="false">-G12</f>
        <v>640.508080244539</v>
      </c>
      <c r="H16" s="0" t="n">
        <f aca="false">-H12</f>
        <v>640.22959847052</v>
      </c>
      <c r="I16" s="0" t="n">
        <f aca="false">-I12</f>
        <v>665.838782409341</v>
      </c>
      <c r="J16" s="0" t="n">
        <f aca="false">-J12</f>
        <v>689.143139793668</v>
      </c>
      <c r="K16" s="0" t="n">
        <f aca="false">-K12</f>
        <v>709.817433987478</v>
      </c>
      <c r="L16" s="0" t="n">
        <f aca="false">-L12</f>
        <v>731.111957007102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-334.0341</v>
      </c>
      <c r="D17" s="4" t="n">
        <f aca="false">-D6*Assumptions!D46/100</f>
        <v>-355.7463165</v>
      </c>
      <c r="E17" s="4" t="n">
        <f aca="false">-E6*Assumptions!E46/100</f>
        <v>-377.09109549</v>
      </c>
      <c r="F17" s="4" t="n">
        <f aca="false">-F6*Assumptions!F46/100</f>
        <v>-424.35317945808</v>
      </c>
      <c r="G17" s="4" t="n">
        <f aca="false">-G6*Assumptions!G46/100</f>
        <v>-445.570838430984</v>
      </c>
      <c r="H17" s="4" t="n">
        <f aca="false">-H6*Assumptions!H46/100</f>
        <v>-465.621526160378</v>
      </c>
      <c r="I17" s="4" t="n">
        <f aca="false">-I6*Assumptions!I46/100</f>
        <v>-484.246387206793</v>
      </c>
      <c r="J17" s="4" t="n">
        <f aca="false">-J6*Assumptions!J46/100</f>
        <v>-501.195010759031</v>
      </c>
      <c r="K17" s="4" t="n">
        <f aca="false">-K6*Assumptions!K46/100</f>
        <v>-516.230861081802</v>
      </c>
      <c r="L17" s="4" t="n">
        <f aca="false">-L6*Assumptions!L46/100</f>
        <v>-531.717786914256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-174.141</v>
      </c>
      <c r="D18" s="4" t="n">
        <f aca="false">(D6-C6)*Assumptions!$B$51/100</f>
        <v>-217.122165</v>
      </c>
      <c r="E18" s="4" t="n">
        <f aca="false">(E6-D6)*Assumptions!$B$51/100</f>
        <v>-213.4477899</v>
      </c>
      <c r="F18" s="4" t="n">
        <f aca="false">(F6-E6)*Assumptions!$B$51/100</f>
        <v>-207.4001025195</v>
      </c>
      <c r="G18" s="4" t="n">
        <f aca="false">(G6-F6)*Assumptions!$B$51/100</f>
        <v>-198.915552870975</v>
      </c>
      <c r="H18" s="4" t="n">
        <f aca="false">(H6-G6)*Assumptions!$B$51/100</f>
        <v>-187.975197463071</v>
      </c>
      <c r="I18" s="4" t="n">
        <f aca="false">(I6-H6)*Assumptions!$B$51/100</f>
        <v>-174.608072310142</v>
      </c>
      <c r="J18" s="4" t="n">
        <f aca="false">(J6-I6)*Assumptions!$B$51/100</f>
        <v>-158.893345802229</v>
      </c>
      <c r="K18" s="4" t="n">
        <f aca="false">(K6-J6)*Assumptions!$B$51/100</f>
        <v>-140.961096775978</v>
      </c>
      <c r="L18" s="4" t="n">
        <f aca="false">(L6-K6)*Assumptions!$B$51/100</f>
        <v>-145.189929679257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2547.7915362</v>
      </c>
      <c r="D19" s="0" t="n">
        <f aca="false">D15+D16+D17+D18</f>
        <v>2813.83645158</v>
      </c>
      <c r="E19" s="0" t="n">
        <f aca="false">E15+E16+E17+E18</f>
        <v>3047.63600389752</v>
      </c>
      <c r="F19" s="0" t="n">
        <f aca="false">F15+F16+F17+F18</f>
        <v>3257.44360775572</v>
      </c>
      <c r="G19" s="0" t="n">
        <f aca="false">G15+G16+G17+G18</f>
        <v>3492.63884352973</v>
      </c>
      <c r="H19" s="0" t="n">
        <f aca="false">H15+H16+H17+H18</f>
        <v>3704.32974778384</v>
      </c>
      <c r="I19" s="0" t="n">
        <f aca="false">I15+I16+I17+I18</f>
        <v>3917.57655357927</v>
      </c>
      <c r="J19" s="0" t="n">
        <f aca="false">J15+J16+J17+J18</f>
        <v>4099.38476435919</v>
      </c>
      <c r="K19" s="0" t="n">
        <f aca="false">K15+K16+K17+K18</f>
        <v>4268.61838972714</v>
      </c>
      <c r="L19" s="0" t="n">
        <f aca="false">L15+L16+L17+L18</f>
        <v>4396.67694141896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2337.42342770642</v>
      </c>
      <c r="D21" s="0" t="n">
        <f aca="false">D19*D20</f>
        <v>2368.34984561906</v>
      </c>
      <c r="E21" s="0" t="n">
        <f aca="false">E19*E20</f>
        <v>2353.33417544898</v>
      </c>
      <c r="F21" s="0" t="n">
        <f aca="false">F19*F20</f>
        <v>2307.65517535732</v>
      </c>
      <c r="G21" s="0" t="n">
        <f aca="false">G19*G20</f>
        <v>2269.97560541472</v>
      </c>
      <c r="H21" s="0" t="n">
        <f aca="false">H19*H20</f>
        <v>2208.77079659023</v>
      </c>
      <c r="I21" s="0" t="n">
        <f aca="false">I19*I20</f>
        <v>2143.04853160312</v>
      </c>
      <c r="J21" s="0" t="n">
        <f aca="false">J19*J20</f>
        <v>2057.34298063617</v>
      </c>
      <c r="K21" s="0" t="n">
        <f aca="false">K19*K20</f>
        <v>1965.39048678452</v>
      </c>
      <c r="L21" s="0" t="n">
        <f aca="false">L19*L20</f>
        <v>1857.20385448445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21868.494879645</v>
      </c>
    </row>
    <row r="31" customFormat="false" ht="15" hidden="false" customHeight="false" outlineLevel="0" collapsed="false">
      <c r="A31" s="0" t="s">
        <v>137</v>
      </c>
      <c r="B31" s="0" t="n">
        <f aca="false">L19</f>
        <v>4396.67694141896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75476.2874943587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70346.8310627033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70346.8310627033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29715.2616717512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51583.7565513962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51180.7565513962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112.981802541713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0.970727412205014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1576.93271227595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2168.8259961898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121.250585562609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37738.1437471794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56.4806880316561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54.3120721928692</v>
      </c>
      <c r="C4" s="0" t="n">
        <f aca="false">B4/Assumptions!$B$2-1</f>
        <v>-0.0526413362485743</v>
      </c>
      <c r="D4" s="4" t="n">
        <f aca="false">Assumptions!$B$24</f>
        <v>0.25</v>
      </c>
      <c r="E4" s="4" t="n">
        <f aca="false">DCF_Bear!$B$43</f>
        <v>59.5722765926857</v>
      </c>
      <c r="F4" s="4" t="n">
        <f aca="false">DCF_Bear!$B$47</f>
        <v>34.7286416295603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88.2276205427935</v>
      </c>
      <c r="C5" s="0" t="n">
        <f aca="false">B5/Assumptions!$B$2-1</f>
        <v>0.538943320125475</v>
      </c>
      <c r="D5" s="4" t="n">
        <f aca="false">Assumptions!$B$38</f>
        <v>0.5</v>
      </c>
      <c r="E5" s="4" t="n">
        <f aca="false">DCF_Base!$B$43</f>
        <v>95.366827268856</v>
      </c>
      <c r="F5" s="4" t="n">
        <f aca="false">DCF_Base!$B$47</f>
        <v>47.9105365090419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112.981802541713</v>
      </c>
      <c r="C6" s="0" t="n">
        <f aca="false">B6/Assumptions!$B$2-1</f>
        <v>0.970727412205014</v>
      </c>
      <c r="D6" s="4" t="n">
        <f aca="false">Assumptions!$B$52</f>
        <v>0.25</v>
      </c>
      <c r="E6" s="4" t="n">
        <f aca="false">DCF_Bull!$B$43</f>
        <v>121.250585562609</v>
      </c>
      <c r="F6" s="4" t="n">
        <f aca="false">DCF_Bull!$B$47</f>
        <v>56.4806880316561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85.9372789550424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92.8891291732517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0.332885556802516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-411.505974051484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46.7576006698251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88.2276205427935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81.2432465026054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71.4269998632945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63.6832794373084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47.9105365090419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101.955110931872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101.955110931872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101.955110931872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101.955110931872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101.955110931872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94.7745279635419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94.7745279635419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94.7745279635419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94.7745279635419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94.7745279635419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86.6815363287983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88.2276205427935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88.2276205427935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88.2276205427935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88.2276205427935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76.0255719270201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78.4713568843257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81.2432465026054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82.251206363798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82.251206363798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67.6299875608437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69.4230211481121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71.4269998632945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73.6814759178746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76.2365487797321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2026-09-26T01:18:01Z</dcterms:created>
  <dc:creator>openpyxl</dc:creator>
  <dc:description/>
  <dc:language>en-NZ</dc:language>
  <cp:lastModifiedBy/>
  <dcterms:modified xsi:type="dcterms:W3CDTF">2026-09-26T01:18:01Z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