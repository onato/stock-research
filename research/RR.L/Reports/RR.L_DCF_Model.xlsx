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<sst xmlns="http://schemas.openxmlformats.org/spreadsheetml/2006/main" count="355" uniqueCount="168">
  <si>
    <t xml:space="preserve">Ticker</t>
  </si>
  <si>
    <t xml:space="preserve">RR.L</t>
  </si>
  <si>
    <t xml:space="preserve">Company</t>
  </si>
  <si>
    <t xml:space="preserve">Rolls-Royce Holdings plc</t>
  </si>
  <si>
    <t xml:space="preserve">Valuation date</t>
  </si>
  <si>
    <t xml:space="preserve">2026-10-10</t>
  </si>
  <si>
    <t xml:space="preserve">Current price</t>
  </si>
  <si>
    <t xml:space="preserve">Price as of</t>
  </si>
  <si>
    <t xml:space="preserve">2026-10-09T16:53:21Z regular close (Yahoo chart API); 52-week range 990-1586p</t>
  </si>
  <si>
    <t xml:space="preserve">Balance sheet date</t>
  </si>
  <si>
    <t xml:space="preserve">2026-06-30</t>
  </si>
  <si>
    <t xml:space="preserve">Model</t>
  </si>
  <si>
    <t xml:space="preserve">owner_fcf_dcf_component</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</si>
  <si>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</si>
  <si>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</si>
  <si>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</si>
  <si>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</si>
  <si>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</si>
  <si>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</si>
  <si>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</si>
  <si>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</si>
  <si>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</si>
  <si>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2026-10-10T01:17:59Z</t>
  </si>
  <si>
    <t xml:space="preserve">Drivers file</t>
  </si>
  <si>
    <t xml:space="preserve">RR.L_Drivers.json</t>
  </si>
  <si>
    <t xml:space="preserve">Convention</t>
  </si>
  <si>
    <t xml:space="preserve">Percents stored as percents; formulas divide by 100. Blue = input, green = link, black = formula.</t>
  </si>
  <si>
    <t xml:space="preserve">Methodology</t>
  </si>
  <si>
    <t xml:space="preserve">summary: Value the transformed Rolls-Royce on the owner cash it will throw off from the FY2026 guided run-rate, with SBC, interest income and the full lease cash charged once and the share count held flat; take guidance as the base, not the H1 2026 peak margin, and charge the cycle in the bear scenario rather than in the discount rate. The question the price asks is not whether the turnaround is real - it is - but what return a buyer at ~1,385p is accepting for it; the required_return_table answers that directly.
key_risks_to_valuation: Peak-margin risk: FY2026 operating margin (~20%) includes LTSA contract catch-ups; the base holds it flat and the bear fades it to ~14-15% (FY2024 level); LTSA balance growth is a customer-prepayment liability: the 15% working-capital capture shrinks with growth in the base and reverses in the bear; Widebody OE/flying-hour cyclicality and airline capex (Middle East conflict, tariffs, fuel) - the only operating segment with real downturn exposure is 52% of revenue; Engine durability / new-programme execution (Trent XWB-97, UltraFan, Series 4000, SMR licensing) - history of multi-year remediation costs; Discount rate: the valuation is terminal-heavy (Gordon at 9% / 2.5% implies ~15.8x year-10 FCF); the market price implies a required return around 7%, so the gap to IV is largely a cost-of-capital disagreement, not a cash-flow one; Bridge generosity: all GBP6.5bn cash counted as surplus although part backs GBP17bn of LTSA contract liabilities; SMR added at carrying value with its losses left in the flows (offsetting direction); Legacy hedge book: GBP148m/yr excess-derivative settlements kept in the flows (company excludes them from its FCF); winding down</t>
  </si>
  <si>
    <t xml:space="preserve">Data sources</t>
  </si>
  <si>
    <t xml:space="preserve">price: Yahoo Finance chart API at inputs.price_as_of (regular close, Friday 9 Oct 2026); 52-week range 990-1586p
financials: RR.L_Annual_FY2025.txt (consolidated cash flow statement lines 9255-9320, EPS note 11396-11404, SMR deconsolidation notes 11934-11942 and 13769-13777, net debt table), RR.L_HalfYear_H1-2026.txt (balance sheet 740-770, net cash movement 887-930, buyback note 983-990 and 1137-1140, EPS note 1787-1804); RR.L_Metrics.csv via make dcf-context
qualitative: RR.L_Analysis.json (2026-10-10): segment mix, guidance table, bull/bear cases; FY2025 annual report outlook and H1 FY2026 results guidance upgrade</t>
  </si>
  <si>
    <t xml:space="preserve">Scenario narrative: bear</t>
  </si>
  <si>
    <t xml:space="preserve">Execution and cycle risk materialise together after the 2026 guidance year: widebody demand and flying hours roll over, a durability issue forces remediation spend, LTSA contract catch-ups unwind and the LTSA balance stops growing, so operating margin falls back to the FY2024 ~14% level and stays there with revenue flat for two years. Net cash and the A-/A3 rating keep it a value case rather than a solvency case; the 15x cap reflects a cyclical multiple.</t>
  </si>
  <si>
    <t xml:space="preserve">Scenario narrative: base</t>
  </si>
  <si>
    <t xml:space="preserve">Rolls-Royce delivers FY2026 guidance (GBP4.7-4.9bn underlying operating profit, GBP3.8-4.0bn FCF) and converts the 2028 mid-term targets (GBP4.9-5.2bn, 18-20% margin, GBP5.0-5.3bn FCF) a year or two early as it has every target since 2023, but margins then plateau around 20-21% operating / 25% EBITDA: the aftermarket annuity on a 38% widebody installed-base share keeps growing with flying hours, Power Systems rides the data-centre cycle, Defence grows with NATO budgets, and growth fades from 11% to 2.5% over ten years as the OE delivery ramp matures. The LTSA cash tailwind shrinks with growth.</t>
  </si>
  <si>
    <t xml:space="preserve">Scenario narrative: bull</t>
  </si>
  <si>
    <t xml:space="preserve">A GE-Aerospace-style re-rating of the earnings base: time-on-wing and LTSA-margin gains lift Civil Aerospace above 27% margin, Power Systems compounds data-centre power at 20% p.a., Defence export and AUKUS/GCAP programmes ramp, and group EBITDA margin reaches 28.5% while revenue grows 14/11/9/8/7%. Buyback-funded flat share count, 20x terminal cap. SMR fleet economics are not in the numbers.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</si>
  <si>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</si>
  <si>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</si>
  <si>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</si>
  <si>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</si>
  <si>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</si>
  <si>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</si>
  <si>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</si>
  <si>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</si>
  <si>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</si>
  <si>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</si>
  <si>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</si>
  <si>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</si>
  <si>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</si>
  <si>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</si>
  <si>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</si>
  <si>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</si>
  <si>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</si>
  <si>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</si>
  <si>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</si>
  <si>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</si>
  <si>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</si>
  <si>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</si>
  <si>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</si>
  <si>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</si>
  <si>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</si>
  <si>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</si>
  <si>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</si>
  <si>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CompanyFreeCashFlow</t>
  </si>
  <si>
    <t xml:space="preserve">LeasePrincipalPaid</t>
  </si>
  <si>
    <t xml:space="preserve">NetIncomeDiscontinued</t>
  </si>
  <si>
    <t xml:space="preserve">TotalEquityInclNCI</t>
  </si>
  <si>
    <t xml:space="preserve">UnderlyingEPS</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</si>
  <si>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</si>
  <si>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</si>
  <si>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</si>
  <si>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</si>
  <si>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</si>
  <si>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</si>
  <si>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</si>
  <si>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</si>
  <si>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</si>
  <si>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</si>
  <si>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</si>
  <si>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</si>
  <si>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</si>
  <si>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</si>
  <si>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</si>
  <si>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</si>
  <si>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30 June 2026 (H1 FY2026)</t>
  </si>
  <si>
    <t xml:space="preserve">Currency / units</t>
  </si>
  <si>
    <t xml:space="preserve">GBP millions</t>
  </si>
  <si>
    <t xml:space="preserve">FX rate (model -&gt; quote)</t>
  </si>
  <si>
    <t xml:space="preserve">BEAR</t>
  </si>
  <si>
    <t xml:space="preserve">TTM to 30 June 2027</t>
  </si>
  <si>
    <t xml:space="preserve">TTM to 30 June 2028</t>
  </si>
  <si>
    <t xml:space="preserve">TTM to 30 June 2029</t>
  </si>
  <si>
    <t xml:space="preserve">TTM to 30 June 2030</t>
  </si>
  <si>
    <t xml:space="preserve">TTM to 30 June 2031</t>
  </si>
  <si>
    <t xml:space="preserve">TTM to 30 June 2032</t>
  </si>
  <si>
    <t xml:space="preserve">TTM to 30 June 2033</t>
  </si>
  <si>
    <t xml:space="preserve">TTM to 30 June 2034</t>
  </si>
  <si>
    <t xml:space="preserve">TTM to 30 June 2035</t>
  </si>
  <si>
    <t xml:space="preserve">TTM to 30 June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</si>
  <si>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</si>
  <si>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</si>
  <si>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</si>
  <si>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</si>
  <si>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</si>
  <si>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</si>
  <si>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</si>
  <si>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</si>
  <si>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</si>
  <si>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</si>
  <si>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</si>
  <si>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</si>
  <si>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</si>
  <si>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</si>
  <si>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RR.L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</si>
  <si>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</si>
  <si>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</si>
  <si>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</si>
  <si>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</si>
  <si>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</si>
  <si>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</si>
  <si>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</si>
  <si>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</si>
  <si>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</si>
  <si>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</si>
  <si>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</si>
  <si>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</si>
  <si>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</si>
  <si>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</si>
  <si>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</si>
  <si>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</si>
  <si>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</si>
  <si>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</si>
  <si>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</si>
  <si>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</si>
  <si>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</si>
  <si>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</si>
  <si>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</si>
  <si>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</si>
  <si>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</si>
  <si>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</si>
  <si>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</si>
  <si>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</si>
  <si>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</si>
  <si>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</si>
  <si>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RR.L owner-FCF component DCF: base case (millions, GBP)</t>
  </si>
  <si>
    <t xml:space="preserve">RR.L owner-FCF component DCF: bull case (millions, GBP)</t>
  </si>
  <si>
    <t xml:space="preserve">RR.L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</si>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</sst>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1385.2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row>
    <row r="2" customFormat="false" ht="15" hidden="false" customHeight="false" outlineLevel="0" collapsed="false">
      <c r="A2" s="0" t="s">
        <v>69</v>
      </c>
      <c r="B2" s="0" t="n">
        <v>16587</v>
      </c>
      <c r="C2" s="0" t="n">
        <v>15645</v>
      </c>
      <c r="D2" s="0" t="n">
        <v>942</v>
      </c>
      <c r="E2" s="0" t="n">
        <v>5.7</v>
      </c>
      <c r="F2" s="0" t="n">
        <v>-852</v>
      </c>
      <c r="G2" s="0" t="n">
        <v>-5.1</v>
      </c>
      <c r="H2" s="0" t="n">
        <v>463</v>
      </c>
      <c r="I2" s="0" t="n">
        <v>-1315</v>
      </c>
      <c r="J2" s="0" t="n">
        <v>-7.9</v>
      </c>
      <c r="K2" s="0" t="n">
        <v>-0.6907</v>
      </c>
      <c r="L2" s="0" t="n">
        <v>2297</v>
      </c>
      <c r="M2" s="0" t="n">
        <v>1387</v>
      </c>
      <c r="N2" s="0" t="n">
        <v>910</v>
      </c>
      <c r="O2" s="0" t="n">
        <v>-3376</v>
      </c>
      <c r="P2" s="0" t="n">
        <v>32266</v>
      </c>
      <c r="Q2" s="0" t="n">
        <v>35620</v>
      </c>
      <c r="R2" s="0" t="n">
        <v>5685</v>
      </c>
      <c r="S2" s="0" t="n">
        <v>4443</v>
      </c>
      <c r="T2" s="0" t="n">
        <v>1904</v>
      </c>
      <c r="U2" s="0" t="n">
        <v>30</v>
      </c>
      <c r="AA2" s="0" t="s">
        <v>18</v>
      </c>
      <c r="AB2" s="0" t="s">
        <v>14</v>
      </c>
      <c r="AD2" s="0" t="n">
        <v>271</v>
      </c>
      <c r="AF2" s="0" t="n">
        <v>-3354</v>
      </c>
    </row>
    <row r="3" customFormat="false" ht="15" hidden="false" customHeight="false" outlineLevel="0" collapsed="false">
      <c r="A3" s="0" t="s">
        <v>70</v>
      </c>
      <c r="B3" s="0" t="n">
        <v>11491</v>
      </c>
      <c r="C3" s="0" t="n">
        <v>11678</v>
      </c>
      <c r="D3" s="0" t="n">
        <v>-187</v>
      </c>
      <c r="E3" s="0" t="n">
        <v>-1.6</v>
      </c>
      <c r="F3" s="0" t="n">
        <v>-1972</v>
      </c>
      <c r="G3" s="0" t="n">
        <v>-17.2</v>
      </c>
      <c r="H3" s="0" t="n">
        <v>483</v>
      </c>
      <c r="I3" s="0" t="n">
        <v>-3170</v>
      </c>
      <c r="J3" s="0" t="n">
        <v>-27.6</v>
      </c>
      <c r="L3" s="0" t="n">
        <v>-3007</v>
      </c>
      <c r="M3" s="0" t="n">
        <v>950</v>
      </c>
      <c r="N3" s="0" t="n">
        <v>-3957</v>
      </c>
      <c r="O3" s="0" t="n">
        <v>-4539</v>
      </c>
      <c r="P3" s="0" t="n">
        <v>29848</v>
      </c>
      <c r="Q3" s="0" t="n">
        <v>34365</v>
      </c>
      <c r="R3" s="0" t="n">
        <v>7330</v>
      </c>
      <c r="S3" s="0" t="n">
        <v>3452</v>
      </c>
      <c r="U3" s="0" t="n">
        <v>25</v>
      </c>
      <c r="AA3" s="0" t="s">
        <v>18</v>
      </c>
      <c r="AB3" s="0" t="s">
        <v>14</v>
      </c>
      <c r="AD3" s="0" t="n">
        <v>284</v>
      </c>
      <c r="AE3" s="0" t="n">
        <v>-68</v>
      </c>
      <c r="AF3" s="0" t="n">
        <v>-4517</v>
      </c>
    </row>
    <row r="4" customFormat="false" ht="15" hidden="false" customHeight="false" outlineLevel="0" collapsed="false">
      <c r="A4" s="0" t="s">
        <v>71</v>
      </c>
      <c r="B4" s="0" t="n">
        <v>11218</v>
      </c>
      <c r="C4" s="0" t="n">
        <v>9082</v>
      </c>
      <c r="D4" s="0" t="n">
        <v>2136</v>
      </c>
      <c r="E4" s="0" t="n">
        <v>19</v>
      </c>
      <c r="F4" s="0" t="n">
        <v>513</v>
      </c>
      <c r="G4" s="0" t="n">
        <v>4.6</v>
      </c>
      <c r="H4" s="0" t="n">
        <v>1522</v>
      </c>
      <c r="I4" s="0" t="n">
        <v>120</v>
      </c>
      <c r="J4" s="0" t="n">
        <v>1.1</v>
      </c>
      <c r="L4" s="0" t="n">
        <v>-258</v>
      </c>
      <c r="M4" s="0" t="n">
        <v>559</v>
      </c>
      <c r="N4" s="0" t="n">
        <v>-817</v>
      </c>
      <c r="O4" s="0" t="n">
        <v>-4304</v>
      </c>
      <c r="P4" s="0" t="n">
        <v>29008</v>
      </c>
      <c r="Q4" s="0" t="n">
        <v>33286</v>
      </c>
      <c r="R4" s="0" t="n">
        <v>7776</v>
      </c>
      <c r="S4" s="0" t="n">
        <v>2621</v>
      </c>
      <c r="U4" s="0" t="n">
        <v>28</v>
      </c>
      <c r="AA4" s="0" t="s">
        <v>18</v>
      </c>
      <c r="AB4" s="0" t="s">
        <v>14</v>
      </c>
      <c r="AD4" s="0" t="n">
        <v>374</v>
      </c>
      <c r="AE4" s="0" t="n">
        <v>-3</v>
      </c>
      <c r="AF4" s="0" t="n">
        <v>-4278</v>
      </c>
    </row>
    <row r="5" customFormat="false" ht="15" hidden="false" customHeight="false" outlineLevel="0" collapsed="false">
      <c r="A5" s="0" t="s">
        <v>72</v>
      </c>
      <c r="B5" s="0" t="n">
        <v>13520</v>
      </c>
      <c r="C5" s="0" t="n">
        <v>10763</v>
      </c>
      <c r="D5" s="0" t="n">
        <v>2757</v>
      </c>
      <c r="E5" s="0" t="n">
        <v>20.4</v>
      </c>
      <c r="F5" s="0" t="n">
        <v>837</v>
      </c>
      <c r="G5" s="0" t="n">
        <v>6.2</v>
      </c>
      <c r="H5" s="0" t="n">
        <v>1841</v>
      </c>
      <c r="I5" s="0" t="n">
        <v>-1269</v>
      </c>
      <c r="J5" s="0" t="n">
        <v>-9.4</v>
      </c>
      <c r="K5" s="0" t="n">
        <v>-0.152</v>
      </c>
      <c r="L5" s="0" t="n">
        <v>1524</v>
      </c>
      <c r="M5" s="0" t="n">
        <v>596</v>
      </c>
      <c r="N5" s="0" t="n">
        <v>928</v>
      </c>
      <c r="O5" s="0" t="n">
        <v>-6050</v>
      </c>
      <c r="P5" s="0" t="n">
        <v>29450</v>
      </c>
      <c r="Q5" s="0" t="n">
        <v>35466</v>
      </c>
      <c r="R5" s="0" t="n">
        <v>5955</v>
      </c>
      <c r="S5" s="0" t="n">
        <v>2607</v>
      </c>
      <c r="T5" s="0" t="n">
        <v>8349</v>
      </c>
      <c r="U5" s="0" t="n">
        <v>47</v>
      </c>
      <c r="AA5" s="0" t="s">
        <v>18</v>
      </c>
      <c r="AB5" s="0" t="s">
        <v>14</v>
      </c>
      <c r="AC5" s="0" t="n">
        <v>490</v>
      </c>
      <c r="AD5" s="0" t="n">
        <v>218</v>
      </c>
      <c r="AE5" s="0" t="n">
        <v>-80</v>
      </c>
      <c r="AF5" s="0" t="n">
        <v>-6016</v>
      </c>
      <c r="AG5" s="0" t="n">
        <v>0.0195</v>
      </c>
    </row>
    <row r="6" customFormat="false" ht="15" hidden="false" customHeight="false" outlineLevel="0" collapsed="false">
      <c r="A6" s="0" t="s">
        <v>73</v>
      </c>
      <c r="B6" s="0" t="n">
        <v>16486</v>
      </c>
      <c r="C6" s="0" t="n">
        <v>12866</v>
      </c>
      <c r="D6" s="0" t="n">
        <v>3620</v>
      </c>
      <c r="E6" s="0" t="n">
        <v>22</v>
      </c>
      <c r="F6" s="0" t="n">
        <v>1944</v>
      </c>
      <c r="G6" s="0" t="n">
        <v>11.8</v>
      </c>
      <c r="H6" s="0" t="n">
        <v>2973</v>
      </c>
      <c r="I6" s="0" t="n">
        <v>2412</v>
      </c>
      <c r="J6" s="0" t="n">
        <v>14.6</v>
      </c>
      <c r="K6" s="0" t="n">
        <v>0.2885</v>
      </c>
      <c r="L6" s="0" t="n">
        <v>2485</v>
      </c>
      <c r="M6" s="0" t="n">
        <v>713</v>
      </c>
      <c r="N6" s="0" t="n">
        <v>1772</v>
      </c>
      <c r="O6" s="0" t="n">
        <v>-3681</v>
      </c>
      <c r="P6" s="0" t="n">
        <v>31512</v>
      </c>
      <c r="Q6" s="0" t="n">
        <v>35141</v>
      </c>
      <c r="R6" s="0" t="n">
        <v>5759</v>
      </c>
      <c r="S6" s="0" t="n">
        <v>3784</v>
      </c>
      <c r="T6" s="0" t="n">
        <v>8404</v>
      </c>
      <c r="U6" s="0" t="n">
        <v>66</v>
      </c>
      <c r="AA6" s="0" t="s">
        <v>18</v>
      </c>
      <c r="AB6" s="0" t="s">
        <v>14</v>
      </c>
      <c r="AD6" s="0" t="n">
        <v>291</v>
      </c>
      <c r="AF6" s="0" t="n">
        <v>-3629</v>
      </c>
      <c r="AG6" s="0" t="n">
        <v>0.1375</v>
      </c>
    </row>
    <row r="7" customFormat="false" ht="15" hidden="false" customHeight="false" outlineLevel="0" collapsed="false">
      <c r="A7" s="0" t="s">
        <v>74</v>
      </c>
      <c r="B7" s="0" t="n">
        <v>18909</v>
      </c>
      <c r="C7" s="0" t="n">
        <v>14688</v>
      </c>
      <c r="D7" s="0" t="n">
        <v>4221</v>
      </c>
      <c r="E7" s="0" t="n">
        <v>22.3</v>
      </c>
      <c r="F7" s="0" t="n">
        <v>2906</v>
      </c>
      <c r="G7" s="0" t="n">
        <v>15.4</v>
      </c>
      <c r="H7" s="0" t="n">
        <v>3451</v>
      </c>
      <c r="I7" s="0" t="n">
        <v>2521</v>
      </c>
      <c r="J7" s="0" t="n">
        <v>13.3</v>
      </c>
      <c r="K7" s="0" t="n">
        <v>0.3005</v>
      </c>
      <c r="L7" s="0" t="n">
        <v>3782</v>
      </c>
      <c r="M7" s="0" t="n">
        <v>886</v>
      </c>
      <c r="N7" s="0" t="n">
        <v>2896</v>
      </c>
      <c r="O7" s="0" t="n">
        <v>-912</v>
      </c>
      <c r="P7" s="0" t="n">
        <v>35686</v>
      </c>
      <c r="Q7" s="0" t="n">
        <v>36567</v>
      </c>
      <c r="R7" s="0" t="n">
        <v>5132</v>
      </c>
      <c r="S7" s="0" t="n">
        <v>5575</v>
      </c>
      <c r="T7" s="0" t="n">
        <v>8440</v>
      </c>
      <c r="U7" s="0" t="n">
        <v>136</v>
      </c>
      <c r="AA7" s="0" t="s">
        <v>18</v>
      </c>
      <c r="AB7" s="0" t="s">
        <v>14</v>
      </c>
      <c r="AD7" s="0" t="n">
        <v>299</v>
      </c>
      <c r="AF7" s="0" t="n">
        <v>-881</v>
      </c>
      <c r="AG7" s="0" t="n">
        <v>0.2029</v>
      </c>
    </row>
    <row r="8" customFormat="false" ht="15" hidden="false" customHeight="false" outlineLevel="0" collapsed="false">
      <c r="A8" s="0" t="s">
        <v>75</v>
      </c>
      <c r="B8" s="0" t="n">
        <v>21207</v>
      </c>
      <c r="C8" s="0" t="n">
        <v>15032</v>
      </c>
      <c r="D8" s="0" t="n">
        <v>6175</v>
      </c>
      <c r="E8" s="0" t="n">
        <v>29.1</v>
      </c>
      <c r="F8" s="0" t="n">
        <v>4468</v>
      </c>
      <c r="G8" s="0" t="n">
        <v>21.1</v>
      </c>
      <c r="H8" s="0" t="n">
        <v>5205</v>
      </c>
      <c r="I8" s="0" t="n">
        <v>5841</v>
      </c>
      <c r="J8" s="0" t="n">
        <v>27.5</v>
      </c>
      <c r="K8" s="0" t="n">
        <v>0.6941</v>
      </c>
      <c r="L8" s="0" t="n">
        <v>4565</v>
      </c>
      <c r="M8" s="0" t="n">
        <v>985</v>
      </c>
      <c r="N8" s="0" t="n">
        <v>3580</v>
      </c>
      <c r="O8" s="0" t="n">
        <v>2726</v>
      </c>
      <c r="P8" s="0" t="n">
        <v>38115</v>
      </c>
      <c r="Q8" s="0" t="n">
        <v>35362</v>
      </c>
      <c r="R8" s="0" t="n">
        <v>4272</v>
      </c>
      <c r="S8" s="0" t="n">
        <v>6244</v>
      </c>
      <c r="T8" s="0" t="n">
        <v>8448</v>
      </c>
      <c r="U8" s="0" t="n">
        <v>104</v>
      </c>
      <c r="AA8" s="0" t="s">
        <v>18</v>
      </c>
      <c r="AB8" s="0" t="s">
        <v>14</v>
      </c>
      <c r="AD8" s="0" t="n">
        <v>232</v>
      </c>
      <c r="AF8" s="0" t="n">
        <v>2753</v>
      </c>
      <c r="AG8" s="0" t="n">
        <v>0.2955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1385.2</v>
      </c>
    </row>
    <row r="3" customFormat="false" ht="15" hidden="false" customHeight="false" outlineLevel="0" collapsed="false">
      <c r="A3" s="0" t="s">
        <v>79</v>
      </c>
      <c r="B3" s="3" t="n">
        <v>8310</v>
      </c>
    </row>
    <row r="4" customFormat="false" ht="15" hidden="false" customHeight="false" outlineLevel="0" collapsed="false">
      <c r="A4" s="0" t="s">
        <v>80</v>
      </c>
      <c r="B4" s="3" t="n">
        <v>-3796</v>
      </c>
    </row>
    <row r="5" customFormat="false" ht="15" hidden="false" customHeight="false" outlineLevel="0" collapsed="false">
      <c r="A5" s="0" t="s">
        <v>81</v>
      </c>
      <c r="B5" s="3" t="n">
        <v>784</v>
      </c>
    </row>
    <row r="6" customFormat="false" ht="15" hidden="false" customHeight="false" outlineLevel="0" collapsed="false">
      <c r="A6" s="0" t="s">
        <v>82</v>
      </c>
      <c r="B6" s="3" t="n">
        <v>15</v>
      </c>
    </row>
    <row r="7" customFormat="false" ht="15" hidden="false" customHeight="false" outlineLevel="0" collapsed="false">
      <c r="A7" s="0" t="s">
        <v>83</v>
      </c>
      <c r="B7" s="3" t="n">
        <v>22302</v>
      </c>
    </row>
    <row r="8" customFormat="false" ht="15" hidden="false" customHeight="false" outlineLevel="0" collapsed="false">
      <c r="A8" s="0" t="s">
        <v>84</v>
      </c>
      <c r="B8" s="3" t="s">
        <v>85</v>
      </c>
    </row>
    <row r="9" customFormat="false" ht="15" hidden="false" customHeight="false" outlineLevel="0" collapsed="false">
      <c r="A9" s="0" t="s">
        <v>86</v>
      </c>
      <c r="B9" s="3" t="s">
        <v>87</v>
      </c>
    </row>
    <row r="10" customFormat="false" ht="15" hidden="false" customHeight="false" outlineLevel="0" collapsed="false">
      <c r="A10" s="0" t="s">
        <v>88</v>
      </c>
      <c r="B10" s="3" t="n">
        <v>100</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8</v>
      </c>
      <c r="D13" s="3" t="n">
        <v>2</v>
      </c>
      <c r="E13" s="3" t="n">
        <v>-2</v>
      </c>
      <c r="F13" s="3" t="n">
        <v>0</v>
      </c>
      <c r="G13" s="3" t="n">
        <v>3</v>
      </c>
      <c r="H13" s="3" t="n">
        <v>3</v>
      </c>
      <c r="I13" s="3" t="n">
        <v>2.5</v>
      </c>
      <c r="J13" s="3" t="n">
        <v>2.5</v>
      </c>
      <c r="K13" s="3" t="n">
        <v>2.5</v>
      </c>
      <c r="L13" s="3" t="n">
        <v>2.5</v>
      </c>
    </row>
    <row r="14" customFormat="false" ht="15" hidden="false" customHeight="false" outlineLevel="0" collapsed="false">
      <c r="A14" s="0" t="s">
        <v>101</v>
      </c>
      <c r="C14" s="3" t="n">
        <v>24</v>
      </c>
      <c r="D14" s="3" t="n">
        <v>22.5</v>
      </c>
      <c r="E14" s="3" t="n">
        <v>20.5</v>
      </c>
      <c r="F14" s="3" t="n">
        <v>19.5</v>
      </c>
      <c r="G14" s="3" t="n">
        <v>19.5</v>
      </c>
      <c r="H14" s="3" t="n">
        <v>20</v>
      </c>
      <c r="I14" s="3" t="n">
        <v>20</v>
      </c>
      <c r="J14" s="3" t="n">
        <v>20</v>
      </c>
      <c r="K14" s="3" t="n">
        <v>20</v>
      </c>
      <c r="L14" s="3" t="n">
        <v>20</v>
      </c>
    </row>
    <row r="15" customFormat="false" ht="15" hidden="false" customHeight="false" outlineLevel="0" collapsed="false">
      <c r="A15" s="0" t="s">
        <v>102</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103</v>
      </c>
      <c r="C16" s="3" t="n">
        <v>1.5</v>
      </c>
      <c r="D16" s="3" t="n">
        <v>1.5</v>
      </c>
      <c r="E16" s="3" t="n">
        <v>1.5</v>
      </c>
      <c r="F16" s="3" t="n">
        <v>1.5</v>
      </c>
      <c r="G16" s="3" t="n">
        <v>1.5</v>
      </c>
      <c r="H16" s="3" t="n">
        <v>1.5</v>
      </c>
      <c r="I16" s="3" t="n">
        <v>1.5</v>
      </c>
      <c r="J16" s="3" t="n">
        <v>1.5</v>
      </c>
      <c r="K16" s="3" t="n">
        <v>1.5</v>
      </c>
      <c r="L16" s="3" t="n">
        <v>1.5</v>
      </c>
    </row>
    <row r="17" customFormat="false" ht="15" hidden="false" customHeight="false" outlineLevel="0" collapsed="false">
      <c r="A17" s="0" t="s">
        <v>104</v>
      </c>
      <c r="C17" s="3" t="n">
        <v>3</v>
      </c>
      <c r="D17" s="3" t="n">
        <v>3.1</v>
      </c>
      <c r="E17" s="3" t="n">
        <v>3.2</v>
      </c>
      <c r="F17" s="3" t="n">
        <v>3.3</v>
      </c>
      <c r="G17" s="3" t="n">
        <v>3.4</v>
      </c>
      <c r="H17" s="3" t="n">
        <v>3.4</v>
      </c>
      <c r="I17" s="3" t="n">
        <v>3.4</v>
      </c>
      <c r="J17" s="3" t="n">
        <v>3.4</v>
      </c>
      <c r="K17" s="3" t="n">
        <v>3.4</v>
      </c>
      <c r="L17" s="3" t="n">
        <v>3.4</v>
      </c>
    </row>
    <row r="18" customFormat="false" ht="15" hidden="false" customHeight="false" outlineLevel="0" collapsed="false">
      <c r="A18" s="0" t="s">
        <v>105</v>
      </c>
      <c r="C18" s="3" t="n">
        <v>5</v>
      </c>
      <c r="D18" s="3" t="n">
        <v>5.5</v>
      </c>
      <c r="E18" s="3" t="n">
        <v>5.5</v>
      </c>
      <c r="F18" s="3" t="n">
        <v>5.5</v>
      </c>
      <c r="G18" s="3" t="n">
        <v>5.2</v>
      </c>
      <c r="H18" s="3" t="n">
        <v>5</v>
      </c>
      <c r="I18" s="3" t="n">
        <v>5</v>
      </c>
      <c r="J18" s="3" t="n">
        <v>5</v>
      </c>
      <c r="K18" s="3" t="n">
        <v>5</v>
      </c>
      <c r="L18" s="3" t="n">
        <v>5</v>
      </c>
    </row>
    <row r="19" customFormat="false" ht="15" hidden="false" customHeight="false" outlineLevel="0" collapsed="false">
      <c r="A19" s="0" t="s">
        <v>106</v>
      </c>
      <c r="C19" s="3" t="n">
        <v>23</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107</v>
      </c>
      <c r="B20" s="3" t="n">
        <v>9</v>
      </c>
    </row>
    <row r="21" customFormat="false" ht="15" hidden="false" customHeight="false" outlineLevel="0" collapsed="false">
      <c r="A21" s="0" t="s">
        <v>108</v>
      </c>
      <c r="B21" s="3" t="n">
        <v>2.5</v>
      </c>
    </row>
    <row r="22" customFormat="false" ht="15" hidden="false" customHeight="false" outlineLevel="0" collapsed="false">
      <c r="A22" s="0" t="s">
        <v>109</v>
      </c>
      <c r="B22" s="3" t="n">
        <v>15</v>
      </c>
    </row>
    <row r="23" customFormat="false" ht="15" hidden="false" customHeight="false" outlineLevel="0" collapsed="false">
      <c r="A23" s="0" t="s">
        <v>110</v>
      </c>
      <c r="B23" s="3" t="n">
        <v>-5</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11</v>
      </c>
      <c r="D27" s="3" t="n">
        <v>8</v>
      </c>
      <c r="E27" s="3" t="n">
        <v>7</v>
      </c>
      <c r="F27" s="3" t="n">
        <v>6</v>
      </c>
      <c r="G27" s="3" t="n">
        <v>5</v>
      </c>
      <c r="H27" s="3" t="n">
        <v>4.5</v>
      </c>
      <c r="I27" s="3" t="n">
        <v>4</v>
      </c>
      <c r="J27" s="3" t="n">
        <v>3.5</v>
      </c>
      <c r="K27" s="3" t="n">
        <v>3</v>
      </c>
      <c r="L27" s="3" t="n">
        <v>2.5</v>
      </c>
    </row>
    <row r="28" customFormat="false" ht="15" hidden="false" customHeight="false" outlineLevel="0" collapsed="false">
      <c r="A28" s="0" t="s">
        <v>101</v>
      </c>
      <c r="C28" s="3" t="n">
        <v>25</v>
      </c>
      <c r="D28" s="3" t="n">
        <v>25</v>
      </c>
      <c r="E28" s="3" t="n">
        <v>25.2</v>
      </c>
      <c r="F28" s="3" t="n">
        <v>25.3</v>
      </c>
      <c r="G28" s="3" t="n">
        <v>25.3</v>
      </c>
      <c r="H28" s="3" t="n">
        <v>25.3</v>
      </c>
      <c r="I28" s="3" t="n">
        <v>25.3</v>
      </c>
      <c r="J28" s="3" t="n">
        <v>25.3</v>
      </c>
      <c r="K28" s="3" t="n">
        <v>25.3</v>
      </c>
      <c r="L28" s="3" t="n">
        <v>25.3</v>
      </c>
    </row>
    <row r="29" customFormat="false" ht="15" hidden="false" customHeight="false" outlineLevel="0" collapsed="false">
      <c r="A29" s="0" t="s">
        <v>102</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103</v>
      </c>
      <c r="C30" s="3" t="n">
        <v>1.5</v>
      </c>
      <c r="D30" s="3" t="n">
        <v>1.5</v>
      </c>
      <c r="E30" s="3" t="n">
        <v>1.5</v>
      </c>
      <c r="F30" s="3" t="n">
        <v>1.5</v>
      </c>
      <c r="G30" s="3" t="n">
        <v>1.5</v>
      </c>
      <c r="H30" s="3" t="n">
        <v>1.5</v>
      </c>
      <c r="I30" s="3" t="n">
        <v>1.5</v>
      </c>
      <c r="J30" s="3" t="n">
        <v>1.5</v>
      </c>
      <c r="K30" s="3" t="n">
        <v>1.5</v>
      </c>
      <c r="L30" s="3" t="n">
        <v>1.5</v>
      </c>
    </row>
    <row r="31" customFormat="false" ht="15" hidden="false" customHeight="false" outlineLevel="0" collapsed="false">
      <c r="A31" s="0" t="s">
        <v>104</v>
      </c>
      <c r="C31" s="3" t="n">
        <v>3</v>
      </c>
      <c r="D31" s="3" t="n">
        <v>3</v>
      </c>
      <c r="E31" s="3" t="n">
        <v>3.1</v>
      </c>
      <c r="F31" s="3" t="n">
        <v>3.1</v>
      </c>
      <c r="G31" s="3" t="n">
        <v>3.2</v>
      </c>
      <c r="H31" s="3" t="n">
        <v>3.2</v>
      </c>
      <c r="I31" s="3" t="n">
        <v>3.3</v>
      </c>
      <c r="J31" s="3" t="n">
        <v>3.3</v>
      </c>
      <c r="K31" s="3" t="n">
        <v>3.3</v>
      </c>
      <c r="L31" s="3" t="n">
        <v>3.3</v>
      </c>
    </row>
    <row r="32" customFormat="false" ht="15" hidden="false" customHeight="false" outlineLevel="0" collapsed="false">
      <c r="A32" s="0" t="s">
        <v>105</v>
      </c>
      <c r="C32" s="3" t="n">
        <v>4.8</v>
      </c>
      <c r="D32" s="3" t="n">
        <v>4.8</v>
      </c>
      <c r="E32" s="3" t="n">
        <v>4.7</v>
      </c>
      <c r="F32" s="3" t="n">
        <v>4.6</v>
      </c>
      <c r="G32" s="3" t="n">
        <v>4.5</v>
      </c>
      <c r="H32" s="3" t="n">
        <v>4.5</v>
      </c>
      <c r="I32" s="3" t="n">
        <v>4.4</v>
      </c>
      <c r="J32" s="3" t="n">
        <v>4.4</v>
      </c>
      <c r="K32" s="3" t="n">
        <v>4.4</v>
      </c>
      <c r="L32" s="3" t="n">
        <v>4.4</v>
      </c>
    </row>
    <row r="33" customFormat="false" ht="15" hidden="false" customHeight="false" outlineLevel="0" collapsed="false">
      <c r="A33" s="0" t="s">
        <v>106</v>
      </c>
      <c r="C33" s="3" t="n">
        <v>22</v>
      </c>
      <c r="D33" s="3" t="n">
        <v>23</v>
      </c>
      <c r="E33" s="3" t="n">
        <v>24</v>
      </c>
      <c r="F33" s="3" t="n">
        <v>25</v>
      </c>
      <c r="G33" s="3" t="n">
        <v>25</v>
      </c>
      <c r="H33" s="3" t="n">
        <v>25</v>
      </c>
      <c r="I33" s="3" t="n">
        <v>25</v>
      </c>
      <c r="J33" s="3" t="n">
        <v>25</v>
      </c>
      <c r="K33" s="3" t="n">
        <v>25</v>
      </c>
      <c r="L33" s="3" t="n">
        <v>25</v>
      </c>
    </row>
    <row r="34" customFormat="false" ht="15" hidden="false" customHeight="false" outlineLevel="0" collapsed="false">
      <c r="A34" s="0" t="s">
        <v>107</v>
      </c>
      <c r="B34" s="3" t="n">
        <v>9</v>
      </c>
    </row>
    <row r="35" customFormat="false" ht="15" hidden="false" customHeight="false" outlineLevel="0" collapsed="false">
      <c r="A35" s="0" t="s">
        <v>108</v>
      </c>
      <c r="B35" s="3" t="n">
        <v>2.5</v>
      </c>
    </row>
    <row r="36" customFormat="false" ht="15" hidden="false" customHeight="false" outlineLevel="0" collapsed="false">
      <c r="A36" s="0" t="s">
        <v>109</v>
      </c>
      <c r="B36" s="3" t="n">
        <v>18</v>
      </c>
    </row>
    <row r="37" customFormat="false" ht="15" hidden="false" customHeight="false" outlineLevel="0" collapsed="false">
      <c r="A37" s="0" t="s">
        <v>110</v>
      </c>
      <c r="B37" s="3" t="n">
        <v>15</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14</v>
      </c>
      <c r="D41" s="3" t="n">
        <v>11</v>
      </c>
      <c r="E41" s="3" t="n">
        <v>9</v>
      </c>
      <c r="F41" s="3" t="n">
        <v>8</v>
      </c>
      <c r="G41" s="3" t="n">
        <v>7</v>
      </c>
      <c r="H41" s="3" t="n">
        <v>6</v>
      </c>
      <c r="I41" s="3" t="n">
        <v>5</v>
      </c>
      <c r="J41" s="3" t="n">
        <v>4</v>
      </c>
      <c r="K41" s="3" t="n">
        <v>3.5</v>
      </c>
      <c r="L41" s="3" t="n">
        <v>3</v>
      </c>
    </row>
    <row r="42" customFormat="false" ht="15" hidden="false" customHeight="false" outlineLevel="0" collapsed="false">
      <c r="A42" s="0" t="s">
        <v>101</v>
      </c>
      <c r="C42" s="3" t="n">
        <v>25.5</v>
      </c>
      <c r="D42" s="3" t="n">
        <v>26.5</v>
      </c>
      <c r="E42" s="3" t="n">
        <v>27.5</v>
      </c>
      <c r="F42" s="3" t="n">
        <v>28</v>
      </c>
      <c r="G42" s="3" t="n">
        <v>28.5</v>
      </c>
      <c r="H42" s="3" t="n">
        <v>28.5</v>
      </c>
      <c r="I42" s="3" t="n">
        <v>28.5</v>
      </c>
      <c r="J42" s="3" t="n">
        <v>28.5</v>
      </c>
      <c r="K42" s="3" t="n">
        <v>28.5</v>
      </c>
      <c r="L42" s="3" t="n">
        <v>28.5</v>
      </c>
    </row>
    <row r="43" customFormat="false" ht="15" hidden="false" customHeight="false" outlineLevel="0" collapsed="false">
      <c r="A43" s="0" t="s">
        <v>102</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103</v>
      </c>
      <c r="C44" s="3" t="n">
        <v>1.5</v>
      </c>
      <c r="D44" s="3" t="n">
        <v>1.5</v>
      </c>
      <c r="E44" s="3" t="n">
        <v>1.5</v>
      </c>
      <c r="F44" s="3" t="n">
        <v>1.5</v>
      </c>
      <c r="G44" s="3" t="n">
        <v>1.5</v>
      </c>
      <c r="H44" s="3" t="n">
        <v>1.5</v>
      </c>
      <c r="I44" s="3" t="n">
        <v>1.5</v>
      </c>
      <c r="J44" s="3" t="n">
        <v>1.5</v>
      </c>
      <c r="K44" s="3" t="n">
        <v>1.5</v>
      </c>
      <c r="L44" s="3" t="n">
        <v>1.5</v>
      </c>
    </row>
    <row r="45" customFormat="false" ht="15" hidden="false" customHeight="false" outlineLevel="0" collapsed="false">
      <c r="A45" s="0" t="s">
        <v>104</v>
      </c>
      <c r="C45" s="3" t="n">
        <v>3</v>
      </c>
      <c r="D45" s="3" t="n">
        <v>3</v>
      </c>
      <c r="E45" s="3" t="n">
        <v>3.1</v>
      </c>
      <c r="F45" s="3" t="n">
        <v>3.1</v>
      </c>
      <c r="G45" s="3" t="n">
        <v>3.2</v>
      </c>
      <c r="H45" s="3" t="n">
        <v>3.2</v>
      </c>
      <c r="I45" s="3" t="n">
        <v>3.2</v>
      </c>
      <c r="J45" s="3" t="n">
        <v>3.2</v>
      </c>
      <c r="K45" s="3" t="n">
        <v>3.2</v>
      </c>
      <c r="L45" s="3" t="n">
        <v>3.2</v>
      </c>
    </row>
    <row r="46" customFormat="false" ht="15" hidden="false" customHeight="false" outlineLevel="0" collapsed="false">
      <c r="A46" s="0" t="s">
        <v>105</v>
      </c>
      <c r="C46" s="3" t="n">
        <v>4.8</v>
      </c>
      <c r="D46" s="3" t="n">
        <v>4.8</v>
      </c>
      <c r="E46" s="3" t="n">
        <v>4.7</v>
      </c>
      <c r="F46" s="3" t="n">
        <v>4.6</v>
      </c>
      <c r="G46" s="3" t="n">
        <v>4.5</v>
      </c>
      <c r="H46" s="3" t="n">
        <v>4.5</v>
      </c>
      <c r="I46" s="3" t="n">
        <v>4.5</v>
      </c>
      <c r="J46" s="3" t="n">
        <v>4.5</v>
      </c>
      <c r="K46" s="3" t="n">
        <v>4.5</v>
      </c>
      <c r="L46" s="3" t="n">
        <v>4.5</v>
      </c>
    </row>
    <row r="47" customFormat="false" ht="15" hidden="false" customHeight="false" outlineLevel="0" collapsed="false">
      <c r="A47" s="0" t="s">
        <v>106</v>
      </c>
      <c r="C47" s="3" t="n">
        <v>22</v>
      </c>
      <c r="D47" s="3" t="n">
        <v>23</v>
      </c>
      <c r="E47" s="3" t="n">
        <v>24</v>
      </c>
      <c r="F47" s="3" t="n">
        <v>25</v>
      </c>
      <c r="G47" s="3" t="n">
        <v>25</v>
      </c>
      <c r="H47" s="3" t="n">
        <v>25</v>
      </c>
      <c r="I47" s="3" t="n">
        <v>25</v>
      </c>
      <c r="J47" s="3" t="n">
        <v>25</v>
      </c>
      <c r="K47" s="3" t="n">
        <v>25</v>
      </c>
      <c r="L47" s="3" t="n">
        <v>25</v>
      </c>
    </row>
    <row r="48" customFormat="false" ht="15" hidden="false" customHeight="false" outlineLevel="0" collapsed="false">
      <c r="A48" s="0" t="s">
        <v>107</v>
      </c>
      <c r="B48" s="3" t="n">
        <v>9</v>
      </c>
    </row>
    <row r="49" customFormat="false" ht="15" hidden="false" customHeight="false" outlineLevel="0" collapsed="false">
      <c r="A49" s="0" t="s">
        <v>108</v>
      </c>
      <c r="B49" s="3" t="n">
        <v>2.5</v>
      </c>
    </row>
    <row r="50" customFormat="false" ht="15" hidden="false" customHeight="false" outlineLevel="0" collapsed="false">
      <c r="A50" s="0" t="s">
        <v>109</v>
      </c>
      <c r="B50" s="3" t="n">
        <v>20</v>
      </c>
    </row>
    <row r="51" customFormat="false" ht="15" hidden="false" customHeight="false" outlineLevel="0" collapsed="false">
      <c r="A51" s="0" t="s">
        <v>110</v>
      </c>
      <c r="B51" s="3" t="n">
        <v>20</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8</v>
      </c>
      <c r="D5" s="4" t="n">
        <f aca="false">Assumptions!D13</f>
        <v>2</v>
      </c>
      <c r="E5" s="4" t="n">
        <f aca="false">Assumptions!E13</f>
        <v>-2</v>
      </c>
      <c r="F5" s="4" t="n">
        <f aca="false">Assumptions!F13</f>
        <v>0</v>
      </c>
      <c r="G5" s="4" t="n">
        <f aca="false">Assumptions!G13</f>
        <v>3</v>
      </c>
      <c r="H5" s="4" t="n">
        <f aca="false">Assumptions!H13</f>
        <v>3</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38</v>
      </c>
      <c r="B6" s="3" t="n">
        <v>22302</v>
      </c>
      <c r="C6" s="0" t="n">
        <f aca="false">B6*(1+C5/100)</f>
        <v>24086.16</v>
      </c>
      <c r="D6" s="0" t="n">
        <f aca="false">C6*(1+D5/100)</f>
        <v>24567.8832</v>
      </c>
      <c r="E6" s="0" t="n">
        <f aca="false">D6*(1+E5/100)</f>
        <v>24076.525536</v>
      </c>
      <c r="F6" s="0" t="n">
        <f aca="false">E6*(1+F5/100)</f>
        <v>24076.525536</v>
      </c>
      <c r="G6" s="0" t="n">
        <f aca="false">F6*(1+G5/100)</f>
        <v>24798.82130208</v>
      </c>
      <c r="H6" s="0" t="n">
        <f aca="false">G6*(1+H5/100)</f>
        <v>25542.7859411424</v>
      </c>
      <c r="I6" s="0" t="n">
        <f aca="false">H6*(1+I5/100)</f>
        <v>26181.355589671</v>
      </c>
      <c r="J6" s="0" t="n">
        <f aca="false">I6*(1+J5/100)</f>
        <v>26835.8894794127</v>
      </c>
      <c r="K6" s="0" t="n">
        <f aca="false">J6*(1+K5/100)</f>
        <v>27506.786716398</v>
      </c>
      <c r="L6" s="0" t="n">
        <f aca="false">K6*(1+L5/100)</f>
        <v>28194.456384308</v>
      </c>
    </row>
    <row r="7" customFormat="false" ht="15" hidden="false" customHeight="false" outlineLevel="0" collapsed="false">
      <c r="A7" s="0" t="s">
        <v>101</v>
      </c>
      <c r="C7" s="4" t="n">
        <f aca="false">Assumptions!C14</f>
        <v>24</v>
      </c>
      <c r="D7" s="4" t="n">
        <f aca="false">Assumptions!D14</f>
        <v>22.5</v>
      </c>
      <c r="E7" s="4" t="n">
        <f aca="false">Assumptions!E14</f>
        <v>20.5</v>
      </c>
      <c r="F7" s="4" t="n">
        <f aca="false">Assumptions!F14</f>
        <v>19.5</v>
      </c>
      <c r="G7" s="4" t="n">
        <f aca="false">Assumptions!G14</f>
        <v>19.5</v>
      </c>
      <c r="H7" s="4" t="n">
        <f aca="false">Assumptions!H14</f>
        <v>20</v>
      </c>
      <c r="I7" s="4" t="n">
        <f aca="false">Assumptions!I14</f>
        <v>20</v>
      </c>
      <c r="J7" s="4" t="n">
        <f aca="false">Assumptions!J14</f>
        <v>20</v>
      </c>
      <c r="K7" s="4" t="n">
        <f aca="false">Assumptions!K14</f>
        <v>20</v>
      </c>
      <c r="L7" s="4" t="n">
        <f aca="false">Assumptions!L14</f>
        <v>20</v>
      </c>
    </row>
    <row r="8" customFormat="false" ht="15" hidden="false" customHeight="false" outlineLevel="0" collapsed="false">
      <c r="A8" s="0" t="s">
        <v>44</v>
      </c>
      <c r="C8" s="0" t="n">
        <f aca="false">C6*C7/100</f>
        <v>5780.6784</v>
      </c>
      <c r="D8" s="0" t="n">
        <f aca="false">D6*D7/100</f>
        <v>5527.77372</v>
      </c>
      <c r="E8" s="0" t="n">
        <f aca="false">E6*E7/100</f>
        <v>4935.68773488</v>
      </c>
      <c r="F8" s="0" t="n">
        <f aca="false">F6*F7/100</f>
        <v>4694.92247952</v>
      </c>
      <c r="G8" s="0" t="n">
        <f aca="false">G6*G7/100</f>
        <v>4835.7701539056</v>
      </c>
      <c r="H8" s="0" t="n">
        <f aca="false">H6*H7/100</f>
        <v>5108.55718822848</v>
      </c>
      <c r="I8" s="0" t="n">
        <f aca="false">I6*I7/100</f>
        <v>5236.27111793419</v>
      </c>
      <c r="J8" s="0" t="n">
        <f aca="false">J6*J7/100</f>
        <v>5367.17789588255</v>
      </c>
      <c r="K8" s="0" t="n">
        <f aca="false">K6*K7/100</f>
        <v>5501.35734327961</v>
      </c>
      <c r="L8" s="0" t="n">
        <f aca="false">L6*L7/100</f>
        <v>5638.8912768616</v>
      </c>
    </row>
    <row r="9" customFormat="false" ht="15" hidden="false" customHeight="false" outlineLevel="0" collapsed="false">
      <c r="A9" s="0" t="s">
        <v>102</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117</v>
      </c>
      <c r="C10" s="0" t="n">
        <f aca="false">-C6*C9/100</f>
        <v>-120.4308</v>
      </c>
      <c r="D10" s="0" t="n">
        <f aca="false">-D6*D9/100</f>
        <v>-122.839416</v>
      </c>
      <c r="E10" s="0" t="n">
        <f aca="false">-E6*E9/100</f>
        <v>-120.38262768</v>
      </c>
      <c r="F10" s="0" t="n">
        <f aca="false">-F6*F9/100</f>
        <v>-120.38262768</v>
      </c>
      <c r="G10" s="0" t="n">
        <f aca="false">-G6*G9/100</f>
        <v>-123.9941065104</v>
      </c>
      <c r="H10" s="0" t="n">
        <f aca="false">-H6*H9/100</f>
        <v>-127.713929705712</v>
      </c>
      <c r="I10" s="0" t="n">
        <f aca="false">-I6*I9/100</f>
        <v>-130.906777948355</v>
      </c>
      <c r="J10" s="0" t="n">
        <f aca="false">-J6*J9/100</f>
        <v>-134.179447397064</v>
      </c>
      <c r="K10" s="0" t="n">
        <f aca="false">-K6*K9/100</f>
        <v>-137.53393358199</v>
      </c>
      <c r="L10" s="0" t="n">
        <f aca="false">-L6*L9/100</f>
        <v>-140.97228192154</v>
      </c>
    </row>
    <row r="11" customFormat="false" ht="15" hidden="false" customHeight="false" outlineLevel="0" collapsed="false">
      <c r="A11" s="0" t="s">
        <v>118</v>
      </c>
      <c r="C11" s="0" t="n">
        <f aca="false">C8+C10+C24</f>
        <v>5298.9552</v>
      </c>
      <c r="D11" s="0" t="n">
        <f aca="false">D8+D10+D24</f>
        <v>5036.416056</v>
      </c>
      <c r="E11" s="0" t="n">
        <f aca="false">E8+E10+E24</f>
        <v>4454.15722416</v>
      </c>
      <c r="F11" s="0" t="n">
        <f aca="false">F8+F10+F24</f>
        <v>4213.3919688</v>
      </c>
      <c r="G11" s="0" t="n">
        <f aca="false">G8+G10+G24</f>
        <v>4339.793727864</v>
      </c>
      <c r="H11" s="0" t="n">
        <f aca="false">H8+H10+H24</f>
        <v>4597.70146940563</v>
      </c>
      <c r="I11" s="0" t="n">
        <f aca="false">I8+I10+I24</f>
        <v>4712.64400614077</v>
      </c>
      <c r="J11" s="0" t="n">
        <f aca="false">J8+J10+J24</f>
        <v>4830.46010629429</v>
      </c>
      <c r="K11" s="0" t="n">
        <f aca="false">K8+K10+K24</f>
        <v>4951.22160895165</v>
      </c>
      <c r="L11" s="0" t="n">
        <f aca="false">L8+L10+L24</f>
        <v>5075.00214917544</v>
      </c>
    </row>
    <row r="12" customFormat="false" ht="15" hidden="false" customHeight="false" outlineLevel="0" collapsed="false">
      <c r="A12" s="0" t="s">
        <v>119</v>
      </c>
      <c r="C12" s="4" t="n">
        <f aca="false">-C6*Assumptions!C17/100</f>
        <v>-722.5848</v>
      </c>
      <c r="D12" s="4" t="n">
        <f aca="false">-D6*Assumptions!D17/100</f>
        <v>-761.6043792</v>
      </c>
      <c r="E12" s="4" t="n">
        <f aca="false">-E6*Assumptions!E17/100</f>
        <v>-770.448817152</v>
      </c>
      <c r="F12" s="4" t="n">
        <f aca="false">-F6*Assumptions!F17/100</f>
        <v>-794.525342688</v>
      </c>
      <c r="G12" s="4" t="n">
        <f aca="false">-G6*Assumptions!G17/100</f>
        <v>-843.15992427072</v>
      </c>
      <c r="H12" s="4" t="n">
        <f aca="false">-H6*Assumptions!H17/100</f>
        <v>-868.454721998842</v>
      </c>
      <c r="I12" s="4" t="n">
        <f aca="false">-I6*Assumptions!I17/100</f>
        <v>-890.166090048813</v>
      </c>
      <c r="J12" s="4" t="n">
        <f aca="false">-J6*Assumptions!J17/100</f>
        <v>-912.420242300033</v>
      </c>
      <c r="K12" s="4" t="n">
        <f aca="false">-K6*Assumptions!K17/100</f>
        <v>-935.230748357534</v>
      </c>
      <c r="L12" s="4" t="n">
        <f aca="false">-L6*Assumptions!L17/100</f>
        <v>-958.611517066472</v>
      </c>
    </row>
    <row r="13" customFormat="false" ht="15" hidden="false" customHeight="false" outlineLevel="0" collapsed="false">
      <c r="A13" s="0" t="s">
        <v>120</v>
      </c>
      <c r="C13" s="0" t="n">
        <f aca="false">C11+C12</f>
        <v>4576.3704</v>
      </c>
      <c r="D13" s="0" t="n">
        <f aca="false">D11+D12</f>
        <v>4274.8116768</v>
      </c>
      <c r="E13" s="0" t="n">
        <f aca="false">E11+E12</f>
        <v>3683.708407008</v>
      </c>
      <c r="F13" s="0" t="n">
        <f aca="false">F11+F12</f>
        <v>3418.866626112</v>
      </c>
      <c r="G13" s="0" t="n">
        <f aca="false">G11+G12</f>
        <v>3496.63380359328</v>
      </c>
      <c r="H13" s="0" t="n">
        <f aca="false">H11+H12</f>
        <v>3729.24674740679</v>
      </c>
      <c r="I13" s="0" t="n">
        <f aca="false">I11+I12</f>
        <v>3822.47791609196</v>
      </c>
      <c r="J13" s="0" t="n">
        <f aca="false">J11+J12</f>
        <v>3918.03986399426</v>
      </c>
      <c r="K13" s="0" t="n">
        <f aca="false">K11+K12</f>
        <v>4015.99086059412</v>
      </c>
      <c r="L13" s="0" t="n">
        <f aca="false">L11+L12</f>
        <v>4116.39063210897</v>
      </c>
    </row>
    <row r="14" customFormat="false" ht="15" hidden="false" customHeight="false" outlineLevel="0" collapsed="false">
      <c r="A14" s="0" t="s">
        <v>106</v>
      </c>
      <c r="C14" s="4" t="n">
        <f aca="false">Assumptions!C19</f>
        <v>23</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121</v>
      </c>
      <c r="C15" s="0" t="n">
        <f aca="false">C13-MAX(0,C13)*C14/100</f>
        <v>3523.805208</v>
      </c>
      <c r="D15" s="0" t="n">
        <f aca="false">D13-MAX(0,D13)*D14/100</f>
        <v>3206.1087576</v>
      </c>
      <c r="E15" s="0" t="n">
        <f aca="false">E13-MAX(0,E13)*E14/100</f>
        <v>2762.781305256</v>
      </c>
      <c r="F15" s="0" t="n">
        <f aca="false">F13-MAX(0,F13)*F14/100</f>
        <v>2564.149969584</v>
      </c>
      <c r="G15" s="0" t="n">
        <f aca="false">G13-MAX(0,G13)*G14/100</f>
        <v>2622.47535269496</v>
      </c>
      <c r="H15" s="0" t="n">
        <f aca="false">H13-MAX(0,H13)*H14/100</f>
        <v>2796.93506055509</v>
      </c>
      <c r="I15" s="0" t="n">
        <f aca="false">I13-MAX(0,I13)*I14/100</f>
        <v>2866.85843706897</v>
      </c>
      <c r="J15" s="0" t="n">
        <f aca="false">J13-MAX(0,J13)*J14/100</f>
        <v>2938.52989799569</v>
      </c>
      <c r="K15" s="0" t="n">
        <f aca="false">K13-MAX(0,K13)*K14/100</f>
        <v>3011.99314544559</v>
      </c>
      <c r="L15" s="0" t="n">
        <f aca="false">L13-MAX(0,L13)*L14/100</f>
        <v>3087.29297408173</v>
      </c>
    </row>
    <row r="16" customFormat="false" ht="15" hidden="false" customHeight="false" outlineLevel="0" collapsed="false">
      <c r="A16" s="0" t="s">
        <v>122</v>
      </c>
      <c r="C16" s="0" t="n">
        <f aca="false">-C12</f>
        <v>722.5848</v>
      </c>
      <c r="D16" s="0" t="n">
        <f aca="false">-D12</f>
        <v>761.6043792</v>
      </c>
      <c r="E16" s="0" t="n">
        <f aca="false">-E12</f>
        <v>770.448817152</v>
      </c>
      <c r="F16" s="0" t="n">
        <f aca="false">-F12</f>
        <v>794.525342688</v>
      </c>
      <c r="G16" s="0" t="n">
        <f aca="false">-G12</f>
        <v>843.15992427072</v>
      </c>
      <c r="H16" s="0" t="n">
        <f aca="false">-H12</f>
        <v>868.454721998842</v>
      </c>
      <c r="I16" s="0" t="n">
        <f aca="false">-I12</f>
        <v>890.166090048813</v>
      </c>
      <c r="J16" s="0" t="n">
        <f aca="false">-J12</f>
        <v>912.420242300033</v>
      </c>
      <c r="K16" s="0" t="n">
        <f aca="false">-K12</f>
        <v>935.230748357534</v>
      </c>
      <c r="L16" s="0" t="n">
        <f aca="false">-L12</f>
        <v>958.611517066472</v>
      </c>
    </row>
    <row r="17" customFormat="false" ht="15" hidden="false" customHeight="false" outlineLevel="0" collapsed="false">
      <c r="A17" s="0" t="s">
        <v>123</v>
      </c>
      <c r="C17" s="4" t="n">
        <f aca="false">-C6*Assumptions!C18/100</f>
        <v>-1204.308</v>
      </c>
      <c r="D17" s="4" t="n">
        <f aca="false">-D6*Assumptions!D18/100</f>
        <v>-1351.233576</v>
      </c>
      <c r="E17" s="4" t="n">
        <f aca="false">-E6*Assumptions!E18/100</f>
        <v>-1324.20890448</v>
      </c>
      <c r="F17" s="4" t="n">
        <f aca="false">-F6*Assumptions!F18/100</f>
        <v>-1324.20890448</v>
      </c>
      <c r="G17" s="4" t="n">
        <f aca="false">-G6*Assumptions!G18/100</f>
        <v>-1289.53870770816</v>
      </c>
      <c r="H17" s="4" t="n">
        <f aca="false">-H6*Assumptions!H18/100</f>
        <v>-1277.13929705712</v>
      </c>
      <c r="I17" s="4" t="n">
        <f aca="false">-I6*Assumptions!I18/100</f>
        <v>-1309.06777948355</v>
      </c>
      <c r="J17" s="4" t="n">
        <f aca="false">-J6*Assumptions!J18/100</f>
        <v>-1341.79447397064</v>
      </c>
      <c r="K17" s="4" t="n">
        <f aca="false">-K6*Assumptions!K18/100</f>
        <v>-1375.3393358199</v>
      </c>
      <c r="L17" s="4" t="n">
        <f aca="false">-L6*Assumptions!L18/100</f>
        <v>-1409.7228192154</v>
      </c>
    </row>
    <row r="18" customFormat="false" ht="15" hidden="false" customHeight="false" outlineLevel="0" collapsed="false">
      <c r="A18" s="0" t="s">
        <v>124</v>
      </c>
      <c r="C18" s="4" t="n">
        <f aca="false">(C6-B6)*Assumptions!$B$23/100</f>
        <v>-89.208</v>
      </c>
      <c r="D18" s="4" t="n">
        <f aca="false">(D6-C6)*Assumptions!$B$23/100</f>
        <v>-24.08616</v>
      </c>
      <c r="E18" s="4" t="n">
        <f aca="false">(E6-D6)*Assumptions!$B$23/100</f>
        <v>24.5678832</v>
      </c>
      <c r="F18" s="4" t="n">
        <f aca="false">(F6-E6)*Assumptions!$B$23/100</f>
        <v>-0</v>
      </c>
      <c r="G18" s="4" t="n">
        <f aca="false">(G6-F6)*Assumptions!$B$23/100</f>
        <v>-36.1147883040001</v>
      </c>
      <c r="H18" s="4" t="n">
        <f aca="false">(H6-G6)*Assumptions!$B$23/100</f>
        <v>-37.19823195312</v>
      </c>
      <c r="I18" s="4" t="n">
        <f aca="false">(I6-H6)*Assumptions!$B$23/100</f>
        <v>-31.9284824264279</v>
      </c>
      <c r="J18" s="4" t="n">
        <f aca="false">(J6-I6)*Assumptions!$B$23/100</f>
        <v>-32.7266944870886</v>
      </c>
      <c r="K18" s="4" t="n">
        <f aca="false">(K6-J6)*Assumptions!$B$23/100</f>
        <v>-33.5448618492657</v>
      </c>
      <c r="L18" s="4" t="n">
        <f aca="false">(L6-K6)*Assumptions!$B$23/100</f>
        <v>-34.3834833954974</v>
      </c>
    </row>
    <row r="19" customFormat="false" ht="15" hidden="false" customHeight="false" outlineLevel="0" collapsed="false">
      <c r="A19" s="0" t="s">
        <v>125</v>
      </c>
      <c r="C19" s="0" t="n">
        <f aca="false">C15+C16+C17+C18</f>
        <v>2952.874008</v>
      </c>
      <c r="D19" s="0" t="n">
        <f aca="false">D15+D16+D17+D18</f>
        <v>2592.3934008</v>
      </c>
      <c r="E19" s="0" t="n">
        <f aca="false">E15+E16+E17+E18</f>
        <v>2233.589101128</v>
      </c>
      <c r="F19" s="0" t="n">
        <f aca="false">F15+F16+F17+F18</f>
        <v>2034.466407792</v>
      </c>
      <c r="G19" s="0" t="n">
        <f aca="false">G15+G16+G17+G18</f>
        <v>2139.98178095352</v>
      </c>
      <c r="H19" s="0" t="n">
        <f aca="false">H15+H16+H17+H18</f>
        <v>2351.0522535437</v>
      </c>
      <c r="I19" s="0" t="n">
        <f aca="false">I15+I16+I17+I18</f>
        <v>2416.02826520781</v>
      </c>
      <c r="J19" s="0" t="n">
        <f aca="false">J15+J16+J17+J18</f>
        <v>2476.428971838</v>
      </c>
      <c r="K19" s="0" t="n">
        <f aca="false">K15+K16+K17+K18</f>
        <v>2538.33969613395</v>
      </c>
      <c r="L19" s="0" t="n">
        <f aca="false">L15+L16+L17+L18</f>
        <v>2601.7981885373</v>
      </c>
    </row>
    <row r="20" customFormat="false" ht="15" hidden="false" customHeight="false" outlineLevel="0" collapsed="false">
      <c r="A20" s="0" t="s">
        <v>126</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127</v>
      </c>
      <c r="C21" s="0" t="n">
        <f aca="false">C19*C20</f>
        <v>2709.05872293578</v>
      </c>
      <c r="D21" s="0" t="n">
        <f aca="false">D19*D20</f>
        <v>2181.96566012962</v>
      </c>
      <c r="E21" s="0" t="n">
        <f aca="false">E19*E20</f>
        <v>1724.74060513548</v>
      </c>
      <c r="F21" s="0" t="n">
        <f aca="false">F19*F20</f>
        <v>1441.2672943451</v>
      </c>
      <c r="G21" s="0" t="n">
        <f aca="false">G19*G20</f>
        <v>1390.84132554832</v>
      </c>
      <c r="H21" s="0" t="n">
        <f aca="false">H19*H20</f>
        <v>1401.85564257386</v>
      </c>
      <c r="I21" s="0" t="n">
        <f aca="false">I19*I20</f>
        <v>1321.65019757806</v>
      </c>
      <c r="J21" s="0" t="n">
        <f aca="false">J19*J20</f>
        <v>1242.8361949702</v>
      </c>
      <c r="K21" s="0" t="n">
        <f aca="false">K19*K20</f>
        <v>1168.72210994904</v>
      </c>
      <c r="L21" s="0" t="n">
        <f aca="false">L19*L20</f>
        <v>1099.02767219978</v>
      </c>
    </row>
    <row r="23" customFormat="false" ht="15" hidden="false" customHeight="false" outlineLevel="0" collapsed="false">
      <c r="A23" s="0" t="s">
        <v>103</v>
      </c>
      <c r="C23" s="4" t="n">
        <f aca="false">Assumptions!C16</f>
        <v>1.5</v>
      </c>
      <c r="D23" s="4" t="n">
        <f aca="false">Assumptions!D16</f>
        <v>1.5</v>
      </c>
      <c r="E23" s="4" t="n">
        <f aca="false">Assumptions!E16</f>
        <v>1.5</v>
      </c>
      <c r="F23" s="4" t="n">
        <f aca="false">Assumptions!F16</f>
        <v>1.5</v>
      </c>
      <c r="G23" s="4" t="n">
        <f aca="false">Assumptions!G16</f>
        <v>1.5</v>
      </c>
      <c r="H23" s="4" t="n">
        <f aca="false">Assumptions!H16</f>
        <v>1.5</v>
      </c>
      <c r="I23" s="4" t="n">
        <f aca="false">Assumptions!I16</f>
        <v>1.5</v>
      </c>
      <c r="J23" s="4" t="n">
        <f aca="false">Assumptions!J16</f>
        <v>1.5</v>
      </c>
      <c r="K23" s="4" t="n">
        <f aca="false">Assumptions!K16</f>
        <v>1.5</v>
      </c>
      <c r="L23" s="4" t="n">
        <f aca="false">Assumptions!L16</f>
        <v>1.5</v>
      </c>
    </row>
    <row r="24" customFormat="false" ht="15" hidden="false" customHeight="false" outlineLevel="0" collapsed="false">
      <c r="A24" s="0" t="s">
        <v>128</v>
      </c>
      <c r="C24" s="0" t="n">
        <f aca="false">-C6*C23/100</f>
        <v>-361.2924</v>
      </c>
      <c r="D24" s="0" t="n">
        <f aca="false">-D6*D23/100</f>
        <v>-368.518248</v>
      </c>
      <c r="E24" s="0" t="n">
        <f aca="false">-E6*E23/100</f>
        <v>-361.14788304</v>
      </c>
      <c r="F24" s="0" t="n">
        <f aca="false">-F6*F23/100</f>
        <v>-361.14788304</v>
      </c>
      <c r="G24" s="0" t="n">
        <f aca="false">-G6*G23/100</f>
        <v>-371.9823195312</v>
      </c>
      <c r="H24" s="0" t="n">
        <f aca="false">-H6*H23/100</f>
        <v>-383.141789117136</v>
      </c>
      <c r="I24" s="0" t="n">
        <f aca="false">-I6*I23/100</f>
        <v>-392.720333845064</v>
      </c>
      <c r="J24" s="0" t="n">
        <f aca="false">-J6*J23/100</f>
        <v>-402.538342191191</v>
      </c>
      <c r="K24" s="0" t="n">
        <f aca="false">-K6*K23/100</f>
        <v>-412.601800745971</v>
      </c>
      <c r="L24" s="0" t="n">
        <f aca="false">-L6*L23/100</f>
        <v>-422.91684576462</v>
      </c>
    </row>
    <row r="26" customFormat="false" ht="15" hidden="false" customHeight="false" outlineLevel="0" collapsed="false">
      <c r="A26" s="2" t="s">
        <v>129</v>
      </c>
    </row>
    <row r="27" customFormat="false" ht="15" hidden="false" customHeight="false" outlineLevel="0" collapsed="false">
      <c r="A27" s="0" t="s">
        <v>107</v>
      </c>
      <c r="B27" s="4" t="n">
        <f aca="false">Assumptions!$B$20</f>
        <v>9</v>
      </c>
    </row>
    <row r="28" customFormat="false" ht="15" hidden="false" customHeight="false" outlineLevel="0" collapsed="false">
      <c r="A28" s="0" t="s">
        <v>108</v>
      </c>
      <c r="B28" s="4" t="n">
        <f aca="false">Assumptions!$B$21</f>
        <v>2.5</v>
      </c>
    </row>
    <row r="29" customFormat="false" ht="15" hidden="false" customHeight="false" outlineLevel="0" collapsed="false">
      <c r="A29" s="0" t="s">
        <v>109</v>
      </c>
      <c r="B29" s="4" t="n">
        <f aca="false">Assumptions!$B$22</f>
        <v>15</v>
      </c>
    </row>
    <row r="30" customFormat="false" ht="15" hidden="false" customHeight="false" outlineLevel="0" collapsed="false">
      <c r="A30" s="0" t="s">
        <v>130</v>
      </c>
      <c r="B30" s="0" t="n">
        <f aca="false">SUM(C21:L21)</f>
        <v>15681.9654253652</v>
      </c>
    </row>
    <row r="31" customFormat="false" ht="15" hidden="false" customHeight="false" outlineLevel="0" collapsed="false">
      <c r="A31" s="0" t="s">
        <v>131</v>
      </c>
      <c r="B31" s="0" t="n">
        <f aca="false">L19</f>
        <v>2601.7981885373</v>
      </c>
    </row>
    <row r="32" customFormat="false" ht="15" hidden="false" customHeight="false" outlineLevel="0" collapsed="false">
      <c r="A32" s="0" t="s">
        <v>132</v>
      </c>
      <c r="B32" s="0" t="n">
        <f aca="false">IF(B27&gt;B28,B31*(1+B28/100)/((B27-B28)/100),B31*B29)</f>
        <v>41028.3560500113</v>
      </c>
    </row>
    <row r="33" customFormat="false" ht="15" hidden="false" customHeight="false" outlineLevel="0" collapsed="false">
      <c r="A33" s="0" t="s">
        <v>133</v>
      </c>
      <c r="B33" s="0" t="n">
        <f aca="false">B31*B29</f>
        <v>39026.9728280595</v>
      </c>
    </row>
    <row r="34" customFormat="false" ht="15" hidden="false" customHeight="false" outlineLevel="0" collapsed="false">
      <c r="A34" s="0" t="s">
        <v>134</v>
      </c>
      <c r="B34" s="0" t="n">
        <f aca="false">MAX(0,MIN(B32,B33))</f>
        <v>39026.9728280595</v>
      </c>
    </row>
    <row r="35" customFormat="false" ht="15" hidden="false" customHeight="false" outlineLevel="0" collapsed="false">
      <c r="A35" s="0" t="s">
        <v>135</v>
      </c>
      <c r="B35" s="0" t="n">
        <f aca="false">B34/(1+B27/100)^L4</f>
        <v>16485.4150829967</v>
      </c>
    </row>
    <row r="36" customFormat="false" ht="15" hidden="false" customHeight="false" outlineLevel="0" collapsed="false">
      <c r="A36" s="0" t="s">
        <v>136</v>
      </c>
      <c r="B36" s="0" t="n">
        <f aca="false">B30+B35</f>
        <v>32167.380508362</v>
      </c>
    </row>
    <row r="37" customFormat="false" ht="15" hidden="false" customHeight="false" outlineLevel="0" collapsed="false">
      <c r="A37" s="0" t="s">
        <v>137</v>
      </c>
      <c r="B37" s="0" t="n">
        <f aca="false">B36+Assumptions!$B$5-Assumptions!$B$4</f>
        <v>36747.380508362</v>
      </c>
    </row>
    <row r="38" customFormat="false" ht="15" hidden="false" customHeight="false" outlineLevel="0" collapsed="false">
      <c r="A38" s="0" t="s">
        <v>138</v>
      </c>
      <c r="B38" s="0" t="n">
        <f aca="false">B37/Assumptions!$B$3*Assumptions!$B$10</f>
        <v>442.206744986305</v>
      </c>
    </row>
    <row r="39" customFormat="false" ht="15" hidden="false" customHeight="false" outlineLevel="0" collapsed="false">
      <c r="A39" s="0" t="s">
        <v>139</v>
      </c>
      <c r="B39" s="4" t="n">
        <f aca="false">B38/Assumptions!$B$2-1</f>
        <v>-0.680763250803996</v>
      </c>
    </row>
    <row r="41" customFormat="false" ht="15" hidden="false" customHeight="false" outlineLevel="0" collapsed="false">
      <c r="A41" s="0" t="s">
        <v>140</v>
      </c>
      <c r="B41" s="0" t="n">
        <f aca="false">SUMPRODUCT(-C10:L10/(1+$B$27/100)^C4:L4)</f>
        <v>810.680610617696</v>
      </c>
    </row>
    <row r="42" customFormat="false" ht="15" hidden="false" customHeight="false" outlineLevel="0" collapsed="false">
      <c r="A42" s="0" t="s">
        <v>141</v>
      </c>
      <c r="B42" s="0" t="n">
        <f aca="false">IF(B27&gt;B28,-L10*(1+B28/100)/((B27-B28)/100),-L10*20)/(1+B27/100)^L4</f>
        <v>939.02954985099</v>
      </c>
    </row>
    <row r="43" customFormat="false" ht="15" hidden="false" customHeight="false" outlineLevel="0" collapsed="false">
      <c r="A43" s="0" t="s">
        <v>142</v>
      </c>
      <c r="B43" s="0" t="n">
        <f aca="false">(B37+B41+B42)/Assumptions!$B$3*Assumptions!$B$10</f>
        <v>463.262222248263</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21334.7451460059</v>
      </c>
    </row>
    <row r="47" customFormat="false" ht="15" hidden="false" customHeight="false" outlineLevel="0" collapsed="false">
      <c r="A47" s="0" t="s">
        <v>144</v>
      </c>
      <c r="B47" s="0" t="n">
        <f aca="false">(SUMPRODUCT(C19:L19/(1+B45/100)^C4:L4)+B46/(1+B45/100)^L4+Assumptions!$B$5-Assumptions!$B$4)/Assumptions!$B$3*Assumptions!$B$10</f>
        <v>266.862475338568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11</v>
      </c>
      <c r="D5" s="4" t="n">
        <f aca="false">Assumptions!D27</f>
        <v>8</v>
      </c>
      <c r="E5" s="4" t="n">
        <f aca="false">Assumptions!E27</f>
        <v>7</v>
      </c>
      <c r="F5" s="4" t="n">
        <f aca="false">Assumptions!F27</f>
        <v>6</v>
      </c>
      <c r="G5" s="4" t="n">
        <f aca="false">Assumptions!G27</f>
        <v>5</v>
      </c>
      <c r="H5" s="4" t="n">
        <f aca="false">Assumptions!H27</f>
        <v>4.5</v>
      </c>
      <c r="I5" s="4" t="n">
        <f aca="false">Assumptions!I27</f>
        <v>4</v>
      </c>
      <c r="J5" s="4" t="n">
        <f aca="false">Assumptions!J27</f>
        <v>3.5</v>
      </c>
      <c r="K5" s="4" t="n">
        <f aca="false">Assumptions!K27</f>
        <v>3</v>
      </c>
      <c r="L5" s="4" t="n">
        <f aca="false">Assumptions!L27</f>
        <v>2.5</v>
      </c>
    </row>
    <row r="6" customFormat="false" ht="15" hidden="false" customHeight="false" outlineLevel="0" collapsed="false">
      <c r="A6" s="0" t="s">
        <v>38</v>
      </c>
      <c r="B6" s="3" t="n">
        <v>22302</v>
      </c>
      <c r="C6" s="0" t="n">
        <f aca="false">B6*(1+C5/100)</f>
        <v>24755.22</v>
      </c>
      <c r="D6" s="0" t="n">
        <f aca="false">C6*(1+D5/100)</f>
        <v>26735.6376</v>
      </c>
      <c r="E6" s="0" t="n">
        <f aca="false">D6*(1+E5/100)</f>
        <v>28607.132232</v>
      </c>
      <c r="F6" s="0" t="n">
        <f aca="false">E6*(1+F5/100)</f>
        <v>30323.56016592</v>
      </c>
      <c r="G6" s="0" t="n">
        <f aca="false">F6*(1+G5/100)</f>
        <v>31839.738174216</v>
      </c>
      <c r="H6" s="0" t="n">
        <f aca="false">G6*(1+H5/100)</f>
        <v>33272.5263920557</v>
      </c>
      <c r="I6" s="0" t="n">
        <f aca="false">H6*(1+I5/100)</f>
        <v>34603.427447738</v>
      </c>
      <c r="J6" s="0" t="n">
        <f aca="false">I6*(1+J5/100)</f>
        <v>35814.5474084088</v>
      </c>
      <c r="K6" s="0" t="n">
        <f aca="false">J6*(1+K5/100)</f>
        <v>36888.9838306611</v>
      </c>
      <c r="L6" s="0" t="n">
        <f aca="false">K6*(1+L5/100)</f>
        <v>37811.2084264276</v>
      </c>
    </row>
    <row r="7" customFormat="false" ht="15" hidden="false" customHeight="false" outlineLevel="0" collapsed="false">
      <c r="A7" s="0" t="s">
        <v>101</v>
      </c>
      <c r="C7" s="4" t="n">
        <f aca="false">Assumptions!C28</f>
        <v>25</v>
      </c>
      <c r="D7" s="4" t="n">
        <f aca="false">Assumptions!D28</f>
        <v>25</v>
      </c>
      <c r="E7" s="4" t="n">
        <f aca="false">Assumptions!E28</f>
        <v>25.2</v>
      </c>
      <c r="F7" s="4" t="n">
        <f aca="false">Assumptions!F28</f>
        <v>25.3</v>
      </c>
      <c r="G7" s="4" t="n">
        <f aca="false">Assumptions!G28</f>
        <v>25.3</v>
      </c>
      <c r="H7" s="4" t="n">
        <f aca="false">Assumptions!H28</f>
        <v>25.3</v>
      </c>
      <c r="I7" s="4" t="n">
        <f aca="false">Assumptions!I28</f>
        <v>25.3</v>
      </c>
      <c r="J7" s="4" t="n">
        <f aca="false">Assumptions!J28</f>
        <v>25.3</v>
      </c>
      <c r="K7" s="4" t="n">
        <f aca="false">Assumptions!K28</f>
        <v>25.3</v>
      </c>
      <c r="L7" s="4" t="n">
        <f aca="false">Assumptions!L28</f>
        <v>25.3</v>
      </c>
    </row>
    <row r="8" customFormat="false" ht="15" hidden="false" customHeight="false" outlineLevel="0" collapsed="false">
      <c r="A8" s="0" t="s">
        <v>44</v>
      </c>
      <c r="C8" s="0" t="n">
        <f aca="false">C6*C7/100</f>
        <v>6188.805</v>
      </c>
      <c r="D8" s="0" t="n">
        <f aca="false">D6*D7/100</f>
        <v>6683.9094</v>
      </c>
      <c r="E8" s="0" t="n">
        <f aca="false">E6*E7/100</f>
        <v>7208.997322464</v>
      </c>
      <c r="F8" s="0" t="n">
        <f aca="false">F6*F7/100</f>
        <v>7671.86072197776</v>
      </c>
      <c r="G8" s="0" t="n">
        <f aca="false">G6*G7/100</f>
        <v>8055.45375807665</v>
      </c>
      <c r="H8" s="0" t="n">
        <f aca="false">H6*H7/100</f>
        <v>8417.9491771901</v>
      </c>
      <c r="I8" s="0" t="n">
        <f aca="false">I6*I7/100</f>
        <v>8754.6671442777</v>
      </c>
      <c r="J8" s="0" t="n">
        <f aca="false">J6*J7/100</f>
        <v>9061.08049432742</v>
      </c>
      <c r="K8" s="0" t="n">
        <f aca="false">K6*K7/100</f>
        <v>9332.91290915725</v>
      </c>
      <c r="L8" s="0" t="n">
        <f aca="false">L6*L7/100</f>
        <v>9566.23573188617</v>
      </c>
    </row>
    <row r="9" customFormat="false" ht="15" hidden="false" customHeight="false" outlineLevel="0" collapsed="false">
      <c r="A9" s="0" t="s">
        <v>102</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117</v>
      </c>
      <c r="C10" s="0" t="n">
        <f aca="false">-C6*C9/100</f>
        <v>-123.7761</v>
      </c>
      <c r="D10" s="0" t="n">
        <f aca="false">-D6*D9/100</f>
        <v>-133.678188</v>
      </c>
      <c r="E10" s="0" t="n">
        <f aca="false">-E6*E9/100</f>
        <v>-143.03566116</v>
      </c>
      <c r="F10" s="0" t="n">
        <f aca="false">-F6*F9/100</f>
        <v>-151.6178008296</v>
      </c>
      <c r="G10" s="0" t="n">
        <f aca="false">-G6*G9/100</f>
        <v>-159.19869087108</v>
      </c>
      <c r="H10" s="0" t="n">
        <f aca="false">-H6*H9/100</f>
        <v>-166.362631960279</v>
      </c>
      <c r="I10" s="0" t="n">
        <f aca="false">-I6*I9/100</f>
        <v>-173.01713723869</v>
      </c>
      <c r="J10" s="0" t="n">
        <f aca="false">-J6*J9/100</f>
        <v>-179.072737042044</v>
      </c>
      <c r="K10" s="0" t="n">
        <f aca="false">-K6*K9/100</f>
        <v>-184.444919153305</v>
      </c>
      <c r="L10" s="0" t="n">
        <f aca="false">-L6*L9/100</f>
        <v>-189.056042132138</v>
      </c>
    </row>
    <row r="11" customFormat="false" ht="15" hidden="false" customHeight="false" outlineLevel="0" collapsed="false">
      <c r="A11" s="0" t="s">
        <v>118</v>
      </c>
      <c r="C11" s="0" t="n">
        <f aca="false">C8+C10+C24</f>
        <v>5693.7006</v>
      </c>
      <c r="D11" s="0" t="n">
        <f aca="false">D8+D10+D24</f>
        <v>6149.196648</v>
      </c>
      <c r="E11" s="0" t="n">
        <f aca="false">E8+E10+E24</f>
        <v>6636.854677824</v>
      </c>
      <c r="F11" s="0" t="n">
        <f aca="false">F8+F10+F24</f>
        <v>7065.38951865936</v>
      </c>
      <c r="G11" s="0" t="n">
        <f aca="false">G8+G10+G24</f>
        <v>7418.65899459233</v>
      </c>
      <c r="H11" s="0" t="n">
        <f aca="false">H8+H10+H24</f>
        <v>7752.49864934898</v>
      </c>
      <c r="I11" s="0" t="n">
        <f aca="false">I8+I10+I24</f>
        <v>8062.59859532295</v>
      </c>
      <c r="J11" s="0" t="n">
        <f aca="false">J8+J10+J24</f>
        <v>8344.78954615925</v>
      </c>
      <c r="K11" s="0" t="n">
        <f aca="false">K8+K10+K24</f>
        <v>8595.13323254402</v>
      </c>
      <c r="L11" s="0" t="n">
        <f aca="false">L8+L10+L24</f>
        <v>8810.01156335762</v>
      </c>
    </row>
    <row r="12" customFormat="false" ht="15" hidden="false" customHeight="false" outlineLevel="0" collapsed="false">
      <c r="A12" s="0" t="s">
        <v>119</v>
      </c>
      <c r="C12" s="4" t="n">
        <f aca="false">-C6*Assumptions!C31/100</f>
        <v>-742.6566</v>
      </c>
      <c r="D12" s="4" t="n">
        <f aca="false">-D6*Assumptions!D31/100</f>
        <v>-802.069128</v>
      </c>
      <c r="E12" s="4" t="n">
        <f aca="false">-E6*Assumptions!E31/100</f>
        <v>-886.821099192</v>
      </c>
      <c r="F12" s="4" t="n">
        <f aca="false">-F6*Assumptions!F31/100</f>
        <v>-940.03036514352</v>
      </c>
      <c r="G12" s="4" t="n">
        <f aca="false">-G6*Assumptions!G31/100</f>
        <v>-1018.87162157491</v>
      </c>
      <c r="H12" s="4" t="n">
        <f aca="false">-H6*Assumptions!H31/100</f>
        <v>-1064.72084454578</v>
      </c>
      <c r="I12" s="4" t="n">
        <f aca="false">-I6*Assumptions!I31/100</f>
        <v>-1141.91310577535</v>
      </c>
      <c r="J12" s="4" t="n">
        <f aca="false">-J6*Assumptions!J31/100</f>
        <v>-1181.88006447749</v>
      </c>
      <c r="K12" s="4" t="n">
        <f aca="false">-K6*Assumptions!K31/100</f>
        <v>-1217.33646641181</v>
      </c>
      <c r="L12" s="4" t="n">
        <f aca="false">-L6*Assumptions!L31/100</f>
        <v>-1247.76987807211</v>
      </c>
    </row>
    <row r="13" customFormat="false" ht="15" hidden="false" customHeight="false" outlineLevel="0" collapsed="false">
      <c r="A13" s="0" t="s">
        <v>120</v>
      </c>
      <c r="C13" s="0" t="n">
        <f aca="false">C11+C12</f>
        <v>4951.044</v>
      </c>
      <c r="D13" s="0" t="n">
        <f aca="false">D11+D12</f>
        <v>5347.12752</v>
      </c>
      <c r="E13" s="0" t="n">
        <f aca="false">E11+E12</f>
        <v>5750.033578632</v>
      </c>
      <c r="F13" s="0" t="n">
        <f aca="false">F11+F12</f>
        <v>6125.35915351584</v>
      </c>
      <c r="G13" s="0" t="n">
        <f aca="false">G11+G12</f>
        <v>6399.78737301742</v>
      </c>
      <c r="H13" s="0" t="n">
        <f aca="false">H11+H12</f>
        <v>6687.7778048032</v>
      </c>
      <c r="I13" s="0" t="n">
        <f aca="false">I11+I12</f>
        <v>6920.68548954759</v>
      </c>
      <c r="J13" s="0" t="n">
        <f aca="false">J11+J12</f>
        <v>7162.90948168176</v>
      </c>
      <c r="K13" s="0" t="n">
        <f aca="false">K11+K12</f>
        <v>7377.79676613221</v>
      </c>
      <c r="L13" s="0" t="n">
        <f aca="false">L11+L12</f>
        <v>7562.24168528552</v>
      </c>
    </row>
    <row r="14" customFormat="false" ht="15" hidden="false" customHeight="false" outlineLevel="0" collapsed="false">
      <c r="A14" s="0" t="s">
        <v>106</v>
      </c>
      <c r="C14" s="4" t="n">
        <f aca="false">Assumptions!C33</f>
        <v>22</v>
      </c>
      <c r="D14" s="4" t="n">
        <f aca="false">Assumptions!D33</f>
        <v>23</v>
      </c>
      <c r="E14" s="4" t="n">
        <f aca="false">Assumptions!E33</f>
        <v>24</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121</v>
      </c>
      <c r="C15" s="0" t="n">
        <f aca="false">C13-MAX(0,C13)*C14/100</f>
        <v>3861.81432</v>
      </c>
      <c r="D15" s="0" t="n">
        <f aca="false">D13-MAX(0,D13)*D14/100</f>
        <v>4117.2881904</v>
      </c>
      <c r="E15" s="0" t="n">
        <f aca="false">E13-MAX(0,E13)*E14/100</f>
        <v>4370.02551976032</v>
      </c>
      <c r="F15" s="0" t="n">
        <f aca="false">F13-MAX(0,F13)*F14/100</f>
        <v>4594.01936513688</v>
      </c>
      <c r="G15" s="0" t="n">
        <f aca="false">G13-MAX(0,G13)*G14/100</f>
        <v>4799.84052976306</v>
      </c>
      <c r="H15" s="0" t="n">
        <f aca="false">H13-MAX(0,H13)*H14/100</f>
        <v>5015.8333536024</v>
      </c>
      <c r="I15" s="0" t="n">
        <f aca="false">I13-MAX(0,I13)*I14/100</f>
        <v>5190.51411716069</v>
      </c>
      <c r="J15" s="0" t="n">
        <f aca="false">J13-MAX(0,J13)*J14/100</f>
        <v>5372.18211126132</v>
      </c>
      <c r="K15" s="0" t="n">
        <f aca="false">K13-MAX(0,K13)*K14/100</f>
        <v>5533.34757459916</v>
      </c>
      <c r="L15" s="0" t="n">
        <f aca="false">L13-MAX(0,L13)*L14/100</f>
        <v>5671.68126396414</v>
      </c>
    </row>
    <row r="16" customFormat="false" ht="15" hidden="false" customHeight="false" outlineLevel="0" collapsed="false">
      <c r="A16" s="0" t="s">
        <v>122</v>
      </c>
      <c r="C16" s="0" t="n">
        <f aca="false">-C12</f>
        <v>742.6566</v>
      </c>
      <c r="D16" s="0" t="n">
        <f aca="false">-D12</f>
        <v>802.069128</v>
      </c>
      <c r="E16" s="0" t="n">
        <f aca="false">-E12</f>
        <v>886.821099192</v>
      </c>
      <c r="F16" s="0" t="n">
        <f aca="false">-F12</f>
        <v>940.03036514352</v>
      </c>
      <c r="G16" s="0" t="n">
        <f aca="false">-G12</f>
        <v>1018.87162157491</v>
      </c>
      <c r="H16" s="0" t="n">
        <f aca="false">-H12</f>
        <v>1064.72084454578</v>
      </c>
      <c r="I16" s="0" t="n">
        <f aca="false">-I12</f>
        <v>1141.91310577535</v>
      </c>
      <c r="J16" s="0" t="n">
        <f aca="false">-J12</f>
        <v>1181.88006447749</v>
      </c>
      <c r="K16" s="0" t="n">
        <f aca="false">-K12</f>
        <v>1217.33646641181</v>
      </c>
      <c r="L16" s="0" t="n">
        <f aca="false">-L12</f>
        <v>1247.76987807211</v>
      </c>
    </row>
    <row r="17" customFormat="false" ht="15" hidden="false" customHeight="false" outlineLevel="0" collapsed="false">
      <c r="A17" s="0" t="s">
        <v>123</v>
      </c>
      <c r="C17" s="4" t="n">
        <f aca="false">-C6*Assumptions!C32/100</f>
        <v>-1188.25056</v>
      </c>
      <c r="D17" s="4" t="n">
        <f aca="false">-D6*Assumptions!D32/100</f>
        <v>-1283.3106048</v>
      </c>
      <c r="E17" s="4" t="n">
        <f aca="false">-E6*Assumptions!E32/100</f>
        <v>-1344.535214904</v>
      </c>
      <c r="F17" s="4" t="n">
        <f aca="false">-F6*Assumptions!F32/100</f>
        <v>-1394.88376763232</v>
      </c>
      <c r="G17" s="4" t="n">
        <f aca="false">-G6*Assumptions!G32/100</f>
        <v>-1432.78821783972</v>
      </c>
      <c r="H17" s="4" t="n">
        <f aca="false">-H6*Assumptions!H32/100</f>
        <v>-1497.26368764251</v>
      </c>
      <c r="I17" s="4" t="n">
        <f aca="false">-I6*Assumptions!I32/100</f>
        <v>-1522.55080770047</v>
      </c>
      <c r="J17" s="4" t="n">
        <f aca="false">-J6*Assumptions!J32/100</f>
        <v>-1575.84008596999</v>
      </c>
      <c r="K17" s="4" t="n">
        <f aca="false">-K6*Assumptions!K32/100</f>
        <v>-1623.11528854909</v>
      </c>
      <c r="L17" s="4" t="n">
        <f aca="false">-L6*Assumptions!L32/100</f>
        <v>-1663.69317076281</v>
      </c>
    </row>
    <row r="18" customFormat="false" ht="15" hidden="false" customHeight="false" outlineLevel="0" collapsed="false">
      <c r="A18" s="0" t="s">
        <v>124</v>
      </c>
      <c r="C18" s="4" t="n">
        <f aca="false">(C6-B6)*Assumptions!$B$37/100</f>
        <v>367.983</v>
      </c>
      <c r="D18" s="4" t="n">
        <f aca="false">(D6-C6)*Assumptions!$B$37/100</f>
        <v>297.06264</v>
      </c>
      <c r="E18" s="4" t="n">
        <f aca="false">(E6-D6)*Assumptions!$B$37/100</f>
        <v>280.7241948</v>
      </c>
      <c r="F18" s="4" t="n">
        <f aca="false">(F6-E6)*Assumptions!$B$37/100</f>
        <v>257.464190088</v>
      </c>
      <c r="G18" s="4" t="n">
        <f aca="false">(G6-F6)*Assumptions!$B$37/100</f>
        <v>227.4267012444</v>
      </c>
      <c r="H18" s="4" t="n">
        <f aca="false">(H6-G6)*Assumptions!$B$37/100</f>
        <v>214.918232675958</v>
      </c>
      <c r="I18" s="4" t="n">
        <f aca="false">(I6-H6)*Assumptions!$B$37/100</f>
        <v>199.635158352335</v>
      </c>
      <c r="J18" s="4" t="n">
        <f aca="false">(J6-I6)*Assumptions!$B$37/100</f>
        <v>181.667994100624</v>
      </c>
      <c r="K18" s="4" t="n">
        <f aca="false">(K6-J6)*Assumptions!$B$37/100</f>
        <v>161.16546333784</v>
      </c>
      <c r="L18" s="4" t="n">
        <f aca="false">(L6-K6)*Assumptions!$B$37/100</f>
        <v>138.333689364978</v>
      </c>
    </row>
    <row r="19" customFormat="false" ht="15" hidden="false" customHeight="false" outlineLevel="0" collapsed="false">
      <c r="A19" s="0" t="s">
        <v>125</v>
      </c>
      <c r="C19" s="0" t="n">
        <f aca="false">C15+C16+C17+C18</f>
        <v>3784.20336</v>
      </c>
      <c r="D19" s="0" t="n">
        <f aca="false">D15+D16+D17+D18</f>
        <v>3933.1093536</v>
      </c>
      <c r="E19" s="0" t="n">
        <f aca="false">E15+E16+E17+E18</f>
        <v>4193.03559884832</v>
      </c>
      <c r="F19" s="0" t="n">
        <f aca="false">F15+F16+F17+F18</f>
        <v>4396.63015273608</v>
      </c>
      <c r="G19" s="0" t="n">
        <f aca="false">G15+G16+G17+G18</f>
        <v>4613.35063474266</v>
      </c>
      <c r="H19" s="0" t="n">
        <f aca="false">H15+H16+H17+H18</f>
        <v>4798.20874318163</v>
      </c>
      <c r="I19" s="0" t="n">
        <f aca="false">I15+I16+I17+I18</f>
        <v>5009.51157358791</v>
      </c>
      <c r="J19" s="0" t="n">
        <f aca="false">J15+J16+J17+J18</f>
        <v>5159.89008386945</v>
      </c>
      <c r="K19" s="0" t="n">
        <f aca="false">K15+K16+K17+K18</f>
        <v>5288.73421579972</v>
      </c>
      <c r="L19" s="0" t="n">
        <f aca="false">L15+L16+L17+L18</f>
        <v>5394.09166063841</v>
      </c>
    </row>
    <row r="20" customFormat="false" ht="15" hidden="false" customHeight="false" outlineLevel="0" collapsed="false">
      <c r="A20" s="0" t="s">
        <v>126</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127</v>
      </c>
      <c r="C21" s="0" t="n">
        <f aca="false">C19*C20</f>
        <v>3471.74620183486</v>
      </c>
      <c r="D21" s="0" t="n">
        <f aca="false">D19*D20</f>
        <v>3310.41945425469</v>
      </c>
      <c r="E21" s="0" t="n">
        <f aca="false">E19*E20</f>
        <v>3237.79282073862</v>
      </c>
      <c r="F21" s="0" t="n">
        <f aca="false">F19*F20</f>
        <v>3114.68364392766</v>
      </c>
      <c r="G21" s="0" t="n">
        <f aca="false">G19*G20</f>
        <v>2998.36137351865</v>
      </c>
      <c r="H21" s="0" t="n">
        <f aca="false">H19*H20</f>
        <v>2861.0151011054</v>
      </c>
      <c r="I21" s="0" t="n">
        <f aca="false">I19*I20</f>
        <v>2740.37438069152</v>
      </c>
      <c r="J21" s="0" t="n">
        <f aca="false">J19*J20</f>
        <v>2589.57483991197</v>
      </c>
      <c r="K21" s="0" t="n">
        <f aca="false">K19*K20</f>
        <v>2435.08015143255</v>
      </c>
      <c r="L21" s="0" t="n">
        <f aca="false">L19*L20</f>
        <v>2278.52261083958</v>
      </c>
    </row>
    <row r="23" customFormat="false" ht="15" hidden="false" customHeight="false" outlineLevel="0" collapsed="false">
      <c r="A23" s="0" t="s">
        <v>103</v>
      </c>
      <c r="C23" s="4" t="n">
        <f aca="false">Assumptions!C30</f>
        <v>1.5</v>
      </c>
      <c r="D23" s="4" t="n">
        <f aca="false">Assumptions!D30</f>
        <v>1.5</v>
      </c>
      <c r="E23" s="4" t="n">
        <f aca="false">Assumptions!E30</f>
        <v>1.5</v>
      </c>
      <c r="F23" s="4" t="n">
        <f aca="false">Assumptions!F30</f>
        <v>1.5</v>
      </c>
      <c r="G23" s="4" t="n">
        <f aca="false">Assumptions!G30</f>
        <v>1.5</v>
      </c>
      <c r="H23" s="4" t="n">
        <f aca="false">Assumptions!H30</f>
        <v>1.5</v>
      </c>
      <c r="I23" s="4" t="n">
        <f aca="false">Assumptions!I30</f>
        <v>1.5</v>
      </c>
      <c r="J23" s="4" t="n">
        <f aca="false">Assumptions!J30</f>
        <v>1.5</v>
      </c>
      <c r="K23" s="4" t="n">
        <f aca="false">Assumptions!K30</f>
        <v>1.5</v>
      </c>
      <c r="L23" s="4" t="n">
        <f aca="false">Assumptions!L30</f>
        <v>1.5</v>
      </c>
    </row>
    <row r="24" customFormat="false" ht="15" hidden="false" customHeight="false" outlineLevel="0" collapsed="false">
      <c r="A24" s="0" t="s">
        <v>128</v>
      </c>
      <c r="C24" s="0" t="n">
        <f aca="false">-C6*C23/100</f>
        <v>-371.3283</v>
      </c>
      <c r="D24" s="0" t="n">
        <f aca="false">-D6*D23/100</f>
        <v>-401.034564</v>
      </c>
      <c r="E24" s="0" t="n">
        <f aca="false">-E6*E23/100</f>
        <v>-429.10698348</v>
      </c>
      <c r="F24" s="0" t="n">
        <f aca="false">-F6*F23/100</f>
        <v>-454.8534024888</v>
      </c>
      <c r="G24" s="0" t="n">
        <f aca="false">-G6*G23/100</f>
        <v>-477.59607261324</v>
      </c>
      <c r="H24" s="0" t="n">
        <f aca="false">-H6*H23/100</f>
        <v>-499.087895880836</v>
      </c>
      <c r="I24" s="0" t="n">
        <f aca="false">-I6*I23/100</f>
        <v>-519.051411716069</v>
      </c>
      <c r="J24" s="0" t="n">
        <f aca="false">-J6*J23/100</f>
        <v>-537.218211126132</v>
      </c>
      <c r="K24" s="0" t="n">
        <f aca="false">-K6*K23/100</f>
        <v>-553.334757459916</v>
      </c>
      <c r="L24" s="0" t="n">
        <f aca="false">-L6*L23/100</f>
        <v>-567.168126396414</v>
      </c>
    </row>
    <row r="26" customFormat="false" ht="15" hidden="false" customHeight="false" outlineLevel="0" collapsed="false">
      <c r="A26" s="2" t="s">
        <v>129</v>
      </c>
    </row>
    <row r="27" customFormat="false" ht="15" hidden="false" customHeight="false" outlineLevel="0" collapsed="false">
      <c r="A27" s="0" t="s">
        <v>107</v>
      </c>
      <c r="B27" s="4" t="n">
        <f aca="false">Assumptions!$B$34</f>
        <v>9</v>
      </c>
    </row>
    <row r="28" customFormat="false" ht="15" hidden="false" customHeight="false" outlineLevel="0" collapsed="false">
      <c r="A28" s="0" t="s">
        <v>108</v>
      </c>
      <c r="B28" s="4" t="n">
        <f aca="false">Assumptions!$B$35</f>
        <v>2.5</v>
      </c>
    </row>
    <row r="29" customFormat="false" ht="15" hidden="false" customHeight="false" outlineLevel="0" collapsed="false">
      <c r="A29" s="0" t="s">
        <v>109</v>
      </c>
      <c r="B29" s="4" t="n">
        <f aca="false">Assumptions!$B$36</f>
        <v>18</v>
      </c>
    </row>
    <row r="30" customFormat="false" ht="15" hidden="false" customHeight="false" outlineLevel="0" collapsed="false">
      <c r="A30" s="0" t="s">
        <v>130</v>
      </c>
      <c r="B30" s="0" t="n">
        <f aca="false">SUM(C21:L21)</f>
        <v>29037.5705782555</v>
      </c>
    </row>
    <row r="31" customFormat="false" ht="15" hidden="false" customHeight="false" outlineLevel="0" collapsed="false">
      <c r="A31" s="0" t="s">
        <v>131</v>
      </c>
      <c r="B31" s="0" t="n">
        <f aca="false">L19</f>
        <v>5394.09166063841</v>
      </c>
    </row>
    <row r="32" customFormat="false" ht="15" hidden="false" customHeight="false" outlineLevel="0" collapsed="false">
      <c r="A32" s="0" t="s">
        <v>132</v>
      </c>
      <c r="B32" s="0" t="n">
        <f aca="false">IF(B27&gt;B28,B31*(1+B28/100)/((B27-B28)/100),B31*B29)</f>
        <v>85060.6761869903</v>
      </c>
    </row>
    <row r="33" customFormat="false" ht="15" hidden="false" customHeight="false" outlineLevel="0" collapsed="false">
      <c r="A33" s="0" t="s">
        <v>133</v>
      </c>
      <c r="B33" s="0" t="n">
        <f aca="false">B31*B29</f>
        <v>97093.6498914914</v>
      </c>
    </row>
    <row r="34" customFormat="false" ht="15" hidden="false" customHeight="false" outlineLevel="0" collapsed="false">
      <c r="A34" s="0" t="s">
        <v>134</v>
      </c>
      <c r="B34" s="0" t="n">
        <f aca="false">MAX(0,MIN(B32,B33))</f>
        <v>85060.6761869903</v>
      </c>
    </row>
    <row r="35" customFormat="false" ht="15" hidden="false" customHeight="false" outlineLevel="0" collapsed="false">
      <c r="A35" s="0" t="s">
        <v>135</v>
      </c>
      <c r="B35" s="0" t="n">
        <f aca="false">B34/(1+B27/100)^L4</f>
        <v>35930.5488632395</v>
      </c>
    </row>
    <row r="36" customFormat="false" ht="15" hidden="false" customHeight="false" outlineLevel="0" collapsed="false">
      <c r="A36" s="0" t="s">
        <v>136</v>
      </c>
      <c r="B36" s="0" t="n">
        <f aca="false">B30+B35</f>
        <v>64968.119441495</v>
      </c>
    </row>
    <row r="37" customFormat="false" ht="15" hidden="false" customHeight="false" outlineLevel="0" collapsed="false">
      <c r="A37" s="0" t="s">
        <v>137</v>
      </c>
      <c r="B37" s="0" t="n">
        <f aca="false">B36+Assumptions!$B$5-Assumptions!$B$4</f>
        <v>69548.119441495</v>
      </c>
    </row>
    <row r="38" customFormat="false" ht="15" hidden="false" customHeight="false" outlineLevel="0" collapsed="false">
      <c r="A38" s="0" t="s">
        <v>138</v>
      </c>
      <c r="B38" s="0" t="n">
        <f aca="false">B37/Assumptions!$B$3*Assumptions!$B$10</f>
        <v>836.920811570337</v>
      </c>
    </row>
    <row r="39" customFormat="false" ht="15" hidden="false" customHeight="false" outlineLevel="0" collapsed="false">
      <c r="A39" s="0" t="s">
        <v>139</v>
      </c>
      <c r="B39" s="4" t="n">
        <f aca="false">B38/Assumptions!$B$2-1</f>
        <v>-0.395812293119884</v>
      </c>
    </row>
    <row r="41" customFormat="false" ht="15" hidden="false" customHeight="false" outlineLevel="0" collapsed="false">
      <c r="A41" s="0" t="s">
        <v>140</v>
      </c>
      <c r="B41" s="0" t="n">
        <f aca="false">SUMPRODUCT(-C10:L10/(1+$B$27/100)^C4:L4)</f>
        <v>995.894533507972</v>
      </c>
    </row>
    <row r="42" customFormat="false" ht="15" hidden="false" customHeight="false" outlineLevel="0" collapsed="false">
      <c r="A42" s="0" t="s">
        <v>141</v>
      </c>
      <c r="B42" s="0" t="n">
        <f aca="false">IF(B27&gt;B28,-L10*(1+B28/100)/((B27-B28)/100),-L10*20)/(1+B27/100)^L4</f>
        <v>1259.31997212585</v>
      </c>
    </row>
    <row r="43" customFormat="false" ht="15" hidden="false" customHeight="false" outlineLevel="0" collapsed="false">
      <c r="A43" s="0" t="s">
        <v>142</v>
      </c>
      <c r="B43" s="0" t="n">
        <f aca="false">(B37+B41+B42)/Assumptions!$B$3*Assumptions!$B$10</f>
        <v>864.059373611658</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44231.551617235</v>
      </c>
    </row>
    <row r="47" customFormat="false" ht="15" hidden="false" customHeight="false" outlineLevel="0" collapsed="false">
      <c r="A47" s="0" t="s">
        <v>144</v>
      </c>
      <c r="B47" s="0" t="n">
        <f aca="false">(SUMPRODUCT(C19:L19/(1+B45/100)^C4:L4)+B46/(1+B45/100)^L4+Assumptions!$B$5-Assumptions!$B$4)/Assumptions!$B$3*Assumptions!$B$10</f>
        <v>455.157149254793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14</v>
      </c>
      <c r="D5" s="4" t="n">
        <f aca="false">Assumptions!D41</f>
        <v>11</v>
      </c>
      <c r="E5" s="4" t="n">
        <f aca="false">Assumptions!E41</f>
        <v>9</v>
      </c>
      <c r="F5" s="4" t="n">
        <f aca="false">Assumptions!F41</f>
        <v>8</v>
      </c>
      <c r="G5" s="4" t="n">
        <f aca="false">Assumptions!G41</f>
        <v>7</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38</v>
      </c>
      <c r="B6" s="3" t="n">
        <v>22302</v>
      </c>
      <c r="C6" s="0" t="n">
        <f aca="false">B6*(1+C5/100)</f>
        <v>25424.28</v>
      </c>
      <c r="D6" s="0" t="n">
        <f aca="false">C6*(1+D5/100)</f>
        <v>28220.9508</v>
      </c>
      <c r="E6" s="0" t="n">
        <f aca="false">D6*(1+E5/100)</f>
        <v>30760.836372</v>
      </c>
      <c r="F6" s="0" t="n">
        <f aca="false">E6*(1+F5/100)</f>
        <v>33221.70328176</v>
      </c>
      <c r="G6" s="0" t="n">
        <f aca="false">F6*(1+G5/100)</f>
        <v>35547.2225114832</v>
      </c>
      <c r="H6" s="0" t="n">
        <f aca="false">G6*(1+H5/100)</f>
        <v>37680.0558621722</v>
      </c>
      <c r="I6" s="0" t="n">
        <f aca="false">H6*(1+I5/100)</f>
        <v>39564.0586552808</v>
      </c>
      <c r="J6" s="0" t="n">
        <f aca="false">I6*(1+J5/100)</f>
        <v>41146.6210014921</v>
      </c>
      <c r="K6" s="0" t="n">
        <f aca="false">J6*(1+K5/100)</f>
        <v>42586.7527365443</v>
      </c>
      <c r="L6" s="0" t="n">
        <f aca="false">K6*(1+L5/100)</f>
        <v>43864.3553186406</v>
      </c>
    </row>
    <row r="7" customFormat="false" ht="15" hidden="false" customHeight="false" outlineLevel="0" collapsed="false">
      <c r="A7" s="0" t="s">
        <v>101</v>
      </c>
      <c r="C7" s="4" t="n">
        <f aca="false">Assumptions!C42</f>
        <v>25.5</v>
      </c>
      <c r="D7" s="4" t="n">
        <f aca="false">Assumptions!D42</f>
        <v>26.5</v>
      </c>
      <c r="E7" s="4" t="n">
        <f aca="false">Assumptions!E42</f>
        <v>27.5</v>
      </c>
      <c r="F7" s="4" t="n">
        <f aca="false">Assumptions!F42</f>
        <v>28</v>
      </c>
      <c r="G7" s="4" t="n">
        <f aca="false">Assumptions!G42</f>
        <v>28.5</v>
      </c>
      <c r="H7" s="4" t="n">
        <f aca="false">Assumptions!H42</f>
        <v>28.5</v>
      </c>
      <c r="I7" s="4" t="n">
        <f aca="false">Assumptions!I42</f>
        <v>28.5</v>
      </c>
      <c r="J7" s="4" t="n">
        <f aca="false">Assumptions!J42</f>
        <v>28.5</v>
      </c>
      <c r="K7" s="4" t="n">
        <f aca="false">Assumptions!K42</f>
        <v>28.5</v>
      </c>
      <c r="L7" s="4" t="n">
        <f aca="false">Assumptions!L42</f>
        <v>28.5</v>
      </c>
    </row>
    <row r="8" customFormat="false" ht="15" hidden="false" customHeight="false" outlineLevel="0" collapsed="false">
      <c r="A8" s="0" t="s">
        <v>44</v>
      </c>
      <c r="C8" s="0" t="n">
        <f aca="false">C6*C7/100</f>
        <v>6483.1914</v>
      </c>
      <c r="D8" s="0" t="n">
        <f aca="false">D6*D7/100</f>
        <v>7478.551962</v>
      </c>
      <c r="E8" s="0" t="n">
        <f aca="false">E6*E7/100</f>
        <v>8459.2300023</v>
      </c>
      <c r="F8" s="0" t="n">
        <f aca="false">F6*F7/100</f>
        <v>9302.0769188928</v>
      </c>
      <c r="G8" s="0" t="n">
        <f aca="false">G6*G7/100</f>
        <v>10130.9584157727</v>
      </c>
      <c r="H8" s="0" t="n">
        <f aca="false">H6*H7/100</f>
        <v>10738.8159207191</v>
      </c>
      <c r="I8" s="0" t="n">
        <f aca="false">I6*I7/100</f>
        <v>11275.756716755</v>
      </c>
      <c r="J8" s="0" t="n">
        <f aca="false">J6*J7/100</f>
        <v>11726.7869854252</v>
      </c>
      <c r="K8" s="0" t="n">
        <f aca="false">K6*K7/100</f>
        <v>12137.2245299151</v>
      </c>
      <c r="L8" s="0" t="n">
        <f aca="false">L6*L7/100</f>
        <v>12501.3412658126</v>
      </c>
    </row>
    <row r="9" customFormat="false" ht="15" hidden="false" customHeight="false" outlineLevel="0" collapsed="false">
      <c r="A9" s="0" t="s">
        <v>102</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117</v>
      </c>
      <c r="C10" s="0" t="n">
        <f aca="false">-C6*C9/100</f>
        <v>-127.1214</v>
      </c>
      <c r="D10" s="0" t="n">
        <f aca="false">-D6*D9/100</f>
        <v>-141.104754</v>
      </c>
      <c r="E10" s="0" t="n">
        <f aca="false">-E6*E9/100</f>
        <v>-153.80418186</v>
      </c>
      <c r="F10" s="0" t="n">
        <f aca="false">-F6*F9/100</f>
        <v>-166.1085164088</v>
      </c>
      <c r="G10" s="0" t="n">
        <f aca="false">-G6*G9/100</f>
        <v>-177.736112557416</v>
      </c>
      <c r="H10" s="0" t="n">
        <f aca="false">-H6*H9/100</f>
        <v>-188.400279310861</v>
      </c>
      <c r="I10" s="0" t="n">
        <f aca="false">-I6*I9/100</f>
        <v>-197.820293276404</v>
      </c>
      <c r="J10" s="0" t="n">
        <f aca="false">-J6*J9/100</f>
        <v>-205.73310500746</v>
      </c>
      <c r="K10" s="0" t="n">
        <f aca="false">-K6*K9/100</f>
        <v>-212.933763682721</v>
      </c>
      <c r="L10" s="0" t="n">
        <f aca="false">-L6*L9/100</f>
        <v>-219.321776593203</v>
      </c>
    </row>
    <row r="11" customFormat="false" ht="15" hidden="false" customHeight="false" outlineLevel="0" collapsed="false">
      <c r="A11" s="0" t="s">
        <v>118</v>
      </c>
      <c r="C11" s="0" t="n">
        <f aca="false">C8+C10+C24</f>
        <v>5974.7058</v>
      </c>
      <c r="D11" s="0" t="n">
        <f aca="false">D8+D10+D24</f>
        <v>6914.132946</v>
      </c>
      <c r="E11" s="0" t="n">
        <f aca="false">E8+E10+E24</f>
        <v>7844.01327486</v>
      </c>
      <c r="F11" s="0" t="n">
        <f aca="false">F8+F10+F24</f>
        <v>8637.6428532576</v>
      </c>
      <c r="G11" s="0" t="n">
        <f aca="false">G8+G10+G24</f>
        <v>9420.01396554305</v>
      </c>
      <c r="H11" s="0" t="n">
        <f aca="false">H8+H10+H24</f>
        <v>9985.21480347564</v>
      </c>
      <c r="I11" s="0" t="n">
        <f aca="false">I8+I10+I24</f>
        <v>10484.4755436494</v>
      </c>
      <c r="J11" s="0" t="n">
        <f aca="false">J8+J10+J24</f>
        <v>10903.8545653954</v>
      </c>
      <c r="K11" s="0" t="n">
        <f aca="false">K8+K10+K24</f>
        <v>11285.4894751842</v>
      </c>
      <c r="L11" s="0" t="n">
        <f aca="false">L8+L10+L24</f>
        <v>11624.0541594398</v>
      </c>
    </row>
    <row r="12" customFormat="false" ht="15" hidden="false" customHeight="false" outlineLevel="0" collapsed="false">
      <c r="A12" s="0" t="s">
        <v>119</v>
      </c>
      <c r="C12" s="4" t="n">
        <f aca="false">-C6*Assumptions!C45/100</f>
        <v>-762.7284</v>
      </c>
      <c r="D12" s="4" t="n">
        <f aca="false">-D6*Assumptions!D45/100</f>
        <v>-846.628524</v>
      </c>
      <c r="E12" s="4" t="n">
        <f aca="false">-E6*Assumptions!E45/100</f>
        <v>-953.585927532</v>
      </c>
      <c r="F12" s="4" t="n">
        <f aca="false">-F6*Assumptions!F45/100</f>
        <v>-1029.87280173456</v>
      </c>
      <c r="G12" s="4" t="n">
        <f aca="false">-G6*Assumptions!G45/100</f>
        <v>-1137.51112036746</v>
      </c>
      <c r="H12" s="4" t="n">
        <f aca="false">-H6*Assumptions!H45/100</f>
        <v>-1205.76178758951</v>
      </c>
      <c r="I12" s="4" t="n">
        <f aca="false">-I6*Assumptions!I45/100</f>
        <v>-1266.04987696899</v>
      </c>
      <c r="J12" s="4" t="n">
        <f aca="false">-J6*Assumptions!J45/100</f>
        <v>-1316.69187204775</v>
      </c>
      <c r="K12" s="4" t="n">
        <f aca="false">-K6*Assumptions!K45/100</f>
        <v>-1362.77608756942</v>
      </c>
      <c r="L12" s="4" t="n">
        <f aca="false">-L6*Assumptions!L45/100</f>
        <v>-1403.6593701965</v>
      </c>
    </row>
    <row r="13" customFormat="false" ht="15" hidden="false" customHeight="false" outlineLevel="0" collapsed="false">
      <c r="A13" s="0" t="s">
        <v>120</v>
      </c>
      <c r="C13" s="0" t="n">
        <f aca="false">C11+C12</f>
        <v>5211.9774</v>
      </c>
      <c r="D13" s="0" t="n">
        <f aca="false">D11+D12</f>
        <v>6067.504422</v>
      </c>
      <c r="E13" s="0" t="n">
        <f aca="false">E11+E12</f>
        <v>6890.427347328</v>
      </c>
      <c r="F13" s="0" t="n">
        <f aca="false">F11+F12</f>
        <v>7607.77005152304</v>
      </c>
      <c r="G13" s="0" t="n">
        <f aca="false">G11+G12</f>
        <v>8282.50284517559</v>
      </c>
      <c r="H13" s="0" t="n">
        <f aca="false">H11+H12</f>
        <v>8779.45301588613</v>
      </c>
      <c r="I13" s="0" t="n">
        <f aca="false">I11+I12</f>
        <v>9218.42566668044</v>
      </c>
      <c r="J13" s="0" t="n">
        <f aca="false">J11+J12</f>
        <v>9587.16269334765</v>
      </c>
      <c r="K13" s="0" t="n">
        <f aca="false">K11+K12</f>
        <v>9922.71338761482</v>
      </c>
      <c r="L13" s="0" t="n">
        <f aca="false">L11+L12</f>
        <v>10220.3947892433</v>
      </c>
    </row>
    <row r="14" customFormat="false" ht="15" hidden="false" customHeight="false" outlineLevel="0" collapsed="false">
      <c r="A14" s="0" t="s">
        <v>106</v>
      </c>
      <c r="C14" s="4" t="n">
        <f aca="false">Assumptions!C47</f>
        <v>22</v>
      </c>
      <c r="D14" s="4" t="n">
        <f aca="false">Assumptions!D47</f>
        <v>23</v>
      </c>
      <c r="E14" s="4" t="n">
        <f aca="false">Assumptions!E47</f>
        <v>24</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121</v>
      </c>
      <c r="C15" s="0" t="n">
        <f aca="false">C13-MAX(0,C13)*C14/100</f>
        <v>4065.342372</v>
      </c>
      <c r="D15" s="0" t="n">
        <f aca="false">D13-MAX(0,D13)*D14/100</f>
        <v>4671.97840494</v>
      </c>
      <c r="E15" s="0" t="n">
        <f aca="false">E13-MAX(0,E13)*E14/100</f>
        <v>5236.72478396928</v>
      </c>
      <c r="F15" s="0" t="n">
        <f aca="false">F13-MAX(0,F13)*F14/100</f>
        <v>5705.82753864228</v>
      </c>
      <c r="G15" s="0" t="n">
        <f aca="false">G13-MAX(0,G13)*G14/100</f>
        <v>6211.87713388169</v>
      </c>
      <c r="H15" s="0" t="n">
        <f aca="false">H13-MAX(0,H13)*H14/100</f>
        <v>6584.58976191459</v>
      </c>
      <c r="I15" s="0" t="n">
        <f aca="false">I13-MAX(0,I13)*I14/100</f>
        <v>6913.81925001033</v>
      </c>
      <c r="J15" s="0" t="n">
        <f aca="false">J13-MAX(0,J13)*J14/100</f>
        <v>7190.37202001074</v>
      </c>
      <c r="K15" s="0" t="n">
        <f aca="false">K13-MAX(0,K13)*K14/100</f>
        <v>7442.03504071111</v>
      </c>
      <c r="L15" s="0" t="n">
        <f aca="false">L13-MAX(0,L13)*L14/100</f>
        <v>7665.29609193245</v>
      </c>
    </row>
    <row r="16" customFormat="false" ht="15" hidden="false" customHeight="false" outlineLevel="0" collapsed="false">
      <c r="A16" s="0" t="s">
        <v>122</v>
      </c>
      <c r="C16" s="0" t="n">
        <f aca="false">-C12</f>
        <v>762.7284</v>
      </c>
      <c r="D16" s="0" t="n">
        <f aca="false">-D12</f>
        <v>846.628524</v>
      </c>
      <c r="E16" s="0" t="n">
        <f aca="false">-E12</f>
        <v>953.585927532</v>
      </c>
      <c r="F16" s="0" t="n">
        <f aca="false">-F12</f>
        <v>1029.87280173456</v>
      </c>
      <c r="G16" s="0" t="n">
        <f aca="false">-G12</f>
        <v>1137.51112036746</v>
      </c>
      <c r="H16" s="0" t="n">
        <f aca="false">-H12</f>
        <v>1205.76178758951</v>
      </c>
      <c r="I16" s="0" t="n">
        <f aca="false">-I12</f>
        <v>1266.04987696899</v>
      </c>
      <c r="J16" s="0" t="n">
        <f aca="false">-J12</f>
        <v>1316.69187204775</v>
      </c>
      <c r="K16" s="0" t="n">
        <f aca="false">-K12</f>
        <v>1362.77608756942</v>
      </c>
      <c r="L16" s="0" t="n">
        <f aca="false">-L12</f>
        <v>1403.6593701965</v>
      </c>
    </row>
    <row r="17" customFormat="false" ht="15" hidden="false" customHeight="false" outlineLevel="0" collapsed="false">
      <c r="A17" s="0" t="s">
        <v>123</v>
      </c>
      <c r="C17" s="4" t="n">
        <f aca="false">-C6*Assumptions!C46/100</f>
        <v>-1220.36544</v>
      </c>
      <c r="D17" s="4" t="n">
        <f aca="false">-D6*Assumptions!D46/100</f>
        <v>-1354.6056384</v>
      </c>
      <c r="E17" s="4" t="n">
        <f aca="false">-E6*Assumptions!E46/100</f>
        <v>-1445.759309484</v>
      </c>
      <c r="F17" s="4" t="n">
        <f aca="false">-F6*Assumptions!F46/100</f>
        <v>-1528.19835096096</v>
      </c>
      <c r="G17" s="4" t="n">
        <f aca="false">-G6*Assumptions!G46/100</f>
        <v>-1599.62501301675</v>
      </c>
      <c r="H17" s="4" t="n">
        <f aca="false">-H6*Assumptions!H46/100</f>
        <v>-1695.60251379775</v>
      </c>
      <c r="I17" s="4" t="n">
        <f aca="false">-I6*Assumptions!I46/100</f>
        <v>-1780.38263948764</v>
      </c>
      <c r="J17" s="4" t="n">
        <f aca="false">-J6*Assumptions!J46/100</f>
        <v>-1851.59794506714</v>
      </c>
      <c r="K17" s="4" t="n">
        <f aca="false">-K6*Assumptions!K46/100</f>
        <v>-1916.40387314449</v>
      </c>
      <c r="L17" s="4" t="n">
        <f aca="false">-L6*Assumptions!L46/100</f>
        <v>-1973.89598933883</v>
      </c>
    </row>
    <row r="18" customFormat="false" ht="15" hidden="false" customHeight="false" outlineLevel="0" collapsed="false">
      <c r="A18" s="0" t="s">
        <v>124</v>
      </c>
      <c r="C18" s="4" t="n">
        <f aca="false">(C6-B6)*Assumptions!$B$51/100</f>
        <v>624.456000000001</v>
      </c>
      <c r="D18" s="4" t="n">
        <f aca="false">(D6-C6)*Assumptions!$B$51/100</f>
        <v>559.334160000001</v>
      </c>
      <c r="E18" s="4" t="n">
        <f aca="false">(E6-D6)*Assumptions!$B$51/100</f>
        <v>507.977114400001</v>
      </c>
      <c r="F18" s="4" t="n">
        <f aca="false">(F6-E6)*Assumptions!$B$51/100</f>
        <v>492.173381952001</v>
      </c>
      <c r="G18" s="4" t="n">
        <f aca="false">(G6-F6)*Assumptions!$B$51/100</f>
        <v>465.103845944641</v>
      </c>
      <c r="H18" s="4" t="n">
        <f aca="false">(H6-G6)*Assumptions!$B$51/100</f>
        <v>426.5666701378</v>
      </c>
      <c r="I18" s="4" t="n">
        <f aca="false">(I6-H6)*Assumptions!$B$51/100</f>
        <v>376.800558621723</v>
      </c>
      <c r="J18" s="4" t="n">
        <f aca="false">(J6-I6)*Assumptions!$B$51/100</f>
        <v>316.512469242247</v>
      </c>
      <c r="K18" s="4" t="n">
        <f aca="false">(K6-J6)*Assumptions!$B$51/100</f>
        <v>288.026347010444</v>
      </c>
      <c r="L18" s="4" t="n">
        <f aca="false">(L6-K6)*Assumptions!$B$51/100</f>
        <v>255.520516419267</v>
      </c>
    </row>
    <row r="19" customFormat="false" ht="15" hidden="false" customHeight="false" outlineLevel="0" collapsed="false">
      <c r="A19" s="0" t="s">
        <v>125</v>
      </c>
      <c r="C19" s="0" t="n">
        <f aca="false">C15+C16+C17+C18</f>
        <v>4232.161332</v>
      </c>
      <c r="D19" s="0" t="n">
        <f aca="false">D15+D16+D17+D18</f>
        <v>4723.33545054</v>
      </c>
      <c r="E19" s="0" t="n">
        <f aca="false">E15+E16+E17+E18</f>
        <v>5252.52851641728</v>
      </c>
      <c r="F19" s="0" t="n">
        <f aca="false">F15+F16+F17+F18</f>
        <v>5699.67537136788</v>
      </c>
      <c r="G19" s="0" t="n">
        <f aca="false">G15+G16+G17+G18</f>
        <v>6214.86708717705</v>
      </c>
      <c r="H19" s="0" t="n">
        <f aca="false">H15+H16+H17+H18</f>
        <v>6521.31570584416</v>
      </c>
      <c r="I19" s="0" t="n">
        <f aca="false">I15+I16+I17+I18</f>
        <v>6776.2870461134</v>
      </c>
      <c r="J19" s="0" t="n">
        <f aca="false">J15+J16+J17+J18</f>
        <v>6971.97841623359</v>
      </c>
      <c r="K19" s="0" t="n">
        <f aca="false">K15+K16+K17+K18</f>
        <v>7176.43360214648</v>
      </c>
      <c r="L19" s="0" t="n">
        <f aca="false">L15+L16+L17+L18</f>
        <v>7350.57998920939</v>
      </c>
    </row>
    <row r="20" customFormat="false" ht="15" hidden="false" customHeight="false" outlineLevel="0" collapsed="false">
      <c r="A20" s="0" t="s">
        <v>126</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127</v>
      </c>
      <c r="C21" s="0" t="n">
        <f aca="false">C19*C20</f>
        <v>3882.71681834862</v>
      </c>
      <c r="D21" s="0" t="n">
        <f aca="false">D19*D20</f>
        <v>3975.53695020621</v>
      </c>
      <c r="E21" s="0" t="n">
        <f aca="false">E19*E20</f>
        <v>4055.91574892708</v>
      </c>
      <c r="F21" s="0" t="n">
        <f aca="false">F19*F20</f>
        <v>4037.79372796439</v>
      </c>
      <c r="G21" s="0" t="n">
        <f aca="false">G19*G20</f>
        <v>4039.23718162894</v>
      </c>
      <c r="H21" s="0" t="n">
        <f aca="false">H19*H20</f>
        <v>3888.44748365914</v>
      </c>
      <c r="I21" s="0" t="n">
        <f aca="false">I19*I20</f>
        <v>3706.8610671122</v>
      </c>
      <c r="J21" s="0" t="n">
        <f aca="false">J19*J20</f>
        <v>3499.00086971399</v>
      </c>
      <c r="K21" s="0" t="n">
        <f aca="false">K19*K20</f>
        <v>3304.22938828247</v>
      </c>
      <c r="L21" s="0" t="n">
        <f aca="false">L19*L20</f>
        <v>3104.96442439324</v>
      </c>
    </row>
    <row r="23" customFormat="false" ht="15" hidden="false" customHeight="false" outlineLevel="0" collapsed="false">
      <c r="A23" s="0" t="s">
        <v>103</v>
      </c>
      <c r="C23" s="4" t="n">
        <f aca="false">Assumptions!C44</f>
        <v>1.5</v>
      </c>
      <c r="D23" s="4" t="n">
        <f aca="false">Assumptions!D44</f>
        <v>1.5</v>
      </c>
      <c r="E23" s="4" t="n">
        <f aca="false">Assumptions!E44</f>
        <v>1.5</v>
      </c>
      <c r="F23" s="4" t="n">
        <f aca="false">Assumptions!F44</f>
        <v>1.5</v>
      </c>
      <c r="G23" s="4" t="n">
        <f aca="false">Assumptions!G44</f>
        <v>1.5</v>
      </c>
      <c r="H23" s="4" t="n">
        <f aca="false">Assumptions!H44</f>
        <v>1.5</v>
      </c>
      <c r="I23" s="4" t="n">
        <f aca="false">Assumptions!I44</f>
        <v>1.5</v>
      </c>
      <c r="J23" s="4" t="n">
        <f aca="false">Assumptions!J44</f>
        <v>1.5</v>
      </c>
      <c r="K23" s="4" t="n">
        <f aca="false">Assumptions!K44</f>
        <v>1.5</v>
      </c>
      <c r="L23" s="4" t="n">
        <f aca="false">Assumptions!L44</f>
        <v>1.5</v>
      </c>
    </row>
    <row r="24" customFormat="false" ht="15" hidden="false" customHeight="false" outlineLevel="0" collapsed="false">
      <c r="A24" s="0" t="s">
        <v>128</v>
      </c>
      <c r="C24" s="0" t="n">
        <f aca="false">-C6*C23/100</f>
        <v>-381.3642</v>
      </c>
      <c r="D24" s="0" t="n">
        <f aca="false">-D6*D23/100</f>
        <v>-423.314262</v>
      </c>
      <c r="E24" s="0" t="n">
        <f aca="false">-E6*E23/100</f>
        <v>-461.41254558</v>
      </c>
      <c r="F24" s="0" t="n">
        <f aca="false">-F6*F23/100</f>
        <v>-498.3255492264</v>
      </c>
      <c r="G24" s="0" t="n">
        <f aca="false">-G6*G23/100</f>
        <v>-533.208337672248</v>
      </c>
      <c r="H24" s="0" t="n">
        <f aca="false">-H6*H23/100</f>
        <v>-565.200837932583</v>
      </c>
      <c r="I24" s="0" t="n">
        <f aca="false">-I6*I23/100</f>
        <v>-593.460879829212</v>
      </c>
      <c r="J24" s="0" t="n">
        <f aca="false">-J6*J23/100</f>
        <v>-617.199315022381</v>
      </c>
      <c r="K24" s="0" t="n">
        <f aca="false">-K6*K23/100</f>
        <v>-638.801291048164</v>
      </c>
      <c r="L24" s="0" t="n">
        <f aca="false">-L6*L23/100</f>
        <v>-657.965329779609</v>
      </c>
    </row>
    <row r="26" customFormat="false" ht="15" hidden="false" customHeight="false" outlineLevel="0" collapsed="false">
      <c r="A26" s="2" t="s">
        <v>129</v>
      </c>
    </row>
    <row r="27" customFormat="false" ht="15" hidden="false" customHeight="false" outlineLevel="0" collapsed="false">
      <c r="A27" s="0" t="s">
        <v>107</v>
      </c>
      <c r="B27" s="4" t="n">
        <f aca="false">Assumptions!$B$48</f>
        <v>9</v>
      </c>
    </row>
    <row r="28" customFormat="false" ht="15" hidden="false" customHeight="false" outlineLevel="0" collapsed="false">
      <c r="A28" s="0" t="s">
        <v>108</v>
      </c>
      <c r="B28" s="4" t="n">
        <f aca="false">Assumptions!$B$49</f>
        <v>2.5</v>
      </c>
    </row>
    <row r="29" customFormat="false" ht="15" hidden="false" customHeight="false" outlineLevel="0" collapsed="false">
      <c r="A29" s="0" t="s">
        <v>109</v>
      </c>
      <c r="B29" s="4" t="n">
        <f aca="false">Assumptions!$B$50</f>
        <v>20</v>
      </c>
    </row>
    <row r="30" customFormat="false" ht="15" hidden="false" customHeight="false" outlineLevel="0" collapsed="false">
      <c r="A30" s="0" t="s">
        <v>130</v>
      </c>
      <c r="B30" s="0" t="n">
        <f aca="false">SUM(C21:L21)</f>
        <v>37494.7036602363</v>
      </c>
    </row>
    <row r="31" customFormat="false" ht="15" hidden="false" customHeight="false" outlineLevel="0" collapsed="false">
      <c r="A31" s="0" t="s">
        <v>131</v>
      </c>
      <c r="B31" s="0" t="n">
        <f aca="false">L19</f>
        <v>7350.57998920939</v>
      </c>
    </row>
    <row r="32" customFormat="false" ht="15" hidden="false" customHeight="false" outlineLevel="0" collapsed="false">
      <c r="A32" s="0" t="s">
        <v>132</v>
      </c>
      <c r="B32" s="0" t="n">
        <f aca="false">IF(B27&gt;B28,B31*(1+B28/100)/((B27-B28)/100),B31*B29)</f>
        <v>115912.992137533</v>
      </c>
    </row>
    <row r="33" customFormat="false" ht="15" hidden="false" customHeight="false" outlineLevel="0" collapsed="false">
      <c r="A33" s="0" t="s">
        <v>133</v>
      </c>
      <c r="B33" s="0" t="n">
        <f aca="false">B31*B29</f>
        <v>147011.599784188</v>
      </c>
    </row>
    <row r="34" customFormat="false" ht="15" hidden="false" customHeight="false" outlineLevel="0" collapsed="false">
      <c r="A34" s="0" t="s">
        <v>134</v>
      </c>
      <c r="B34" s="0" t="n">
        <f aca="false">MAX(0,MIN(B32,B33))</f>
        <v>115912.992137533</v>
      </c>
    </row>
    <row r="35" customFormat="false" ht="15" hidden="false" customHeight="false" outlineLevel="0" collapsed="false">
      <c r="A35" s="0" t="s">
        <v>135</v>
      </c>
      <c r="B35" s="0" t="n">
        <f aca="false">B34/(1+B27/100)^L4</f>
        <v>48962.9005385088</v>
      </c>
    </row>
    <row r="36" customFormat="false" ht="15" hidden="false" customHeight="false" outlineLevel="0" collapsed="false">
      <c r="A36" s="0" t="s">
        <v>136</v>
      </c>
      <c r="B36" s="0" t="n">
        <f aca="false">B30+B35</f>
        <v>86457.6041987451</v>
      </c>
    </row>
    <row r="37" customFormat="false" ht="15" hidden="false" customHeight="false" outlineLevel="0" collapsed="false">
      <c r="A37" s="0" t="s">
        <v>137</v>
      </c>
      <c r="B37" s="0" t="n">
        <f aca="false">B36+Assumptions!$B$5-Assumptions!$B$4</f>
        <v>91037.6041987451</v>
      </c>
    </row>
    <row r="38" customFormat="false" ht="15" hidden="false" customHeight="false" outlineLevel="0" collapsed="false">
      <c r="A38" s="0" t="s">
        <v>138</v>
      </c>
      <c r="B38" s="0" t="n">
        <f aca="false">B37/Assumptions!$B$3*Assumptions!$B$10</f>
        <v>1095.51870275265</v>
      </c>
    </row>
    <row r="39" customFormat="false" ht="15" hidden="false" customHeight="false" outlineLevel="0" collapsed="false">
      <c r="A39" s="0" t="s">
        <v>139</v>
      </c>
      <c r="B39" s="4" t="n">
        <f aca="false">B38/Assumptions!$B$2-1</f>
        <v>-0.209125972601322</v>
      </c>
    </row>
    <row r="41" customFormat="false" ht="15" hidden="false" customHeight="false" outlineLevel="0" collapsed="false">
      <c r="A41" s="0" t="s">
        <v>140</v>
      </c>
      <c r="B41" s="0" t="n">
        <f aca="false">SUMPRODUCT(-C10:L10/(1+$B$27/100)^C4:L4)</f>
        <v>1101.83339554199</v>
      </c>
    </row>
    <row r="42" customFormat="false" ht="15" hidden="false" customHeight="false" outlineLevel="0" collapsed="false">
      <c r="A42" s="0" t="s">
        <v>141</v>
      </c>
      <c r="B42" s="0" t="n">
        <f aca="false">IF(B27&gt;B28,-L10*(1+B28/100)/((B27-B28)/100),-L10*20)/(1+B27/100)^L4</f>
        <v>1460.92285901606</v>
      </c>
    </row>
    <row r="43" customFormat="false" ht="15" hidden="false" customHeight="false" outlineLevel="0" collapsed="false">
      <c r="A43" s="0" t="s">
        <v>142</v>
      </c>
      <c r="B43" s="0" t="n">
        <f aca="false">(B37+B41+B42)/Assumptions!$B$3*Assumptions!$B$10</f>
        <v>1126.35812819859</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60274.755911517</v>
      </c>
    </row>
    <row r="47" customFormat="false" ht="15" hidden="false" customHeight="false" outlineLevel="0" collapsed="false">
      <c r="A47" s="0" t="s">
        <v>144</v>
      </c>
      <c r="B47" s="0" t="n">
        <f aca="false">(SUMPRODUCT(C19:L19/(1+B45/100)^C4:L4)+B46/(1+B45/100)^L4+Assumptions!$B$5-Assumptions!$B$4)/Assumptions!$B$3*Assumptions!$B$10</f>
        <v>578.048997753074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442.206744986305</v>
      </c>
      <c r="C4" s="0" t="n">
        <f aca="false">B4/Assumptions!$B$2-1</f>
        <v>-0.680763250803996</v>
      </c>
      <c r="D4" s="4" t="n">
        <f aca="false">Assumptions!$B$24</f>
        <v>0.25</v>
      </c>
      <c r="E4" s="4" t="n">
        <f aca="false">DCF_Bear!$B$43</f>
        <v>463.262222248263</v>
      </c>
      <c r="F4" s="4" t="n">
        <f aca="false">DCF_Bear!$B$47</f>
        <v>266.862475338568</v>
      </c>
    </row>
    <row r="5" customFormat="false" ht="15" hidden="false" customHeight="false" outlineLevel="0" collapsed="false">
      <c r="A5" s="0" t="s">
        <v>153</v>
      </c>
      <c r="B5" s="4" t="n">
        <f aca="false">DCF_Base!$B$38</f>
        <v>836.920811570337</v>
      </c>
      <c r="C5" s="0" t="n">
        <f aca="false">B5/Assumptions!$B$2-1</f>
        <v>-0.395812293119884</v>
      </c>
      <c r="D5" s="4" t="n">
        <f aca="false">Assumptions!$B$38</f>
        <v>0.5</v>
      </c>
      <c r="E5" s="4" t="n">
        <f aca="false">DCF_Base!$B$43</f>
        <v>864.059373611658</v>
      </c>
      <c r="F5" s="4" t="n">
        <f aca="false">DCF_Base!$B$47</f>
        <v>455.157149254793</v>
      </c>
    </row>
    <row r="6" customFormat="false" ht="15" hidden="false" customHeight="false" outlineLevel="0" collapsed="false">
      <c r="A6" s="0" t="s">
        <v>154</v>
      </c>
      <c r="B6" s="4" t="n">
        <f aca="false">DCF_Bull!$B$38</f>
        <v>1095.51870275265</v>
      </c>
      <c r="C6" s="0" t="n">
        <f aca="false">B6/Assumptions!$B$2-1</f>
        <v>-0.209125972601322</v>
      </c>
      <c r="D6" s="4" t="n">
        <f aca="false">Assumptions!$B$52</f>
        <v>0.25</v>
      </c>
      <c r="E6" s="4" t="n">
        <f aca="false">DCF_Bull!$B$43</f>
        <v>1126.35812819859</v>
      </c>
      <c r="F6" s="4" t="n">
        <f aca="false">DCF_Bull!$B$47</f>
        <v>578.048997753074</v>
      </c>
    </row>
    <row r="8" customFormat="false" ht="15" hidden="false" customHeight="false" outlineLevel="0" collapsed="false">
      <c r="A8" s="0" t="s">
        <v>155</v>
      </c>
      <c r="B8" s="0" t="n">
        <f aca="false">SUMPRODUCT(B4:B6,D4:D6)</f>
        <v>802.891767719907</v>
      </c>
    </row>
    <row r="9" customFormat="false" ht="15" hidden="false" customHeight="false" outlineLevel="0" collapsed="false">
      <c r="A9" s="0" t="s">
        <v>156</v>
      </c>
      <c r="B9" s="0" t="n">
        <f aca="false">SUMPRODUCT(E4:E6,D4:D6)</f>
        <v>829.434774417543</v>
      </c>
    </row>
    <row r="10" customFormat="false" ht="15" hidden="false" customHeight="false" outlineLevel="0" collapsed="false">
      <c r="A10" s="0" t="s">
        <v>157</v>
      </c>
      <c r="B10" s="0" t="n">
        <f aca="false">1-Assumptions!$B$2/B8</f>
        <v>-0.725263672753505</v>
      </c>
    </row>
    <row r="11" customFormat="false" ht="15" hidden="false" customHeight="false" outlineLevel="0" collapsed="false">
      <c r="A11" s="0" t="s">
        <v>158</v>
      </c>
      <c r="B11" s="0" t="n">
        <f aca="false">IF(ABS(B9-B8)&gt;0.01*ABS(B8),(Assumptions!$B$2-B8)/(B9-B8)*100,"n/a")</f>
        <v>2193.82920297398</v>
      </c>
    </row>
    <row r="12" customFormat="false" ht="15" hidden="false" customHeight="false" outlineLevel="0" collapsed="false">
      <c r="A12" s="0" t="s">
        <v>159</v>
      </c>
      <c r="B12" s="0" t="n">
        <f aca="false">SUMPRODUCT(F4:F6,D4:D6)</f>
        <v>438.806442900307</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836.920811570337</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730.677306850359</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649.507203557745</v>
      </c>
      <c r="C17" s="3" t="n">
        <v>11</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585.489053114444</v>
      </c>
      <c r="C18" s="3" t="n">
        <v>12</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455.157149254793</v>
      </c>
      <c r="C19" s="3" t="n">
        <v>15</v>
      </c>
    </row>
    <row r="21" customFormat="false" ht="15" hidden="false" customHeight="false" outlineLevel="0" collapsed="false">
      <c r="A21" s="2" t="s">
        <v>167</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1033.86852077845</v>
      </c>
      <c r="C23" s="0" t="n">
        <f aca="false">(SUMPRODUCT(DCF_Base!$C$19:$L$19/(1+$A$23/100)^DCF_Base!$C$4:$L$4)+MAX(0,MIN(IF($A$23&gt;$C$22,DCF_Base!$L$19*(1+$C$22/100)/(($A$23-$C$22)/100),DCF_Base!$L$19*DCF_Base!$B$29),DCF_Base!$L$19*DCF_Base!$B$29))/(1+$A$23/100)^DCF_Base!$L$4+Assumptions!$B$5-Assumptions!$B$4)/Assumptions!$B$3*Assumptions!$B$10</f>
        <v>1033.86852077845</v>
      </c>
      <c r="D23" s="0" t="n">
        <f aca="false">(SUMPRODUCT(DCF_Base!$C$19:$L$19/(1+$A$23/100)^DCF_Base!$C$4:$L$4)+MAX(0,MIN(IF($A$23&gt;$D$22,DCF_Base!$L$19*(1+$D$22/100)/(($A$23-$D$22)/100),DCF_Base!$L$19*DCF_Base!$B$29),DCF_Base!$L$19*DCF_Base!$B$29))/(1+$A$23/100)^DCF_Base!$L$4+Assumptions!$B$5-Assumptions!$B$4)/Assumptions!$B$3*Assumptions!$B$10</f>
        <v>1033.86852077845</v>
      </c>
      <c r="E23" s="0" t="n">
        <f aca="false">(SUMPRODUCT(DCF_Base!$C$19:$L$19/(1+$A$23/100)^DCF_Base!$C$4:$L$4)+MAX(0,MIN(IF($A$23&gt;$E$22,DCF_Base!$L$19*(1+$E$22/100)/(($A$23-$E$22)/100),DCF_Base!$L$19*DCF_Base!$B$29),DCF_Base!$L$19*DCF_Base!$B$29))/(1+$A$23/100)^DCF_Base!$L$4+Assumptions!$B$5-Assumptions!$B$4)/Assumptions!$B$3*Assumptions!$B$10</f>
        <v>1033.86852077845</v>
      </c>
      <c r="F23" s="0" t="n">
        <f aca="false">(SUMPRODUCT(DCF_Base!$C$19:$L$19/(1+$A$23/100)^DCF_Base!$C$4:$L$4)+MAX(0,MIN(IF($A$23&gt;$F$22,DCF_Base!$L$19*(1+$F$22/100)/(($A$23-$F$22)/100),DCF_Base!$L$19*DCF_Base!$B$29),DCF_Base!$L$19*DCF_Base!$B$29))/(1+$A$23/100)^DCF_Base!$L$4+Assumptions!$B$5-Assumptions!$B$4)/Assumptions!$B$3*Assumptions!$B$10</f>
        <v>1033.86852077845</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891.09100209997</v>
      </c>
      <c r="C24" s="0" t="n">
        <f aca="false">(SUMPRODUCT(DCF_Base!$C$19:$L$19/(1+$A$24/100)^DCF_Base!$C$4:$L$4)+MAX(0,MIN(IF($A$24&gt;$C$22,DCF_Base!$L$19*(1+$C$22/100)/(($A$24-$C$22)/100),DCF_Base!$L$19*DCF_Base!$B$29),DCF_Base!$L$19*DCF_Base!$B$29))/(1+$A$24/100)^DCF_Base!$L$4+Assumptions!$B$5-Assumptions!$B$4)/Assumptions!$B$3*Assumptions!$B$10</f>
        <v>932.721240333899</v>
      </c>
      <c r="D24" s="0" t="n">
        <f aca="false">(SUMPRODUCT(DCF_Base!$C$19:$L$19/(1+$A$24/100)^DCF_Base!$C$4:$L$4)+MAX(0,MIN(IF($A$24&gt;$D$22,DCF_Base!$L$19*(1+$D$22/100)/(($A$24-$D$22)/100),DCF_Base!$L$19*DCF_Base!$B$29),DCF_Base!$L$19*DCF_Base!$B$29))/(1+$A$24/100)^DCF_Base!$L$4+Assumptions!$B$5-Assumptions!$B$4)/Assumptions!$B$3*Assumptions!$B$10</f>
        <v>962.787523502847</v>
      </c>
      <c r="E24" s="0" t="n">
        <f aca="false">(SUMPRODUCT(DCF_Base!$C$19:$L$19/(1+$A$24/100)^DCF_Base!$C$4:$L$4)+MAX(0,MIN(IF($A$24&gt;$E$22,DCF_Base!$L$19*(1+$E$22/100)/(($A$24-$E$22)/100),DCF_Base!$L$19*DCF_Base!$B$29),DCF_Base!$L$19*DCF_Base!$B$29))/(1+$A$24/100)^DCF_Base!$L$4+Assumptions!$B$5-Assumptions!$B$4)/Assumptions!$B$3*Assumptions!$B$10</f>
        <v>962.787523502847</v>
      </c>
      <c r="F24" s="0" t="n">
        <f aca="false">(SUMPRODUCT(DCF_Base!$C$19:$L$19/(1+$A$24/100)^DCF_Base!$C$4:$L$4)+MAX(0,MIN(IF($A$24&gt;$F$22,DCF_Base!$L$19*(1+$F$22/100)/(($A$24-$F$22)/100),DCF_Base!$L$19*DCF_Base!$B$29),DCF_Base!$L$19*DCF_Base!$B$29))/(1+$A$24/100)^DCF_Base!$L$4+Assumptions!$B$5-Assumptions!$B$4)/Assumptions!$B$3*Assumptions!$B$10</f>
        <v>962.787523502847</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775.614639931221</v>
      </c>
      <c r="C25" s="0" t="n">
        <f aca="false">(SUMPRODUCT(DCF_Base!$C$19:$L$19/(1+$A$25/100)^DCF_Base!$C$4:$L$4)+MAX(0,MIN(IF($A$25&gt;$C$22,DCF_Base!$L$19*(1+$C$22/100)/(($A$25-$C$22)/100),DCF_Base!$L$19*DCF_Base!$B$29),DCF_Base!$L$19*DCF_Base!$B$29))/(1+$A$25/100)^DCF_Base!$L$4+Assumptions!$B$5-Assumptions!$B$4)/Assumptions!$B$3*Assumptions!$B$10</f>
        <v>804.07821962081</v>
      </c>
      <c r="D25" s="0" t="n">
        <f aca="false">(SUMPRODUCT(DCF_Base!$C$19:$L$19/(1+$A$25/100)^DCF_Base!$C$4:$L$4)+MAX(0,MIN(IF($A$25&gt;$D$22,DCF_Base!$L$19*(1+$D$22/100)/(($A$25-$D$22)/100),DCF_Base!$L$19*DCF_Base!$B$29),DCF_Base!$L$19*DCF_Base!$B$29))/(1+$A$25/100)^DCF_Base!$L$4+Assumptions!$B$5-Assumptions!$B$4)/Assumptions!$B$3*Assumptions!$B$10</f>
        <v>836.920811570337</v>
      </c>
      <c r="E25" s="0" t="n">
        <f aca="false">(SUMPRODUCT(DCF_Base!$C$19:$L$19/(1+$A$25/100)^DCF_Base!$C$4:$L$4)+MAX(0,MIN(IF($A$25&gt;$E$22,DCF_Base!$L$19*(1+$E$22/100)/(($A$25-$E$22)/100),DCF_Base!$L$19*DCF_Base!$B$29),DCF_Base!$L$19*DCF_Base!$B$29))/(1+$A$25/100)^DCF_Base!$L$4+Assumptions!$B$5-Assumptions!$B$4)/Assumptions!$B$3*Assumptions!$B$10</f>
        <v>875.237168844784</v>
      </c>
      <c r="F25" s="0" t="n">
        <f aca="false">(SUMPRODUCT(DCF_Base!$C$19:$L$19/(1+$A$25/100)^DCF_Base!$C$4:$L$4)+MAX(0,MIN(IF($A$25&gt;$F$22,DCF_Base!$L$19*(1+$F$22/100)/(($A$25-$F$22)/100),DCF_Base!$L$19*DCF_Base!$B$29),DCF_Base!$L$19*DCF_Base!$B$29))/(1+$A$25/100)^DCF_Base!$L$4+Assumptions!$B$5-Assumptions!$B$4)/Assumptions!$B$3*Assumptions!$B$10</f>
        <v>898.086372724042</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687.495287991727</v>
      </c>
      <c r="C26" s="0" t="n">
        <f aca="false">(SUMPRODUCT(DCF_Base!$C$19:$L$19/(1+$A$26/100)^DCF_Base!$C$4:$L$4)+MAX(0,MIN(IF($A$26&gt;$C$22,DCF_Base!$L$19*(1+$C$22/100)/(($A$26-$C$22)/100),DCF_Base!$L$19*DCF_Base!$B$29),DCF_Base!$L$19*DCF_Base!$B$29))/(1+$A$26/100)^DCF_Base!$L$4+Assumptions!$B$5-Assumptions!$B$4)/Assumptions!$B$3*Assumptions!$B$10</f>
        <v>707.736859331711</v>
      </c>
      <c r="D26" s="0" t="n">
        <f aca="false">(SUMPRODUCT(DCF_Base!$C$19:$L$19/(1+$A$26/100)^DCF_Base!$C$4:$L$4)+MAX(0,MIN(IF($A$26&gt;$D$22,DCF_Base!$L$19*(1+$D$22/100)/(($A$26-$D$22)/100),DCF_Base!$L$19*DCF_Base!$B$29),DCF_Base!$L$19*DCF_Base!$B$29))/(1+$A$26/100)^DCF_Base!$L$4+Assumptions!$B$5-Assumptions!$B$4)/Assumptions!$B$3*Assumptions!$B$10</f>
        <v>730.677306850359</v>
      </c>
      <c r="E26" s="0" t="n">
        <f aca="false">(SUMPRODUCT(DCF_Base!$C$19:$L$19/(1+$A$26/100)^DCF_Base!$C$4:$L$4)+MAX(0,MIN(IF($A$26&gt;$E$22,DCF_Base!$L$19*(1+$E$22/100)/(($A$26-$E$22)/100),DCF_Base!$L$19*DCF_Base!$B$29),DCF_Base!$L$19*DCF_Base!$B$29))/(1+$A$26/100)^DCF_Base!$L$4+Assumptions!$B$5-Assumptions!$B$4)/Assumptions!$B$3*Assumptions!$B$10</f>
        <v>756.894961157386</v>
      </c>
      <c r="F26" s="0" t="n">
        <f aca="false">(SUMPRODUCT(DCF_Base!$C$19:$L$19/(1+$A$26/100)^DCF_Base!$C$4:$L$4)+MAX(0,MIN(IF($A$26&gt;$F$22,DCF_Base!$L$19*(1+$F$22/100)/(($A$26-$F$22)/100),DCF_Base!$L$19*DCF_Base!$B$29),DCF_Base!$L$19*DCF_Base!$B$29))/(1+$A$26/100)^DCF_Base!$L$4+Assumptions!$B$5-Assumptions!$B$4)/Assumptions!$B$3*Assumptions!$B$10</f>
        <v>787.146100742417</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618.082733810607</v>
      </c>
      <c r="C27" s="0" t="n">
        <f aca="false">(SUMPRODUCT(DCF_Base!$C$19:$L$19/(1+$A$27/100)^DCF_Base!$C$4:$L$4)+MAX(0,MIN(IF($A$27&gt;$C$22,DCF_Base!$L$19*(1+$C$22/100)/(($A$27-$C$22)/100),DCF_Base!$L$19*DCF_Base!$B$29),DCF_Base!$L$19*DCF_Base!$B$29))/(1+$A$27/100)^DCF_Base!$L$4+Assumptions!$B$5-Assumptions!$B$4)/Assumptions!$B$3*Assumptions!$B$10</f>
        <v>632.922066746755</v>
      </c>
      <c r="D27" s="0" t="n">
        <f aca="false">(SUMPRODUCT(DCF_Base!$C$19:$L$19/(1+$A$27/100)^DCF_Base!$C$4:$L$4)+MAX(0,MIN(IF($A$27&gt;$D$22,DCF_Base!$L$19*(1+$D$22/100)/(($A$27-$D$22)/100),DCF_Base!$L$19*DCF_Base!$B$29),DCF_Base!$L$19*DCF_Base!$B$29))/(1+$A$27/100)^DCF_Base!$L$4+Assumptions!$B$5-Assumptions!$B$4)/Assumptions!$B$3*Assumptions!$B$10</f>
        <v>649.507203557745</v>
      </c>
      <c r="E27" s="0" t="n">
        <f aca="false">(SUMPRODUCT(DCF_Base!$C$19:$L$19/(1+$A$27/100)^DCF_Base!$C$4:$L$4)+MAX(0,MIN(IF($A$27&gt;$E$22,DCF_Base!$L$19*(1+$E$22/100)/(($A$27-$E$22)/100),DCF_Base!$L$19*DCF_Base!$B$29),DCF_Base!$L$19*DCF_Base!$B$29))/(1+$A$27/100)^DCF_Base!$L$4+Assumptions!$B$5-Assumptions!$B$4)/Assumptions!$B$3*Assumptions!$B$10</f>
        <v>668.165482470108</v>
      </c>
      <c r="F27" s="0" t="n">
        <f aca="false">(SUMPRODUCT(DCF_Base!$C$19:$L$19/(1+$A$27/100)^DCF_Base!$C$4:$L$4)+MAX(0,MIN(IF($A$27&gt;$F$22,DCF_Base!$L$19*(1+$F$22/100)/(($A$27-$F$22)/100),DCF_Base!$L$19*DCF_Base!$B$29),DCF_Base!$L$19*DCF_Base!$B$29))/(1+$A$27/100)^DCF_Base!$L$4+Assumptions!$B$5-Assumptions!$B$4)/Assumptions!$B$3*Assumptions!$B$10</f>
        <v>689.31153190412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2026-10-10T01:17:59Z</dcterms:created>
  <dc:creator>openpyxl</dc:creator>
  <dc:description/>
  <dc:language>en-NZ</dc:language>
  <cp:lastModifiedBy/>
  <dcterms:modified xsi:type="dcterms:W3CDTF">2026-10-10T01:17:59Z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