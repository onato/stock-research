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<sst xmlns="http://schemas.openxmlformats.org/spreadsheetml/2006/main" count="384" uniqueCount="174">
  <si>
    <t xml:space="preserve">Ticker</t>
  </si>
  <si>
    <t xml:space="preserve">URI</t>
  </si>
  <si>
    <t xml:space="preserve">Company</t>
  </si>
  <si>
    <t xml:space="preserve">United Rentals, Inc.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</si>
  <si>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</si>
  <si>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</si>
  <si>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</si>
  <si>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</si>
  <si>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2026-10-02T20:00:02Z regular close (Yahoo chart API regularMarketTime; live, not a frozen quote; 5-day closes populated)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</si>
  <si>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</si>
  <si>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</si>
  <si>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</si>
  <si>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</si>
  <si>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</si>
  <si>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</si>
  <si>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</si>
  <si>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</si>
  <si>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</si>
  <si>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</si>
  <si>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</si>
  <si>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</si>
  <si>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2026-10-02T21:24:26Z</t>
  </si>
  <si>
    <t xml:space="preserve">Drivers file</t>
  </si>
  <si>
    <t xml:space="preserve">URI_Drivers.json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</si>
  <si>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</si>
  <si>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</si>
  <si>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</si>
  <si>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for a cyclical, fleet-capital-intensive renter. The flows are adjusted EBITDA less SBC and equity-award withholding, less fleet capex net of the NBV of fleet sold (the gain on sale is already in EBITDA), less cash tax on the full-expensing base, less working capital on growth. Capex is tied to growth by a structural identity, so faster growth is not free. The model values URI on its cash generation after the reinvestment needed to grow. Its fleet capex absorbs roughly 55% of adjusted EBITDA in a growth year, which is why a DCF at a 10.5% WACC lands far below a market price that capitalises EBITDA at ~10x forward. The gap is the market paying for a sustained megaproject cycle (the bull case) at a discount rate well below this model's.
key_risks_to_valuation: Discount rate: at a 9% WACC (UST back near 4%) the base value rises materially; see the sensitivity grid. The 10y UST at 5.28% is the single largest valuation input.; Bonus depreciation: the tax path assumes OBBBA's permanent 100% expensing. A repeal reverts to book-basis cash taxes and cuts value.; Capex intensity: the 18% + 1.03 x g identity assumes current fleet productivity. Rate or time-utilization gains (+2.9% YTD) lower it; tariff-driven OEM inflation raises it.; Cycle timing: the base carries one soft year in Y4. An earlier or deeper downturn moves value toward the bear, though URI's cash harvest cushions the trough FCF.; Megaproject concentration: AI/data-center construction spending (+70% YoY in 2026) is the marginal driver. A pause hits Specialty power/HVAC and large-project General Rentals together.; Competitive structure: Herc's absorption of H&amp;E creates a stronger #3. Pricing discipline in national accounts is the swing factor for mid-cycle margin.; Organic-only growth: tuck-in acquisitions are excluded from both the flows and the growth paths. Value-accretive M&amp;A is upside not captured.</t>
  </si>
  <si>
    <t xml:space="preserve">Data sources</t>
  </si>
  <si>
    <t xml:space="preserve">price: Yahoo Finance chart API at inputs.price_as_of; 52-week range 701.59-1179.18
financials: SEC EDGAR: Q2-2026 10-Q (filed 2026-07-22, balance sheet 2026-06-30, cover share count 2026-07-20); Q2-2026 earnings release 8-K ex99.1 (2026-07-22, FY2026 outlook and FCF reconciliation); Q4-2025 earnings release 8-K ex99.1 (2026-01-28); Q4-2021 and Q4-2023 releases for the FCF history; SEC XBRL companyfacts for the FY2019-25 revenue, SBC, cash tax, interest, buyback, D&amp;A and share series; URI_Metrics.csv.
qualitative: URI_Analysis.json (2026-10-03): business model, competitive position (Sunbelt, Herc post-H&amp;E), megaproject/data-center growth drivers, risk factors, raised FY2026 guidance.
rates: 10y UST from Yahoo ^TNX at 2026-10-02 close.</t>
  </si>
  <si>
    <t xml:space="preserve">Scenario narrative: bear</t>
  </si>
  <si>
    <t xml:space="preserve">AI capex is the marginal driver and it stalls in 2027. Megaproject backlogs slip, and the non-data-center nonresidential market, already flat to down in 2026, rolls into a cyclical downturn as 5%+ long rates bite on private construction. Revenue falls ~13% peak to trough over two years. Rates and time utilization drop together, used-equipment values fall (lower gains), and adjusted EBITDA margin troughs at 39.5%. URI does what it did in 2009 and 2020, slashing capex and harvesting cash, so FCF holds up in the trough but the rebuild costs it later. A larger Herc (post-H&amp;E) and Sunbelt compete on price for national accounts, so mid-cycle margin settles 2pp lower at 42.5%, with tariffs inflating fleet replacement cost.</t>
  </si>
  <si>
    <t xml:space="preserve">Scenario narrative: base</t>
  </si>
  <si>
    <t xml:space="preserve">URI delivers the raised FY2026 guide (revenue ~$17.65B, adjusted EBITDA ~$8.05B) and grows organically 5-6% thereafter, from rental penetration, Specialty cold-starts and cross-sell, and positive fleet productivity. Growth is funded by fleet capex that runs at ~18% of revenue plus ~1x the growth rate. The data-center build normalises around 2029 into one soft year (+2%, margin -1pp, capex cut to replacement), then growth resumes. Margins settle at 44.5%, below the 2022-24 peak because Specialty's ancillary/re-rent mix is structurally lower-margin. Permanent 100% bonus depreciation keeps cash taxes on (EBITDA - capex) rather than book EBIT. Tuck-in M&amp;A is excluded on both sides.</t>
  </si>
  <si>
    <t xml:space="preserve">Scenario narrative: bull</t>
  </si>
  <si>
    <t xml:space="preserve">The AI/data-center, fab, LNG and grid megaproject cycle proves a decade-long capex supercycle rather than a 2025-27 bulge. URI's national-account scale wins a disproportionate share of megaprojects. Specialty (power/HVAC, fluid, trench, mobile storage) compounds at 15-20%. Group revenue grows 8-10% for four years and margins recover to 46.5% as Specialty matures and the post-2025 cost programme lands. Capital discipline (walking away from H&amp;E) keeps returns high, and fleet productivity gains trim capex intensity.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</si>
  <si>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</si>
  <si>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</si>
  <si>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</si>
  <si>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</si>
  <si>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</si>
  <si>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</si>
  <si>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</si>
  <si>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</si>
  <si>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</si>
  <si>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</si>
  <si>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</si>
  <si>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</si>
  <si>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</si>
  <si>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</si>
  <si>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</si>
  <si>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</si>
  <si>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</si>
  <si>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</si>
  <si>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</si>
  <si>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</si>
  <si>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</si>
  <si>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</si>
  <si>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</si>
  <si>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</si>
  <si>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</si>
  <si>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</si>
  <si>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</si>
  <si>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</si>
  <si>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</si>
  <si>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</si>
  <si>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</si>
  <si>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</si>
  <si>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</si>
  <si>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</si>
  <si>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</si>
  <si>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</si>
  <si>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</si>
  <si>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</si>
  <si>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</si>
  <si>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</si>
  <si>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</si>
  <si>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</si>
  <si>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</si>
  <si>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</si>
  <si>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</si>
  <si>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</si>
  <si>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</si>
  <si>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</si>
  <si>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</si>
  <si>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</si>
  <si>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</si>
  <si>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</si>
  <si>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</si>
  <si>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</si>
  <si>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</si>
  <si>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</si>
  <si>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</si>
  <si>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</si>
  <si>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</si>
  <si>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</si>
  <si>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</si>
  <si>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</si>
  <si>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</si>
  <si>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</si>
  <si>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</si>
  <si>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</si>
  <si>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</si>
  <si>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</si>
  <si>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</si>
  <si>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</si>
  <si>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</si>
  <si>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</si>
  <si>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</si>
  <si>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</si>
  <si>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</si>
  <si>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</si>
  <si>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</si>
  <si>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</si>
  <si>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</si>
  <si>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</si>
  <si>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</si>
  <si>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</si>
  <si>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</si>
  <si>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URI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</si>
  <si>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</si>
  <si>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</si>
  <si>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</si>
  <si>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</si>
  <si>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</si>
  <si>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</si>
  <si>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</si>
  <si>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</si>
  <si>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</si>
  <si>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</si>
  <si>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</si>
  <si>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</si>
  <si>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</si>
  <si>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</si>
  <si>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</si>
  <si>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</si>
  <si>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</si>
  <si>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</si>
  <si>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</si>
  <si>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</si>
  <si>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</si>
  <si>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</si>
  <si>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</si>
  <si>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</si>
  <si>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</si>
  <si>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</si>
  <si>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</si>
  <si>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</si>
  <si>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</si>
  <si>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</si>
  <si>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URI owner-FCF component DCF: base case (millions, USD)</t>
  </si>
  <si>
    <t xml:space="preserve">URI owner-FCF component DCF: bull case (millions, USD)</t>
  </si>
  <si>
    <t xml:space="preserve">URI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</si>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</sst>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1081.04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46.2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77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2358</v>
      </c>
      <c r="C3" s="0" t="n">
        <v>1748</v>
      </c>
      <c r="D3" s="0" t="n">
        <v>610</v>
      </c>
      <c r="E3" s="0" t="n">
        <v>25.8693808312129</v>
      </c>
      <c r="F3" s="0" t="n">
        <v>114</v>
      </c>
      <c r="G3" s="0" t="n">
        <v>4.83460559796438</v>
      </c>
      <c r="H3" s="0" t="n">
        <v>588</v>
      </c>
      <c r="I3" s="0" t="n">
        <v>-62</v>
      </c>
      <c r="J3" s="0" t="n">
        <v>-2.62934690415606</v>
      </c>
      <c r="K3" s="0" t="n">
        <v>-1.02</v>
      </c>
      <c r="L3" s="0" t="n">
        <v>438</v>
      </c>
      <c r="M3" s="0" t="n">
        <v>51</v>
      </c>
      <c r="N3" s="0" t="n">
        <v>387</v>
      </c>
      <c r="S3" s="0" t="n">
        <v>169</v>
      </c>
      <c r="T3" s="0" t="n">
        <v>60.1</v>
      </c>
      <c r="U3" s="0" t="n">
        <v>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2237</v>
      </c>
      <c r="C4" s="0" t="n">
        <v>1579</v>
      </c>
      <c r="D4" s="0" t="n">
        <v>658</v>
      </c>
      <c r="E4" s="0" t="n">
        <v>29.414394278051</v>
      </c>
      <c r="F4" s="0" t="n">
        <v>197</v>
      </c>
      <c r="G4" s="0" t="n">
        <v>8.80643719266875</v>
      </c>
      <c r="H4" s="0" t="n">
        <v>646</v>
      </c>
      <c r="I4" s="0" t="n">
        <v>-26</v>
      </c>
      <c r="J4" s="0" t="n">
        <v>-1.16227089852481</v>
      </c>
      <c r="K4" s="0" t="n">
        <v>-0.44</v>
      </c>
      <c r="L4" s="0" t="n">
        <v>452</v>
      </c>
      <c r="M4" s="0" t="n">
        <v>28</v>
      </c>
      <c r="N4" s="0" t="n">
        <v>424</v>
      </c>
      <c r="O4" s="0" t="n">
        <v>-20</v>
      </c>
      <c r="P4" s="0" t="n">
        <v>3693</v>
      </c>
      <c r="Q4" s="0" t="n">
        <v>3713</v>
      </c>
      <c r="R4" s="0" t="n">
        <v>2805</v>
      </c>
      <c r="S4" s="0" t="n">
        <v>203</v>
      </c>
      <c r="T4" s="0" t="n">
        <v>60.621338</v>
      </c>
      <c r="U4" s="0" t="n">
        <v>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2611</v>
      </c>
      <c r="C5" s="0" t="n">
        <v>1713</v>
      </c>
      <c r="D5" s="0" t="n">
        <v>898</v>
      </c>
      <c r="E5" s="0" t="n">
        <v>34.3929528916124</v>
      </c>
      <c r="F5" s="0" t="n">
        <v>396</v>
      </c>
      <c r="G5" s="0" t="n">
        <v>15.1666028341632</v>
      </c>
      <c r="H5" s="0" t="n">
        <v>876</v>
      </c>
      <c r="I5" s="0" t="n">
        <v>101</v>
      </c>
      <c r="J5" s="0" t="n">
        <v>3.86824971275373</v>
      </c>
      <c r="K5" s="0" t="n">
        <v>1.62</v>
      </c>
      <c r="L5" s="0" t="n">
        <v>612</v>
      </c>
      <c r="M5" s="0" t="n">
        <v>810</v>
      </c>
      <c r="N5" s="0" t="n">
        <v>-198</v>
      </c>
      <c r="O5" s="0" t="n">
        <v>64</v>
      </c>
      <c r="P5" s="0" t="n">
        <v>4143</v>
      </c>
      <c r="Q5" s="0" t="n">
        <v>4040</v>
      </c>
      <c r="R5" s="0" t="n">
        <v>2987</v>
      </c>
      <c r="S5" s="0" t="n">
        <v>36</v>
      </c>
      <c r="T5" s="0" t="n">
        <v>73.349</v>
      </c>
      <c r="U5" s="0" t="n">
        <v>12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4117</v>
      </c>
      <c r="C6" s="0" t="n">
        <v>2530</v>
      </c>
      <c r="D6" s="0" t="n">
        <v>1587</v>
      </c>
      <c r="E6" s="0" t="n">
        <v>38.5474860335196</v>
      </c>
      <c r="F6" s="0" t="n">
        <v>591</v>
      </c>
      <c r="G6" s="0" t="n">
        <v>14.3551129463201</v>
      </c>
      <c r="H6" s="0" t="n">
        <v>1488</v>
      </c>
      <c r="I6" s="0" t="n">
        <v>75</v>
      </c>
      <c r="J6" s="0" t="n">
        <v>1.82171484090357</v>
      </c>
      <c r="K6" s="0" t="n">
        <v>0.91</v>
      </c>
      <c r="L6" s="0" t="n">
        <v>721</v>
      </c>
      <c r="M6" s="0" t="n">
        <v>1369</v>
      </c>
      <c r="N6" s="0" t="n">
        <v>-648</v>
      </c>
      <c r="O6" s="0" t="n">
        <v>1543</v>
      </c>
      <c r="P6" s="0" t="n">
        <v>11026</v>
      </c>
      <c r="Q6" s="0" t="n">
        <v>9452</v>
      </c>
      <c r="R6" s="0" t="n">
        <v>7309</v>
      </c>
      <c r="S6" s="0" t="n">
        <v>106</v>
      </c>
      <c r="T6" s="0" t="n">
        <v>94.848</v>
      </c>
      <c r="U6" s="0" t="n">
        <v>32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4955</v>
      </c>
      <c r="C7" s="0" t="n">
        <v>2968</v>
      </c>
      <c r="D7" s="0" t="n">
        <v>1987</v>
      </c>
      <c r="E7" s="0" t="n">
        <v>40.1009081735621</v>
      </c>
      <c r="F7" s="0" t="n">
        <v>1078</v>
      </c>
      <c r="G7" s="0" t="n">
        <v>21.7558022199798</v>
      </c>
      <c r="H7" s="0" t="n">
        <v>2176</v>
      </c>
      <c r="I7" s="0" t="n">
        <v>387</v>
      </c>
      <c r="J7" s="0" t="n">
        <v>7.81029263370333</v>
      </c>
      <c r="K7" s="0" t="n">
        <v>4.14</v>
      </c>
      <c r="L7" s="0" t="n">
        <v>1551</v>
      </c>
      <c r="M7" s="0" t="n">
        <v>1684</v>
      </c>
      <c r="N7" s="0" t="n">
        <v>-133</v>
      </c>
      <c r="O7" s="0" t="n">
        <v>1828</v>
      </c>
      <c r="P7" s="0" t="n">
        <v>10876</v>
      </c>
      <c r="Q7" s="0" t="n">
        <v>9383</v>
      </c>
      <c r="R7" s="0" t="n">
        <v>7173</v>
      </c>
      <c r="S7" s="0" t="n">
        <v>175</v>
      </c>
      <c r="T7" s="0" t="n">
        <v>106.291</v>
      </c>
      <c r="U7" s="0" t="n">
        <v>46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5685</v>
      </c>
      <c r="C8" s="0" t="n">
        <v>3253</v>
      </c>
      <c r="D8" s="0" t="n">
        <v>2432</v>
      </c>
      <c r="E8" s="0" t="n">
        <v>42.7792436235708</v>
      </c>
      <c r="F8" s="0" t="n">
        <v>1391</v>
      </c>
      <c r="G8" s="0" t="n">
        <v>24.4678979771328</v>
      </c>
      <c r="H8" s="0" t="n">
        <v>2585</v>
      </c>
      <c r="I8" s="0" t="n">
        <v>540</v>
      </c>
      <c r="J8" s="0" t="n">
        <v>9.49868073878628</v>
      </c>
      <c r="K8" s="0" t="n">
        <v>5.54</v>
      </c>
      <c r="L8" s="0" t="n">
        <v>1801</v>
      </c>
      <c r="M8" s="0" t="n">
        <v>1821</v>
      </c>
      <c r="N8" s="0" t="n">
        <v>-20</v>
      </c>
      <c r="O8" s="0" t="n">
        <v>1796</v>
      </c>
      <c r="P8" s="0" t="n">
        <v>12129</v>
      </c>
      <c r="Q8" s="0" t="n">
        <v>10331</v>
      </c>
      <c r="R8" s="0" t="n">
        <v>7962</v>
      </c>
      <c r="S8" s="0" t="n">
        <v>158</v>
      </c>
      <c r="T8" s="0" t="n">
        <v>104.956</v>
      </c>
      <c r="U8" s="0" t="n">
        <v>74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5817</v>
      </c>
      <c r="C9" s="0" t="n">
        <v>3337</v>
      </c>
      <c r="D9" s="0" t="n">
        <v>2480</v>
      </c>
      <c r="E9" s="0" t="n">
        <v>42.6336599621798</v>
      </c>
      <c r="F9" s="0" t="n">
        <v>1518</v>
      </c>
      <c r="G9" s="0" t="n">
        <v>26.0959257349149</v>
      </c>
      <c r="H9" s="0" t="n">
        <v>1786</v>
      </c>
      <c r="I9" s="0" t="n">
        <v>585</v>
      </c>
      <c r="J9" s="0" t="n">
        <v>10.0567302733368</v>
      </c>
      <c r="K9" s="0" t="n">
        <v>6.14</v>
      </c>
      <c r="L9" s="0" t="n">
        <v>1995</v>
      </c>
      <c r="M9" s="0" t="n">
        <v>1636</v>
      </c>
      <c r="N9" s="0" t="n">
        <v>359</v>
      </c>
      <c r="O9" s="0" t="n">
        <v>1476</v>
      </c>
      <c r="P9" s="0" t="n">
        <v>12083</v>
      </c>
      <c r="Q9" s="0" t="n">
        <v>10607</v>
      </c>
      <c r="R9" s="0" t="n">
        <v>8162</v>
      </c>
      <c r="S9" s="0" t="n">
        <v>179</v>
      </c>
      <c r="T9" s="0" t="n">
        <v>96.379</v>
      </c>
      <c r="U9" s="0" t="n">
        <v>49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5762</v>
      </c>
      <c r="C10" s="0" t="n">
        <v>3359</v>
      </c>
      <c r="D10" s="0" t="n">
        <v>2403</v>
      </c>
      <c r="E10" s="0" t="n">
        <v>41.7042693509198</v>
      </c>
      <c r="F10" s="0" t="n">
        <v>1415</v>
      </c>
      <c r="G10" s="0" t="n">
        <v>24.5574453314821</v>
      </c>
      <c r="H10" s="0" t="n">
        <v>1670</v>
      </c>
      <c r="I10" s="0" t="n">
        <v>566</v>
      </c>
      <c r="J10" s="0" t="n">
        <v>9.82297813259285</v>
      </c>
      <c r="K10" s="0" t="n">
        <v>6.49</v>
      </c>
      <c r="L10" s="0" t="n">
        <v>1941</v>
      </c>
      <c r="M10" s="0" t="n">
        <v>1339</v>
      </c>
      <c r="N10" s="0" t="n">
        <v>602</v>
      </c>
      <c r="O10" s="0" t="n">
        <v>1648</v>
      </c>
      <c r="P10" s="0" t="n">
        <v>11988</v>
      </c>
      <c r="Q10" s="0" t="n">
        <v>10340</v>
      </c>
      <c r="R10" s="0" t="n">
        <v>7790</v>
      </c>
      <c r="S10" s="0" t="n">
        <v>312</v>
      </c>
      <c r="T10" s="0" t="n">
        <v>87.775</v>
      </c>
      <c r="U10" s="0" t="n">
        <v>45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6641</v>
      </c>
      <c r="C11" s="0" t="n">
        <v>3872</v>
      </c>
      <c r="D11" s="0" t="n">
        <v>2769</v>
      </c>
      <c r="E11" s="0" t="n">
        <v>41.6955277819606</v>
      </c>
      <c r="F11" s="0" t="n">
        <v>1507</v>
      </c>
      <c r="G11" s="0" t="n">
        <v>22.6923656075892</v>
      </c>
      <c r="H11" s="0" t="n">
        <v>1766</v>
      </c>
      <c r="I11" s="0" t="n">
        <v>1346</v>
      </c>
      <c r="J11" s="0" t="n">
        <v>20.2680319229032</v>
      </c>
      <c r="K11" s="0" t="n">
        <v>15.91</v>
      </c>
      <c r="L11" s="0" t="n">
        <v>2209</v>
      </c>
      <c r="M11" s="0" t="n">
        <v>1889</v>
      </c>
      <c r="N11" s="0" t="n">
        <v>320</v>
      </c>
      <c r="O11" s="0" t="n">
        <v>3106</v>
      </c>
      <c r="P11" s="0" t="n">
        <v>15030</v>
      </c>
      <c r="Q11" s="0" t="n">
        <v>11924</v>
      </c>
      <c r="R11" s="0" t="n">
        <v>9440</v>
      </c>
      <c r="S11" s="0" t="n">
        <v>352</v>
      </c>
      <c r="T11" s="0" t="n">
        <v>85.562</v>
      </c>
      <c r="U11" s="0" t="n">
        <v>87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8047</v>
      </c>
      <c r="C12" s="0" t="n">
        <v>4683</v>
      </c>
      <c r="D12" s="0" t="n">
        <v>3364</v>
      </c>
      <c r="E12" s="0" t="n">
        <v>41.8043991549646</v>
      </c>
      <c r="F12" s="0" t="n">
        <v>1951</v>
      </c>
      <c r="G12" s="0" t="n">
        <v>24.2450602709084</v>
      </c>
      <c r="H12" s="0" t="n">
        <v>2259</v>
      </c>
      <c r="I12" s="0" t="n">
        <v>1096</v>
      </c>
      <c r="J12" s="0" t="n">
        <v>13.619982602212</v>
      </c>
      <c r="K12" s="0" t="n">
        <v>13.26</v>
      </c>
      <c r="L12" s="0" t="n">
        <v>2853</v>
      </c>
      <c r="M12" s="0" t="n">
        <v>2291</v>
      </c>
      <c r="N12" s="0" t="n">
        <v>562</v>
      </c>
      <c r="O12" s="0" t="n">
        <v>3403</v>
      </c>
      <c r="P12" s="0" t="n">
        <v>18133</v>
      </c>
      <c r="Q12" s="0" t="n">
        <v>14730</v>
      </c>
      <c r="R12" s="0" t="n">
        <v>11747</v>
      </c>
      <c r="S12" s="0" t="n">
        <v>43</v>
      </c>
      <c r="T12" s="0" t="n">
        <v>83.53</v>
      </c>
      <c r="U12" s="0" t="n">
        <v>102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9351</v>
      </c>
      <c r="C13" s="0" t="n">
        <v>5681</v>
      </c>
      <c r="D13" s="0" t="n">
        <v>3670</v>
      </c>
      <c r="E13" s="0" t="n">
        <v>39.2471393433857</v>
      </c>
      <c r="F13" s="0" t="n">
        <v>2152</v>
      </c>
      <c r="G13" s="0" t="n">
        <v>23.0135814351406</v>
      </c>
      <c r="H13" s="0" t="n">
        <v>2559</v>
      </c>
      <c r="I13" s="0" t="n">
        <v>1174</v>
      </c>
      <c r="J13" s="0" t="n">
        <v>12.5548069725163</v>
      </c>
      <c r="K13" s="0" t="n">
        <v>15.18</v>
      </c>
      <c r="L13" s="0" t="n">
        <v>3024</v>
      </c>
      <c r="M13" s="0" t="n">
        <v>2350</v>
      </c>
      <c r="N13" s="0" t="n">
        <v>674</v>
      </c>
      <c r="O13" s="0" t="n">
        <v>3830</v>
      </c>
      <c r="P13" s="0" t="n">
        <v>18970</v>
      </c>
      <c r="Q13" s="0" t="n">
        <v>15140</v>
      </c>
      <c r="R13" s="0" t="n">
        <v>11428</v>
      </c>
      <c r="S13" s="0" t="n">
        <v>52</v>
      </c>
      <c r="T13" s="0" t="n">
        <v>77.71</v>
      </c>
      <c r="U13" s="0" t="n">
        <v>61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8530</v>
      </c>
      <c r="C14" s="0" t="n">
        <v>5347</v>
      </c>
      <c r="D14" s="0" t="n">
        <v>3183</v>
      </c>
      <c r="E14" s="0" t="n">
        <v>37.3153575615475</v>
      </c>
      <c r="F14" s="0" t="n">
        <v>1800</v>
      </c>
      <c r="G14" s="0" t="n">
        <v>21.1019929660024</v>
      </c>
      <c r="H14" s="0" t="n">
        <v>2187</v>
      </c>
      <c r="I14" s="0" t="n">
        <v>890</v>
      </c>
      <c r="J14" s="0" t="n">
        <v>10.4337631887456</v>
      </c>
      <c r="K14" s="0" t="n">
        <v>12.24</v>
      </c>
      <c r="L14" s="0" t="n">
        <v>2658</v>
      </c>
      <c r="M14" s="0" t="n">
        <v>1158</v>
      </c>
      <c r="N14" s="0" t="n">
        <v>1500</v>
      </c>
      <c r="O14" s="0" t="n">
        <v>4545</v>
      </c>
      <c r="P14" s="0" t="n">
        <v>17868</v>
      </c>
      <c r="Q14" s="0" t="n">
        <v>13323</v>
      </c>
      <c r="R14" s="0" t="n">
        <v>9682</v>
      </c>
      <c r="S14" s="0" t="n">
        <v>202</v>
      </c>
      <c r="T14" s="0" t="n">
        <v>72.929</v>
      </c>
      <c r="U14" s="0" t="n">
        <v>70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9716</v>
      </c>
      <c r="C15" s="0" t="n">
        <v>5863</v>
      </c>
      <c r="D15" s="0" t="n">
        <v>3853</v>
      </c>
      <c r="E15" s="0" t="n">
        <v>39.6562371346233</v>
      </c>
      <c r="F15" s="0" t="n">
        <v>2277</v>
      </c>
      <c r="G15" s="0" t="n">
        <v>23.4355701934953</v>
      </c>
      <c r="H15" s="0" t="n">
        <v>2649</v>
      </c>
      <c r="I15" s="0" t="n">
        <v>1386</v>
      </c>
      <c r="J15" s="0" t="n">
        <v>14.2651296829971</v>
      </c>
      <c r="K15" s="0" t="n">
        <v>19.14</v>
      </c>
      <c r="L15" s="0" t="n">
        <v>3689</v>
      </c>
      <c r="M15" s="0" t="n">
        <v>3198</v>
      </c>
      <c r="N15" s="0" t="n">
        <v>491</v>
      </c>
      <c r="O15" s="0" t="n">
        <v>5991</v>
      </c>
      <c r="P15" s="0" t="n">
        <v>20292</v>
      </c>
      <c r="Q15" s="0" t="n">
        <v>14301</v>
      </c>
      <c r="R15" s="0" t="n">
        <v>9685</v>
      </c>
      <c r="S15" s="0" t="n">
        <v>144</v>
      </c>
      <c r="T15" s="0" t="n">
        <v>72.817</v>
      </c>
      <c r="U15" s="0" t="n">
        <v>119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11642</v>
      </c>
      <c r="C16" s="0" t="n">
        <v>6646</v>
      </c>
      <c r="D16" s="0" t="n">
        <v>4996</v>
      </c>
      <c r="E16" s="0" t="n">
        <v>42.9135887304587</v>
      </c>
      <c r="F16" s="0" t="n">
        <v>3232</v>
      </c>
      <c r="G16" s="0" t="n">
        <v>27.7615529977667</v>
      </c>
      <c r="H16" s="0" t="n">
        <v>3596</v>
      </c>
      <c r="I16" s="0" t="n">
        <v>2105</v>
      </c>
      <c r="J16" s="0" t="n">
        <v>18.0810857241024</v>
      </c>
      <c r="K16" s="0" t="n">
        <v>29.77</v>
      </c>
      <c r="L16" s="0" t="n">
        <v>4433</v>
      </c>
      <c r="M16" s="0" t="n">
        <v>3690</v>
      </c>
      <c r="N16" s="0" t="n">
        <v>743</v>
      </c>
      <c r="O16" s="0" t="n">
        <v>7062</v>
      </c>
      <c r="P16" s="0" t="n">
        <v>24183</v>
      </c>
      <c r="Q16" s="0" t="n">
        <v>17121</v>
      </c>
      <c r="R16" s="0" t="n">
        <v>11370</v>
      </c>
      <c r="S16" s="0" t="n">
        <v>106</v>
      </c>
      <c r="T16" s="0" t="n">
        <v>70.973</v>
      </c>
      <c r="U16" s="0" t="n">
        <v>127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14332</v>
      </c>
      <c r="C17" s="0" t="n">
        <v>8519</v>
      </c>
      <c r="D17" s="0" t="n">
        <v>5813</v>
      </c>
      <c r="E17" s="0" t="n">
        <v>40.5595869383198</v>
      </c>
      <c r="F17" s="0" t="n">
        <v>3827</v>
      </c>
      <c r="G17" s="0" t="n">
        <v>26.7024839519955</v>
      </c>
      <c r="H17" s="0" t="n">
        <v>4258</v>
      </c>
      <c r="I17" s="0" t="n">
        <v>2424</v>
      </c>
      <c r="J17" s="0" t="n">
        <v>16.9132012280212</v>
      </c>
      <c r="K17" s="0" t="n">
        <v>35.4</v>
      </c>
      <c r="L17" s="0" t="n">
        <v>4704</v>
      </c>
      <c r="M17" s="0" t="n">
        <v>3864</v>
      </c>
      <c r="N17" s="0" t="n">
        <v>840</v>
      </c>
      <c r="O17" s="0" t="n">
        <v>8130</v>
      </c>
      <c r="P17" s="0" t="n">
        <v>25589</v>
      </c>
      <c r="Q17" s="0" t="n">
        <v>17459</v>
      </c>
      <c r="R17" s="0" t="n">
        <v>11518</v>
      </c>
      <c r="S17" s="0" t="n">
        <v>363</v>
      </c>
      <c r="T17" s="0" t="n">
        <v>68.71</v>
      </c>
      <c r="U17" s="0" t="n">
        <v>94</v>
      </c>
      <c r="V17" s="0" t="n">
        <v>5.92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15345</v>
      </c>
      <c r="C18" s="0" t="n">
        <v>9195</v>
      </c>
      <c r="D18" s="0" t="n">
        <v>6150</v>
      </c>
      <c r="E18" s="0" t="n">
        <v>40.078201368524</v>
      </c>
      <c r="F18" s="0" t="n">
        <v>4065</v>
      </c>
      <c r="G18" s="0" t="n">
        <v>26.4907135874878</v>
      </c>
      <c r="H18" s="0" t="n">
        <v>4502</v>
      </c>
      <c r="I18" s="0" t="n">
        <v>2575</v>
      </c>
      <c r="J18" s="0" t="n">
        <v>16.7807103290974</v>
      </c>
      <c r="K18" s="0" t="n">
        <v>38.82</v>
      </c>
      <c r="L18" s="0" t="n">
        <v>4546</v>
      </c>
      <c r="M18" s="0" t="n">
        <v>4130</v>
      </c>
      <c r="N18" s="0" t="n">
        <v>416</v>
      </c>
      <c r="O18" s="0" t="n">
        <v>8622</v>
      </c>
      <c r="P18" s="0" t="n">
        <v>28163</v>
      </c>
      <c r="Q18" s="0" t="n">
        <v>19541</v>
      </c>
      <c r="R18" s="0" t="n">
        <v>13406</v>
      </c>
      <c r="S18" s="0" t="n">
        <v>457</v>
      </c>
      <c r="T18" s="0" t="n">
        <v>66.567</v>
      </c>
      <c r="U18" s="0" t="n">
        <v>112</v>
      </c>
      <c r="V18" s="0" t="n">
        <v>6.52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16099</v>
      </c>
      <c r="C19" s="0" t="n">
        <v>9955</v>
      </c>
      <c r="D19" s="0" t="n">
        <v>6144</v>
      </c>
      <c r="E19" s="0" t="n">
        <v>38.1638611093857</v>
      </c>
      <c r="F19" s="0" t="n">
        <v>3973</v>
      </c>
      <c r="G19" s="0" t="n">
        <v>24.6785514628238</v>
      </c>
      <c r="H19" s="0" t="n">
        <v>4411</v>
      </c>
      <c r="I19" s="0" t="n">
        <v>2494</v>
      </c>
      <c r="J19" s="0" t="n">
        <v>15.4916454438164</v>
      </c>
      <c r="K19" s="0" t="n">
        <v>38.71</v>
      </c>
      <c r="L19" s="0" t="n">
        <v>5190</v>
      </c>
      <c r="O19" s="0" t="n">
        <v>8968</v>
      </c>
      <c r="P19" s="0" t="n">
        <v>29866</v>
      </c>
      <c r="Q19" s="0" t="n">
        <v>20898</v>
      </c>
      <c r="R19" s="0" t="n">
        <v>15879</v>
      </c>
      <c r="S19" s="0" t="n">
        <v>459</v>
      </c>
      <c r="T19" s="0" t="n">
        <v>64.604</v>
      </c>
      <c r="U19" s="0" t="n">
        <v>134</v>
      </c>
      <c r="V19" s="0" t="n">
        <v>7.16</v>
      </c>
      <c r="AA19" s="0" t="s">
        <v>17</v>
      </c>
      <c r="AB1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1081.04</v>
      </c>
    </row>
    <row r="3" customFormat="false" ht="15" hidden="false" customHeight="false" outlineLevel="0" collapsed="false">
      <c r="A3" s="0" t="s">
        <v>84</v>
      </c>
      <c r="B3" s="3" t="n">
        <v>62.4</v>
      </c>
    </row>
    <row r="4" customFormat="false" ht="15" hidden="false" customHeight="false" outlineLevel="0" collapsed="false">
      <c r="A4" s="0" t="s">
        <v>85</v>
      </c>
      <c r="B4" s="3" t="n">
        <v>14118</v>
      </c>
    </row>
    <row r="5" customFormat="false" ht="15" hidden="false" customHeight="false" outlineLevel="0" collapsed="false">
      <c r="A5" s="0" t="s">
        <v>86</v>
      </c>
      <c r="B5" s="3" t="n">
        <v>0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16832</v>
      </c>
    </row>
    <row r="8" customFormat="false" ht="15" hidden="false" customHeight="false" outlineLevel="0" collapsed="false">
      <c r="A8" s="0" t="s">
        <v>89</v>
      </c>
      <c r="B8" s="3" t="s">
        <v>90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7</v>
      </c>
      <c r="D13" s="3" t="n">
        <v>-4</v>
      </c>
      <c r="E13" s="3" t="n">
        <v>-9</v>
      </c>
      <c r="F13" s="3" t="n">
        <v>1</v>
      </c>
      <c r="G13" s="3" t="n">
        <v>5</v>
      </c>
      <c r="H13" s="3" t="n">
        <v>5</v>
      </c>
      <c r="I13" s="3" t="n">
        <v>4.5</v>
      </c>
      <c r="J13" s="3" t="n">
        <v>4</v>
      </c>
      <c r="K13" s="3" t="n">
        <v>3.5</v>
      </c>
      <c r="L13" s="3" t="n">
        <v>3</v>
      </c>
    </row>
    <row r="14" customFormat="false" ht="15" hidden="false" customHeight="false" outlineLevel="0" collapsed="false">
      <c r="A14" s="0" t="s">
        <v>106</v>
      </c>
      <c r="C14" s="3" t="n">
        <v>45</v>
      </c>
      <c r="D14" s="3" t="n">
        <v>42.5</v>
      </c>
      <c r="E14" s="3" t="n">
        <v>39.5</v>
      </c>
      <c r="F14" s="3" t="n">
        <v>41</v>
      </c>
      <c r="G14" s="3" t="n">
        <v>42</v>
      </c>
      <c r="H14" s="3" t="n">
        <v>42.5</v>
      </c>
      <c r="I14" s="3" t="n">
        <v>42.5</v>
      </c>
      <c r="J14" s="3" t="n">
        <v>42.5</v>
      </c>
      <c r="K14" s="3" t="n">
        <v>42.5</v>
      </c>
      <c r="L14" s="3" t="n">
        <v>42.5</v>
      </c>
    </row>
    <row r="15" customFormat="false" ht="15" hidden="false" customHeight="false" outlineLevel="0" collapsed="false">
      <c r="A15" s="0" t="s">
        <v>107</v>
      </c>
      <c r="C15" s="3" t="n">
        <v>1.15</v>
      </c>
      <c r="D15" s="3" t="n">
        <v>1.2</v>
      </c>
      <c r="E15" s="3" t="n">
        <v>1.25</v>
      </c>
      <c r="F15" s="3" t="n">
        <v>1.2</v>
      </c>
      <c r="G15" s="3" t="n">
        <v>1.15</v>
      </c>
      <c r="H15" s="3" t="n">
        <v>1.15</v>
      </c>
      <c r="I15" s="3" t="n">
        <v>1.15</v>
      </c>
      <c r="J15" s="3" t="n">
        <v>1.15</v>
      </c>
      <c r="K15" s="3" t="n">
        <v>1.15</v>
      </c>
      <c r="L15" s="3" t="n">
        <v>1.15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24</v>
      </c>
      <c r="D17" s="3" t="n">
        <v>13</v>
      </c>
      <c r="E17" s="3" t="n">
        <v>9</v>
      </c>
      <c r="F17" s="3" t="n">
        <v>16</v>
      </c>
      <c r="G17" s="3" t="n">
        <v>23</v>
      </c>
      <c r="H17" s="3" t="n">
        <v>23.5</v>
      </c>
      <c r="I17" s="3" t="n">
        <v>23</v>
      </c>
      <c r="J17" s="3" t="n">
        <v>22.5</v>
      </c>
      <c r="K17" s="3" t="n">
        <v>22</v>
      </c>
      <c r="L17" s="3" t="n">
        <v>21.5</v>
      </c>
    </row>
    <row r="18" customFormat="false" ht="15" hidden="false" customHeight="false" outlineLevel="0" collapsed="false">
      <c r="A18" s="0" t="s">
        <v>110</v>
      </c>
      <c r="C18" s="3" t="n">
        <v>24</v>
      </c>
      <c r="D18" s="3" t="n">
        <v>13</v>
      </c>
      <c r="E18" s="3" t="n">
        <v>9</v>
      </c>
      <c r="F18" s="3" t="n">
        <v>16</v>
      </c>
      <c r="G18" s="3" t="n">
        <v>23</v>
      </c>
      <c r="H18" s="3" t="n">
        <v>23.5</v>
      </c>
      <c r="I18" s="3" t="n">
        <v>23</v>
      </c>
      <c r="J18" s="3" t="n">
        <v>22.5</v>
      </c>
      <c r="K18" s="3" t="n">
        <v>22</v>
      </c>
      <c r="L18" s="3" t="n">
        <v>21.5</v>
      </c>
    </row>
    <row r="19" customFormat="false" ht="15" hidden="false" customHeight="false" outlineLevel="0" collapsed="false">
      <c r="A19" s="0" t="s">
        <v>111</v>
      </c>
      <c r="C19" s="3" t="n">
        <v>15</v>
      </c>
      <c r="D19" s="3" t="n">
        <v>20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112</v>
      </c>
      <c r="B20" s="3" t="n">
        <v>10.5</v>
      </c>
    </row>
    <row r="21" customFormat="false" ht="15" hidden="false" customHeight="false" outlineLevel="0" collapsed="false">
      <c r="A21" s="0" t="s">
        <v>113</v>
      </c>
      <c r="B21" s="3" t="n">
        <v>2.5</v>
      </c>
    </row>
    <row r="22" customFormat="false" ht="15" hidden="false" customHeight="false" outlineLevel="0" collapsed="false">
      <c r="A22" s="0" t="s">
        <v>114</v>
      </c>
      <c r="B22" s="3" t="n">
        <v>12</v>
      </c>
    </row>
    <row r="23" customFormat="false" ht="15" hidden="false" customHeight="false" outlineLevel="0" collapsed="false">
      <c r="A23" s="0" t="s">
        <v>115</v>
      </c>
      <c r="B23" s="3" t="n">
        <v>-8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8</v>
      </c>
      <c r="D27" s="3" t="n">
        <v>6.5</v>
      </c>
      <c r="E27" s="3" t="n">
        <v>5</v>
      </c>
      <c r="F27" s="3" t="n">
        <v>2</v>
      </c>
      <c r="G27" s="3" t="n">
        <v>5</v>
      </c>
      <c r="H27" s="3" t="n">
        <v>6</v>
      </c>
      <c r="I27" s="3" t="n">
        <v>5.5</v>
      </c>
      <c r="J27" s="3" t="n">
        <v>5</v>
      </c>
      <c r="K27" s="3" t="n">
        <v>4</v>
      </c>
      <c r="L27" s="3" t="n">
        <v>3.5</v>
      </c>
    </row>
    <row r="28" customFormat="false" ht="15" hidden="false" customHeight="false" outlineLevel="0" collapsed="false">
      <c r="A28" s="0" t="s">
        <v>106</v>
      </c>
      <c r="C28" s="3" t="n">
        <v>45.4</v>
      </c>
      <c r="D28" s="3" t="n">
        <v>45.3</v>
      </c>
      <c r="E28" s="3" t="n">
        <v>44.8</v>
      </c>
      <c r="F28" s="3" t="n">
        <v>43.8</v>
      </c>
      <c r="G28" s="3" t="n">
        <v>44.2</v>
      </c>
      <c r="H28" s="3" t="n">
        <v>44.5</v>
      </c>
      <c r="I28" s="3" t="n">
        <v>44.5</v>
      </c>
      <c r="J28" s="3" t="n">
        <v>44.5</v>
      </c>
      <c r="K28" s="3" t="n">
        <v>44.5</v>
      </c>
      <c r="L28" s="3" t="n">
        <v>44.5</v>
      </c>
    </row>
    <row r="29" customFormat="false" ht="15" hidden="false" customHeight="false" outlineLevel="0" collapsed="false">
      <c r="A29" s="0" t="s">
        <v>107</v>
      </c>
      <c r="C29" s="3" t="n">
        <v>1.15</v>
      </c>
      <c r="D29" s="3" t="n">
        <v>1.15</v>
      </c>
      <c r="E29" s="3" t="n">
        <v>1.1</v>
      </c>
      <c r="F29" s="3" t="n">
        <v>1.1</v>
      </c>
      <c r="G29" s="3" t="n">
        <v>1.1</v>
      </c>
      <c r="H29" s="3" t="n">
        <v>1.1</v>
      </c>
      <c r="I29" s="3" t="n">
        <v>1.1</v>
      </c>
      <c r="J29" s="3" t="n">
        <v>1.1</v>
      </c>
      <c r="K29" s="3" t="n">
        <v>1.1</v>
      </c>
      <c r="L29" s="3" t="n">
        <v>1.1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25.8</v>
      </c>
      <c r="D31" s="3" t="n">
        <v>24.7</v>
      </c>
      <c r="E31" s="3" t="n">
        <v>23.2</v>
      </c>
      <c r="F31" s="3" t="n">
        <v>19.5</v>
      </c>
      <c r="G31" s="3" t="n">
        <v>23</v>
      </c>
      <c r="H31" s="3" t="n">
        <v>24</v>
      </c>
      <c r="I31" s="3" t="n">
        <v>23.5</v>
      </c>
      <c r="J31" s="3" t="n">
        <v>23</v>
      </c>
      <c r="K31" s="3" t="n">
        <v>22</v>
      </c>
      <c r="L31" s="3" t="n">
        <v>21.5</v>
      </c>
    </row>
    <row r="32" customFormat="false" ht="15" hidden="false" customHeight="false" outlineLevel="0" collapsed="false">
      <c r="A32" s="0" t="s">
        <v>110</v>
      </c>
      <c r="C32" s="3" t="n">
        <v>25.8</v>
      </c>
      <c r="D32" s="3" t="n">
        <v>24.7</v>
      </c>
      <c r="E32" s="3" t="n">
        <v>23.2</v>
      </c>
      <c r="F32" s="3" t="n">
        <v>19.5</v>
      </c>
      <c r="G32" s="3" t="n">
        <v>23</v>
      </c>
      <c r="H32" s="3" t="n">
        <v>24</v>
      </c>
      <c r="I32" s="3" t="n">
        <v>23.5</v>
      </c>
      <c r="J32" s="3" t="n">
        <v>23</v>
      </c>
      <c r="K32" s="3" t="n">
        <v>22</v>
      </c>
      <c r="L32" s="3" t="n">
        <v>21.5</v>
      </c>
    </row>
    <row r="33" customFormat="false" ht="15" hidden="false" customHeight="false" outlineLevel="0" collapsed="false">
      <c r="A33" s="0" t="s">
        <v>111</v>
      </c>
      <c r="C33" s="3" t="n">
        <v>15</v>
      </c>
      <c r="D33" s="3" t="n">
        <v>20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112</v>
      </c>
      <c r="B34" s="3" t="n">
        <v>10.5</v>
      </c>
    </row>
    <row r="35" customFormat="false" ht="15" hidden="false" customHeight="false" outlineLevel="0" collapsed="false">
      <c r="A35" s="0" t="s">
        <v>113</v>
      </c>
      <c r="B35" s="3" t="n">
        <v>3</v>
      </c>
    </row>
    <row r="36" customFormat="false" ht="15" hidden="false" customHeight="false" outlineLevel="0" collapsed="false">
      <c r="A36" s="0" t="s">
        <v>114</v>
      </c>
      <c r="B36" s="3" t="n">
        <v>14</v>
      </c>
    </row>
    <row r="37" customFormat="false" ht="15" hidden="false" customHeight="false" outlineLevel="0" collapsed="false">
      <c r="A37" s="0" t="s">
        <v>115</v>
      </c>
      <c r="B37" s="3" t="n">
        <v>-8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9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6.5</v>
      </c>
      <c r="I41" s="3" t="n">
        <v>6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106</v>
      </c>
      <c r="C42" s="3" t="n">
        <v>45.6</v>
      </c>
      <c r="D42" s="3" t="n">
        <v>46</v>
      </c>
      <c r="E42" s="3" t="n">
        <v>46.3</v>
      </c>
      <c r="F42" s="3" t="n">
        <v>46.5</v>
      </c>
      <c r="G42" s="3" t="n">
        <v>46.5</v>
      </c>
      <c r="H42" s="3" t="n">
        <v>46.5</v>
      </c>
      <c r="I42" s="3" t="n">
        <v>46.5</v>
      </c>
      <c r="J42" s="3" t="n">
        <v>46.5</v>
      </c>
      <c r="K42" s="3" t="n">
        <v>46.5</v>
      </c>
      <c r="L42" s="3" t="n">
        <v>46.5</v>
      </c>
    </row>
    <row r="43" customFormat="false" ht="15" hidden="false" customHeight="false" outlineLevel="0" collapsed="false">
      <c r="A43" s="0" t="s">
        <v>107</v>
      </c>
      <c r="C43" s="3" t="n">
        <v>1.15</v>
      </c>
      <c r="D43" s="3" t="n">
        <v>1.1</v>
      </c>
      <c r="E43" s="3" t="n">
        <v>1.1</v>
      </c>
      <c r="F43" s="3" t="n">
        <v>1.05</v>
      </c>
      <c r="G43" s="3" t="n">
        <v>1.05</v>
      </c>
      <c r="H43" s="3" t="n">
        <v>1</v>
      </c>
      <c r="I43" s="3" t="n">
        <v>1</v>
      </c>
      <c r="J43" s="3" t="n">
        <v>1</v>
      </c>
      <c r="K43" s="3" t="n">
        <v>1</v>
      </c>
      <c r="L43" s="3" t="n">
        <v>1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26.5</v>
      </c>
      <c r="D45" s="3" t="n">
        <v>27</v>
      </c>
      <c r="E45" s="3" t="n">
        <v>26</v>
      </c>
      <c r="F45" s="3" t="n">
        <v>25</v>
      </c>
      <c r="G45" s="3" t="n">
        <v>24</v>
      </c>
      <c r="H45" s="3" t="n">
        <v>23.5</v>
      </c>
      <c r="I45" s="3" t="n">
        <v>23</v>
      </c>
      <c r="J45" s="3" t="n">
        <v>22</v>
      </c>
      <c r="K45" s="3" t="n">
        <v>21.5</v>
      </c>
      <c r="L45" s="3" t="n">
        <v>21</v>
      </c>
    </row>
    <row r="46" customFormat="false" ht="15" hidden="false" customHeight="false" outlineLevel="0" collapsed="false">
      <c r="A46" s="0" t="s">
        <v>110</v>
      </c>
      <c r="C46" s="3" t="n">
        <v>26.5</v>
      </c>
      <c r="D46" s="3" t="n">
        <v>27</v>
      </c>
      <c r="E46" s="3" t="n">
        <v>26</v>
      </c>
      <c r="F46" s="3" t="n">
        <v>25</v>
      </c>
      <c r="G46" s="3" t="n">
        <v>24</v>
      </c>
      <c r="H46" s="3" t="n">
        <v>23.5</v>
      </c>
      <c r="I46" s="3" t="n">
        <v>23</v>
      </c>
      <c r="J46" s="3" t="n">
        <v>22</v>
      </c>
      <c r="K46" s="3" t="n">
        <v>21.5</v>
      </c>
      <c r="L46" s="3" t="n">
        <v>21</v>
      </c>
    </row>
    <row r="47" customFormat="false" ht="15" hidden="false" customHeight="false" outlineLevel="0" collapsed="false">
      <c r="A47" s="0" t="s">
        <v>111</v>
      </c>
      <c r="C47" s="3" t="n">
        <v>15</v>
      </c>
      <c r="D47" s="3" t="n">
        <v>20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112</v>
      </c>
      <c r="B48" s="3" t="n">
        <v>10.5</v>
      </c>
    </row>
    <row r="49" customFormat="false" ht="15" hidden="false" customHeight="false" outlineLevel="0" collapsed="false">
      <c r="A49" s="0" t="s">
        <v>113</v>
      </c>
      <c r="B49" s="3" t="n">
        <v>3.5</v>
      </c>
    </row>
    <row r="50" customFormat="false" ht="15" hidden="false" customHeight="false" outlineLevel="0" collapsed="false">
      <c r="A50" s="0" t="s">
        <v>114</v>
      </c>
      <c r="B50" s="3" t="n">
        <v>16</v>
      </c>
    </row>
    <row r="51" customFormat="false" ht="15" hidden="false" customHeight="false" outlineLevel="0" collapsed="false">
      <c r="A51" s="0" t="s">
        <v>115</v>
      </c>
      <c r="B51" s="3" t="n">
        <v>-8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7</v>
      </c>
      <c r="D5" s="4" t="n">
        <f aca="false">Assumptions!D13</f>
        <v>-4</v>
      </c>
      <c r="E5" s="4" t="n">
        <f aca="false">Assumptions!E13</f>
        <v>-9</v>
      </c>
      <c r="F5" s="4" t="n">
        <f aca="false">Assumptions!F13</f>
        <v>1</v>
      </c>
      <c r="G5" s="4" t="n">
        <f aca="false">Assumptions!G13</f>
        <v>5</v>
      </c>
      <c r="H5" s="4" t="n">
        <f aca="false">Assumptions!H13</f>
        <v>5</v>
      </c>
      <c r="I5" s="4" t="n">
        <f aca="false">Assumptions!I13</f>
        <v>4.5</v>
      </c>
      <c r="J5" s="4" t="n">
        <f aca="false">Assumptions!J13</f>
        <v>4</v>
      </c>
      <c r="K5" s="4" t="n">
        <f aca="false">Assumptions!K13</f>
        <v>3.5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16832</v>
      </c>
      <c r="C6" s="0" t="n">
        <f aca="false">B6*(1+C5/100)</f>
        <v>18010.24</v>
      </c>
      <c r="D6" s="0" t="n">
        <f aca="false">C6*(1+D5/100)</f>
        <v>17289.8304</v>
      </c>
      <c r="E6" s="0" t="n">
        <f aca="false">D6*(1+E5/100)</f>
        <v>15733.745664</v>
      </c>
      <c r="F6" s="0" t="n">
        <f aca="false">E6*(1+F5/100)</f>
        <v>15891.08312064</v>
      </c>
      <c r="G6" s="0" t="n">
        <f aca="false">F6*(1+G5/100)</f>
        <v>16685.637276672</v>
      </c>
      <c r="H6" s="0" t="n">
        <f aca="false">G6*(1+H5/100)</f>
        <v>17519.9191405056</v>
      </c>
      <c r="I6" s="0" t="n">
        <f aca="false">H6*(1+I5/100)</f>
        <v>18308.3155018284</v>
      </c>
      <c r="J6" s="0" t="n">
        <f aca="false">I6*(1+J5/100)</f>
        <v>19040.6481219015</v>
      </c>
      <c r="K6" s="0" t="n">
        <f aca="false">J6*(1+K5/100)</f>
        <v>19707.070806168</v>
      </c>
      <c r="L6" s="0" t="n">
        <f aca="false">K6*(1+L5/100)</f>
        <v>20298.2829303531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45</v>
      </c>
      <c r="D7" s="4" t="n">
        <f aca="false">Assumptions!D14</f>
        <v>42.5</v>
      </c>
      <c r="E7" s="4" t="n">
        <f aca="false">Assumptions!E14</f>
        <v>39.5</v>
      </c>
      <c r="F7" s="4" t="n">
        <f aca="false">Assumptions!F14</f>
        <v>41</v>
      </c>
      <c r="G7" s="4" t="n">
        <f aca="false">Assumptions!G14</f>
        <v>42</v>
      </c>
      <c r="H7" s="4" t="n">
        <f aca="false">Assumptions!H14</f>
        <v>42.5</v>
      </c>
      <c r="I7" s="4" t="n">
        <f aca="false">Assumptions!I14</f>
        <v>42.5</v>
      </c>
      <c r="J7" s="4" t="n">
        <f aca="false">Assumptions!J14</f>
        <v>42.5</v>
      </c>
      <c r="K7" s="4" t="n">
        <f aca="false">Assumptions!K14</f>
        <v>42.5</v>
      </c>
      <c r="L7" s="4" t="n">
        <f aca="false">Assumptions!L14</f>
        <v>42.5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8104.608</v>
      </c>
      <c r="D8" s="0" t="n">
        <f aca="false">D6*D7/100</f>
        <v>7348.17792</v>
      </c>
      <c r="E8" s="0" t="n">
        <f aca="false">E6*E7/100</f>
        <v>6214.82953728</v>
      </c>
      <c r="F8" s="0" t="n">
        <f aca="false">F6*F7/100</f>
        <v>6515.3440794624</v>
      </c>
      <c r="G8" s="0" t="n">
        <f aca="false">G6*G7/100</f>
        <v>7007.96765620224</v>
      </c>
      <c r="H8" s="0" t="n">
        <f aca="false">H6*H7/100</f>
        <v>7445.96563471488</v>
      </c>
      <c r="I8" s="0" t="n">
        <f aca="false">I6*I7/100</f>
        <v>7781.03408827705</v>
      </c>
      <c r="J8" s="0" t="n">
        <f aca="false">J6*J7/100</f>
        <v>8092.27545180813</v>
      </c>
      <c r="K8" s="0" t="n">
        <f aca="false">K6*K7/100</f>
        <v>8375.50509262142</v>
      </c>
      <c r="L8" s="0" t="n">
        <f aca="false">L6*L7/100</f>
        <v>8626.77024540006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1.15</v>
      </c>
      <c r="D9" s="4" t="n">
        <f aca="false">Assumptions!D15</f>
        <v>1.2</v>
      </c>
      <c r="E9" s="4" t="n">
        <f aca="false">Assumptions!E15</f>
        <v>1.25</v>
      </c>
      <c r="F9" s="4" t="n">
        <f aca="false">Assumptions!F15</f>
        <v>1.2</v>
      </c>
      <c r="G9" s="4" t="n">
        <f aca="false">Assumptions!G15</f>
        <v>1.15</v>
      </c>
      <c r="H9" s="4" t="n">
        <f aca="false">Assumptions!H15</f>
        <v>1.15</v>
      </c>
      <c r="I9" s="4" t="n">
        <f aca="false">Assumptions!I15</f>
        <v>1.15</v>
      </c>
      <c r="J9" s="4" t="n">
        <f aca="false">Assumptions!J15</f>
        <v>1.15</v>
      </c>
      <c r="K9" s="4" t="n">
        <f aca="false">Assumptions!K15</f>
        <v>1.15</v>
      </c>
      <c r="L9" s="4" t="n">
        <f aca="false">Assumptions!L15</f>
        <v>1.15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-207.11776</v>
      </c>
      <c r="D10" s="0" t="n">
        <f aca="false">-D6*D9/100</f>
        <v>-207.4779648</v>
      </c>
      <c r="E10" s="0" t="n">
        <f aca="false">-E6*E9/100</f>
        <v>-196.6718208</v>
      </c>
      <c r="F10" s="0" t="n">
        <f aca="false">-F6*F9/100</f>
        <v>-190.69299744768</v>
      </c>
      <c r="G10" s="0" t="n">
        <f aca="false">-G6*G9/100</f>
        <v>-191.884828681728</v>
      </c>
      <c r="H10" s="0" t="n">
        <f aca="false">-H6*H9/100</f>
        <v>-201.479070115814</v>
      </c>
      <c r="I10" s="0" t="n">
        <f aca="false">-I6*I9/100</f>
        <v>-210.545628271026</v>
      </c>
      <c r="J10" s="0" t="n">
        <f aca="false">-J6*J9/100</f>
        <v>-218.967453401867</v>
      </c>
      <c r="K10" s="0" t="n">
        <f aca="false">-K6*K9/100</f>
        <v>-226.631314270932</v>
      </c>
      <c r="L10" s="0" t="n">
        <f aca="false">-L6*L9/100</f>
        <v>-233.43025369906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7897.49024</v>
      </c>
      <c r="D11" s="0" t="n">
        <f aca="false">D8+D10+D24</f>
        <v>7140.6999552</v>
      </c>
      <c r="E11" s="0" t="n">
        <f aca="false">E8+E10+E24</f>
        <v>6018.15771648</v>
      </c>
      <c r="F11" s="0" t="n">
        <f aca="false">F8+F10+F24</f>
        <v>6324.65108201472</v>
      </c>
      <c r="G11" s="0" t="n">
        <f aca="false">G8+G10+G24</f>
        <v>6816.08282752051</v>
      </c>
      <c r="H11" s="0" t="n">
        <f aca="false">H8+H10+H24</f>
        <v>7244.48656459907</v>
      </c>
      <c r="I11" s="0" t="n">
        <f aca="false">I8+I10+I24</f>
        <v>7570.48846000603</v>
      </c>
      <c r="J11" s="0" t="n">
        <f aca="false">J8+J10+J24</f>
        <v>7873.30799840627</v>
      </c>
      <c r="K11" s="0" t="n">
        <f aca="false">K8+K10+K24</f>
        <v>8148.87377835049</v>
      </c>
      <c r="L11" s="0" t="n">
        <f aca="false">L8+L10+L24</f>
        <v>8393.339991701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-4322.4576</v>
      </c>
      <c r="D12" s="4" t="n">
        <f aca="false">-D6*Assumptions!D17/100</f>
        <v>-2247.677952</v>
      </c>
      <c r="E12" s="4" t="n">
        <f aca="false">-E6*Assumptions!E17/100</f>
        <v>-1416.03710976</v>
      </c>
      <c r="F12" s="4" t="n">
        <f aca="false">-F6*Assumptions!F17/100</f>
        <v>-2542.5732993024</v>
      </c>
      <c r="G12" s="4" t="n">
        <f aca="false">-G6*Assumptions!G17/100</f>
        <v>-3837.69657363456</v>
      </c>
      <c r="H12" s="4" t="n">
        <f aca="false">-H6*Assumptions!H17/100</f>
        <v>-4117.18099801882</v>
      </c>
      <c r="I12" s="4" t="n">
        <f aca="false">-I6*Assumptions!I17/100</f>
        <v>-4210.91256542052</v>
      </c>
      <c r="J12" s="4" t="n">
        <f aca="false">-J6*Assumptions!J17/100</f>
        <v>-4284.14582742784</v>
      </c>
      <c r="K12" s="4" t="n">
        <f aca="false">-K6*Assumptions!K17/100</f>
        <v>-4335.55557735697</v>
      </c>
      <c r="L12" s="4" t="n">
        <f aca="false">-L6*Assumptions!L17/100</f>
        <v>-4364.13083002591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3575.03264</v>
      </c>
      <c r="D13" s="0" t="n">
        <f aca="false">D11+D12</f>
        <v>4893.0220032</v>
      </c>
      <c r="E13" s="0" t="n">
        <f aca="false">E11+E12</f>
        <v>4602.12060672</v>
      </c>
      <c r="F13" s="0" t="n">
        <f aca="false">F11+F12</f>
        <v>3782.07778271232</v>
      </c>
      <c r="G13" s="0" t="n">
        <f aca="false">G11+G12</f>
        <v>2978.38625388595</v>
      </c>
      <c r="H13" s="0" t="n">
        <f aca="false">H11+H12</f>
        <v>3127.30556658025</v>
      </c>
      <c r="I13" s="0" t="n">
        <f aca="false">I11+I12</f>
        <v>3359.5758945855</v>
      </c>
      <c r="J13" s="0" t="n">
        <f aca="false">J11+J12</f>
        <v>3589.16217097843</v>
      </c>
      <c r="K13" s="0" t="n">
        <f aca="false">K11+K12</f>
        <v>3813.31820099352</v>
      </c>
      <c r="L13" s="0" t="n">
        <f aca="false">L11+L12</f>
        <v>4029.20916167509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15</v>
      </c>
      <c r="D14" s="4" t="n">
        <f aca="false">Assumptions!D19</f>
        <v>20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3038.777744</v>
      </c>
      <c r="D15" s="0" t="n">
        <f aca="false">D13-MAX(0,D13)*D14/100</f>
        <v>3914.41760256</v>
      </c>
      <c r="E15" s="0" t="n">
        <f aca="false">E13-MAX(0,E13)*E14/100</f>
        <v>3497.6116611072</v>
      </c>
      <c r="F15" s="0" t="n">
        <f aca="false">F13-MAX(0,F13)*F14/100</f>
        <v>2874.37911486136</v>
      </c>
      <c r="G15" s="0" t="n">
        <f aca="false">G13-MAX(0,G13)*G14/100</f>
        <v>2263.57355295332</v>
      </c>
      <c r="H15" s="0" t="n">
        <f aca="false">H13-MAX(0,H13)*H14/100</f>
        <v>2376.75223060099</v>
      </c>
      <c r="I15" s="0" t="n">
        <f aca="false">I13-MAX(0,I13)*I14/100</f>
        <v>2553.27767988498</v>
      </c>
      <c r="J15" s="0" t="n">
        <f aca="false">J13-MAX(0,J13)*J14/100</f>
        <v>2727.76324994361</v>
      </c>
      <c r="K15" s="0" t="n">
        <f aca="false">K13-MAX(0,K13)*K14/100</f>
        <v>2898.12183275507</v>
      </c>
      <c r="L15" s="0" t="n">
        <f aca="false">L13-MAX(0,L13)*L14/100</f>
        <v>3062.19896287307</v>
      </c>
    </row>
    <row r="16" customFormat="false" ht="15" hidden="false" customHeight="false" outlineLevel="0" collapsed="false">
      <c r="A16" s="0" t="s">
        <v>127</v>
      </c>
      <c r="C16" s="0" t="n">
        <f aca="false">-C12</f>
        <v>4322.4576</v>
      </c>
      <c r="D16" s="0" t="n">
        <f aca="false">-D12</f>
        <v>2247.677952</v>
      </c>
      <c r="E16" s="0" t="n">
        <f aca="false">-E12</f>
        <v>1416.03710976</v>
      </c>
      <c r="F16" s="0" t="n">
        <f aca="false">-F12</f>
        <v>2542.5732993024</v>
      </c>
      <c r="G16" s="0" t="n">
        <f aca="false">-G12</f>
        <v>3837.69657363456</v>
      </c>
      <c r="H16" s="0" t="n">
        <f aca="false">-H12</f>
        <v>4117.18099801882</v>
      </c>
      <c r="I16" s="0" t="n">
        <f aca="false">-I12</f>
        <v>4210.91256542052</v>
      </c>
      <c r="J16" s="0" t="n">
        <f aca="false">-J12</f>
        <v>4284.14582742784</v>
      </c>
      <c r="K16" s="0" t="n">
        <f aca="false">-K12</f>
        <v>4335.55557735697</v>
      </c>
      <c r="L16" s="0" t="n">
        <f aca="false">-L12</f>
        <v>4364.13083002591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-4322.4576</v>
      </c>
      <c r="D17" s="4" t="n">
        <f aca="false">-D6*Assumptions!D18/100</f>
        <v>-2247.677952</v>
      </c>
      <c r="E17" s="4" t="n">
        <f aca="false">-E6*Assumptions!E18/100</f>
        <v>-1416.03710976</v>
      </c>
      <c r="F17" s="4" t="n">
        <f aca="false">-F6*Assumptions!F18/100</f>
        <v>-2542.5732993024</v>
      </c>
      <c r="G17" s="4" t="n">
        <f aca="false">-G6*Assumptions!G18/100</f>
        <v>-3837.69657363456</v>
      </c>
      <c r="H17" s="4" t="n">
        <f aca="false">-H6*Assumptions!H18/100</f>
        <v>-4117.18099801882</v>
      </c>
      <c r="I17" s="4" t="n">
        <f aca="false">-I6*Assumptions!I18/100</f>
        <v>-4210.91256542052</v>
      </c>
      <c r="J17" s="4" t="n">
        <f aca="false">-J6*Assumptions!J18/100</f>
        <v>-4284.14582742784</v>
      </c>
      <c r="K17" s="4" t="n">
        <f aca="false">-K6*Assumptions!K18/100</f>
        <v>-4335.55557735697</v>
      </c>
      <c r="L17" s="4" t="n">
        <f aca="false">-L6*Assumptions!L18/100</f>
        <v>-4364.13083002591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-94.2592000000001</v>
      </c>
      <c r="D18" s="4" t="n">
        <f aca="false">(D6-C6)*Assumptions!$B$23/100</f>
        <v>57.6327679999999</v>
      </c>
      <c r="E18" s="4" t="n">
        <f aca="false">(E6-D6)*Assumptions!$B$23/100</f>
        <v>124.48677888</v>
      </c>
      <c r="F18" s="4" t="n">
        <f aca="false">(F6-E6)*Assumptions!$B$23/100</f>
        <v>-12.5869965312</v>
      </c>
      <c r="G18" s="4" t="n">
        <f aca="false">(G6-F6)*Assumptions!$B$23/100</f>
        <v>-63.5643324825601</v>
      </c>
      <c r="H18" s="4" t="n">
        <f aca="false">(H6-G6)*Assumptions!$B$23/100</f>
        <v>-66.742549106688</v>
      </c>
      <c r="I18" s="4" t="n">
        <f aca="false">(I6-H6)*Assumptions!$B$23/100</f>
        <v>-63.07170890582</v>
      </c>
      <c r="J18" s="4" t="n">
        <f aca="false">(J6-I6)*Assumptions!$B$23/100</f>
        <v>-58.5866096058508</v>
      </c>
      <c r="K18" s="4" t="n">
        <f aca="false">(K6-J6)*Assumptions!$B$23/100</f>
        <v>-53.3138147413242</v>
      </c>
      <c r="L18" s="4" t="n">
        <f aca="false">(L6-K6)*Assumptions!$B$23/100</f>
        <v>-47.2969699348032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2944.518544</v>
      </c>
      <c r="D19" s="0" t="n">
        <f aca="false">D15+D16+D17+D18</f>
        <v>3972.05037056</v>
      </c>
      <c r="E19" s="0" t="n">
        <f aca="false">E15+E16+E17+E18</f>
        <v>3622.0984399872</v>
      </c>
      <c r="F19" s="0" t="n">
        <f aca="false">F15+F16+F17+F18</f>
        <v>2861.79211833016</v>
      </c>
      <c r="G19" s="0" t="n">
        <f aca="false">G15+G16+G17+G18</f>
        <v>2200.00922047076</v>
      </c>
      <c r="H19" s="0" t="n">
        <f aca="false">H15+H16+H17+H18</f>
        <v>2310.0096814943</v>
      </c>
      <c r="I19" s="0" t="n">
        <f aca="false">I15+I16+I17+I18</f>
        <v>2490.20597097916</v>
      </c>
      <c r="J19" s="0" t="n">
        <f aca="false">J15+J16+J17+J18</f>
        <v>2669.17664033776</v>
      </c>
      <c r="K19" s="0" t="n">
        <f aca="false">K15+K16+K17+K18</f>
        <v>2844.80801801375</v>
      </c>
      <c r="L19" s="0" t="n">
        <f aca="false">L15+L16+L17+L18</f>
        <v>3014.90199293826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2664.72266425339</v>
      </c>
      <c r="D21" s="0" t="n">
        <f aca="false">D19*D20</f>
        <v>3253.04590041973</v>
      </c>
      <c r="E21" s="0" t="n">
        <f aca="false">E19*E20</f>
        <v>2684.56185603072</v>
      </c>
      <c r="F21" s="0" t="n">
        <f aca="false">F19*F20</f>
        <v>1919.5037776831</v>
      </c>
      <c r="G21" s="0" t="n">
        <f aca="false">G19*G20</f>
        <v>1335.40534720383</v>
      </c>
      <c r="H21" s="0" t="n">
        <f aca="false">H19*H20</f>
        <v>1268.93720775024</v>
      </c>
      <c r="I21" s="0" t="n">
        <f aca="false">I19*I20</f>
        <v>1237.9392246969</v>
      </c>
      <c r="J21" s="0" t="n">
        <f aca="false">J19*J20</f>
        <v>1200.82325894652</v>
      </c>
      <c r="K21" s="0" t="n">
        <f aca="false">K19*K20</f>
        <v>1158.223736715</v>
      </c>
      <c r="L21" s="0" t="n">
        <f aca="false">L19*L20</f>
        <v>1110.83720910745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17834.0001828069</v>
      </c>
    </row>
    <row r="31" customFormat="false" ht="15" hidden="false" customHeight="false" outlineLevel="0" collapsed="false">
      <c r="A31" s="0" t="s">
        <v>136</v>
      </c>
      <c r="B31" s="0" t="n">
        <f aca="false">L19</f>
        <v>3014.90199293826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38628.4317845215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36178.8239152592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36178.8239152592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13330.0465092894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31164.0466920963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17046.0466920963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273.173825193851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-0.747304609270841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1239.63317912679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1101.96611470024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310.699454902617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24722.1963420938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112.656589052906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8</v>
      </c>
      <c r="D5" s="4" t="n">
        <f aca="false">Assumptions!D27</f>
        <v>6.5</v>
      </c>
      <c r="E5" s="4" t="n">
        <f aca="false">Assumptions!E27</f>
        <v>5</v>
      </c>
      <c r="F5" s="4" t="n">
        <f aca="false">Assumptions!F27</f>
        <v>2</v>
      </c>
      <c r="G5" s="4" t="n">
        <f aca="false">Assumptions!G27</f>
        <v>5</v>
      </c>
      <c r="H5" s="4" t="n">
        <f aca="false">Assumptions!H27</f>
        <v>6</v>
      </c>
      <c r="I5" s="4" t="n">
        <f aca="false">Assumptions!I27</f>
        <v>5.5</v>
      </c>
      <c r="J5" s="4" t="n">
        <f aca="false">Assumptions!J27</f>
        <v>5</v>
      </c>
      <c r="K5" s="4" t="n">
        <f aca="false">Assumptions!K27</f>
        <v>4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37</v>
      </c>
      <c r="B6" s="3" t="n">
        <v>16832</v>
      </c>
      <c r="C6" s="0" t="n">
        <f aca="false">B6*(1+C5/100)</f>
        <v>18178.56</v>
      </c>
      <c r="D6" s="0" t="n">
        <f aca="false">C6*(1+D5/100)</f>
        <v>19360.1664</v>
      </c>
      <c r="E6" s="0" t="n">
        <f aca="false">D6*(1+E5/100)</f>
        <v>20328.17472</v>
      </c>
      <c r="F6" s="0" t="n">
        <f aca="false">E6*(1+F5/100)</f>
        <v>20734.7382144</v>
      </c>
      <c r="G6" s="0" t="n">
        <f aca="false">F6*(1+G5/100)</f>
        <v>21771.47512512</v>
      </c>
      <c r="H6" s="0" t="n">
        <f aca="false">G6*(1+H5/100)</f>
        <v>23077.7636326272</v>
      </c>
      <c r="I6" s="0" t="n">
        <f aca="false">H6*(1+I5/100)</f>
        <v>24347.0406324217</v>
      </c>
      <c r="J6" s="0" t="n">
        <f aca="false">I6*(1+J5/100)</f>
        <v>25564.3926640428</v>
      </c>
      <c r="K6" s="0" t="n">
        <f aca="false">J6*(1+K5/100)</f>
        <v>26586.9683706045</v>
      </c>
      <c r="L6" s="0" t="n">
        <f aca="false">K6*(1+L5/100)</f>
        <v>27517.5122635757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45.4</v>
      </c>
      <c r="D7" s="4" t="n">
        <f aca="false">Assumptions!D28</f>
        <v>45.3</v>
      </c>
      <c r="E7" s="4" t="n">
        <f aca="false">Assumptions!E28</f>
        <v>44.8</v>
      </c>
      <c r="F7" s="4" t="n">
        <f aca="false">Assumptions!F28</f>
        <v>43.8</v>
      </c>
      <c r="G7" s="4" t="n">
        <f aca="false">Assumptions!G28</f>
        <v>44.2</v>
      </c>
      <c r="H7" s="4" t="n">
        <f aca="false">Assumptions!H28</f>
        <v>44.5</v>
      </c>
      <c r="I7" s="4" t="n">
        <f aca="false">Assumptions!I28</f>
        <v>44.5</v>
      </c>
      <c r="J7" s="4" t="n">
        <f aca="false">Assumptions!J28</f>
        <v>44.5</v>
      </c>
      <c r="K7" s="4" t="n">
        <f aca="false">Assumptions!K28</f>
        <v>44.5</v>
      </c>
      <c r="L7" s="4" t="n">
        <f aca="false">Assumptions!L28</f>
        <v>44.5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8253.06624</v>
      </c>
      <c r="D8" s="0" t="n">
        <f aca="false">D6*D7/100</f>
        <v>8770.1553792</v>
      </c>
      <c r="E8" s="0" t="n">
        <f aca="false">E6*E7/100</f>
        <v>9107.02227456</v>
      </c>
      <c r="F8" s="0" t="n">
        <f aca="false">F6*F7/100</f>
        <v>9081.8153379072</v>
      </c>
      <c r="G8" s="0" t="n">
        <f aca="false">G6*G7/100</f>
        <v>9622.99200530304</v>
      </c>
      <c r="H8" s="0" t="n">
        <f aca="false">H6*H7/100</f>
        <v>10269.6048165191</v>
      </c>
      <c r="I8" s="0" t="n">
        <f aca="false">I6*I7/100</f>
        <v>10834.4330814277</v>
      </c>
      <c r="J8" s="0" t="n">
        <f aca="false">J6*J7/100</f>
        <v>11376.154735499</v>
      </c>
      <c r="K8" s="0" t="n">
        <f aca="false">K6*K7/100</f>
        <v>11831.200924919</v>
      </c>
      <c r="L8" s="0" t="n">
        <f aca="false">L6*L7/100</f>
        <v>12245.2929572912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1.15</v>
      </c>
      <c r="D9" s="4" t="n">
        <f aca="false">Assumptions!D29</f>
        <v>1.15</v>
      </c>
      <c r="E9" s="4" t="n">
        <f aca="false">Assumptions!E29</f>
        <v>1.1</v>
      </c>
      <c r="F9" s="4" t="n">
        <f aca="false">Assumptions!F29</f>
        <v>1.1</v>
      </c>
      <c r="G9" s="4" t="n">
        <f aca="false">Assumptions!G29</f>
        <v>1.1</v>
      </c>
      <c r="H9" s="4" t="n">
        <f aca="false">Assumptions!H29</f>
        <v>1.1</v>
      </c>
      <c r="I9" s="4" t="n">
        <f aca="false">Assumptions!I29</f>
        <v>1.1</v>
      </c>
      <c r="J9" s="4" t="n">
        <f aca="false">Assumptions!J29</f>
        <v>1.1</v>
      </c>
      <c r="K9" s="4" t="n">
        <f aca="false">Assumptions!K29</f>
        <v>1.1</v>
      </c>
      <c r="L9" s="4" t="n">
        <f aca="false">Assumptions!L29</f>
        <v>1.1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-209.05344</v>
      </c>
      <c r="D10" s="0" t="n">
        <f aca="false">-D6*D9/100</f>
        <v>-222.6419136</v>
      </c>
      <c r="E10" s="0" t="n">
        <f aca="false">-E6*E9/100</f>
        <v>-223.60992192</v>
      </c>
      <c r="F10" s="0" t="n">
        <f aca="false">-F6*F9/100</f>
        <v>-228.0821203584</v>
      </c>
      <c r="G10" s="0" t="n">
        <f aca="false">-G6*G9/100</f>
        <v>-239.48622637632</v>
      </c>
      <c r="H10" s="0" t="n">
        <f aca="false">-H6*H9/100</f>
        <v>-253.855399958899</v>
      </c>
      <c r="I10" s="0" t="n">
        <f aca="false">-I6*I9/100</f>
        <v>-267.817446956639</v>
      </c>
      <c r="J10" s="0" t="n">
        <f aca="false">-J6*J9/100</f>
        <v>-281.208319304471</v>
      </c>
      <c r="K10" s="0" t="n">
        <f aca="false">-K6*K9/100</f>
        <v>-292.45665207665</v>
      </c>
      <c r="L10" s="0" t="n">
        <f aca="false">-L6*L9/100</f>
        <v>-302.692634899332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8044.0128</v>
      </c>
      <c r="D11" s="0" t="n">
        <f aca="false">D8+D10+D24</f>
        <v>8547.5134656</v>
      </c>
      <c r="E11" s="0" t="n">
        <f aca="false">E8+E10+E24</f>
        <v>8883.41235264</v>
      </c>
      <c r="F11" s="0" t="n">
        <f aca="false">F8+F10+F24</f>
        <v>8853.7332175488</v>
      </c>
      <c r="G11" s="0" t="n">
        <f aca="false">G8+G10+G24</f>
        <v>9383.50577892672</v>
      </c>
      <c r="H11" s="0" t="n">
        <f aca="false">H8+H10+H24</f>
        <v>10015.7494165602</v>
      </c>
      <c r="I11" s="0" t="n">
        <f aca="false">I8+I10+I24</f>
        <v>10566.615634471</v>
      </c>
      <c r="J11" s="0" t="n">
        <f aca="false">J8+J10+J24</f>
        <v>11094.9464161946</v>
      </c>
      <c r="K11" s="0" t="n">
        <f aca="false">K8+K10+K24</f>
        <v>11538.7442728424</v>
      </c>
      <c r="L11" s="0" t="n">
        <f aca="false">L8+L10+L24</f>
        <v>11942.6003223918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-4690.06848</v>
      </c>
      <c r="D12" s="4" t="n">
        <f aca="false">-D6*Assumptions!D31/100</f>
        <v>-4781.9611008</v>
      </c>
      <c r="E12" s="4" t="n">
        <f aca="false">-E6*Assumptions!E31/100</f>
        <v>-4716.13653504</v>
      </c>
      <c r="F12" s="4" t="n">
        <f aca="false">-F6*Assumptions!F31/100</f>
        <v>-4043.273951808</v>
      </c>
      <c r="G12" s="4" t="n">
        <f aca="false">-G6*Assumptions!G31/100</f>
        <v>-5007.4392787776</v>
      </c>
      <c r="H12" s="4" t="n">
        <f aca="false">-H6*Assumptions!H31/100</f>
        <v>-5538.66327183053</v>
      </c>
      <c r="I12" s="4" t="n">
        <f aca="false">-I6*Assumptions!I31/100</f>
        <v>-5721.5545486191</v>
      </c>
      <c r="J12" s="4" t="n">
        <f aca="false">-J6*Assumptions!J31/100</f>
        <v>-5879.81031272984</v>
      </c>
      <c r="K12" s="4" t="n">
        <f aca="false">-K6*Assumptions!K31/100</f>
        <v>-5849.13304153299</v>
      </c>
      <c r="L12" s="4" t="n">
        <f aca="false">-L6*Assumptions!L31/100</f>
        <v>-5916.26513666877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3353.94432</v>
      </c>
      <c r="D13" s="0" t="n">
        <f aca="false">D11+D12</f>
        <v>3765.5523648</v>
      </c>
      <c r="E13" s="0" t="n">
        <f aca="false">E11+E12</f>
        <v>4167.2758176</v>
      </c>
      <c r="F13" s="0" t="n">
        <f aca="false">F11+F12</f>
        <v>4810.4592657408</v>
      </c>
      <c r="G13" s="0" t="n">
        <f aca="false">G11+G12</f>
        <v>4376.06650014912</v>
      </c>
      <c r="H13" s="0" t="n">
        <f aca="false">H11+H12</f>
        <v>4477.08614472968</v>
      </c>
      <c r="I13" s="0" t="n">
        <f aca="false">I11+I12</f>
        <v>4845.06108585192</v>
      </c>
      <c r="J13" s="0" t="n">
        <f aca="false">J11+J12</f>
        <v>5215.13610346473</v>
      </c>
      <c r="K13" s="0" t="n">
        <f aca="false">K11+K12</f>
        <v>5689.61123130936</v>
      </c>
      <c r="L13" s="0" t="n">
        <f aca="false">L11+L12</f>
        <v>6026.33518572307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15</v>
      </c>
      <c r="D14" s="4" t="n">
        <f aca="false">Assumptions!D33</f>
        <v>20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2850.852672</v>
      </c>
      <c r="D15" s="0" t="n">
        <f aca="false">D13-MAX(0,D13)*D14/100</f>
        <v>3012.44189184</v>
      </c>
      <c r="E15" s="0" t="n">
        <f aca="false">E13-MAX(0,E13)*E14/100</f>
        <v>3167.129621376</v>
      </c>
      <c r="F15" s="0" t="n">
        <f aca="false">F13-MAX(0,F13)*F14/100</f>
        <v>3655.94904196301</v>
      </c>
      <c r="G15" s="0" t="n">
        <f aca="false">G13-MAX(0,G13)*G14/100</f>
        <v>3325.81054011333</v>
      </c>
      <c r="H15" s="0" t="n">
        <f aca="false">H13-MAX(0,H13)*H14/100</f>
        <v>3402.58546999456</v>
      </c>
      <c r="I15" s="0" t="n">
        <f aca="false">I13-MAX(0,I13)*I14/100</f>
        <v>3682.24642524746</v>
      </c>
      <c r="J15" s="0" t="n">
        <f aca="false">J13-MAX(0,J13)*J14/100</f>
        <v>3963.50343863319</v>
      </c>
      <c r="K15" s="0" t="n">
        <f aca="false">K13-MAX(0,K13)*K14/100</f>
        <v>4324.10453579512</v>
      </c>
      <c r="L15" s="0" t="n">
        <f aca="false">L13-MAX(0,L13)*L14/100</f>
        <v>4580.01474114953</v>
      </c>
    </row>
    <row r="16" customFormat="false" ht="15" hidden="false" customHeight="false" outlineLevel="0" collapsed="false">
      <c r="A16" s="0" t="s">
        <v>127</v>
      </c>
      <c r="C16" s="0" t="n">
        <f aca="false">-C12</f>
        <v>4690.06848</v>
      </c>
      <c r="D16" s="0" t="n">
        <f aca="false">-D12</f>
        <v>4781.9611008</v>
      </c>
      <c r="E16" s="0" t="n">
        <f aca="false">-E12</f>
        <v>4716.13653504</v>
      </c>
      <c r="F16" s="0" t="n">
        <f aca="false">-F12</f>
        <v>4043.273951808</v>
      </c>
      <c r="G16" s="0" t="n">
        <f aca="false">-G12</f>
        <v>5007.4392787776</v>
      </c>
      <c r="H16" s="0" t="n">
        <f aca="false">-H12</f>
        <v>5538.66327183053</v>
      </c>
      <c r="I16" s="0" t="n">
        <f aca="false">-I12</f>
        <v>5721.5545486191</v>
      </c>
      <c r="J16" s="0" t="n">
        <f aca="false">-J12</f>
        <v>5879.81031272984</v>
      </c>
      <c r="K16" s="0" t="n">
        <f aca="false">-K12</f>
        <v>5849.13304153299</v>
      </c>
      <c r="L16" s="0" t="n">
        <f aca="false">-L12</f>
        <v>5916.26513666877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-4690.06848</v>
      </c>
      <c r="D17" s="4" t="n">
        <f aca="false">-D6*Assumptions!D32/100</f>
        <v>-4781.9611008</v>
      </c>
      <c r="E17" s="4" t="n">
        <f aca="false">-E6*Assumptions!E32/100</f>
        <v>-4716.13653504</v>
      </c>
      <c r="F17" s="4" t="n">
        <f aca="false">-F6*Assumptions!F32/100</f>
        <v>-4043.273951808</v>
      </c>
      <c r="G17" s="4" t="n">
        <f aca="false">-G6*Assumptions!G32/100</f>
        <v>-5007.4392787776</v>
      </c>
      <c r="H17" s="4" t="n">
        <f aca="false">-H6*Assumptions!H32/100</f>
        <v>-5538.66327183053</v>
      </c>
      <c r="I17" s="4" t="n">
        <f aca="false">-I6*Assumptions!I32/100</f>
        <v>-5721.5545486191</v>
      </c>
      <c r="J17" s="4" t="n">
        <f aca="false">-J6*Assumptions!J32/100</f>
        <v>-5879.81031272984</v>
      </c>
      <c r="K17" s="4" t="n">
        <f aca="false">-K6*Assumptions!K32/100</f>
        <v>-5849.13304153299</v>
      </c>
      <c r="L17" s="4" t="n">
        <f aca="false">-L6*Assumptions!L32/100</f>
        <v>-5916.26513666877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-107.7248</v>
      </c>
      <c r="D18" s="4" t="n">
        <f aca="false">(D6-C6)*Assumptions!$B$37/100</f>
        <v>-94.5285120000001</v>
      </c>
      <c r="E18" s="4" t="n">
        <f aca="false">(E6-D6)*Assumptions!$B$37/100</f>
        <v>-77.4406656000001</v>
      </c>
      <c r="F18" s="4" t="n">
        <f aca="false">(F6-E6)*Assumptions!$B$37/100</f>
        <v>-32.5250795520001</v>
      </c>
      <c r="G18" s="4" t="n">
        <f aca="false">(G6-F6)*Assumptions!$B$37/100</f>
        <v>-82.9389528576002</v>
      </c>
      <c r="H18" s="4" t="n">
        <f aca="false">(H6-G6)*Assumptions!$B$37/100</f>
        <v>-104.503080600576</v>
      </c>
      <c r="I18" s="4" t="n">
        <f aca="false">(I6-H6)*Assumptions!$B$37/100</f>
        <v>-101.54215998356</v>
      </c>
      <c r="J18" s="4" t="n">
        <f aca="false">(J6-I6)*Assumptions!$B$37/100</f>
        <v>-97.3881625296868</v>
      </c>
      <c r="K18" s="4" t="n">
        <f aca="false">(K6-J6)*Assumptions!$B$37/100</f>
        <v>-81.8060565249369</v>
      </c>
      <c r="L18" s="4" t="n">
        <f aca="false">(L6-K6)*Assumptions!$B$37/100</f>
        <v>-74.4435114376925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2743.127872</v>
      </c>
      <c r="D19" s="0" t="n">
        <f aca="false">D15+D16+D17+D18</f>
        <v>2917.91337984</v>
      </c>
      <c r="E19" s="0" t="n">
        <f aca="false">E15+E16+E17+E18</f>
        <v>3089.688955776</v>
      </c>
      <c r="F19" s="0" t="n">
        <f aca="false">F15+F16+F17+F18</f>
        <v>3623.42396241101</v>
      </c>
      <c r="G19" s="0" t="n">
        <f aca="false">G15+G16+G17+G18</f>
        <v>3242.87158725573</v>
      </c>
      <c r="H19" s="0" t="n">
        <f aca="false">H15+H16+H17+H18</f>
        <v>3298.08238939398</v>
      </c>
      <c r="I19" s="0" t="n">
        <f aca="false">I15+I16+I17+I18</f>
        <v>3580.7042652639</v>
      </c>
      <c r="J19" s="0" t="n">
        <f aca="false">J15+J16+J17+J18</f>
        <v>3866.11527610351</v>
      </c>
      <c r="K19" s="0" t="n">
        <f aca="false">K15+K16+K17+K18</f>
        <v>4242.29847927018</v>
      </c>
      <c r="L19" s="0" t="n">
        <f aca="false">L15+L16+L17+L18</f>
        <v>4505.57122971184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2482.46866244344</v>
      </c>
      <c r="D21" s="0" t="n">
        <f aca="false">D19*D20</f>
        <v>2389.72451820397</v>
      </c>
      <c r="E21" s="0" t="n">
        <f aca="false">E19*E20</f>
        <v>2289.96015848342</v>
      </c>
      <c r="F21" s="0" t="n">
        <f aca="false">F19*F20</f>
        <v>2430.35681713097</v>
      </c>
      <c r="G21" s="0" t="n">
        <f aca="false">G19*G20</f>
        <v>1968.42268551493</v>
      </c>
      <c r="H21" s="0" t="n">
        <f aca="false">H19*H20</f>
        <v>1811.70645805286</v>
      </c>
      <c r="I21" s="0" t="n">
        <f aca="false">I19*I20</f>
        <v>1780.05125426099</v>
      </c>
      <c r="J21" s="0" t="n">
        <f aca="false">J19*J20</f>
        <v>1739.30832270661</v>
      </c>
      <c r="K21" s="0" t="n">
        <f aca="false">K19*K20</f>
        <v>1727.19240307517</v>
      </c>
      <c r="L21" s="0" t="n">
        <f aca="false">L19*L20</f>
        <v>1660.07259339472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20279.2638732671</v>
      </c>
    </row>
    <row r="31" customFormat="false" ht="15" hidden="false" customHeight="false" outlineLevel="0" collapsed="false">
      <c r="A31" s="0" t="s">
        <v>136</v>
      </c>
      <c r="B31" s="0" t="n">
        <f aca="false">L19</f>
        <v>4505.57122971184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61876.5115547093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63077.9972159658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61876.5115547093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22798.3302826208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43077.5941558878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28959.5941558878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464.09606019051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-0.570694830727346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1465.3050239196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1531.63412866365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512.123931225498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38672.8197216933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193.973892310647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90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9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6.5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37</v>
      </c>
      <c r="B6" s="3" t="n">
        <v>16832</v>
      </c>
      <c r="C6" s="0" t="n">
        <f aca="false">B6*(1+C5/100)</f>
        <v>18346.88</v>
      </c>
      <c r="D6" s="0" t="n">
        <f aca="false">C6*(1+D5/100)</f>
        <v>20181.568</v>
      </c>
      <c r="E6" s="0" t="n">
        <f aca="false">D6*(1+E5/100)</f>
        <v>21997.90912</v>
      </c>
      <c r="F6" s="0" t="n">
        <f aca="false">E6*(1+F5/100)</f>
        <v>23757.7418496</v>
      </c>
      <c r="G6" s="0" t="n">
        <f aca="false">F6*(1+G5/100)</f>
        <v>25420.783779072</v>
      </c>
      <c r="H6" s="0" t="n">
        <f aca="false">G6*(1+H5/100)</f>
        <v>27073.1347247117</v>
      </c>
      <c r="I6" s="0" t="n">
        <f aca="false">H6*(1+I5/100)</f>
        <v>28697.5228081944</v>
      </c>
      <c r="J6" s="0" t="n">
        <f aca="false">I6*(1+J5/100)</f>
        <v>30132.3989486041</v>
      </c>
      <c r="K6" s="0" t="n">
        <f aca="false">J6*(1+K5/100)</f>
        <v>31488.3569012913</v>
      </c>
      <c r="L6" s="0" t="n">
        <f aca="false">K6*(1+L5/100)</f>
        <v>32747.8911773429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45.6</v>
      </c>
      <c r="D7" s="4" t="n">
        <f aca="false">Assumptions!D42</f>
        <v>46</v>
      </c>
      <c r="E7" s="4" t="n">
        <f aca="false">Assumptions!E42</f>
        <v>46.3</v>
      </c>
      <c r="F7" s="4" t="n">
        <f aca="false">Assumptions!F42</f>
        <v>46.5</v>
      </c>
      <c r="G7" s="4" t="n">
        <f aca="false">Assumptions!G42</f>
        <v>46.5</v>
      </c>
      <c r="H7" s="4" t="n">
        <f aca="false">Assumptions!H42</f>
        <v>46.5</v>
      </c>
      <c r="I7" s="4" t="n">
        <f aca="false">Assumptions!I42</f>
        <v>46.5</v>
      </c>
      <c r="J7" s="4" t="n">
        <f aca="false">Assumptions!J42</f>
        <v>46.5</v>
      </c>
      <c r="K7" s="4" t="n">
        <f aca="false">Assumptions!K42</f>
        <v>46.5</v>
      </c>
      <c r="L7" s="4" t="n">
        <f aca="false">Assumptions!L42</f>
        <v>46.5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8366.17728</v>
      </c>
      <c r="D8" s="0" t="n">
        <f aca="false">D6*D7/100</f>
        <v>9283.52128</v>
      </c>
      <c r="E8" s="0" t="n">
        <f aca="false">E6*E7/100</f>
        <v>10185.03192256</v>
      </c>
      <c r="F8" s="0" t="n">
        <f aca="false">F6*F7/100</f>
        <v>11047.349960064</v>
      </c>
      <c r="G8" s="0" t="n">
        <f aca="false">G6*G7/100</f>
        <v>11820.6644572685</v>
      </c>
      <c r="H8" s="0" t="n">
        <f aca="false">H6*H7/100</f>
        <v>12589.0076469909</v>
      </c>
      <c r="I8" s="0" t="n">
        <f aca="false">I6*I7/100</f>
        <v>13344.3481058104</v>
      </c>
      <c r="J8" s="0" t="n">
        <f aca="false">J6*J7/100</f>
        <v>14011.5655111009</v>
      </c>
      <c r="K8" s="0" t="n">
        <f aca="false">K6*K7/100</f>
        <v>14642.0859591005</v>
      </c>
      <c r="L8" s="0" t="n">
        <f aca="false">L6*L7/100</f>
        <v>15227.7693974645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1.15</v>
      </c>
      <c r="D9" s="4" t="n">
        <f aca="false">Assumptions!D43</f>
        <v>1.1</v>
      </c>
      <c r="E9" s="4" t="n">
        <f aca="false">Assumptions!E43</f>
        <v>1.1</v>
      </c>
      <c r="F9" s="4" t="n">
        <f aca="false">Assumptions!F43</f>
        <v>1.05</v>
      </c>
      <c r="G9" s="4" t="n">
        <f aca="false">Assumptions!G43</f>
        <v>1.05</v>
      </c>
      <c r="H9" s="4" t="n">
        <f aca="false">Assumptions!H43</f>
        <v>1</v>
      </c>
      <c r="I9" s="4" t="n">
        <f aca="false">Assumptions!I43</f>
        <v>1</v>
      </c>
      <c r="J9" s="4" t="n">
        <f aca="false">Assumptions!J43</f>
        <v>1</v>
      </c>
      <c r="K9" s="4" t="n">
        <f aca="false">Assumptions!K43</f>
        <v>1</v>
      </c>
      <c r="L9" s="4" t="n">
        <f aca="false">Assumptions!L43</f>
        <v>1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-210.98912</v>
      </c>
      <c r="D10" s="0" t="n">
        <f aca="false">-D6*D9/100</f>
        <v>-221.997248</v>
      </c>
      <c r="E10" s="0" t="n">
        <f aca="false">-E6*E9/100</f>
        <v>-241.97700032</v>
      </c>
      <c r="F10" s="0" t="n">
        <f aca="false">-F6*F9/100</f>
        <v>-249.4562894208</v>
      </c>
      <c r="G10" s="0" t="n">
        <f aca="false">-G6*G9/100</f>
        <v>-266.918229680256</v>
      </c>
      <c r="H10" s="0" t="n">
        <f aca="false">-H6*H9/100</f>
        <v>-270.731347247117</v>
      </c>
      <c r="I10" s="0" t="n">
        <f aca="false">-I6*I9/100</f>
        <v>-286.975228081944</v>
      </c>
      <c r="J10" s="0" t="n">
        <f aca="false">-J6*J9/100</f>
        <v>-301.323989486041</v>
      </c>
      <c r="K10" s="0" t="n">
        <f aca="false">-K6*K9/100</f>
        <v>-314.883569012913</v>
      </c>
      <c r="L10" s="0" t="n">
        <f aca="false">-L6*L9/100</f>
        <v>-327.478911773429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8155.18816</v>
      </c>
      <c r="D11" s="0" t="n">
        <f aca="false">D8+D10+D24</f>
        <v>9061.524032</v>
      </c>
      <c r="E11" s="0" t="n">
        <f aca="false">E8+E10+E24</f>
        <v>9943.05492224</v>
      </c>
      <c r="F11" s="0" t="n">
        <f aca="false">F8+F10+F24</f>
        <v>10797.8936706432</v>
      </c>
      <c r="G11" s="0" t="n">
        <f aca="false">G8+G10+G24</f>
        <v>11553.7462275882</v>
      </c>
      <c r="H11" s="0" t="n">
        <f aca="false">H8+H10+H24</f>
        <v>12318.2762997438</v>
      </c>
      <c r="I11" s="0" t="n">
        <f aca="false">I8+I10+I24</f>
        <v>13057.3728777284</v>
      </c>
      <c r="J11" s="0" t="n">
        <f aca="false">J8+J10+J24</f>
        <v>13710.2415216149</v>
      </c>
      <c r="K11" s="0" t="n">
        <f aca="false">K8+K10+K24</f>
        <v>14327.2023900875</v>
      </c>
      <c r="L11" s="0" t="n">
        <f aca="false">L8+L10+L24</f>
        <v>14900.290485691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-4861.9232</v>
      </c>
      <c r="D12" s="4" t="n">
        <f aca="false">-D6*Assumptions!D45/100</f>
        <v>-5449.02336</v>
      </c>
      <c r="E12" s="4" t="n">
        <f aca="false">-E6*Assumptions!E45/100</f>
        <v>-5719.4563712</v>
      </c>
      <c r="F12" s="4" t="n">
        <f aca="false">-F6*Assumptions!F45/100</f>
        <v>-5939.4354624</v>
      </c>
      <c r="G12" s="4" t="n">
        <f aca="false">-G6*Assumptions!G45/100</f>
        <v>-6100.98810697728</v>
      </c>
      <c r="H12" s="4" t="n">
        <f aca="false">-H6*Assumptions!H45/100</f>
        <v>-6362.18666030725</v>
      </c>
      <c r="I12" s="4" t="n">
        <f aca="false">-I6*Assumptions!I45/100</f>
        <v>-6600.43024588471</v>
      </c>
      <c r="J12" s="4" t="n">
        <f aca="false">-J6*Assumptions!J45/100</f>
        <v>-6629.1277686929</v>
      </c>
      <c r="K12" s="4" t="n">
        <f aca="false">-K6*Assumptions!K45/100</f>
        <v>-6769.99673377763</v>
      </c>
      <c r="L12" s="4" t="n">
        <f aca="false">-L6*Assumptions!L45/100</f>
        <v>-6877.05714724202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3293.26496</v>
      </c>
      <c r="D13" s="0" t="n">
        <f aca="false">D11+D12</f>
        <v>3612.500672</v>
      </c>
      <c r="E13" s="0" t="n">
        <f aca="false">E11+E12</f>
        <v>4223.59855104</v>
      </c>
      <c r="F13" s="0" t="n">
        <f aca="false">F11+F12</f>
        <v>4858.4582082432</v>
      </c>
      <c r="G13" s="0" t="n">
        <f aca="false">G11+G12</f>
        <v>5452.75812061095</v>
      </c>
      <c r="H13" s="0" t="n">
        <f aca="false">H11+H12</f>
        <v>5956.08963943657</v>
      </c>
      <c r="I13" s="0" t="n">
        <f aca="false">I11+I12</f>
        <v>6456.94263184374</v>
      </c>
      <c r="J13" s="0" t="n">
        <f aca="false">J11+J12</f>
        <v>7081.11375292197</v>
      </c>
      <c r="K13" s="0" t="n">
        <f aca="false">K11+K12</f>
        <v>7557.20565630991</v>
      </c>
      <c r="L13" s="0" t="n">
        <f aca="false">L11+L12</f>
        <v>8023.23333844902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15</v>
      </c>
      <c r="D14" s="4" t="n">
        <f aca="false">Assumptions!D47</f>
        <v>20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2799.275216</v>
      </c>
      <c r="D15" s="0" t="n">
        <f aca="false">D13-MAX(0,D13)*D14/100</f>
        <v>2890.0005376</v>
      </c>
      <c r="E15" s="0" t="n">
        <f aca="false">E13-MAX(0,E13)*E14/100</f>
        <v>3209.9348987904</v>
      </c>
      <c r="F15" s="0" t="n">
        <f aca="false">F13-MAX(0,F13)*F14/100</f>
        <v>3692.42823826483</v>
      </c>
      <c r="G15" s="0" t="n">
        <f aca="false">G13-MAX(0,G13)*G14/100</f>
        <v>4144.09617166432</v>
      </c>
      <c r="H15" s="0" t="n">
        <f aca="false">H13-MAX(0,H13)*H14/100</f>
        <v>4526.62812597179</v>
      </c>
      <c r="I15" s="0" t="n">
        <f aca="false">I13-MAX(0,I13)*I14/100</f>
        <v>4907.27640020124</v>
      </c>
      <c r="J15" s="0" t="n">
        <f aca="false">J13-MAX(0,J13)*J14/100</f>
        <v>5381.64645222069</v>
      </c>
      <c r="K15" s="0" t="n">
        <f aca="false">K13-MAX(0,K13)*K14/100</f>
        <v>5743.47629879553</v>
      </c>
      <c r="L15" s="0" t="n">
        <f aca="false">L13-MAX(0,L13)*L14/100</f>
        <v>6097.65733722126</v>
      </c>
    </row>
    <row r="16" customFormat="false" ht="15" hidden="false" customHeight="false" outlineLevel="0" collapsed="false">
      <c r="A16" s="0" t="s">
        <v>127</v>
      </c>
      <c r="C16" s="0" t="n">
        <f aca="false">-C12</f>
        <v>4861.9232</v>
      </c>
      <c r="D16" s="0" t="n">
        <f aca="false">-D12</f>
        <v>5449.02336</v>
      </c>
      <c r="E16" s="0" t="n">
        <f aca="false">-E12</f>
        <v>5719.4563712</v>
      </c>
      <c r="F16" s="0" t="n">
        <f aca="false">-F12</f>
        <v>5939.4354624</v>
      </c>
      <c r="G16" s="0" t="n">
        <f aca="false">-G12</f>
        <v>6100.98810697728</v>
      </c>
      <c r="H16" s="0" t="n">
        <f aca="false">-H12</f>
        <v>6362.18666030725</v>
      </c>
      <c r="I16" s="0" t="n">
        <f aca="false">-I12</f>
        <v>6600.43024588471</v>
      </c>
      <c r="J16" s="0" t="n">
        <f aca="false">-J12</f>
        <v>6629.1277686929</v>
      </c>
      <c r="K16" s="0" t="n">
        <f aca="false">-K12</f>
        <v>6769.99673377763</v>
      </c>
      <c r="L16" s="0" t="n">
        <f aca="false">-L12</f>
        <v>6877.05714724202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-4861.9232</v>
      </c>
      <c r="D17" s="4" t="n">
        <f aca="false">-D6*Assumptions!D46/100</f>
        <v>-5449.02336</v>
      </c>
      <c r="E17" s="4" t="n">
        <f aca="false">-E6*Assumptions!E46/100</f>
        <v>-5719.4563712</v>
      </c>
      <c r="F17" s="4" t="n">
        <f aca="false">-F6*Assumptions!F46/100</f>
        <v>-5939.4354624</v>
      </c>
      <c r="G17" s="4" t="n">
        <f aca="false">-G6*Assumptions!G46/100</f>
        <v>-6100.98810697728</v>
      </c>
      <c r="H17" s="4" t="n">
        <f aca="false">-H6*Assumptions!H46/100</f>
        <v>-6362.18666030725</v>
      </c>
      <c r="I17" s="4" t="n">
        <f aca="false">-I6*Assumptions!I46/100</f>
        <v>-6600.43024588471</v>
      </c>
      <c r="J17" s="4" t="n">
        <f aca="false">-J6*Assumptions!J46/100</f>
        <v>-6629.1277686929</v>
      </c>
      <c r="K17" s="4" t="n">
        <f aca="false">-K6*Assumptions!K46/100</f>
        <v>-6769.99673377763</v>
      </c>
      <c r="L17" s="4" t="n">
        <f aca="false">-L6*Assumptions!L46/100</f>
        <v>-6877.05714724202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-121.1904</v>
      </c>
      <c r="D18" s="4" t="n">
        <f aca="false">(D6-C6)*Assumptions!$B$51/100</f>
        <v>-146.77504</v>
      </c>
      <c r="E18" s="4" t="n">
        <f aca="false">(E6-D6)*Assumptions!$B$51/100</f>
        <v>-145.3072896</v>
      </c>
      <c r="F18" s="4" t="n">
        <f aca="false">(F6-E6)*Assumptions!$B$51/100</f>
        <v>-140.786618368</v>
      </c>
      <c r="G18" s="4" t="n">
        <f aca="false">(G6-F6)*Assumptions!$B$51/100</f>
        <v>-133.04335435776</v>
      </c>
      <c r="H18" s="4" t="n">
        <f aca="false">(H6-G6)*Assumptions!$B$51/100</f>
        <v>-132.188075651174</v>
      </c>
      <c r="I18" s="4" t="n">
        <f aca="false">(I6-H6)*Assumptions!$B$51/100</f>
        <v>-129.951046678616</v>
      </c>
      <c r="J18" s="4" t="n">
        <f aca="false">(J6-I6)*Assumptions!$B$51/100</f>
        <v>-114.790091232778</v>
      </c>
      <c r="K18" s="4" t="n">
        <f aca="false">(K6-J6)*Assumptions!$B$51/100</f>
        <v>-108.476636214975</v>
      </c>
      <c r="L18" s="4" t="n">
        <f aca="false">(L6-K6)*Assumptions!$B$51/100</f>
        <v>-100.762742084132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2678.084816</v>
      </c>
      <c r="D19" s="0" t="n">
        <f aca="false">D15+D16+D17+D18</f>
        <v>2743.2254976</v>
      </c>
      <c r="E19" s="0" t="n">
        <f aca="false">E15+E16+E17+E18</f>
        <v>3064.6276091904</v>
      </c>
      <c r="F19" s="0" t="n">
        <f aca="false">F15+F16+F17+F18</f>
        <v>3551.64161989683</v>
      </c>
      <c r="G19" s="0" t="n">
        <f aca="false">G15+G16+G17+G18</f>
        <v>4011.05281730656</v>
      </c>
      <c r="H19" s="0" t="n">
        <f aca="false">H15+H16+H17+H18</f>
        <v>4394.44005032062</v>
      </c>
      <c r="I19" s="0" t="n">
        <f aca="false">I15+I16+I17+I18</f>
        <v>4777.32535352263</v>
      </c>
      <c r="J19" s="0" t="n">
        <f aca="false">J15+J16+J17+J18</f>
        <v>5266.85636098792</v>
      </c>
      <c r="K19" s="0" t="n">
        <f aca="false">K15+K16+K17+K18</f>
        <v>5634.99966258056</v>
      </c>
      <c r="L19" s="0" t="n">
        <f aca="false">L15+L16+L17+L18</f>
        <v>5996.89459513712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2423.60616832579</v>
      </c>
      <c r="D21" s="0" t="n">
        <f aca="false">D19*D20</f>
        <v>2246.65792887123</v>
      </c>
      <c r="E21" s="0" t="n">
        <f aca="false">E19*E20</f>
        <v>2271.38563981167</v>
      </c>
      <c r="F21" s="0" t="n">
        <f aca="false">F19*F20</f>
        <v>2382.20989662463</v>
      </c>
      <c r="G21" s="0" t="n">
        <f aca="false">G19*G20</f>
        <v>2434.70860499484</v>
      </c>
      <c r="H21" s="0" t="n">
        <f aca="false">H19*H20</f>
        <v>2413.95892482689</v>
      </c>
      <c r="I21" s="0" t="n">
        <f aca="false">I19*I20</f>
        <v>2374.91938947492</v>
      </c>
      <c r="J21" s="0" t="n">
        <f aca="false">J19*J20</f>
        <v>2369.48110672975</v>
      </c>
      <c r="K21" s="0" t="n">
        <f aca="false">K19*K20</f>
        <v>2294.21118200402</v>
      </c>
      <c r="L21" s="0" t="n">
        <f aca="false">L19*L20</f>
        <v>2209.54899063947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23420.6878323032</v>
      </c>
    </row>
    <row r="31" customFormat="false" ht="15" hidden="false" customHeight="false" outlineLevel="0" collapsed="false">
      <c r="A31" s="0" t="s">
        <v>136</v>
      </c>
      <c r="B31" s="0" t="n">
        <f aca="false">L19</f>
        <v>5996.89459513712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88668.3700852418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95950.313522194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88668.3700852418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32669.7600758836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56090.4479081868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41972.4479081868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672.63538314402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-0.377788626559591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1557.23652173044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1784.03293701792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726.181368059859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53972.0513562341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291.14951890412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273.173825193851</v>
      </c>
      <c r="C4" s="0" t="n">
        <f aca="false">B4/Assumptions!$B$2-1</f>
        <v>-0.747304609270841</v>
      </c>
      <c r="D4" s="4" t="n">
        <f aca="false">Assumptions!$B$24</f>
        <v>0.25</v>
      </c>
      <c r="E4" s="4" t="n">
        <f aca="false">DCF_Bear!$B$43</f>
        <v>310.699454902617</v>
      </c>
      <c r="F4" s="4" t="n">
        <f aca="false">DCF_Bear!$B$47</f>
        <v>112.656589052906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464.09606019051</v>
      </c>
      <c r="C5" s="0" t="n">
        <f aca="false">B5/Assumptions!$B$2-1</f>
        <v>-0.570694830727346</v>
      </c>
      <c r="D5" s="4" t="n">
        <f aca="false">Assumptions!$B$38</f>
        <v>0.5</v>
      </c>
      <c r="E5" s="4" t="n">
        <f aca="false">DCF_Base!$B$43</f>
        <v>512.123931225498</v>
      </c>
      <c r="F5" s="4" t="n">
        <f aca="false">DCF_Base!$B$47</f>
        <v>193.973892310647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672.63538314402</v>
      </c>
      <c r="C6" s="0" t="n">
        <f aca="false">B6/Assumptions!$B$2-1</f>
        <v>-0.377788626559591</v>
      </c>
      <c r="D6" s="4" t="n">
        <f aca="false">Assumptions!$B$52</f>
        <v>0.25</v>
      </c>
      <c r="E6" s="4" t="n">
        <f aca="false">DCF_Bull!$B$43</f>
        <v>726.181368059859</v>
      </c>
      <c r="F6" s="4" t="n">
        <f aca="false">DCF_Bull!$B$47</f>
        <v>291.14951890412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468.500332179723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515.282171353368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-1.30744767025117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1309.35354111805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197.93847314458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549.388418816362</v>
      </c>
      <c r="C15" s="3" t="n">
        <v>9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496.077820881812</v>
      </c>
      <c r="C16" s="3" t="n">
        <v>10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464.09606019051</v>
      </c>
      <c r="C17" s="3" t="n">
        <v>10.5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418.794392983528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343.495605450501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193.973892310647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577.9390947115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577.9390947115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577.9390947115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577.9390947115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577.9390947115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510.468948973364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522.123191989735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522.123191989735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522.123191989735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522.123191989735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417.982932596213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439.598461156039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464.09606019051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471.19038751271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471.19038751271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345.325568861088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361.177980949097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378.89538269452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398.82745965812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421.417146883534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286.804732204235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298.716419216477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311.881968019481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326.510355578375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342.859729908903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2026-10-02T21:24:26Z</dcterms:created>
  <dc:creator>openpyxl</dc:creator>
  <dc:description/>
  <dc:language>en-NZ</dc:language>
  <cp:lastModifiedBy/>
  <dcterms:modified xsi:type="dcterms:W3CDTF">2026-10-02T21:24:26Z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