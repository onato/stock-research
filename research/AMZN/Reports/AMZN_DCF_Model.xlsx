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se Case" sheetId="2" state="visible" r:id="rId2"/>
    <sheet xmlns:r="http://schemas.openxmlformats.org/officeDocument/2006/relationships" name="Bull Case" sheetId="3" state="visible" r:id="rId3"/>
    <sheet xmlns:r="http://schemas.openxmlformats.org/officeDocument/2006/relationships" name="Bear Case" sheetId="4" state="visible" r:id="rId4"/>
    <sheet xmlns:r="http://schemas.openxmlformats.org/officeDocument/2006/relationships" name="Sensitivity" sheetId="5" state="visible" r:id="rId5"/>
    <sheet xmlns:r="http://schemas.openxmlformats.org/officeDocument/2006/relationships" name="Historical" sheetId="6" state="visible" r:id="rId6"/>
  </sheets>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000"/>
    <numFmt numFmtId="167" formatCode="0.0&quot;x&quot;"/>
  </numFmts>
  <fonts count="6">
    <font>
      <name val="Calibri"/>
      <family val="2"/>
      <color theme="1"/>
      <sz val="11"/>
      <scheme val="minor"/>
    </font>
    <font>
      <b val="1"/>
      <sz val="16"/>
    </font>
    <font>
      <i val="1"/>
      <color rgb="00808080"/>
    </font>
    <font>
      <b val="1"/>
      <sz val="12"/>
    </font>
    <font>
      <b val="1"/>
      <color rgb="00FFFFFF"/>
    </font>
    <font>
      <b val="1"/>
    </font>
  </fonts>
  <fills count="5">
    <fill>
      <patternFill/>
    </fill>
    <fill>
      <patternFill patternType="gray125"/>
    </fill>
    <fill>
      <patternFill patternType="solid">
        <fgColor rgb="00dfe6e9"/>
        <bgColor rgb="00dfe6e9"/>
      </patternFill>
    </fill>
    <fill>
      <patternFill patternType="solid">
        <fgColor rgb="002d3436"/>
        <bgColor rgb="002d3436"/>
      </patternFill>
    </fill>
    <fill>
      <patternFill patternType="solid">
        <fgColor rgb="0000b894"/>
        <bgColor rgb="0000b894"/>
      </patternFill>
    </fill>
  </fills>
  <borders count="2">
    <border>
      <left/>
      <right/>
      <top/>
      <bottom/>
      <diagonal/>
    </border>
    <border>
      <left style="thin">
        <color rgb="00B2BEC3"/>
      </left>
      <right style="thin">
        <color rgb="00B2BEC3"/>
      </right>
      <top style="thin">
        <color rgb="00B2BEC3"/>
      </top>
      <bottom style="thin">
        <color rgb="00B2BEC3"/>
      </bottom>
    </border>
  </borders>
  <cellStyleXfs count="1">
    <xf numFmtId="0" fontId="0" fillId="0" borderId="0"/>
  </cellStyleXfs>
  <cellXfs count="20">
    <xf numFmtId="0" fontId="0" fillId="0" borderId="0" pivotButton="0" quotePrefix="0" xfId="0"/>
    <xf numFmtId="0" fontId="1" fillId="0" borderId="0" pivotButton="0" quotePrefix="0" xfId="0"/>
    <xf numFmtId="0" fontId="5" fillId="0" borderId="0" pivotButton="0" quotePrefix="0" xfId="0"/>
    <xf numFmtId="164" fontId="0" fillId="0" borderId="0" pivotButton="0" quotePrefix="0" xfId="0"/>
    <xf numFmtId="0" fontId="2" fillId="0" borderId="0" pivotButton="0" quotePrefix="0" xfId="0"/>
    <xf numFmtId="0" fontId="4" fillId="3" borderId="1" applyAlignment="1" pivotButton="0" quotePrefix="0" xfId="0">
      <alignment horizontal="center"/>
    </xf>
    <xf numFmtId="164" fontId="0" fillId="0" borderId="1" pivotButton="0" quotePrefix="0" xfId="0"/>
    <xf numFmtId="165" fontId="0" fillId="0" borderId="1" pivotButton="0" quotePrefix="0" xfId="0"/>
    <xf numFmtId="0" fontId="3" fillId="0" borderId="0" pivotButton="0" quotePrefix="0" xfId="0"/>
    <xf numFmtId="165" fontId="0" fillId="2" borderId="1" pivotButton="0" quotePrefix="0" xfId="0"/>
    <xf numFmtId="164" fontId="4" fillId="4" borderId="1" pivotButton="0" quotePrefix="0" xfId="0"/>
    <xf numFmtId="164" fontId="0" fillId="2" borderId="1" pivotButton="0" quotePrefix="0" xfId="0"/>
    <xf numFmtId="3" fontId="0" fillId="2" borderId="1" pivotButton="0" quotePrefix="0" xfId="0"/>
    <xf numFmtId="3" fontId="0" fillId="0" borderId="1" pivotButton="0" quotePrefix="0" xfId="0"/>
    <xf numFmtId="166" fontId="0" fillId="0" borderId="1" pivotButton="0" quotePrefix="0" xfId="0"/>
    <xf numFmtId="167" fontId="0" fillId="0" borderId="1" pivotButton="0" quotePrefix="0" xfId="0"/>
    <xf numFmtId="165" fontId="4" fillId="3" borderId="1" applyAlignment="1" pivotButton="0" quotePrefix="0" xfId="0">
      <alignment horizontal="center"/>
    </xf>
    <xf numFmtId="0" fontId="0" fillId="0" borderId="1"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 t="inlineStr">
        <is>
          <t>AMZN DCF Summary — Amazon.com, Inc.</t>
        </is>
      </c>
      <c r="F1" s="2" t="inlineStr">
        <is>
          <t>Current Price:</t>
        </is>
      </c>
      <c r="G1" s="3" t="n">
        <v>232.11</v>
      </c>
    </row>
    <row r="2">
      <c r="A2" s="4" t="inlineStr">
        <is>
          <t>Valuation date: 2026-07-26  |  Current price: $232.11</t>
        </is>
      </c>
    </row>
    <row r="4">
      <c r="A4" s="5" t="inlineStr">
        <is>
          <t>Scenario</t>
        </is>
      </c>
      <c r="B4" s="5" t="inlineStr">
        <is>
          <t>Intrinsic Value</t>
        </is>
      </c>
      <c r="C4" s="5" t="inlineStr">
        <is>
          <t>Upside vs Current</t>
        </is>
      </c>
      <c r="D4" s="5" t="inlineStr">
        <is>
          <t>Entry Price (15% IRR)</t>
        </is>
      </c>
      <c r="E4" s="5" t="inlineStr">
        <is>
          <t>Entry Discount</t>
        </is>
      </c>
    </row>
    <row r="5">
      <c r="A5" t="inlineStr">
        <is>
          <t>Base Case</t>
        </is>
      </c>
      <c r="B5" s="6">
        <f>'Base Case'!B36</f>
        <v/>
      </c>
      <c r="C5" s="7">
        <f>'Base Case'!B46</f>
        <v/>
      </c>
      <c r="D5" s="6">
        <f>'Base Case'!B44</f>
        <v/>
      </c>
      <c r="E5" s="7">
        <f>'Base Case'!B47</f>
        <v/>
      </c>
    </row>
    <row r="6">
      <c r="A6" t="inlineStr">
        <is>
          <t>Bull Case</t>
        </is>
      </c>
      <c r="B6" s="6">
        <f>'Bull Case'!B36</f>
        <v/>
      </c>
      <c r="C6" s="7">
        <f>'Bull Case'!B46</f>
        <v/>
      </c>
      <c r="D6" s="6">
        <f>'Bull Case'!B44</f>
        <v/>
      </c>
      <c r="E6" s="7">
        <f>'Bull Case'!B47</f>
        <v/>
      </c>
    </row>
    <row r="7">
      <c r="A7" t="inlineStr">
        <is>
          <t>Bear Case</t>
        </is>
      </c>
      <c r="B7" s="6">
        <f>'Bear Case'!B36</f>
        <v/>
      </c>
      <c r="C7" s="7">
        <f>'Bear Case'!B46</f>
        <v/>
      </c>
      <c r="D7" s="6">
        <f>'Bear Case'!B44</f>
        <v/>
      </c>
      <c r="E7" s="7">
        <f>'Bear Case'!B47</f>
        <v/>
      </c>
    </row>
    <row r="9">
      <c r="A9" s="8" t="inlineStr">
        <is>
          <t>Probability Weights</t>
        </is>
      </c>
    </row>
    <row r="10">
      <c r="A10" t="inlineStr">
        <is>
          <t>Bull weight</t>
        </is>
      </c>
      <c r="B10" s="9" t="n">
        <v>0.25</v>
      </c>
    </row>
    <row r="11">
      <c r="A11" t="inlineStr">
        <is>
          <t>Base weight</t>
        </is>
      </c>
      <c r="B11" s="9" t="n">
        <v>0.5</v>
      </c>
    </row>
    <row r="12">
      <c r="A12" t="inlineStr">
        <is>
          <t>Bear weight</t>
        </is>
      </c>
      <c r="B12" s="9" t="n">
        <v>0.25</v>
      </c>
    </row>
    <row r="13">
      <c r="A13" s="2" t="inlineStr">
        <is>
          <t>Probability-Weighted IV</t>
        </is>
      </c>
      <c r="B13" s="10">
        <f>B5*B11+B6*B10+B7*B12</f>
        <v/>
      </c>
    </row>
    <row r="14">
      <c r="A14" t="inlineStr">
        <is>
          <t>Upside vs Current (Weighted)</t>
        </is>
      </c>
      <c r="B14" s="7">
        <f>(B13-G1)/G1</f>
        <v/>
      </c>
    </row>
    <row r="16">
      <c r="A16" s="8" t="inlineStr">
        <is>
          <t>Key Modeling Notes</t>
        </is>
      </c>
    </row>
    <row r="17">
      <c r="A17" t="inlineStr">
        <is>
          <t>- FY2025 FCF ($11.2B) is a capex-cycle trough (guided ~$200B FY2026 capex for AI/data centers) - NOT used as DCF base directly.</t>
        </is>
      </c>
    </row>
    <row r="18">
      <c r="A18" t="inlineStr">
        <is>
          <t>- Model projects Revenue x FCF-margin path instead: margin starts depressed (2.5%-4.5% Y1) and normalizes toward 8.5%-12% of revenue by Y5.</t>
        </is>
      </c>
    </row>
    <row r="19">
      <c r="A19" t="inlineStr">
        <is>
          <t>- Revenue growth (11.7% 3yr / 13.2% 5yr CAGR) used as growth driver, NOT equity CAGR (41.2%/34.5%, inflated by 100% retention + non-cash equity-stake gains).</t>
        </is>
      </c>
    </row>
    <row r="20">
      <c r="A20" t="inlineStr">
        <is>
          <t>- Net debt = -$24,015M (NET CASH), using cash + marketable securities ($143.1B) less total debt ($119,074M) per Q1-2026 10-Q.</t>
        </is>
      </c>
    </row>
    <row r="21">
      <c r="A21" t="inlineStr">
        <is>
          <t>- Entry price = PV of Yrs 1-5 FCF @15% + PV of Terminal Value (Gordon, at WACC) @15% - net debt, all divided by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AMZN DCF Valuation Model — Base Case</t>
        </is>
      </c>
    </row>
    <row r="2">
      <c r="A2" s="4" t="inlineStr">
        <is>
          <t>Gray cells are INPUTS - adjust to see valuation change</t>
        </is>
      </c>
    </row>
    <row r="4">
      <c r="A4" s="8" t="inlineStr">
        <is>
          <t>KEY INPUTS</t>
        </is>
      </c>
    </row>
    <row r="5">
      <c r="A5" t="inlineStr">
        <is>
          <t>Current Stock Price</t>
        </is>
      </c>
      <c r="B5" s="11" t="n">
        <v>232.11</v>
      </c>
    </row>
    <row r="6">
      <c r="A6" t="inlineStr">
        <is>
          <t>Shares Outstanding (M)</t>
        </is>
      </c>
      <c r="B6" s="12" t="n">
        <v>10754</v>
      </c>
    </row>
    <row r="7">
      <c r="A7" t="inlineStr">
        <is>
          <t>Cash &amp; Equivalents (M)</t>
        </is>
      </c>
      <c r="B7" s="12" t="n">
        <v>101816</v>
      </c>
    </row>
    <row r="8">
      <c r="A8" t="inlineStr">
        <is>
          <t>Marketable Securities (M)</t>
        </is>
      </c>
      <c r="B8" s="12" t="n">
        <v>41273</v>
      </c>
    </row>
    <row r="9">
      <c r="A9" t="inlineStr">
        <is>
          <t>Total Debt (M)</t>
        </is>
      </c>
      <c r="B9" s="12" t="n">
        <v>119074</v>
      </c>
    </row>
    <row r="10">
      <c r="A10" t="inlineStr">
        <is>
          <t>Net Debt (M) [Debt - Cash - MktSec]</t>
        </is>
      </c>
      <c r="B10" s="13">
        <f>B9-B7-B8</f>
        <v/>
      </c>
    </row>
    <row r="11">
      <c r="A11" t="inlineStr">
        <is>
          <t>Base Year Revenue (M, FY2025)</t>
        </is>
      </c>
      <c r="B11" s="12" t="n">
        <v>716924</v>
      </c>
    </row>
    <row r="13">
      <c r="A13" t="inlineStr">
        <is>
          <t>WACC</t>
        </is>
      </c>
      <c r="B13" s="9" t="n">
        <v>0.095</v>
      </c>
    </row>
    <row r="14">
      <c r="A14" t="inlineStr">
        <is>
          <t>Terminal Growth Rate</t>
        </is>
      </c>
      <c r="B14" s="9" t="n">
        <v>0.0275</v>
      </c>
    </row>
    <row r="16">
      <c r="A16" s="8" t="inlineStr">
        <is>
          <t>GROWTH &amp; MARGIN ASSUMPTIONS</t>
        </is>
      </c>
    </row>
    <row r="17">
      <c r="B17" s="5" t="inlineStr">
        <is>
          <t>Year 1</t>
        </is>
      </c>
      <c r="C17" s="5" t="inlineStr">
        <is>
          <t>Year 2</t>
        </is>
      </c>
      <c r="D17" s="5" t="inlineStr">
        <is>
          <t>Year 3</t>
        </is>
      </c>
      <c r="E17" s="5" t="inlineStr">
        <is>
          <t>Year 4</t>
        </is>
      </c>
      <c r="F17" s="5" t="inlineStr">
        <is>
          <t>Year 5</t>
        </is>
      </c>
    </row>
    <row r="18">
      <c r="A18" t="inlineStr">
        <is>
          <t>Revenue Growth Rate</t>
        </is>
      </c>
      <c r="B18" s="9" t="n">
        <v>0.105</v>
      </c>
      <c r="C18" s="9" t="n">
        <v>0.1</v>
      </c>
      <c r="D18" s="9" t="n">
        <v>0.095</v>
      </c>
      <c r="E18" s="9" t="n">
        <v>0.09</v>
      </c>
      <c r="F18" s="9" t="n">
        <v>0.08500000000000001</v>
      </c>
    </row>
    <row r="19">
      <c r="A19" t="inlineStr">
        <is>
          <t>FCF Margin (% of Revenue)</t>
        </is>
      </c>
      <c r="B19" s="9" t="n">
        <v>0.025</v>
      </c>
      <c r="C19" s="9" t="n">
        <v>0.045</v>
      </c>
      <c r="D19" s="9" t="n">
        <v>0.06</v>
      </c>
      <c r="E19" s="9" t="n">
        <v>0.075</v>
      </c>
      <c r="F19" s="9" t="n">
        <v>0.08500000000000001</v>
      </c>
    </row>
    <row r="21">
      <c r="A21" s="8" t="inlineStr">
        <is>
          <t>PROJECTIONS</t>
        </is>
      </c>
    </row>
    <row r="22">
      <c r="A22" t="inlineStr"/>
      <c r="B22" s="5" t="inlineStr">
        <is>
          <t>Base</t>
        </is>
      </c>
      <c r="C22" s="5" t="inlineStr">
        <is>
          <t>Year 1</t>
        </is>
      </c>
      <c r="D22" s="5" t="inlineStr">
        <is>
          <t>Year 2</t>
        </is>
      </c>
      <c r="E22" s="5" t="inlineStr">
        <is>
          <t>Year 3</t>
        </is>
      </c>
      <c r="F22" s="5" t="inlineStr">
        <is>
          <t>Year 4</t>
        </is>
      </c>
      <c r="G22" s="5" t="inlineStr">
        <is>
          <t>Year 5</t>
        </is>
      </c>
    </row>
    <row r="23">
      <c r="A23" t="inlineStr">
        <is>
          <t>Revenue</t>
        </is>
      </c>
      <c r="B23" s="13">
        <f>B11</f>
        <v/>
      </c>
      <c r="C23" s="13">
        <f>B23*(1+B18)</f>
        <v/>
      </c>
      <c r="D23" s="13">
        <f>C23*(1+C18)</f>
        <v/>
      </c>
      <c r="E23" s="13">
        <f>D23*(1+D18)</f>
        <v/>
      </c>
      <c r="F23" s="13">
        <f>E23*(1+E18)</f>
        <v/>
      </c>
      <c r="G23" s="13">
        <f>F23*(1+F18)</f>
        <v/>
      </c>
    </row>
    <row r="24">
      <c r="A24" t="inlineStr">
        <is>
          <t>Free Cash Flow</t>
        </is>
      </c>
      <c r="C24" s="13">
        <f>C23*B19</f>
        <v/>
      </c>
      <c r="D24" s="13">
        <f>D23*C19</f>
        <v/>
      </c>
      <c r="E24" s="13">
        <f>E23*D19</f>
        <v/>
      </c>
      <c r="F24" s="13">
        <f>F23*E19</f>
        <v/>
      </c>
      <c r="G24" s="13">
        <f>G23*F19</f>
        <v/>
      </c>
    </row>
    <row r="25">
      <c r="A25" t="inlineStr">
        <is>
          <t>Discount Factor</t>
        </is>
      </c>
      <c r="C25" s="14">
        <f>1/(1+$B$13)^1</f>
        <v/>
      </c>
      <c r="D25" s="14">
        <f>1/(1+$B$13)^2</f>
        <v/>
      </c>
      <c r="E25" s="14">
        <f>1/(1+$B$13)^3</f>
        <v/>
      </c>
      <c r="F25" s="14">
        <f>1/(1+$B$13)^4</f>
        <v/>
      </c>
      <c r="G25" s="14">
        <f>1/(1+$B$13)^5</f>
        <v/>
      </c>
    </row>
    <row r="26">
      <c r="A26" t="inlineStr">
        <is>
          <t>PV of FCF</t>
        </is>
      </c>
      <c r="C26" s="13">
        <f>C24*C25</f>
        <v/>
      </c>
      <c r="D26" s="13">
        <f>D24*D25</f>
        <v/>
      </c>
      <c r="E26" s="13">
        <f>E24*E25</f>
        <v/>
      </c>
      <c r="F26" s="13">
        <f>F24*F25</f>
        <v/>
      </c>
      <c r="G26" s="13">
        <f>G24*G25</f>
        <v/>
      </c>
    </row>
    <row r="28">
      <c r="A28" s="8" t="inlineStr">
        <is>
          <t>VALUATION</t>
        </is>
      </c>
    </row>
    <row r="29">
      <c r="A29" t="inlineStr">
        <is>
          <t>Sum of PV of FCF</t>
        </is>
      </c>
      <c r="B29" s="13">
        <f>SUM(C26:G26)</f>
        <v/>
      </c>
    </row>
    <row r="30">
      <c r="A30" t="inlineStr">
        <is>
          <t>Terminal FCF (Year 5 x (1+g))</t>
        </is>
      </c>
      <c r="B30" s="13">
        <f>G24*(1+$B$14)</f>
        <v/>
      </c>
    </row>
    <row r="31">
      <c r="A31" t="inlineStr">
        <is>
          <t>Terminal Value</t>
        </is>
      </c>
      <c r="B31" s="13">
        <f>B30/($B$13-$B$14)</f>
        <v/>
      </c>
    </row>
    <row r="32">
      <c r="A32" t="inlineStr">
        <is>
          <t>PV of Terminal Value</t>
        </is>
      </c>
      <c r="B32" s="13">
        <f>B31*G25</f>
        <v/>
      </c>
    </row>
    <row r="33">
      <c r="A33" t="inlineStr">
        <is>
          <t>Enterprise Value</t>
        </is>
      </c>
      <c r="B33" s="13">
        <f>B29+B32</f>
        <v/>
      </c>
    </row>
    <row r="34">
      <c r="A34" t="inlineStr">
        <is>
          <t>Less: Net Debt</t>
        </is>
      </c>
      <c r="B34" s="13">
        <f>B10</f>
        <v/>
      </c>
    </row>
    <row r="35">
      <c r="A35" t="inlineStr">
        <is>
          <t>Equity Value</t>
        </is>
      </c>
      <c r="B35" s="13">
        <f>B33-B34</f>
        <v/>
      </c>
    </row>
    <row r="36">
      <c r="A36" s="2" t="inlineStr">
        <is>
          <t>INTRINSIC VALUE/SHARE</t>
        </is>
      </c>
      <c r="B36" s="10">
        <f>B35/B6</f>
        <v/>
      </c>
    </row>
    <row r="37">
      <c r="A37" t="inlineStr">
        <is>
          <t>Terminal % of Enterprise Value</t>
        </is>
      </c>
      <c r="B37" s="7">
        <f>B32/B33</f>
        <v/>
      </c>
    </row>
    <row r="38">
      <c r="A38" t="inlineStr">
        <is>
          <t>Implied Exit Multiple (TV/FCF_Y5)</t>
        </is>
      </c>
      <c r="B38" s="15">
        <f>B31/G24</f>
        <v/>
      </c>
    </row>
    <row r="40">
      <c r="A40" s="8" t="inlineStr">
        <is>
          <t>ENTRY PRICE (15% IRR Target)</t>
        </is>
      </c>
    </row>
    <row r="41">
      <c r="A41" t="inlineStr">
        <is>
          <t>PV of Yrs 1-5 FCF @15%</t>
        </is>
      </c>
      <c r="B41" s="13">
        <f>NPV(0.15,C24:G24)</f>
        <v/>
      </c>
    </row>
    <row r="42">
      <c r="A42" t="inlineStr">
        <is>
          <t>PV of Terminal Value @15%</t>
        </is>
      </c>
      <c r="B42" s="13">
        <f>B31/(1.15^5)</f>
        <v/>
      </c>
    </row>
    <row r="43">
      <c r="A43" t="inlineStr">
        <is>
          <t>Less: Net Debt</t>
        </is>
      </c>
      <c r="B43" s="13">
        <f>B10</f>
        <v/>
      </c>
    </row>
    <row r="44">
      <c r="A44" t="inlineStr">
        <is>
          <t>Entry Price (15% IRR)</t>
        </is>
      </c>
      <c r="B44" s="10">
        <f>(B41+B42-B43)/B6</f>
        <v/>
      </c>
    </row>
    <row r="46">
      <c r="A46" t="inlineStr">
        <is>
          <t>Upside to Intrinsic Value</t>
        </is>
      </c>
      <c r="B46" s="7">
        <f>(B36-B5)/B5</f>
        <v/>
      </c>
    </row>
    <row r="47">
      <c r="A47" t="inlineStr">
        <is>
          <t>Discount of Entry Price vs Current</t>
        </is>
      </c>
      <c r="B47" s="7">
        <f>(B5-B44)/B5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AMZN DCF Valuation Model — Bull Case</t>
        </is>
      </c>
    </row>
    <row r="2">
      <c r="A2" s="4" t="inlineStr">
        <is>
          <t>Gray cells are INPUTS - adjust to see valuation change</t>
        </is>
      </c>
    </row>
    <row r="4">
      <c r="A4" s="8" t="inlineStr">
        <is>
          <t>KEY INPUTS</t>
        </is>
      </c>
    </row>
    <row r="5">
      <c r="A5" t="inlineStr">
        <is>
          <t>Current Stock Price</t>
        </is>
      </c>
      <c r="B5" s="11" t="n">
        <v>232.11</v>
      </c>
    </row>
    <row r="6">
      <c r="A6" t="inlineStr">
        <is>
          <t>Shares Outstanding (M)</t>
        </is>
      </c>
      <c r="B6" s="12" t="n">
        <v>10754</v>
      </c>
    </row>
    <row r="7">
      <c r="A7" t="inlineStr">
        <is>
          <t>Cash &amp; Equivalents (M)</t>
        </is>
      </c>
      <c r="B7" s="12" t="n">
        <v>101816</v>
      </c>
    </row>
    <row r="8">
      <c r="A8" t="inlineStr">
        <is>
          <t>Marketable Securities (M)</t>
        </is>
      </c>
      <c r="B8" s="12" t="n">
        <v>41273</v>
      </c>
    </row>
    <row r="9">
      <c r="A9" t="inlineStr">
        <is>
          <t>Total Debt (M)</t>
        </is>
      </c>
      <c r="B9" s="12" t="n">
        <v>119074</v>
      </c>
    </row>
    <row r="10">
      <c r="A10" t="inlineStr">
        <is>
          <t>Net Debt (M) [Debt - Cash - MktSec]</t>
        </is>
      </c>
      <c r="B10" s="13">
        <f>B9-B7-B8</f>
        <v/>
      </c>
    </row>
    <row r="11">
      <c r="A11" t="inlineStr">
        <is>
          <t>Base Year Revenue (M, FY2025)</t>
        </is>
      </c>
      <c r="B11" s="12" t="n">
        <v>716924</v>
      </c>
    </row>
    <row r="13">
      <c r="A13" t="inlineStr">
        <is>
          <t>WACC</t>
        </is>
      </c>
      <c r="B13" s="9" t="n">
        <v>0.08749999999999999</v>
      </c>
    </row>
    <row r="14">
      <c r="A14" t="inlineStr">
        <is>
          <t>Terminal Growth Rate</t>
        </is>
      </c>
      <c r="B14" s="9" t="n">
        <v>0.0325</v>
      </c>
    </row>
    <row r="16">
      <c r="A16" s="8" t="inlineStr">
        <is>
          <t>GROWTH &amp; MARGIN ASSUMPTIONS</t>
        </is>
      </c>
    </row>
    <row r="17">
      <c r="B17" s="5" t="inlineStr">
        <is>
          <t>Year 1</t>
        </is>
      </c>
      <c r="C17" s="5" t="inlineStr">
        <is>
          <t>Year 2</t>
        </is>
      </c>
      <c r="D17" s="5" t="inlineStr">
        <is>
          <t>Year 3</t>
        </is>
      </c>
      <c r="E17" s="5" t="inlineStr">
        <is>
          <t>Year 4</t>
        </is>
      </c>
      <c r="F17" s="5" t="inlineStr">
        <is>
          <t>Year 5</t>
        </is>
      </c>
    </row>
    <row r="18">
      <c r="A18" t="inlineStr">
        <is>
          <t>Revenue Growth Rate</t>
        </is>
      </c>
      <c r="B18" s="9" t="n">
        <v>0.15</v>
      </c>
      <c r="C18" s="9" t="n">
        <v>0.145</v>
      </c>
      <c r="D18" s="9" t="n">
        <v>0.135</v>
      </c>
      <c r="E18" s="9" t="n">
        <v>0.125</v>
      </c>
      <c r="F18" s="9" t="n">
        <v>0.115</v>
      </c>
    </row>
    <row r="19">
      <c r="A19" t="inlineStr">
        <is>
          <t>FCF Margin (% of Revenue)</t>
        </is>
      </c>
      <c r="B19" s="9" t="n">
        <v>0.045</v>
      </c>
      <c r="C19" s="9" t="n">
        <v>0.07000000000000001</v>
      </c>
      <c r="D19" s="9" t="n">
        <v>0.09</v>
      </c>
      <c r="E19" s="9" t="n">
        <v>0.105</v>
      </c>
      <c r="F19" s="9" t="n">
        <v>0.12</v>
      </c>
    </row>
    <row r="21">
      <c r="A21" s="8" t="inlineStr">
        <is>
          <t>PROJECTIONS</t>
        </is>
      </c>
    </row>
    <row r="22">
      <c r="A22" t="inlineStr"/>
      <c r="B22" s="5" t="inlineStr">
        <is>
          <t>Base</t>
        </is>
      </c>
      <c r="C22" s="5" t="inlineStr">
        <is>
          <t>Year 1</t>
        </is>
      </c>
      <c r="D22" s="5" t="inlineStr">
        <is>
          <t>Year 2</t>
        </is>
      </c>
      <c r="E22" s="5" t="inlineStr">
        <is>
          <t>Year 3</t>
        </is>
      </c>
      <c r="F22" s="5" t="inlineStr">
        <is>
          <t>Year 4</t>
        </is>
      </c>
      <c r="G22" s="5" t="inlineStr">
        <is>
          <t>Year 5</t>
        </is>
      </c>
    </row>
    <row r="23">
      <c r="A23" t="inlineStr">
        <is>
          <t>Revenue</t>
        </is>
      </c>
      <c r="B23" s="13">
        <f>B11</f>
        <v/>
      </c>
      <c r="C23" s="13">
        <f>B23*(1+B18)</f>
        <v/>
      </c>
      <c r="D23" s="13">
        <f>C23*(1+C18)</f>
        <v/>
      </c>
      <c r="E23" s="13">
        <f>D23*(1+D18)</f>
        <v/>
      </c>
      <c r="F23" s="13">
        <f>E23*(1+E18)</f>
        <v/>
      </c>
      <c r="G23" s="13">
        <f>F23*(1+F18)</f>
        <v/>
      </c>
    </row>
    <row r="24">
      <c r="A24" t="inlineStr">
        <is>
          <t>Free Cash Flow</t>
        </is>
      </c>
      <c r="C24" s="13">
        <f>C23*B19</f>
        <v/>
      </c>
      <c r="D24" s="13">
        <f>D23*C19</f>
        <v/>
      </c>
      <c r="E24" s="13">
        <f>E23*D19</f>
        <v/>
      </c>
      <c r="F24" s="13">
        <f>F23*E19</f>
        <v/>
      </c>
      <c r="G24" s="13">
        <f>G23*F19</f>
        <v/>
      </c>
    </row>
    <row r="25">
      <c r="A25" t="inlineStr">
        <is>
          <t>Discount Factor</t>
        </is>
      </c>
      <c r="C25" s="14">
        <f>1/(1+$B$13)^1</f>
        <v/>
      </c>
      <c r="D25" s="14">
        <f>1/(1+$B$13)^2</f>
        <v/>
      </c>
      <c r="E25" s="14">
        <f>1/(1+$B$13)^3</f>
        <v/>
      </c>
      <c r="F25" s="14">
        <f>1/(1+$B$13)^4</f>
        <v/>
      </c>
      <c r="G25" s="14">
        <f>1/(1+$B$13)^5</f>
        <v/>
      </c>
    </row>
    <row r="26">
      <c r="A26" t="inlineStr">
        <is>
          <t>PV of FCF</t>
        </is>
      </c>
      <c r="C26" s="13">
        <f>C24*C25</f>
        <v/>
      </c>
      <c r="D26" s="13">
        <f>D24*D25</f>
        <v/>
      </c>
      <c r="E26" s="13">
        <f>E24*E25</f>
        <v/>
      </c>
      <c r="F26" s="13">
        <f>F24*F25</f>
        <v/>
      </c>
      <c r="G26" s="13">
        <f>G24*G25</f>
        <v/>
      </c>
    </row>
    <row r="28">
      <c r="A28" s="8" t="inlineStr">
        <is>
          <t>VALUATION</t>
        </is>
      </c>
    </row>
    <row r="29">
      <c r="A29" t="inlineStr">
        <is>
          <t>Sum of PV of FCF</t>
        </is>
      </c>
      <c r="B29" s="13">
        <f>SUM(C26:G26)</f>
        <v/>
      </c>
    </row>
    <row r="30">
      <c r="A30" t="inlineStr">
        <is>
          <t>Terminal FCF (Year 5 x (1+g))</t>
        </is>
      </c>
      <c r="B30" s="13">
        <f>G24*(1+$B$14)</f>
        <v/>
      </c>
    </row>
    <row r="31">
      <c r="A31" t="inlineStr">
        <is>
          <t>Terminal Value</t>
        </is>
      </c>
      <c r="B31" s="13">
        <f>B30/($B$13-$B$14)</f>
        <v/>
      </c>
    </row>
    <row r="32">
      <c r="A32" t="inlineStr">
        <is>
          <t>PV of Terminal Value</t>
        </is>
      </c>
      <c r="B32" s="13">
        <f>B31*G25</f>
        <v/>
      </c>
    </row>
    <row r="33">
      <c r="A33" t="inlineStr">
        <is>
          <t>Enterprise Value</t>
        </is>
      </c>
      <c r="B33" s="13">
        <f>B29+B32</f>
        <v/>
      </c>
    </row>
    <row r="34">
      <c r="A34" t="inlineStr">
        <is>
          <t>Less: Net Debt</t>
        </is>
      </c>
      <c r="B34" s="13">
        <f>B10</f>
        <v/>
      </c>
    </row>
    <row r="35">
      <c r="A35" t="inlineStr">
        <is>
          <t>Equity Value</t>
        </is>
      </c>
      <c r="B35" s="13">
        <f>B33-B34</f>
        <v/>
      </c>
    </row>
    <row r="36">
      <c r="A36" s="2" t="inlineStr">
        <is>
          <t>INTRINSIC VALUE/SHARE</t>
        </is>
      </c>
      <c r="B36" s="10">
        <f>B35/B6</f>
        <v/>
      </c>
    </row>
    <row r="37">
      <c r="A37" t="inlineStr">
        <is>
          <t>Terminal % of Enterprise Value</t>
        </is>
      </c>
      <c r="B37" s="7">
        <f>B32/B33</f>
        <v/>
      </c>
    </row>
    <row r="38">
      <c r="A38" t="inlineStr">
        <is>
          <t>Implied Exit Multiple (TV/FCF_Y5)</t>
        </is>
      </c>
      <c r="B38" s="15">
        <f>B31/G24</f>
        <v/>
      </c>
    </row>
    <row r="40">
      <c r="A40" s="8" t="inlineStr">
        <is>
          <t>ENTRY PRICE (15% IRR Target)</t>
        </is>
      </c>
    </row>
    <row r="41">
      <c r="A41" t="inlineStr">
        <is>
          <t>PV of Yrs 1-5 FCF @15%</t>
        </is>
      </c>
      <c r="B41" s="13">
        <f>NPV(0.15,C24:G24)</f>
        <v/>
      </c>
    </row>
    <row r="42">
      <c r="A42" t="inlineStr">
        <is>
          <t>PV of Terminal Value @15%</t>
        </is>
      </c>
      <c r="B42" s="13">
        <f>B31/(1.15^5)</f>
        <v/>
      </c>
    </row>
    <row r="43">
      <c r="A43" t="inlineStr">
        <is>
          <t>Less: Net Debt</t>
        </is>
      </c>
      <c r="B43" s="13">
        <f>B10</f>
        <v/>
      </c>
    </row>
    <row r="44">
      <c r="A44" t="inlineStr">
        <is>
          <t>Entry Price (15% IRR)</t>
        </is>
      </c>
      <c r="B44" s="10">
        <f>(B41+B42-B43)/B6</f>
        <v/>
      </c>
    </row>
    <row r="46">
      <c r="A46" t="inlineStr">
        <is>
          <t>Upside to Intrinsic Value</t>
        </is>
      </c>
      <c r="B46" s="7">
        <f>(B36-B5)/B5</f>
        <v/>
      </c>
    </row>
    <row r="47">
      <c r="A47" t="inlineStr">
        <is>
          <t>Discount of Entry Price vs Current</t>
        </is>
      </c>
      <c r="B47" s="7">
        <f>(B5-B44)/B5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AMZN DCF Valuation Model — Bear Case</t>
        </is>
      </c>
    </row>
    <row r="2">
      <c r="A2" s="4" t="inlineStr">
        <is>
          <t>Gray cells are INPUTS - adjust to see valuation change</t>
        </is>
      </c>
    </row>
    <row r="4">
      <c r="A4" s="8" t="inlineStr">
        <is>
          <t>KEY INPUTS</t>
        </is>
      </c>
    </row>
    <row r="5">
      <c r="A5" t="inlineStr">
        <is>
          <t>Current Stock Price</t>
        </is>
      </c>
      <c r="B5" s="11" t="n">
        <v>232.11</v>
      </c>
    </row>
    <row r="6">
      <c r="A6" t="inlineStr">
        <is>
          <t>Shares Outstanding (M)</t>
        </is>
      </c>
      <c r="B6" s="12" t="n">
        <v>10754</v>
      </c>
    </row>
    <row r="7">
      <c r="A7" t="inlineStr">
        <is>
          <t>Cash &amp; Equivalents (M)</t>
        </is>
      </c>
      <c r="B7" s="12" t="n">
        <v>101816</v>
      </c>
    </row>
    <row r="8">
      <c r="A8" t="inlineStr">
        <is>
          <t>Marketable Securities (M)</t>
        </is>
      </c>
      <c r="B8" s="12" t="n">
        <v>41273</v>
      </c>
    </row>
    <row r="9">
      <c r="A9" t="inlineStr">
        <is>
          <t>Total Debt (M)</t>
        </is>
      </c>
      <c r="B9" s="12" t="n">
        <v>119074</v>
      </c>
    </row>
    <row r="10">
      <c r="A10" t="inlineStr">
        <is>
          <t>Net Debt (M) [Debt - Cash - MktSec]</t>
        </is>
      </c>
      <c r="B10" s="13">
        <f>B9-B7-B8</f>
        <v/>
      </c>
    </row>
    <row r="11">
      <c r="A11" t="inlineStr">
        <is>
          <t>Base Year Revenue (M, FY2025)</t>
        </is>
      </c>
      <c r="B11" s="12" t="n">
        <v>716924</v>
      </c>
    </row>
    <row r="13">
      <c r="A13" t="inlineStr">
        <is>
          <t>WACC</t>
        </is>
      </c>
      <c r="B13" s="9" t="n">
        <v>0.1075</v>
      </c>
    </row>
    <row r="14">
      <c r="A14" t="inlineStr">
        <is>
          <t>Terminal Growth Rate</t>
        </is>
      </c>
      <c r="B14" s="9" t="n">
        <v>0.02</v>
      </c>
    </row>
    <row r="16">
      <c r="A16" s="8" t="inlineStr">
        <is>
          <t>GROWTH &amp; MARGIN ASSUMPTIONS</t>
        </is>
      </c>
    </row>
    <row r="17">
      <c r="B17" s="5" t="inlineStr">
        <is>
          <t>Year 1</t>
        </is>
      </c>
      <c r="C17" s="5" t="inlineStr">
        <is>
          <t>Year 2</t>
        </is>
      </c>
      <c r="D17" s="5" t="inlineStr">
        <is>
          <t>Year 3</t>
        </is>
      </c>
      <c r="E17" s="5" t="inlineStr">
        <is>
          <t>Year 4</t>
        </is>
      </c>
      <c r="F17" s="5" t="inlineStr">
        <is>
          <t>Year 5</t>
        </is>
      </c>
    </row>
    <row r="18">
      <c r="A18" t="inlineStr">
        <is>
          <t>Revenue Growth Rate</t>
        </is>
      </c>
      <c r="B18" s="9" t="n">
        <v>0.07000000000000001</v>
      </c>
      <c r="C18" s="9" t="n">
        <v>0.065</v>
      </c>
      <c r="D18" s="9" t="n">
        <v>0.06</v>
      </c>
      <c r="E18" s="9" t="n">
        <v>0.055</v>
      </c>
      <c r="F18" s="9" t="n">
        <v>0.05</v>
      </c>
    </row>
    <row r="19">
      <c r="A19" t="inlineStr">
        <is>
          <t>FCF Margin (% of Revenue)</t>
        </is>
      </c>
      <c r="B19" s="9" t="n">
        <v>0.01</v>
      </c>
      <c r="C19" s="9" t="n">
        <v>0.02</v>
      </c>
      <c r="D19" s="9" t="n">
        <v>0.03</v>
      </c>
      <c r="E19" s="9" t="n">
        <v>0.04</v>
      </c>
      <c r="F19" s="9" t="n">
        <v>0.05</v>
      </c>
    </row>
    <row r="21">
      <c r="A21" s="8" t="inlineStr">
        <is>
          <t>PROJECTIONS</t>
        </is>
      </c>
    </row>
    <row r="22">
      <c r="A22" t="inlineStr"/>
      <c r="B22" s="5" t="inlineStr">
        <is>
          <t>Base</t>
        </is>
      </c>
      <c r="C22" s="5" t="inlineStr">
        <is>
          <t>Year 1</t>
        </is>
      </c>
      <c r="D22" s="5" t="inlineStr">
        <is>
          <t>Year 2</t>
        </is>
      </c>
      <c r="E22" s="5" t="inlineStr">
        <is>
          <t>Year 3</t>
        </is>
      </c>
      <c r="F22" s="5" t="inlineStr">
        <is>
          <t>Year 4</t>
        </is>
      </c>
      <c r="G22" s="5" t="inlineStr">
        <is>
          <t>Year 5</t>
        </is>
      </c>
    </row>
    <row r="23">
      <c r="A23" t="inlineStr">
        <is>
          <t>Revenue</t>
        </is>
      </c>
      <c r="B23" s="13">
        <f>B11</f>
        <v/>
      </c>
      <c r="C23" s="13">
        <f>B23*(1+B18)</f>
        <v/>
      </c>
      <c r="D23" s="13">
        <f>C23*(1+C18)</f>
        <v/>
      </c>
      <c r="E23" s="13">
        <f>D23*(1+D18)</f>
        <v/>
      </c>
      <c r="F23" s="13">
        <f>E23*(1+E18)</f>
        <v/>
      </c>
      <c r="G23" s="13">
        <f>F23*(1+F18)</f>
        <v/>
      </c>
    </row>
    <row r="24">
      <c r="A24" t="inlineStr">
        <is>
          <t>Free Cash Flow</t>
        </is>
      </c>
      <c r="C24" s="13">
        <f>C23*B19</f>
        <v/>
      </c>
      <c r="D24" s="13">
        <f>D23*C19</f>
        <v/>
      </c>
      <c r="E24" s="13">
        <f>E23*D19</f>
        <v/>
      </c>
      <c r="F24" s="13">
        <f>F23*E19</f>
        <v/>
      </c>
      <c r="G24" s="13">
        <f>G23*F19</f>
        <v/>
      </c>
    </row>
    <row r="25">
      <c r="A25" t="inlineStr">
        <is>
          <t>Discount Factor</t>
        </is>
      </c>
      <c r="C25" s="14">
        <f>1/(1+$B$13)^1</f>
        <v/>
      </c>
      <c r="D25" s="14">
        <f>1/(1+$B$13)^2</f>
        <v/>
      </c>
      <c r="E25" s="14">
        <f>1/(1+$B$13)^3</f>
        <v/>
      </c>
      <c r="F25" s="14">
        <f>1/(1+$B$13)^4</f>
        <v/>
      </c>
      <c r="G25" s="14">
        <f>1/(1+$B$13)^5</f>
        <v/>
      </c>
    </row>
    <row r="26">
      <c r="A26" t="inlineStr">
        <is>
          <t>PV of FCF</t>
        </is>
      </c>
      <c r="C26" s="13">
        <f>C24*C25</f>
        <v/>
      </c>
      <c r="D26" s="13">
        <f>D24*D25</f>
        <v/>
      </c>
      <c r="E26" s="13">
        <f>E24*E25</f>
        <v/>
      </c>
      <c r="F26" s="13">
        <f>F24*F25</f>
        <v/>
      </c>
      <c r="G26" s="13">
        <f>G24*G25</f>
        <v/>
      </c>
    </row>
    <row r="28">
      <c r="A28" s="8" t="inlineStr">
        <is>
          <t>VALUATION</t>
        </is>
      </c>
    </row>
    <row r="29">
      <c r="A29" t="inlineStr">
        <is>
          <t>Sum of PV of FCF</t>
        </is>
      </c>
      <c r="B29" s="13">
        <f>SUM(C26:G26)</f>
        <v/>
      </c>
    </row>
    <row r="30">
      <c r="A30" t="inlineStr">
        <is>
          <t>Terminal FCF (Year 5 x (1+g))</t>
        </is>
      </c>
      <c r="B30" s="13">
        <f>G24*(1+$B$14)</f>
        <v/>
      </c>
    </row>
    <row r="31">
      <c r="A31" t="inlineStr">
        <is>
          <t>Terminal Value</t>
        </is>
      </c>
      <c r="B31" s="13">
        <f>B30/($B$13-$B$14)</f>
        <v/>
      </c>
    </row>
    <row r="32">
      <c r="A32" t="inlineStr">
        <is>
          <t>PV of Terminal Value</t>
        </is>
      </c>
      <c r="B32" s="13">
        <f>B31*G25</f>
        <v/>
      </c>
    </row>
    <row r="33">
      <c r="A33" t="inlineStr">
        <is>
          <t>Enterprise Value</t>
        </is>
      </c>
      <c r="B33" s="13">
        <f>B29+B32</f>
        <v/>
      </c>
    </row>
    <row r="34">
      <c r="A34" t="inlineStr">
        <is>
          <t>Less: Net Debt</t>
        </is>
      </c>
      <c r="B34" s="13">
        <f>B10</f>
        <v/>
      </c>
    </row>
    <row r="35">
      <c r="A35" t="inlineStr">
        <is>
          <t>Equity Value</t>
        </is>
      </c>
      <c r="B35" s="13">
        <f>B33-B34</f>
        <v/>
      </c>
    </row>
    <row r="36">
      <c r="A36" s="2" t="inlineStr">
        <is>
          <t>INTRINSIC VALUE/SHARE</t>
        </is>
      </c>
      <c r="B36" s="10">
        <f>B35/B6</f>
        <v/>
      </c>
    </row>
    <row r="37">
      <c r="A37" t="inlineStr">
        <is>
          <t>Terminal % of Enterprise Value</t>
        </is>
      </c>
      <c r="B37" s="7">
        <f>B32/B33</f>
        <v/>
      </c>
    </row>
    <row r="38">
      <c r="A38" t="inlineStr">
        <is>
          <t>Implied Exit Multiple (TV/FCF_Y5)</t>
        </is>
      </c>
      <c r="B38" s="15">
        <f>B31/G24</f>
        <v/>
      </c>
    </row>
    <row r="40">
      <c r="A40" s="8" t="inlineStr">
        <is>
          <t>ENTRY PRICE (15% IRR Target)</t>
        </is>
      </c>
    </row>
    <row r="41">
      <c r="A41" t="inlineStr">
        <is>
          <t>PV of Yrs 1-5 FCF @15%</t>
        </is>
      </c>
      <c r="B41" s="13">
        <f>NPV(0.15,C24:G24)</f>
        <v/>
      </c>
    </row>
    <row r="42">
      <c r="A42" t="inlineStr">
        <is>
          <t>PV of Terminal Value @15%</t>
        </is>
      </c>
      <c r="B42" s="13">
        <f>B31/(1.15^5)</f>
        <v/>
      </c>
    </row>
    <row r="43">
      <c r="A43" t="inlineStr">
        <is>
          <t>Less: Net Debt</t>
        </is>
      </c>
      <c r="B43" s="13">
        <f>B10</f>
        <v/>
      </c>
    </row>
    <row r="44">
      <c r="A44" t="inlineStr">
        <is>
          <t>Entry Price (15% IRR)</t>
        </is>
      </c>
      <c r="B44" s="10">
        <f>(B41+B42-B43)/B6</f>
        <v/>
      </c>
    </row>
    <row r="46">
      <c r="A46" t="inlineStr">
        <is>
          <t>Upside to Intrinsic Value</t>
        </is>
      </c>
      <c r="B46" s="7">
        <f>(B36-B5)/B5</f>
        <v/>
      </c>
    </row>
    <row r="47">
      <c r="A47" t="inlineStr">
        <is>
          <t>Discount of Entry Price vs Current</t>
        </is>
      </c>
      <c r="B47" s="7">
        <f>(B5-B44)/B5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s>
  <sheetData>
    <row r="1">
      <c r="A1" s="1" t="inlineStr">
        <is>
          <t>Sensitivity Analysis — Base Case</t>
        </is>
      </c>
    </row>
    <row r="2">
      <c r="A2" t="inlineStr">
        <is>
          <t>Intrinsic Value by WACC &amp; Terminal Growth (USD/share)</t>
        </is>
      </c>
    </row>
    <row r="4">
      <c r="A4" s="5" t="inlineStr">
        <is>
          <t>WACC \ Term G</t>
        </is>
      </c>
      <c r="B4" s="16" t="n">
        <v>0.0175</v>
      </c>
      <c r="C4" s="16" t="n">
        <v>0.0225</v>
      </c>
      <c r="D4" s="16" t="n">
        <v>0.0275</v>
      </c>
      <c r="E4" s="16" t="n">
        <v>0.0325</v>
      </c>
      <c r="F4" s="16" t="n">
        <v>0.0375</v>
      </c>
    </row>
    <row r="5">
      <c r="A5" s="16" t="n">
        <v>0.075</v>
      </c>
      <c r="B5" s="6">
        <f>((((('Base Case'!$B$11*(1+'Base Case'!$B$18))*'Base Case'!$B$19)/(1+0.075)^1+((('Base Case'!$B$11*(1+'Base Case'!$B$18))*(1+'Base Case'!$C$18))*'Base Case'!$C$19)/(1+0.075)^2+(((('Base Case'!$B$11*(1+'Base Case'!$B$18))*(1+'Base Case'!$C$18))*(1+'Base Case'!$D$18))*'Base Case'!$D$19)/(1+0.075)^3+((((('Base Case'!$B$11*(1+'Base Case'!$B$18))*(1+'Base Case'!$C$18))*(1+'Base Case'!$D$18))*(1+'Base Case'!$E$18))*'Base Case'!$E$19)/(1+0.075)^4+(((((('Base Case'!$B$11*(1+'Base Case'!$B$18))*(1+'Base Case'!$C$18))*(1+'Base Case'!$D$18))*(1+'Base Case'!$E$18))*(1+'Base Case'!$F$18))*'Base Case'!$F$19)/(1+0.075)^5)+(((((((('Base Case'!$B$11*(1+'Base Case'!$B$18))*(1+'Base Case'!$C$18))*(1+'Base Case'!$D$18))*(1+'Base Case'!$E$18))*(1+'Base Case'!$F$18))*'Base Case'!$F$19)*(1+0.0175))/(0.075-0.0175))/(1+0.075)^5)-'Base Case'!$B$10)/'Base Case'!$B$6</f>
        <v/>
      </c>
      <c r="C5" s="6">
        <f>((((('Base Case'!$B$11*(1+'Base Case'!$B$18))*'Base Case'!$B$19)/(1+0.075)^1+((('Base Case'!$B$11*(1+'Base Case'!$B$18))*(1+'Base Case'!$C$18))*'Base Case'!$C$19)/(1+0.075)^2+(((('Base Case'!$B$11*(1+'Base Case'!$B$18))*(1+'Base Case'!$C$18))*(1+'Base Case'!$D$18))*'Base Case'!$D$19)/(1+0.075)^3+((((('Base Case'!$B$11*(1+'Base Case'!$B$18))*(1+'Base Case'!$C$18))*(1+'Base Case'!$D$18))*(1+'Base Case'!$E$18))*'Base Case'!$E$19)/(1+0.075)^4+(((((('Base Case'!$B$11*(1+'Base Case'!$B$18))*(1+'Base Case'!$C$18))*(1+'Base Case'!$D$18))*(1+'Base Case'!$E$18))*(1+'Base Case'!$F$18))*'Base Case'!$F$19)/(1+0.075)^5)+(((((((('Base Case'!$B$11*(1+'Base Case'!$B$18))*(1+'Base Case'!$C$18))*(1+'Base Case'!$D$18))*(1+'Base Case'!$E$18))*(1+'Base Case'!$F$18))*'Base Case'!$F$19)*(1+0.0225))/(0.075-0.0225))/(1+0.075)^5)-'Base Case'!$B$10)/'Base Case'!$B$6</f>
        <v/>
      </c>
      <c r="D5" s="6">
        <f>((((('Base Case'!$B$11*(1+'Base Case'!$B$18))*'Base Case'!$B$19)/(1+0.075)^1+((('Base Case'!$B$11*(1+'Base Case'!$B$18))*(1+'Base Case'!$C$18))*'Base Case'!$C$19)/(1+0.075)^2+(((('Base Case'!$B$11*(1+'Base Case'!$B$18))*(1+'Base Case'!$C$18))*(1+'Base Case'!$D$18))*'Base Case'!$D$19)/(1+0.075)^3+((((('Base Case'!$B$11*(1+'Base Case'!$B$18))*(1+'Base Case'!$C$18))*(1+'Base Case'!$D$18))*(1+'Base Case'!$E$18))*'Base Case'!$E$19)/(1+0.075)^4+(((((('Base Case'!$B$11*(1+'Base Case'!$B$18))*(1+'Base Case'!$C$18))*(1+'Base Case'!$D$18))*(1+'Base Case'!$E$18))*(1+'Base Case'!$F$18))*'Base Case'!$F$19)/(1+0.075)^5)+(((((((('Base Case'!$B$11*(1+'Base Case'!$B$18))*(1+'Base Case'!$C$18))*(1+'Base Case'!$D$18))*(1+'Base Case'!$E$18))*(1+'Base Case'!$F$18))*'Base Case'!$F$19)*(1+0.0275))/(0.075-0.0275))/(1+0.075)^5)-'Base Case'!$B$10)/'Base Case'!$B$6</f>
        <v/>
      </c>
      <c r="E5" s="6">
        <f>((((('Base Case'!$B$11*(1+'Base Case'!$B$18))*'Base Case'!$B$19)/(1+0.075)^1+((('Base Case'!$B$11*(1+'Base Case'!$B$18))*(1+'Base Case'!$C$18))*'Base Case'!$C$19)/(1+0.075)^2+(((('Base Case'!$B$11*(1+'Base Case'!$B$18))*(1+'Base Case'!$C$18))*(1+'Base Case'!$D$18))*'Base Case'!$D$19)/(1+0.075)^3+((((('Base Case'!$B$11*(1+'Base Case'!$B$18))*(1+'Base Case'!$C$18))*(1+'Base Case'!$D$18))*(1+'Base Case'!$E$18))*'Base Case'!$E$19)/(1+0.075)^4+(((((('Base Case'!$B$11*(1+'Base Case'!$B$18))*(1+'Base Case'!$C$18))*(1+'Base Case'!$D$18))*(1+'Base Case'!$E$18))*(1+'Base Case'!$F$18))*'Base Case'!$F$19)/(1+0.075)^5)+(((((((('Base Case'!$B$11*(1+'Base Case'!$B$18))*(1+'Base Case'!$C$18))*(1+'Base Case'!$D$18))*(1+'Base Case'!$E$18))*(1+'Base Case'!$F$18))*'Base Case'!$F$19)*(1+0.0325))/(0.075-0.0325))/(1+0.075)^5)-'Base Case'!$B$10)/'Base Case'!$B$6</f>
        <v/>
      </c>
      <c r="F5" s="6">
        <f>((((('Base Case'!$B$11*(1+'Base Case'!$B$18))*'Base Case'!$B$19)/(1+0.075)^1+((('Base Case'!$B$11*(1+'Base Case'!$B$18))*(1+'Base Case'!$C$18))*'Base Case'!$C$19)/(1+0.075)^2+(((('Base Case'!$B$11*(1+'Base Case'!$B$18))*(1+'Base Case'!$C$18))*(1+'Base Case'!$D$18))*'Base Case'!$D$19)/(1+0.075)^3+((((('Base Case'!$B$11*(1+'Base Case'!$B$18))*(1+'Base Case'!$C$18))*(1+'Base Case'!$D$18))*(1+'Base Case'!$E$18))*'Base Case'!$E$19)/(1+0.075)^4+(((((('Base Case'!$B$11*(1+'Base Case'!$B$18))*(1+'Base Case'!$C$18))*(1+'Base Case'!$D$18))*(1+'Base Case'!$E$18))*(1+'Base Case'!$F$18))*'Base Case'!$F$19)/(1+0.075)^5)+(((((((('Base Case'!$B$11*(1+'Base Case'!$B$18))*(1+'Base Case'!$C$18))*(1+'Base Case'!$D$18))*(1+'Base Case'!$E$18))*(1+'Base Case'!$F$18))*'Base Case'!$F$19)*(1+0.0375))/(0.075-0.0375))/(1+0.075)^5)-'Base Case'!$B$10)/'Base Case'!$B$6</f>
        <v/>
      </c>
    </row>
    <row r="6">
      <c r="A6" s="16" t="n">
        <v>0.08500000000000001</v>
      </c>
      <c r="B6" s="6">
        <f>((((('Base Case'!$B$11*(1+'Base Case'!$B$18))*'Base Case'!$B$19)/(1+0.085)^1+((('Base Case'!$B$11*(1+'Base Case'!$B$18))*(1+'Base Case'!$C$18))*'Base Case'!$C$19)/(1+0.085)^2+(((('Base Case'!$B$11*(1+'Base Case'!$B$18))*(1+'Base Case'!$C$18))*(1+'Base Case'!$D$18))*'Base Case'!$D$19)/(1+0.085)^3+((((('Base Case'!$B$11*(1+'Base Case'!$B$18))*(1+'Base Case'!$C$18))*(1+'Base Case'!$D$18))*(1+'Base Case'!$E$18))*'Base Case'!$E$19)/(1+0.085)^4+(((((('Base Case'!$B$11*(1+'Base Case'!$B$18))*(1+'Base Case'!$C$18))*(1+'Base Case'!$D$18))*(1+'Base Case'!$E$18))*(1+'Base Case'!$F$18))*'Base Case'!$F$19)/(1+0.085)^5)+(((((((('Base Case'!$B$11*(1+'Base Case'!$B$18))*(1+'Base Case'!$C$18))*(1+'Base Case'!$D$18))*(1+'Base Case'!$E$18))*(1+'Base Case'!$F$18))*'Base Case'!$F$19)*(1+0.0175))/(0.085-0.0175))/(1+0.085)^5)-'Base Case'!$B$10)/'Base Case'!$B$6</f>
        <v/>
      </c>
      <c r="C6" s="6">
        <f>((((('Base Case'!$B$11*(1+'Base Case'!$B$18))*'Base Case'!$B$19)/(1+0.085)^1+((('Base Case'!$B$11*(1+'Base Case'!$B$18))*(1+'Base Case'!$C$18))*'Base Case'!$C$19)/(1+0.085)^2+(((('Base Case'!$B$11*(1+'Base Case'!$B$18))*(1+'Base Case'!$C$18))*(1+'Base Case'!$D$18))*'Base Case'!$D$19)/(1+0.085)^3+((((('Base Case'!$B$11*(1+'Base Case'!$B$18))*(1+'Base Case'!$C$18))*(1+'Base Case'!$D$18))*(1+'Base Case'!$E$18))*'Base Case'!$E$19)/(1+0.085)^4+(((((('Base Case'!$B$11*(1+'Base Case'!$B$18))*(1+'Base Case'!$C$18))*(1+'Base Case'!$D$18))*(1+'Base Case'!$E$18))*(1+'Base Case'!$F$18))*'Base Case'!$F$19)/(1+0.085)^5)+(((((((('Base Case'!$B$11*(1+'Base Case'!$B$18))*(1+'Base Case'!$C$18))*(1+'Base Case'!$D$18))*(1+'Base Case'!$E$18))*(1+'Base Case'!$F$18))*'Base Case'!$F$19)*(1+0.0225))/(0.085-0.0225))/(1+0.085)^5)-'Base Case'!$B$10)/'Base Case'!$B$6</f>
        <v/>
      </c>
      <c r="D6" s="6">
        <f>((((('Base Case'!$B$11*(1+'Base Case'!$B$18))*'Base Case'!$B$19)/(1+0.085)^1+((('Base Case'!$B$11*(1+'Base Case'!$B$18))*(1+'Base Case'!$C$18))*'Base Case'!$C$19)/(1+0.085)^2+(((('Base Case'!$B$11*(1+'Base Case'!$B$18))*(1+'Base Case'!$C$18))*(1+'Base Case'!$D$18))*'Base Case'!$D$19)/(1+0.085)^3+((((('Base Case'!$B$11*(1+'Base Case'!$B$18))*(1+'Base Case'!$C$18))*(1+'Base Case'!$D$18))*(1+'Base Case'!$E$18))*'Base Case'!$E$19)/(1+0.085)^4+(((((('Base Case'!$B$11*(1+'Base Case'!$B$18))*(1+'Base Case'!$C$18))*(1+'Base Case'!$D$18))*(1+'Base Case'!$E$18))*(1+'Base Case'!$F$18))*'Base Case'!$F$19)/(1+0.085)^5)+(((((((('Base Case'!$B$11*(1+'Base Case'!$B$18))*(1+'Base Case'!$C$18))*(1+'Base Case'!$D$18))*(1+'Base Case'!$E$18))*(1+'Base Case'!$F$18))*'Base Case'!$F$19)*(1+0.0275))/(0.085-0.0275))/(1+0.085)^5)-'Base Case'!$B$10)/'Base Case'!$B$6</f>
        <v/>
      </c>
      <c r="E6" s="6">
        <f>((((('Base Case'!$B$11*(1+'Base Case'!$B$18))*'Base Case'!$B$19)/(1+0.085)^1+((('Base Case'!$B$11*(1+'Base Case'!$B$18))*(1+'Base Case'!$C$18))*'Base Case'!$C$19)/(1+0.085)^2+(((('Base Case'!$B$11*(1+'Base Case'!$B$18))*(1+'Base Case'!$C$18))*(1+'Base Case'!$D$18))*'Base Case'!$D$19)/(1+0.085)^3+((((('Base Case'!$B$11*(1+'Base Case'!$B$18))*(1+'Base Case'!$C$18))*(1+'Base Case'!$D$18))*(1+'Base Case'!$E$18))*'Base Case'!$E$19)/(1+0.085)^4+(((((('Base Case'!$B$11*(1+'Base Case'!$B$18))*(1+'Base Case'!$C$18))*(1+'Base Case'!$D$18))*(1+'Base Case'!$E$18))*(1+'Base Case'!$F$18))*'Base Case'!$F$19)/(1+0.085)^5)+(((((((('Base Case'!$B$11*(1+'Base Case'!$B$18))*(1+'Base Case'!$C$18))*(1+'Base Case'!$D$18))*(1+'Base Case'!$E$18))*(1+'Base Case'!$F$18))*'Base Case'!$F$19)*(1+0.0325))/(0.085-0.0325))/(1+0.085)^5)-'Base Case'!$B$10)/'Base Case'!$B$6</f>
        <v/>
      </c>
      <c r="F6" s="6">
        <f>((((('Base Case'!$B$11*(1+'Base Case'!$B$18))*'Base Case'!$B$19)/(1+0.085)^1+((('Base Case'!$B$11*(1+'Base Case'!$B$18))*(1+'Base Case'!$C$18))*'Base Case'!$C$19)/(1+0.085)^2+(((('Base Case'!$B$11*(1+'Base Case'!$B$18))*(1+'Base Case'!$C$18))*(1+'Base Case'!$D$18))*'Base Case'!$D$19)/(1+0.085)^3+((((('Base Case'!$B$11*(1+'Base Case'!$B$18))*(1+'Base Case'!$C$18))*(1+'Base Case'!$D$18))*(1+'Base Case'!$E$18))*'Base Case'!$E$19)/(1+0.085)^4+(((((('Base Case'!$B$11*(1+'Base Case'!$B$18))*(1+'Base Case'!$C$18))*(1+'Base Case'!$D$18))*(1+'Base Case'!$E$18))*(1+'Base Case'!$F$18))*'Base Case'!$F$19)/(1+0.085)^5)+(((((((('Base Case'!$B$11*(1+'Base Case'!$B$18))*(1+'Base Case'!$C$18))*(1+'Base Case'!$D$18))*(1+'Base Case'!$E$18))*(1+'Base Case'!$F$18))*'Base Case'!$F$19)*(1+0.0375))/(0.085-0.0375))/(1+0.085)^5)-'Base Case'!$B$10)/'Base Case'!$B$6</f>
        <v/>
      </c>
    </row>
    <row r="7">
      <c r="A7" s="16" t="n">
        <v>0.095</v>
      </c>
      <c r="B7" s="6">
        <f>((((('Base Case'!$B$11*(1+'Base Case'!$B$18))*'Base Case'!$B$19)/(1+0.095)^1+((('Base Case'!$B$11*(1+'Base Case'!$B$18))*(1+'Base Case'!$C$18))*'Base Case'!$C$19)/(1+0.095)^2+(((('Base Case'!$B$11*(1+'Base Case'!$B$18))*(1+'Base Case'!$C$18))*(1+'Base Case'!$D$18))*'Base Case'!$D$19)/(1+0.095)^3+((((('Base Case'!$B$11*(1+'Base Case'!$B$18))*(1+'Base Case'!$C$18))*(1+'Base Case'!$D$18))*(1+'Base Case'!$E$18))*'Base Case'!$E$19)/(1+0.095)^4+(((((('Base Case'!$B$11*(1+'Base Case'!$B$18))*(1+'Base Case'!$C$18))*(1+'Base Case'!$D$18))*(1+'Base Case'!$E$18))*(1+'Base Case'!$F$18))*'Base Case'!$F$19)/(1+0.095)^5)+(((((((('Base Case'!$B$11*(1+'Base Case'!$B$18))*(1+'Base Case'!$C$18))*(1+'Base Case'!$D$18))*(1+'Base Case'!$E$18))*(1+'Base Case'!$F$18))*'Base Case'!$F$19)*(1+0.0175))/(0.095-0.0175))/(1+0.095)^5)-'Base Case'!$B$10)/'Base Case'!$B$6</f>
        <v/>
      </c>
      <c r="C7" s="6">
        <f>((((('Base Case'!$B$11*(1+'Base Case'!$B$18))*'Base Case'!$B$19)/(1+0.095)^1+((('Base Case'!$B$11*(1+'Base Case'!$B$18))*(1+'Base Case'!$C$18))*'Base Case'!$C$19)/(1+0.095)^2+(((('Base Case'!$B$11*(1+'Base Case'!$B$18))*(1+'Base Case'!$C$18))*(1+'Base Case'!$D$18))*'Base Case'!$D$19)/(1+0.095)^3+((((('Base Case'!$B$11*(1+'Base Case'!$B$18))*(1+'Base Case'!$C$18))*(1+'Base Case'!$D$18))*(1+'Base Case'!$E$18))*'Base Case'!$E$19)/(1+0.095)^4+(((((('Base Case'!$B$11*(1+'Base Case'!$B$18))*(1+'Base Case'!$C$18))*(1+'Base Case'!$D$18))*(1+'Base Case'!$E$18))*(1+'Base Case'!$F$18))*'Base Case'!$F$19)/(1+0.095)^5)+(((((((('Base Case'!$B$11*(1+'Base Case'!$B$18))*(1+'Base Case'!$C$18))*(1+'Base Case'!$D$18))*(1+'Base Case'!$E$18))*(1+'Base Case'!$F$18))*'Base Case'!$F$19)*(1+0.0225))/(0.095-0.0225))/(1+0.095)^5)-'Base Case'!$B$10)/'Base Case'!$B$6</f>
        <v/>
      </c>
      <c r="D7" s="6">
        <f>((((('Base Case'!$B$11*(1+'Base Case'!$B$18))*'Base Case'!$B$19)/(1+0.095)^1+((('Base Case'!$B$11*(1+'Base Case'!$B$18))*(1+'Base Case'!$C$18))*'Base Case'!$C$19)/(1+0.095)^2+(((('Base Case'!$B$11*(1+'Base Case'!$B$18))*(1+'Base Case'!$C$18))*(1+'Base Case'!$D$18))*'Base Case'!$D$19)/(1+0.095)^3+((((('Base Case'!$B$11*(1+'Base Case'!$B$18))*(1+'Base Case'!$C$18))*(1+'Base Case'!$D$18))*(1+'Base Case'!$E$18))*'Base Case'!$E$19)/(1+0.095)^4+(((((('Base Case'!$B$11*(1+'Base Case'!$B$18))*(1+'Base Case'!$C$18))*(1+'Base Case'!$D$18))*(1+'Base Case'!$E$18))*(1+'Base Case'!$F$18))*'Base Case'!$F$19)/(1+0.095)^5)+(((((((('Base Case'!$B$11*(1+'Base Case'!$B$18))*(1+'Base Case'!$C$18))*(1+'Base Case'!$D$18))*(1+'Base Case'!$E$18))*(1+'Base Case'!$F$18))*'Base Case'!$F$19)*(1+0.0275))/(0.095-0.0275))/(1+0.095)^5)-'Base Case'!$B$10)/'Base Case'!$B$6</f>
        <v/>
      </c>
      <c r="E7" s="6">
        <f>((((('Base Case'!$B$11*(1+'Base Case'!$B$18))*'Base Case'!$B$19)/(1+0.095)^1+((('Base Case'!$B$11*(1+'Base Case'!$B$18))*(1+'Base Case'!$C$18))*'Base Case'!$C$19)/(1+0.095)^2+(((('Base Case'!$B$11*(1+'Base Case'!$B$18))*(1+'Base Case'!$C$18))*(1+'Base Case'!$D$18))*'Base Case'!$D$19)/(1+0.095)^3+((((('Base Case'!$B$11*(1+'Base Case'!$B$18))*(1+'Base Case'!$C$18))*(1+'Base Case'!$D$18))*(1+'Base Case'!$E$18))*'Base Case'!$E$19)/(1+0.095)^4+(((((('Base Case'!$B$11*(1+'Base Case'!$B$18))*(1+'Base Case'!$C$18))*(1+'Base Case'!$D$18))*(1+'Base Case'!$E$18))*(1+'Base Case'!$F$18))*'Base Case'!$F$19)/(1+0.095)^5)+(((((((('Base Case'!$B$11*(1+'Base Case'!$B$18))*(1+'Base Case'!$C$18))*(1+'Base Case'!$D$18))*(1+'Base Case'!$E$18))*(1+'Base Case'!$F$18))*'Base Case'!$F$19)*(1+0.0325))/(0.095-0.0325))/(1+0.095)^5)-'Base Case'!$B$10)/'Base Case'!$B$6</f>
        <v/>
      </c>
      <c r="F7" s="6">
        <f>((((('Base Case'!$B$11*(1+'Base Case'!$B$18))*'Base Case'!$B$19)/(1+0.095)^1+((('Base Case'!$B$11*(1+'Base Case'!$B$18))*(1+'Base Case'!$C$18))*'Base Case'!$C$19)/(1+0.095)^2+(((('Base Case'!$B$11*(1+'Base Case'!$B$18))*(1+'Base Case'!$C$18))*(1+'Base Case'!$D$18))*'Base Case'!$D$19)/(1+0.095)^3+((((('Base Case'!$B$11*(1+'Base Case'!$B$18))*(1+'Base Case'!$C$18))*(1+'Base Case'!$D$18))*(1+'Base Case'!$E$18))*'Base Case'!$E$19)/(1+0.095)^4+(((((('Base Case'!$B$11*(1+'Base Case'!$B$18))*(1+'Base Case'!$C$18))*(1+'Base Case'!$D$18))*(1+'Base Case'!$E$18))*(1+'Base Case'!$F$18))*'Base Case'!$F$19)/(1+0.095)^5)+(((((((('Base Case'!$B$11*(1+'Base Case'!$B$18))*(1+'Base Case'!$C$18))*(1+'Base Case'!$D$18))*(1+'Base Case'!$E$18))*(1+'Base Case'!$F$18))*'Base Case'!$F$19)*(1+0.0375))/(0.095-0.0375))/(1+0.095)^5)-'Base Case'!$B$10)/'Base Case'!$B$6</f>
        <v/>
      </c>
    </row>
    <row r="8">
      <c r="A8" s="16" t="n">
        <v>0.105</v>
      </c>
      <c r="B8" s="6">
        <f>((((('Base Case'!$B$11*(1+'Base Case'!$B$18))*'Base Case'!$B$19)/(1+0.105)^1+((('Base Case'!$B$11*(1+'Base Case'!$B$18))*(1+'Base Case'!$C$18))*'Base Case'!$C$19)/(1+0.105)^2+(((('Base Case'!$B$11*(1+'Base Case'!$B$18))*(1+'Base Case'!$C$18))*(1+'Base Case'!$D$18))*'Base Case'!$D$19)/(1+0.105)^3+((((('Base Case'!$B$11*(1+'Base Case'!$B$18))*(1+'Base Case'!$C$18))*(1+'Base Case'!$D$18))*(1+'Base Case'!$E$18))*'Base Case'!$E$19)/(1+0.105)^4+(((((('Base Case'!$B$11*(1+'Base Case'!$B$18))*(1+'Base Case'!$C$18))*(1+'Base Case'!$D$18))*(1+'Base Case'!$E$18))*(1+'Base Case'!$F$18))*'Base Case'!$F$19)/(1+0.105)^5)+(((((((('Base Case'!$B$11*(1+'Base Case'!$B$18))*(1+'Base Case'!$C$18))*(1+'Base Case'!$D$18))*(1+'Base Case'!$E$18))*(1+'Base Case'!$F$18))*'Base Case'!$F$19)*(1+0.0175))/(0.105-0.0175))/(1+0.105)^5)-'Base Case'!$B$10)/'Base Case'!$B$6</f>
        <v/>
      </c>
      <c r="C8" s="6">
        <f>((((('Base Case'!$B$11*(1+'Base Case'!$B$18))*'Base Case'!$B$19)/(1+0.105)^1+((('Base Case'!$B$11*(1+'Base Case'!$B$18))*(1+'Base Case'!$C$18))*'Base Case'!$C$19)/(1+0.105)^2+(((('Base Case'!$B$11*(1+'Base Case'!$B$18))*(1+'Base Case'!$C$18))*(1+'Base Case'!$D$18))*'Base Case'!$D$19)/(1+0.105)^3+((((('Base Case'!$B$11*(1+'Base Case'!$B$18))*(1+'Base Case'!$C$18))*(1+'Base Case'!$D$18))*(1+'Base Case'!$E$18))*'Base Case'!$E$19)/(1+0.105)^4+(((((('Base Case'!$B$11*(1+'Base Case'!$B$18))*(1+'Base Case'!$C$18))*(1+'Base Case'!$D$18))*(1+'Base Case'!$E$18))*(1+'Base Case'!$F$18))*'Base Case'!$F$19)/(1+0.105)^5)+(((((((('Base Case'!$B$11*(1+'Base Case'!$B$18))*(1+'Base Case'!$C$18))*(1+'Base Case'!$D$18))*(1+'Base Case'!$E$18))*(1+'Base Case'!$F$18))*'Base Case'!$F$19)*(1+0.0225))/(0.105-0.0225))/(1+0.105)^5)-'Base Case'!$B$10)/'Base Case'!$B$6</f>
        <v/>
      </c>
      <c r="D8" s="6">
        <f>((((('Base Case'!$B$11*(1+'Base Case'!$B$18))*'Base Case'!$B$19)/(1+0.105)^1+((('Base Case'!$B$11*(1+'Base Case'!$B$18))*(1+'Base Case'!$C$18))*'Base Case'!$C$19)/(1+0.105)^2+(((('Base Case'!$B$11*(1+'Base Case'!$B$18))*(1+'Base Case'!$C$18))*(1+'Base Case'!$D$18))*'Base Case'!$D$19)/(1+0.105)^3+((((('Base Case'!$B$11*(1+'Base Case'!$B$18))*(1+'Base Case'!$C$18))*(1+'Base Case'!$D$18))*(1+'Base Case'!$E$18))*'Base Case'!$E$19)/(1+0.105)^4+(((((('Base Case'!$B$11*(1+'Base Case'!$B$18))*(1+'Base Case'!$C$18))*(1+'Base Case'!$D$18))*(1+'Base Case'!$E$18))*(1+'Base Case'!$F$18))*'Base Case'!$F$19)/(1+0.105)^5)+(((((((('Base Case'!$B$11*(1+'Base Case'!$B$18))*(1+'Base Case'!$C$18))*(1+'Base Case'!$D$18))*(1+'Base Case'!$E$18))*(1+'Base Case'!$F$18))*'Base Case'!$F$19)*(1+0.0275))/(0.105-0.0275))/(1+0.105)^5)-'Base Case'!$B$10)/'Base Case'!$B$6</f>
        <v/>
      </c>
      <c r="E8" s="6">
        <f>((((('Base Case'!$B$11*(1+'Base Case'!$B$18))*'Base Case'!$B$19)/(1+0.105)^1+((('Base Case'!$B$11*(1+'Base Case'!$B$18))*(1+'Base Case'!$C$18))*'Base Case'!$C$19)/(1+0.105)^2+(((('Base Case'!$B$11*(1+'Base Case'!$B$18))*(1+'Base Case'!$C$18))*(1+'Base Case'!$D$18))*'Base Case'!$D$19)/(1+0.105)^3+((((('Base Case'!$B$11*(1+'Base Case'!$B$18))*(1+'Base Case'!$C$18))*(1+'Base Case'!$D$18))*(1+'Base Case'!$E$18))*'Base Case'!$E$19)/(1+0.105)^4+(((((('Base Case'!$B$11*(1+'Base Case'!$B$18))*(1+'Base Case'!$C$18))*(1+'Base Case'!$D$18))*(1+'Base Case'!$E$18))*(1+'Base Case'!$F$18))*'Base Case'!$F$19)/(1+0.105)^5)+(((((((('Base Case'!$B$11*(1+'Base Case'!$B$18))*(1+'Base Case'!$C$18))*(1+'Base Case'!$D$18))*(1+'Base Case'!$E$18))*(1+'Base Case'!$F$18))*'Base Case'!$F$19)*(1+0.0325))/(0.105-0.0325))/(1+0.105)^5)-'Base Case'!$B$10)/'Base Case'!$B$6</f>
        <v/>
      </c>
      <c r="F8" s="6">
        <f>((((('Base Case'!$B$11*(1+'Base Case'!$B$18))*'Base Case'!$B$19)/(1+0.105)^1+((('Base Case'!$B$11*(1+'Base Case'!$B$18))*(1+'Base Case'!$C$18))*'Base Case'!$C$19)/(1+0.105)^2+(((('Base Case'!$B$11*(1+'Base Case'!$B$18))*(1+'Base Case'!$C$18))*(1+'Base Case'!$D$18))*'Base Case'!$D$19)/(1+0.105)^3+((((('Base Case'!$B$11*(1+'Base Case'!$B$18))*(1+'Base Case'!$C$18))*(1+'Base Case'!$D$18))*(1+'Base Case'!$E$18))*'Base Case'!$E$19)/(1+0.105)^4+(((((('Base Case'!$B$11*(1+'Base Case'!$B$18))*(1+'Base Case'!$C$18))*(1+'Base Case'!$D$18))*(1+'Base Case'!$E$18))*(1+'Base Case'!$F$18))*'Base Case'!$F$19)/(1+0.105)^5)+(((((((('Base Case'!$B$11*(1+'Base Case'!$B$18))*(1+'Base Case'!$C$18))*(1+'Base Case'!$D$18))*(1+'Base Case'!$E$18))*(1+'Base Case'!$F$18))*'Base Case'!$F$19)*(1+0.0375))/(0.105-0.0375))/(1+0.105)^5)-'Base Case'!$B$10)/'Base Case'!$B$6</f>
        <v/>
      </c>
    </row>
    <row r="9">
      <c r="A9" s="16" t="n">
        <v>0.115</v>
      </c>
      <c r="B9" s="6">
        <f>((((('Base Case'!$B$11*(1+'Base Case'!$B$18))*'Base Case'!$B$19)/(1+0.115)^1+((('Base Case'!$B$11*(1+'Base Case'!$B$18))*(1+'Base Case'!$C$18))*'Base Case'!$C$19)/(1+0.115)^2+(((('Base Case'!$B$11*(1+'Base Case'!$B$18))*(1+'Base Case'!$C$18))*(1+'Base Case'!$D$18))*'Base Case'!$D$19)/(1+0.115)^3+((((('Base Case'!$B$11*(1+'Base Case'!$B$18))*(1+'Base Case'!$C$18))*(1+'Base Case'!$D$18))*(1+'Base Case'!$E$18))*'Base Case'!$E$19)/(1+0.115)^4+(((((('Base Case'!$B$11*(1+'Base Case'!$B$18))*(1+'Base Case'!$C$18))*(1+'Base Case'!$D$18))*(1+'Base Case'!$E$18))*(1+'Base Case'!$F$18))*'Base Case'!$F$19)/(1+0.115)^5)+(((((((('Base Case'!$B$11*(1+'Base Case'!$B$18))*(1+'Base Case'!$C$18))*(1+'Base Case'!$D$18))*(1+'Base Case'!$E$18))*(1+'Base Case'!$F$18))*'Base Case'!$F$19)*(1+0.0175))/(0.115-0.0175))/(1+0.115)^5)-'Base Case'!$B$10)/'Base Case'!$B$6</f>
        <v/>
      </c>
      <c r="C9" s="6">
        <f>((((('Base Case'!$B$11*(1+'Base Case'!$B$18))*'Base Case'!$B$19)/(1+0.115)^1+((('Base Case'!$B$11*(1+'Base Case'!$B$18))*(1+'Base Case'!$C$18))*'Base Case'!$C$19)/(1+0.115)^2+(((('Base Case'!$B$11*(1+'Base Case'!$B$18))*(1+'Base Case'!$C$18))*(1+'Base Case'!$D$18))*'Base Case'!$D$19)/(1+0.115)^3+((((('Base Case'!$B$11*(1+'Base Case'!$B$18))*(1+'Base Case'!$C$18))*(1+'Base Case'!$D$18))*(1+'Base Case'!$E$18))*'Base Case'!$E$19)/(1+0.115)^4+(((((('Base Case'!$B$11*(1+'Base Case'!$B$18))*(1+'Base Case'!$C$18))*(1+'Base Case'!$D$18))*(1+'Base Case'!$E$18))*(1+'Base Case'!$F$18))*'Base Case'!$F$19)/(1+0.115)^5)+(((((((('Base Case'!$B$11*(1+'Base Case'!$B$18))*(1+'Base Case'!$C$18))*(1+'Base Case'!$D$18))*(1+'Base Case'!$E$18))*(1+'Base Case'!$F$18))*'Base Case'!$F$19)*(1+0.0225))/(0.115-0.0225))/(1+0.115)^5)-'Base Case'!$B$10)/'Base Case'!$B$6</f>
        <v/>
      </c>
      <c r="D9" s="6">
        <f>((((('Base Case'!$B$11*(1+'Base Case'!$B$18))*'Base Case'!$B$19)/(1+0.115)^1+((('Base Case'!$B$11*(1+'Base Case'!$B$18))*(1+'Base Case'!$C$18))*'Base Case'!$C$19)/(1+0.115)^2+(((('Base Case'!$B$11*(1+'Base Case'!$B$18))*(1+'Base Case'!$C$18))*(1+'Base Case'!$D$18))*'Base Case'!$D$19)/(1+0.115)^3+((((('Base Case'!$B$11*(1+'Base Case'!$B$18))*(1+'Base Case'!$C$18))*(1+'Base Case'!$D$18))*(1+'Base Case'!$E$18))*'Base Case'!$E$19)/(1+0.115)^4+(((((('Base Case'!$B$11*(1+'Base Case'!$B$18))*(1+'Base Case'!$C$18))*(1+'Base Case'!$D$18))*(1+'Base Case'!$E$18))*(1+'Base Case'!$F$18))*'Base Case'!$F$19)/(1+0.115)^5)+(((((((('Base Case'!$B$11*(1+'Base Case'!$B$18))*(1+'Base Case'!$C$18))*(1+'Base Case'!$D$18))*(1+'Base Case'!$E$18))*(1+'Base Case'!$F$18))*'Base Case'!$F$19)*(1+0.0275))/(0.115-0.0275))/(1+0.115)^5)-'Base Case'!$B$10)/'Base Case'!$B$6</f>
        <v/>
      </c>
      <c r="E9" s="6">
        <f>((((('Base Case'!$B$11*(1+'Base Case'!$B$18))*'Base Case'!$B$19)/(1+0.115)^1+((('Base Case'!$B$11*(1+'Base Case'!$B$18))*(1+'Base Case'!$C$18))*'Base Case'!$C$19)/(1+0.115)^2+(((('Base Case'!$B$11*(1+'Base Case'!$B$18))*(1+'Base Case'!$C$18))*(1+'Base Case'!$D$18))*'Base Case'!$D$19)/(1+0.115)^3+((((('Base Case'!$B$11*(1+'Base Case'!$B$18))*(1+'Base Case'!$C$18))*(1+'Base Case'!$D$18))*(1+'Base Case'!$E$18))*'Base Case'!$E$19)/(1+0.115)^4+(((((('Base Case'!$B$11*(1+'Base Case'!$B$18))*(1+'Base Case'!$C$18))*(1+'Base Case'!$D$18))*(1+'Base Case'!$E$18))*(1+'Base Case'!$F$18))*'Base Case'!$F$19)/(1+0.115)^5)+(((((((('Base Case'!$B$11*(1+'Base Case'!$B$18))*(1+'Base Case'!$C$18))*(1+'Base Case'!$D$18))*(1+'Base Case'!$E$18))*(1+'Base Case'!$F$18))*'Base Case'!$F$19)*(1+0.0325))/(0.115-0.0325))/(1+0.115)^5)-'Base Case'!$B$10)/'Base Case'!$B$6</f>
        <v/>
      </c>
      <c r="F9" s="6">
        <f>((((('Base Case'!$B$11*(1+'Base Case'!$B$18))*'Base Case'!$B$19)/(1+0.115)^1+((('Base Case'!$B$11*(1+'Base Case'!$B$18))*(1+'Base Case'!$C$18))*'Base Case'!$C$19)/(1+0.115)^2+(((('Base Case'!$B$11*(1+'Base Case'!$B$18))*(1+'Base Case'!$C$18))*(1+'Base Case'!$D$18))*'Base Case'!$D$19)/(1+0.115)^3+((((('Base Case'!$B$11*(1+'Base Case'!$B$18))*(1+'Base Case'!$C$18))*(1+'Base Case'!$D$18))*(1+'Base Case'!$E$18))*'Base Case'!$E$19)/(1+0.115)^4+(((((('Base Case'!$B$11*(1+'Base Case'!$B$18))*(1+'Base Case'!$C$18))*(1+'Base Case'!$D$18))*(1+'Base Case'!$E$18))*(1+'Base Case'!$F$18))*'Base Case'!$F$19)/(1+0.115)^5)+(((((((('Base Case'!$B$11*(1+'Base Case'!$B$18))*(1+'Base Case'!$C$18))*(1+'Base Case'!$D$18))*(1+'Base Case'!$E$18))*(1+'Base Case'!$F$18))*'Base Case'!$F$19)*(1+0.0375))/(0.115-0.0375))/(1+0.115)^5)-'Base Case'!$B$10)/'Base Case'!$B$6</f>
        <v/>
      </c>
    </row>
    <row r="11">
      <c r="A11" s="4" t="inlineStr">
        <is>
          <t>Note: Matrix uses Base Case revenue growth &amp; FCF margin path; only WACC and terminal growth vary.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s>
  <sheetData>
    <row r="1">
      <c r="A1" s="1" t="inlineStr">
        <is>
          <t>Historical Growth Rates</t>
        </is>
      </c>
    </row>
    <row r="3">
      <c r="A3" s="5" t="inlineStr">
        <is>
          <t>Metric</t>
        </is>
      </c>
      <c r="B3" s="5" t="inlineStr">
        <is>
          <t>3-Year CAGR</t>
        </is>
      </c>
      <c r="C3" s="5" t="inlineStr">
        <is>
          <t>5-Year CAGR</t>
        </is>
      </c>
    </row>
    <row r="4">
      <c r="A4" t="inlineStr">
        <is>
          <t>Revenue</t>
        </is>
      </c>
      <c r="B4" s="7" t="n">
        <v>0.117</v>
      </c>
      <c r="C4" s="7" t="n">
        <v>0.132</v>
      </c>
    </row>
    <row r="5">
      <c r="A5" t="inlineStr">
        <is>
          <t>EPS</t>
        </is>
      </c>
      <c r="B5" s="17" t="inlineStr">
        <is>
          <t>N/A</t>
        </is>
      </c>
      <c r="C5" s="7" t="n">
        <v>0.28</v>
      </c>
    </row>
    <row r="6">
      <c r="A6" t="inlineStr">
        <is>
          <t>Equity/Book Value</t>
        </is>
      </c>
      <c r="B6" s="7" t="n">
        <v>0.412</v>
      </c>
      <c r="C6" s="7" t="n">
        <v>0.345</v>
      </c>
    </row>
    <row r="7">
      <c r="A7" t="inlineStr">
        <is>
          <t>Free Cash Flow</t>
        </is>
      </c>
      <c r="B7" s="17" t="inlineStr">
        <is>
          <t>N/A</t>
        </is>
      </c>
      <c r="C7" s="17" t="inlineStr">
        <is>
          <t>N/A</t>
        </is>
      </c>
    </row>
    <row r="9">
      <c r="A9" s="2" t="inlineStr">
        <is>
          <t>Selected Growth Driver:</t>
        </is>
      </c>
      <c r="B9" s="18" t="n">
        <v>0.117</v>
      </c>
    </row>
    <row r="10">
      <c r="A10" t="inlineStr">
        <is>
          <t>Source:</t>
        </is>
      </c>
      <c r="B10" t="inlineStr">
        <is>
          <t>revenue_3yr_cagr (with 5yr cagr of 13.2% as corroborating upper bound)</t>
        </is>
      </c>
    </row>
    <row r="12">
      <c r="A12" s="2" t="inlineStr">
        <is>
          <t>Divergence Warning:</t>
        </is>
      </c>
    </row>
    <row r="13" ht="90" customHeight="1">
      <c r="A13" s="19" t="inlineStr">
        <is>
          <t>Equity CAGR (41.2% 3yr / 34.5% 5yr) diverges massively (&gt;200%) from revenue CAGR (11.7%/13.2%). This is NOT treated as a red flag on revenue quality -- it reflects that Amazon retains 100% of net income (no dividends, minimal buybacks in this window) while GAAP net income has been inflated by large non-cash equity-stake gains (Rivian warrants, Anthropic investment mark-ups: +$15.2B in FY2025, +$16.8B in Q1 2026 alone) that compound book value far faster than the underlying operating business. Per standard practice, equity CAGR is REJECTED as the growth driver here and revenue CAGR is used instead, consistent with the task-level guidance for this ticker.</t>
        </is>
      </c>
    </row>
    <row r="16">
      <c r="A16" s="8" t="inlineStr">
        <is>
          <t>Historical Revenue &amp; FCF (FY2016-FY2025, $M)</t>
        </is>
      </c>
    </row>
    <row r="18">
      <c r="A18" s="5" t="inlineStr">
        <is>
          <t>Period</t>
        </is>
      </c>
      <c r="B18" s="5" t="inlineStr">
        <is>
          <t>Revenue</t>
        </is>
      </c>
      <c r="C18" s="5" t="inlineStr">
        <is>
          <t>FCF</t>
        </is>
      </c>
    </row>
    <row r="19">
      <c r="A19" t="inlineStr">
        <is>
          <t>FY2016</t>
        </is>
      </c>
      <c r="B19" s="13" t="n">
        <v>135987</v>
      </c>
      <c r="C19" s="13" t="n">
        <v>10535</v>
      </c>
    </row>
    <row r="20">
      <c r="A20" t="inlineStr">
        <is>
          <t>FY2017</t>
        </is>
      </c>
      <c r="B20" s="13" t="n">
        <v>177866</v>
      </c>
      <c r="C20" s="13" t="n">
        <v>8376</v>
      </c>
    </row>
    <row r="21">
      <c r="A21" t="inlineStr">
        <is>
          <t>FY2018</t>
        </is>
      </c>
      <c r="B21" s="13" t="n">
        <v>232887</v>
      </c>
      <c r="C21" s="13" t="n">
        <v>19400</v>
      </c>
    </row>
    <row r="22">
      <c r="A22" t="inlineStr">
        <is>
          <t>FY2019</t>
        </is>
      </c>
      <c r="B22" s="13" t="n">
        <v>280522</v>
      </c>
      <c r="C22" s="13" t="n">
        <v>25825</v>
      </c>
    </row>
    <row r="23">
      <c r="A23" t="inlineStr">
        <is>
          <t>FY2020</t>
        </is>
      </c>
      <c r="B23" s="13" t="n">
        <v>386064</v>
      </c>
      <c r="C23" s="13" t="n">
        <v>31020</v>
      </c>
    </row>
    <row r="24">
      <c r="A24" t="inlineStr">
        <is>
          <t>FY2021</t>
        </is>
      </c>
      <c r="B24" s="13" t="n">
        <v>469822</v>
      </c>
      <c r="C24" s="13" t="n">
        <v>-9069</v>
      </c>
    </row>
    <row r="25">
      <c r="A25" t="inlineStr">
        <is>
          <t>FY2022</t>
        </is>
      </c>
      <c r="B25" s="13" t="n">
        <v>513983</v>
      </c>
      <c r="C25" s="13" t="n">
        <v>-11569</v>
      </c>
    </row>
    <row r="26">
      <c r="A26" t="inlineStr">
        <is>
          <t>FY2023</t>
        </is>
      </c>
      <c r="B26" s="13" t="n">
        <v>574785</v>
      </c>
      <c r="C26" s="13" t="n">
        <v>36813</v>
      </c>
    </row>
    <row r="27">
      <c r="A27" t="inlineStr">
        <is>
          <t>FY2024</t>
        </is>
      </c>
      <c r="B27" s="13" t="n">
        <v>637959</v>
      </c>
      <c r="C27" s="13" t="n">
        <v>38219</v>
      </c>
    </row>
    <row r="28">
      <c r="A28" t="inlineStr">
        <is>
          <t>FY2025</t>
        </is>
      </c>
      <c r="B28" s="13" t="n">
        <v>716924</v>
      </c>
      <c r="C28" s="13" t="n">
        <v>11194</v>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2026-07-26T06:21:18Z</dcterms:created>
  <dcterms:modified xsi:type="dcterms:W3CDTF">2026-07-26T06:21:18Z</dcterms:modified>
</cp:coreProperties>
</file>