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<sst xmlns="http://schemas.openxmlformats.org/spreadsheetml/2006/main" count="363" uniqueCount="166">
  <si>
    <t xml:space="preserve">Ticker</t>
  </si>
  <si>
    <t xml:space="preserve">EVN.AX</t>
  </si>
  <si>
    <t xml:space="preserve">Company</t>
  </si>
  <si>
    <t xml:space="preserve">Evolution Mining Limited</t>
  </si>
  <si>
    <t xml:space="preserve">Valuation date</t>
  </si>
  <si>
    <t xml:space="preserve">2026-09-22</t>
  </si>
  <si>
    <t xml:space="preserve">Current price</t>
  </si>
  <si>
    <t xml:space="preserve">Price as of</t>
  </si>
  <si>
    <t xml:space="preserve">2026-09-22T06:19:57Z (ASX regular close, 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</si>
  <si>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</si>
  <si>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</si>
  <si>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</si>
  <si>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</si>
  <si>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</si>
  <si>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</si>
  <si>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</si>
  <si>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</si>
  <si>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</si>
  <si>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</si>
  <si>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</si>
  <si>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</si>
  <si>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2026-09-22T10:58:28Z</t>
  </si>
  <si>
    <t xml:space="preserve">Drivers file</t>
  </si>
  <si>
    <t xml:space="preserve">EVN.AX_Drivers.json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</si>
  <si>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</si>
  <si>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</si>
  <si>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</si>
  <si>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Evolution as a long-life, copper-credited gold producer on mid-cycle cash flows rather than on FY26's record. Owner FCF is reported FCF less SBC and interest income; the forward build starts from FY27 guidance (production, AISC, ~A$1.5bn capex) at spot gold and then reverts price toward a mid-cycle level while volumes grow from the funded pipeline. Cyclicality is charged once, in the scenario flows and their weights, at a single AUD WACC of 9%; the terminal multiple is capped at 14x owner FCF because a buyer of a gold miner at the top of the cycle is not granted a Gordon multiple. The house value is what the assets earn through a cycle; the gap to the market price measures how much of spot gold, capitalised at a sub-8% rate, the market is paying for.
key_risks_to_valuation: Gold price: every A$500/oz on ~700koz is ~A$350m of EBITDA (~6pp of margin); the base assumes A$5,300/oz mid-cycle, the market implies spot or higher in perpetuity; Fully unhedged since the final FY26 hedge delivery: no downside protection on the price reversion the bear case models; Capex step-up: FY27 guidance ~A$1.5bn (28% of revenue) into E22 block cave, OPC, Bert and Mungari; overruns or delays defer the FY30-31 volume growth the base and bull cases rely on; AISC escalation: A$907/oz (FY16) to A$1,717/oz (FY26) and guided A$1,795-1,995/oz for FY27 -- labour is ~half the cost base and royalties are price-linked; Cash tax normalisation: FY26 paid only 18.7% of PBT; a catch-up on the A$288.6m current tax liability plus a 31% run-rate removes ~A$250m/yr of the FY26 FCF base; Operational hazards: the Dec-2025/Mar-2026 Ernest Henry flooding cost ~12koz gold, ~8kt copper and A$45m; Mt Rawdon processing ceases in the Sep-2026 quarter; Triple Flag stream (A$578m deferred revenue) is a debt-like obligation left inside the operating flows; a stricter bridge deducts ~A$0.28/share; Carnaby completion (ACCC, scheme vote late Oct/early Nov 2026): modelled as value-neutral at A$213m scrip; the copper option is bull-case only</t>
  </si>
  <si>
    <t xml:space="preserve">Data sources</t>
  </si>
  <si>
    <t xml:space="preserve">price: Yahoo Finance chart API at inputs.price_as_of (ASX regular close); 52-week range 9.74-17.75. Spot gold (GC=F) and AUDUSD=X from the same API on 2026-09-22 for the cycle anchor.
financials: EVN.AX_Metrics.csv (metrics_normalized, A$ millions) FY2016-FY2026 plus H1s; FY26 Annual Financial Report (EVN.AX_Annual_FY2026.txt): statement of comprehensive income, balance sheet, cash flow statement, notes 4 (EPS/diluted shares), 10(a) (shares on issue), 19(b) (Carnaby); kpis table for AISC, production, achieved gold price, cash taxes paid.
qualitative: EVN.AX_Analysis.json (2026-09-22): FY27 guidance (production, AISC, sustaining/development/project/exploration capital), growth pipeline, bull/bear cases, gold-market outlook.</t>
  </si>
  <si>
    <t xml:space="preserve">Scenario narrative: bear</t>
  </si>
  <si>
    <t xml:space="preserve">A hawkish Fed surprise, dollar strength or the slowdown in central-bank buying already visible in Q1 2026 (16t vs the ~225t/quarter 2021-25 average) takes gold back to ~A$4,300/oz by FY29 -- the FY25 achieved price -- with copper 10% lower. The unhedged book offers no cushion, AISC keeps escalating on labour, fuel and royalties, and legacy-asset declines (Cowal, Ernest Henry, Northparkes, Mt Rawdon closed) hold volumes at the bottom of guidance while E22/Bert are slowed. Revenue falls ~23% over three years, EBITDA margin compresses to ~36-39%, and the FY27-28 committed capex is spent into a falling price, leaving owner FCF near zero for two years before recovering to ~A$450-500m/yr.</t>
  </si>
  <si>
    <t xml:space="preserve">Scenario narrative: base</t>
  </si>
  <si>
    <t xml:space="preserve">The axes for Evolution are (1) where the gold price settles after a three-year run from A$2,400 to A$6,000+/oz, now fully unhedged, (2) whether the copper by-product engine (Ernest Henry, Northparkes E22/CPF, Carnaby) offsets the structural AISC climb from A$907 to ~A$1,900/oz, and (3) whether the ~A$1.5bn/yr capital programme delivers its projects on budget and then rolls off. Base: production meets FY27 guidance (695koz, 66.5kt) at spot, gold then reverts to ~A$5,300/oz by FY29 -- 14% below spot, well above the five-year average -- while Bert, OPC and E22 lift volumes ~3%/yr from FY29. EBITDA margin falls from 55% to ~47% as 3%/yr cost escalation outruns nominal price drift; capex peaks at ~29% of revenue in FY28 and normalises to D&amp;A (~18%) by FY32; cash tax ramps to 31%. Terminal value is capped at 14x owner FCF.</t>
  </si>
  <si>
    <t xml:space="preserve">Scenario narrative: bull</t>
  </si>
  <si>
    <t xml:space="preserve">Gold holds A$6,300-6,500/oz (below the US$4,900-6,300 bank forecasts) and drifts with inflation; the growth pipeline delivers on schedule, taking production to ~800koz gold and ~90kt copper by FY31 with Carnaby's Greater Duchess adding ~10ktpa copper through Ernest Henry's mill. Margins hold at the FY26 underlying level (~56%) because growing by-product credits absorb cost inflation; capex rolls off to 16.5% of revenue as the E22 build completes; revenue compounds ~5%/yr through FY31 and 3.5% thereafter.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</si>
  <si>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</si>
  <si>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</si>
  <si>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</si>
  <si>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</si>
  <si>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</si>
  <si>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</si>
  <si>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</si>
  <si>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</si>
  <si>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</si>
  <si>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</si>
  <si>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</si>
  <si>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</si>
  <si>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</si>
  <si>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</si>
  <si>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</si>
  <si>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</si>
  <si>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</si>
  <si>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</si>
  <si>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</si>
  <si>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</si>
  <si>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</si>
  <si>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</si>
  <si>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</si>
  <si>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</si>
  <si>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</si>
  <si>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</si>
  <si>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</si>
  <si>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AISC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</si>
  <si>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</si>
  <si>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</si>
  <si>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</si>
  <si>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</si>
  <si>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</si>
  <si>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</si>
  <si>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</si>
  <si>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</si>
  <si>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</si>
  <si>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</si>
  <si>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</si>
  <si>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</si>
  <si>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</si>
  <si>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</si>
  <si>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</si>
  <si>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</si>
  <si>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</si>
  <si>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</si>
  <si>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</si>
  <si>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</si>
  <si>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</si>
  <si>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</si>
  <si>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</si>
  <si>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</si>
  <si>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</si>
  <si>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</si>
  <si>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</si>
  <si>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</si>
  <si>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</si>
  <si>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</si>
  <si>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</si>
  <si>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</si>
  <si>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</si>
  <si>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</si>
  <si>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</si>
  <si>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</si>
  <si>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</si>
  <si>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</si>
  <si>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</si>
  <si>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</si>
  <si>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</si>
  <si>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</si>
  <si>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</si>
  <si>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</si>
  <si>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</si>
  <si>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</si>
  <si>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</si>
  <si>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</si>
  <si>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EVN.AX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</si>
  <si>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</si>
  <si>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</si>
  <si>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</si>
  <si>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</si>
  <si>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</si>
  <si>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</si>
  <si>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</si>
  <si>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</si>
  <si>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</si>
  <si>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</si>
  <si>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</si>
  <si>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</si>
  <si>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</si>
  <si>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</si>
  <si>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</si>
  <si>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</si>
  <si>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</si>
  <si>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</si>
  <si>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</si>
  <si>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</si>
  <si>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</si>
  <si>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</si>
  <si>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</si>
  <si>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</si>
  <si>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</si>
  <si>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</si>
  <si>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</si>
  <si>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</si>
  <si>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</si>
  <si>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</si>
  <si>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EVN.AX owner-FCF component DCF: base case (millions, AUD)</t>
  </si>
  <si>
    <t xml:space="preserve">EVN.AX owner-FCF component DCF: bull case (millions, AUD)</t>
  </si>
  <si>
    <t xml:space="preserve">EVN.AX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</si>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</sst>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13.65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1328.614</v>
      </c>
      <c r="C2" s="0" t="n">
        <v>-694.226</v>
      </c>
      <c r="D2" s="0" t="n">
        <v>634.388</v>
      </c>
      <c r="E2" s="0" t="n">
        <v>47.7</v>
      </c>
      <c r="F2" s="0" t="n">
        <v>292.1</v>
      </c>
      <c r="G2" s="0" t="n">
        <v>22</v>
      </c>
      <c r="H2" s="0" t="n">
        <v>607.551</v>
      </c>
      <c r="I2" s="0" t="n">
        <v>21.532</v>
      </c>
      <c r="J2" s="0" t="n">
        <v>1.6</v>
      </c>
      <c r="M2" s="0" t="n">
        <v>200.214</v>
      </c>
      <c r="O2" s="0" t="n">
        <v>1551.433</v>
      </c>
      <c r="T2" s="0" t="n">
        <v>1390.16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1479.876</v>
      </c>
      <c r="C3" s="0" t="n">
        <v>-719.738</v>
      </c>
      <c r="D3" s="0" t="n">
        <v>328.532</v>
      </c>
      <c r="E3" s="0" t="n">
        <v>22.2</v>
      </c>
      <c r="F3" s="0" t="n">
        <v>325.031</v>
      </c>
      <c r="G3" s="0" t="n">
        <v>22</v>
      </c>
      <c r="H3" s="0" t="n">
        <v>713.855</v>
      </c>
      <c r="I3" s="0" t="n">
        <v>217.607</v>
      </c>
      <c r="J3" s="0" t="n">
        <v>14.7</v>
      </c>
      <c r="K3" s="0" t="n">
        <v>0.1328</v>
      </c>
      <c r="L3" s="0" t="n">
        <v>650.795</v>
      </c>
      <c r="M3" s="0" t="n">
        <v>244.998</v>
      </c>
      <c r="N3" s="0" t="n">
        <v>405.797</v>
      </c>
      <c r="O3" s="0" t="n">
        <v>2128.252</v>
      </c>
      <c r="P3" s="0" t="n">
        <v>2945.47</v>
      </c>
      <c r="Q3" s="0" t="n">
        <v>817.217</v>
      </c>
      <c r="R3" s="0" t="n">
        <v>436.124</v>
      </c>
      <c r="S3" s="0" t="n">
        <v>37.385</v>
      </c>
      <c r="T3" s="0" t="n">
        <v>1638.88</v>
      </c>
      <c r="U3" s="0" t="n">
        <v>6.413</v>
      </c>
      <c r="AA3" s="0" t="s">
        <v>17</v>
      </c>
      <c r="AB3" s="0" t="s">
        <v>14</v>
      </c>
      <c r="AC3" s="0" t="n">
        <v>907</v>
      </c>
    </row>
    <row r="4" customFormat="false" ht="15" hidden="false" customHeight="false" outlineLevel="0" collapsed="false">
      <c r="A4" s="0" t="s">
        <v>66</v>
      </c>
      <c r="B4" s="0" t="n">
        <v>1540.433</v>
      </c>
      <c r="C4" s="0" t="n">
        <v>-705.553</v>
      </c>
      <c r="D4" s="0" t="n">
        <v>399.961</v>
      </c>
      <c r="E4" s="0" t="n">
        <v>26</v>
      </c>
      <c r="F4" s="0" t="n">
        <v>360.38</v>
      </c>
      <c r="G4" s="0" t="n">
        <v>23.4</v>
      </c>
      <c r="H4" s="0" t="n">
        <v>795.083</v>
      </c>
      <c r="I4" s="0" t="n">
        <v>263.388</v>
      </c>
      <c r="J4" s="0" t="n">
        <v>17.1</v>
      </c>
      <c r="K4" s="0" t="n">
        <v>0.1557</v>
      </c>
      <c r="L4" s="0" t="n">
        <v>714.166</v>
      </c>
      <c r="M4" s="0" t="n">
        <v>271.87</v>
      </c>
      <c r="N4" s="0" t="n">
        <v>442.296</v>
      </c>
      <c r="O4" s="0" t="n">
        <v>2288.394</v>
      </c>
      <c r="P4" s="0" t="n">
        <v>3056.316</v>
      </c>
      <c r="Q4" s="0" t="n">
        <v>767.922</v>
      </c>
      <c r="R4" s="0" t="n">
        <v>385.966</v>
      </c>
      <c r="S4" s="0" t="n">
        <v>323.226</v>
      </c>
      <c r="T4" s="0" t="n">
        <v>1691.22</v>
      </c>
      <c r="U4" s="0" t="n">
        <v>8.491</v>
      </c>
      <c r="AA4" s="0" t="s">
        <v>17</v>
      </c>
      <c r="AB4" s="0" t="s">
        <v>14</v>
      </c>
      <c r="AC4" s="0" t="n">
        <v>797</v>
      </c>
    </row>
    <row r="5" customFormat="false" ht="15" hidden="false" customHeight="false" outlineLevel="0" collapsed="false">
      <c r="A5" s="0" t="s">
        <v>67</v>
      </c>
      <c r="B5" s="0" t="n">
        <v>1509.824</v>
      </c>
      <c r="C5" s="0" t="n">
        <v>-735.971</v>
      </c>
      <c r="F5" s="0" t="n">
        <v>330.304</v>
      </c>
      <c r="G5" s="0" t="n">
        <v>21.9</v>
      </c>
      <c r="H5" s="0" t="n">
        <v>730.262</v>
      </c>
      <c r="I5" s="0" t="n">
        <v>218.188</v>
      </c>
      <c r="J5" s="0" t="n">
        <v>14.5</v>
      </c>
      <c r="K5" s="0" t="n">
        <v>0.1286</v>
      </c>
      <c r="L5" s="0" t="n">
        <v>616.236</v>
      </c>
      <c r="M5" s="0" t="n">
        <v>273.636</v>
      </c>
      <c r="N5" s="0" t="n">
        <v>342.6</v>
      </c>
      <c r="O5" s="0" t="n">
        <v>2406.478</v>
      </c>
      <c r="R5" s="0" t="n">
        <v>293.433</v>
      </c>
      <c r="S5" s="0" t="n">
        <v>335.164</v>
      </c>
      <c r="T5" s="0" t="n">
        <v>1696.47</v>
      </c>
      <c r="AA5" s="0" t="s">
        <v>17</v>
      </c>
      <c r="AB5" s="0" t="s">
        <v>14</v>
      </c>
      <c r="AC5" s="0" t="n">
        <v>924</v>
      </c>
    </row>
    <row r="6" customFormat="false" ht="15" hidden="false" customHeight="false" outlineLevel="0" collapsed="false">
      <c r="A6" s="0" t="s">
        <v>68</v>
      </c>
      <c r="B6" s="0" t="n">
        <v>1941.863</v>
      </c>
      <c r="C6" s="0" t="n">
        <v>-852.937</v>
      </c>
      <c r="F6" s="0" t="n">
        <v>612.544</v>
      </c>
      <c r="G6" s="0" t="n">
        <v>31.5</v>
      </c>
      <c r="H6" s="0" t="n">
        <v>1029.432</v>
      </c>
      <c r="I6" s="0" t="n">
        <v>301.552</v>
      </c>
      <c r="J6" s="0" t="n">
        <v>15.5</v>
      </c>
      <c r="K6" s="0" t="n">
        <v>0.1771</v>
      </c>
      <c r="L6" s="0" t="n">
        <v>1005.32</v>
      </c>
      <c r="M6" s="0" t="n">
        <v>469.2</v>
      </c>
      <c r="N6" s="0" t="n">
        <v>536.12</v>
      </c>
      <c r="O6" s="0" t="n">
        <v>2463.795</v>
      </c>
      <c r="P6" s="0" t="n">
        <v>3674.65</v>
      </c>
      <c r="Q6" s="0" t="n">
        <v>1210.86</v>
      </c>
      <c r="R6" s="0" t="n">
        <v>562.062</v>
      </c>
      <c r="S6" s="0" t="n">
        <v>372.592</v>
      </c>
      <c r="T6" s="0" t="n">
        <v>1702.33</v>
      </c>
      <c r="AA6" s="0" t="s">
        <v>17</v>
      </c>
      <c r="AB6" s="0" t="s">
        <v>14</v>
      </c>
      <c r="AC6" s="0" t="n">
        <v>1043</v>
      </c>
    </row>
    <row r="7" customFormat="false" ht="15" hidden="false" customHeight="false" outlineLevel="0" collapsed="false">
      <c r="A7" s="0" t="s">
        <v>69</v>
      </c>
      <c r="B7" s="0" t="n">
        <v>1864.058</v>
      </c>
      <c r="C7" s="0" t="n">
        <v>-1285.131</v>
      </c>
      <c r="D7" s="0" t="n">
        <v>578.927</v>
      </c>
      <c r="E7" s="0" t="n">
        <v>31.1</v>
      </c>
      <c r="F7" s="0" t="n">
        <v>546.431</v>
      </c>
      <c r="G7" s="0" t="n">
        <v>29.3</v>
      </c>
      <c r="H7" s="0" t="n">
        <v>914.235</v>
      </c>
      <c r="I7" s="0" t="n">
        <v>345.262</v>
      </c>
      <c r="J7" s="0" t="n">
        <v>18.5</v>
      </c>
      <c r="K7" s="0" t="n">
        <v>0.2021</v>
      </c>
      <c r="L7" s="0" t="n">
        <v>757.008</v>
      </c>
      <c r="M7" s="0" t="n">
        <v>437.321</v>
      </c>
      <c r="N7" s="0" t="n">
        <v>319.687</v>
      </c>
      <c r="O7" s="0" t="n">
        <v>2534.89</v>
      </c>
      <c r="P7" s="0" t="n">
        <v>3957.04</v>
      </c>
      <c r="Q7" s="0" t="n">
        <v>1422.14</v>
      </c>
      <c r="R7" s="0" t="n">
        <v>611.232</v>
      </c>
      <c r="S7" s="0" t="n">
        <v>160.062</v>
      </c>
      <c r="T7" s="0" t="n">
        <v>1711.05</v>
      </c>
      <c r="U7" s="0" t="n">
        <v>11.371</v>
      </c>
      <c r="AA7" s="0" t="s">
        <v>17</v>
      </c>
      <c r="AB7" s="0" t="s">
        <v>14</v>
      </c>
      <c r="AC7" s="0" t="n">
        <v>1215</v>
      </c>
    </row>
    <row r="8" customFormat="false" ht="15" hidden="false" customHeight="false" outlineLevel="0" collapsed="false">
      <c r="A8" s="0" t="s">
        <v>70</v>
      </c>
      <c r="B8" s="0" t="n">
        <v>2064.928</v>
      </c>
      <c r="C8" s="0" t="n">
        <v>-1572.842</v>
      </c>
      <c r="D8" s="0" t="n">
        <v>492.086</v>
      </c>
      <c r="E8" s="0" t="n">
        <v>23.8</v>
      </c>
      <c r="F8" s="0" t="n">
        <v>430.989</v>
      </c>
      <c r="G8" s="0" t="n">
        <v>20.9</v>
      </c>
      <c r="H8" s="0" t="n">
        <v>898.814</v>
      </c>
      <c r="I8" s="0" t="n">
        <v>323.324</v>
      </c>
      <c r="J8" s="0" t="n">
        <v>15.7</v>
      </c>
      <c r="K8" s="0" t="n">
        <v>0.1774</v>
      </c>
      <c r="L8" s="0" t="n">
        <v>776.683</v>
      </c>
      <c r="M8" s="0" t="n">
        <v>669.103</v>
      </c>
      <c r="N8" s="0" t="n">
        <v>107.58</v>
      </c>
      <c r="O8" s="0" t="n">
        <v>3253.976</v>
      </c>
      <c r="P8" s="0" t="n">
        <v>6630.066</v>
      </c>
      <c r="Q8" s="0" t="n">
        <v>3376.09</v>
      </c>
      <c r="R8" s="0" t="n">
        <v>1837.946</v>
      </c>
      <c r="S8" s="0" t="n">
        <v>572.427</v>
      </c>
      <c r="T8" s="0" t="n">
        <v>1826.84</v>
      </c>
      <c r="U8" s="0" t="n">
        <v>13.879</v>
      </c>
      <c r="AA8" s="0" t="s">
        <v>17</v>
      </c>
      <c r="AB8" s="0" t="s">
        <v>14</v>
      </c>
      <c r="AC8" s="0" t="n">
        <v>1259</v>
      </c>
    </row>
    <row r="9" customFormat="false" ht="15" hidden="false" customHeight="false" outlineLevel="0" collapsed="false">
      <c r="A9" s="0" t="s">
        <v>71</v>
      </c>
      <c r="B9" s="0" t="n">
        <v>2226.931</v>
      </c>
      <c r="C9" s="0" t="n">
        <v>-1797.853</v>
      </c>
      <c r="D9" s="0" t="n">
        <v>429.078</v>
      </c>
      <c r="E9" s="0" t="n">
        <v>19.3</v>
      </c>
      <c r="F9" s="0" t="n">
        <v>323.964</v>
      </c>
      <c r="G9" s="0" t="n">
        <v>14.5</v>
      </c>
      <c r="H9" s="0" t="n">
        <v>844.513</v>
      </c>
      <c r="I9" s="0" t="n">
        <v>163.508</v>
      </c>
      <c r="J9" s="0" t="n">
        <v>7.3</v>
      </c>
      <c r="K9" s="0" t="n">
        <v>0.0891</v>
      </c>
      <c r="L9" s="0" t="n">
        <v>735.28</v>
      </c>
      <c r="M9" s="0" t="n">
        <v>838.675</v>
      </c>
      <c r="N9" s="0" t="n">
        <v>-103.395</v>
      </c>
      <c r="O9" s="0" t="n">
        <v>3294.876</v>
      </c>
      <c r="P9" s="0" t="n">
        <v>6752.38</v>
      </c>
      <c r="Q9" s="0" t="n">
        <v>3457.509</v>
      </c>
      <c r="R9" s="0" t="n">
        <v>1763.432</v>
      </c>
      <c r="S9" s="0" t="n">
        <v>46.146</v>
      </c>
      <c r="T9" s="0" t="n">
        <v>1839.75</v>
      </c>
      <c r="U9" s="0" t="n">
        <v>12.893</v>
      </c>
      <c r="AA9" s="0" t="s">
        <v>17</v>
      </c>
      <c r="AB9" s="0" t="s">
        <v>14</v>
      </c>
      <c r="AC9" s="0" t="n">
        <v>1450</v>
      </c>
    </row>
    <row r="10" customFormat="false" ht="15" hidden="false" customHeight="false" outlineLevel="0" collapsed="false">
      <c r="A10" s="0" t="s">
        <v>72</v>
      </c>
      <c r="B10" s="0" t="n">
        <v>3215.832</v>
      </c>
      <c r="C10" s="0" t="n">
        <v>-2292.576</v>
      </c>
      <c r="D10" s="0" t="n">
        <v>923.256</v>
      </c>
      <c r="E10" s="0" t="n">
        <v>28.7</v>
      </c>
      <c r="F10" s="0" t="n">
        <v>763.255</v>
      </c>
      <c r="G10" s="0" t="n">
        <v>23.7</v>
      </c>
      <c r="H10" s="0" t="n">
        <v>1428.335</v>
      </c>
      <c r="I10" s="0" t="n">
        <v>422.269</v>
      </c>
      <c r="J10" s="0" t="n">
        <v>13.1</v>
      </c>
      <c r="K10" s="0" t="n">
        <v>0.2231</v>
      </c>
      <c r="L10" s="0" t="n">
        <v>1281.43</v>
      </c>
      <c r="M10" s="0" t="n">
        <v>918.269</v>
      </c>
      <c r="N10" s="0" t="n">
        <v>363.161</v>
      </c>
      <c r="O10" s="0" t="n">
        <v>4142.196</v>
      </c>
      <c r="P10" s="0" t="n">
        <v>8818.841</v>
      </c>
      <c r="Q10" s="0" t="n">
        <v>4676.64</v>
      </c>
      <c r="R10" s="0" t="n">
        <v>2191.994</v>
      </c>
      <c r="S10" s="0" t="n">
        <v>403.303</v>
      </c>
      <c r="T10" s="0" t="n">
        <v>1924.07</v>
      </c>
      <c r="U10" s="0" t="n">
        <v>12.682</v>
      </c>
      <c r="AA10" s="0" t="s">
        <v>17</v>
      </c>
      <c r="AB10" s="0" t="s">
        <v>14</v>
      </c>
      <c r="AC10" s="0" t="n">
        <v>1477</v>
      </c>
    </row>
    <row r="11" customFormat="false" ht="15" hidden="false" customHeight="false" outlineLevel="0" collapsed="false">
      <c r="A11" s="0" t="s">
        <v>73</v>
      </c>
      <c r="B11" s="0" t="n">
        <v>4351.475</v>
      </c>
      <c r="C11" s="0" t="n">
        <v>-2792.446</v>
      </c>
      <c r="D11" s="0" t="n">
        <v>1559.029</v>
      </c>
      <c r="E11" s="0" t="n">
        <v>35.8</v>
      </c>
      <c r="F11" s="0" t="n">
        <v>1418.115</v>
      </c>
      <c r="G11" s="0" t="n">
        <v>32.6</v>
      </c>
      <c r="H11" s="0" t="n">
        <v>2161.058</v>
      </c>
      <c r="I11" s="0" t="n">
        <v>926.169</v>
      </c>
      <c r="J11" s="0" t="n">
        <v>21.3</v>
      </c>
      <c r="K11" s="0" t="n">
        <v>0.4649</v>
      </c>
      <c r="L11" s="0" t="n">
        <v>1966.581</v>
      </c>
      <c r="M11" s="0" t="n">
        <v>1176.379</v>
      </c>
      <c r="N11" s="0" t="n">
        <v>790.202</v>
      </c>
      <c r="O11" s="0" t="n">
        <v>4957.336</v>
      </c>
      <c r="P11" s="0" t="n">
        <v>9637.154</v>
      </c>
      <c r="Q11" s="0" t="n">
        <v>4679.818</v>
      </c>
      <c r="R11" s="0" t="n">
        <v>1768.34</v>
      </c>
      <c r="S11" s="0" t="n">
        <v>759.542</v>
      </c>
      <c r="T11" s="0" t="n">
        <v>1995.56</v>
      </c>
      <c r="U11" s="0" t="n">
        <v>21.406</v>
      </c>
      <c r="AA11" s="0" t="s">
        <v>17</v>
      </c>
      <c r="AB11" s="0" t="s">
        <v>14</v>
      </c>
      <c r="AC11" s="0" t="n">
        <v>1653</v>
      </c>
    </row>
    <row r="12" customFormat="false" ht="15" hidden="false" customHeight="false" outlineLevel="0" collapsed="false">
      <c r="A12" s="0" t="s">
        <v>74</v>
      </c>
      <c r="B12" s="0" t="n">
        <v>5558.774</v>
      </c>
      <c r="C12" s="0" t="n">
        <v>-3034.71</v>
      </c>
      <c r="D12" s="0" t="n">
        <v>2524.064</v>
      </c>
      <c r="E12" s="0" t="n">
        <v>45.4</v>
      </c>
      <c r="F12" s="0" t="n">
        <v>2290.346</v>
      </c>
      <c r="G12" s="0" t="n">
        <v>41.2</v>
      </c>
      <c r="H12" s="0" t="n">
        <v>3045.861</v>
      </c>
      <c r="I12" s="0" t="n">
        <v>1475.055</v>
      </c>
      <c r="J12" s="0" t="n">
        <v>26.5</v>
      </c>
      <c r="K12" s="0" t="n">
        <v>0.7284</v>
      </c>
      <c r="L12" s="0" t="n">
        <v>2636.583</v>
      </c>
      <c r="M12" s="0" t="n">
        <v>1204.466</v>
      </c>
      <c r="N12" s="0" t="n">
        <v>1432.117</v>
      </c>
      <c r="O12" s="0" t="n">
        <v>5828.768</v>
      </c>
      <c r="P12" s="0" t="n">
        <v>10546.239</v>
      </c>
      <c r="Q12" s="0" t="n">
        <v>4717.471</v>
      </c>
      <c r="R12" s="0" t="n">
        <v>1416.424</v>
      </c>
      <c r="S12" s="0" t="n">
        <v>1347.496</v>
      </c>
      <c r="T12" s="0" t="n">
        <v>2027.07</v>
      </c>
      <c r="U12" s="0" t="n">
        <v>37.329</v>
      </c>
      <c r="AA12" s="0" t="s">
        <v>17</v>
      </c>
      <c r="AB12" s="0" t="s">
        <v>14</v>
      </c>
      <c r="AC12" s="0" t="n">
        <v>1717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13.65</v>
      </c>
    </row>
    <row r="3" customFormat="false" ht="15" hidden="false" customHeight="false" outlineLevel="0" collapsed="false">
      <c r="A3" s="0" t="s">
        <v>78</v>
      </c>
      <c r="B3" s="3" t="n">
        <v>2048.7</v>
      </c>
    </row>
    <row r="4" customFormat="false" ht="15" hidden="false" customHeight="false" outlineLevel="0" collapsed="false">
      <c r="A4" s="0" t="s">
        <v>79</v>
      </c>
      <c r="B4" s="3" t="n">
        <v>68.9</v>
      </c>
    </row>
    <row r="5" customFormat="false" ht="15" hidden="false" customHeight="false" outlineLevel="0" collapsed="false">
      <c r="A5" s="0" t="s">
        <v>80</v>
      </c>
      <c r="B5" s="3" t="n">
        <v>275.2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5558.774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-8.4</v>
      </c>
      <c r="D13" s="3" t="n">
        <v>-10.9</v>
      </c>
      <c r="E13" s="3" t="n">
        <v>-5.9</v>
      </c>
      <c r="F13" s="3" t="n">
        <v>3</v>
      </c>
      <c r="G13" s="3" t="n">
        <v>3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99</v>
      </c>
      <c r="C14" s="3" t="n">
        <v>52.5</v>
      </c>
      <c r="D14" s="3" t="n">
        <v>45.5</v>
      </c>
      <c r="E14" s="3" t="n">
        <v>39</v>
      </c>
      <c r="F14" s="3" t="n">
        <v>38</v>
      </c>
      <c r="G14" s="3" t="n">
        <v>37</v>
      </c>
      <c r="H14" s="3" t="n">
        <v>36.5</v>
      </c>
      <c r="I14" s="3" t="n">
        <v>36</v>
      </c>
      <c r="J14" s="3" t="n">
        <v>36</v>
      </c>
      <c r="K14" s="3" t="n">
        <v>36</v>
      </c>
      <c r="L14" s="3" t="n">
        <v>36</v>
      </c>
    </row>
    <row r="15" customFormat="false" ht="15" hidden="false" customHeight="false" outlineLevel="0" collapsed="false">
      <c r="A15" s="0" t="s">
        <v>100</v>
      </c>
      <c r="C15" s="3" t="n">
        <v>0.67</v>
      </c>
      <c r="D15" s="3" t="n">
        <v>0.65</v>
      </c>
      <c r="E15" s="3" t="n">
        <v>0.65</v>
      </c>
      <c r="F15" s="3" t="n">
        <v>0.65</v>
      </c>
      <c r="G15" s="3" t="n">
        <v>0.65</v>
      </c>
      <c r="H15" s="3" t="n">
        <v>0.6</v>
      </c>
      <c r="I15" s="3" t="n">
        <v>0.6</v>
      </c>
      <c r="J15" s="3" t="n">
        <v>0.6</v>
      </c>
      <c r="K15" s="3" t="n">
        <v>0.6</v>
      </c>
      <c r="L15" s="3" t="n">
        <v>0.6</v>
      </c>
    </row>
    <row r="16" customFormat="false" ht="15" hidden="false" customHeight="false" outlineLevel="0" collapsed="false">
      <c r="A16" s="0" t="s">
        <v>101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102</v>
      </c>
      <c r="C17" s="3" t="n">
        <v>16</v>
      </c>
      <c r="D17" s="3" t="n">
        <v>18.5</v>
      </c>
      <c r="E17" s="3" t="n">
        <v>20</v>
      </c>
      <c r="F17" s="3" t="n">
        <v>20.5</v>
      </c>
      <c r="G17" s="3" t="n">
        <v>20.5</v>
      </c>
      <c r="H17" s="3" t="n">
        <v>20</v>
      </c>
      <c r="I17" s="3" t="n">
        <v>20</v>
      </c>
      <c r="J17" s="3" t="n">
        <v>20</v>
      </c>
      <c r="K17" s="3" t="n">
        <v>20</v>
      </c>
      <c r="L17" s="3" t="n">
        <v>20</v>
      </c>
    </row>
    <row r="18" customFormat="false" ht="15" hidden="false" customHeight="false" outlineLevel="0" collapsed="false">
      <c r="A18" s="0" t="s">
        <v>103</v>
      </c>
      <c r="C18" s="3" t="n">
        <v>29.5</v>
      </c>
      <c r="D18" s="3" t="n">
        <v>29.5</v>
      </c>
      <c r="E18" s="3" t="n">
        <v>25.5</v>
      </c>
      <c r="F18" s="3" t="n">
        <v>21.5</v>
      </c>
      <c r="G18" s="3" t="n">
        <v>19</v>
      </c>
      <c r="H18" s="3" t="n">
        <v>19</v>
      </c>
      <c r="I18" s="3" t="n">
        <v>19</v>
      </c>
      <c r="J18" s="3" t="n">
        <v>19</v>
      </c>
      <c r="K18" s="3" t="n">
        <v>19</v>
      </c>
      <c r="L18" s="3" t="n">
        <v>19</v>
      </c>
    </row>
    <row r="19" customFormat="false" ht="15" hidden="false" customHeight="false" outlineLevel="0" collapsed="false">
      <c r="A19" s="0" t="s">
        <v>104</v>
      </c>
      <c r="C19" s="3" t="n">
        <v>28</v>
      </c>
      <c r="D19" s="3" t="n">
        <v>29</v>
      </c>
      <c r="E19" s="3" t="n">
        <v>30</v>
      </c>
      <c r="F19" s="3" t="n">
        <v>31</v>
      </c>
      <c r="G19" s="3" t="n">
        <v>31</v>
      </c>
      <c r="H19" s="3" t="n">
        <v>31</v>
      </c>
      <c r="I19" s="3" t="n">
        <v>31</v>
      </c>
      <c r="J19" s="3" t="n">
        <v>31</v>
      </c>
      <c r="K19" s="3" t="n">
        <v>31</v>
      </c>
      <c r="L19" s="3" t="n">
        <v>31</v>
      </c>
    </row>
    <row r="20" customFormat="false" ht="15" hidden="false" customHeight="false" outlineLevel="0" collapsed="false">
      <c r="A20" s="0" t="s">
        <v>105</v>
      </c>
      <c r="B20" s="3" t="n">
        <v>9</v>
      </c>
    </row>
    <row r="21" customFormat="false" ht="15" hidden="false" customHeight="false" outlineLevel="0" collapsed="false">
      <c r="A21" s="0" t="s">
        <v>106</v>
      </c>
      <c r="B21" s="3" t="n">
        <v>2.5</v>
      </c>
    </row>
    <row r="22" customFormat="false" ht="15" hidden="false" customHeight="false" outlineLevel="0" collapsed="false">
      <c r="A22" s="0" t="s">
        <v>107</v>
      </c>
      <c r="B22" s="3" t="n">
        <v>14</v>
      </c>
    </row>
    <row r="23" customFormat="false" ht="15" hidden="false" customHeight="false" outlineLevel="0" collapsed="false">
      <c r="A23" s="0" t="s">
        <v>108</v>
      </c>
      <c r="B23" s="3" t="n">
        <v>-5</v>
      </c>
    </row>
    <row r="24" customFormat="false" ht="15" hidden="false" customHeight="false" outlineLevel="0" collapsed="false">
      <c r="A24" s="0" t="s">
        <v>109</v>
      </c>
      <c r="B24" s="3" t="n">
        <v>0.25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-0.5</v>
      </c>
      <c r="D27" s="3" t="n">
        <v>-5.3</v>
      </c>
      <c r="E27" s="3" t="n">
        <v>-2.4</v>
      </c>
      <c r="F27" s="3" t="n">
        <v>5</v>
      </c>
      <c r="G27" s="3" t="n">
        <v>4</v>
      </c>
      <c r="H27" s="3" t="n">
        <v>2.5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99</v>
      </c>
      <c r="C28" s="3" t="n">
        <v>55</v>
      </c>
      <c r="D28" s="3" t="n">
        <v>52</v>
      </c>
      <c r="E28" s="3" t="n">
        <v>48</v>
      </c>
      <c r="F28" s="3" t="n">
        <v>47.5</v>
      </c>
      <c r="G28" s="3" t="n">
        <v>47</v>
      </c>
      <c r="H28" s="3" t="n">
        <v>46.8</v>
      </c>
      <c r="I28" s="3" t="n">
        <v>46.6</v>
      </c>
      <c r="J28" s="3" t="n">
        <v>46.4</v>
      </c>
      <c r="K28" s="3" t="n">
        <v>46.2</v>
      </c>
      <c r="L28" s="3" t="n">
        <v>46</v>
      </c>
    </row>
    <row r="29" customFormat="false" ht="15" hidden="false" customHeight="false" outlineLevel="0" collapsed="false">
      <c r="A29" s="0" t="s">
        <v>100</v>
      </c>
      <c r="C29" s="3" t="n">
        <v>0.67</v>
      </c>
      <c r="D29" s="3" t="n">
        <v>0.65</v>
      </c>
      <c r="E29" s="3" t="n">
        <v>0.65</v>
      </c>
      <c r="F29" s="3" t="n">
        <v>0.65</v>
      </c>
      <c r="G29" s="3" t="n">
        <v>0.65</v>
      </c>
      <c r="H29" s="3" t="n">
        <v>0.6</v>
      </c>
      <c r="I29" s="3" t="n">
        <v>0.6</v>
      </c>
      <c r="J29" s="3" t="n">
        <v>0.6</v>
      </c>
      <c r="K29" s="3" t="n">
        <v>0.6</v>
      </c>
      <c r="L29" s="3" t="n">
        <v>0.6</v>
      </c>
    </row>
    <row r="30" customFormat="false" ht="15" hidden="false" customHeight="false" outlineLevel="0" collapsed="false">
      <c r="A30" s="0" t="s">
        <v>101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102</v>
      </c>
      <c r="C31" s="3" t="n">
        <v>14.5</v>
      </c>
      <c r="D31" s="3" t="n">
        <v>15.5</v>
      </c>
      <c r="E31" s="3" t="n">
        <v>16.5</v>
      </c>
      <c r="F31" s="3" t="n">
        <v>17.5</v>
      </c>
      <c r="G31" s="3" t="n">
        <v>18</v>
      </c>
      <c r="H31" s="3" t="n">
        <v>18</v>
      </c>
      <c r="I31" s="3" t="n">
        <v>18</v>
      </c>
      <c r="J31" s="3" t="n">
        <v>18</v>
      </c>
      <c r="K31" s="3" t="n">
        <v>18</v>
      </c>
      <c r="L31" s="3" t="n">
        <v>18</v>
      </c>
    </row>
    <row r="32" customFormat="false" ht="15" hidden="false" customHeight="false" outlineLevel="0" collapsed="false">
      <c r="A32" s="0" t="s">
        <v>103</v>
      </c>
      <c r="C32" s="3" t="n">
        <v>28</v>
      </c>
      <c r="D32" s="3" t="n">
        <v>29.5</v>
      </c>
      <c r="E32" s="3" t="n">
        <v>27.5</v>
      </c>
      <c r="F32" s="3" t="n">
        <v>23</v>
      </c>
      <c r="G32" s="3" t="n">
        <v>19.5</v>
      </c>
      <c r="H32" s="3" t="n">
        <v>18</v>
      </c>
      <c r="I32" s="3" t="n">
        <v>18</v>
      </c>
      <c r="J32" s="3" t="n">
        <v>18</v>
      </c>
      <c r="K32" s="3" t="n">
        <v>18</v>
      </c>
      <c r="L32" s="3" t="n">
        <v>18</v>
      </c>
    </row>
    <row r="33" customFormat="false" ht="15" hidden="false" customHeight="false" outlineLevel="0" collapsed="false">
      <c r="A33" s="0" t="s">
        <v>104</v>
      </c>
      <c r="C33" s="3" t="n">
        <v>28</v>
      </c>
      <c r="D33" s="3" t="n">
        <v>29</v>
      </c>
      <c r="E33" s="3" t="n">
        <v>30</v>
      </c>
      <c r="F33" s="3" t="n">
        <v>31</v>
      </c>
      <c r="G33" s="3" t="n">
        <v>31</v>
      </c>
      <c r="H33" s="3" t="n">
        <v>31</v>
      </c>
      <c r="I33" s="3" t="n">
        <v>31</v>
      </c>
      <c r="J33" s="3" t="n">
        <v>31</v>
      </c>
      <c r="K33" s="3" t="n">
        <v>31</v>
      </c>
      <c r="L33" s="3" t="n">
        <v>31</v>
      </c>
    </row>
    <row r="34" customFormat="false" ht="15" hidden="false" customHeight="false" outlineLevel="0" collapsed="false">
      <c r="A34" s="0" t="s">
        <v>105</v>
      </c>
      <c r="B34" s="3" t="n">
        <v>9</v>
      </c>
    </row>
    <row r="35" customFormat="false" ht="15" hidden="false" customHeight="false" outlineLevel="0" collapsed="false">
      <c r="A35" s="0" t="s">
        <v>106</v>
      </c>
      <c r="B35" s="3" t="n">
        <v>2.5</v>
      </c>
    </row>
    <row r="36" customFormat="false" ht="15" hidden="false" customHeight="false" outlineLevel="0" collapsed="false">
      <c r="A36" s="0" t="s">
        <v>107</v>
      </c>
      <c r="B36" s="3" t="n">
        <v>14</v>
      </c>
    </row>
    <row r="37" customFormat="false" ht="15" hidden="false" customHeight="false" outlineLevel="0" collapsed="false">
      <c r="A37" s="0" t="s">
        <v>108</v>
      </c>
      <c r="B37" s="3" t="n">
        <v>-5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2.3</v>
      </c>
      <c r="D41" s="3" t="n">
        <v>3.8</v>
      </c>
      <c r="E41" s="3" t="n">
        <v>7.2</v>
      </c>
      <c r="F41" s="3" t="n">
        <v>6.9</v>
      </c>
      <c r="G41" s="3" t="n">
        <v>5.7</v>
      </c>
      <c r="H41" s="3" t="n">
        <v>3.5</v>
      </c>
      <c r="I41" s="3" t="n">
        <v>3.5</v>
      </c>
      <c r="J41" s="3" t="n">
        <v>3.5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99</v>
      </c>
      <c r="C42" s="3" t="n">
        <v>57</v>
      </c>
      <c r="D42" s="3" t="n">
        <v>56.5</v>
      </c>
      <c r="E42" s="3" t="n">
        <v>56.5</v>
      </c>
      <c r="F42" s="3" t="n">
        <v>56</v>
      </c>
      <c r="G42" s="3" t="n">
        <v>55.5</v>
      </c>
      <c r="H42" s="3" t="n">
        <v>55.5</v>
      </c>
      <c r="I42" s="3" t="n">
        <v>55.5</v>
      </c>
      <c r="J42" s="3" t="n">
        <v>55.5</v>
      </c>
      <c r="K42" s="3" t="n">
        <v>55.5</v>
      </c>
      <c r="L42" s="3" t="n">
        <v>55.5</v>
      </c>
    </row>
    <row r="43" customFormat="false" ht="15" hidden="false" customHeight="false" outlineLevel="0" collapsed="false">
      <c r="A43" s="0" t="s">
        <v>100</v>
      </c>
      <c r="C43" s="3" t="n">
        <v>0.67</v>
      </c>
      <c r="D43" s="3" t="n">
        <v>0.65</v>
      </c>
      <c r="E43" s="3" t="n">
        <v>0.65</v>
      </c>
      <c r="F43" s="3" t="n">
        <v>0.65</v>
      </c>
      <c r="G43" s="3" t="n">
        <v>0.65</v>
      </c>
      <c r="H43" s="3" t="n">
        <v>0.6</v>
      </c>
      <c r="I43" s="3" t="n">
        <v>0.6</v>
      </c>
      <c r="J43" s="3" t="n">
        <v>0.6</v>
      </c>
      <c r="K43" s="3" t="n">
        <v>0.6</v>
      </c>
      <c r="L43" s="3" t="n">
        <v>0.6</v>
      </c>
    </row>
    <row r="44" customFormat="false" ht="15" hidden="false" customHeight="false" outlineLevel="0" collapsed="false">
      <c r="A44" s="0" t="s">
        <v>101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102</v>
      </c>
      <c r="C45" s="3" t="n">
        <v>14.5</v>
      </c>
      <c r="D45" s="3" t="n">
        <v>14.5</v>
      </c>
      <c r="E45" s="3" t="n">
        <v>15</v>
      </c>
      <c r="F45" s="3" t="n">
        <v>15.5</v>
      </c>
      <c r="G45" s="3" t="n">
        <v>16</v>
      </c>
      <c r="H45" s="3" t="n">
        <v>16</v>
      </c>
      <c r="I45" s="3" t="n">
        <v>16</v>
      </c>
      <c r="J45" s="3" t="n">
        <v>16</v>
      </c>
      <c r="K45" s="3" t="n">
        <v>16</v>
      </c>
      <c r="L45" s="3" t="n">
        <v>16</v>
      </c>
    </row>
    <row r="46" customFormat="false" ht="15" hidden="false" customHeight="false" outlineLevel="0" collapsed="false">
      <c r="A46" s="0" t="s">
        <v>103</v>
      </c>
      <c r="C46" s="3" t="n">
        <v>28</v>
      </c>
      <c r="D46" s="3" t="n">
        <v>27.5</v>
      </c>
      <c r="E46" s="3" t="n">
        <v>24</v>
      </c>
      <c r="F46" s="3" t="n">
        <v>20.5</v>
      </c>
      <c r="G46" s="3" t="n">
        <v>17.5</v>
      </c>
      <c r="H46" s="3" t="n">
        <v>16.5</v>
      </c>
      <c r="I46" s="3" t="n">
        <v>16.5</v>
      </c>
      <c r="J46" s="3" t="n">
        <v>16.5</v>
      </c>
      <c r="K46" s="3" t="n">
        <v>16.5</v>
      </c>
      <c r="L46" s="3" t="n">
        <v>16.5</v>
      </c>
    </row>
    <row r="47" customFormat="false" ht="15" hidden="false" customHeight="false" outlineLevel="0" collapsed="false">
      <c r="A47" s="0" t="s">
        <v>104</v>
      </c>
      <c r="C47" s="3" t="n">
        <v>28</v>
      </c>
      <c r="D47" s="3" t="n">
        <v>29</v>
      </c>
      <c r="E47" s="3" t="n">
        <v>30</v>
      </c>
      <c r="F47" s="3" t="n">
        <v>31</v>
      </c>
      <c r="G47" s="3" t="n">
        <v>31</v>
      </c>
      <c r="H47" s="3" t="n">
        <v>31</v>
      </c>
      <c r="I47" s="3" t="n">
        <v>31</v>
      </c>
      <c r="J47" s="3" t="n">
        <v>31</v>
      </c>
      <c r="K47" s="3" t="n">
        <v>31</v>
      </c>
      <c r="L47" s="3" t="n">
        <v>31</v>
      </c>
    </row>
    <row r="48" customFormat="false" ht="15" hidden="false" customHeight="false" outlineLevel="0" collapsed="false">
      <c r="A48" s="0" t="s">
        <v>105</v>
      </c>
      <c r="B48" s="3" t="n">
        <v>9</v>
      </c>
    </row>
    <row r="49" customFormat="false" ht="15" hidden="false" customHeight="false" outlineLevel="0" collapsed="false">
      <c r="A49" s="0" t="s">
        <v>106</v>
      </c>
      <c r="B49" s="3" t="n">
        <v>2.5</v>
      </c>
    </row>
    <row r="50" customFormat="false" ht="15" hidden="false" customHeight="false" outlineLevel="0" collapsed="false">
      <c r="A50" s="0" t="s">
        <v>107</v>
      </c>
      <c r="B50" s="3" t="n">
        <v>14</v>
      </c>
    </row>
    <row r="51" customFormat="false" ht="15" hidden="false" customHeight="false" outlineLevel="0" collapsed="false">
      <c r="A51" s="0" t="s">
        <v>108</v>
      </c>
      <c r="B51" s="3" t="n">
        <v>-5</v>
      </c>
    </row>
    <row r="52" customFormat="false" ht="15" hidden="false" customHeight="false" outlineLevel="0" collapsed="false">
      <c r="A52" s="0" t="s">
        <v>109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-8.4</v>
      </c>
      <c r="D5" s="4" t="n">
        <f aca="false">Assumptions!D13</f>
        <v>-10.9</v>
      </c>
      <c r="E5" s="4" t="n">
        <f aca="false">Assumptions!E13</f>
        <v>-5.9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5558.774</v>
      </c>
      <c r="C6" s="0" t="n">
        <f aca="false">B6*(1+C5/100)</f>
        <v>5091.836984</v>
      </c>
      <c r="D6" s="0" t="n">
        <f aca="false">C6*(1+D5/100)</f>
        <v>4536.826752744</v>
      </c>
      <c r="E6" s="0" t="n">
        <f aca="false">D6*(1+E5/100)</f>
        <v>4269.1539743321</v>
      </c>
      <c r="F6" s="0" t="n">
        <f aca="false">E6*(1+F5/100)</f>
        <v>4397.22859356207</v>
      </c>
      <c r="G6" s="0" t="n">
        <f aca="false">F6*(1+G5/100)</f>
        <v>4529.14545136893</v>
      </c>
      <c r="H6" s="0" t="n">
        <f aca="false">G6*(1+H5/100)</f>
        <v>4619.72836039631</v>
      </c>
      <c r="I6" s="0" t="n">
        <f aca="false">H6*(1+I5/100)</f>
        <v>4712.12292760423</v>
      </c>
      <c r="J6" s="0" t="n">
        <f aca="false">I6*(1+J5/100)</f>
        <v>4806.36538615632</v>
      </c>
      <c r="K6" s="0" t="n">
        <f aca="false">J6*(1+K5/100)</f>
        <v>4902.49269387944</v>
      </c>
      <c r="L6" s="0" t="n">
        <f aca="false">K6*(1+L5/100)</f>
        <v>5000.54254775703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52.5</v>
      </c>
      <c r="D7" s="4" t="n">
        <f aca="false">Assumptions!D14</f>
        <v>45.5</v>
      </c>
      <c r="E7" s="4" t="n">
        <f aca="false">Assumptions!E14</f>
        <v>39</v>
      </c>
      <c r="F7" s="4" t="n">
        <f aca="false">Assumptions!F14</f>
        <v>38</v>
      </c>
      <c r="G7" s="4" t="n">
        <f aca="false">Assumptions!G14</f>
        <v>37</v>
      </c>
      <c r="H7" s="4" t="n">
        <f aca="false">Assumptions!H14</f>
        <v>36.5</v>
      </c>
      <c r="I7" s="4" t="n">
        <f aca="false">Assumptions!I14</f>
        <v>36</v>
      </c>
      <c r="J7" s="4" t="n">
        <f aca="false">Assumptions!J14</f>
        <v>36</v>
      </c>
      <c r="K7" s="4" t="n">
        <f aca="false">Assumptions!K14</f>
        <v>36</v>
      </c>
      <c r="L7" s="4" t="n">
        <f aca="false">Assumptions!L14</f>
        <v>36</v>
      </c>
    </row>
    <row r="8" customFormat="false" ht="15" hidden="false" customHeight="false" outlineLevel="0" collapsed="false">
      <c r="A8" s="0" t="s">
        <v>43</v>
      </c>
      <c r="C8" s="0" t="n">
        <f aca="false">C6*C7/100</f>
        <v>2673.2144166</v>
      </c>
      <c r="D8" s="0" t="n">
        <f aca="false">D6*D7/100</f>
        <v>2064.25617249852</v>
      </c>
      <c r="E8" s="0" t="n">
        <f aca="false">E6*E7/100</f>
        <v>1664.97004998952</v>
      </c>
      <c r="F8" s="0" t="n">
        <f aca="false">F6*F7/100</f>
        <v>1670.94686555359</v>
      </c>
      <c r="G8" s="0" t="n">
        <f aca="false">G6*G7/100</f>
        <v>1675.7838170065</v>
      </c>
      <c r="H8" s="0" t="n">
        <f aca="false">H6*H7/100</f>
        <v>1686.20085154465</v>
      </c>
      <c r="I8" s="0" t="n">
        <f aca="false">I6*I7/100</f>
        <v>1696.36425393752</v>
      </c>
      <c r="J8" s="0" t="n">
        <f aca="false">J6*J7/100</f>
        <v>1730.29153901627</v>
      </c>
      <c r="K8" s="0" t="n">
        <f aca="false">K6*K7/100</f>
        <v>1764.8973697966</v>
      </c>
      <c r="L8" s="0" t="n">
        <f aca="false">L6*L7/100</f>
        <v>1800.19531719253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0.67</v>
      </c>
      <c r="D9" s="4" t="n">
        <f aca="false">Assumptions!D15</f>
        <v>0.65</v>
      </c>
      <c r="E9" s="4" t="n">
        <f aca="false">Assumptions!E15</f>
        <v>0.65</v>
      </c>
      <c r="F9" s="4" t="n">
        <f aca="false">Assumptions!F15</f>
        <v>0.65</v>
      </c>
      <c r="G9" s="4" t="n">
        <f aca="false">Assumptions!G15</f>
        <v>0.65</v>
      </c>
      <c r="H9" s="4" t="n">
        <f aca="false">Assumptions!H15</f>
        <v>0.6</v>
      </c>
      <c r="I9" s="4" t="n">
        <f aca="false">Assumptions!I15</f>
        <v>0.6</v>
      </c>
      <c r="J9" s="4" t="n">
        <f aca="false">Assumptions!J15</f>
        <v>0.6</v>
      </c>
      <c r="K9" s="4" t="n">
        <f aca="false">Assumptions!K15</f>
        <v>0.6</v>
      </c>
      <c r="L9" s="4" t="n">
        <f aca="false">Assumptions!L15</f>
        <v>0.6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-34.1153077928</v>
      </c>
      <c r="D10" s="0" t="n">
        <f aca="false">-D6*D9/100</f>
        <v>-29.489373892836</v>
      </c>
      <c r="E10" s="0" t="n">
        <f aca="false">-E6*E9/100</f>
        <v>-27.7495008331587</v>
      </c>
      <c r="F10" s="0" t="n">
        <f aca="false">-F6*F9/100</f>
        <v>-28.5819858581534</v>
      </c>
      <c r="G10" s="0" t="n">
        <f aca="false">-G6*G9/100</f>
        <v>-29.439445433898</v>
      </c>
      <c r="H10" s="0" t="n">
        <f aca="false">-H6*H9/100</f>
        <v>-27.7183701623778</v>
      </c>
      <c r="I10" s="0" t="n">
        <f aca="false">-I6*I9/100</f>
        <v>-28.2727375656254</v>
      </c>
      <c r="J10" s="0" t="n">
        <f aca="false">-J6*J9/100</f>
        <v>-28.8381923169379</v>
      </c>
      <c r="K10" s="0" t="n">
        <f aca="false">-K6*K9/100</f>
        <v>-29.4149561632767</v>
      </c>
      <c r="L10" s="0" t="n">
        <f aca="false">-L6*L9/100</f>
        <v>-30.0032552865422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2639.0991088072</v>
      </c>
      <c r="D11" s="0" t="n">
        <f aca="false">D8+D10+D24</f>
        <v>2034.76679860568</v>
      </c>
      <c r="E11" s="0" t="n">
        <f aca="false">E8+E10+E24</f>
        <v>1637.22054915636</v>
      </c>
      <c r="F11" s="0" t="n">
        <f aca="false">F8+F10+F24</f>
        <v>1642.36487969543</v>
      </c>
      <c r="G11" s="0" t="n">
        <f aca="false">G8+G10+G24</f>
        <v>1646.34437157261</v>
      </c>
      <c r="H11" s="0" t="n">
        <f aca="false">H8+H10+H24</f>
        <v>1658.48248138227</v>
      </c>
      <c r="I11" s="0" t="n">
        <f aca="false">I8+I10+I24</f>
        <v>1668.0915163719</v>
      </c>
      <c r="J11" s="0" t="n">
        <f aca="false">J8+J10+J24</f>
        <v>1701.45334669934</v>
      </c>
      <c r="K11" s="0" t="n">
        <f aca="false">K8+K10+K24</f>
        <v>1735.48241363332</v>
      </c>
      <c r="L11" s="0" t="n">
        <f aca="false">L8+L10+L24</f>
        <v>1770.19206190599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-814.69391744</v>
      </c>
      <c r="D12" s="4" t="n">
        <f aca="false">-D6*Assumptions!D17/100</f>
        <v>-839.31294925764</v>
      </c>
      <c r="E12" s="4" t="n">
        <f aca="false">-E6*Assumptions!E17/100</f>
        <v>-853.830794866421</v>
      </c>
      <c r="F12" s="4" t="n">
        <f aca="false">-F6*Assumptions!F17/100</f>
        <v>-901.431861680224</v>
      </c>
      <c r="G12" s="4" t="n">
        <f aca="false">-G6*Assumptions!G17/100</f>
        <v>-928.47481753063</v>
      </c>
      <c r="H12" s="4" t="n">
        <f aca="false">-H6*Assumptions!H17/100</f>
        <v>-923.945672079261</v>
      </c>
      <c r="I12" s="4" t="n">
        <f aca="false">-I6*Assumptions!I17/100</f>
        <v>-942.424585520847</v>
      </c>
      <c r="J12" s="4" t="n">
        <f aca="false">-J6*Assumptions!J17/100</f>
        <v>-961.273077231264</v>
      </c>
      <c r="K12" s="4" t="n">
        <f aca="false">-K6*Assumptions!K17/100</f>
        <v>-980.498538775889</v>
      </c>
      <c r="L12" s="4" t="n">
        <f aca="false">-L6*Assumptions!L17/100</f>
        <v>-1000.10850955141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1824.4051913672</v>
      </c>
      <c r="D13" s="0" t="n">
        <f aca="false">D11+D12</f>
        <v>1195.45384934804</v>
      </c>
      <c r="E13" s="0" t="n">
        <f aca="false">E11+E12</f>
        <v>783.389754289941</v>
      </c>
      <c r="F13" s="0" t="n">
        <f aca="false">F11+F12</f>
        <v>740.933018015208</v>
      </c>
      <c r="G13" s="0" t="n">
        <f aca="false">G11+G12</f>
        <v>717.869554041975</v>
      </c>
      <c r="H13" s="0" t="n">
        <f aca="false">H11+H12</f>
        <v>734.536809303013</v>
      </c>
      <c r="I13" s="0" t="n">
        <f aca="false">I11+I12</f>
        <v>725.666930851052</v>
      </c>
      <c r="J13" s="0" t="n">
        <f aca="false">J11+J12</f>
        <v>740.180269468073</v>
      </c>
      <c r="K13" s="0" t="n">
        <f aca="false">K11+K12</f>
        <v>754.983874857435</v>
      </c>
      <c r="L13" s="0" t="n">
        <f aca="false">L11+L12</f>
        <v>770.083552354583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28</v>
      </c>
      <c r="D14" s="4" t="n">
        <f aca="false">Assumptions!D19</f>
        <v>29</v>
      </c>
      <c r="E14" s="4" t="n">
        <f aca="false">Assumptions!E19</f>
        <v>30</v>
      </c>
      <c r="F14" s="4" t="n">
        <f aca="false">Assumptions!F19</f>
        <v>31</v>
      </c>
      <c r="G14" s="4" t="n">
        <f aca="false">Assumptions!G19</f>
        <v>31</v>
      </c>
      <c r="H14" s="4" t="n">
        <f aca="false">Assumptions!H19</f>
        <v>31</v>
      </c>
      <c r="I14" s="4" t="n">
        <f aca="false">Assumptions!I19</f>
        <v>31</v>
      </c>
      <c r="J14" s="4" t="n">
        <f aca="false">Assumptions!J19</f>
        <v>31</v>
      </c>
      <c r="K14" s="4" t="n">
        <f aca="false">Assumptions!K19</f>
        <v>31</v>
      </c>
      <c r="L14" s="4" t="n">
        <f aca="false">Assumptions!L19</f>
        <v>31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1313.57173778438</v>
      </c>
      <c r="D15" s="0" t="n">
        <f aca="false">D13-MAX(0,D13)*D14/100</f>
        <v>848.772233037111</v>
      </c>
      <c r="E15" s="0" t="n">
        <f aca="false">E13-MAX(0,E13)*E14/100</f>
        <v>548.372828002959</v>
      </c>
      <c r="F15" s="0" t="n">
        <f aca="false">F13-MAX(0,F13)*F14/100</f>
        <v>511.243782430494</v>
      </c>
      <c r="G15" s="0" t="n">
        <f aca="false">G13-MAX(0,G13)*G14/100</f>
        <v>495.329992288963</v>
      </c>
      <c r="H15" s="0" t="n">
        <f aca="false">H13-MAX(0,H13)*H14/100</f>
        <v>506.830398419079</v>
      </c>
      <c r="I15" s="0" t="n">
        <f aca="false">I13-MAX(0,I13)*I14/100</f>
        <v>500.710182287226</v>
      </c>
      <c r="J15" s="0" t="n">
        <f aca="false">J13-MAX(0,J13)*J14/100</f>
        <v>510.72438593297</v>
      </c>
      <c r="K15" s="0" t="n">
        <f aca="false">K13-MAX(0,K13)*K14/100</f>
        <v>520.93887365163</v>
      </c>
      <c r="L15" s="0" t="n">
        <f aca="false">L13-MAX(0,L13)*L14/100</f>
        <v>531.357651124662</v>
      </c>
    </row>
    <row r="16" customFormat="false" ht="15" hidden="false" customHeight="false" outlineLevel="0" collapsed="false">
      <c r="A16" s="0" t="s">
        <v>120</v>
      </c>
      <c r="C16" s="0" t="n">
        <f aca="false">-C12</f>
        <v>814.69391744</v>
      </c>
      <c r="D16" s="0" t="n">
        <f aca="false">-D12</f>
        <v>839.31294925764</v>
      </c>
      <c r="E16" s="0" t="n">
        <f aca="false">-E12</f>
        <v>853.830794866421</v>
      </c>
      <c r="F16" s="0" t="n">
        <f aca="false">-F12</f>
        <v>901.431861680224</v>
      </c>
      <c r="G16" s="0" t="n">
        <f aca="false">-G12</f>
        <v>928.47481753063</v>
      </c>
      <c r="H16" s="0" t="n">
        <f aca="false">-H12</f>
        <v>923.945672079261</v>
      </c>
      <c r="I16" s="0" t="n">
        <f aca="false">-I12</f>
        <v>942.424585520847</v>
      </c>
      <c r="J16" s="0" t="n">
        <f aca="false">-J12</f>
        <v>961.273077231264</v>
      </c>
      <c r="K16" s="0" t="n">
        <f aca="false">-K12</f>
        <v>980.498538775889</v>
      </c>
      <c r="L16" s="0" t="n">
        <f aca="false">-L12</f>
        <v>1000.10850955141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-1502.09191028</v>
      </c>
      <c r="D17" s="4" t="n">
        <f aca="false">-D6*Assumptions!D18/100</f>
        <v>-1338.36389205948</v>
      </c>
      <c r="E17" s="4" t="n">
        <f aca="false">-E6*Assumptions!E18/100</f>
        <v>-1088.63426345469</v>
      </c>
      <c r="F17" s="4" t="n">
        <f aca="false">-F6*Assumptions!F18/100</f>
        <v>-945.404147615844</v>
      </c>
      <c r="G17" s="4" t="n">
        <f aca="false">-G6*Assumptions!G18/100</f>
        <v>-860.537635760097</v>
      </c>
      <c r="H17" s="4" t="n">
        <f aca="false">-H6*Assumptions!H18/100</f>
        <v>-877.748388475298</v>
      </c>
      <c r="I17" s="4" t="n">
        <f aca="false">-I6*Assumptions!I18/100</f>
        <v>-895.303356244804</v>
      </c>
      <c r="J17" s="4" t="n">
        <f aca="false">-J6*Assumptions!J18/100</f>
        <v>-913.2094233697</v>
      </c>
      <c r="K17" s="4" t="n">
        <f aca="false">-K6*Assumptions!K18/100</f>
        <v>-931.473611837094</v>
      </c>
      <c r="L17" s="4" t="n">
        <f aca="false">-L6*Assumptions!L18/100</f>
        <v>-950.103084073836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23.3468508</v>
      </c>
      <c r="D18" s="4" t="n">
        <f aca="false">(D6-C6)*Assumptions!$B$23/100</f>
        <v>27.7505115628</v>
      </c>
      <c r="E18" s="4" t="n">
        <f aca="false">(E6-D6)*Assumptions!$B$23/100</f>
        <v>13.3836389205948</v>
      </c>
      <c r="F18" s="4" t="n">
        <f aca="false">(F6-E6)*Assumptions!$B$23/100</f>
        <v>-6.40373096149815</v>
      </c>
      <c r="G18" s="4" t="n">
        <f aca="false">(G6-F6)*Assumptions!$B$23/100</f>
        <v>-6.5958428903431</v>
      </c>
      <c r="H18" s="4" t="n">
        <f aca="false">(H6-G6)*Assumptions!$B$23/100</f>
        <v>-4.52914545136891</v>
      </c>
      <c r="I18" s="4" t="n">
        <f aca="false">(I6-H6)*Assumptions!$B$23/100</f>
        <v>-4.61972836039631</v>
      </c>
      <c r="J18" s="4" t="n">
        <f aca="false">(J6-I6)*Assumptions!$B$23/100</f>
        <v>-4.71212292760424</v>
      </c>
      <c r="K18" s="4" t="n">
        <f aca="false">(K6-J6)*Assumptions!$B$23/100</f>
        <v>-4.80636538615631</v>
      </c>
      <c r="L18" s="4" t="n">
        <f aca="false">(L6-K6)*Assumptions!$B$23/100</f>
        <v>-4.90249269387946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649.520595744384</v>
      </c>
      <c r="D19" s="0" t="n">
        <f aca="false">D15+D16+D17+D18</f>
        <v>377.471801798071</v>
      </c>
      <c r="E19" s="0" t="n">
        <f aca="false">E15+E16+E17+E18</f>
        <v>326.952998335288</v>
      </c>
      <c r="F19" s="0" t="n">
        <f aca="false">F15+F16+F17+F18</f>
        <v>460.867765533375</v>
      </c>
      <c r="G19" s="0" t="n">
        <f aca="false">G15+G16+G17+G18</f>
        <v>556.671331169154</v>
      </c>
      <c r="H19" s="0" t="n">
        <f aca="false">H15+H16+H17+H18</f>
        <v>548.498536571673</v>
      </c>
      <c r="I19" s="0" t="n">
        <f aca="false">I15+I16+I17+I18</f>
        <v>543.211683202872</v>
      </c>
      <c r="J19" s="0" t="n">
        <f aca="false">J15+J16+J17+J18</f>
        <v>554.075916866929</v>
      </c>
      <c r="K19" s="0" t="n">
        <f aca="false">K15+K16+K17+K18</f>
        <v>565.157435204268</v>
      </c>
      <c r="L19" s="0" t="n">
        <f aca="false">L15+L16+L17+L18</f>
        <v>576.460583908353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595.890454811362</v>
      </c>
      <c r="D21" s="0" t="n">
        <f aca="false">D19*D20</f>
        <v>317.710463595717</v>
      </c>
      <c r="E21" s="0" t="n">
        <f aca="false">E19*E20</f>
        <v>252.467704070942</v>
      </c>
      <c r="F21" s="0" t="n">
        <f aca="false">F19*F20</f>
        <v>326.490344071126</v>
      </c>
      <c r="G21" s="0" t="n">
        <f aca="false">G19*G20</f>
        <v>361.798169979313</v>
      </c>
      <c r="H21" s="0" t="n">
        <f aca="false">H19*H20</f>
        <v>327.051756198753</v>
      </c>
      <c r="I21" s="0" t="n">
        <f aca="false">I19*I20</f>
        <v>297.15539291095</v>
      </c>
      <c r="J21" s="0" t="n">
        <f aca="false">J19*J20</f>
        <v>278.072019054284</v>
      </c>
      <c r="K21" s="0" t="n">
        <f aca="false">K19*K20</f>
        <v>260.214182968229</v>
      </c>
      <c r="L21" s="0" t="n">
        <f aca="false">L19*L20</f>
        <v>243.503180392287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3260.35366805296</v>
      </c>
    </row>
    <row r="31" customFormat="false" ht="15" hidden="false" customHeight="false" outlineLevel="0" collapsed="false">
      <c r="A31" s="0" t="s">
        <v>129</v>
      </c>
      <c r="B31" s="0" t="n">
        <f aca="false">L19</f>
        <v>576.460583908353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9090.33997701634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8070.44817471694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8070.44817471694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3409.04452549202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6669.39819354499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6875.69819354499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3.35612739471127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-0.754129861193313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189.612381248663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199.854488568658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3.54623178765183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4726.9767880485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1.9064877629299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-0.5</v>
      </c>
      <c r="D5" s="4" t="n">
        <f aca="false">Assumptions!D27</f>
        <v>-5.3</v>
      </c>
      <c r="E5" s="4" t="n">
        <f aca="false">Assumptions!E27</f>
        <v>-2.4</v>
      </c>
      <c r="F5" s="4" t="n">
        <f aca="false">Assumptions!F27</f>
        <v>5</v>
      </c>
      <c r="G5" s="4" t="n">
        <f aca="false">Assumptions!G27</f>
        <v>4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5558.774</v>
      </c>
      <c r="C6" s="0" t="n">
        <f aca="false">B6*(1+C5/100)</f>
        <v>5530.98013</v>
      </c>
      <c r="D6" s="0" t="n">
        <f aca="false">C6*(1+D5/100)</f>
        <v>5237.83818311</v>
      </c>
      <c r="E6" s="0" t="n">
        <f aca="false">D6*(1+E5/100)</f>
        <v>5112.13006671536</v>
      </c>
      <c r="F6" s="0" t="n">
        <f aca="false">E6*(1+F5/100)</f>
        <v>5367.73657005113</v>
      </c>
      <c r="G6" s="0" t="n">
        <f aca="false">F6*(1+G5/100)</f>
        <v>5582.44603285317</v>
      </c>
      <c r="H6" s="0" t="n">
        <f aca="false">G6*(1+H5/100)</f>
        <v>5722.0071836745</v>
      </c>
      <c r="I6" s="0" t="n">
        <f aca="false">H6*(1+I5/100)</f>
        <v>5865.05736326636</v>
      </c>
      <c r="J6" s="0" t="n">
        <f aca="false">I6*(1+J5/100)</f>
        <v>6011.68379734802</v>
      </c>
      <c r="K6" s="0" t="n">
        <f aca="false">J6*(1+K5/100)</f>
        <v>6161.97589228172</v>
      </c>
      <c r="L6" s="0" t="n">
        <f aca="false">K6*(1+L5/100)</f>
        <v>6316.02528958876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55</v>
      </c>
      <c r="D7" s="4" t="n">
        <f aca="false">Assumptions!D28</f>
        <v>52</v>
      </c>
      <c r="E7" s="4" t="n">
        <f aca="false">Assumptions!E28</f>
        <v>48</v>
      </c>
      <c r="F7" s="4" t="n">
        <f aca="false">Assumptions!F28</f>
        <v>47.5</v>
      </c>
      <c r="G7" s="4" t="n">
        <f aca="false">Assumptions!G28</f>
        <v>47</v>
      </c>
      <c r="H7" s="4" t="n">
        <f aca="false">Assumptions!H28</f>
        <v>46.8</v>
      </c>
      <c r="I7" s="4" t="n">
        <f aca="false">Assumptions!I28</f>
        <v>46.6</v>
      </c>
      <c r="J7" s="4" t="n">
        <f aca="false">Assumptions!J28</f>
        <v>46.4</v>
      </c>
      <c r="K7" s="4" t="n">
        <f aca="false">Assumptions!K28</f>
        <v>46.2</v>
      </c>
      <c r="L7" s="4" t="n">
        <f aca="false">Assumptions!L28</f>
        <v>46</v>
      </c>
    </row>
    <row r="8" customFormat="false" ht="15" hidden="false" customHeight="false" outlineLevel="0" collapsed="false">
      <c r="A8" s="0" t="s">
        <v>43</v>
      </c>
      <c r="C8" s="0" t="n">
        <f aca="false">C6*C7/100</f>
        <v>3042.0390715</v>
      </c>
      <c r="D8" s="0" t="n">
        <f aca="false">D6*D7/100</f>
        <v>2723.6758552172</v>
      </c>
      <c r="E8" s="0" t="n">
        <f aca="false">E6*E7/100</f>
        <v>2453.82243202337</v>
      </c>
      <c r="F8" s="0" t="n">
        <f aca="false">F6*F7/100</f>
        <v>2549.67487077429</v>
      </c>
      <c r="G8" s="0" t="n">
        <f aca="false">G6*G7/100</f>
        <v>2623.74963544099</v>
      </c>
      <c r="H8" s="0" t="n">
        <f aca="false">H6*H7/100</f>
        <v>2677.89936195967</v>
      </c>
      <c r="I8" s="0" t="n">
        <f aca="false">I6*I7/100</f>
        <v>2733.11673128213</v>
      </c>
      <c r="J8" s="0" t="n">
        <f aca="false">J6*J7/100</f>
        <v>2789.42128196948</v>
      </c>
      <c r="K8" s="0" t="n">
        <f aca="false">K6*K7/100</f>
        <v>2846.83286223416</v>
      </c>
      <c r="L8" s="0" t="n">
        <f aca="false">L6*L7/100</f>
        <v>2905.37163321083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0.67</v>
      </c>
      <c r="D9" s="4" t="n">
        <f aca="false">Assumptions!D29</f>
        <v>0.65</v>
      </c>
      <c r="E9" s="4" t="n">
        <f aca="false">Assumptions!E29</f>
        <v>0.65</v>
      </c>
      <c r="F9" s="4" t="n">
        <f aca="false">Assumptions!F29</f>
        <v>0.65</v>
      </c>
      <c r="G9" s="4" t="n">
        <f aca="false">Assumptions!G29</f>
        <v>0.65</v>
      </c>
      <c r="H9" s="4" t="n">
        <f aca="false">Assumptions!H29</f>
        <v>0.6</v>
      </c>
      <c r="I9" s="4" t="n">
        <f aca="false">Assumptions!I29</f>
        <v>0.6</v>
      </c>
      <c r="J9" s="4" t="n">
        <f aca="false">Assumptions!J29</f>
        <v>0.6</v>
      </c>
      <c r="K9" s="4" t="n">
        <f aca="false">Assumptions!K29</f>
        <v>0.6</v>
      </c>
      <c r="L9" s="4" t="n">
        <f aca="false">Assumptions!L29</f>
        <v>0.6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-37.057566871</v>
      </c>
      <c r="D10" s="0" t="n">
        <f aca="false">-D6*D9/100</f>
        <v>-34.045948190215</v>
      </c>
      <c r="E10" s="0" t="n">
        <f aca="false">-E6*E9/100</f>
        <v>-33.2288454336498</v>
      </c>
      <c r="F10" s="0" t="n">
        <f aca="false">-F6*F9/100</f>
        <v>-34.8902877053323</v>
      </c>
      <c r="G10" s="0" t="n">
        <f aca="false">-G6*G9/100</f>
        <v>-36.2858992135456</v>
      </c>
      <c r="H10" s="0" t="n">
        <f aca="false">-H6*H9/100</f>
        <v>-34.332043102047</v>
      </c>
      <c r="I10" s="0" t="n">
        <f aca="false">-I6*I9/100</f>
        <v>-35.1903441795982</v>
      </c>
      <c r="J10" s="0" t="n">
        <f aca="false">-J6*J9/100</f>
        <v>-36.0701027840881</v>
      </c>
      <c r="K10" s="0" t="n">
        <f aca="false">-K6*K9/100</f>
        <v>-36.9718553536903</v>
      </c>
      <c r="L10" s="0" t="n">
        <f aca="false">-L6*L9/100</f>
        <v>-37.8961517375326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3004.981504629</v>
      </c>
      <c r="D11" s="0" t="n">
        <f aca="false">D8+D10+D24</f>
        <v>2689.62990702699</v>
      </c>
      <c r="E11" s="0" t="n">
        <f aca="false">E8+E10+E24</f>
        <v>2420.59358658972</v>
      </c>
      <c r="F11" s="0" t="n">
        <f aca="false">F8+F10+F24</f>
        <v>2514.78458306895</v>
      </c>
      <c r="G11" s="0" t="n">
        <f aca="false">G8+G10+G24</f>
        <v>2587.46373622744</v>
      </c>
      <c r="H11" s="0" t="n">
        <f aca="false">H8+H10+H24</f>
        <v>2643.56731885762</v>
      </c>
      <c r="I11" s="0" t="n">
        <f aca="false">I8+I10+I24</f>
        <v>2697.92638710253</v>
      </c>
      <c r="J11" s="0" t="n">
        <f aca="false">J8+J10+J24</f>
        <v>2753.35117918539</v>
      </c>
      <c r="K11" s="0" t="n">
        <f aca="false">K8+K10+K24</f>
        <v>2809.86100688047</v>
      </c>
      <c r="L11" s="0" t="n">
        <f aca="false">L8+L10+L24</f>
        <v>2867.4754814733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-801.99211885</v>
      </c>
      <c r="D12" s="4" t="n">
        <f aca="false">-D6*Assumptions!D31/100</f>
        <v>-811.86491838205</v>
      </c>
      <c r="E12" s="4" t="n">
        <f aca="false">-E6*Assumptions!E31/100</f>
        <v>-843.501461008034</v>
      </c>
      <c r="F12" s="4" t="n">
        <f aca="false">-F6*Assumptions!F31/100</f>
        <v>-939.353899758947</v>
      </c>
      <c r="G12" s="4" t="n">
        <f aca="false">-G6*Assumptions!G31/100</f>
        <v>-1004.84028591357</v>
      </c>
      <c r="H12" s="4" t="n">
        <f aca="false">-H6*Assumptions!H31/100</f>
        <v>-1029.96129306141</v>
      </c>
      <c r="I12" s="4" t="n">
        <f aca="false">-I6*Assumptions!I31/100</f>
        <v>-1055.71032538795</v>
      </c>
      <c r="J12" s="4" t="n">
        <f aca="false">-J6*Assumptions!J31/100</f>
        <v>-1082.10308352264</v>
      </c>
      <c r="K12" s="4" t="n">
        <f aca="false">-K6*Assumptions!K31/100</f>
        <v>-1109.15566061071</v>
      </c>
      <c r="L12" s="4" t="n">
        <f aca="false">-L6*Assumptions!L31/100</f>
        <v>-1136.88455212598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2202.989385779</v>
      </c>
      <c r="D13" s="0" t="n">
        <f aca="false">D11+D12</f>
        <v>1877.76498864494</v>
      </c>
      <c r="E13" s="0" t="n">
        <f aca="false">E11+E12</f>
        <v>1577.09212558169</v>
      </c>
      <c r="F13" s="0" t="n">
        <f aca="false">F11+F12</f>
        <v>1575.43068331001</v>
      </c>
      <c r="G13" s="0" t="n">
        <f aca="false">G11+G12</f>
        <v>1582.62345031387</v>
      </c>
      <c r="H13" s="0" t="n">
        <f aca="false">H11+H12</f>
        <v>1613.60602579621</v>
      </c>
      <c r="I13" s="0" t="n">
        <f aca="false">I11+I12</f>
        <v>1642.21606171458</v>
      </c>
      <c r="J13" s="0" t="n">
        <f aca="false">J11+J12</f>
        <v>1671.24809566275</v>
      </c>
      <c r="K13" s="0" t="n">
        <f aca="false">K11+K12</f>
        <v>1700.70534626976</v>
      </c>
      <c r="L13" s="0" t="n">
        <f aca="false">L11+L12</f>
        <v>1730.59092934732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28</v>
      </c>
      <c r="D14" s="4" t="n">
        <f aca="false">Assumptions!D33</f>
        <v>29</v>
      </c>
      <c r="E14" s="4" t="n">
        <f aca="false">Assumptions!E33</f>
        <v>30</v>
      </c>
      <c r="F14" s="4" t="n">
        <f aca="false">Assumptions!F33</f>
        <v>31</v>
      </c>
      <c r="G14" s="4" t="n">
        <f aca="false">Assumptions!G33</f>
        <v>31</v>
      </c>
      <c r="H14" s="4" t="n">
        <f aca="false">Assumptions!H33</f>
        <v>31</v>
      </c>
      <c r="I14" s="4" t="n">
        <f aca="false">Assumptions!I33</f>
        <v>31</v>
      </c>
      <c r="J14" s="4" t="n">
        <f aca="false">Assumptions!J33</f>
        <v>31</v>
      </c>
      <c r="K14" s="4" t="n">
        <f aca="false">Assumptions!K33</f>
        <v>31</v>
      </c>
      <c r="L14" s="4" t="n">
        <f aca="false">Assumptions!L33</f>
        <v>31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1586.15235776088</v>
      </c>
      <c r="D15" s="0" t="n">
        <f aca="false">D13-MAX(0,D13)*D14/100</f>
        <v>1333.2131419379</v>
      </c>
      <c r="E15" s="0" t="n">
        <f aca="false">E13-MAX(0,E13)*E14/100</f>
        <v>1103.96448790718</v>
      </c>
      <c r="F15" s="0" t="n">
        <f aca="false">F13-MAX(0,F13)*F14/100</f>
        <v>1087.0471714839</v>
      </c>
      <c r="G15" s="0" t="n">
        <f aca="false">G13-MAX(0,G13)*G14/100</f>
        <v>1092.01018071657</v>
      </c>
      <c r="H15" s="0" t="n">
        <f aca="false">H13-MAX(0,H13)*H14/100</f>
        <v>1113.38815779938</v>
      </c>
      <c r="I15" s="0" t="n">
        <f aca="false">I13-MAX(0,I13)*I14/100</f>
        <v>1133.12908258306</v>
      </c>
      <c r="J15" s="0" t="n">
        <f aca="false">J13-MAX(0,J13)*J14/100</f>
        <v>1153.1611860073</v>
      </c>
      <c r="K15" s="0" t="n">
        <f aca="false">K13-MAX(0,K13)*K14/100</f>
        <v>1173.48668892613</v>
      </c>
      <c r="L15" s="0" t="n">
        <f aca="false">L13-MAX(0,L13)*L14/100</f>
        <v>1194.10774124965</v>
      </c>
    </row>
    <row r="16" customFormat="false" ht="15" hidden="false" customHeight="false" outlineLevel="0" collapsed="false">
      <c r="A16" s="0" t="s">
        <v>120</v>
      </c>
      <c r="C16" s="0" t="n">
        <f aca="false">-C12</f>
        <v>801.99211885</v>
      </c>
      <c r="D16" s="0" t="n">
        <f aca="false">-D12</f>
        <v>811.86491838205</v>
      </c>
      <c r="E16" s="0" t="n">
        <f aca="false">-E12</f>
        <v>843.501461008034</v>
      </c>
      <c r="F16" s="0" t="n">
        <f aca="false">-F12</f>
        <v>939.353899758947</v>
      </c>
      <c r="G16" s="0" t="n">
        <f aca="false">-G12</f>
        <v>1004.84028591357</v>
      </c>
      <c r="H16" s="0" t="n">
        <f aca="false">-H12</f>
        <v>1029.96129306141</v>
      </c>
      <c r="I16" s="0" t="n">
        <f aca="false">-I12</f>
        <v>1055.71032538795</v>
      </c>
      <c r="J16" s="0" t="n">
        <f aca="false">-J12</f>
        <v>1082.10308352264</v>
      </c>
      <c r="K16" s="0" t="n">
        <f aca="false">-K12</f>
        <v>1109.15566061071</v>
      </c>
      <c r="L16" s="0" t="n">
        <f aca="false">-L12</f>
        <v>1136.88455212598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-1548.6744364</v>
      </c>
      <c r="D17" s="4" t="n">
        <f aca="false">-D6*Assumptions!D32/100</f>
        <v>-1545.16226401745</v>
      </c>
      <c r="E17" s="4" t="n">
        <f aca="false">-E6*Assumptions!E32/100</f>
        <v>-1405.83576834672</v>
      </c>
      <c r="F17" s="4" t="n">
        <f aca="false">-F6*Assumptions!F32/100</f>
        <v>-1234.57941111176</v>
      </c>
      <c r="G17" s="4" t="n">
        <f aca="false">-G6*Assumptions!G32/100</f>
        <v>-1088.57697640637</v>
      </c>
      <c r="H17" s="4" t="n">
        <f aca="false">-H6*Assumptions!H32/100</f>
        <v>-1029.96129306141</v>
      </c>
      <c r="I17" s="4" t="n">
        <f aca="false">-I6*Assumptions!I32/100</f>
        <v>-1055.71032538795</v>
      </c>
      <c r="J17" s="4" t="n">
        <f aca="false">-J6*Assumptions!J32/100</f>
        <v>-1082.10308352264</v>
      </c>
      <c r="K17" s="4" t="n">
        <f aca="false">-K6*Assumptions!K32/100</f>
        <v>-1109.15566061071</v>
      </c>
      <c r="L17" s="4" t="n">
        <f aca="false">-L6*Assumptions!L32/100</f>
        <v>-1136.88455212598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1.38969350000002</v>
      </c>
      <c r="D18" s="4" t="n">
        <f aca="false">(D6-C6)*Assumptions!$B$37/100</f>
        <v>14.6570973445</v>
      </c>
      <c r="E18" s="4" t="n">
        <f aca="false">(E6-D6)*Assumptions!$B$37/100</f>
        <v>6.28540581973202</v>
      </c>
      <c r="F18" s="4" t="n">
        <f aca="false">(F6-E6)*Assumptions!$B$37/100</f>
        <v>-12.7803251667884</v>
      </c>
      <c r="G18" s="4" t="n">
        <f aca="false">(G6-F6)*Assumptions!$B$37/100</f>
        <v>-10.7354731401022</v>
      </c>
      <c r="H18" s="4" t="n">
        <f aca="false">(H6-G6)*Assumptions!$B$37/100</f>
        <v>-6.97805754106644</v>
      </c>
      <c r="I18" s="4" t="n">
        <f aca="false">(I6-H6)*Assumptions!$B$37/100</f>
        <v>-7.15250897959309</v>
      </c>
      <c r="J18" s="4" t="n">
        <f aca="false">(J6-I6)*Assumptions!$B$37/100</f>
        <v>-7.33132170408294</v>
      </c>
      <c r="K18" s="4" t="n">
        <f aca="false">(K6-J6)*Assumptions!$B$37/100</f>
        <v>-7.51460474668502</v>
      </c>
      <c r="L18" s="4" t="n">
        <f aca="false">(L6-K6)*Assumptions!$B$37/100</f>
        <v>-7.70246986535212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840.85973371088</v>
      </c>
      <c r="D19" s="0" t="n">
        <f aca="false">D15+D16+D17+D18</f>
        <v>614.572893647004</v>
      </c>
      <c r="E19" s="0" t="n">
        <f aca="false">E15+E16+E17+E18</f>
        <v>547.915586388224</v>
      </c>
      <c r="F19" s="0" t="n">
        <f aca="false">F15+F16+F17+F18</f>
        <v>779.041334964304</v>
      </c>
      <c r="G19" s="0" t="n">
        <f aca="false">G15+G16+G17+G18</f>
        <v>997.538017083673</v>
      </c>
      <c r="H19" s="0" t="n">
        <f aca="false">H15+H16+H17+H18</f>
        <v>1106.41010025832</v>
      </c>
      <c r="I19" s="0" t="n">
        <f aca="false">I15+I16+I17+I18</f>
        <v>1125.97657360347</v>
      </c>
      <c r="J19" s="0" t="n">
        <f aca="false">J15+J16+J17+J18</f>
        <v>1145.82986430321</v>
      </c>
      <c r="K19" s="0" t="n">
        <f aca="false">K15+K16+K17+K18</f>
        <v>1165.97208417945</v>
      </c>
      <c r="L19" s="0" t="n">
        <f aca="false">L15+L16+L17+L18</f>
        <v>1186.4052713843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771.430948358606</v>
      </c>
      <c r="D21" s="0" t="n">
        <f aca="false">D19*D20</f>
        <v>517.273708986621</v>
      </c>
      <c r="E21" s="0" t="n">
        <f aca="false">E19*E20</f>
        <v>423.091364276958</v>
      </c>
      <c r="F21" s="0" t="n">
        <f aca="false">F19*F20</f>
        <v>551.892522150599</v>
      </c>
      <c r="G21" s="0" t="n">
        <f aca="false">G19*G20</f>
        <v>648.331266328494</v>
      </c>
      <c r="H21" s="0" t="n">
        <f aca="false">H19*H20</f>
        <v>659.716192913192</v>
      </c>
      <c r="I21" s="0" t="n">
        <f aca="false">I19*I20</f>
        <v>615.947744652439</v>
      </c>
      <c r="J21" s="0" t="n">
        <f aca="false">J19*J20</f>
        <v>575.053371135807</v>
      </c>
      <c r="K21" s="0" t="n">
        <f aca="false">K19*K20</f>
        <v>536.845937696736</v>
      </c>
      <c r="L21" s="0" t="n">
        <f aca="false">L19*L20</f>
        <v>501.150407990741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5800.73346449019</v>
      </c>
    </row>
    <row r="31" customFormat="false" ht="15" hidden="false" customHeight="false" outlineLevel="0" collapsed="false">
      <c r="A31" s="0" t="s">
        <v>129</v>
      </c>
      <c r="B31" s="0" t="n">
        <f aca="false">L19</f>
        <v>1186.4052713843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18708.6985102909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16609.6737993802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16609.6737993802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7016.10571187037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12816.8391763606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13023.1391763606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6.35678194775251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-0.53430168880934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227.467211442415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252.429809762076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6.59102660104703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9728.52322535126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3.42142355690757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2.3</v>
      </c>
      <c r="D5" s="4" t="n">
        <f aca="false">Assumptions!D41</f>
        <v>3.8</v>
      </c>
      <c r="E5" s="4" t="n">
        <f aca="false">Assumptions!E41</f>
        <v>7.2</v>
      </c>
      <c r="F5" s="4" t="n">
        <f aca="false">Assumptions!F41</f>
        <v>6.9</v>
      </c>
      <c r="G5" s="4" t="n">
        <f aca="false">Assumptions!G41</f>
        <v>5.7</v>
      </c>
      <c r="H5" s="4" t="n">
        <f aca="false">Assumptions!H41</f>
        <v>3.5</v>
      </c>
      <c r="I5" s="4" t="n">
        <f aca="false">Assumptions!I41</f>
        <v>3.5</v>
      </c>
      <c r="J5" s="4" t="n">
        <f aca="false">Assumptions!J41</f>
        <v>3.5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5558.774</v>
      </c>
      <c r="C6" s="0" t="n">
        <f aca="false">B6*(1+C5/100)</f>
        <v>5686.625802</v>
      </c>
      <c r="D6" s="0" t="n">
        <f aca="false">C6*(1+D5/100)</f>
        <v>5902.717582476</v>
      </c>
      <c r="E6" s="0" t="n">
        <f aca="false">D6*(1+E5/100)</f>
        <v>6327.71324841427</v>
      </c>
      <c r="F6" s="0" t="n">
        <f aca="false">E6*(1+F5/100)</f>
        <v>6764.32546255486</v>
      </c>
      <c r="G6" s="0" t="n">
        <f aca="false">F6*(1+G5/100)</f>
        <v>7149.89201392048</v>
      </c>
      <c r="H6" s="0" t="n">
        <f aca="false">G6*(1+H5/100)</f>
        <v>7400.1382344077</v>
      </c>
      <c r="I6" s="0" t="n">
        <f aca="false">H6*(1+I5/100)</f>
        <v>7659.14307261197</v>
      </c>
      <c r="J6" s="0" t="n">
        <f aca="false">I6*(1+J5/100)</f>
        <v>7927.21308015339</v>
      </c>
      <c r="K6" s="0" t="n">
        <f aca="false">J6*(1+K5/100)</f>
        <v>8204.66553795876</v>
      </c>
      <c r="L6" s="0" t="n">
        <f aca="false">K6*(1+L5/100)</f>
        <v>8491.82883178731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57</v>
      </c>
      <c r="D7" s="4" t="n">
        <f aca="false">Assumptions!D42</f>
        <v>56.5</v>
      </c>
      <c r="E7" s="4" t="n">
        <f aca="false">Assumptions!E42</f>
        <v>56.5</v>
      </c>
      <c r="F7" s="4" t="n">
        <f aca="false">Assumptions!F42</f>
        <v>56</v>
      </c>
      <c r="G7" s="4" t="n">
        <f aca="false">Assumptions!G42</f>
        <v>55.5</v>
      </c>
      <c r="H7" s="4" t="n">
        <f aca="false">Assumptions!H42</f>
        <v>55.5</v>
      </c>
      <c r="I7" s="4" t="n">
        <f aca="false">Assumptions!I42</f>
        <v>55.5</v>
      </c>
      <c r="J7" s="4" t="n">
        <f aca="false">Assumptions!J42</f>
        <v>55.5</v>
      </c>
      <c r="K7" s="4" t="n">
        <f aca="false">Assumptions!K42</f>
        <v>55.5</v>
      </c>
      <c r="L7" s="4" t="n">
        <f aca="false">Assumptions!L42</f>
        <v>55.5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3241.37670714</v>
      </c>
      <c r="D8" s="0" t="n">
        <f aca="false">D6*D7/100</f>
        <v>3335.03543409894</v>
      </c>
      <c r="E8" s="0" t="n">
        <f aca="false">E6*E7/100</f>
        <v>3575.15798535406</v>
      </c>
      <c r="F8" s="0" t="n">
        <f aca="false">F6*F7/100</f>
        <v>3788.02225903072</v>
      </c>
      <c r="G8" s="0" t="n">
        <f aca="false">G6*G7/100</f>
        <v>3968.19006772587</v>
      </c>
      <c r="H8" s="0" t="n">
        <f aca="false">H6*H7/100</f>
        <v>4107.07672009627</v>
      </c>
      <c r="I8" s="0" t="n">
        <f aca="false">I6*I7/100</f>
        <v>4250.82440529964</v>
      </c>
      <c r="J8" s="0" t="n">
        <f aca="false">J6*J7/100</f>
        <v>4399.60325948513</v>
      </c>
      <c r="K8" s="0" t="n">
        <f aca="false">K6*K7/100</f>
        <v>4553.58937356711</v>
      </c>
      <c r="L8" s="0" t="n">
        <f aca="false">L6*L7/100</f>
        <v>4712.96500164196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0.67</v>
      </c>
      <c r="D9" s="4" t="n">
        <f aca="false">Assumptions!D43</f>
        <v>0.65</v>
      </c>
      <c r="E9" s="4" t="n">
        <f aca="false">Assumptions!E43</f>
        <v>0.65</v>
      </c>
      <c r="F9" s="4" t="n">
        <f aca="false">Assumptions!F43</f>
        <v>0.65</v>
      </c>
      <c r="G9" s="4" t="n">
        <f aca="false">Assumptions!G43</f>
        <v>0.65</v>
      </c>
      <c r="H9" s="4" t="n">
        <f aca="false">Assumptions!H43</f>
        <v>0.6</v>
      </c>
      <c r="I9" s="4" t="n">
        <f aca="false">Assumptions!I43</f>
        <v>0.6</v>
      </c>
      <c r="J9" s="4" t="n">
        <f aca="false">Assumptions!J43</f>
        <v>0.6</v>
      </c>
      <c r="K9" s="4" t="n">
        <f aca="false">Assumptions!K43</f>
        <v>0.6</v>
      </c>
      <c r="L9" s="4" t="n">
        <f aca="false">Assumptions!L43</f>
        <v>0.6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-38.1003928734</v>
      </c>
      <c r="D10" s="0" t="n">
        <f aca="false">-D6*D9/100</f>
        <v>-38.367664286094</v>
      </c>
      <c r="E10" s="0" t="n">
        <f aca="false">-E6*E9/100</f>
        <v>-41.1301361146928</v>
      </c>
      <c r="F10" s="0" t="n">
        <f aca="false">-F6*F9/100</f>
        <v>-43.9681155066066</v>
      </c>
      <c r="G10" s="0" t="n">
        <f aca="false">-G6*G9/100</f>
        <v>-46.4742980904831</v>
      </c>
      <c r="H10" s="0" t="n">
        <f aca="false">-H6*H9/100</f>
        <v>-44.4008294064462</v>
      </c>
      <c r="I10" s="0" t="n">
        <f aca="false">-I6*I9/100</f>
        <v>-45.9548584356718</v>
      </c>
      <c r="J10" s="0" t="n">
        <f aca="false">-J6*J9/100</f>
        <v>-47.5632784809203</v>
      </c>
      <c r="K10" s="0" t="n">
        <f aca="false">-K6*K9/100</f>
        <v>-49.2279932277525</v>
      </c>
      <c r="L10" s="0" t="n">
        <f aca="false">-L6*L9/100</f>
        <v>-50.9509729907239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3203.2763142666</v>
      </c>
      <c r="D11" s="0" t="n">
        <f aca="false">D8+D10+D24</f>
        <v>3296.66776981285</v>
      </c>
      <c r="E11" s="0" t="n">
        <f aca="false">E8+E10+E24</f>
        <v>3534.02784923937</v>
      </c>
      <c r="F11" s="0" t="n">
        <f aca="false">F8+F10+F24</f>
        <v>3744.05414352411</v>
      </c>
      <c r="G11" s="0" t="n">
        <f aca="false">G8+G10+G24</f>
        <v>3921.71576963539</v>
      </c>
      <c r="H11" s="0" t="n">
        <f aca="false">H8+H10+H24</f>
        <v>4062.67589068983</v>
      </c>
      <c r="I11" s="0" t="n">
        <f aca="false">I8+I10+I24</f>
        <v>4204.86954686397</v>
      </c>
      <c r="J11" s="0" t="n">
        <f aca="false">J8+J10+J24</f>
        <v>4352.03998100421</v>
      </c>
      <c r="K11" s="0" t="n">
        <f aca="false">K8+K10+K24</f>
        <v>4504.36138033936</v>
      </c>
      <c r="L11" s="0" t="n">
        <f aca="false">L8+L10+L24</f>
        <v>4662.01402865123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-824.56074129</v>
      </c>
      <c r="D12" s="4" t="n">
        <f aca="false">-D6*Assumptions!D45/100</f>
        <v>-855.89404945902</v>
      </c>
      <c r="E12" s="4" t="n">
        <f aca="false">-E6*Assumptions!E45/100</f>
        <v>-949.156987262141</v>
      </c>
      <c r="F12" s="4" t="n">
        <f aca="false">-F6*Assumptions!F45/100</f>
        <v>-1048.470446696</v>
      </c>
      <c r="G12" s="4" t="n">
        <f aca="false">-G6*Assumptions!G45/100</f>
        <v>-1143.98272222728</v>
      </c>
      <c r="H12" s="4" t="n">
        <f aca="false">-H6*Assumptions!H45/100</f>
        <v>-1184.02211750523</v>
      </c>
      <c r="I12" s="4" t="n">
        <f aca="false">-I6*Assumptions!I45/100</f>
        <v>-1225.46289161792</v>
      </c>
      <c r="J12" s="4" t="n">
        <f aca="false">-J6*Assumptions!J45/100</f>
        <v>-1268.35409282454</v>
      </c>
      <c r="K12" s="4" t="n">
        <f aca="false">-K6*Assumptions!K45/100</f>
        <v>-1312.7464860734</v>
      </c>
      <c r="L12" s="4" t="n">
        <f aca="false">-L6*Assumptions!L45/100</f>
        <v>-1358.69261308597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2378.7155729766</v>
      </c>
      <c r="D13" s="0" t="n">
        <f aca="false">D11+D12</f>
        <v>2440.77372035383</v>
      </c>
      <c r="E13" s="0" t="n">
        <f aca="false">E11+E12</f>
        <v>2584.87086197723</v>
      </c>
      <c r="F13" s="0" t="n">
        <f aca="false">F11+F12</f>
        <v>2695.58369682811</v>
      </c>
      <c r="G13" s="0" t="n">
        <f aca="false">G11+G12</f>
        <v>2777.73304740811</v>
      </c>
      <c r="H13" s="0" t="n">
        <f aca="false">H11+H12</f>
        <v>2878.6537731846</v>
      </c>
      <c r="I13" s="0" t="n">
        <f aca="false">I11+I12</f>
        <v>2979.40665524606</v>
      </c>
      <c r="J13" s="0" t="n">
        <f aca="false">J11+J12</f>
        <v>3083.68588817967</v>
      </c>
      <c r="K13" s="0" t="n">
        <f aca="false">K11+K12</f>
        <v>3191.61489426596</v>
      </c>
      <c r="L13" s="0" t="n">
        <f aca="false">L11+L12</f>
        <v>3303.32141556526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28</v>
      </c>
      <c r="D14" s="4" t="n">
        <f aca="false">Assumptions!D47</f>
        <v>29</v>
      </c>
      <c r="E14" s="4" t="n">
        <f aca="false">Assumptions!E47</f>
        <v>30</v>
      </c>
      <c r="F14" s="4" t="n">
        <f aca="false">Assumptions!F47</f>
        <v>31</v>
      </c>
      <c r="G14" s="4" t="n">
        <f aca="false">Assumptions!G47</f>
        <v>31</v>
      </c>
      <c r="H14" s="4" t="n">
        <f aca="false">Assumptions!H47</f>
        <v>31</v>
      </c>
      <c r="I14" s="4" t="n">
        <f aca="false">Assumptions!I47</f>
        <v>31</v>
      </c>
      <c r="J14" s="4" t="n">
        <f aca="false">Assumptions!J47</f>
        <v>31</v>
      </c>
      <c r="K14" s="4" t="n">
        <f aca="false">Assumptions!K47</f>
        <v>31</v>
      </c>
      <c r="L14" s="4" t="n">
        <f aca="false">Assumptions!L47</f>
        <v>31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1712.67521254315</v>
      </c>
      <c r="D15" s="0" t="n">
        <f aca="false">D13-MAX(0,D13)*D14/100</f>
        <v>1732.94934145122</v>
      </c>
      <c r="E15" s="0" t="n">
        <f aca="false">E13-MAX(0,E13)*E14/100</f>
        <v>1809.40960338406</v>
      </c>
      <c r="F15" s="0" t="n">
        <f aca="false">F13-MAX(0,F13)*F14/100</f>
        <v>1859.9527508114</v>
      </c>
      <c r="G15" s="0" t="n">
        <f aca="false">G13-MAX(0,G13)*G14/100</f>
        <v>1916.63580271159</v>
      </c>
      <c r="H15" s="0" t="n">
        <f aca="false">H13-MAX(0,H13)*H14/100</f>
        <v>1986.27110349737</v>
      </c>
      <c r="I15" s="0" t="n">
        <f aca="false">I13-MAX(0,I13)*I14/100</f>
        <v>2055.79059211978</v>
      </c>
      <c r="J15" s="0" t="n">
        <f aca="false">J13-MAX(0,J13)*J14/100</f>
        <v>2127.74326284397</v>
      </c>
      <c r="K15" s="0" t="n">
        <f aca="false">K13-MAX(0,K13)*K14/100</f>
        <v>2202.21427704351</v>
      </c>
      <c r="L15" s="0" t="n">
        <f aca="false">L13-MAX(0,L13)*L14/100</f>
        <v>2279.29177674003</v>
      </c>
    </row>
    <row r="16" customFormat="false" ht="15" hidden="false" customHeight="false" outlineLevel="0" collapsed="false">
      <c r="A16" s="0" t="s">
        <v>120</v>
      </c>
      <c r="C16" s="0" t="n">
        <f aca="false">-C12</f>
        <v>824.56074129</v>
      </c>
      <c r="D16" s="0" t="n">
        <f aca="false">-D12</f>
        <v>855.89404945902</v>
      </c>
      <c r="E16" s="0" t="n">
        <f aca="false">-E12</f>
        <v>949.156987262141</v>
      </c>
      <c r="F16" s="0" t="n">
        <f aca="false">-F12</f>
        <v>1048.470446696</v>
      </c>
      <c r="G16" s="0" t="n">
        <f aca="false">-G12</f>
        <v>1143.98272222728</v>
      </c>
      <c r="H16" s="0" t="n">
        <f aca="false">-H12</f>
        <v>1184.02211750523</v>
      </c>
      <c r="I16" s="0" t="n">
        <f aca="false">-I12</f>
        <v>1225.46289161792</v>
      </c>
      <c r="J16" s="0" t="n">
        <f aca="false">-J12</f>
        <v>1268.35409282454</v>
      </c>
      <c r="K16" s="0" t="n">
        <f aca="false">-K12</f>
        <v>1312.7464860734</v>
      </c>
      <c r="L16" s="0" t="n">
        <f aca="false">-L12</f>
        <v>1358.69261308597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-1592.25522456</v>
      </c>
      <c r="D17" s="4" t="n">
        <f aca="false">-D6*Assumptions!D46/100</f>
        <v>-1623.2473351809</v>
      </c>
      <c r="E17" s="4" t="n">
        <f aca="false">-E6*Assumptions!E46/100</f>
        <v>-1518.65117961943</v>
      </c>
      <c r="F17" s="4" t="n">
        <f aca="false">-F6*Assumptions!F46/100</f>
        <v>-1386.68671982375</v>
      </c>
      <c r="G17" s="4" t="n">
        <f aca="false">-G6*Assumptions!G46/100</f>
        <v>-1251.23110243608</v>
      </c>
      <c r="H17" s="4" t="n">
        <f aca="false">-H6*Assumptions!H46/100</f>
        <v>-1221.02280867727</v>
      </c>
      <c r="I17" s="4" t="n">
        <f aca="false">-I6*Assumptions!I46/100</f>
        <v>-1263.75860698098</v>
      </c>
      <c r="J17" s="4" t="n">
        <f aca="false">-J6*Assumptions!J46/100</f>
        <v>-1307.99015822531</v>
      </c>
      <c r="K17" s="4" t="n">
        <f aca="false">-K6*Assumptions!K46/100</f>
        <v>-1353.76981376319</v>
      </c>
      <c r="L17" s="4" t="n">
        <f aca="false">-L6*Assumptions!L46/100</f>
        <v>-1401.15175724491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-6.39259009999996</v>
      </c>
      <c r="D18" s="4" t="n">
        <f aca="false">(D6-C6)*Assumptions!$B$51/100</f>
        <v>-10.8045890238</v>
      </c>
      <c r="E18" s="4" t="n">
        <f aca="false">(E6-D6)*Assumptions!$B$51/100</f>
        <v>-21.2497832969136</v>
      </c>
      <c r="F18" s="4" t="n">
        <f aca="false">(F6-E6)*Assumptions!$B$51/100</f>
        <v>-21.8306107070292</v>
      </c>
      <c r="G18" s="4" t="n">
        <f aca="false">(G6-F6)*Assumptions!$B$51/100</f>
        <v>-19.2783275682813</v>
      </c>
      <c r="H18" s="4" t="n">
        <f aca="false">(H6-G6)*Assumptions!$B$51/100</f>
        <v>-12.5123110243608</v>
      </c>
      <c r="I18" s="4" t="n">
        <f aca="false">(I6-H6)*Assumptions!$B$51/100</f>
        <v>-12.9502419102134</v>
      </c>
      <c r="J18" s="4" t="n">
        <f aca="false">(J6-I6)*Assumptions!$B$51/100</f>
        <v>-13.4035003770709</v>
      </c>
      <c r="K18" s="4" t="n">
        <f aca="false">(K6-J6)*Assumptions!$B$51/100</f>
        <v>-13.8726228902684</v>
      </c>
      <c r="L18" s="4" t="n">
        <f aca="false">(L6-K6)*Assumptions!$B$51/100</f>
        <v>-14.3581646914278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938.588139173152</v>
      </c>
      <c r="D19" s="0" t="n">
        <f aca="false">D15+D16+D17+D18</f>
        <v>954.791466705537</v>
      </c>
      <c r="E19" s="0" t="n">
        <f aca="false">E15+E16+E17+E18</f>
        <v>1218.66562772986</v>
      </c>
      <c r="F19" s="0" t="n">
        <f aca="false">F15+F16+F17+F18</f>
        <v>1499.90586697662</v>
      </c>
      <c r="G19" s="0" t="n">
        <f aca="false">G15+G16+G17+G18</f>
        <v>1790.10909493451</v>
      </c>
      <c r="H19" s="0" t="n">
        <f aca="false">H15+H16+H17+H18</f>
        <v>1936.75810130097</v>
      </c>
      <c r="I19" s="0" t="n">
        <f aca="false">I15+I16+I17+I18</f>
        <v>2004.54463484651</v>
      </c>
      <c r="J19" s="0" t="n">
        <f aca="false">J15+J16+J17+J18</f>
        <v>2074.70369706613</v>
      </c>
      <c r="K19" s="0" t="n">
        <f aca="false">K15+K16+K17+K18</f>
        <v>2147.31832646345</v>
      </c>
      <c r="L19" s="0" t="n">
        <f aca="false">L15+L16+L17+L18</f>
        <v>2222.47446788967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861.090035938671</v>
      </c>
      <c r="D21" s="0" t="n">
        <f aca="false">D19*D20</f>
        <v>803.628875267685</v>
      </c>
      <c r="E21" s="0" t="n">
        <f aca="false">E19*E20</f>
        <v>941.033465451247</v>
      </c>
      <c r="F21" s="0" t="n">
        <f aca="false">F19*F20</f>
        <v>1062.57113039084</v>
      </c>
      <c r="G21" s="0" t="n">
        <f aca="false">G19*G20</f>
        <v>1163.44808569606</v>
      </c>
      <c r="H21" s="0" t="n">
        <f aca="false">H19*H20</f>
        <v>1154.8255758744</v>
      </c>
      <c r="I21" s="0" t="n">
        <f aca="false">I19*I20</f>
        <v>1096.55456057798</v>
      </c>
      <c r="J21" s="0" t="n">
        <f aca="false">J19*J20</f>
        <v>1041.22382586992</v>
      </c>
      <c r="K21" s="0" t="n">
        <f aca="false">K19*K20</f>
        <v>988.685008968225</v>
      </c>
      <c r="L21" s="0" t="n">
        <f aca="false">L19*L20</f>
        <v>938.797233286342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10051.8577973214</v>
      </c>
    </row>
    <row r="31" customFormat="false" ht="15" hidden="false" customHeight="false" outlineLevel="0" collapsed="false">
      <c r="A31" s="0" t="s">
        <v>129</v>
      </c>
      <c r="B31" s="0" t="n">
        <f aca="false">L19</f>
        <v>2222.47446788967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35046.7127628755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31114.6425504554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31114.6425504554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13143.1612660088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23195.0190633301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23401.3190633301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11.4225211418608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-0.163185264332545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280.033250414108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339.389194668622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11.7248701656723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18224.2906366953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5.96814691030596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3.35612739471127</v>
      </c>
      <c r="C4" s="0" t="n">
        <f aca="false">B4/Assumptions!$B$2-1</f>
        <v>-0.754129861193313</v>
      </c>
      <c r="D4" s="4" t="n">
        <f aca="false">Assumptions!$B$24</f>
        <v>0.25</v>
      </c>
      <c r="E4" s="4" t="n">
        <f aca="false">DCF_Bear!$B$43</f>
        <v>3.54623178765183</v>
      </c>
      <c r="F4" s="4" t="n">
        <f aca="false">DCF_Bear!$B$47</f>
        <v>1.9064877629299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6.35678194775251</v>
      </c>
      <c r="C5" s="0" t="n">
        <f aca="false">B5/Assumptions!$B$2-1</f>
        <v>-0.53430168880934</v>
      </c>
      <c r="D5" s="4" t="n">
        <f aca="false">Assumptions!$B$38</f>
        <v>0.5</v>
      </c>
      <c r="E5" s="4" t="n">
        <f aca="false">DCF_Base!$B$43</f>
        <v>6.59102660104703</v>
      </c>
      <c r="F5" s="4" t="n">
        <f aca="false">DCF_Base!$B$47</f>
        <v>3.42142355690757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11.4225211418608</v>
      </c>
      <c r="C6" s="0" t="n">
        <f aca="false">B6/Assumptions!$B$2-1</f>
        <v>-0.163185264332545</v>
      </c>
      <c r="D6" s="4" t="n">
        <f aca="false">Assumptions!$B$52</f>
        <v>0.25</v>
      </c>
      <c r="E6" s="4" t="n">
        <f aca="false">DCF_Bull!$B$43</f>
        <v>11.7248701656723</v>
      </c>
      <c r="F6" s="4" t="n">
        <f aca="false">DCF_Bull!$B$47</f>
        <v>5.96814691030596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6.87305310801926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7.11328878885455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-0.986016954251904</v>
      </c>
    </row>
    <row r="11" customFormat="false" ht="15" hidden="false" customHeight="false" outlineLevel="0" collapsed="false">
      <c r="A11" s="0" t="s">
        <v>156</v>
      </c>
      <c r="B11" s="0" t="n">
        <f aca="false">IF(ABS(B9-B8)&gt;0.01*ABS(B8),(Assumptions!$B$2-B8)/(B9-B8)*100,"n/a")</f>
        <v>2820.95768139752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3.67937044676275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6.35678194775251</v>
      </c>
      <c r="C15" s="3" t="n">
        <v>9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5.84850454801421</v>
      </c>
      <c r="C16" s="3" t="n">
        <v>10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5.13092603066693</v>
      </c>
      <c r="C17" s="3" t="n">
        <v>11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4.56616903660623</v>
      </c>
      <c r="C18" s="3" t="n">
        <v>12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3.42142355690757</v>
      </c>
      <c r="C19" s="3" t="n">
        <v>15</v>
      </c>
    </row>
    <row r="21" customFormat="false" ht="15" hidden="false" customHeight="false" outlineLevel="0" collapsed="false">
      <c r="A21" s="2" t="s">
        <v>165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7.3548741140841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7.3548741140841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7.3548741140841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7.3548741140841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7.3548741140841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6.83254423979037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6.83254423979037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6.83254423979037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6.83254423979037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6.83254423979037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6.24262653681109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6.35678194775251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6.35678194775251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6.35678194775251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6.35678194775251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5.46325659066305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5.64384157067141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5.84850454801421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5.92292744886614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5.92292744886614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4.85057293229603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4.98296189541562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5.13092603066693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5.29738568282465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5.48603995527007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2026-09-22T10:58:28Z</dcterms:created>
  <dc:creator>openpyxl</dc:creator>
  <dc:description/>
  <dc:language>en-NZ</dc:language>
  <cp:lastModifiedBy/>
  <dcterms:modified xsi:type="dcterms:W3CDTF">2026-09-22T10:58:28Z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