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<sst xmlns="http://schemas.openxmlformats.org/spreadsheetml/2006/main" count="387" uniqueCount="174">
  <si>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</si>
  <si>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4661.T</t>
  </si>
  <si>
    <t xml:space="preserve">Company</t>
  </si>
  <si>
    <t xml:space="preserve">Oriental Land Co., Ltd.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</si>
  <si>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</si>
  <si>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</si>
  <si>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</si>
  <si>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</si>
  <si>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 15:30 JST, 2026-10-30)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</si>
  <si>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</si>
  <si>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</si>
  <si>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</si>
  <si>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</si>
  <si>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</si>
  <si>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</si>
  <si>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</si>
  <si>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</si>
  <si>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</si>
  <si>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</si>
  <si>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</si>
  <si>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</si>
  <si>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2026-10-31T05:24:26Z</t>
  </si>
  <si>
    <t xml:space="preserve">Drivers file</t>
  </si>
  <si>
    <t xml:space="preserve">4661.T_Drivers.json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</si>
  <si>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</si>
  <si>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</si>
  <si>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</si>
  <si>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Oriental Land is valued as a mature, capacity-constrained operating company on owner free cash flow: reported FCF less the interest and dividends earned on the JPY 597bn liquid pile (added back in the bridge with the JPY 59bn investment-securities portfolio). The COVID collapse (FY2021-FY2022) is excluded from every trend used: growth is anchored on the FY2019-to-FY2026 pre-COVID-to-now revenue CAGR of 4.3%, not the 3- or 5-year recovery CAGRs, and year 1 is anchored on the company's FY2027 forecast and Q1 run-rate. Near-term FCF is deliberately not the FY2026 figure carried forward: the committed JPY 330bn cruise ship, JPY 70.5bn Space Mountain and JPY 29.5bn Wreck-It Ralph projects push capex to 20-27% of revenue for three years, so owner FCF falls to roughly zero before recovering; the 10-year horizon exists so the terminal year capitalises a normalised 11% capex rate, not the build phase. The terminal value is capped at 20x owner FCF (15x bear) while the market pays 46x trailing EPS and 57x EV/owner FCF; the resulting gap between weighted IV and price is the scarcity premium the market assigns to a monopoly Disney licence in Japan, reported rather than assumed away. SBC is nil, so house and street bases coincide and band_position is null.
key_risks_to_valuation: Cruise ship: JPY 330bn committed with no operating history; a late, over-budget or under-loaded launch removes two years of growth and the margin step-up (bear case).; Single-site concentration: both parks, all hotels and Ikspiari sit on one reclaimed-land site in Urayasu; a major Kanto earthquake or extended closure has no diversifying offset until the ship operates.; Inbound dependence: per-guest spend growth since FY2023 leans on overseas visitors and a weak yen; yen appreciation or regional geopolitics reverses it.; Pricing elasticity: attendance is held flat by choice; if domestic guests resist further price increases the growth model has no volume lever.; Disney licence economics: royalties are a fixed share of revenue under agreements running to 2051; any renegotiation is outside the company's control.; Management's FY2029 operating-cash-flow target (~JPY 300bn) sits well above the base case; if it is delivered the base case is too low, and the bull weight understates it.; Guidance vintage: FY2027 forecast and Q1 are taken from Analysis.json; the H1 FY2027 tanshin (due ~2026-10-30) is not yet extracted and should be checked at the next update.</t>
  </si>
  <si>
    <t xml:space="preserve">Data sources</t>
  </si>
  <si>
    <t xml:space="preserve">price: Yahoo Finance chart API at inputs.price_as_of (TSE regular close); 52-week range 2103-3450 JPY.
financials: research/4661.T/Reports/4661.T_Metrics.csv (financial-parser, FY2008-FY2026 + interims, JPY millions, post-split share basis); FY2026 Securities Report (balance sheet p.69-70, cash flow p.74-75, capex pipeline p.2205-2222 and facilities table p.2527); H1 FY2026 tanshin (2025-10-30) for the FY2026 forecast and interim run-rate.
qualitative: research/4661.T/Reports/4661.T_Analysis.json (qualitative-analyst, 2026-10-31: FY2027 guidance, Q1 FY2027 results, 2035 long-term strategy targets, bull/bear axes); FY2026 Securities Report business policy and risk sections (cruise business, single-site, inbound, cost of capex).</t>
  </si>
  <si>
    <t xml:space="preserve">Scenario narrative: bear</t>
  </si>
  <si>
    <t xml:space="preserve">FY2027 lands on guidance, then inbound shock or single-site disruption, flat per-guest spend against rising wages, cruise late and under-loaded; EBITDA margin 31%, committed capex spent anyway, 15x terminal cap, terminal growth 1.0%.</t>
  </si>
  <si>
    <t xml:space="preserve">Scenario narrative: base</t>
  </si>
  <si>
    <t xml:space="preserve">FY2027 modestly beats cautious guidance; capacity-managed parks compound per-guest spend at 3-4% with inbound a rising share; 2027 Tokyo Disneyland attractions and the FYE Mar-2029 cruise launch add two years of 7-8% growth; EBITDA margin settles at 34% and capex normalises to 11% of revenue after the ship is paid for. Owner FCF: JPY 20-40bn through FY2029, JPY 130bn+ thereafter.</t>
  </si>
  <si>
    <t xml:space="preserve">Scenario narrative: bull</t>
  </si>
  <si>
    <t xml:space="preserve">Q1 FY2027 run-rate persists, inbound tailwind continues, attendance ceiling lifted modestly, per-guest spend +5-6%, cruise ship sells out at park-beating margins and a second ship follows; EBITDA margin 36%, terminal growth 2.0%.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</si>
  <si>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</si>
  <si>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</si>
  <si>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</si>
  <si>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</si>
  <si>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</si>
  <si>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</si>
  <si>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</si>
  <si>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</si>
  <si>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</si>
  <si>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</si>
  <si>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</si>
  <si>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</si>
  <si>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</si>
  <si>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</si>
  <si>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</si>
  <si>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</si>
  <si>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</si>
  <si>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</si>
  <si>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</si>
  <si>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</si>
  <si>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</si>
  <si>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</si>
  <si>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</si>
  <si>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</si>
  <si>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</si>
  <si>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</si>
  <si>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</si>
  <si>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</si>
  <si>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</si>
  <si>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</si>
  <si>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</si>
  <si>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</si>
  <si>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</si>
  <si>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</si>
  <si>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</si>
  <si>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</si>
  <si>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</si>
  <si>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</si>
  <si>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</si>
  <si>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</si>
  <si>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</si>
  <si>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</si>
  <si>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</si>
  <si>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</si>
  <si>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</si>
  <si>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</si>
  <si>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</si>
  <si>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</si>
  <si>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</si>
  <si>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</si>
  <si>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</si>
  <si>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</si>
  <si>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</si>
  <si>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</si>
  <si>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</si>
  <si>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</si>
  <si>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</si>
  <si>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</si>
  <si>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</si>
  <si>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</si>
  <si>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</si>
  <si>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</si>
  <si>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</si>
  <si>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</si>
  <si>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</si>
  <si>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</si>
  <si>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</si>
  <si>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</si>
  <si>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</si>
  <si>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</si>
  <si>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</si>
  <si>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</si>
  <si>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</si>
  <si>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</si>
  <si>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</si>
  <si>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</si>
  <si>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</si>
  <si>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</si>
  <si>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</si>
  <si>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</si>
  <si>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</si>
  <si>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</si>
  <si>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</si>
  <si>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4661.T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</si>
  <si>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</si>
  <si>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</si>
  <si>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</si>
  <si>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</si>
  <si>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</si>
  <si>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</si>
  <si>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</si>
  <si>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</si>
  <si>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</si>
  <si>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</si>
  <si>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</si>
  <si>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</si>
  <si>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</si>
  <si>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</si>
  <si>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</si>
  <si>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</si>
  <si>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</si>
  <si>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</si>
  <si>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</si>
  <si>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</si>
  <si>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</si>
  <si>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</si>
  <si>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</si>
  <si>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</si>
  <si>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</si>
  <si>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</si>
  <si>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</si>
  <si>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</si>
  <si>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</si>
  <si>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</si>
  <si>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4661.T owner-FCF component DCF: base case (millions, JPY)</t>
  </si>
  <si>
    <t xml:space="preserve">4661.T owner-FCF component DCF: bull case (millions, JPY)</t>
  </si>
  <si>
    <t xml:space="preserve">4661.T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</si>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</sst>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3438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342421</v>
      </c>
      <c r="C2" s="0" t="n">
        <v>277874</v>
      </c>
      <c r="D2" s="0" t="n">
        <v>64547</v>
      </c>
      <c r="E2" s="0" t="n">
        <v>18.8502</v>
      </c>
      <c r="F2" s="0" t="n">
        <v>31144</v>
      </c>
      <c r="G2" s="0" t="n">
        <v>9.0952</v>
      </c>
      <c r="H2" s="0" t="n">
        <v>74767</v>
      </c>
      <c r="I2" s="0" t="n">
        <v>14730</v>
      </c>
      <c r="J2" s="0" t="n">
        <v>4.3017</v>
      </c>
      <c r="K2" s="0" t="n">
        <v>7.743</v>
      </c>
      <c r="L2" s="0" t="n">
        <v>57718</v>
      </c>
      <c r="M2" s="0" t="n">
        <v>49084</v>
      </c>
      <c r="N2" s="0" t="n">
        <v>8634</v>
      </c>
      <c r="O2" s="0" t="n">
        <v>388036</v>
      </c>
      <c r="P2" s="0" t="n">
        <v>757542</v>
      </c>
      <c r="Q2" s="0" t="n">
        <v>369361</v>
      </c>
      <c r="R2" s="0" t="n">
        <v>279982</v>
      </c>
      <c r="S2" s="0" t="n">
        <v>144613</v>
      </c>
      <c r="T2" s="0" t="n">
        <v>1902.3634</v>
      </c>
      <c r="U2" s="0" t="n">
        <v>0</v>
      </c>
      <c r="V2" s="0" t="n">
        <v>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389242</v>
      </c>
      <c r="C3" s="0" t="n">
        <v>286151</v>
      </c>
      <c r="D3" s="0" t="n">
        <v>103091</v>
      </c>
      <c r="E3" s="0" t="n">
        <v>26.4851</v>
      </c>
      <c r="F3" s="0" t="n">
        <v>40096</v>
      </c>
      <c r="G3" s="0" t="n">
        <v>10.301</v>
      </c>
      <c r="H3" s="0" t="n">
        <v>89829</v>
      </c>
      <c r="I3" s="0" t="n">
        <v>18089</v>
      </c>
      <c r="J3" s="0" t="n">
        <v>4.6472</v>
      </c>
      <c r="K3" s="0" t="n">
        <v>9.842</v>
      </c>
      <c r="L3" s="0" t="n">
        <v>78122</v>
      </c>
      <c r="M3" s="0" t="n">
        <v>40924</v>
      </c>
      <c r="N3" s="0" t="n">
        <v>37198</v>
      </c>
      <c r="O3" s="0" t="n">
        <v>373641</v>
      </c>
      <c r="P3" s="0" t="n">
        <v>644991</v>
      </c>
      <c r="Q3" s="0" t="n">
        <v>271331</v>
      </c>
      <c r="R3" s="0" t="n">
        <v>179985</v>
      </c>
      <c r="S3" s="0" t="n">
        <v>50939</v>
      </c>
      <c r="T3" s="0" t="n">
        <v>1837.9394</v>
      </c>
      <c r="U3" s="0" t="n">
        <v>0</v>
      </c>
      <c r="V3" s="0" t="n">
        <v>3.5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371414</v>
      </c>
      <c r="C4" s="0" t="n">
        <v>272530</v>
      </c>
      <c r="D4" s="0" t="n">
        <v>98884</v>
      </c>
      <c r="E4" s="0" t="n">
        <v>26.6237</v>
      </c>
      <c r="F4" s="0" t="n">
        <v>41924</v>
      </c>
      <c r="G4" s="0" t="n">
        <v>11.2877</v>
      </c>
      <c r="H4" s="0" t="n">
        <v>88618</v>
      </c>
      <c r="I4" s="0" t="n">
        <v>25427</v>
      </c>
      <c r="J4" s="0" t="n">
        <v>6.846</v>
      </c>
      <c r="K4" s="0" t="n">
        <v>14.0085</v>
      </c>
      <c r="L4" s="0" t="n">
        <v>72094</v>
      </c>
      <c r="M4" s="0" t="n">
        <v>17055</v>
      </c>
      <c r="N4" s="0" t="n">
        <v>55039</v>
      </c>
      <c r="O4" s="0" t="n">
        <v>366454</v>
      </c>
      <c r="P4" s="0" t="n">
        <v>615090</v>
      </c>
      <c r="Q4" s="0" t="n">
        <v>248617</v>
      </c>
      <c r="R4" s="0" t="n">
        <v>161558</v>
      </c>
      <c r="S4" s="0" t="n">
        <v>51233</v>
      </c>
      <c r="T4" s="0" t="n">
        <v>1815.1123</v>
      </c>
      <c r="U4" s="0" t="n">
        <v>0</v>
      </c>
      <c r="V4" s="0" t="n">
        <v>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356180</v>
      </c>
      <c r="C5" s="0" t="n">
        <v>255088</v>
      </c>
      <c r="D5" s="0" t="n">
        <v>101092</v>
      </c>
      <c r="E5" s="0" t="n">
        <v>28.3823</v>
      </c>
      <c r="F5" s="0" t="n">
        <v>53664</v>
      </c>
      <c r="G5" s="0" t="n">
        <v>15.0665</v>
      </c>
      <c r="H5" s="0" t="n">
        <v>95950</v>
      </c>
      <c r="I5" s="0" t="n">
        <v>22907</v>
      </c>
      <c r="J5" s="0" t="n">
        <v>6.4313</v>
      </c>
      <c r="K5" s="0" t="n">
        <v>13.263</v>
      </c>
      <c r="L5" s="0" t="n">
        <v>74327</v>
      </c>
      <c r="M5" s="0" t="n">
        <v>25101</v>
      </c>
      <c r="N5" s="0" t="n">
        <v>49226</v>
      </c>
      <c r="O5" s="0" t="n">
        <v>357770</v>
      </c>
      <c r="P5" s="0" t="n">
        <v>574634</v>
      </c>
      <c r="Q5" s="0" t="n">
        <v>216856</v>
      </c>
      <c r="R5" s="0" t="n">
        <v>132510</v>
      </c>
      <c r="S5" s="0" t="n">
        <v>35386</v>
      </c>
      <c r="T5" s="0" t="n">
        <v>1727.1356</v>
      </c>
      <c r="U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360060</v>
      </c>
      <c r="C6" s="0" t="n">
        <v>248456</v>
      </c>
      <c r="D6" s="0" t="n">
        <v>111604</v>
      </c>
      <c r="E6" s="0" t="n">
        <v>30.9959</v>
      </c>
      <c r="F6" s="0" t="n">
        <v>66923</v>
      </c>
      <c r="G6" s="0" t="n">
        <v>18.5866</v>
      </c>
      <c r="H6" s="0" t="n">
        <v>108867</v>
      </c>
      <c r="I6" s="0" t="n">
        <v>32113</v>
      </c>
      <c r="J6" s="0" t="n">
        <v>8.9188</v>
      </c>
      <c r="K6" s="0" t="n">
        <v>18.6435</v>
      </c>
      <c r="L6" s="0" t="n">
        <v>90327</v>
      </c>
      <c r="M6" s="0" t="n">
        <v>23463</v>
      </c>
      <c r="N6" s="0" t="n">
        <v>66864</v>
      </c>
      <c r="O6" s="0" t="n">
        <v>383084</v>
      </c>
      <c r="P6" s="0" t="n">
        <v>619493</v>
      </c>
      <c r="Q6" s="0" t="n">
        <v>236409</v>
      </c>
      <c r="R6" s="0" t="n">
        <v>149548</v>
      </c>
      <c r="S6" s="0" t="n">
        <v>97510</v>
      </c>
      <c r="T6" s="0" t="n">
        <v>1722.477</v>
      </c>
      <c r="U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395526</v>
      </c>
      <c r="C7" s="0" t="n">
        <v>265946</v>
      </c>
      <c r="D7" s="0" t="n">
        <v>129580</v>
      </c>
      <c r="E7" s="0" t="n">
        <v>32.7614</v>
      </c>
      <c r="F7" s="0" t="n">
        <v>81467</v>
      </c>
      <c r="G7" s="0" t="n">
        <v>20.5971</v>
      </c>
      <c r="H7" s="0" t="n">
        <v>117598</v>
      </c>
      <c r="I7" s="0" t="n">
        <v>51484</v>
      </c>
      <c r="J7" s="0" t="n">
        <v>13.0166</v>
      </c>
      <c r="K7" s="0" t="n">
        <v>29.0435</v>
      </c>
      <c r="L7" s="0" t="n">
        <v>91982</v>
      </c>
      <c r="M7" s="0" t="n">
        <v>23310</v>
      </c>
      <c r="N7" s="0" t="n">
        <v>68672</v>
      </c>
      <c r="O7" s="0" t="n">
        <v>432262</v>
      </c>
      <c r="P7" s="0" t="n">
        <v>655544</v>
      </c>
      <c r="Q7" s="0" t="n">
        <v>223282</v>
      </c>
      <c r="R7" s="0" t="n">
        <v>123994</v>
      </c>
      <c r="S7" s="0" t="n">
        <v>109284</v>
      </c>
      <c r="T7" s="0" t="n">
        <v>1772.6514</v>
      </c>
      <c r="U7" s="0" t="n">
        <v>0</v>
      </c>
      <c r="V7" s="0" t="n">
        <v>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473572</v>
      </c>
      <c r="C8" s="0" t="n">
        <v>301068</v>
      </c>
      <c r="D8" s="0" t="n">
        <v>172504</v>
      </c>
      <c r="E8" s="0" t="n">
        <v>36.4261</v>
      </c>
      <c r="F8" s="0" t="n">
        <v>114491</v>
      </c>
      <c r="G8" s="0" t="n">
        <v>24.176</v>
      </c>
      <c r="H8" s="0" t="n">
        <v>151425</v>
      </c>
      <c r="I8" s="0" t="n">
        <v>70571</v>
      </c>
      <c r="J8" s="0" t="n">
        <v>14.9019</v>
      </c>
      <c r="K8" s="0" t="n">
        <v>40.7515</v>
      </c>
      <c r="L8" s="0" t="n">
        <v>120674</v>
      </c>
      <c r="M8" s="0" t="n">
        <v>18594</v>
      </c>
      <c r="N8" s="0" t="n">
        <v>102080</v>
      </c>
      <c r="O8" s="0" t="n">
        <v>493697</v>
      </c>
      <c r="P8" s="0" t="n">
        <v>664538</v>
      </c>
      <c r="Q8" s="0" t="n">
        <v>170841</v>
      </c>
      <c r="R8" s="0" t="n">
        <v>58428</v>
      </c>
      <c r="S8" s="0" t="n">
        <v>130027</v>
      </c>
      <c r="T8" s="0" t="n">
        <v>1731.7399</v>
      </c>
      <c r="U8" s="0" t="n">
        <v>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466291</v>
      </c>
      <c r="C9" s="0" t="n">
        <v>295924</v>
      </c>
      <c r="D9" s="0" t="n">
        <v>170367</v>
      </c>
      <c r="E9" s="0" t="n">
        <v>36.5366</v>
      </c>
      <c r="F9" s="0" t="n">
        <v>110605</v>
      </c>
      <c r="G9" s="0" t="n">
        <v>23.7202</v>
      </c>
      <c r="H9" s="0" t="n">
        <v>145242</v>
      </c>
      <c r="I9" s="0" t="n">
        <v>72063</v>
      </c>
      <c r="J9" s="0" t="n">
        <v>15.4545</v>
      </c>
      <c r="K9" s="0" t="n">
        <v>41.72</v>
      </c>
      <c r="L9" s="0" t="n">
        <v>105513</v>
      </c>
      <c r="M9" s="0" t="n">
        <v>27973</v>
      </c>
      <c r="N9" s="0" t="n">
        <v>77540</v>
      </c>
      <c r="O9" s="0" t="n">
        <v>564129</v>
      </c>
      <c r="P9" s="0" t="n">
        <v>746641</v>
      </c>
      <c r="Q9" s="0" t="n">
        <v>182511</v>
      </c>
      <c r="R9" s="0" t="n">
        <v>57826</v>
      </c>
      <c r="S9" s="0" t="n">
        <v>191278</v>
      </c>
      <c r="T9" s="0" t="n">
        <v>1727.3011</v>
      </c>
      <c r="U9" s="0" t="n">
        <v>0</v>
      </c>
      <c r="V9" s="0" t="n">
        <v>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465353</v>
      </c>
      <c r="C10" s="0" t="n">
        <v>294218</v>
      </c>
      <c r="D10" s="0" t="n">
        <v>171135</v>
      </c>
      <c r="E10" s="0" t="n">
        <v>36.7753</v>
      </c>
      <c r="F10" s="0" t="n">
        <v>107357</v>
      </c>
      <c r="G10" s="0" t="n">
        <v>23.07</v>
      </c>
      <c r="H10" s="0" t="n">
        <v>143339</v>
      </c>
      <c r="I10" s="0" t="n">
        <v>73928</v>
      </c>
      <c r="J10" s="0" t="n">
        <v>15.8864</v>
      </c>
      <c r="K10" s="0" t="n">
        <v>42.98</v>
      </c>
      <c r="L10" s="0" t="n">
        <v>110910</v>
      </c>
      <c r="M10" s="0" t="n">
        <v>37421</v>
      </c>
      <c r="N10" s="0" t="n">
        <v>73489</v>
      </c>
      <c r="O10" s="0" t="n">
        <v>624941</v>
      </c>
      <c r="P10" s="0" t="n">
        <v>810268</v>
      </c>
      <c r="Q10" s="0" t="n">
        <v>185327</v>
      </c>
      <c r="R10" s="0" t="n">
        <v>57099</v>
      </c>
      <c r="S10" s="0" t="n">
        <v>242137</v>
      </c>
      <c r="T10" s="0" t="n">
        <v>1720.0558</v>
      </c>
      <c r="U10" s="0" t="n">
        <v>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477748</v>
      </c>
      <c r="C11" s="0" t="n">
        <v>299544</v>
      </c>
      <c r="D11" s="0" t="n">
        <v>178204</v>
      </c>
      <c r="E11" s="0" t="n">
        <v>37.3008</v>
      </c>
      <c r="F11" s="0" t="n">
        <v>113152</v>
      </c>
      <c r="G11" s="0" t="n">
        <v>23.6845</v>
      </c>
      <c r="H11" s="0" t="n">
        <v>151432</v>
      </c>
      <c r="I11" s="0" t="n">
        <v>82374</v>
      </c>
      <c r="J11" s="0" t="n">
        <v>17.2421</v>
      </c>
      <c r="K11" s="0" t="n">
        <v>47.99</v>
      </c>
      <c r="L11" s="0" t="n">
        <v>117611</v>
      </c>
      <c r="M11" s="0" t="n">
        <v>50306</v>
      </c>
      <c r="N11" s="0" t="n">
        <v>67305</v>
      </c>
      <c r="O11" s="0" t="n">
        <v>669515</v>
      </c>
      <c r="P11" s="0" t="n">
        <v>849798</v>
      </c>
      <c r="Q11" s="0" t="n">
        <v>180282</v>
      </c>
      <c r="R11" s="0" t="n">
        <v>60574</v>
      </c>
      <c r="S11" s="0" t="n">
        <v>274800</v>
      </c>
      <c r="T11" s="0" t="n">
        <v>1716.4826</v>
      </c>
      <c r="U11" s="0" t="n">
        <v>0</v>
      </c>
      <c r="V11" s="0" t="n">
        <v>7.5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479280</v>
      </c>
      <c r="C12" s="0" t="n">
        <v>302772</v>
      </c>
      <c r="D12" s="0" t="n">
        <v>176508</v>
      </c>
      <c r="E12" s="0" t="n">
        <v>36.8277</v>
      </c>
      <c r="F12" s="0" t="n">
        <v>110285</v>
      </c>
      <c r="G12" s="0" t="n">
        <v>23.0106</v>
      </c>
      <c r="H12" s="0" t="n">
        <v>147624</v>
      </c>
      <c r="I12" s="0" t="n">
        <v>81191</v>
      </c>
      <c r="J12" s="0" t="n">
        <v>16.9402</v>
      </c>
      <c r="K12" s="0" t="n">
        <v>47.3</v>
      </c>
      <c r="L12" s="0" t="n">
        <v>122860</v>
      </c>
      <c r="M12" s="0" t="n">
        <v>57787</v>
      </c>
      <c r="N12" s="0" t="n">
        <v>65073</v>
      </c>
      <c r="O12" s="0" t="n">
        <v>721976</v>
      </c>
      <c r="P12" s="0" t="n">
        <v>915564</v>
      </c>
      <c r="Q12" s="0" t="n">
        <v>193588</v>
      </c>
      <c r="R12" s="0" t="n">
        <v>59584</v>
      </c>
      <c r="S12" s="0" t="n">
        <v>318059</v>
      </c>
      <c r="T12" s="0" t="n">
        <v>1716.5116</v>
      </c>
      <c r="U12" s="0" t="n">
        <v>0</v>
      </c>
      <c r="V12" s="0" t="n">
        <v>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525622</v>
      </c>
      <c r="C13" s="0" t="n">
        <v>326283</v>
      </c>
      <c r="D13" s="0" t="n">
        <v>199339</v>
      </c>
      <c r="E13" s="0" t="n">
        <v>37.9244</v>
      </c>
      <c r="F13" s="0" t="n">
        <v>129278</v>
      </c>
      <c r="G13" s="0" t="n">
        <v>24.5952</v>
      </c>
      <c r="H13" s="0" t="n">
        <v>167492</v>
      </c>
      <c r="I13" s="0" t="n">
        <v>90286</v>
      </c>
      <c r="J13" s="0" t="n">
        <v>17.177</v>
      </c>
      <c r="K13" s="0" t="n">
        <v>53.518</v>
      </c>
      <c r="L13" s="0" t="n">
        <v>134974</v>
      </c>
      <c r="M13" s="0" t="n">
        <v>83851</v>
      </c>
      <c r="N13" s="0" t="n">
        <v>51123</v>
      </c>
      <c r="O13" s="0" t="n">
        <v>803201</v>
      </c>
      <c r="P13" s="0" t="n">
        <v>1051455</v>
      </c>
      <c r="Q13" s="0" t="n">
        <v>248253</v>
      </c>
      <c r="R13" s="0" t="n">
        <v>108423</v>
      </c>
      <c r="S13" s="0" t="n">
        <v>398550</v>
      </c>
      <c r="T13" s="0" t="n">
        <v>1687.0212</v>
      </c>
      <c r="U13" s="0" t="n">
        <v>0</v>
      </c>
      <c r="V13" s="0" t="n">
        <v>8.4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464450</v>
      </c>
      <c r="C14" s="0" t="n">
        <v>300601</v>
      </c>
      <c r="D14" s="0" t="n">
        <v>163849</v>
      </c>
      <c r="E14" s="0" t="n">
        <v>35.2781</v>
      </c>
      <c r="F14" s="0" t="n">
        <v>96862</v>
      </c>
      <c r="G14" s="0" t="n">
        <v>20.8552</v>
      </c>
      <c r="H14" s="0" t="n">
        <v>136309</v>
      </c>
      <c r="I14" s="0" t="n">
        <v>62217</v>
      </c>
      <c r="J14" s="0" t="n">
        <v>13.3958</v>
      </c>
      <c r="K14" s="0" t="n">
        <v>36.662</v>
      </c>
      <c r="L14" s="0" t="n">
        <v>73336</v>
      </c>
      <c r="M14" s="0" t="n">
        <v>134332</v>
      </c>
      <c r="N14" s="0" t="n">
        <v>-60996</v>
      </c>
      <c r="O14" s="0" t="n">
        <v>820257</v>
      </c>
      <c r="P14" s="0" t="n">
        <v>1010651</v>
      </c>
      <c r="Q14" s="0" t="n">
        <v>190394</v>
      </c>
      <c r="R14" s="0" t="n">
        <v>87068</v>
      </c>
      <c r="S14" s="0" t="n">
        <v>281163</v>
      </c>
      <c r="T14" s="0" t="n">
        <v>1697.0433</v>
      </c>
      <c r="U14" s="0" t="n">
        <v>0</v>
      </c>
      <c r="V14" s="0" t="n">
        <v>8.8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170581</v>
      </c>
      <c r="C15" s="0" t="n">
        <v>169679</v>
      </c>
      <c r="D15" s="0" t="n">
        <v>902</v>
      </c>
      <c r="E15" s="0" t="n">
        <v>0.5288</v>
      </c>
      <c r="F15" s="0" t="n">
        <v>-45989</v>
      </c>
      <c r="G15" s="0" t="n">
        <v>-26.9602</v>
      </c>
      <c r="H15" s="0" t="n">
        <v>-90</v>
      </c>
      <c r="I15" s="0" t="n">
        <v>-54190</v>
      </c>
      <c r="J15" s="0" t="n">
        <v>-31.7679</v>
      </c>
      <c r="K15" s="0" t="n">
        <v>-33.102</v>
      </c>
      <c r="L15" s="0" t="n">
        <v>-23834</v>
      </c>
      <c r="M15" s="0" t="n">
        <v>116949</v>
      </c>
      <c r="N15" s="0" t="n">
        <v>-140783</v>
      </c>
      <c r="O15" s="0" t="n">
        <v>759948</v>
      </c>
      <c r="P15" s="0" t="n">
        <v>1040465</v>
      </c>
      <c r="Q15" s="0" t="n">
        <v>280517</v>
      </c>
      <c r="R15" s="0" t="n">
        <v>186223</v>
      </c>
      <c r="S15" s="0" t="n">
        <v>230812</v>
      </c>
      <c r="T15" s="0" t="n">
        <v>1637.0612</v>
      </c>
      <c r="U15" s="0" t="n">
        <v>0</v>
      </c>
      <c r="V15" s="0" t="n">
        <v>5.2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275728</v>
      </c>
      <c r="C16" s="0" t="n">
        <v>209984</v>
      </c>
      <c r="D16" s="0" t="n">
        <v>65744</v>
      </c>
      <c r="E16" s="0" t="n">
        <v>23.8438</v>
      </c>
      <c r="F16" s="0" t="n">
        <v>7733</v>
      </c>
      <c r="G16" s="0" t="n">
        <v>2.8046</v>
      </c>
      <c r="H16" s="0" t="n">
        <v>51836</v>
      </c>
      <c r="I16" s="0" t="n">
        <v>8067</v>
      </c>
      <c r="J16" s="0" t="n">
        <v>2.9257</v>
      </c>
      <c r="K16" s="0" t="n">
        <v>4.92</v>
      </c>
      <c r="L16" s="0" t="n">
        <v>54602</v>
      </c>
      <c r="M16" s="0" t="n">
        <v>105201</v>
      </c>
      <c r="N16" s="0" t="n">
        <v>-50599</v>
      </c>
      <c r="O16" s="0" t="n">
        <v>756317</v>
      </c>
      <c r="P16" s="0" t="n">
        <v>1086884</v>
      </c>
      <c r="Q16" s="0" t="n">
        <v>330567</v>
      </c>
      <c r="R16" s="0" t="n">
        <v>242647</v>
      </c>
      <c r="S16" s="0" t="n">
        <v>234867</v>
      </c>
      <c r="T16" s="0" t="n">
        <v>1639.6341</v>
      </c>
      <c r="U16" s="0" t="n">
        <v>0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483123</v>
      </c>
      <c r="C17" s="0" t="n">
        <v>296896</v>
      </c>
      <c r="D17" s="0" t="n">
        <v>186227</v>
      </c>
      <c r="E17" s="0" t="n">
        <v>38.5465</v>
      </c>
      <c r="F17" s="0" t="n">
        <v>111199</v>
      </c>
      <c r="G17" s="0" t="n">
        <v>23.0167</v>
      </c>
      <c r="H17" s="0" t="n">
        <v>157526</v>
      </c>
      <c r="I17" s="0" t="n">
        <v>80734</v>
      </c>
      <c r="J17" s="0" t="n">
        <v>16.7109</v>
      </c>
      <c r="K17" s="0" t="n">
        <v>48.49</v>
      </c>
      <c r="L17" s="0" t="n">
        <v>167729</v>
      </c>
      <c r="M17" s="0" t="n">
        <v>93205</v>
      </c>
      <c r="N17" s="0" t="n">
        <v>74524</v>
      </c>
      <c r="O17" s="0" t="n">
        <v>829689</v>
      </c>
      <c r="P17" s="0" t="n">
        <v>1206419</v>
      </c>
      <c r="Q17" s="0" t="n">
        <v>376730</v>
      </c>
      <c r="R17" s="0" t="n">
        <v>240964</v>
      </c>
      <c r="S17" s="0" t="n">
        <v>298228</v>
      </c>
      <c r="T17" s="0" t="n">
        <v>1664.9618</v>
      </c>
      <c r="U17" s="0" t="n">
        <v>0</v>
      </c>
      <c r="V17" s="0" t="n">
        <v>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618493</v>
      </c>
      <c r="C18" s="0" t="n">
        <v>368976</v>
      </c>
      <c r="D18" s="0" t="n">
        <v>249517</v>
      </c>
      <c r="E18" s="0" t="n">
        <v>40.3427</v>
      </c>
      <c r="F18" s="0" t="n">
        <v>165437</v>
      </c>
      <c r="G18" s="0" t="n">
        <v>26.7484</v>
      </c>
      <c r="H18" s="0" t="n">
        <v>212139</v>
      </c>
      <c r="I18" s="0" t="n">
        <v>120225</v>
      </c>
      <c r="J18" s="0" t="n">
        <v>19.4384</v>
      </c>
      <c r="K18" s="0" t="n">
        <v>72.12</v>
      </c>
      <c r="L18" s="0" t="n">
        <v>197674</v>
      </c>
      <c r="M18" s="0" t="n">
        <v>52693</v>
      </c>
      <c r="N18" s="0" t="n">
        <v>144981</v>
      </c>
      <c r="O18" s="0" t="n">
        <v>949563</v>
      </c>
      <c r="P18" s="0" t="n">
        <v>1355215</v>
      </c>
      <c r="Q18" s="0" t="n">
        <v>405652</v>
      </c>
      <c r="R18" s="0" t="n">
        <v>208953</v>
      </c>
      <c r="S18" s="0" t="n">
        <v>397014</v>
      </c>
      <c r="T18" s="0" t="n">
        <v>1667.0133</v>
      </c>
      <c r="U18" s="0" t="n">
        <v>0</v>
      </c>
      <c r="V18" s="0" t="n">
        <v>13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679374</v>
      </c>
      <c r="C19" s="0" t="n">
        <v>406181</v>
      </c>
      <c r="D19" s="0" t="n">
        <v>273193</v>
      </c>
      <c r="E19" s="0" t="n">
        <v>40.2125</v>
      </c>
      <c r="F19" s="0" t="n">
        <v>172111</v>
      </c>
      <c r="G19" s="0" t="n">
        <v>25.3338</v>
      </c>
      <c r="H19" s="0" t="n">
        <v>237533</v>
      </c>
      <c r="I19" s="0" t="n">
        <v>124160</v>
      </c>
      <c r="J19" s="0" t="n">
        <v>18.2756</v>
      </c>
      <c r="K19" s="0" t="n">
        <v>75.62</v>
      </c>
      <c r="L19" s="0" t="n">
        <v>195388</v>
      </c>
      <c r="M19" s="0" t="n">
        <v>102697</v>
      </c>
      <c r="N19" s="0" t="n">
        <v>92691</v>
      </c>
      <c r="O19" s="0" t="n">
        <v>977408</v>
      </c>
      <c r="P19" s="0" t="n">
        <v>1438521</v>
      </c>
      <c r="Q19" s="0" t="n">
        <v>461113</v>
      </c>
      <c r="R19" s="0" t="n">
        <v>266667</v>
      </c>
      <c r="S19" s="0" t="n">
        <v>461323</v>
      </c>
      <c r="T19" s="0" t="n">
        <v>1641.8937</v>
      </c>
      <c r="U19" s="0" t="n">
        <v>0</v>
      </c>
      <c r="V19" s="0" t="n">
        <v>14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704539</v>
      </c>
      <c r="C20" s="0" t="n">
        <v>431580</v>
      </c>
      <c r="D20" s="0" t="n">
        <v>272959</v>
      </c>
      <c r="E20" s="0" t="n">
        <v>38.7429</v>
      </c>
      <c r="F20" s="0" t="n">
        <v>168413</v>
      </c>
      <c r="G20" s="0" t="n">
        <v>23.904</v>
      </c>
      <c r="H20" s="0" t="n">
        <v>234958</v>
      </c>
      <c r="I20" s="0" t="n">
        <v>121881</v>
      </c>
      <c r="J20" s="0" t="n">
        <v>17.2994</v>
      </c>
      <c r="K20" s="0" t="n">
        <v>74.34</v>
      </c>
      <c r="L20" s="0" t="n">
        <v>181281</v>
      </c>
      <c r="M20" s="0" t="n">
        <v>83604</v>
      </c>
      <c r="N20" s="0" t="n">
        <v>97677</v>
      </c>
      <c r="O20" s="0" t="n">
        <v>1100021</v>
      </c>
      <c r="P20" s="0" t="n">
        <v>1629076</v>
      </c>
      <c r="Q20" s="0" t="n">
        <v>529055</v>
      </c>
      <c r="R20" s="0" t="n">
        <v>326706</v>
      </c>
      <c r="S20" s="0" t="n">
        <v>597098</v>
      </c>
      <c r="T20" s="0" t="n">
        <v>1639.5077</v>
      </c>
      <c r="U20" s="0" t="n">
        <v>0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3438</v>
      </c>
    </row>
    <row r="3" customFormat="false" ht="15" hidden="false" customHeight="false" outlineLevel="0" collapsed="false">
      <c r="A3" s="0" t="s">
        <v>85</v>
      </c>
      <c r="B3" s="3" t="n">
        <v>1639.508</v>
      </c>
    </row>
    <row r="4" customFormat="false" ht="15" hidden="false" customHeight="false" outlineLevel="0" collapsed="false">
      <c r="A4" s="0" t="s">
        <v>86</v>
      </c>
      <c r="B4" s="3" t="n">
        <v>-270392</v>
      </c>
    </row>
    <row r="5" customFormat="false" ht="15" hidden="false" customHeight="false" outlineLevel="0" collapsed="false">
      <c r="A5" s="0" t="s">
        <v>87</v>
      </c>
      <c r="B5" s="3" t="n">
        <v>59306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704539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2.5</v>
      </c>
      <c r="D13" s="3" t="n">
        <v>1.5</v>
      </c>
      <c r="E13" s="3" t="n">
        <v>3</v>
      </c>
      <c r="F13" s="3" t="n">
        <v>4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106</v>
      </c>
      <c r="C14" s="3" t="n">
        <v>31</v>
      </c>
      <c r="D14" s="3" t="n">
        <v>31</v>
      </c>
      <c r="E14" s="3" t="n">
        <v>30</v>
      </c>
      <c r="F14" s="3" t="n">
        <v>30.5</v>
      </c>
      <c r="G14" s="3" t="n">
        <v>31</v>
      </c>
      <c r="H14" s="3" t="n">
        <v>31</v>
      </c>
      <c r="I14" s="3" t="n">
        <v>31</v>
      </c>
      <c r="J14" s="3" t="n">
        <v>31</v>
      </c>
      <c r="K14" s="3" t="n">
        <v>31</v>
      </c>
      <c r="L14" s="3" t="n">
        <v>31</v>
      </c>
    </row>
    <row r="15" customFormat="false" ht="15" hidden="false" customHeight="false" outlineLevel="0" collapsed="false">
      <c r="A15" s="0" t="s">
        <v>107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9.6</v>
      </c>
      <c r="D17" s="3" t="n">
        <v>9.8</v>
      </c>
      <c r="E17" s="3" t="n">
        <v>10.3</v>
      </c>
      <c r="F17" s="3" t="n">
        <v>11</v>
      </c>
      <c r="G17" s="3" t="n">
        <v>11</v>
      </c>
      <c r="H17" s="3" t="n">
        <v>10.8</v>
      </c>
      <c r="I17" s="3" t="n">
        <v>10.5</v>
      </c>
      <c r="J17" s="3" t="n">
        <v>10.5</v>
      </c>
      <c r="K17" s="3" t="n">
        <v>10.5</v>
      </c>
      <c r="L17" s="3" t="n">
        <v>10.5</v>
      </c>
    </row>
    <row r="18" customFormat="false" ht="15" hidden="false" customHeight="false" outlineLevel="0" collapsed="false">
      <c r="A18" s="0" t="s">
        <v>110</v>
      </c>
      <c r="C18" s="3" t="n">
        <v>23</v>
      </c>
      <c r="D18" s="3" t="n">
        <v>25</v>
      </c>
      <c r="E18" s="3" t="n">
        <v>28</v>
      </c>
      <c r="F18" s="3" t="n">
        <v>12</v>
      </c>
      <c r="G18" s="3" t="n">
        <v>11</v>
      </c>
      <c r="H18" s="3" t="n">
        <v>11</v>
      </c>
      <c r="I18" s="3" t="n">
        <v>11</v>
      </c>
      <c r="J18" s="3" t="n">
        <v>11</v>
      </c>
      <c r="K18" s="3" t="n">
        <v>11</v>
      </c>
      <c r="L18" s="3" t="n">
        <v>11</v>
      </c>
    </row>
    <row r="19" customFormat="false" ht="15" hidden="false" customHeight="false" outlineLevel="0" collapsed="false">
      <c r="A19" s="0" t="s">
        <v>111</v>
      </c>
      <c r="C19" s="3" t="n">
        <v>30.5</v>
      </c>
      <c r="D19" s="3" t="n">
        <v>30.5</v>
      </c>
      <c r="E19" s="3" t="n">
        <v>30.5</v>
      </c>
      <c r="F19" s="3" t="n">
        <v>30.5</v>
      </c>
      <c r="G19" s="3" t="n">
        <v>30.5</v>
      </c>
      <c r="H19" s="3" t="n">
        <v>30.5</v>
      </c>
      <c r="I19" s="3" t="n">
        <v>30.5</v>
      </c>
      <c r="J19" s="3" t="n">
        <v>30.5</v>
      </c>
      <c r="K19" s="3" t="n">
        <v>30.5</v>
      </c>
      <c r="L19" s="3" t="n">
        <v>30.5</v>
      </c>
    </row>
    <row r="20" customFormat="false" ht="15" hidden="false" customHeight="false" outlineLevel="0" collapsed="false">
      <c r="A20" s="0" t="s">
        <v>112</v>
      </c>
      <c r="B20" s="3" t="n">
        <v>6.5</v>
      </c>
    </row>
    <row r="21" customFormat="false" ht="15" hidden="false" customHeight="false" outlineLevel="0" collapsed="false">
      <c r="A21" s="0" t="s">
        <v>113</v>
      </c>
      <c r="B21" s="3" t="n">
        <v>1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5</v>
      </c>
      <c r="D27" s="3" t="n">
        <v>5</v>
      </c>
      <c r="E27" s="3" t="n">
        <v>7</v>
      </c>
      <c r="F27" s="3" t="n">
        <v>8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32.5</v>
      </c>
      <c r="D28" s="3" t="n">
        <v>33</v>
      </c>
      <c r="E28" s="3" t="n">
        <v>32.5</v>
      </c>
      <c r="F28" s="3" t="n">
        <v>33.5</v>
      </c>
      <c r="G28" s="3" t="n">
        <v>34</v>
      </c>
      <c r="H28" s="3" t="n">
        <v>34</v>
      </c>
      <c r="I28" s="3" t="n">
        <v>34</v>
      </c>
      <c r="J28" s="3" t="n">
        <v>34</v>
      </c>
      <c r="K28" s="3" t="n">
        <v>34</v>
      </c>
      <c r="L28" s="3" t="n">
        <v>34</v>
      </c>
    </row>
    <row r="29" customFormat="false" ht="15" hidden="false" customHeight="false" outlineLevel="0" collapsed="false">
      <c r="A29" s="0" t="s">
        <v>107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9.5</v>
      </c>
      <c r="D31" s="3" t="n">
        <v>9.6</v>
      </c>
      <c r="E31" s="3" t="n">
        <v>10</v>
      </c>
      <c r="F31" s="3" t="n">
        <v>10.5</v>
      </c>
      <c r="G31" s="3" t="n">
        <v>10.5</v>
      </c>
      <c r="H31" s="3" t="n">
        <v>10.3</v>
      </c>
      <c r="I31" s="3" t="n">
        <v>10</v>
      </c>
      <c r="J31" s="3" t="n">
        <v>10</v>
      </c>
      <c r="K31" s="3" t="n">
        <v>10</v>
      </c>
      <c r="L31" s="3" t="n">
        <v>10</v>
      </c>
    </row>
    <row r="32" customFormat="false" ht="15" hidden="false" customHeight="false" outlineLevel="0" collapsed="false">
      <c r="A32" s="0" t="s">
        <v>110</v>
      </c>
      <c r="C32" s="3" t="n">
        <v>22</v>
      </c>
      <c r="D32" s="3" t="n">
        <v>24</v>
      </c>
      <c r="E32" s="3" t="n">
        <v>27</v>
      </c>
      <c r="F32" s="3" t="n">
        <v>12</v>
      </c>
      <c r="G32" s="3" t="n">
        <v>11</v>
      </c>
      <c r="H32" s="3" t="n">
        <v>11</v>
      </c>
      <c r="I32" s="3" t="n">
        <v>11</v>
      </c>
      <c r="J32" s="3" t="n">
        <v>11</v>
      </c>
      <c r="K32" s="3" t="n">
        <v>11</v>
      </c>
      <c r="L32" s="3" t="n">
        <v>11</v>
      </c>
    </row>
    <row r="33" customFormat="false" ht="15" hidden="false" customHeight="false" outlineLevel="0" collapsed="false">
      <c r="A33" s="0" t="s">
        <v>111</v>
      </c>
      <c r="C33" s="3" t="n">
        <v>30.5</v>
      </c>
      <c r="D33" s="3" t="n">
        <v>30.5</v>
      </c>
      <c r="E33" s="3" t="n">
        <v>30.5</v>
      </c>
      <c r="F33" s="3" t="n">
        <v>30.5</v>
      </c>
      <c r="G33" s="3" t="n">
        <v>30.5</v>
      </c>
      <c r="H33" s="3" t="n">
        <v>30.5</v>
      </c>
      <c r="I33" s="3" t="n">
        <v>30.5</v>
      </c>
      <c r="J33" s="3" t="n">
        <v>30.5</v>
      </c>
      <c r="K33" s="3" t="n">
        <v>30.5</v>
      </c>
      <c r="L33" s="3" t="n">
        <v>30.5</v>
      </c>
    </row>
    <row r="34" customFormat="false" ht="15" hidden="false" customHeight="false" outlineLevel="0" collapsed="false">
      <c r="A34" s="0" t="s">
        <v>112</v>
      </c>
      <c r="B34" s="3" t="n">
        <v>6.5</v>
      </c>
    </row>
    <row r="35" customFormat="false" ht="15" hidden="false" customHeight="false" outlineLevel="0" collapsed="false">
      <c r="A35" s="0" t="s">
        <v>113</v>
      </c>
      <c r="B35" s="3" t="n">
        <v>1.5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7</v>
      </c>
      <c r="D41" s="3" t="n">
        <v>7</v>
      </c>
      <c r="E41" s="3" t="n">
        <v>9</v>
      </c>
      <c r="F41" s="3" t="n">
        <v>11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34</v>
      </c>
      <c r="D42" s="3" t="n">
        <v>34.5</v>
      </c>
      <c r="E42" s="3" t="n">
        <v>34</v>
      </c>
      <c r="F42" s="3" t="n">
        <v>35.5</v>
      </c>
      <c r="G42" s="3" t="n">
        <v>36</v>
      </c>
      <c r="H42" s="3" t="n">
        <v>36</v>
      </c>
      <c r="I42" s="3" t="n">
        <v>36</v>
      </c>
      <c r="J42" s="3" t="n">
        <v>36</v>
      </c>
      <c r="K42" s="3" t="n">
        <v>36</v>
      </c>
      <c r="L42" s="3" t="n">
        <v>36</v>
      </c>
    </row>
    <row r="43" customFormat="false" ht="15" hidden="false" customHeight="false" outlineLevel="0" collapsed="false">
      <c r="A43" s="0" t="s">
        <v>107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9.4</v>
      </c>
      <c r="D45" s="3" t="n">
        <v>9.5</v>
      </c>
      <c r="E45" s="3" t="n">
        <v>9.8</v>
      </c>
      <c r="F45" s="3" t="n">
        <v>10.2</v>
      </c>
      <c r="G45" s="3" t="n">
        <v>10.2</v>
      </c>
      <c r="H45" s="3" t="n">
        <v>10</v>
      </c>
      <c r="I45" s="3" t="n">
        <v>9.8</v>
      </c>
      <c r="J45" s="3" t="n">
        <v>9.8</v>
      </c>
      <c r="K45" s="3" t="n">
        <v>9.8</v>
      </c>
      <c r="L45" s="3" t="n">
        <v>9.8</v>
      </c>
    </row>
    <row r="46" customFormat="false" ht="15" hidden="false" customHeight="false" outlineLevel="0" collapsed="false">
      <c r="A46" s="0" t="s">
        <v>110</v>
      </c>
      <c r="C46" s="3" t="n">
        <v>21</v>
      </c>
      <c r="D46" s="3" t="n">
        <v>23</v>
      </c>
      <c r="E46" s="3" t="n">
        <v>26</v>
      </c>
      <c r="F46" s="3" t="n">
        <v>12</v>
      </c>
      <c r="G46" s="3" t="n">
        <v>11</v>
      </c>
      <c r="H46" s="3" t="n">
        <v>11</v>
      </c>
      <c r="I46" s="3" t="n">
        <v>11</v>
      </c>
      <c r="J46" s="3" t="n">
        <v>11</v>
      </c>
      <c r="K46" s="3" t="n">
        <v>11</v>
      </c>
      <c r="L46" s="3" t="n">
        <v>11</v>
      </c>
    </row>
    <row r="47" customFormat="false" ht="15" hidden="false" customHeight="false" outlineLevel="0" collapsed="false">
      <c r="A47" s="0" t="s">
        <v>111</v>
      </c>
      <c r="C47" s="3" t="n">
        <v>30.5</v>
      </c>
      <c r="D47" s="3" t="n">
        <v>30.5</v>
      </c>
      <c r="E47" s="3" t="n">
        <v>30.5</v>
      </c>
      <c r="F47" s="3" t="n">
        <v>30.5</v>
      </c>
      <c r="G47" s="3" t="n">
        <v>30.5</v>
      </c>
      <c r="H47" s="3" t="n">
        <v>30.5</v>
      </c>
      <c r="I47" s="3" t="n">
        <v>30.5</v>
      </c>
      <c r="J47" s="3" t="n">
        <v>30.5</v>
      </c>
      <c r="K47" s="3" t="n">
        <v>30.5</v>
      </c>
      <c r="L47" s="3" t="n">
        <v>30.5</v>
      </c>
    </row>
    <row r="48" customFormat="false" ht="15" hidden="false" customHeight="false" outlineLevel="0" collapsed="false">
      <c r="A48" s="0" t="s">
        <v>112</v>
      </c>
      <c r="B48" s="3" t="n">
        <v>6.5</v>
      </c>
    </row>
    <row r="49" customFormat="false" ht="15" hidden="false" customHeight="false" outlineLevel="0" collapsed="false">
      <c r="A49" s="0" t="s">
        <v>113</v>
      </c>
      <c r="B49" s="3" t="n">
        <v>2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2.5</v>
      </c>
      <c r="D5" s="4" t="n">
        <f aca="false">Assumptions!D13</f>
        <v>1.5</v>
      </c>
      <c r="E5" s="4" t="n">
        <f aca="false">Assumptions!E13</f>
        <v>3</v>
      </c>
      <c r="F5" s="4" t="n">
        <f aca="false">Assumptions!F13</f>
        <v>4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704539</v>
      </c>
      <c r="C6" s="0" t="n">
        <f aca="false">B6*(1+C5/100)</f>
        <v>722152.475</v>
      </c>
      <c r="D6" s="0" t="n">
        <f aca="false">C6*(1+D5/100)</f>
        <v>732984.762125</v>
      </c>
      <c r="E6" s="0" t="n">
        <f aca="false">D6*(1+E5/100)</f>
        <v>754974.30498875</v>
      </c>
      <c r="F6" s="0" t="n">
        <f aca="false">E6*(1+F5/100)</f>
        <v>785173.2771883</v>
      </c>
      <c r="G6" s="0" t="n">
        <f aca="false">F6*(1+G5/100)</f>
        <v>796950.876346124</v>
      </c>
      <c r="H6" s="0" t="n">
        <f aca="false">G6*(1+H5/100)</f>
        <v>808905.139491316</v>
      </c>
      <c r="I6" s="0" t="n">
        <f aca="false">H6*(1+I5/100)</f>
        <v>821038.716583686</v>
      </c>
      <c r="J6" s="0" t="n">
        <f aca="false">I6*(1+J5/100)</f>
        <v>833354.297332441</v>
      </c>
      <c r="K6" s="0" t="n">
        <f aca="false">J6*(1+K5/100)</f>
        <v>841687.840305766</v>
      </c>
      <c r="L6" s="0" t="n">
        <f aca="false">K6*(1+L5/100)</f>
        <v>850104.718708823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31</v>
      </c>
      <c r="D7" s="4" t="n">
        <f aca="false">Assumptions!D14</f>
        <v>31</v>
      </c>
      <c r="E7" s="4" t="n">
        <f aca="false">Assumptions!E14</f>
        <v>30</v>
      </c>
      <c r="F7" s="4" t="n">
        <f aca="false">Assumptions!F14</f>
        <v>30.5</v>
      </c>
      <c r="G7" s="4" t="n">
        <f aca="false">Assumptions!G14</f>
        <v>31</v>
      </c>
      <c r="H7" s="4" t="n">
        <f aca="false">Assumptions!H14</f>
        <v>31</v>
      </c>
      <c r="I7" s="4" t="n">
        <f aca="false">Assumptions!I14</f>
        <v>31</v>
      </c>
      <c r="J7" s="4" t="n">
        <f aca="false">Assumptions!J14</f>
        <v>31</v>
      </c>
      <c r="K7" s="4" t="n">
        <f aca="false">Assumptions!K14</f>
        <v>31</v>
      </c>
      <c r="L7" s="4" t="n">
        <f aca="false">Assumptions!L14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223867.26725</v>
      </c>
      <c r="D8" s="0" t="n">
        <f aca="false">D6*D7/100</f>
        <v>227225.27625875</v>
      </c>
      <c r="E8" s="0" t="n">
        <f aca="false">E6*E7/100</f>
        <v>226492.291496625</v>
      </c>
      <c r="F8" s="0" t="n">
        <f aca="false">F6*F7/100</f>
        <v>239477.849542431</v>
      </c>
      <c r="G8" s="0" t="n">
        <f aca="false">G6*G7/100</f>
        <v>247054.771667299</v>
      </c>
      <c r="H8" s="0" t="n">
        <f aca="false">H6*H7/100</f>
        <v>250760.593242308</v>
      </c>
      <c r="I8" s="0" t="n">
        <f aca="false">I6*I7/100</f>
        <v>254522.002140943</v>
      </c>
      <c r="J8" s="0" t="n">
        <f aca="false">J6*J7/100</f>
        <v>258339.832173057</v>
      </c>
      <c r="K8" s="0" t="n">
        <f aca="false">K6*K7/100</f>
        <v>260923.230494787</v>
      </c>
      <c r="L8" s="0" t="n">
        <f aca="false">L6*L7/100</f>
        <v>263532.462799735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223867.26725</v>
      </c>
      <c r="D11" s="0" t="n">
        <f aca="false">D8+D10+D24</f>
        <v>227225.27625875</v>
      </c>
      <c r="E11" s="0" t="n">
        <f aca="false">E8+E10+E24</f>
        <v>226492.291496625</v>
      </c>
      <c r="F11" s="0" t="n">
        <f aca="false">F8+F10+F24</f>
        <v>239477.849542431</v>
      </c>
      <c r="G11" s="0" t="n">
        <f aca="false">G8+G10+G24</f>
        <v>247054.771667299</v>
      </c>
      <c r="H11" s="0" t="n">
        <f aca="false">H8+H10+H24</f>
        <v>250760.593242308</v>
      </c>
      <c r="I11" s="0" t="n">
        <f aca="false">I8+I10+I24</f>
        <v>254522.002140943</v>
      </c>
      <c r="J11" s="0" t="n">
        <f aca="false">J8+J10+J24</f>
        <v>258339.832173057</v>
      </c>
      <c r="K11" s="0" t="n">
        <f aca="false">K8+K10+K24</f>
        <v>260923.230494787</v>
      </c>
      <c r="L11" s="0" t="n">
        <f aca="false">L8+L10+L24</f>
        <v>263532.462799735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-69326.6376</v>
      </c>
      <c r="D12" s="4" t="n">
        <f aca="false">-D6*Assumptions!D17/100</f>
        <v>-71832.50668825</v>
      </c>
      <c r="E12" s="4" t="n">
        <f aca="false">-E6*Assumptions!E17/100</f>
        <v>-77762.3534138413</v>
      </c>
      <c r="F12" s="4" t="n">
        <f aca="false">-F6*Assumptions!F17/100</f>
        <v>-86369.060490713</v>
      </c>
      <c r="G12" s="4" t="n">
        <f aca="false">-G6*Assumptions!G17/100</f>
        <v>-87664.5963980737</v>
      </c>
      <c r="H12" s="4" t="n">
        <f aca="false">-H6*Assumptions!H17/100</f>
        <v>-87361.7550650622</v>
      </c>
      <c r="I12" s="4" t="n">
        <f aca="false">-I6*Assumptions!I17/100</f>
        <v>-86209.065241287</v>
      </c>
      <c r="J12" s="4" t="n">
        <f aca="false">-J6*Assumptions!J17/100</f>
        <v>-87502.2012199063</v>
      </c>
      <c r="K12" s="4" t="n">
        <f aca="false">-K6*Assumptions!K17/100</f>
        <v>-88377.2232321054</v>
      </c>
      <c r="L12" s="4" t="n">
        <f aca="false">-L6*Assumptions!L17/100</f>
        <v>-89260.9954644264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154540.62965</v>
      </c>
      <c r="D13" s="0" t="n">
        <f aca="false">D11+D12</f>
        <v>155392.7695705</v>
      </c>
      <c r="E13" s="0" t="n">
        <f aca="false">E11+E12</f>
        <v>148729.938082784</v>
      </c>
      <c r="F13" s="0" t="n">
        <f aca="false">F11+F12</f>
        <v>153108.789051718</v>
      </c>
      <c r="G13" s="0" t="n">
        <f aca="false">G11+G12</f>
        <v>159390.175269225</v>
      </c>
      <c r="H13" s="0" t="n">
        <f aca="false">H11+H12</f>
        <v>163398.838177246</v>
      </c>
      <c r="I13" s="0" t="n">
        <f aca="false">I11+I12</f>
        <v>168312.936899656</v>
      </c>
      <c r="J13" s="0" t="n">
        <f aca="false">J11+J12</f>
        <v>170837.63095315</v>
      </c>
      <c r="K13" s="0" t="n">
        <f aca="false">K11+K12</f>
        <v>172546.007262682</v>
      </c>
      <c r="L13" s="0" t="n">
        <f aca="false">L11+L12</f>
        <v>174271.467335309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30.5</v>
      </c>
      <c r="D14" s="4" t="n">
        <f aca="false">Assumptions!D19</f>
        <v>30.5</v>
      </c>
      <c r="E14" s="4" t="n">
        <f aca="false">Assumptions!E19</f>
        <v>30.5</v>
      </c>
      <c r="F14" s="4" t="n">
        <f aca="false">Assumptions!F19</f>
        <v>30.5</v>
      </c>
      <c r="G14" s="4" t="n">
        <f aca="false">Assumptions!G19</f>
        <v>30.5</v>
      </c>
      <c r="H14" s="4" t="n">
        <f aca="false">Assumptions!H19</f>
        <v>30.5</v>
      </c>
      <c r="I14" s="4" t="n">
        <f aca="false">Assumptions!I19</f>
        <v>30.5</v>
      </c>
      <c r="J14" s="4" t="n">
        <f aca="false">Assumptions!J19</f>
        <v>30.5</v>
      </c>
      <c r="K14" s="4" t="n">
        <f aca="false">Assumptions!K19</f>
        <v>30.5</v>
      </c>
      <c r="L14" s="4" t="n">
        <f aca="false">Assumptions!L19</f>
        <v>30.5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107405.73760675</v>
      </c>
      <c r="D15" s="0" t="n">
        <f aca="false">D13-MAX(0,D13)*D14/100</f>
        <v>107997.974851497</v>
      </c>
      <c r="E15" s="0" t="n">
        <f aca="false">E13-MAX(0,E13)*E14/100</f>
        <v>103367.306967535</v>
      </c>
      <c r="F15" s="0" t="n">
        <f aca="false">F13-MAX(0,F13)*F14/100</f>
        <v>106410.608390944</v>
      </c>
      <c r="G15" s="0" t="n">
        <f aca="false">G13-MAX(0,G13)*G14/100</f>
        <v>110776.171812111</v>
      </c>
      <c r="H15" s="0" t="n">
        <f aca="false">H13-MAX(0,H13)*H14/100</f>
        <v>113562.192533186</v>
      </c>
      <c r="I15" s="0" t="n">
        <f aca="false">I13-MAX(0,I13)*I14/100</f>
        <v>116977.491145261</v>
      </c>
      <c r="J15" s="0" t="n">
        <f aca="false">J13-MAX(0,J13)*J14/100</f>
        <v>118732.15351244</v>
      </c>
      <c r="K15" s="0" t="n">
        <f aca="false">K13-MAX(0,K13)*K14/100</f>
        <v>119919.475047564</v>
      </c>
      <c r="L15" s="0" t="n">
        <f aca="false">L13-MAX(0,L13)*L14/100</f>
        <v>121118.66979804</v>
      </c>
    </row>
    <row r="16" customFormat="false" ht="15" hidden="false" customHeight="false" outlineLevel="0" collapsed="false">
      <c r="A16" s="0" t="s">
        <v>127</v>
      </c>
      <c r="C16" s="0" t="n">
        <f aca="false">-C12</f>
        <v>69326.6376</v>
      </c>
      <c r="D16" s="0" t="n">
        <f aca="false">-D12</f>
        <v>71832.50668825</v>
      </c>
      <c r="E16" s="0" t="n">
        <f aca="false">-E12</f>
        <v>77762.3534138413</v>
      </c>
      <c r="F16" s="0" t="n">
        <f aca="false">-F12</f>
        <v>86369.060490713</v>
      </c>
      <c r="G16" s="0" t="n">
        <f aca="false">-G12</f>
        <v>87664.5963980737</v>
      </c>
      <c r="H16" s="0" t="n">
        <f aca="false">-H12</f>
        <v>87361.7550650622</v>
      </c>
      <c r="I16" s="0" t="n">
        <f aca="false">-I12</f>
        <v>86209.065241287</v>
      </c>
      <c r="J16" s="0" t="n">
        <f aca="false">-J12</f>
        <v>87502.2012199063</v>
      </c>
      <c r="K16" s="0" t="n">
        <f aca="false">-K12</f>
        <v>88377.2232321054</v>
      </c>
      <c r="L16" s="0" t="n">
        <f aca="false">-L12</f>
        <v>89260.9954644264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-166095.06925</v>
      </c>
      <c r="D17" s="4" t="n">
        <f aca="false">-D6*Assumptions!D18/100</f>
        <v>-183246.19053125</v>
      </c>
      <c r="E17" s="4" t="n">
        <f aca="false">-E6*Assumptions!E18/100</f>
        <v>-211392.80539685</v>
      </c>
      <c r="F17" s="4" t="n">
        <f aca="false">-F6*Assumptions!F18/100</f>
        <v>-94220.793262596</v>
      </c>
      <c r="G17" s="4" t="n">
        <f aca="false">-G6*Assumptions!G18/100</f>
        <v>-87664.5963980737</v>
      </c>
      <c r="H17" s="4" t="n">
        <f aca="false">-H6*Assumptions!H18/100</f>
        <v>-88979.5653440448</v>
      </c>
      <c r="I17" s="4" t="n">
        <f aca="false">-I6*Assumptions!I18/100</f>
        <v>-90314.2588242054</v>
      </c>
      <c r="J17" s="4" t="n">
        <f aca="false">-J6*Assumptions!J18/100</f>
        <v>-91668.9727065685</v>
      </c>
      <c r="K17" s="4" t="n">
        <f aca="false">-K6*Assumptions!K18/100</f>
        <v>-92585.6624336342</v>
      </c>
      <c r="L17" s="4" t="n">
        <f aca="false">-L6*Assumptions!L18/100</f>
        <v>-93511.5190579706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10637.30595675</v>
      </c>
      <c r="D19" s="0" t="n">
        <f aca="false">D15+D16+D17+D18</f>
        <v>-3415.70899150247</v>
      </c>
      <c r="E19" s="0" t="n">
        <f aca="false">E15+E16+E17+E18</f>
        <v>-30263.145015474</v>
      </c>
      <c r="F19" s="0" t="n">
        <f aca="false">F15+F16+F17+F18</f>
        <v>98558.8756190613</v>
      </c>
      <c r="G19" s="0" t="n">
        <f aca="false">G15+G16+G17+G18</f>
        <v>110776.171812111</v>
      </c>
      <c r="H19" s="0" t="n">
        <f aca="false">H15+H16+H17+H18</f>
        <v>111944.382254203</v>
      </c>
      <c r="I19" s="0" t="n">
        <f aca="false">I15+I16+I17+I18</f>
        <v>112872.297562342</v>
      </c>
      <c r="J19" s="0" t="n">
        <f aca="false">J15+J16+J17+J18</f>
        <v>114565.382025777</v>
      </c>
      <c r="K19" s="0" t="n">
        <f aca="false">K15+K16+K17+K18</f>
        <v>115711.035846035</v>
      </c>
      <c r="L19" s="0" t="n">
        <f aca="false">L15+L16+L17+L18</f>
        <v>116868.146204495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9988.08071056336</v>
      </c>
      <c r="D21" s="0" t="n">
        <f aca="false">D19*D20</f>
        <v>-3011.4915395997</v>
      </c>
      <c r="E21" s="0" t="n">
        <f aca="false">E19*E20</f>
        <v>-25053.317116162</v>
      </c>
      <c r="F21" s="0" t="n">
        <f aca="false">F19*F20</f>
        <v>76612.0898313266</v>
      </c>
      <c r="G21" s="0" t="n">
        <f aca="false">G19*G20</f>
        <v>80853.4049488128</v>
      </c>
      <c r="H21" s="0" t="n">
        <f aca="false">H19*H20</f>
        <v>76719.3045666849</v>
      </c>
      <c r="I21" s="0" t="n">
        <f aca="false">I19*I20</f>
        <v>72634.0249640455</v>
      </c>
      <c r="J21" s="0" t="n">
        <f aca="false">J19*J20</f>
        <v>69223.9768436678</v>
      </c>
      <c r="K21" s="0" t="n">
        <f aca="false">K19*K20</f>
        <v>65649.0296827272</v>
      </c>
      <c r="L21" s="0" t="n">
        <f aca="false">L19*L20</f>
        <v>62258.7042061544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6.5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485873.807098221</v>
      </c>
    </row>
    <row r="31" customFormat="false" ht="15" hidden="false" customHeight="false" outlineLevel="0" collapsed="false">
      <c r="A31" s="0" t="s">
        <v>136</v>
      </c>
      <c r="B31" s="0" t="n">
        <f aca="false">L19</f>
        <v>116868.146204495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2146124.13939164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1753022.19306743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1753022.19306743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933880.563092316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1419754.37019054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1749452.37019054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1067.05936792656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-0.689627874366911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1067.05936792656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843120.197618146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504.029948260508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5</v>
      </c>
      <c r="D5" s="4" t="n">
        <f aca="false">Assumptions!D27</f>
        <v>5</v>
      </c>
      <c r="E5" s="4" t="n">
        <f aca="false">Assumptions!E27</f>
        <v>7</v>
      </c>
      <c r="F5" s="4" t="n">
        <f aca="false">Assumptions!F27</f>
        <v>8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704539</v>
      </c>
      <c r="C6" s="0" t="n">
        <f aca="false">B6*(1+C5/100)</f>
        <v>739765.95</v>
      </c>
      <c r="D6" s="0" t="n">
        <f aca="false">C6*(1+D5/100)</f>
        <v>776754.2475</v>
      </c>
      <c r="E6" s="0" t="n">
        <f aca="false">D6*(1+E5/100)</f>
        <v>831127.044825</v>
      </c>
      <c r="F6" s="0" t="n">
        <f aca="false">E6*(1+F5/100)</f>
        <v>897617.208411</v>
      </c>
      <c r="G6" s="0" t="n">
        <f aca="false">F6*(1+G5/100)</f>
        <v>933521.89674744</v>
      </c>
      <c r="H6" s="0" t="n">
        <f aca="false">G6*(1+H5/100)</f>
        <v>966195.163133601</v>
      </c>
      <c r="I6" s="0" t="n">
        <f aca="false">H6*(1+I5/100)</f>
        <v>995181.018027609</v>
      </c>
      <c r="J6" s="0" t="n">
        <f aca="false">I6*(1+J5/100)</f>
        <v>1025036.44856844</v>
      </c>
      <c r="K6" s="0" t="n">
        <f aca="false">J6*(1+K5/100)</f>
        <v>1050662.35978265</v>
      </c>
      <c r="L6" s="0" t="n">
        <f aca="false">K6*(1+L5/100)</f>
        <v>1076928.91877721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32.5</v>
      </c>
      <c r="D7" s="4" t="n">
        <f aca="false">Assumptions!D28</f>
        <v>33</v>
      </c>
      <c r="E7" s="4" t="n">
        <f aca="false">Assumptions!E28</f>
        <v>32.5</v>
      </c>
      <c r="F7" s="4" t="n">
        <f aca="false">Assumptions!F28</f>
        <v>33.5</v>
      </c>
      <c r="G7" s="4" t="n">
        <f aca="false">Assumptions!G28</f>
        <v>34</v>
      </c>
      <c r="H7" s="4" t="n">
        <f aca="false">Assumptions!H28</f>
        <v>34</v>
      </c>
      <c r="I7" s="4" t="n">
        <f aca="false">Assumptions!I28</f>
        <v>34</v>
      </c>
      <c r="J7" s="4" t="n">
        <f aca="false">Assumptions!J28</f>
        <v>34</v>
      </c>
      <c r="K7" s="4" t="n">
        <f aca="false">Assumptions!K28</f>
        <v>34</v>
      </c>
      <c r="L7" s="4" t="n">
        <f aca="false">Assumptions!L28</f>
        <v>34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240423.93375</v>
      </c>
      <c r="D8" s="0" t="n">
        <f aca="false">D6*D7/100</f>
        <v>256328.901675</v>
      </c>
      <c r="E8" s="0" t="n">
        <f aca="false">E6*E7/100</f>
        <v>270116.289568125</v>
      </c>
      <c r="F8" s="0" t="n">
        <f aca="false">F6*F7/100</f>
        <v>300701.764817685</v>
      </c>
      <c r="G8" s="0" t="n">
        <f aca="false">G6*G7/100</f>
        <v>317397.44489413</v>
      </c>
      <c r="H8" s="0" t="n">
        <f aca="false">H6*H7/100</f>
        <v>328506.355465424</v>
      </c>
      <c r="I8" s="0" t="n">
        <f aca="false">I6*I7/100</f>
        <v>338361.546129387</v>
      </c>
      <c r="J8" s="0" t="n">
        <f aca="false">J6*J7/100</f>
        <v>348512.392513269</v>
      </c>
      <c r="K8" s="0" t="n">
        <f aca="false">K6*K7/100</f>
        <v>357225.2023261</v>
      </c>
      <c r="L8" s="0" t="n">
        <f aca="false">L6*L7/100</f>
        <v>366155.832384253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240423.93375</v>
      </c>
      <c r="D11" s="0" t="n">
        <f aca="false">D8+D10+D24</f>
        <v>256328.901675</v>
      </c>
      <c r="E11" s="0" t="n">
        <f aca="false">E8+E10+E24</f>
        <v>270116.289568125</v>
      </c>
      <c r="F11" s="0" t="n">
        <f aca="false">F8+F10+F24</f>
        <v>300701.764817685</v>
      </c>
      <c r="G11" s="0" t="n">
        <f aca="false">G8+G10+G24</f>
        <v>317397.44489413</v>
      </c>
      <c r="H11" s="0" t="n">
        <f aca="false">H8+H10+H24</f>
        <v>328506.355465424</v>
      </c>
      <c r="I11" s="0" t="n">
        <f aca="false">I8+I10+I24</f>
        <v>338361.546129387</v>
      </c>
      <c r="J11" s="0" t="n">
        <f aca="false">J8+J10+J24</f>
        <v>348512.392513269</v>
      </c>
      <c r="K11" s="0" t="n">
        <f aca="false">K8+K10+K24</f>
        <v>357225.2023261</v>
      </c>
      <c r="L11" s="0" t="n">
        <f aca="false">L8+L10+L24</f>
        <v>366155.832384253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-70277.76525</v>
      </c>
      <c r="D12" s="4" t="n">
        <f aca="false">-D6*Assumptions!D31/100</f>
        <v>-74568.40776</v>
      </c>
      <c r="E12" s="4" t="n">
        <f aca="false">-E6*Assumptions!E31/100</f>
        <v>-83112.7044825</v>
      </c>
      <c r="F12" s="4" t="n">
        <f aca="false">-F6*Assumptions!F31/100</f>
        <v>-94249.806883155</v>
      </c>
      <c r="G12" s="4" t="n">
        <f aca="false">-G6*Assumptions!G31/100</f>
        <v>-98019.7991584812</v>
      </c>
      <c r="H12" s="4" t="n">
        <f aca="false">-H6*Assumptions!H31/100</f>
        <v>-99518.1018027609</v>
      </c>
      <c r="I12" s="4" t="n">
        <f aca="false">-I6*Assumptions!I31/100</f>
        <v>-99518.1018027609</v>
      </c>
      <c r="J12" s="4" t="n">
        <f aca="false">-J6*Assumptions!J31/100</f>
        <v>-102503.644856844</v>
      </c>
      <c r="K12" s="4" t="n">
        <f aca="false">-K6*Assumptions!K31/100</f>
        <v>-105066.235978265</v>
      </c>
      <c r="L12" s="4" t="n">
        <f aca="false">-L6*Assumptions!L31/100</f>
        <v>-107692.891877721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170146.1685</v>
      </c>
      <c r="D13" s="0" t="n">
        <f aca="false">D11+D12</f>
        <v>181760.493915</v>
      </c>
      <c r="E13" s="0" t="n">
        <f aca="false">E11+E12</f>
        <v>187003.585085625</v>
      </c>
      <c r="F13" s="0" t="n">
        <f aca="false">F11+F12</f>
        <v>206451.95793453</v>
      </c>
      <c r="G13" s="0" t="n">
        <f aca="false">G11+G12</f>
        <v>219377.645735648</v>
      </c>
      <c r="H13" s="0" t="n">
        <f aca="false">H11+H12</f>
        <v>228988.253662663</v>
      </c>
      <c r="I13" s="0" t="n">
        <f aca="false">I11+I12</f>
        <v>238843.444326626</v>
      </c>
      <c r="J13" s="0" t="n">
        <f aca="false">J11+J12</f>
        <v>246008.747656425</v>
      </c>
      <c r="K13" s="0" t="n">
        <f aca="false">K11+K12</f>
        <v>252158.966347835</v>
      </c>
      <c r="L13" s="0" t="n">
        <f aca="false">L11+L12</f>
        <v>258462.940506531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30.5</v>
      </c>
      <c r="D14" s="4" t="n">
        <f aca="false">Assumptions!D33</f>
        <v>30.5</v>
      </c>
      <c r="E14" s="4" t="n">
        <f aca="false">Assumptions!E33</f>
        <v>30.5</v>
      </c>
      <c r="F14" s="4" t="n">
        <f aca="false">Assumptions!F33</f>
        <v>30.5</v>
      </c>
      <c r="G14" s="4" t="n">
        <f aca="false">Assumptions!G33</f>
        <v>30.5</v>
      </c>
      <c r="H14" s="4" t="n">
        <f aca="false">Assumptions!H33</f>
        <v>30.5</v>
      </c>
      <c r="I14" s="4" t="n">
        <f aca="false">Assumptions!I33</f>
        <v>30.5</v>
      </c>
      <c r="J14" s="4" t="n">
        <f aca="false">Assumptions!J33</f>
        <v>30.5</v>
      </c>
      <c r="K14" s="4" t="n">
        <f aca="false">Assumptions!K33</f>
        <v>30.5</v>
      </c>
      <c r="L14" s="4" t="n">
        <f aca="false">Assumptions!L33</f>
        <v>30.5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118251.5871075</v>
      </c>
      <c r="D15" s="0" t="n">
        <f aca="false">D13-MAX(0,D13)*D14/100</f>
        <v>126323.543270925</v>
      </c>
      <c r="E15" s="0" t="n">
        <f aca="false">E13-MAX(0,E13)*E14/100</f>
        <v>129967.491634509</v>
      </c>
      <c r="F15" s="0" t="n">
        <f aca="false">F13-MAX(0,F13)*F14/100</f>
        <v>143484.110764498</v>
      </c>
      <c r="G15" s="0" t="n">
        <f aca="false">G13-MAX(0,G13)*G14/100</f>
        <v>152467.463786276</v>
      </c>
      <c r="H15" s="0" t="n">
        <f aca="false">H13-MAX(0,H13)*H14/100</f>
        <v>159146.836295551</v>
      </c>
      <c r="I15" s="0" t="n">
        <f aca="false">I13-MAX(0,I13)*I14/100</f>
        <v>165996.193807005</v>
      </c>
      <c r="J15" s="0" t="n">
        <f aca="false">J13-MAX(0,J13)*J14/100</f>
        <v>170976.079621215</v>
      </c>
      <c r="K15" s="0" t="n">
        <f aca="false">K13-MAX(0,K13)*K14/100</f>
        <v>175250.481611746</v>
      </c>
      <c r="L15" s="0" t="n">
        <f aca="false">L13-MAX(0,L13)*L14/100</f>
        <v>179631.743652039</v>
      </c>
    </row>
    <row r="16" customFormat="false" ht="15" hidden="false" customHeight="false" outlineLevel="0" collapsed="false">
      <c r="A16" s="0" t="s">
        <v>127</v>
      </c>
      <c r="C16" s="0" t="n">
        <f aca="false">-C12</f>
        <v>70277.76525</v>
      </c>
      <c r="D16" s="0" t="n">
        <f aca="false">-D12</f>
        <v>74568.40776</v>
      </c>
      <c r="E16" s="0" t="n">
        <f aca="false">-E12</f>
        <v>83112.7044825</v>
      </c>
      <c r="F16" s="0" t="n">
        <f aca="false">-F12</f>
        <v>94249.806883155</v>
      </c>
      <c r="G16" s="0" t="n">
        <f aca="false">-G12</f>
        <v>98019.7991584812</v>
      </c>
      <c r="H16" s="0" t="n">
        <f aca="false">-H12</f>
        <v>99518.1018027609</v>
      </c>
      <c r="I16" s="0" t="n">
        <f aca="false">-I12</f>
        <v>99518.1018027609</v>
      </c>
      <c r="J16" s="0" t="n">
        <f aca="false">-J12</f>
        <v>102503.644856844</v>
      </c>
      <c r="K16" s="0" t="n">
        <f aca="false">-K12</f>
        <v>105066.235978265</v>
      </c>
      <c r="L16" s="0" t="n">
        <f aca="false">-L12</f>
        <v>107692.891877721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-162748.509</v>
      </c>
      <c r="D17" s="4" t="n">
        <f aca="false">-D6*Assumptions!D32/100</f>
        <v>-186421.0194</v>
      </c>
      <c r="E17" s="4" t="n">
        <f aca="false">-E6*Assumptions!E32/100</f>
        <v>-224404.30210275</v>
      </c>
      <c r="F17" s="4" t="n">
        <f aca="false">-F6*Assumptions!F32/100</f>
        <v>-107714.06500932</v>
      </c>
      <c r="G17" s="4" t="n">
        <f aca="false">-G6*Assumptions!G32/100</f>
        <v>-102687.408642218</v>
      </c>
      <c r="H17" s="4" t="n">
        <f aca="false">-H6*Assumptions!H32/100</f>
        <v>-106281.467944696</v>
      </c>
      <c r="I17" s="4" t="n">
        <f aca="false">-I6*Assumptions!I32/100</f>
        <v>-109469.911983037</v>
      </c>
      <c r="J17" s="4" t="n">
        <f aca="false">-J6*Assumptions!J32/100</f>
        <v>-112754.009342528</v>
      </c>
      <c r="K17" s="4" t="n">
        <f aca="false">-K6*Assumptions!K32/100</f>
        <v>-115572.859576091</v>
      </c>
      <c r="L17" s="4" t="n">
        <f aca="false">-L6*Assumptions!L32/100</f>
        <v>-118462.181065494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25780.8433575</v>
      </c>
      <c r="D19" s="0" t="n">
        <f aca="false">D15+D16+D17+D18</f>
        <v>14470.931630925</v>
      </c>
      <c r="E19" s="0" t="n">
        <f aca="false">E15+E16+E17+E18</f>
        <v>-11324.1059857406</v>
      </c>
      <c r="F19" s="0" t="n">
        <f aca="false">F15+F16+F17+F18</f>
        <v>130019.852638333</v>
      </c>
      <c r="G19" s="0" t="n">
        <f aca="false">G15+G16+G17+G18</f>
        <v>147799.854302538</v>
      </c>
      <c r="H19" s="0" t="n">
        <f aca="false">H15+H16+H17+H18</f>
        <v>152383.470153616</v>
      </c>
      <c r="I19" s="0" t="n">
        <f aca="false">I15+I16+I17+I18</f>
        <v>156044.383626729</v>
      </c>
      <c r="J19" s="0" t="n">
        <f aca="false">J15+J16+J17+J18</f>
        <v>160725.715135531</v>
      </c>
      <c r="K19" s="0" t="n">
        <f aca="false">K15+K16+K17+K18</f>
        <v>164743.858013919</v>
      </c>
      <c r="L19" s="0" t="n">
        <f aca="false">L15+L16+L17+L18</f>
        <v>168862.454464267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24207.3646549296</v>
      </c>
      <c r="D21" s="0" t="n">
        <f aca="false">D19*D20</f>
        <v>12758.4312027375</v>
      </c>
      <c r="E21" s="0" t="n">
        <f aca="false">E19*E20</f>
        <v>-9374.65085577607</v>
      </c>
      <c r="F21" s="0" t="n">
        <f aca="false">F19*F20</f>
        <v>101067.433730518</v>
      </c>
      <c r="G21" s="0" t="n">
        <f aca="false">G19*G20</f>
        <v>107876.281296012</v>
      </c>
      <c r="H21" s="0" t="n">
        <f aca="false">H19*H20</f>
        <v>104433.591237265</v>
      </c>
      <c r="I21" s="0" t="n">
        <f aca="false">I19*I20</f>
        <v>100415.530653859</v>
      </c>
      <c r="J21" s="0" t="n">
        <f aca="false">J19*J20</f>
        <v>97115.4897403524</v>
      </c>
      <c r="K21" s="0" t="n">
        <f aca="false">K19*K20</f>
        <v>93467.9596092593</v>
      </c>
      <c r="L21" s="0" t="n">
        <f aca="false">L19*L20</f>
        <v>89957.4259150148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6.5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721924.857184172</v>
      </c>
    </row>
    <row r="31" customFormat="false" ht="15" hidden="false" customHeight="false" outlineLevel="0" collapsed="false">
      <c r="A31" s="0" t="s">
        <v>136</v>
      </c>
      <c r="B31" s="0" t="n">
        <f aca="false">L19</f>
        <v>168862.454464267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3427907.82562462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3377249.08928534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3377249.08928534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1799148.5183003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2521073.37548447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2850771.37548447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1738.79686801435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-0.494241748686926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1738.79686801435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1269595.49097208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660.511337285457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9</v>
      </c>
      <c r="F5" s="4" t="n">
        <f aca="false">Assumptions!F41</f>
        <v>11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704539</v>
      </c>
      <c r="C6" s="0" t="n">
        <f aca="false">B6*(1+C5/100)</f>
        <v>753856.73</v>
      </c>
      <c r="D6" s="0" t="n">
        <f aca="false">C6*(1+D5/100)</f>
        <v>806626.7011</v>
      </c>
      <c r="E6" s="0" t="n">
        <f aca="false">D6*(1+E5/100)</f>
        <v>879223.104199</v>
      </c>
      <c r="F6" s="0" t="n">
        <f aca="false">E6*(1+F5/100)</f>
        <v>975937.64566089</v>
      </c>
      <c r="G6" s="0" t="n">
        <f aca="false">F6*(1+G5/100)</f>
        <v>1034493.90440054</v>
      </c>
      <c r="H6" s="0" t="n">
        <f aca="false">G6*(1+H5/100)</f>
        <v>1086218.59962057</v>
      </c>
      <c r="I6" s="0" t="n">
        <f aca="false">H6*(1+I5/100)</f>
        <v>1129667.34360539</v>
      </c>
      <c r="J6" s="0" t="n">
        <f aca="false">I6*(1+J5/100)</f>
        <v>1169205.70063158</v>
      </c>
      <c r="K6" s="0" t="n">
        <f aca="false">J6*(1+K5/100)</f>
        <v>1204281.87165053</v>
      </c>
      <c r="L6" s="0" t="n">
        <f aca="false">K6*(1+L5/100)</f>
        <v>1240410.32780005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34</v>
      </c>
      <c r="D7" s="4" t="n">
        <f aca="false">Assumptions!D42</f>
        <v>34.5</v>
      </c>
      <c r="E7" s="4" t="n">
        <f aca="false">Assumptions!E42</f>
        <v>34</v>
      </c>
      <c r="F7" s="4" t="n">
        <f aca="false">Assumptions!F42</f>
        <v>35.5</v>
      </c>
      <c r="G7" s="4" t="n">
        <f aca="false">Assumptions!G42</f>
        <v>36</v>
      </c>
      <c r="H7" s="4" t="n">
        <f aca="false">Assumptions!H42</f>
        <v>36</v>
      </c>
      <c r="I7" s="4" t="n">
        <f aca="false">Assumptions!I42</f>
        <v>36</v>
      </c>
      <c r="J7" s="4" t="n">
        <f aca="false">Assumptions!J42</f>
        <v>36</v>
      </c>
      <c r="K7" s="4" t="n">
        <f aca="false">Assumptions!K42</f>
        <v>36</v>
      </c>
      <c r="L7" s="4" t="n">
        <f aca="false">Assumptions!L42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256311.2882</v>
      </c>
      <c r="D8" s="0" t="n">
        <f aca="false">D6*D7/100</f>
        <v>278286.2118795</v>
      </c>
      <c r="E8" s="0" t="n">
        <f aca="false">E6*E7/100</f>
        <v>298935.85542766</v>
      </c>
      <c r="F8" s="0" t="n">
        <f aca="false">F6*F7/100</f>
        <v>346457.864209616</v>
      </c>
      <c r="G8" s="0" t="n">
        <f aca="false">G6*G7/100</f>
        <v>372417.805584196</v>
      </c>
      <c r="H8" s="0" t="n">
        <f aca="false">H6*H7/100</f>
        <v>391038.695863406</v>
      </c>
      <c r="I8" s="0" t="n">
        <f aca="false">I6*I7/100</f>
        <v>406680.243697942</v>
      </c>
      <c r="J8" s="0" t="n">
        <f aca="false">J6*J7/100</f>
        <v>420914.05222737</v>
      </c>
      <c r="K8" s="0" t="n">
        <f aca="false">K6*K7/100</f>
        <v>433541.473794191</v>
      </c>
      <c r="L8" s="0" t="n">
        <f aca="false">L6*L7/100</f>
        <v>446547.718008017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256311.2882</v>
      </c>
      <c r="D11" s="0" t="n">
        <f aca="false">D8+D10+D24</f>
        <v>278286.2118795</v>
      </c>
      <c r="E11" s="0" t="n">
        <f aca="false">E8+E10+E24</f>
        <v>298935.85542766</v>
      </c>
      <c r="F11" s="0" t="n">
        <f aca="false">F8+F10+F24</f>
        <v>346457.864209616</v>
      </c>
      <c r="G11" s="0" t="n">
        <f aca="false">G8+G10+G24</f>
        <v>372417.805584196</v>
      </c>
      <c r="H11" s="0" t="n">
        <f aca="false">H8+H10+H24</f>
        <v>391038.695863406</v>
      </c>
      <c r="I11" s="0" t="n">
        <f aca="false">I8+I10+I24</f>
        <v>406680.243697942</v>
      </c>
      <c r="J11" s="0" t="n">
        <f aca="false">J8+J10+J24</f>
        <v>420914.05222737</v>
      </c>
      <c r="K11" s="0" t="n">
        <f aca="false">K8+K10+K24</f>
        <v>433541.473794191</v>
      </c>
      <c r="L11" s="0" t="n">
        <f aca="false">L8+L10+L24</f>
        <v>446547.718008017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-70862.53262</v>
      </c>
      <c r="D12" s="4" t="n">
        <f aca="false">-D6*Assumptions!D45/100</f>
        <v>-76629.5366045</v>
      </c>
      <c r="E12" s="4" t="n">
        <f aca="false">-E6*Assumptions!E45/100</f>
        <v>-86163.864211502</v>
      </c>
      <c r="F12" s="4" t="n">
        <f aca="false">-F6*Assumptions!F45/100</f>
        <v>-99545.6398574108</v>
      </c>
      <c r="G12" s="4" t="n">
        <f aca="false">-G6*Assumptions!G45/100</f>
        <v>-105518.378248855</v>
      </c>
      <c r="H12" s="4" t="n">
        <f aca="false">-H6*Assumptions!H45/100</f>
        <v>-108621.859962057</v>
      </c>
      <c r="I12" s="4" t="n">
        <f aca="false">-I6*Assumptions!I45/100</f>
        <v>-110707.399673329</v>
      </c>
      <c r="J12" s="4" t="n">
        <f aca="false">-J6*Assumptions!J45/100</f>
        <v>-114582.158661895</v>
      </c>
      <c r="K12" s="4" t="n">
        <f aca="false">-K6*Assumptions!K45/100</f>
        <v>-118019.623421752</v>
      </c>
      <c r="L12" s="4" t="n">
        <f aca="false">-L6*Assumptions!L45/100</f>
        <v>-121560.212124405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185448.75558</v>
      </c>
      <c r="D13" s="0" t="n">
        <f aca="false">D11+D12</f>
        <v>201656.675275</v>
      </c>
      <c r="E13" s="0" t="n">
        <f aca="false">E11+E12</f>
        <v>212771.991216158</v>
      </c>
      <c r="F13" s="0" t="n">
        <f aca="false">F11+F12</f>
        <v>246912.224352205</v>
      </c>
      <c r="G13" s="0" t="n">
        <f aca="false">G11+G12</f>
        <v>266899.42733534</v>
      </c>
      <c r="H13" s="0" t="n">
        <f aca="false">H11+H12</f>
        <v>282416.835901349</v>
      </c>
      <c r="I13" s="0" t="n">
        <f aca="false">I11+I12</f>
        <v>295972.844024613</v>
      </c>
      <c r="J13" s="0" t="n">
        <f aca="false">J11+J12</f>
        <v>306331.893565475</v>
      </c>
      <c r="K13" s="0" t="n">
        <f aca="false">K11+K12</f>
        <v>315521.850372439</v>
      </c>
      <c r="L13" s="0" t="n">
        <f aca="false">L11+L12</f>
        <v>324987.505883612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30.5</v>
      </c>
      <c r="D14" s="4" t="n">
        <f aca="false">Assumptions!D47</f>
        <v>30.5</v>
      </c>
      <c r="E14" s="4" t="n">
        <f aca="false">Assumptions!E47</f>
        <v>30.5</v>
      </c>
      <c r="F14" s="4" t="n">
        <f aca="false">Assumptions!F47</f>
        <v>30.5</v>
      </c>
      <c r="G14" s="4" t="n">
        <f aca="false">Assumptions!G47</f>
        <v>30.5</v>
      </c>
      <c r="H14" s="4" t="n">
        <f aca="false">Assumptions!H47</f>
        <v>30.5</v>
      </c>
      <c r="I14" s="4" t="n">
        <f aca="false">Assumptions!I47</f>
        <v>30.5</v>
      </c>
      <c r="J14" s="4" t="n">
        <f aca="false">Assumptions!J47</f>
        <v>30.5</v>
      </c>
      <c r="K14" s="4" t="n">
        <f aca="false">Assumptions!K47</f>
        <v>30.5</v>
      </c>
      <c r="L14" s="4" t="n">
        <f aca="false">Assumptions!L47</f>
        <v>30.5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128886.8851281</v>
      </c>
      <c r="D15" s="0" t="n">
        <f aca="false">D13-MAX(0,D13)*D14/100</f>
        <v>140151.389316125</v>
      </c>
      <c r="E15" s="0" t="n">
        <f aca="false">E13-MAX(0,E13)*E14/100</f>
        <v>147876.53389523</v>
      </c>
      <c r="F15" s="0" t="n">
        <f aca="false">F13-MAX(0,F13)*F14/100</f>
        <v>171603.995924783</v>
      </c>
      <c r="G15" s="0" t="n">
        <f aca="false">G13-MAX(0,G13)*G14/100</f>
        <v>185495.101998062</v>
      </c>
      <c r="H15" s="0" t="n">
        <f aca="false">H13-MAX(0,H13)*H14/100</f>
        <v>196279.700951437</v>
      </c>
      <c r="I15" s="0" t="n">
        <f aca="false">I13-MAX(0,I13)*I14/100</f>
        <v>205701.126597106</v>
      </c>
      <c r="J15" s="0" t="n">
        <f aca="false">J13-MAX(0,J13)*J14/100</f>
        <v>212900.666028005</v>
      </c>
      <c r="K15" s="0" t="n">
        <f aca="false">K13-MAX(0,K13)*K14/100</f>
        <v>219287.686008845</v>
      </c>
      <c r="L15" s="0" t="n">
        <f aca="false">L13-MAX(0,L13)*L14/100</f>
        <v>225866.31658911</v>
      </c>
    </row>
    <row r="16" customFormat="false" ht="15" hidden="false" customHeight="false" outlineLevel="0" collapsed="false">
      <c r="A16" s="0" t="s">
        <v>127</v>
      </c>
      <c r="C16" s="0" t="n">
        <f aca="false">-C12</f>
        <v>70862.53262</v>
      </c>
      <c r="D16" s="0" t="n">
        <f aca="false">-D12</f>
        <v>76629.5366045</v>
      </c>
      <c r="E16" s="0" t="n">
        <f aca="false">-E12</f>
        <v>86163.864211502</v>
      </c>
      <c r="F16" s="0" t="n">
        <f aca="false">-F12</f>
        <v>99545.6398574108</v>
      </c>
      <c r="G16" s="0" t="n">
        <f aca="false">-G12</f>
        <v>105518.378248855</v>
      </c>
      <c r="H16" s="0" t="n">
        <f aca="false">-H12</f>
        <v>108621.859962057</v>
      </c>
      <c r="I16" s="0" t="n">
        <f aca="false">-I12</f>
        <v>110707.399673329</v>
      </c>
      <c r="J16" s="0" t="n">
        <f aca="false">-J12</f>
        <v>114582.158661895</v>
      </c>
      <c r="K16" s="0" t="n">
        <f aca="false">-K12</f>
        <v>118019.623421752</v>
      </c>
      <c r="L16" s="0" t="n">
        <f aca="false">-L12</f>
        <v>121560.212124405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-158309.9133</v>
      </c>
      <c r="D17" s="4" t="n">
        <f aca="false">-D6*Assumptions!D46/100</f>
        <v>-185524.141253</v>
      </c>
      <c r="E17" s="4" t="n">
        <f aca="false">-E6*Assumptions!E46/100</f>
        <v>-228598.00709174</v>
      </c>
      <c r="F17" s="4" t="n">
        <f aca="false">-F6*Assumptions!F46/100</f>
        <v>-117112.517479307</v>
      </c>
      <c r="G17" s="4" t="n">
        <f aca="false">-G6*Assumptions!G46/100</f>
        <v>-113794.32948406</v>
      </c>
      <c r="H17" s="4" t="n">
        <f aca="false">-H6*Assumptions!H46/100</f>
        <v>-119484.045958263</v>
      </c>
      <c r="I17" s="4" t="n">
        <f aca="false">-I6*Assumptions!I46/100</f>
        <v>-124263.407796593</v>
      </c>
      <c r="J17" s="4" t="n">
        <f aca="false">-J6*Assumptions!J46/100</f>
        <v>-128612.627069474</v>
      </c>
      <c r="K17" s="4" t="n">
        <f aca="false">-K6*Assumptions!K46/100</f>
        <v>-132471.005881558</v>
      </c>
      <c r="L17" s="4" t="n">
        <f aca="false">-L6*Assumptions!L46/100</f>
        <v>-136445.136058005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41439.5044481</v>
      </c>
      <c r="D19" s="0" t="n">
        <f aca="false">D15+D16+D17+D18</f>
        <v>31256.784667625</v>
      </c>
      <c r="E19" s="0" t="n">
        <f aca="false">E15+E16+E17+E18</f>
        <v>5442.39101499182</v>
      </c>
      <c r="F19" s="0" t="n">
        <f aca="false">F15+F16+F17+F18</f>
        <v>154037.118302887</v>
      </c>
      <c r="G19" s="0" t="n">
        <f aca="false">G15+G16+G17+G18</f>
        <v>177219.150762857</v>
      </c>
      <c r="H19" s="0" t="n">
        <f aca="false">H15+H16+H17+H18</f>
        <v>185417.514955232</v>
      </c>
      <c r="I19" s="0" t="n">
        <f aca="false">I15+I16+I17+I18</f>
        <v>192145.118473841</v>
      </c>
      <c r="J19" s="0" t="n">
        <f aca="false">J15+J16+J17+J18</f>
        <v>198870.197620426</v>
      </c>
      <c r="K19" s="0" t="n">
        <f aca="false">K15+K16+K17+K18</f>
        <v>204836.303549039</v>
      </c>
      <c r="L19" s="0" t="n">
        <f aca="false">L15+L16+L17+L18</f>
        <v>210981.39265551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38910.3328151174</v>
      </c>
      <c r="D21" s="0" t="n">
        <f aca="false">D19*D20</f>
        <v>27557.83435176</v>
      </c>
      <c r="E21" s="0" t="n">
        <f aca="false">E19*E20</f>
        <v>4505.47845899768</v>
      </c>
      <c r="F21" s="0" t="n">
        <f aca="false">F19*F20</f>
        <v>119736.60891173</v>
      </c>
      <c r="G21" s="0" t="n">
        <f aca="false">G19*G20</f>
        <v>129348.862006327</v>
      </c>
      <c r="H21" s="0" t="n">
        <f aca="false">H19*H20</f>
        <v>127072.949221747</v>
      </c>
      <c r="I21" s="0" t="n">
        <f aca="false">I19*I20</f>
        <v>123646.577888078</v>
      </c>
      <c r="J21" s="0" t="n">
        <f aca="false">J19*J20</f>
        <v>120163.575694048</v>
      </c>
      <c r="K21" s="0" t="n">
        <f aca="false">K19*K20</f>
        <v>116214.537995182</v>
      </c>
      <c r="L21" s="0" t="n">
        <f aca="false">L19*L20</f>
        <v>112395.28087797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6.5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919552.038220958</v>
      </c>
    </row>
    <row r="31" customFormat="false" ht="15" hidden="false" customHeight="false" outlineLevel="0" collapsed="false">
      <c r="A31" s="0" t="s">
        <v>136</v>
      </c>
      <c r="B31" s="0" t="n">
        <f aca="false">L19</f>
        <v>210981.39265551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4782244.90019156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4219627.8531102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4219627.8531102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2247905.6175594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3167457.65578035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3497155.65578035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2133.05190080216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-0.379566055613099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2133.05190080216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1655392.46545092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796.640714365805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1067.05936792656</v>
      </c>
      <c r="C4" s="0" t="n">
        <f aca="false">B4/Assumptions!$B$2-1</f>
        <v>-0.689627874366911</v>
      </c>
      <c r="D4" s="4" t="n">
        <f aca="false">Assumptions!$B$24</f>
        <v>0.2</v>
      </c>
      <c r="E4" s="4" t="n">
        <f aca="false">DCF_Bear!$B$43</f>
        <v>1067.05936792656</v>
      </c>
      <c r="F4" s="4" t="n">
        <f aca="false">DCF_Bear!$B$47</f>
        <v>504.029948260508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1738.79686801435</v>
      </c>
      <c r="C5" s="0" t="n">
        <f aca="false">B5/Assumptions!$B$2-1</f>
        <v>-0.494241748686926</v>
      </c>
      <c r="D5" s="4" t="n">
        <f aca="false">Assumptions!$B$38</f>
        <v>0.55</v>
      </c>
      <c r="E5" s="4" t="n">
        <f aca="false">DCF_Base!$B$43</f>
        <v>1738.79686801435</v>
      </c>
      <c r="F5" s="4" t="n">
        <f aca="false">DCF_Base!$B$47</f>
        <v>660.511337285457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2133.05190080216</v>
      </c>
      <c r="C6" s="0" t="n">
        <f aca="false">B6/Assumptions!$B$2-1</f>
        <v>-0.379566055613099</v>
      </c>
      <c r="D6" s="4" t="n">
        <f aca="false">Assumptions!$B$52</f>
        <v>0.25</v>
      </c>
      <c r="E6" s="4" t="n">
        <f aca="false">DCF_Bull!$B$43</f>
        <v>2133.05190080216</v>
      </c>
      <c r="F6" s="4" t="n">
        <f aca="false">DCF_Bull!$B$47</f>
        <v>796.640714365805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1703.01312619374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1703.01312619374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-1.01877480984775</v>
      </c>
    </row>
    <row r="11" customFormat="false" ht="15" hidden="false" customHeight="false" outlineLevel="0" collapsed="false">
      <c r="A11" s="0" t="s">
        <v>163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663.247403750554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1738.79686801435</v>
      </c>
      <c r="C15" s="3" t="n">
        <v>6.5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1167.63449713493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1031.17687356061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924.297816249513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838.506158168547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660.511337285457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4.5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2027.63590359529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2027.63590359529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2027.63590359529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2027.63590359529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2027.63590359529</v>
      </c>
    </row>
    <row r="25" customFormat="false" ht="15" hidden="false" customHeight="false" outlineLevel="0" collapsed="false">
      <c r="A25" s="3" t="n">
        <v>5.5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1876.05125065718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1876.05125065718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1876.05125065718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1876.05125065718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1876.05125065718</v>
      </c>
    </row>
    <row r="26" customFormat="false" ht="15" hidden="false" customHeight="false" outlineLevel="0" collapsed="false">
      <c r="A26" s="3" t="n">
        <v>6.5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1560.4740820177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1649.01196877128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1738.79686801435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1738.79686801435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1738.79686801435</v>
      </c>
    </row>
    <row r="27" customFormat="false" ht="15" hidden="false" customHeight="false" outlineLevel="0" collapsed="false">
      <c r="A27" s="3" t="n">
        <v>7.5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1332.39107160035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1391.42504113586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1460.29800559395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1541.69332722625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1614.38124235834</v>
      </c>
    </row>
    <row r="28" customFormat="false" ht="15" hidden="false" customHeight="false" outlineLevel="0" collapsed="false">
      <c r="A28" s="3" t="n">
        <v>8.5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1162.67663843801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1203.86463499003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1250.93663104948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1305.25047265654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1368.61662119811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2026-10-31T05:24:26Z</dcterms:created>
  <dc:creator>openpyxl</dc:creator>
  <dc:description/>
  <dc:language>en-NZ</dc:language>
  <cp:lastModifiedBy/>
  <dcterms:modified xsi:type="dcterms:W3CDTF">2026-10-31T05:24:26Z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