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CF Model" sheetId="1" r:id="rId1"/>
    <sheet name="Scenarios" sheetId="2" r:id="rId2"/>
    <sheet name="Sensitivity" sheetId="3" r:id="rId3"/>
    <sheet name="Historical" sheetId="4" r:id="rId4"/>
    <sheet name="Sanity Check" sheetId="5" r:id="rId5"/>
  </sheets>
  <calcPr calcId="124519" fullCalcOnLoad="1"/>
</workbook>
</file>

<file path=xl/sharedStrings.xml><?xml version="1.0" encoding="utf-8"?>
<sst xmlns="http://schemas.openxmlformats.org/spreadsheetml/2006/main" count="227" uniqueCount="195">
  <si>
    <t>Bilibili Inc. (9626.HK / BILI) — DCF Valuation Model</t>
  </si>
  <si>
    <t>Valuation Date: 2026-06-26  |  Gray cells are INPUTS — adjust to see valuation update automatically</t>
  </si>
  <si>
    <t>Model in RMB millions; per-share values in USD/ADS (1 ADS = 1 ordinary share, RMB/USD 7.10)</t>
  </si>
  <si>
    <t>KEY INPUTS</t>
  </si>
  <si>
    <t>Current Stock Price (USD/ADS)</t>
  </si>
  <si>
    <t>Live: $16.14 BILI Nasdaq | HKD 124.7 (9626.HK) as of 2026-06-26</t>
  </si>
  <si>
    <t>Shares Outstanding (M ADS)</t>
  </si>
  <si>
    <t>Cash &amp; Equivalents (RMB M)</t>
  </si>
  <si>
    <t>Total Debt (RMB M)</t>
  </si>
  <si>
    <t>Net Debt / (Net Cash) (RMB M)</t>
  </si>
  <si>
    <t>Base Year FCF (RMB M) [FY2025]</t>
  </si>
  <si>
    <t>RMB / USD FX Rate</t>
  </si>
  <si>
    <t>WACC</t>
  </si>
  <si>
    <t>Terminal Growth Rate</t>
  </si>
  <si>
    <t>Projection Years</t>
  </si>
  <si>
    <t>FCF PROJECTION ASSUMPTIONS (BASE CASE)</t>
  </si>
  <si>
    <t>Assumption</t>
  </si>
  <si>
    <t>Year 1
2026E</t>
  </si>
  <si>
    <t>Year 2
2027E</t>
  </si>
  <si>
    <t>Year 3
2028E</t>
  </si>
  <si>
    <t>Year 4
2029E</t>
  </si>
  <si>
    <t>Year 5
2030E</t>
  </si>
  <si>
    <t>Revenue Growth Rate</t>
  </si>
  <si>
    <t>FCF Margin</t>
  </si>
  <si>
    <t>FCF PROJECTIONS</t>
  </si>
  <si>
    <t>Base Year</t>
  </si>
  <si>
    <t>Revenue (RMB M)</t>
  </si>
  <si>
    <t>Free Cash Flow (RMB M)</t>
  </si>
  <si>
    <t>Discount Factor</t>
  </si>
  <si>
    <t>PV of FCF (RMB M)</t>
  </si>
  <si>
    <t>VALUATION BRIDGE</t>
  </si>
  <si>
    <t>Sum of PV of FCF (RMB M)</t>
  </si>
  <si>
    <t>Terminal FCF (Y5 x (1+g))</t>
  </si>
  <si>
    <t>Terminal Value (RMB M)</t>
  </si>
  <si>
    <t>PV of Terminal Value (RMB M)</t>
  </si>
  <si>
    <t>% of EV from Terminal Value</t>
  </si>
  <si>
    <t>Enterprise Value (RMB M)</t>
  </si>
  <si>
    <t>Less: Net Debt / (add: Net Cash)</t>
  </si>
  <si>
    <t>Equity Value (RMB M)</t>
  </si>
  <si>
    <t>Intrinsic Value per Share (RMB)</t>
  </si>
  <si>
    <t>Intrinsic Value per ADS (USD)</t>
  </si>
  <si>
    <t>Upside / (Downside) to IV</t>
  </si>
  <si>
    <t>ENTRY PRICE FOR 15% CAGR TARGET</t>
  </si>
  <si>
    <t>Terminal Value per Share (USD)</t>
  </si>
  <si>
    <t>Entry Price (15% CAGR, 5 years)</t>
  </si>
  <si>
    <t>Current Price vs Entry Price</t>
  </si>
  <si>
    <t>Negative = current price below entry (good margin of safety)</t>
  </si>
  <si>
    <t>Bilibili Inc. — Base / Bull / Bear Scenario Comparison</t>
  </si>
  <si>
    <t>Valuation Date: 2026-06-26  |  Current Price: $16.14 USD/ADS</t>
  </si>
  <si>
    <t>Metric</t>
  </si>
  <si>
    <t>BASE CASE</t>
  </si>
  <si>
    <t>BULL CASE</t>
  </si>
  <si>
    <t>BEAR CASE</t>
  </si>
  <si>
    <t>11.5%</t>
  </si>
  <si>
    <t>10.5%</t>
  </si>
  <si>
    <t>13.0%</t>
  </si>
  <si>
    <t>3.5%</t>
  </si>
  <si>
    <t>4.0%</t>
  </si>
  <si>
    <t>2.5%</t>
  </si>
  <si>
    <t>Y1 Revenue Growth</t>
  </si>
  <si>
    <t>15.0%</t>
  </si>
  <si>
    <t>20.0%</t>
  </si>
  <si>
    <t>8.0%</t>
  </si>
  <si>
    <t>Y5 Revenue Growth</t>
  </si>
  <si>
    <t>7.0%</t>
  </si>
  <si>
    <t>10.0%</t>
  </si>
  <si>
    <t>3.0%</t>
  </si>
  <si>
    <t>Y1 FCF Margin</t>
  </si>
  <si>
    <t>25.0%</t>
  </si>
  <si>
    <t>27.0%</t>
  </si>
  <si>
    <t>Y5 FCF Margin</t>
  </si>
  <si>
    <t>33.0%</t>
  </si>
  <si>
    <t>39.0%</t>
  </si>
  <si>
    <t>24.0%</t>
  </si>
  <si>
    <t>Sum PV of FCF (RMB M)</t>
  </si>
  <si>
    <t>44,894</t>
  </si>
  <si>
    <t>58,550</t>
  </si>
  <si>
    <t>27,519</t>
  </si>
  <si>
    <t>217,972</t>
  </si>
  <si>
    <t>373,418</t>
  </si>
  <si>
    <t>91,551</t>
  </si>
  <si>
    <t>PV Terminal Value (RMB M)</t>
  </si>
  <si>
    <t>126,489</t>
  </si>
  <si>
    <t>226,664</t>
  </si>
  <si>
    <t>49,694</t>
  </si>
  <si>
    <t>171,384</t>
  </si>
  <si>
    <t>285,215</t>
  </si>
  <si>
    <t>77,212</t>
  </si>
  <si>
    <t>186,011</t>
  </si>
  <si>
    <t>299,842</t>
  </si>
  <si>
    <t>91,840</t>
  </si>
  <si>
    <t>Intrinsic Value (RMB/share)</t>
  </si>
  <si>
    <t>RMB 405.25</t>
  </si>
  <si>
    <t>RMB 653.25</t>
  </si>
  <si>
    <t>RMB 200.09</t>
  </si>
  <si>
    <t>Intrinsic Value (USD/ADS)</t>
  </si>
  <si>
    <t>$57.08</t>
  </si>
  <si>
    <t>$92.01</t>
  </si>
  <si>
    <t>$28.18</t>
  </si>
  <si>
    <t>Upside from Current</t>
  </si>
  <si>
    <t>253.7%</t>
  </si>
  <si>
    <t>470.1%</t>
  </si>
  <si>
    <t>74.6%</t>
  </si>
  <si>
    <t>Entry Price (15% CAGR target USD)</t>
  </si>
  <si>
    <t>$33.25</t>
  </si>
  <si>
    <t>$56.97</t>
  </si>
  <si>
    <t>$13.97</t>
  </si>
  <si>
    <t>EV/Revenue FY2025 (implied)</t>
  </si>
  <si>
    <t>5.65x</t>
  </si>
  <si>
    <t>9.22x</t>
  </si>
  <si>
    <t>2.54x</t>
  </si>
  <si>
    <t>PROBABILITY-WEIGHTED IV (25/50/25)</t>
  </si>
  <si>
    <t>Weighted Intrinsic Value (USD/ADS)</t>
  </si>
  <si>
    <t>$58.59</t>
  </si>
  <si>
    <t>263.0%</t>
  </si>
  <si>
    <t>Sensitivity Analysis — Intrinsic Value per ADS (USD)</t>
  </si>
  <si>
    <t>Base Case Revenue Growth &amp; FCF Margins | Varies WACC and Terminal Growth Rate</t>
  </si>
  <si>
    <t>Current Price: $16.14 USD  (all cells above this price = upside)</t>
  </si>
  <si>
    <t>WACC \ Term Growth</t>
  </si>
  <si>
    <t>4.5%</t>
  </si>
  <si>
    <t>Green = above current price | Orange highlight = base case WACC row | Dark green = base case cell</t>
  </si>
  <si>
    <t>Bilibili Inc. — Historical Growth Rates &amp; Fundamentals</t>
  </si>
  <si>
    <t>Source: Metrics CSV (FY2022-FY2025) + Q1 2026</t>
  </si>
  <si>
    <t>Growth Metric</t>
  </si>
  <si>
    <t>3-Year CAGR</t>
  </si>
  <si>
    <t>5-Year CAGR</t>
  </si>
  <si>
    <t>1-Year Growth</t>
  </si>
  <si>
    <t>Revenue</t>
  </si>
  <si>
    <t>EPS</t>
  </si>
  <si>
    <t>N/A (neg. base)</t>
  </si>
  <si>
    <t>N/A</t>
  </si>
  <si>
    <t>Equity (2yr)</t>
  </si>
  <si>
    <t>FCF</t>
  </si>
  <si>
    <t>OCF</t>
  </si>
  <si>
    <t>Selected Growth Rate (base anchor):</t>
  </si>
  <si>
    <t>FY2025 actual 1yr revenue growth (13.1%), used as the anchor for the base case Year 1. Equity CAGR suppressed by years of losses; FCF only meaningful since FY2024. Revenue growth is the most reliable long-run signal.</t>
  </si>
  <si>
    <t>FY2025 Key Financials</t>
  </si>
  <si>
    <t>Gross Profit (RMB M)</t>
  </si>
  <si>
    <t>Gross Margin</t>
  </si>
  <si>
    <t>Net Income (RMB M)</t>
  </si>
  <si>
    <t>Operating Cash Flow (RMB M)</t>
  </si>
  <si>
    <t>Net Cash (RMB M)</t>
  </si>
  <si>
    <t>Shares Outstanding (M)</t>
  </si>
  <si>
    <t>Sanity Check — Model Validation &amp; Market Multiples</t>
  </si>
  <si>
    <t>Status: PASS_WITH_NOTES  |  As of: 2026-06-26</t>
  </si>
  <si>
    <t>Current Market Metrics</t>
  </si>
  <si>
    <t>Market Cap (USD M)</t>
  </si>
  <si>
    <t>$7,408.3M</t>
  </si>
  <si>
    <t>Market Cap (RMB M)</t>
  </si>
  <si>
    <t>RMB 52,598.6M</t>
  </si>
  <si>
    <t>RMB 37,971.0M</t>
  </si>
  <si>
    <t>EV / Revenue FY2025</t>
  </si>
  <si>
    <t>1.25x</t>
  </si>
  <si>
    <t>Trailing GAAP P/E (FY2025)</t>
  </si>
  <si>
    <t>44.2x</t>
  </si>
  <si>
    <t>Forward Adj. P/E (Q1-2026 ann.)</t>
  </si>
  <si>
    <t>22.5x</t>
  </si>
  <si>
    <t>PEG Ratio (adj. fwd)</t>
  </si>
  <si>
    <t>1.5x</t>
  </si>
  <si>
    <t>P/FCF (FY2025)</t>
  </si>
  <si>
    <t>8.4x</t>
  </si>
  <si>
    <t>EV/FCF (FY2025)</t>
  </si>
  <si>
    <t>6.1x</t>
  </si>
  <si>
    <t>Model-Implied Multiples at Intrinsic Value</t>
  </si>
  <si>
    <t>Base Case IV (USD)</t>
  </si>
  <si>
    <t>Base EV/Revenue FY2025</t>
  </si>
  <si>
    <t>Base EV/Revenue FY2026E</t>
  </si>
  <si>
    <t>4.91x</t>
  </si>
  <si>
    <t>Bear EV/Revenue FY2025</t>
  </si>
  <si>
    <t>Bear EV/Revenue FY2026E</t>
  </si>
  <si>
    <t>2.36x</t>
  </si>
  <si>
    <t>Sanity Flags</t>
  </si>
  <si>
    <t>Severity</t>
  </si>
  <si>
    <t>HIGH_TERMINAL_VALUE_SHARE</t>
  </si>
  <si>
    <t>NOTE</t>
  </si>
  <si>
    <t>Terminal value represents 73.8% of base case enterprise value. This is within normal range for a growth-stage internet platform transitioning to maturity (typically 65-80%), but means the valuation is highly sensitive to WACC and terminal growth rate assumptions.</t>
  </si>
  <si>
    <t>BASE_EV_REVENUE_RICH_VS_CURRENT_PEERS</t>
  </si>
  <si>
    <t>WARNING</t>
  </si>
  <si>
    <t>Base case IV implies 4.9x EV/FY2026E Revenue — at the upper range for Chinese internet peers (Kuaishou 1.5-2.0x, iQiyi 0.8-1.2x). However, Bilibili's superior growth (13% vs peers at 6-10%) and profitability trajectory justify a 2-3x premium to loss-making or slower peers. The 4.9x implied multiple assumes successful margin execution. Bear case (2.4x EV/Rev) is well within peer range.</t>
  </si>
  <si>
    <t>TRAILING_PE_HIGH</t>
  </si>
  <si>
    <t>EXPECTED</t>
  </si>
  <si>
    <t>Trailing GAAP P/E of 44x is high in isolation, but FY2025 was Bilibili's first profitable year with a net margin of only 3.9%. Forward adjusted P/E of 22.5x (Q1 2026 annualized) is more representative; PEG of 1.50x is reasonable for a platform with 15% growth potential. EV/Revenue (1.25x current) and EV/FCF (6.1x) are the more appropriate near-term metrics.</t>
  </si>
  <si>
    <t>BEAR_CASE_STILL_SHOWS_75pct_UPSIDE</t>
  </si>
  <si>
    <t>Even the bear case DCF (WACC 13%, terminal growth 2.5%, FCF margins capped at 24%) yields $28.18 per ADS vs. current $16.14 — a 75% upside. This implies the current market price is more pessimistic than even the bear case DCF scenario. The spread suggests the market is pricing in structural risks beyond standard fundamental analysis (regulatory/delisting/VIE optionality discount).</t>
  </si>
  <si>
    <t>Stress Test</t>
  </si>
  <si>
    <t>Description</t>
  </si>
  <si>
    <t>FCF margins capped at 20-22% (no expansion vs FY2025 baseline), base revenue growth rates</t>
  </si>
  <si>
    <t>IV Under Stress (no margin expansion)</t>
  </si>
  <si>
    <t>$40.54</t>
  </si>
  <si>
    <t>Upside Under Stress</t>
  </si>
  <si>
    <t>151.2%</t>
  </si>
  <si>
    <t>Conclusion</t>
  </si>
  <si>
    <t>Even under a conservative no-margin-expansion scenario, the DCF implies $40.54 per ADS vs. current $16.14 (151% upside). The current price discount appears structural (regulatory/geopolitical discount, China internet sentiment, loss history) rather than reflective of fair fundamental value.</t>
  </si>
  <si>
    <t>Overall Verdict</t>
  </si>
  <si>
    <t>Model passes sanity check. Current market price of $16.14 (BILI) / HKD 124.70 (9626.HK) implies EV/Revenue of 1.25x, which appears to assign near-zero terminal FCF value to a growing, newly profitable platform with a RMB 14.6B net cash cushion equal to ~86% of market cap. The implied valuation at current prices would only be fair if Bilibili's revenue growth stalls below 3% and FCF margins never exceed 20% — inconsistent with Q1 2026 actuals. Both the base case ($57.08) and bear case ($28.18) DCF values significantly exceed the current market price. The sensitivity table shows every WACC/TGR combination considered produces an IV above current price (minimum cell $43.10 = 2.67x current price).</t>
  </si>
</sst>
</file>

<file path=xl/styles.xml><?xml version="1.0" encoding="utf-8"?>
<styleSheet xmlns="http://schemas.openxmlformats.org/spreadsheetml/2006/main">
  <numFmts count="4">
    <numFmt numFmtId="164" formatCode="&quot;$&quot;#,##0.00"/>
    <numFmt numFmtId="165" formatCode="#,##0.0"/>
    <numFmt numFmtId="166" formatCode="0.0%"/>
    <numFmt numFmtId="167" formatCode="+0.0%;-0.0%"/>
  </numFmts>
  <fonts count="8">
    <font>
      <sz val="11"/>
      <color theme="1"/>
      <name val="Calibri"/>
      <family val="2"/>
      <scheme val="minor"/>
    </font>
    <font>
      <b/>
      <sz val="16"/>
      <color rgb="FF2D3436"/>
      <name val="Calibri"/>
      <family val="2"/>
      <scheme val="minor"/>
    </font>
    <font>
      <i/>
      <sz val="9"/>
      <color rgb="FF636E72"/>
      <name val="Calibri"/>
      <family val="2"/>
      <scheme val="minor"/>
    </font>
    <font>
      <b/>
      <sz val="11"/>
      <color rgb="FF2D3436"/>
      <name val="Calibri"/>
      <family val="2"/>
      <scheme val="minor"/>
    </font>
    <font>
      <b/>
      <sz val="11"/>
      <color rgb="FFFFFFFF"/>
      <name val="Calibri"/>
      <family val="2"/>
      <scheme val="minor"/>
    </font>
    <font>
      <b/>
      <sz val="11"/>
      <color theme="1"/>
      <name val="Calibri"/>
      <family val="2"/>
      <scheme val="minor"/>
    </font>
    <font>
      <sz val="11"/>
      <color rgb="FF2D3436"/>
      <name val="Calibri"/>
      <family val="2"/>
      <scheme val="minor"/>
    </font>
    <font>
      <i/>
      <sz val="8"/>
      <color rgb="FF636E72"/>
      <name val="Calibri"/>
      <family val="2"/>
      <scheme val="minor"/>
    </font>
  </fonts>
  <fills count="10">
    <fill>
      <patternFill patternType="none"/>
    </fill>
    <fill>
      <patternFill patternType="gray125"/>
    </fill>
    <fill>
      <patternFill patternType="solid">
        <fgColor rgb="FFB2BEC3"/>
        <bgColor indexed="64"/>
      </patternFill>
    </fill>
    <fill>
      <patternFill patternType="solid">
        <fgColor rgb="FFDFE6E9"/>
        <bgColor indexed="64"/>
      </patternFill>
    </fill>
    <fill>
      <patternFill patternType="solid">
        <fgColor rgb="FF2D3436"/>
        <bgColor indexed="64"/>
      </patternFill>
    </fill>
    <fill>
      <patternFill patternType="solid">
        <fgColor rgb="FF00B894"/>
        <bgColor indexed="64"/>
      </patternFill>
    </fill>
    <fill>
      <patternFill patternType="solid">
        <fgColor rgb="FF636E72"/>
        <bgColor indexed="64"/>
      </patternFill>
    </fill>
    <fill>
      <patternFill patternType="solid">
        <fgColor rgb="FFD63031"/>
        <bgColor indexed="64"/>
      </patternFill>
    </fill>
    <fill>
      <patternFill patternType="solid">
        <fgColor rgb="FFD0F4DE"/>
        <bgColor indexed="64"/>
      </patternFill>
    </fill>
    <fill>
      <patternFill patternType="solid">
        <fgColor rgb="FFFDCB6E"/>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1" fillId="0" borderId="0" xfId="0" applyFont="1"/>
    <xf numFmtId="0" fontId="2" fillId="0" borderId="0" xfId="0" applyFont="1"/>
    <xf numFmtId="0" fontId="3" fillId="2" borderId="1" xfId="0" applyFont="1" applyFill="1" applyBorder="1"/>
    <xf numFmtId="164" fontId="0" fillId="3" borderId="2" xfId="0" applyNumberFormat="1" applyFill="1" applyBorder="1"/>
    <xf numFmtId="165" fontId="0" fillId="3" borderId="2" xfId="0" applyNumberFormat="1" applyFill="1" applyBorder="1"/>
    <xf numFmtId="165" fontId="0" fillId="0" borderId="2" xfId="0" applyNumberFormat="1" applyBorder="1"/>
    <xf numFmtId="166" fontId="0" fillId="3" borderId="2" xfId="0" applyNumberFormat="1" applyFill="1" applyBorder="1"/>
    <xf numFmtId="0" fontId="4" fillId="4" borderId="2" xfId="0" applyFont="1" applyFill="1" applyBorder="1"/>
    <xf numFmtId="166" fontId="0" fillId="0" borderId="2" xfId="0" applyNumberFormat="1" applyBorder="1"/>
    <xf numFmtId="0" fontId="5" fillId="0" borderId="0" xfId="0" applyFont="1"/>
    <xf numFmtId="164" fontId="4" fillId="5" borderId="2" xfId="0" applyNumberFormat="1" applyFont="1" applyFill="1" applyBorder="1"/>
    <xf numFmtId="167" fontId="4" fillId="5" borderId="2" xfId="0" applyNumberFormat="1" applyFont="1" applyFill="1" applyBorder="1"/>
    <xf numFmtId="164" fontId="0" fillId="0" borderId="2" xfId="0" applyNumberFormat="1" applyBorder="1"/>
    <xf numFmtId="0" fontId="4" fillId="6" borderId="2" xfId="0" applyFont="1" applyFill="1" applyBorder="1"/>
    <xf numFmtId="0" fontId="4" fillId="5" borderId="2" xfId="0" applyFont="1" applyFill="1" applyBorder="1"/>
    <xf numFmtId="0" fontId="4" fillId="7" borderId="2" xfId="0" applyFont="1" applyFill="1" applyBorder="1"/>
    <xf numFmtId="166" fontId="4" fillId="4" borderId="2" xfId="0" applyNumberFormat="1" applyFont="1" applyFill="1" applyBorder="1" applyAlignment="1">
      <alignment horizontal="center"/>
    </xf>
    <xf numFmtId="166" fontId="4" fillId="4" borderId="2" xfId="0" applyNumberFormat="1" applyFont="1" applyFill="1" applyBorder="1"/>
    <xf numFmtId="164" fontId="6" fillId="8" borderId="2" xfId="0" applyNumberFormat="1" applyFont="1" applyFill="1" applyBorder="1"/>
    <xf numFmtId="166" fontId="3" fillId="9" borderId="2" xfId="0" applyNumberFormat="1" applyFont="1" applyFill="1" applyBorder="1"/>
    <xf numFmtId="0" fontId="7" fillId="0" borderId="0" xfId="0" applyFont="1" applyAlignment="1">
      <alignment wrapText="1"/>
    </xf>
    <xf numFmtId="0" fontId="3" fillId="9" borderId="2" xfId="0" applyFont="1" applyFill="1" applyBorder="1"/>
    <xf numFmtId="0" fontId="5" fillId="3" borderId="2" xfId="0" applyFont="1" applyFill="1" applyBorder="1"/>
    <xf numFmtId="0" fontId="5" fillId="9" borderId="2"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9"/>
  <sheetViews>
    <sheetView tabSelected="1" zoomScale="90" zoomScaleNormal="90" workbookViewId="0"/>
  </sheetViews>
  <sheetFormatPr defaultRowHeight="15"/>
  <cols>
    <col min="1" max="1" width="28.7109375" customWidth="1"/>
    <col min="2" max="8" width="15.7109375" customWidth="1"/>
  </cols>
  <sheetData>
    <row r="1" spans="1:8">
      <c r="A1" s="1" t="s">
        <v>0</v>
      </c>
    </row>
    <row r="2" spans="1:8">
      <c r="A2" s="2" t="s">
        <v>1</v>
      </c>
    </row>
    <row r="3" spans="1:8">
      <c r="A3" s="2" t="s">
        <v>2</v>
      </c>
    </row>
    <row r="5" spans="1:8">
      <c r="A5" s="3" t="s">
        <v>3</v>
      </c>
      <c r="B5" s="3"/>
      <c r="C5" s="3"/>
      <c r="D5" s="3"/>
      <c r="E5" s="3"/>
      <c r="F5" s="3"/>
      <c r="G5" s="3"/>
      <c r="H5" s="3"/>
    </row>
    <row r="6" spans="1:8">
      <c r="A6" t="s">
        <v>4</v>
      </c>
      <c r="B6" s="4">
        <v>16.14</v>
      </c>
      <c r="C6" s="2" t="s">
        <v>5</v>
      </c>
    </row>
    <row r="7" spans="1:8">
      <c r="A7" t="s">
        <v>6</v>
      </c>
      <c r="B7" s="5">
        <v>459</v>
      </c>
    </row>
    <row r="8" spans="1:8">
      <c r="A8" t="s">
        <v>7</v>
      </c>
      <c r="B8" s="5">
        <v>24194.1</v>
      </c>
    </row>
    <row r="9" spans="1:8">
      <c r="A9" t="s">
        <v>8</v>
      </c>
      <c r="B9" s="5">
        <v>9566.5</v>
      </c>
    </row>
    <row r="10" spans="1:8">
      <c r="A10" t="s">
        <v>9</v>
      </c>
      <c r="B10" s="6">
        <f>B9-B8</f>
        <v>0</v>
      </c>
    </row>
    <row r="11" spans="1:8">
      <c r="A11" t="s">
        <v>10</v>
      </c>
      <c r="B11" s="5">
        <v>6236.7</v>
      </c>
    </row>
    <row r="12" spans="1:8">
      <c r="A12" t="s">
        <v>11</v>
      </c>
      <c r="B12" s="5">
        <v>7.1</v>
      </c>
    </row>
    <row r="14" spans="1:8">
      <c r="A14" t="s">
        <v>12</v>
      </c>
      <c r="B14" s="7">
        <v>0.115</v>
      </c>
    </row>
    <row r="15" spans="1:8">
      <c r="A15" t="s">
        <v>13</v>
      </c>
      <c r="B15" s="7">
        <v>0.035</v>
      </c>
    </row>
    <row r="16" spans="1:8">
      <c r="A16" t="s">
        <v>14</v>
      </c>
      <c r="B16" s="5">
        <v>5</v>
      </c>
    </row>
    <row r="18" spans="1:8">
      <c r="A18" s="3" t="s">
        <v>15</v>
      </c>
      <c r="B18" s="3"/>
      <c r="C18" s="3"/>
      <c r="D18" s="3"/>
      <c r="E18" s="3"/>
      <c r="F18" s="3"/>
      <c r="G18" s="3"/>
      <c r="H18" s="3"/>
    </row>
    <row r="19" spans="1:8">
      <c r="A19" s="8" t="s">
        <v>16</v>
      </c>
      <c r="B19" s="8" t="s">
        <v>17</v>
      </c>
      <c r="C19" s="8" t="s">
        <v>18</v>
      </c>
      <c r="D19" s="8" t="s">
        <v>19</v>
      </c>
      <c r="E19" s="8" t="s">
        <v>20</v>
      </c>
      <c r="F19" s="8" t="s">
        <v>21</v>
      </c>
    </row>
    <row r="20" spans="1:8">
      <c r="A20" t="s">
        <v>22</v>
      </c>
      <c r="B20" s="7">
        <v>0.15</v>
      </c>
      <c r="C20" s="7">
        <v>0.13</v>
      </c>
      <c r="D20" s="7">
        <v>0.11</v>
      </c>
      <c r="E20" s="7">
        <v>0.09</v>
      </c>
      <c r="F20" s="7">
        <v>0.07000000000000001</v>
      </c>
    </row>
    <row r="21" spans="1:8">
      <c r="A21" t="s">
        <v>23</v>
      </c>
      <c r="B21" s="7">
        <v>0.25</v>
      </c>
      <c r="C21" s="7">
        <v>0.27</v>
      </c>
      <c r="D21" s="7">
        <v>0.29</v>
      </c>
      <c r="E21" s="7">
        <v>0.31</v>
      </c>
      <c r="F21" s="7">
        <v>0.33</v>
      </c>
    </row>
    <row r="23" spans="1:8">
      <c r="A23" s="3" t="s">
        <v>24</v>
      </c>
      <c r="B23" s="3"/>
      <c r="C23" s="3"/>
      <c r="D23" s="3"/>
      <c r="E23" s="3"/>
      <c r="F23" s="3"/>
      <c r="G23" s="3"/>
      <c r="H23" s="3"/>
    </row>
    <row r="24" spans="1:8">
      <c r="A24" s="8"/>
      <c r="B24" s="8" t="s">
        <v>25</v>
      </c>
      <c r="C24" s="8" t="s">
        <v>17</v>
      </c>
      <c r="D24" s="8" t="s">
        <v>18</v>
      </c>
      <c r="E24" s="8" t="s">
        <v>19</v>
      </c>
      <c r="F24" s="8" t="s">
        <v>20</v>
      </c>
      <c r="G24" s="8" t="s">
        <v>21</v>
      </c>
    </row>
    <row r="25" spans="1:8">
      <c r="A25" t="s">
        <v>26</v>
      </c>
      <c r="B25" s="6">
        <v>30347.8</v>
      </c>
      <c r="C25" s="6">
        <f>B25*(1+B20)</f>
        <v>0</v>
      </c>
      <c r="D25" s="6">
        <f>C25*(1+C20)</f>
        <v>0</v>
      </c>
      <c r="E25" s="6">
        <f>D25*(1+D20)</f>
        <v>0</v>
      </c>
      <c r="F25" s="6">
        <f>E25*(1+E20)</f>
        <v>0</v>
      </c>
      <c r="G25" s="6">
        <f>F25*(1+F20)</f>
        <v>0</v>
      </c>
    </row>
    <row r="26" spans="1:8">
      <c r="A26" t="s">
        <v>27</v>
      </c>
      <c r="B26" s="6">
        <v>6236.7</v>
      </c>
      <c r="C26" s="6">
        <f>C25*B21</f>
        <v>0</v>
      </c>
      <c r="D26" s="6">
        <f>D25*C21</f>
        <v>0</v>
      </c>
      <c r="E26" s="6">
        <f>E25*D21</f>
        <v>0</v>
      </c>
      <c r="F26" s="6">
        <f>F25*E21</f>
        <v>0</v>
      </c>
      <c r="G26" s="6">
        <f>G25*F21</f>
        <v>0</v>
      </c>
    </row>
    <row r="27" spans="1:8">
      <c r="A27" t="s">
        <v>28</v>
      </c>
      <c r="B27" s="6">
        <v>1</v>
      </c>
      <c r="C27" s="6">
        <f>1/(1+$B$14)^1</f>
        <v>0</v>
      </c>
      <c r="D27" s="6">
        <f>1/(1+$B$14)^2</f>
        <v>0</v>
      </c>
      <c r="E27" s="6">
        <f>1/(1+$B$14)^3</f>
        <v>0</v>
      </c>
      <c r="F27" s="6">
        <f>1/(1+$B$14)^4</f>
        <v>0</v>
      </c>
      <c r="G27" s="6">
        <f>1/(1+$B$14)^5</f>
        <v>0</v>
      </c>
    </row>
    <row r="28" spans="1:8">
      <c r="A28" t="s">
        <v>29</v>
      </c>
      <c r="C28" s="6">
        <f>C26*C27</f>
        <v>0</v>
      </c>
      <c r="D28" s="6">
        <f>D26*D27</f>
        <v>0</v>
      </c>
      <c r="E28" s="6">
        <f>E26*E27</f>
        <v>0</v>
      </c>
      <c r="F28" s="6">
        <f>F26*F27</f>
        <v>0</v>
      </c>
      <c r="G28" s="6">
        <f>G26*G27</f>
        <v>0</v>
      </c>
    </row>
    <row r="33" spans="1:8">
      <c r="A33" s="3" t="s">
        <v>30</v>
      </c>
      <c r="B33" s="3"/>
      <c r="C33" s="3"/>
      <c r="D33" s="3"/>
      <c r="E33" s="3"/>
      <c r="F33" s="3"/>
      <c r="G33" s="3"/>
      <c r="H33" s="3"/>
    </row>
    <row r="34" spans="1:8">
      <c r="A34" t="s">
        <v>31</v>
      </c>
      <c r="B34" s="6">
        <f>SUM(C28:G28)</f>
        <v>0</v>
      </c>
    </row>
    <row r="35" spans="1:8">
      <c r="A35" t="s">
        <v>32</v>
      </c>
      <c r="B35" s="6">
        <f>G26*(1+$B$15)</f>
        <v>0</v>
      </c>
    </row>
    <row r="36" spans="1:8">
      <c r="A36" t="s">
        <v>33</v>
      </c>
      <c r="B36" s="6">
        <f>B35/($B$14-$B$15)</f>
        <v>0</v>
      </c>
    </row>
    <row r="37" spans="1:8">
      <c r="A37" t="s">
        <v>34</v>
      </c>
      <c r="B37" s="6">
        <f>B36*G27</f>
        <v>0</v>
      </c>
    </row>
    <row r="38" spans="1:8">
      <c r="A38" t="s">
        <v>35</v>
      </c>
      <c r="B38" s="9">
        <f>B37/(B34+B37)</f>
        <v>0</v>
      </c>
    </row>
    <row r="39" spans="1:8">
      <c r="A39" t="s">
        <v>36</v>
      </c>
      <c r="B39" s="6">
        <f>B34+B37</f>
        <v>0</v>
      </c>
    </row>
    <row r="40" spans="1:8">
      <c r="A40" t="s">
        <v>37</v>
      </c>
      <c r="B40" s="6">
        <f>-B10</f>
        <v>0</v>
      </c>
    </row>
    <row r="41" spans="1:8">
      <c r="A41" t="s">
        <v>38</v>
      </c>
      <c r="B41" s="6">
        <f>B39+B40</f>
        <v>0</v>
      </c>
    </row>
    <row r="42" spans="1:8">
      <c r="A42" t="s">
        <v>39</v>
      </c>
      <c r="B42" s="6">
        <f>B41/B7</f>
        <v>0</v>
      </c>
    </row>
    <row r="43" spans="1:8">
      <c r="A43" s="10" t="s">
        <v>40</v>
      </c>
      <c r="B43" s="11">
        <f>B42/B12</f>
        <v>0</v>
      </c>
    </row>
    <row r="44" spans="1:8">
      <c r="A44" t="s">
        <v>41</v>
      </c>
      <c r="B44" s="12">
        <f>(B43-B6)/B6</f>
        <v>0</v>
      </c>
    </row>
    <row r="46" spans="1:8">
      <c r="A46" s="3" t="s">
        <v>42</v>
      </c>
      <c r="B46" s="3"/>
      <c r="C46" s="3"/>
      <c r="D46" s="3"/>
      <c r="E46" s="3"/>
      <c r="F46" s="3"/>
      <c r="G46" s="3"/>
      <c r="H46" s="3"/>
    </row>
    <row r="47" spans="1:8">
      <c r="A47" t="s">
        <v>43</v>
      </c>
      <c r="B47" s="13">
        <f>B36/B7/B12</f>
        <v>0</v>
      </c>
    </row>
    <row r="48" spans="1:8">
      <c r="A48" t="s">
        <v>44</v>
      </c>
      <c r="B48" s="11">
        <f>B47/(1.15^5)</f>
        <v>0</v>
      </c>
    </row>
    <row r="49" spans="1:3">
      <c r="A49" t="s">
        <v>45</v>
      </c>
      <c r="B49" s="9">
        <f>(B6-B48)/B48</f>
        <v>0</v>
      </c>
      <c r="C49" s="2" t="s">
        <v>46</v>
      </c>
    </row>
  </sheetData>
  <mergeCells count="5">
    <mergeCell ref="A5:H5"/>
    <mergeCell ref="A18:H18"/>
    <mergeCell ref="A23:H23"/>
    <mergeCell ref="A33:H33"/>
    <mergeCell ref="A46:H46"/>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29"/>
  <sheetViews>
    <sheetView zoomScale="90" zoomScaleNormal="90" workbookViewId="0"/>
  </sheetViews>
  <sheetFormatPr defaultRowHeight="15"/>
  <cols>
    <col min="1" max="1" width="30.7109375" customWidth="1"/>
    <col min="2" max="4" width="16.7109375" customWidth="1"/>
  </cols>
  <sheetData>
    <row r="1" spans="1:4">
      <c r="A1" s="1" t="s">
        <v>47</v>
      </c>
    </row>
    <row r="2" spans="1:4">
      <c r="A2" s="2" t="s">
        <v>48</v>
      </c>
    </row>
    <row r="4" spans="1:4">
      <c r="A4" s="8" t="s">
        <v>49</v>
      </c>
      <c r="B4" s="14" t="s">
        <v>50</v>
      </c>
      <c r="C4" s="15" t="s">
        <v>51</v>
      </c>
      <c r="D4" s="16" t="s">
        <v>52</v>
      </c>
    </row>
    <row r="5" spans="1:4">
      <c r="A5" t="s">
        <v>12</v>
      </c>
      <c r="B5" t="s">
        <v>53</v>
      </c>
      <c r="C5" t="s">
        <v>54</v>
      </c>
      <c r="D5" t="s">
        <v>55</v>
      </c>
    </row>
    <row r="6" spans="1:4">
      <c r="A6" t="s">
        <v>13</v>
      </c>
      <c r="B6" t="s">
        <v>56</v>
      </c>
      <c r="C6" t="s">
        <v>57</v>
      </c>
      <c r="D6" t="s">
        <v>58</v>
      </c>
    </row>
    <row r="7" spans="1:4">
      <c r="A7" t="s">
        <v>59</v>
      </c>
      <c r="B7" t="s">
        <v>60</v>
      </c>
      <c r="C7" t="s">
        <v>61</v>
      </c>
      <c r="D7" t="s">
        <v>62</v>
      </c>
    </row>
    <row r="8" spans="1:4">
      <c r="A8" t="s">
        <v>63</v>
      </c>
      <c r="B8" t="s">
        <v>64</v>
      </c>
      <c r="C8" t="s">
        <v>65</v>
      </c>
      <c r="D8" t="s">
        <v>66</v>
      </c>
    </row>
    <row r="9" spans="1:4">
      <c r="A9" t="s">
        <v>67</v>
      </c>
      <c r="B9" t="s">
        <v>68</v>
      </c>
      <c r="C9" t="s">
        <v>69</v>
      </c>
      <c r="D9" t="s">
        <v>61</v>
      </c>
    </row>
    <row r="10" spans="1:4">
      <c r="A10" t="s">
        <v>70</v>
      </c>
      <c r="B10" t="s">
        <v>71</v>
      </c>
      <c r="C10" t="s">
        <v>72</v>
      </c>
      <c r="D10" t="s">
        <v>73</v>
      </c>
    </row>
    <row r="12" spans="1:4">
      <c r="A12" t="s">
        <v>74</v>
      </c>
      <c r="B12" t="s">
        <v>75</v>
      </c>
      <c r="C12" t="s">
        <v>76</v>
      </c>
      <c r="D12" t="s">
        <v>77</v>
      </c>
    </row>
    <row r="13" spans="1:4">
      <c r="A13" t="s">
        <v>33</v>
      </c>
      <c r="B13" t="s">
        <v>78</v>
      </c>
      <c r="C13" t="s">
        <v>79</v>
      </c>
      <c r="D13" t="s">
        <v>80</v>
      </c>
    </row>
    <row r="14" spans="1:4">
      <c r="A14" t="s">
        <v>81</v>
      </c>
      <c r="B14" t="s">
        <v>82</v>
      </c>
      <c r="C14" t="s">
        <v>83</v>
      </c>
      <c r="D14" t="s">
        <v>84</v>
      </c>
    </row>
    <row r="15" spans="1:4">
      <c r="A15" t="s">
        <v>36</v>
      </c>
      <c r="B15" t="s">
        <v>85</v>
      </c>
      <c r="C15" t="s">
        <v>86</v>
      </c>
      <c r="D15" t="s">
        <v>87</v>
      </c>
    </row>
    <row r="16" spans="1:4">
      <c r="A16" t="s">
        <v>38</v>
      </c>
      <c r="B16" t="s">
        <v>88</v>
      </c>
      <c r="C16" t="s">
        <v>89</v>
      </c>
      <c r="D16" t="s">
        <v>90</v>
      </c>
    </row>
    <row r="18" spans="1:4">
      <c r="A18" s="10" t="s">
        <v>91</v>
      </c>
      <c r="B18" t="s">
        <v>92</v>
      </c>
      <c r="C18" t="s">
        <v>93</v>
      </c>
      <c r="D18" t="s">
        <v>94</v>
      </c>
    </row>
    <row r="19" spans="1:4">
      <c r="A19" s="10" t="s">
        <v>95</v>
      </c>
      <c r="B19" t="s">
        <v>96</v>
      </c>
      <c r="C19" t="s">
        <v>97</v>
      </c>
      <c r="D19" t="s">
        <v>98</v>
      </c>
    </row>
    <row r="20" spans="1:4">
      <c r="A20" t="s">
        <v>99</v>
      </c>
      <c r="B20" t="s">
        <v>100</v>
      </c>
      <c r="C20" t="s">
        <v>101</v>
      </c>
      <c r="D20" t="s">
        <v>102</v>
      </c>
    </row>
    <row r="22" spans="1:4">
      <c r="A22" s="10" t="s">
        <v>103</v>
      </c>
      <c r="B22" t="s">
        <v>104</v>
      </c>
      <c r="C22" t="s">
        <v>105</v>
      </c>
      <c r="D22" t="s">
        <v>106</v>
      </c>
    </row>
    <row r="23" spans="1:4">
      <c r="A23" t="s">
        <v>107</v>
      </c>
      <c r="B23" t="s">
        <v>108</v>
      </c>
      <c r="C23" t="s">
        <v>109</v>
      </c>
      <c r="D23" t="s">
        <v>110</v>
      </c>
    </row>
    <row r="27" spans="1:4">
      <c r="A27" s="3" t="s">
        <v>111</v>
      </c>
    </row>
    <row r="28" spans="1:4">
      <c r="A28" t="s">
        <v>112</v>
      </c>
      <c r="B28" s="11" t="s">
        <v>113</v>
      </c>
    </row>
    <row r="29" spans="1:4">
      <c r="A29" t="s">
        <v>99</v>
      </c>
      <c r="B29" s="12"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2"/>
  <sheetViews>
    <sheetView zoomScale="90" zoomScaleNormal="90" workbookViewId="0"/>
  </sheetViews>
  <sheetFormatPr defaultRowHeight="15"/>
  <cols>
    <col min="1" max="1" width="18.7109375" customWidth="1"/>
    <col min="2" max="7" width="13.7109375" customWidth="1"/>
  </cols>
  <sheetData>
    <row r="1" spans="1:6">
      <c r="A1" s="1" t="s">
        <v>115</v>
      </c>
    </row>
    <row r="2" spans="1:6">
      <c r="A2" s="2" t="s">
        <v>116</v>
      </c>
    </row>
    <row r="3" spans="1:6">
      <c r="A3" s="2" t="s">
        <v>117</v>
      </c>
    </row>
    <row r="5" spans="1:6">
      <c r="A5" s="8" t="s">
        <v>118</v>
      </c>
      <c r="B5" s="17" t="s">
        <v>58</v>
      </c>
      <c r="C5" s="17" t="s">
        <v>66</v>
      </c>
      <c r="D5" s="17" t="s">
        <v>56</v>
      </c>
      <c r="E5" s="17" t="s">
        <v>57</v>
      </c>
      <c r="F5" s="17" t="s">
        <v>119</v>
      </c>
    </row>
    <row r="6" spans="1:6">
      <c r="A6" s="18">
        <v>0.095</v>
      </c>
      <c r="B6" s="19">
        <v>67.15000000000001</v>
      </c>
      <c r="C6" s="19">
        <v>71.09999999999999</v>
      </c>
      <c r="D6" s="19">
        <v>75.70999999999999</v>
      </c>
      <c r="E6" s="19">
        <v>81.16</v>
      </c>
      <c r="F6" s="19">
        <v>87.7</v>
      </c>
    </row>
    <row r="7" spans="1:6">
      <c r="A7" s="18">
        <v>0.105</v>
      </c>
      <c r="B7" s="19">
        <v>58.86</v>
      </c>
      <c r="C7" s="19">
        <v>61.75</v>
      </c>
      <c r="D7" s="19">
        <v>65.06</v>
      </c>
      <c r="E7" s="19">
        <v>68.87</v>
      </c>
      <c r="F7" s="19">
        <v>73.31</v>
      </c>
    </row>
    <row r="8" spans="1:6">
      <c r="A8" s="20">
        <v>0.115</v>
      </c>
      <c r="B8" s="19">
        <v>52.43</v>
      </c>
      <c r="C8" s="19">
        <v>54.62</v>
      </c>
      <c r="D8" s="11">
        <v>57.08</v>
      </c>
      <c r="E8" s="19">
        <v>59.87</v>
      </c>
      <c r="F8" s="19">
        <v>63.05</v>
      </c>
    </row>
    <row r="9" spans="1:6">
      <c r="A9" s="18">
        <v>0.125</v>
      </c>
      <c r="B9" s="19">
        <v>47.29</v>
      </c>
      <c r="C9" s="19">
        <v>48.99</v>
      </c>
      <c r="D9" s="19">
        <v>50.88</v>
      </c>
      <c r="E9" s="19">
        <v>52.99</v>
      </c>
      <c r="F9" s="19">
        <v>55.36</v>
      </c>
    </row>
    <row r="10" spans="1:6">
      <c r="A10" s="18">
        <v>0.135</v>
      </c>
      <c r="B10" s="19">
        <v>43.1</v>
      </c>
      <c r="C10" s="19">
        <v>44.45</v>
      </c>
      <c r="D10" s="19">
        <v>45.94</v>
      </c>
      <c r="E10" s="19">
        <v>47.57</v>
      </c>
      <c r="F10" s="19">
        <v>49.4</v>
      </c>
    </row>
    <row r="12" spans="1:6">
      <c r="A12" s="2"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3"/>
  <sheetViews>
    <sheetView zoomScale="90" zoomScaleNormal="90" workbookViewId="0"/>
  </sheetViews>
  <sheetFormatPr defaultRowHeight="15"/>
  <cols>
    <col min="1" max="1" width="22.7109375" customWidth="1"/>
    <col min="2" max="6" width="14.7109375" customWidth="1"/>
  </cols>
  <sheetData>
    <row r="1" spans="1:4">
      <c r="A1" s="1" t="s">
        <v>121</v>
      </c>
    </row>
    <row r="2" spans="1:4">
      <c r="A2" s="2" t="s">
        <v>122</v>
      </c>
    </row>
    <row r="4" spans="1:4">
      <c r="A4" s="8" t="s">
        <v>123</v>
      </c>
      <c r="B4" s="8" t="s">
        <v>124</v>
      </c>
      <c r="C4" s="8" t="s">
        <v>125</v>
      </c>
      <c r="D4" s="8" t="s">
        <v>126</v>
      </c>
    </row>
    <row r="5" spans="1:4">
      <c r="A5" t="s">
        <v>127</v>
      </c>
      <c r="B5" s="9">
        <v>0.113</v>
      </c>
      <c r="C5" s="9">
        <v>0.205</v>
      </c>
      <c r="D5" s="9">
        <v>0.131</v>
      </c>
    </row>
    <row r="6" spans="1:4">
      <c r="A6" t="s">
        <v>128</v>
      </c>
      <c r="B6" t="s">
        <v>129</v>
      </c>
      <c r="C6" t="s">
        <v>130</v>
      </c>
      <c r="D6" t="s">
        <v>130</v>
      </c>
    </row>
    <row r="7" spans="1:4">
      <c r="A7" t="s">
        <v>131</v>
      </c>
      <c r="B7" s="9">
        <v>0.04</v>
      </c>
      <c r="C7" t="s">
        <v>130</v>
      </c>
      <c r="D7" t="s">
        <v>130</v>
      </c>
    </row>
    <row r="8" spans="1:4">
      <c r="A8" t="s">
        <v>132</v>
      </c>
      <c r="B8" t="s">
        <v>129</v>
      </c>
      <c r="C8" t="s">
        <v>130</v>
      </c>
      <c r="D8" s="9">
        <v>0.197</v>
      </c>
    </row>
    <row r="9" spans="1:4">
      <c r="A9" t="s">
        <v>133</v>
      </c>
      <c r="B9" t="s">
        <v>129</v>
      </c>
      <c r="C9" t="s">
        <v>130</v>
      </c>
      <c r="D9" s="9">
        <v>0.188</v>
      </c>
    </row>
    <row r="11" spans="1:4">
      <c r="A11" s="10" t="s">
        <v>134</v>
      </c>
      <c r="B11" s="9">
        <v>0.131</v>
      </c>
      <c r="C11" s="21" t="s">
        <v>135</v>
      </c>
    </row>
    <row r="13" spans="1:4">
      <c r="A13" s="3" t="s">
        <v>136</v>
      </c>
    </row>
    <row r="14" spans="1:4">
      <c r="A14" t="s">
        <v>26</v>
      </c>
      <c r="B14" s="6">
        <v>30347.8</v>
      </c>
    </row>
    <row r="15" spans="1:4">
      <c r="A15" t="s">
        <v>137</v>
      </c>
      <c r="B15" s="6">
        <v>11114.1</v>
      </c>
    </row>
    <row r="16" spans="1:4">
      <c r="A16" t="s">
        <v>138</v>
      </c>
      <c r="B16" s="9">
        <v>0.366</v>
      </c>
    </row>
    <row r="17" spans="1:2">
      <c r="A17" t="s">
        <v>139</v>
      </c>
      <c r="B17" s="6">
        <v>1190.9</v>
      </c>
    </row>
    <row r="18" spans="1:2">
      <c r="A18" t="s">
        <v>140</v>
      </c>
      <c r="B18" s="6">
        <v>7147.1</v>
      </c>
    </row>
    <row r="19" spans="1:2">
      <c r="A19" t="s">
        <v>27</v>
      </c>
      <c r="B19" s="6">
        <v>6236.7</v>
      </c>
    </row>
    <row r="20" spans="1:2">
      <c r="A20" t="s">
        <v>7</v>
      </c>
      <c r="B20" s="6">
        <v>24194.1</v>
      </c>
    </row>
    <row r="21" spans="1:2">
      <c r="A21" t="s">
        <v>8</v>
      </c>
      <c r="B21" s="6">
        <v>9566.5</v>
      </c>
    </row>
    <row r="22" spans="1:2">
      <c r="A22" t="s">
        <v>141</v>
      </c>
      <c r="B22" s="6">
        <v>14627.6</v>
      </c>
    </row>
    <row r="23" spans="1:2">
      <c r="A23" t="s">
        <v>142</v>
      </c>
      <c r="B23" s="6">
        <v>459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34"/>
  <sheetViews>
    <sheetView zoomScale="90" zoomScaleNormal="90" workbookViewId="0"/>
  </sheetViews>
  <sheetFormatPr defaultRowHeight="15"/>
  <cols>
    <col min="1" max="1" width="35.7109375" customWidth="1"/>
    <col min="2" max="2" width="20.7109375" customWidth="1"/>
    <col min="3" max="3" width="60.7109375" customWidth="1"/>
  </cols>
  <sheetData>
    <row r="1" spans="1:2">
      <c r="A1" s="1" t="s">
        <v>143</v>
      </c>
    </row>
    <row r="2" spans="1:2">
      <c r="A2" s="22" t="s">
        <v>144</v>
      </c>
    </row>
    <row r="4" spans="1:2">
      <c r="A4" s="3" t="s">
        <v>145</v>
      </c>
    </row>
    <row r="5" spans="1:2">
      <c r="A5" t="s">
        <v>146</v>
      </c>
      <c r="B5" t="s">
        <v>147</v>
      </c>
    </row>
    <row r="6" spans="1:2">
      <c r="A6" t="s">
        <v>148</v>
      </c>
      <c r="B6" t="s">
        <v>149</v>
      </c>
    </row>
    <row r="7" spans="1:2">
      <c r="A7" t="s">
        <v>36</v>
      </c>
      <c r="B7" t="s">
        <v>150</v>
      </c>
    </row>
    <row r="8" spans="1:2">
      <c r="A8" t="s">
        <v>151</v>
      </c>
      <c r="B8" t="s">
        <v>152</v>
      </c>
    </row>
    <row r="9" spans="1:2">
      <c r="A9" t="s">
        <v>153</v>
      </c>
      <c r="B9" t="s">
        <v>154</v>
      </c>
    </row>
    <row r="10" spans="1:2">
      <c r="A10" t="s">
        <v>155</v>
      </c>
      <c r="B10" t="s">
        <v>156</v>
      </c>
    </row>
    <row r="11" spans="1:2">
      <c r="A11" t="s">
        <v>157</v>
      </c>
      <c r="B11" t="s">
        <v>158</v>
      </c>
    </row>
    <row r="12" spans="1:2">
      <c r="A12" t="s">
        <v>159</v>
      </c>
      <c r="B12" t="s">
        <v>160</v>
      </c>
    </row>
    <row r="13" spans="1:2">
      <c r="A13" t="s">
        <v>161</v>
      </c>
      <c r="B13" t="s">
        <v>162</v>
      </c>
    </row>
    <row r="15" spans="1:2">
      <c r="A15" s="3" t="s">
        <v>163</v>
      </c>
    </row>
    <row r="16" spans="1:2">
      <c r="A16" t="s">
        <v>164</v>
      </c>
      <c r="B16" t="s">
        <v>96</v>
      </c>
    </row>
    <row r="17" spans="1:3">
      <c r="A17" t="s">
        <v>165</v>
      </c>
      <c r="B17" t="s">
        <v>108</v>
      </c>
    </row>
    <row r="18" spans="1:3">
      <c r="A18" t="s">
        <v>166</v>
      </c>
      <c r="B18" t="s">
        <v>167</v>
      </c>
    </row>
    <row r="19" spans="1:3">
      <c r="A19" t="s">
        <v>168</v>
      </c>
      <c r="B19" t="s">
        <v>110</v>
      </c>
    </row>
    <row r="20" spans="1:3">
      <c r="A20" t="s">
        <v>169</v>
      </c>
      <c r="B20" t="s">
        <v>170</v>
      </c>
    </row>
    <row r="22" spans="1:3">
      <c r="A22" s="3" t="s">
        <v>171</v>
      </c>
      <c r="B22" s="8" t="s">
        <v>172</v>
      </c>
    </row>
    <row r="23" spans="1:3">
      <c r="A23" t="s">
        <v>173</v>
      </c>
      <c r="B23" s="23" t="s">
        <v>174</v>
      </c>
      <c r="C23" s="21" t="s">
        <v>175</v>
      </c>
    </row>
    <row r="24" spans="1:3">
      <c r="A24" t="s">
        <v>176</v>
      </c>
      <c r="B24" s="24" t="s">
        <v>177</v>
      </c>
      <c r="C24" s="21" t="s">
        <v>178</v>
      </c>
    </row>
    <row r="25" spans="1:3">
      <c r="A25" t="s">
        <v>179</v>
      </c>
      <c r="B25" s="23" t="s">
        <v>180</v>
      </c>
      <c r="C25" s="21" t="s">
        <v>181</v>
      </c>
    </row>
    <row r="26" spans="1:3">
      <c r="A26" t="s">
        <v>182</v>
      </c>
      <c r="B26" s="23" t="s">
        <v>174</v>
      </c>
      <c r="C26" s="21" t="s">
        <v>183</v>
      </c>
    </row>
    <row r="27" spans="1:3">
      <c r="A27" s="3" t="s">
        <v>184</v>
      </c>
    </row>
    <row r="28" spans="1:3">
      <c r="A28" t="s">
        <v>185</v>
      </c>
      <c r="B28" t="s">
        <v>186</v>
      </c>
    </row>
    <row r="29" spans="1:3">
      <c r="A29" t="s">
        <v>187</v>
      </c>
      <c r="B29" s="11" t="s">
        <v>188</v>
      </c>
    </row>
    <row r="30" spans="1:3">
      <c r="A30" t="s">
        <v>189</v>
      </c>
      <c r="B30" t="s">
        <v>190</v>
      </c>
    </row>
    <row r="31" spans="1:3">
      <c r="A31" t="s">
        <v>191</v>
      </c>
      <c r="B31" s="21" t="s">
        <v>192</v>
      </c>
    </row>
    <row r="33" spans="1:1">
      <c r="A33" s="3" t="s">
        <v>193</v>
      </c>
    </row>
    <row r="34" spans="1:1">
      <c r="A34" s="21" t="s">
        <v>194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DCF Model</vt:lpstr>
      <vt:lpstr>Scenarios</vt:lpstr>
      <vt:lpstr>Sensitivity</vt:lpstr>
      <vt:lpstr>Historical</vt:lpstr>
      <vt:lpstr>Sanity Check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2026-06-26T11:46:27Z</dcterms:created>
  <dcterms:modified xsi:type="dcterms:W3CDTF">2026-06-26T11:46:27Z</dcterms:modified>
</cp:coreProperties>
</file>