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<sst xmlns="http://schemas.openxmlformats.org/spreadsheetml/2006/main" count="345" uniqueCount="160">
  <si>
    <t xml:space="preserve">Ticker</t>
  </si>
  <si>
    <t xml:space="preserve">BLK</t>
  </si>
  <si>
    <t xml:space="preserve">Company</t>
  </si>
  <si>
    <t xml:space="preserve">BlackRock,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</si>
  <si>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</si>
  <si>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</si>
  <si>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</si>
  <si>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</si>
  <si>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Finance chart API)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</si>
  <si>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</si>
  <si>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</si>
  <si>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</si>
  <si>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</si>
  <si>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</si>
  <si>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</si>
  <si>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</si>
  <si>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</si>
  <si>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</si>
  <si>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</si>
  <si>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</si>
  <si>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</si>
  <si>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2026-09-25T23:40:48Z</t>
  </si>
  <si>
    <t xml:space="preserve">Drivers file</t>
  </si>
  <si>
    <t xml:space="preserve">BLK_Drivers.json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</si>
  <si>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</si>
  <si>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</si>
  <si>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</si>
  <si>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BlackRock is valued as an operating company on owner free cash flow, not with a bank/REIT-style capitalization model: fee revenue on AUM is ordinary operating revenue, BlackRock's balance sheet carries real corporate debt (fixed-rate long-term notes) rather than customer deposits, and reported operating cash flow is a genuine (if presently noisy) measure of cash generation rather than a post-interest distributable-profit figure. The central judgment is that FY2025's reported margins and FCF are a trough distorted by the near-simultaneous GIP/Preqin/HPS acquisitions (intangible amortization, a large contingent-consideration fair-value charge, restructuring, and one-off retention stock compensation), not a new normal -- management's own as-adjusted operating margin was flat at ~39.6-39.7% through the acquisition window, which anchors the margin-recovery path used in the base case. A 10-year horizon is used because the FY2025 owner-FCF margin (7.9%) is far below any plausible steady state and needs the full period to mature.
key_risks_to_valuation: AUM/revenue is directly exposed to capital markets levels; a sustained bear market compresses base fees, performance fees, and margin simultaneously, independent of net flows; The margin-recovery assumption is the single largest driver of the base case -- if the GIP/Preqin/HPS integration keeps generating charges (further impairments, extended retention grants, contingent-consideration marks) rather than rolling off over 2-3 years as assumed, FY2025's depressed print could prove closer to the new normal than a trough; Fee compression in the commoditized index/ETF core is a structural headwind requiring continued AUM growth just to hold revenue flat in BlackRock's largest product category; Political/regulatory risk (state pension ESG divestments, periodic SIFI-designation discussion) is real but difficult to quantify and is not separately modelled beyond the bear-case margin/growth path; The Subco Class B-2 units (HPS deal consideration) are included in the fully diluted share count; if additional acquisition currency is issued this way in the future, the flat-share-count convention would need revisiting for genuine non-SBC dilution</t>
  </si>
  <si>
    <t xml:space="preserve">Data sources</t>
  </si>
  <si>
    <t xml:space="preserve">price: Yahoo Finance chart API at inputs.price_as_of; 52-week range $917.39-$1,219.94
financials: research/BLK/Reports/BLK_Metrics.csv (SEC XBRL-derived, FY2022-FY2025 annuals + quarterlies through Q2 2026); BlackRock, Inc. FY2025 10-K (CIK 0002012383, accession 0001193125-26-071966, filed 2026-02-25) for SBC detail (Note 18), employee tax withholdings and buyback cash flow (MD&amp;A liquidity section and consolidated statements of cash flows/stockholders' equity), long-term borrowings (Note 15), diluted share reconciliation (Note 26), and the as-adjusted operating margin reconciliation (Executive Summary)
qualitative: research/BLK/Reports/BLK_Analysis.json</t>
  </si>
  <si>
    <t xml:space="preserve">Scenario narrative: bear</t>
  </si>
  <si>
    <t xml:space="preserve">A sustained capital-markets downturn compresses AUM/fees mechanically; index/ETF fee compression continues; the three-deal integration proves harder than guided with talent attrition and further impairments; political/regulatory (ESG divestment, SIFI risk) headwinds persist; margin stalls in the low-to-mid 30s rather than recovering.</t>
  </si>
  <si>
    <t xml:space="preserve">Scenario narrative: base</t>
  </si>
  <si>
    <t xml:space="preserve">Acquisition-related noise (intangible amortization, contingent-consideration marks, one-off retention SBC) fades over 2-3 years; EBITDA margin recovers from FY2025's depressed 34% print back toward the FY2022-24 range and on to ~40-42% at maturity as technology (Aladdin) and private-markets revenue keep growing faster than the commoditized index/ETF base. Revenue growth decelerates from 10% (still partly HPS-annualization-driven) to a 4% terminal rate.</t>
  </si>
  <si>
    <t xml:space="preserve">Scenario narrative: bull</t>
  </si>
  <si>
    <t xml:space="preserve">GIP/Preqin/HPS integration is a clean success, private-credit and Aladdin both keep compounding at double-digit-plus rates, retirement-channel adoption (LifePath/Great Gray) opens new AUM faster than expected, and the '46% margin, not a ceiling' framing holds at the full-year level.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</si>
  <si>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</si>
  <si>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</si>
  <si>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</si>
  <si>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</si>
  <si>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</si>
  <si>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</si>
  <si>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</si>
  <si>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</si>
  <si>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</si>
  <si>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</si>
  <si>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</si>
  <si>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</si>
  <si>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</si>
  <si>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</si>
  <si>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</si>
  <si>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</si>
  <si>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</si>
  <si>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</si>
  <si>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</si>
  <si>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</si>
  <si>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</si>
  <si>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</si>
  <si>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</si>
  <si>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</si>
  <si>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</si>
  <si>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</si>
  <si>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</si>
  <si>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</si>
  <si>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</si>
  <si>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</si>
  <si>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</si>
  <si>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</si>
  <si>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</si>
  <si>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</si>
  <si>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</si>
  <si>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</si>
  <si>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</si>
  <si>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</si>
  <si>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</si>
  <si>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</si>
  <si>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</si>
  <si>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</si>
  <si>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</si>
  <si>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</si>
  <si>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</si>
  <si>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</si>
  <si>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</si>
  <si>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</si>
  <si>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</si>
  <si>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</si>
  <si>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</si>
  <si>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</si>
  <si>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</si>
  <si>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</si>
  <si>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</si>
  <si>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</si>
  <si>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</si>
  <si>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</si>
  <si>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</si>
  <si>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</si>
  <si>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</si>
  <si>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</si>
  <si>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</si>
  <si>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</si>
  <si>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</si>
  <si>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</si>
  <si>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</si>
  <si>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</si>
  <si>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</si>
  <si>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BLK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</si>
  <si>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</si>
  <si>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</si>
  <si>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</si>
  <si>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</si>
  <si>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</si>
  <si>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</si>
  <si>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</si>
  <si>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</si>
  <si>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</si>
  <si>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</si>
  <si>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</si>
  <si>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</si>
  <si>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</si>
  <si>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</si>
  <si>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</si>
  <si>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</si>
  <si>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</si>
  <si>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</si>
  <si>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</si>
  <si>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</si>
  <si>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</si>
  <si>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</si>
  <si>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</si>
  <si>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</si>
  <si>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</si>
  <si>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</si>
  <si>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</si>
  <si>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</si>
  <si>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</si>
  <si>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</si>
  <si>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BLK owner-FCF component DCF: base case (millions, USD)</t>
  </si>
  <si>
    <t xml:space="preserve">BLK owner-FCF component DCF: bull case (millions, USD)</t>
  </si>
  <si>
    <t xml:space="preserve">BLK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</si>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</sst>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1086.31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I2" s="0" t="n">
        <v>5901</v>
      </c>
      <c r="O2" s="0" t="n">
        <v>37806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17873</v>
      </c>
      <c r="F3" s="0" t="n">
        <v>6385</v>
      </c>
      <c r="G3" s="0" t="n">
        <v>35.7242768421642</v>
      </c>
      <c r="H3" s="0" t="n">
        <v>6636</v>
      </c>
      <c r="I3" s="0" t="n">
        <v>5178</v>
      </c>
      <c r="J3" s="0" t="n">
        <v>28.9710736865663</v>
      </c>
      <c r="K3" s="0" t="n">
        <v>34.31</v>
      </c>
      <c r="L3" s="0" t="n">
        <v>4956</v>
      </c>
      <c r="M3" s="0" t="n">
        <v>533</v>
      </c>
      <c r="N3" s="0" t="n">
        <v>4423</v>
      </c>
      <c r="O3" s="0" t="n">
        <v>37876</v>
      </c>
      <c r="T3" s="0" t="n">
        <v>152.440471</v>
      </c>
      <c r="U3" s="0" t="n">
        <v>708</v>
      </c>
      <c r="V3" s="0" t="n">
        <v>19.52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17859</v>
      </c>
      <c r="F4" s="0" t="n">
        <v>6275</v>
      </c>
      <c r="G4" s="0" t="n">
        <v>35.1363458200347</v>
      </c>
      <c r="H4" s="0" t="n">
        <v>6538</v>
      </c>
      <c r="I4" s="0" t="n">
        <v>5676</v>
      </c>
      <c r="J4" s="0" t="n">
        <v>31.7822946413573</v>
      </c>
      <c r="K4" s="0" t="n">
        <v>36.85</v>
      </c>
      <c r="L4" s="0" t="n">
        <v>4165</v>
      </c>
      <c r="M4" s="0" t="n">
        <v>344</v>
      </c>
      <c r="N4" s="0" t="n">
        <v>3821</v>
      </c>
      <c r="O4" s="0" t="n">
        <v>39500</v>
      </c>
      <c r="P4" s="0" t="n">
        <v>123211</v>
      </c>
      <c r="Q4" s="0" t="n">
        <v>81971</v>
      </c>
      <c r="R4" s="0" t="n">
        <v>7918</v>
      </c>
      <c r="S4" s="0" t="n">
        <v>8736</v>
      </c>
      <c r="T4" s="0" t="n">
        <v>150.706451</v>
      </c>
      <c r="U4" s="0" t="n">
        <v>630</v>
      </c>
      <c r="V4" s="0" t="n">
        <v>20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20407</v>
      </c>
      <c r="F5" s="0" t="n">
        <v>7574</v>
      </c>
      <c r="G5" s="0" t="n">
        <v>37.1147155387857</v>
      </c>
      <c r="H5" s="0" t="n">
        <v>7844</v>
      </c>
      <c r="I5" s="0" t="n">
        <v>6512</v>
      </c>
      <c r="J5" s="0" t="n">
        <v>31.9106189052776</v>
      </c>
      <c r="K5" s="0" t="n">
        <v>42.45</v>
      </c>
      <c r="L5" s="0" t="n">
        <v>4956</v>
      </c>
      <c r="M5" s="0" t="n">
        <v>255</v>
      </c>
      <c r="N5" s="0" t="n">
        <v>4701</v>
      </c>
      <c r="O5" s="0" t="n">
        <v>47664</v>
      </c>
      <c r="P5" s="0" t="n">
        <v>138615</v>
      </c>
      <c r="Q5" s="0" t="n">
        <v>89260</v>
      </c>
      <c r="R5" s="0" t="n">
        <v>12314</v>
      </c>
      <c r="S5" s="0" t="n">
        <v>12762</v>
      </c>
      <c r="T5" s="0" t="n">
        <v>154.947813</v>
      </c>
      <c r="U5" s="0" t="n">
        <v>753</v>
      </c>
      <c r="V5" s="0" t="n">
        <v>20.4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24216</v>
      </c>
      <c r="F6" s="0" t="n">
        <v>7045</v>
      </c>
      <c r="G6" s="0" t="n">
        <v>29.092335645854</v>
      </c>
      <c r="H6" s="0" t="n">
        <v>7342</v>
      </c>
      <c r="I6" s="0" t="n">
        <v>5942</v>
      </c>
      <c r="J6" s="0" t="n">
        <v>24.5374958704988</v>
      </c>
      <c r="K6" s="0" t="n">
        <v>35.83</v>
      </c>
      <c r="L6" s="0" t="n">
        <v>3927</v>
      </c>
      <c r="M6" s="0" t="n">
        <v>375</v>
      </c>
      <c r="N6" s="0" t="n">
        <v>3552</v>
      </c>
      <c r="O6" s="0" t="n">
        <v>56115</v>
      </c>
      <c r="P6" s="0" t="n">
        <v>169998</v>
      </c>
      <c r="Q6" s="0" t="n">
        <v>108456</v>
      </c>
      <c r="R6" s="0" t="n">
        <v>12768</v>
      </c>
      <c r="S6" s="0" t="n">
        <v>11468</v>
      </c>
      <c r="T6" s="0" t="n">
        <v>160.866521</v>
      </c>
      <c r="U6" s="0" t="n">
        <v>1307</v>
      </c>
      <c r="V6" s="0" t="n">
        <v>20.84</v>
      </c>
      <c r="AA6" s="0" t="s">
        <v>17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68</v>
      </c>
      <c r="B1" s="2" t="s">
        <v>69</v>
      </c>
    </row>
    <row r="2" customFormat="false" ht="15" hidden="false" customHeight="false" outlineLevel="0" collapsed="false">
      <c r="A2" s="0" t="s">
        <v>70</v>
      </c>
      <c r="B2" s="3" t="n">
        <v>1086.31</v>
      </c>
    </row>
    <row r="3" customFormat="false" ht="15" hidden="false" customHeight="false" outlineLevel="0" collapsed="false">
      <c r="A3" s="0" t="s">
        <v>71</v>
      </c>
      <c r="B3" s="3" t="n">
        <v>163.156</v>
      </c>
    </row>
    <row r="4" customFormat="false" ht="15" hidden="false" customHeight="false" outlineLevel="0" collapsed="false">
      <c r="A4" s="0" t="s">
        <v>72</v>
      </c>
      <c r="B4" s="3" t="n">
        <v>1300</v>
      </c>
    </row>
    <row r="5" customFormat="false" ht="15" hidden="false" customHeight="false" outlineLevel="0" collapsed="false">
      <c r="A5" s="0" t="s">
        <v>73</v>
      </c>
      <c r="B5" s="3" t="n">
        <v>0</v>
      </c>
    </row>
    <row r="6" customFormat="false" ht="15" hidden="false" customHeight="false" outlineLevel="0" collapsed="false">
      <c r="A6" s="0" t="s">
        <v>74</v>
      </c>
      <c r="B6" s="3" t="n">
        <v>15</v>
      </c>
    </row>
    <row r="7" customFormat="false" ht="15" hidden="false" customHeight="false" outlineLevel="0" collapsed="false">
      <c r="A7" s="0" t="s">
        <v>75</v>
      </c>
      <c r="B7" s="3" t="n">
        <v>24216</v>
      </c>
    </row>
    <row r="8" customFormat="false" ht="15" hidden="false" customHeight="false" outlineLevel="0" collapsed="false">
      <c r="A8" s="0" t="s">
        <v>76</v>
      </c>
      <c r="B8" s="3" t="s">
        <v>67</v>
      </c>
    </row>
    <row r="9" customFormat="false" ht="15" hidden="false" customHeight="false" outlineLevel="0" collapsed="false">
      <c r="A9" s="0" t="s">
        <v>77</v>
      </c>
      <c r="B9" s="3" t="s">
        <v>78</v>
      </c>
    </row>
    <row r="10" customFormat="false" ht="15" hidden="false" customHeight="false" outlineLevel="0" collapsed="false">
      <c r="A10" s="0" t="s">
        <v>79</v>
      </c>
      <c r="B10" s="3" t="n">
        <v>1</v>
      </c>
    </row>
    <row r="12" customFormat="false" ht="15" hidden="false" customHeight="false" outlineLevel="0" collapsed="false">
      <c r="A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 t="s">
        <v>89</v>
      </c>
      <c r="L12" s="2" t="s">
        <v>90</v>
      </c>
    </row>
    <row r="13" customFormat="false" ht="15" hidden="false" customHeight="false" outlineLevel="0" collapsed="false">
      <c r="A13" s="0" t="s">
        <v>91</v>
      </c>
      <c r="C13" s="3" t="n">
        <v>4</v>
      </c>
      <c r="D13" s="3" t="n">
        <v>2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92</v>
      </c>
      <c r="C14" s="3" t="n">
        <v>30</v>
      </c>
      <c r="D14" s="3" t="n">
        <v>30</v>
      </c>
      <c r="E14" s="3" t="n">
        <v>31</v>
      </c>
      <c r="F14" s="3" t="n">
        <v>32</v>
      </c>
      <c r="G14" s="3" t="n">
        <v>33</v>
      </c>
      <c r="H14" s="3" t="n">
        <v>34</v>
      </c>
      <c r="I14" s="3" t="n">
        <v>34.5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93</v>
      </c>
      <c r="C15" s="3" t="n">
        <v>7</v>
      </c>
      <c r="D15" s="3" t="n">
        <v>6.5</v>
      </c>
      <c r="E15" s="3" t="n">
        <v>6</v>
      </c>
      <c r="F15" s="3" t="n">
        <v>5.8</v>
      </c>
      <c r="G15" s="3" t="n">
        <v>5.6</v>
      </c>
      <c r="H15" s="3" t="n">
        <v>5.5</v>
      </c>
      <c r="I15" s="3" t="n">
        <v>5.5</v>
      </c>
      <c r="J15" s="3" t="n">
        <v>5.5</v>
      </c>
      <c r="K15" s="3" t="n">
        <v>5.5</v>
      </c>
      <c r="L15" s="3" t="n">
        <v>5.5</v>
      </c>
    </row>
    <row r="16" customFormat="false" ht="15" hidden="false" customHeight="false" outlineLevel="0" collapsed="false">
      <c r="A16" s="0" t="s">
        <v>94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95</v>
      </c>
      <c r="C17" s="3" t="n">
        <v>5</v>
      </c>
      <c r="D17" s="3" t="n">
        <v>4.9</v>
      </c>
      <c r="E17" s="3" t="n">
        <v>4.7</v>
      </c>
      <c r="F17" s="3" t="n">
        <v>4.5</v>
      </c>
      <c r="G17" s="3" t="n">
        <v>4.3</v>
      </c>
      <c r="H17" s="3" t="n">
        <v>4.1</v>
      </c>
      <c r="I17" s="3" t="n">
        <v>4</v>
      </c>
      <c r="J17" s="3" t="n">
        <v>3.9</v>
      </c>
      <c r="K17" s="3" t="n">
        <v>3.8</v>
      </c>
      <c r="L17" s="3" t="n">
        <v>3.8</v>
      </c>
    </row>
    <row r="18" customFormat="false" ht="15" hidden="false" customHeight="false" outlineLevel="0" collapsed="false">
      <c r="A18" s="0" t="s">
        <v>96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97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98</v>
      </c>
      <c r="B20" s="3" t="n">
        <v>9.5</v>
      </c>
    </row>
    <row r="21" customFormat="false" ht="15" hidden="false" customHeight="false" outlineLevel="0" collapsed="false">
      <c r="A21" s="0" t="s">
        <v>99</v>
      </c>
      <c r="B21" s="3" t="n">
        <v>2</v>
      </c>
    </row>
    <row r="22" customFormat="false" ht="15" hidden="false" customHeight="false" outlineLevel="0" collapsed="false">
      <c r="A22" s="0" t="s">
        <v>100</v>
      </c>
      <c r="B22" s="3" t="n">
        <v>15</v>
      </c>
    </row>
    <row r="23" customFormat="false" ht="15" hidden="false" customHeight="false" outlineLevel="0" collapsed="false">
      <c r="A23" s="0" t="s">
        <v>101</v>
      </c>
      <c r="B23" s="3" t="n">
        <v>0</v>
      </c>
    </row>
    <row r="24" customFormat="false" ht="15" hidden="false" customHeight="false" outlineLevel="0" collapsed="false">
      <c r="A24" s="0" t="s">
        <v>102</v>
      </c>
      <c r="B24" s="3" t="n">
        <v>0.2</v>
      </c>
    </row>
    <row r="26" customFormat="false" ht="15" hidden="false" customHeight="false" outlineLevel="0" collapsed="false">
      <c r="A26" s="2" t="s">
        <v>103</v>
      </c>
      <c r="C26" s="2" t="s">
        <v>81</v>
      </c>
      <c r="D26" s="2" t="s">
        <v>82</v>
      </c>
      <c r="E26" s="2" t="s">
        <v>83</v>
      </c>
      <c r="F26" s="2" t="s">
        <v>84</v>
      </c>
      <c r="G26" s="2" t="s">
        <v>85</v>
      </c>
      <c r="H26" s="2" t="s">
        <v>86</v>
      </c>
      <c r="I26" s="2" t="s">
        <v>87</v>
      </c>
      <c r="J26" s="2" t="s">
        <v>88</v>
      </c>
      <c r="K26" s="2" t="s">
        <v>89</v>
      </c>
      <c r="L26" s="2" t="s">
        <v>90</v>
      </c>
    </row>
    <row r="27" customFormat="false" ht="15" hidden="false" customHeight="false" outlineLevel="0" collapsed="false">
      <c r="A27" s="0" t="s">
        <v>91</v>
      </c>
      <c r="C27" s="3" t="n">
        <v>10</v>
      </c>
      <c r="D27" s="3" t="n">
        <v>9</v>
      </c>
      <c r="E27" s="3" t="n">
        <v>8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92</v>
      </c>
      <c r="C28" s="3" t="n">
        <v>34</v>
      </c>
      <c r="D28" s="3" t="n">
        <v>35.5</v>
      </c>
      <c r="E28" s="3" t="n">
        <v>37</v>
      </c>
      <c r="F28" s="3" t="n">
        <v>38</v>
      </c>
      <c r="G28" s="3" t="n">
        <v>39</v>
      </c>
      <c r="H28" s="3" t="n">
        <v>40</v>
      </c>
      <c r="I28" s="3" t="n">
        <v>40.5</v>
      </c>
      <c r="J28" s="3" t="n">
        <v>41</v>
      </c>
      <c r="K28" s="3" t="n">
        <v>41.5</v>
      </c>
      <c r="L28" s="3" t="n">
        <v>42</v>
      </c>
    </row>
    <row r="29" customFormat="false" ht="15" hidden="false" customHeight="false" outlineLevel="0" collapsed="false">
      <c r="A29" s="0" t="s">
        <v>93</v>
      </c>
      <c r="C29" s="3" t="n">
        <v>6.5</v>
      </c>
      <c r="D29" s="3" t="n">
        <v>6</v>
      </c>
      <c r="E29" s="3" t="n">
        <v>5.5</v>
      </c>
      <c r="F29" s="3" t="n">
        <v>5.2</v>
      </c>
      <c r="G29" s="3" t="n">
        <v>5</v>
      </c>
      <c r="H29" s="3" t="n">
        <v>4.8</v>
      </c>
      <c r="I29" s="3" t="n">
        <v>4.6</v>
      </c>
      <c r="J29" s="3" t="n">
        <v>4.5</v>
      </c>
      <c r="K29" s="3" t="n">
        <v>4.5</v>
      </c>
      <c r="L29" s="3" t="n">
        <v>4.5</v>
      </c>
    </row>
    <row r="30" customFormat="false" ht="15" hidden="false" customHeight="false" outlineLevel="0" collapsed="false">
      <c r="A30" s="0" t="s">
        <v>94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95</v>
      </c>
      <c r="C31" s="3" t="n">
        <v>4.6</v>
      </c>
      <c r="D31" s="3" t="n">
        <v>4.4</v>
      </c>
      <c r="E31" s="3" t="n">
        <v>4.2</v>
      </c>
      <c r="F31" s="3" t="n">
        <v>4</v>
      </c>
      <c r="G31" s="3" t="n">
        <v>3.8</v>
      </c>
      <c r="H31" s="3" t="n">
        <v>3.6</v>
      </c>
      <c r="I31" s="3" t="n">
        <v>3.4</v>
      </c>
      <c r="J31" s="3" t="n">
        <v>3.2</v>
      </c>
      <c r="K31" s="3" t="n">
        <v>3.1</v>
      </c>
      <c r="L31" s="3" t="n">
        <v>3</v>
      </c>
    </row>
    <row r="32" customFormat="false" ht="15" hidden="false" customHeight="false" outlineLevel="0" collapsed="false">
      <c r="A32" s="0" t="s">
        <v>96</v>
      </c>
      <c r="C32" s="3" t="n">
        <v>1.6</v>
      </c>
      <c r="D32" s="3" t="n">
        <v>1.6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97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98</v>
      </c>
      <c r="B34" s="3" t="n">
        <v>8</v>
      </c>
    </row>
    <row r="35" customFormat="false" ht="15" hidden="false" customHeight="false" outlineLevel="0" collapsed="false">
      <c r="A35" s="0" t="s">
        <v>99</v>
      </c>
      <c r="B35" s="3" t="n">
        <v>3</v>
      </c>
    </row>
    <row r="36" customFormat="false" ht="15" hidden="false" customHeight="false" outlineLevel="0" collapsed="false">
      <c r="A36" s="0" t="s">
        <v>100</v>
      </c>
      <c r="B36" s="3" t="n">
        <v>20</v>
      </c>
    </row>
    <row r="37" customFormat="false" ht="15" hidden="false" customHeight="false" outlineLevel="0" collapsed="false">
      <c r="A37" s="0" t="s">
        <v>101</v>
      </c>
      <c r="B37" s="3" t="n">
        <v>0</v>
      </c>
    </row>
    <row r="38" customFormat="false" ht="15" hidden="false" customHeight="false" outlineLevel="0" collapsed="false">
      <c r="A38" s="0" t="s">
        <v>102</v>
      </c>
      <c r="B38" s="3" t="n">
        <v>0.5</v>
      </c>
    </row>
    <row r="40" customFormat="false" ht="15" hidden="false" customHeight="false" outlineLevel="0" collapsed="false">
      <c r="A40" s="2" t="s">
        <v>104</v>
      </c>
      <c r="C40" s="2" t="s">
        <v>81</v>
      </c>
      <c r="D40" s="2" t="s">
        <v>82</v>
      </c>
      <c r="E40" s="2" t="s">
        <v>83</v>
      </c>
      <c r="F40" s="2" t="s">
        <v>84</v>
      </c>
      <c r="G40" s="2" t="s">
        <v>85</v>
      </c>
      <c r="H40" s="2" t="s">
        <v>86</v>
      </c>
      <c r="I40" s="2" t="s">
        <v>87</v>
      </c>
      <c r="J40" s="2" t="s">
        <v>88</v>
      </c>
      <c r="K40" s="2" t="s">
        <v>89</v>
      </c>
      <c r="L40" s="2" t="s">
        <v>90</v>
      </c>
    </row>
    <row r="41" customFormat="false" ht="15" hidden="false" customHeight="false" outlineLevel="0" collapsed="false">
      <c r="A41" s="0" t="s">
        <v>91</v>
      </c>
      <c r="C41" s="3" t="n">
        <v>14</v>
      </c>
      <c r="D41" s="3" t="n">
        <v>13</v>
      </c>
      <c r="E41" s="3" t="n">
        <v>11.5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6.5</v>
      </c>
      <c r="K41" s="3" t="n">
        <v>6</v>
      </c>
      <c r="L41" s="3" t="n">
        <v>5.5</v>
      </c>
    </row>
    <row r="42" customFormat="false" ht="15" hidden="false" customHeight="false" outlineLevel="0" collapsed="false">
      <c r="A42" s="0" t="s">
        <v>92</v>
      </c>
      <c r="C42" s="3" t="n">
        <v>36</v>
      </c>
      <c r="D42" s="3" t="n">
        <v>38.5</v>
      </c>
      <c r="E42" s="3" t="n">
        <v>40.5</v>
      </c>
      <c r="F42" s="3" t="n">
        <v>42</v>
      </c>
      <c r="G42" s="3" t="n">
        <v>43.5</v>
      </c>
      <c r="H42" s="3" t="n">
        <v>44.5</v>
      </c>
      <c r="I42" s="3" t="n">
        <v>45</v>
      </c>
      <c r="J42" s="3" t="n">
        <v>45.5</v>
      </c>
      <c r="K42" s="3" t="n">
        <v>46</v>
      </c>
      <c r="L42" s="3" t="n">
        <v>46.5</v>
      </c>
    </row>
    <row r="43" customFormat="false" ht="15" hidden="false" customHeight="false" outlineLevel="0" collapsed="false">
      <c r="A43" s="0" t="s">
        <v>93</v>
      </c>
      <c r="C43" s="3" t="n">
        <v>6</v>
      </c>
      <c r="D43" s="3" t="n">
        <v>5.5</v>
      </c>
      <c r="E43" s="3" t="n">
        <v>5</v>
      </c>
      <c r="F43" s="3" t="n">
        <v>4.7</v>
      </c>
      <c r="G43" s="3" t="n">
        <v>4.5</v>
      </c>
      <c r="H43" s="3" t="n">
        <v>4.3</v>
      </c>
      <c r="I43" s="3" t="n">
        <v>4.2</v>
      </c>
      <c r="J43" s="3" t="n">
        <v>4</v>
      </c>
      <c r="K43" s="3" t="n">
        <v>4</v>
      </c>
      <c r="L43" s="3" t="n">
        <v>4</v>
      </c>
    </row>
    <row r="44" customFormat="false" ht="15" hidden="false" customHeight="false" outlineLevel="0" collapsed="false">
      <c r="A44" s="0" t="s">
        <v>94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95</v>
      </c>
      <c r="C45" s="3" t="n">
        <v>4.4</v>
      </c>
      <c r="D45" s="3" t="n">
        <v>4.1</v>
      </c>
      <c r="E45" s="3" t="n">
        <v>3.8</v>
      </c>
      <c r="F45" s="3" t="n">
        <v>3.5</v>
      </c>
      <c r="G45" s="3" t="n">
        <v>3.3</v>
      </c>
      <c r="H45" s="3" t="n">
        <v>3.1</v>
      </c>
      <c r="I45" s="3" t="n">
        <v>2.9</v>
      </c>
      <c r="J45" s="3" t="n">
        <v>2.8</v>
      </c>
      <c r="K45" s="3" t="n">
        <v>2.7</v>
      </c>
      <c r="L45" s="3" t="n">
        <v>2.6</v>
      </c>
    </row>
    <row r="46" customFormat="false" ht="15" hidden="false" customHeight="false" outlineLevel="0" collapsed="false">
      <c r="A46" s="0" t="s">
        <v>96</v>
      </c>
      <c r="C46" s="3" t="n">
        <v>1.5</v>
      </c>
      <c r="D46" s="3" t="n">
        <v>1.5</v>
      </c>
      <c r="E46" s="3" t="n">
        <v>1.5</v>
      </c>
      <c r="F46" s="3" t="n">
        <v>1.5</v>
      </c>
      <c r="G46" s="3" t="n">
        <v>1.5</v>
      </c>
      <c r="H46" s="3" t="n">
        <v>1.5</v>
      </c>
      <c r="I46" s="3" t="n">
        <v>1.5</v>
      </c>
      <c r="J46" s="3" t="n">
        <v>1.5</v>
      </c>
      <c r="K46" s="3" t="n">
        <v>1.5</v>
      </c>
      <c r="L46" s="3" t="n">
        <v>1.5</v>
      </c>
    </row>
    <row r="47" customFormat="false" ht="15" hidden="false" customHeight="false" outlineLevel="0" collapsed="false">
      <c r="A47" s="0" t="s">
        <v>97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98</v>
      </c>
      <c r="B48" s="3" t="n">
        <v>7</v>
      </c>
    </row>
    <row r="49" customFormat="false" ht="15" hidden="false" customHeight="false" outlineLevel="0" collapsed="false">
      <c r="A49" s="0" t="s">
        <v>99</v>
      </c>
      <c r="B49" s="3" t="n">
        <v>3.5</v>
      </c>
    </row>
    <row r="50" customFormat="false" ht="15" hidden="false" customHeight="false" outlineLevel="0" collapsed="false">
      <c r="A50" s="0" t="s">
        <v>100</v>
      </c>
      <c r="B50" s="3" t="n">
        <v>22</v>
      </c>
    </row>
    <row r="51" customFormat="false" ht="15" hidden="false" customHeight="false" outlineLevel="0" collapsed="false">
      <c r="A51" s="0" t="s">
        <v>101</v>
      </c>
      <c r="B51" s="3" t="n">
        <v>0</v>
      </c>
    </row>
    <row r="52" customFormat="false" ht="15" hidden="false" customHeight="false" outlineLevel="0" collapsed="false">
      <c r="A52" s="0" t="s">
        <v>102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105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Assumptions!C13</f>
        <v>4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24216</v>
      </c>
      <c r="C6" s="0" t="n">
        <f aca="false">B6*(1+C5/100)</f>
        <v>25184.64</v>
      </c>
      <c r="D6" s="0" t="n">
        <f aca="false">C6*(1+D5/100)</f>
        <v>25688.3328</v>
      </c>
      <c r="E6" s="0" t="n">
        <f aca="false">D6*(1+E5/100)</f>
        <v>25945.216128</v>
      </c>
      <c r="F6" s="0" t="n">
        <f aca="false">E6*(1+F5/100)</f>
        <v>26334.39436992</v>
      </c>
      <c r="G6" s="0" t="n">
        <f aca="false">F6*(1+G5/100)</f>
        <v>26861.0822573184</v>
      </c>
      <c r="H6" s="0" t="n">
        <f aca="false">G6*(1+H5/100)</f>
        <v>27398.3039024648</v>
      </c>
      <c r="I6" s="0" t="n">
        <f aca="false">H6*(1+I5/100)</f>
        <v>27946.2699805141</v>
      </c>
      <c r="J6" s="0" t="n">
        <f aca="false">I6*(1+J5/100)</f>
        <v>28505.1953801243</v>
      </c>
      <c r="K6" s="0" t="n">
        <f aca="false">J6*(1+K5/100)</f>
        <v>29075.2992877268</v>
      </c>
      <c r="L6" s="0" t="n">
        <f aca="false">K6*(1+L5/100)</f>
        <v>29656.8052734814</v>
      </c>
    </row>
    <row r="7" customFormat="false" ht="15" hidden="false" customHeight="false" outlineLevel="0" collapsed="false">
      <c r="A7" s="0" t="s">
        <v>92</v>
      </c>
      <c r="C7" s="4" t="n">
        <f aca="false">Assumptions!C14</f>
        <v>30</v>
      </c>
      <c r="D7" s="4" t="n">
        <f aca="false">Assumptions!D14</f>
        <v>30</v>
      </c>
      <c r="E7" s="4" t="n">
        <f aca="false">Assumptions!E14</f>
        <v>31</v>
      </c>
      <c r="F7" s="4" t="n">
        <f aca="false">Assumptions!F14</f>
        <v>32</v>
      </c>
      <c r="G7" s="4" t="n">
        <f aca="false">Assumptions!G14</f>
        <v>33</v>
      </c>
      <c r="H7" s="4" t="n">
        <f aca="false">Assumptions!H14</f>
        <v>34</v>
      </c>
      <c r="I7" s="4" t="n">
        <f aca="false">Assumptions!I14</f>
        <v>34.5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7555.392</v>
      </c>
      <c r="D8" s="0" t="n">
        <f aca="false">D6*D7/100</f>
        <v>7706.49984</v>
      </c>
      <c r="E8" s="0" t="n">
        <f aca="false">E6*E7/100</f>
        <v>8043.01699968</v>
      </c>
      <c r="F8" s="0" t="n">
        <f aca="false">F6*F7/100</f>
        <v>8427.0061983744</v>
      </c>
      <c r="G8" s="0" t="n">
        <f aca="false">G6*G7/100</f>
        <v>8864.15714491507</v>
      </c>
      <c r="H8" s="0" t="n">
        <f aca="false">H6*H7/100</f>
        <v>9315.42332683802</v>
      </c>
      <c r="I8" s="0" t="n">
        <f aca="false">I6*I7/100</f>
        <v>9641.46314327735</v>
      </c>
      <c r="J8" s="0" t="n">
        <f aca="false">J6*J7/100</f>
        <v>9976.81838304352</v>
      </c>
      <c r="K8" s="0" t="n">
        <f aca="false">K6*K7/100</f>
        <v>10176.3547507044</v>
      </c>
      <c r="L8" s="0" t="n">
        <f aca="false">L6*L7/100</f>
        <v>10379.8818457185</v>
      </c>
    </row>
    <row r="9" customFormat="false" ht="15" hidden="false" customHeight="false" outlineLevel="0" collapsed="false">
      <c r="A9" s="0" t="s">
        <v>93</v>
      </c>
      <c r="C9" s="4" t="n">
        <f aca="false">Assumptions!C15</f>
        <v>7</v>
      </c>
      <c r="D9" s="4" t="n">
        <f aca="false">Assumptions!D15</f>
        <v>6.5</v>
      </c>
      <c r="E9" s="4" t="n">
        <f aca="false">Assumptions!E15</f>
        <v>6</v>
      </c>
      <c r="F9" s="4" t="n">
        <f aca="false">Assumptions!F15</f>
        <v>5.8</v>
      </c>
      <c r="G9" s="4" t="n">
        <f aca="false">Assumptions!G15</f>
        <v>5.6</v>
      </c>
      <c r="H9" s="4" t="n">
        <f aca="false">Assumptions!H15</f>
        <v>5.5</v>
      </c>
      <c r="I9" s="4" t="n">
        <f aca="false">Assumptions!I15</f>
        <v>5.5</v>
      </c>
      <c r="J9" s="4" t="n">
        <f aca="false">Assumptions!J15</f>
        <v>5.5</v>
      </c>
      <c r="K9" s="4" t="n">
        <f aca="false">Assumptions!K15</f>
        <v>5.5</v>
      </c>
      <c r="L9" s="4" t="n">
        <f aca="false">Assumptions!L15</f>
        <v>5.5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-1762.9248</v>
      </c>
      <c r="D10" s="0" t="n">
        <f aca="false">-D6*D9/100</f>
        <v>-1669.741632</v>
      </c>
      <c r="E10" s="0" t="n">
        <f aca="false">-E6*E9/100</f>
        <v>-1556.71296768</v>
      </c>
      <c r="F10" s="0" t="n">
        <f aca="false">-F6*F9/100</f>
        <v>-1527.39487345536</v>
      </c>
      <c r="G10" s="0" t="n">
        <f aca="false">-G6*G9/100</f>
        <v>-1504.22060640983</v>
      </c>
      <c r="H10" s="0" t="n">
        <f aca="false">-H6*H9/100</f>
        <v>-1506.90671463556</v>
      </c>
      <c r="I10" s="0" t="n">
        <f aca="false">-I6*I9/100</f>
        <v>-1537.04484892827</v>
      </c>
      <c r="J10" s="0" t="n">
        <f aca="false">-J6*J9/100</f>
        <v>-1567.78574590684</v>
      </c>
      <c r="K10" s="0" t="n">
        <f aca="false">-K6*K9/100</f>
        <v>-1599.14146082498</v>
      </c>
      <c r="L10" s="0" t="n">
        <f aca="false">-L6*L9/100</f>
        <v>-1631.12429004148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5792.4672</v>
      </c>
      <c r="D11" s="0" t="n">
        <f aca="false">D8+D10+D24</f>
        <v>6036.758208</v>
      </c>
      <c r="E11" s="0" t="n">
        <f aca="false">E8+E10+E24</f>
        <v>6486.304032</v>
      </c>
      <c r="F11" s="0" t="n">
        <f aca="false">F8+F10+F24</f>
        <v>6899.61132491904</v>
      </c>
      <c r="G11" s="0" t="n">
        <f aca="false">G8+G10+G24</f>
        <v>7359.93653850524</v>
      </c>
      <c r="H11" s="0" t="n">
        <f aca="false">H8+H10+H24</f>
        <v>7808.51661220246</v>
      </c>
      <c r="I11" s="0" t="n">
        <f aca="false">I8+I10+I24</f>
        <v>8104.41829434908</v>
      </c>
      <c r="J11" s="0" t="n">
        <f aca="false">J8+J10+J24</f>
        <v>8409.03263713668</v>
      </c>
      <c r="K11" s="0" t="n">
        <f aca="false">K8+K10+K24</f>
        <v>8577.21328987942</v>
      </c>
      <c r="L11" s="0" t="n">
        <f aca="false">L8+L10+L24</f>
        <v>8748.757555677</v>
      </c>
    </row>
    <row r="12" customFormat="false" ht="15" hidden="false" customHeight="false" outlineLevel="0" collapsed="false">
      <c r="A12" s="0" t="s">
        <v>110</v>
      </c>
      <c r="C12" s="4" t="n">
        <f aca="false">-C6*Assumptions!C17/100</f>
        <v>-1259.232</v>
      </c>
      <c r="D12" s="4" t="n">
        <f aca="false">-D6*Assumptions!D17/100</f>
        <v>-1258.7283072</v>
      </c>
      <c r="E12" s="4" t="n">
        <f aca="false">-E6*Assumptions!E17/100</f>
        <v>-1219.425158016</v>
      </c>
      <c r="F12" s="4" t="n">
        <f aca="false">-F6*Assumptions!F17/100</f>
        <v>-1185.0477466464</v>
      </c>
      <c r="G12" s="4" t="n">
        <f aca="false">-G6*Assumptions!G17/100</f>
        <v>-1155.02653706469</v>
      </c>
      <c r="H12" s="4" t="n">
        <f aca="false">-H6*Assumptions!H17/100</f>
        <v>-1123.33046000106</v>
      </c>
      <c r="I12" s="4" t="n">
        <f aca="false">-I6*Assumptions!I17/100</f>
        <v>-1117.85079922056</v>
      </c>
      <c r="J12" s="4" t="n">
        <f aca="false">-J6*Assumptions!J17/100</f>
        <v>-1111.70261982485</v>
      </c>
      <c r="K12" s="4" t="n">
        <f aca="false">-K6*Assumptions!K17/100</f>
        <v>-1104.86137293362</v>
      </c>
      <c r="L12" s="4" t="n">
        <f aca="false">-L6*Assumptions!L17/100</f>
        <v>-1126.95860039229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4533.2352</v>
      </c>
      <c r="D13" s="0" t="n">
        <f aca="false">D11+D12</f>
        <v>4778.0299008</v>
      </c>
      <c r="E13" s="0" t="n">
        <f aca="false">E11+E12</f>
        <v>5266.878873984</v>
      </c>
      <c r="F13" s="0" t="n">
        <f aca="false">F11+F12</f>
        <v>5714.56357827264</v>
      </c>
      <c r="G13" s="0" t="n">
        <f aca="false">G11+G12</f>
        <v>6204.91000144055</v>
      </c>
      <c r="H13" s="0" t="n">
        <f aca="false">H11+H12</f>
        <v>6685.1861522014</v>
      </c>
      <c r="I13" s="0" t="n">
        <f aca="false">I11+I12</f>
        <v>6986.56749512852</v>
      </c>
      <c r="J13" s="0" t="n">
        <f aca="false">J11+J12</f>
        <v>7297.33001731183</v>
      </c>
      <c r="K13" s="0" t="n">
        <f aca="false">K11+K12</f>
        <v>7472.3519169458</v>
      </c>
      <c r="L13" s="0" t="n">
        <f aca="false">L11+L12</f>
        <v>7621.79895528471</v>
      </c>
    </row>
    <row r="14" customFormat="false" ht="15" hidden="false" customHeight="false" outlineLevel="0" collapsed="false">
      <c r="A14" s="0" t="s">
        <v>97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3354.594048</v>
      </c>
      <c r="D15" s="0" t="n">
        <f aca="false">D13-MAX(0,D13)*D14/100</f>
        <v>3535.742126592</v>
      </c>
      <c r="E15" s="0" t="n">
        <f aca="false">E13-MAX(0,E13)*E14/100</f>
        <v>3897.49036674816</v>
      </c>
      <c r="F15" s="0" t="n">
        <f aca="false">F13-MAX(0,F13)*F14/100</f>
        <v>4228.77704792175</v>
      </c>
      <c r="G15" s="0" t="n">
        <f aca="false">G13-MAX(0,G13)*G14/100</f>
        <v>4591.63340106601</v>
      </c>
      <c r="H15" s="0" t="n">
        <f aca="false">H13-MAX(0,H13)*H14/100</f>
        <v>4947.03775262904</v>
      </c>
      <c r="I15" s="0" t="n">
        <f aca="false">I13-MAX(0,I13)*I14/100</f>
        <v>5170.0599463951</v>
      </c>
      <c r="J15" s="0" t="n">
        <f aca="false">J13-MAX(0,J13)*J14/100</f>
        <v>5400.02421281076</v>
      </c>
      <c r="K15" s="0" t="n">
        <f aca="false">K13-MAX(0,K13)*K14/100</f>
        <v>5529.54041853989</v>
      </c>
      <c r="L15" s="0" t="n">
        <f aca="false">L13-MAX(0,L13)*L14/100</f>
        <v>5640.13122691069</v>
      </c>
    </row>
    <row r="16" customFormat="false" ht="15" hidden="false" customHeight="false" outlineLevel="0" collapsed="false">
      <c r="A16" s="0" t="s">
        <v>113</v>
      </c>
      <c r="C16" s="0" t="n">
        <f aca="false">-C12</f>
        <v>1259.232</v>
      </c>
      <c r="D16" s="0" t="n">
        <f aca="false">-D12</f>
        <v>1258.7283072</v>
      </c>
      <c r="E16" s="0" t="n">
        <f aca="false">-E12</f>
        <v>1219.425158016</v>
      </c>
      <c r="F16" s="0" t="n">
        <f aca="false">-F12</f>
        <v>1185.0477466464</v>
      </c>
      <c r="G16" s="0" t="n">
        <f aca="false">-G12</f>
        <v>1155.02653706469</v>
      </c>
      <c r="H16" s="0" t="n">
        <f aca="false">-H12</f>
        <v>1123.33046000106</v>
      </c>
      <c r="I16" s="0" t="n">
        <f aca="false">-I12</f>
        <v>1117.85079922056</v>
      </c>
      <c r="J16" s="0" t="n">
        <f aca="false">-J12</f>
        <v>1111.70261982485</v>
      </c>
      <c r="K16" s="0" t="n">
        <f aca="false">-K12</f>
        <v>1104.86137293362</v>
      </c>
      <c r="L16" s="0" t="n">
        <f aca="false">-L12</f>
        <v>1126.95860039229</v>
      </c>
    </row>
    <row r="17" customFormat="false" ht="15" hidden="false" customHeight="false" outlineLevel="0" collapsed="false">
      <c r="A17" s="0" t="s">
        <v>114</v>
      </c>
      <c r="C17" s="4" t="n">
        <f aca="false">-C6*Assumptions!C18/100</f>
        <v>-453.32352</v>
      </c>
      <c r="D17" s="4" t="n">
        <f aca="false">-D6*Assumptions!D18/100</f>
        <v>-462.3899904</v>
      </c>
      <c r="E17" s="4" t="n">
        <f aca="false">-E6*Assumptions!E18/100</f>
        <v>-467.013890304</v>
      </c>
      <c r="F17" s="4" t="n">
        <f aca="false">-F6*Assumptions!F18/100</f>
        <v>-474.01909865856</v>
      </c>
      <c r="G17" s="4" t="n">
        <f aca="false">-G6*Assumptions!G18/100</f>
        <v>-483.499480631731</v>
      </c>
      <c r="H17" s="4" t="n">
        <f aca="false">-H6*Assumptions!H18/100</f>
        <v>-493.169470244366</v>
      </c>
      <c r="I17" s="4" t="n">
        <f aca="false">-I6*Assumptions!I18/100</f>
        <v>-503.032859649253</v>
      </c>
      <c r="J17" s="4" t="n">
        <f aca="false">-J6*Assumptions!J18/100</f>
        <v>-513.093516842238</v>
      </c>
      <c r="K17" s="4" t="n">
        <f aca="false">-K6*Assumptions!K18/100</f>
        <v>-523.355387179083</v>
      </c>
      <c r="L17" s="4" t="n">
        <f aca="false">-L6*Assumptions!L18/100</f>
        <v>-533.822494922665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4160.502528</v>
      </c>
      <c r="D19" s="0" t="n">
        <f aca="false">D15+D16+D17+D18</f>
        <v>4332.080443392</v>
      </c>
      <c r="E19" s="0" t="n">
        <f aca="false">E15+E16+E17+E18</f>
        <v>4649.90163446016</v>
      </c>
      <c r="F19" s="0" t="n">
        <f aca="false">F15+F16+F17+F18</f>
        <v>4939.80569590959</v>
      </c>
      <c r="G19" s="0" t="n">
        <f aca="false">G15+G16+G17+G18</f>
        <v>5263.16045749897</v>
      </c>
      <c r="H19" s="0" t="n">
        <f aca="false">H15+H16+H17+H18</f>
        <v>5577.19874238573</v>
      </c>
      <c r="I19" s="0" t="n">
        <f aca="false">I15+I16+I17+I18</f>
        <v>5784.87788596641</v>
      </c>
      <c r="J19" s="0" t="n">
        <f aca="false">J15+J16+J17+J18</f>
        <v>5998.63331579337</v>
      </c>
      <c r="K19" s="0" t="n">
        <f aca="false">K15+K16+K17+K18</f>
        <v>6111.04640429443</v>
      </c>
      <c r="L19" s="0" t="n">
        <f aca="false">L15+L16+L17+L18</f>
        <v>6233.26733238031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3799.54568767123</v>
      </c>
      <c r="D21" s="0" t="n">
        <f aca="false">D19*D20</f>
        <v>3613.00260077313</v>
      </c>
      <c r="E21" s="0" t="n">
        <f aca="false">E19*E20</f>
        <v>3541.61548835305</v>
      </c>
      <c r="F21" s="0" t="n">
        <f aca="false">F19*F20</f>
        <v>3436.00185687877</v>
      </c>
      <c r="G21" s="0" t="n">
        <f aca="false">G19*G20</f>
        <v>3343.30512942088</v>
      </c>
      <c r="H21" s="0" t="n">
        <f aca="false">H19*H20</f>
        <v>3235.42551227271</v>
      </c>
      <c r="I21" s="0" t="n">
        <f aca="false">I19*I20</f>
        <v>3064.75217234262</v>
      </c>
      <c r="J21" s="0" t="n">
        <f aca="false">J19*J20</f>
        <v>2902.28035246173</v>
      </c>
      <c r="K21" s="0" t="n">
        <f aca="false">K19*K20</f>
        <v>2700.15384235168</v>
      </c>
      <c r="L21" s="0" t="n">
        <f aca="false">L19*L20</f>
        <v>2515.21179835499</v>
      </c>
    </row>
    <row r="23" customFormat="false" ht="15" hidden="false" customHeight="false" outlineLevel="0" collapsed="false">
      <c r="A23" s="0" t="s">
        <v>94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99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32151.2944408808</v>
      </c>
    </row>
    <row r="31" customFormat="false" ht="15" hidden="false" customHeight="false" outlineLevel="0" collapsed="false">
      <c r="A31" s="0" t="s">
        <v>122</v>
      </c>
      <c r="B31" s="0" t="n">
        <f aca="false">L19</f>
        <v>6233.26733238031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84772.4357203723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93499.0099857047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84772.4357203723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34206.8804576279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66358.1748985087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65058.1748985087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398.748283228987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-0.632933248125317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10017.9541602242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8951.27236259174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515.012634664521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48907.1744540609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220.68367396466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136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Assumptions!C27</f>
        <v>10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24216</v>
      </c>
      <c r="C6" s="0" t="n">
        <f aca="false">B6*(1+C5/100)</f>
        <v>26637.6</v>
      </c>
      <c r="D6" s="0" t="n">
        <f aca="false">C6*(1+D5/100)</f>
        <v>29034.984</v>
      </c>
      <c r="E6" s="0" t="n">
        <f aca="false">D6*(1+E5/100)</f>
        <v>31357.78272</v>
      </c>
      <c r="F6" s="0" t="n">
        <f aca="false">E6*(1+F5/100)</f>
        <v>33552.8275104</v>
      </c>
      <c r="G6" s="0" t="n">
        <f aca="false">F6*(1+G5/100)</f>
        <v>35733.761298576</v>
      </c>
      <c r="H6" s="0" t="n">
        <f aca="false">G6*(1+H5/100)</f>
        <v>37877.7869764906</v>
      </c>
      <c r="I6" s="0" t="n">
        <f aca="false">H6*(1+I5/100)</f>
        <v>39961.0652601976</v>
      </c>
      <c r="J6" s="0" t="n">
        <f aca="false">I6*(1+J5/100)</f>
        <v>41959.1185232074</v>
      </c>
      <c r="K6" s="0" t="n">
        <f aca="false">J6*(1+K5/100)</f>
        <v>43847.2788567518</v>
      </c>
      <c r="L6" s="0" t="n">
        <f aca="false">K6*(1+L5/100)</f>
        <v>45601.1700110218</v>
      </c>
    </row>
    <row r="7" customFormat="false" ht="15" hidden="false" customHeight="false" outlineLevel="0" collapsed="false">
      <c r="A7" s="0" t="s">
        <v>92</v>
      </c>
      <c r="C7" s="4" t="n">
        <f aca="false">Assumptions!C28</f>
        <v>34</v>
      </c>
      <c r="D7" s="4" t="n">
        <f aca="false">Assumptions!D28</f>
        <v>35.5</v>
      </c>
      <c r="E7" s="4" t="n">
        <f aca="false">Assumptions!E28</f>
        <v>37</v>
      </c>
      <c r="F7" s="4" t="n">
        <f aca="false">Assumptions!F28</f>
        <v>38</v>
      </c>
      <c r="G7" s="4" t="n">
        <f aca="false">Assumptions!G28</f>
        <v>39</v>
      </c>
      <c r="H7" s="4" t="n">
        <f aca="false">Assumptions!H28</f>
        <v>40</v>
      </c>
      <c r="I7" s="4" t="n">
        <f aca="false">Assumptions!I28</f>
        <v>40.5</v>
      </c>
      <c r="J7" s="4" t="n">
        <f aca="false">Assumptions!J28</f>
        <v>41</v>
      </c>
      <c r="K7" s="4" t="n">
        <f aca="false">Assumptions!K28</f>
        <v>41.5</v>
      </c>
      <c r="L7" s="4" t="n">
        <f aca="false">Assumptions!L28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9056.784</v>
      </c>
      <c r="D8" s="0" t="n">
        <f aca="false">D6*D7/100</f>
        <v>10307.41932</v>
      </c>
      <c r="E8" s="0" t="n">
        <f aca="false">E6*E7/100</f>
        <v>11602.3796064</v>
      </c>
      <c r="F8" s="0" t="n">
        <f aca="false">F6*F7/100</f>
        <v>12750.074453952</v>
      </c>
      <c r="G8" s="0" t="n">
        <f aca="false">G6*G7/100</f>
        <v>13936.1669064446</v>
      </c>
      <c r="H8" s="0" t="n">
        <f aca="false">H6*H7/100</f>
        <v>15151.1147905962</v>
      </c>
      <c r="I8" s="0" t="n">
        <f aca="false">I6*I7/100</f>
        <v>16184.23143038</v>
      </c>
      <c r="J8" s="0" t="n">
        <f aca="false">J6*J7/100</f>
        <v>17203.2385945151</v>
      </c>
      <c r="K8" s="0" t="n">
        <f aca="false">K6*K7/100</f>
        <v>18196.620725552</v>
      </c>
      <c r="L8" s="0" t="n">
        <f aca="false">L6*L7/100</f>
        <v>19152.4914046292</v>
      </c>
    </row>
    <row r="9" customFormat="false" ht="15" hidden="false" customHeight="false" outlineLevel="0" collapsed="false">
      <c r="A9" s="0" t="s">
        <v>93</v>
      </c>
      <c r="C9" s="4" t="n">
        <f aca="false">Assumptions!C29</f>
        <v>6.5</v>
      </c>
      <c r="D9" s="4" t="n">
        <f aca="false">Assumptions!D29</f>
        <v>6</v>
      </c>
      <c r="E9" s="4" t="n">
        <f aca="false">Assumptions!E29</f>
        <v>5.5</v>
      </c>
      <c r="F9" s="4" t="n">
        <f aca="false">Assumptions!F29</f>
        <v>5.2</v>
      </c>
      <c r="G9" s="4" t="n">
        <f aca="false">Assumptions!G29</f>
        <v>5</v>
      </c>
      <c r="H9" s="4" t="n">
        <f aca="false">Assumptions!H29</f>
        <v>4.8</v>
      </c>
      <c r="I9" s="4" t="n">
        <f aca="false">Assumptions!I29</f>
        <v>4.6</v>
      </c>
      <c r="J9" s="4" t="n">
        <f aca="false">Assumptions!J29</f>
        <v>4.5</v>
      </c>
      <c r="K9" s="4" t="n">
        <f aca="false">Assumptions!K29</f>
        <v>4.5</v>
      </c>
      <c r="L9" s="4" t="n">
        <f aca="false">Assumptions!L29</f>
        <v>4.5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-1731.444</v>
      </c>
      <c r="D10" s="0" t="n">
        <f aca="false">-D6*D9/100</f>
        <v>-1742.09904</v>
      </c>
      <c r="E10" s="0" t="n">
        <f aca="false">-E6*E9/100</f>
        <v>-1724.6780496</v>
      </c>
      <c r="F10" s="0" t="n">
        <f aca="false">-F6*F9/100</f>
        <v>-1744.7470305408</v>
      </c>
      <c r="G10" s="0" t="n">
        <f aca="false">-G6*G9/100</f>
        <v>-1786.6880649288</v>
      </c>
      <c r="H10" s="0" t="n">
        <f aca="false">-H6*H9/100</f>
        <v>-1818.13377487155</v>
      </c>
      <c r="I10" s="0" t="n">
        <f aca="false">-I6*I9/100</f>
        <v>-1838.20900196909</v>
      </c>
      <c r="J10" s="0" t="n">
        <f aca="false">-J6*J9/100</f>
        <v>-1888.16033354433</v>
      </c>
      <c r="K10" s="0" t="n">
        <f aca="false">-K6*K9/100</f>
        <v>-1973.12754855383</v>
      </c>
      <c r="L10" s="0" t="n">
        <f aca="false">-L6*L9/100</f>
        <v>-2052.05265049598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7325.34</v>
      </c>
      <c r="D11" s="0" t="n">
        <f aca="false">D8+D10+D24</f>
        <v>8565.32028</v>
      </c>
      <c r="E11" s="0" t="n">
        <f aca="false">E8+E10+E24</f>
        <v>9877.7015568</v>
      </c>
      <c r="F11" s="0" t="n">
        <f aca="false">F8+F10+F24</f>
        <v>11005.3274234112</v>
      </c>
      <c r="G11" s="0" t="n">
        <f aca="false">G8+G10+G24</f>
        <v>12149.4788415158</v>
      </c>
      <c r="H11" s="0" t="n">
        <f aca="false">H8+H10+H24</f>
        <v>13332.9810157247</v>
      </c>
      <c r="I11" s="0" t="n">
        <f aca="false">I8+I10+I24</f>
        <v>14346.0224284109</v>
      </c>
      <c r="J11" s="0" t="n">
        <f aca="false">J8+J10+J24</f>
        <v>15315.0782609707</v>
      </c>
      <c r="K11" s="0" t="n">
        <f aca="false">K8+K10+K24</f>
        <v>16223.4931769982</v>
      </c>
      <c r="L11" s="0" t="n">
        <f aca="false">L8+L10+L24</f>
        <v>17100.4387541332</v>
      </c>
    </row>
    <row r="12" customFormat="false" ht="15" hidden="false" customHeight="false" outlineLevel="0" collapsed="false">
      <c r="A12" s="0" t="s">
        <v>110</v>
      </c>
      <c r="C12" s="4" t="n">
        <f aca="false">-C6*Assumptions!C31/100</f>
        <v>-1225.3296</v>
      </c>
      <c r="D12" s="4" t="n">
        <f aca="false">-D6*Assumptions!D31/100</f>
        <v>-1277.539296</v>
      </c>
      <c r="E12" s="4" t="n">
        <f aca="false">-E6*Assumptions!E31/100</f>
        <v>-1317.02687424</v>
      </c>
      <c r="F12" s="4" t="n">
        <f aca="false">-F6*Assumptions!F31/100</f>
        <v>-1342.113100416</v>
      </c>
      <c r="G12" s="4" t="n">
        <f aca="false">-G6*Assumptions!G31/100</f>
        <v>-1357.88292934589</v>
      </c>
      <c r="H12" s="4" t="n">
        <f aca="false">-H6*Assumptions!H31/100</f>
        <v>-1363.60033115366</v>
      </c>
      <c r="I12" s="4" t="n">
        <f aca="false">-I6*Assumptions!I31/100</f>
        <v>-1358.67621884672</v>
      </c>
      <c r="J12" s="4" t="n">
        <f aca="false">-J6*Assumptions!J31/100</f>
        <v>-1342.69179274264</v>
      </c>
      <c r="K12" s="4" t="n">
        <f aca="false">-K6*Assumptions!K31/100</f>
        <v>-1359.2656445593</v>
      </c>
      <c r="L12" s="4" t="n">
        <f aca="false">-L6*Assumptions!L31/100</f>
        <v>-1368.03510033066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6100.0104</v>
      </c>
      <c r="D13" s="0" t="n">
        <f aca="false">D11+D12</f>
        <v>7287.780984</v>
      </c>
      <c r="E13" s="0" t="n">
        <f aca="false">E11+E12</f>
        <v>8560.67468256</v>
      </c>
      <c r="F13" s="0" t="n">
        <f aca="false">F11+F12</f>
        <v>9663.2143229952</v>
      </c>
      <c r="G13" s="0" t="n">
        <f aca="false">G11+G12</f>
        <v>10791.59591217</v>
      </c>
      <c r="H13" s="0" t="n">
        <f aca="false">H11+H12</f>
        <v>11969.380684571</v>
      </c>
      <c r="I13" s="0" t="n">
        <f aca="false">I11+I12</f>
        <v>12987.3462095642</v>
      </c>
      <c r="J13" s="0" t="n">
        <f aca="false">J11+J12</f>
        <v>13972.3864682281</v>
      </c>
      <c r="K13" s="0" t="n">
        <f aca="false">K11+K12</f>
        <v>14864.2275324388</v>
      </c>
      <c r="L13" s="0" t="n">
        <f aca="false">L11+L12</f>
        <v>15732.4036538025</v>
      </c>
    </row>
    <row r="14" customFormat="false" ht="15" hidden="false" customHeight="false" outlineLevel="0" collapsed="false">
      <c r="A14" s="0" t="s">
        <v>97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4636.007904</v>
      </c>
      <c r="D15" s="0" t="n">
        <f aca="false">D13-MAX(0,D13)*D14/100</f>
        <v>5538.71354784</v>
      </c>
      <c r="E15" s="0" t="n">
        <f aca="false">E13-MAX(0,E13)*E14/100</f>
        <v>6506.1127587456</v>
      </c>
      <c r="F15" s="0" t="n">
        <f aca="false">F13-MAX(0,F13)*F14/100</f>
        <v>7344.04288547635</v>
      </c>
      <c r="G15" s="0" t="n">
        <f aca="false">G13-MAX(0,G13)*G14/100</f>
        <v>8201.61289324916</v>
      </c>
      <c r="H15" s="0" t="n">
        <f aca="false">H13-MAX(0,H13)*H14/100</f>
        <v>9096.72932027398</v>
      </c>
      <c r="I15" s="0" t="n">
        <f aca="false">I13-MAX(0,I13)*I14/100</f>
        <v>9870.3831192688</v>
      </c>
      <c r="J15" s="0" t="n">
        <f aca="false">J13-MAX(0,J13)*J14/100</f>
        <v>10619.0137158533</v>
      </c>
      <c r="K15" s="0" t="n">
        <f aca="false">K13-MAX(0,K13)*K14/100</f>
        <v>11296.8129246535</v>
      </c>
      <c r="L15" s="0" t="n">
        <f aca="false">L13-MAX(0,L13)*L14/100</f>
        <v>11956.6267768899</v>
      </c>
    </row>
    <row r="16" customFormat="false" ht="15" hidden="false" customHeight="false" outlineLevel="0" collapsed="false">
      <c r="A16" s="0" t="s">
        <v>113</v>
      </c>
      <c r="C16" s="0" t="n">
        <f aca="false">-C12</f>
        <v>1225.3296</v>
      </c>
      <c r="D16" s="0" t="n">
        <f aca="false">-D12</f>
        <v>1277.539296</v>
      </c>
      <c r="E16" s="0" t="n">
        <f aca="false">-E12</f>
        <v>1317.02687424</v>
      </c>
      <c r="F16" s="0" t="n">
        <f aca="false">-F12</f>
        <v>1342.113100416</v>
      </c>
      <c r="G16" s="0" t="n">
        <f aca="false">-G12</f>
        <v>1357.88292934589</v>
      </c>
      <c r="H16" s="0" t="n">
        <f aca="false">-H12</f>
        <v>1363.60033115366</v>
      </c>
      <c r="I16" s="0" t="n">
        <f aca="false">-I12</f>
        <v>1358.67621884672</v>
      </c>
      <c r="J16" s="0" t="n">
        <f aca="false">-J12</f>
        <v>1342.69179274264</v>
      </c>
      <c r="K16" s="0" t="n">
        <f aca="false">-K12</f>
        <v>1359.2656445593</v>
      </c>
      <c r="L16" s="0" t="n">
        <f aca="false">-L12</f>
        <v>1368.03510033066</v>
      </c>
    </row>
    <row r="17" customFormat="false" ht="15" hidden="false" customHeight="false" outlineLevel="0" collapsed="false">
      <c r="A17" s="0" t="s">
        <v>114</v>
      </c>
      <c r="C17" s="4" t="n">
        <f aca="false">-C6*Assumptions!C32/100</f>
        <v>-426.2016</v>
      </c>
      <c r="D17" s="4" t="n">
        <f aca="false">-D6*Assumptions!D32/100</f>
        <v>-464.559744</v>
      </c>
      <c r="E17" s="4" t="n">
        <f aca="false">-E6*Assumptions!E32/100</f>
        <v>-501.72452352</v>
      </c>
      <c r="F17" s="4" t="n">
        <f aca="false">-F6*Assumptions!F32/100</f>
        <v>-536.8452401664</v>
      </c>
      <c r="G17" s="4" t="n">
        <f aca="false">-G6*Assumptions!G32/100</f>
        <v>-571.740180777216</v>
      </c>
      <c r="H17" s="4" t="n">
        <f aca="false">-H6*Assumptions!H32/100</f>
        <v>-606.044591623849</v>
      </c>
      <c r="I17" s="4" t="n">
        <f aca="false">-I6*Assumptions!I32/100</f>
        <v>-639.377044163161</v>
      </c>
      <c r="J17" s="4" t="n">
        <f aca="false">-J6*Assumptions!J32/100</f>
        <v>-671.345896371319</v>
      </c>
      <c r="K17" s="4" t="n">
        <f aca="false">-K6*Assumptions!K32/100</f>
        <v>-701.556461708028</v>
      </c>
      <c r="L17" s="4" t="n">
        <f aca="false">-L6*Assumptions!L32/100</f>
        <v>-729.61872017635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5435.135904</v>
      </c>
      <c r="D19" s="0" t="n">
        <f aca="false">D15+D16+D17+D18</f>
        <v>6351.69309984</v>
      </c>
      <c r="E19" s="0" t="n">
        <f aca="false">E15+E16+E17+E18</f>
        <v>7321.4151094656</v>
      </c>
      <c r="F19" s="0" t="n">
        <f aca="false">F15+F16+F17+F18</f>
        <v>8149.31074572595</v>
      </c>
      <c r="G19" s="0" t="n">
        <f aca="false">G15+G16+G17+G18</f>
        <v>8987.75564181783</v>
      </c>
      <c r="H19" s="0" t="n">
        <f aca="false">H15+H16+H17+H18</f>
        <v>9854.28505980379</v>
      </c>
      <c r="I19" s="0" t="n">
        <f aca="false">I15+I16+I17+I18</f>
        <v>10589.6822939524</v>
      </c>
      <c r="J19" s="0" t="n">
        <f aca="false">J15+J16+J17+J18</f>
        <v>11290.3596122247</v>
      </c>
      <c r="K19" s="0" t="n">
        <f aca="false">K15+K16+K17+K18</f>
        <v>11954.5221075048</v>
      </c>
      <c r="L19" s="0" t="n">
        <f aca="false">L15+L16+L17+L18</f>
        <v>12595.0431570442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5032.53324444444</v>
      </c>
      <c r="D21" s="0" t="n">
        <f aca="false">D19*D20</f>
        <v>5445.5530691358</v>
      </c>
      <c r="E21" s="0" t="n">
        <f aca="false">E19*E20</f>
        <v>5811.97536378601</v>
      </c>
      <c r="F21" s="0" t="n">
        <f aca="false">F19*F20</f>
        <v>5989.9866778235</v>
      </c>
      <c r="G21" s="0" t="n">
        <f aca="false">G19*G20</f>
        <v>6116.91546886653</v>
      </c>
      <c r="H21" s="0" t="n">
        <f aca="false">H19*H20</f>
        <v>6209.8711393363</v>
      </c>
      <c r="I21" s="0" t="n">
        <f aca="false">I19*I20</f>
        <v>6178.97790739868</v>
      </c>
      <c r="J21" s="0" t="n">
        <f aca="false">J19*J20</f>
        <v>6099.82999332278</v>
      </c>
      <c r="K21" s="0" t="n">
        <f aca="false">K19*K20</f>
        <v>5980.23733682947</v>
      </c>
      <c r="L21" s="0" t="n">
        <f aca="false">L19*L20</f>
        <v>5833.94197248845</v>
      </c>
    </row>
    <row r="23" customFormat="false" ht="15" hidden="false" customHeight="false" outlineLevel="0" collapsed="false">
      <c r="A23" s="0" t="s">
        <v>94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99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100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58699.822173432</v>
      </c>
    </row>
    <row r="31" customFormat="false" ht="15" hidden="false" customHeight="false" outlineLevel="0" collapsed="false">
      <c r="A31" s="0" t="s">
        <v>122</v>
      </c>
      <c r="B31" s="0" t="n">
        <f aca="false">L19</f>
        <v>12595.0431570442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259457.889035111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251900.863140885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251900.863140885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116678.839449769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175378.661623201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174078.661623201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1066.94612287137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-0.0178253694881126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12140.2707941323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19580.2469532831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1261.36445714909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108107.45376463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412.71573886807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137</v>
      </c>
    </row>
    <row r="3" customFormat="false" ht="15" hidden="false" customHeight="false" outlineLevel="0" collapsed="false">
      <c r="A3" s="0" t="s">
        <v>106</v>
      </c>
      <c r="B3" s="0" t="s">
        <v>67</v>
      </c>
      <c r="C3" s="2" t="s">
        <v>81</v>
      </c>
      <c r="D3" s="2" t="s">
        <v>82</v>
      </c>
      <c r="E3" s="2" t="s">
        <v>83</v>
      </c>
      <c r="F3" s="2" t="s">
        <v>84</v>
      </c>
      <c r="G3" s="2" t="s">
        <v>85</v>
      </c>
      <c r="H3" s="2" t="s">
        <v>86</v>
      </c>
      <c r="I3" s="2" t="s">
        <v>87</v>
      </c>
      <c r="J3" s="2" t="s">
        <v>88</v>
      </c>
      <c r="K3" s="2" t="s">
        <v>89</v>
      </c>
      <c r="L3" s="2" t="s">
        <v>90</v>
      </c>
    </row>
    <row r="4" customFormat="false" ht="15" hidden="false" customHeight="false" outlineLevel="0" collapsed="false">
      <c r="A4" s="0" t="s">
        <v>107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91</v>
      </c>
      <c r="C5" s="4" t="n">
        <f aca="false">Assumptions!C41</f>
        <v>14</v>
      </c>
      <c r="D5" s="4" t="n">
        <f aca="false">Assumptions!D41</f>
        <v>13</v>
      </c>
      <c r="E5" s="4" t="n">
        <f aca="false">Assumptions!E41</f>
        <v>11.5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6.5</v>
      </c>
      <c r="K5" s="4" t="n">
        <f aca="false">Assumptions!K41</f>
        <v>6</v>
      </c>
      <c r="L5" s="4" t="n">
        <f aca="false">Assumptions!L41</f>
        <v>5.5</v>
      </c>
    </row>
    <row r="6" customFormat="false" ht="15" hidden="false" customHeight="false" outlineLevel="0" collapsed="false">
      <c r="A6" s="0" t="s">
        <v>37</v>
      </c>
      <c r="B6" s="3" t="n">
        <v>24216</v>
      </c>
      <c r="C6" s="0" t="n">
        <f aca="false">B6*(1+C5/100)</f>
        <v>27606.24</v>
      </c>
      <c r="D6" s="0" t="n">
        <f aca="false">C6*(1+D5/100)</f>
        <v>31195.0512</v>
      </c>
      <c r="E6" s="0" t="n">
        <f aca="false">D6*(1+E5/100)</f>
        <v>34782.482088</v>
      </c>
      <c r="F6" s="0" t="n">
        <f aca="false">E6*(1+F5/100)</f>
        <v>38260.7302968</v>
      </c>
      <c r="G6" s="0" t="n">
        <f aca="false">F6*(1+G5/100)</f>
        <v>41704.196023512</v>
      </c>
      <c r="H6" s="0" t="n">
        <f aca="false">G6*(1+H5/100)</f>
        <v>45040.531705393</v>
      </c>
      <c r="I6" s="0" t="n">
        <f aca="false">H6*(1+I5/100)</f>
        <v>48193.3689247705</v>
      </c>
      <c r="J6" s="0" t="n">
        <f aca="false">I6*(1+J5/100)</f>
        <v>51325.9379048806</v>
      </c>
      <c r="K6" s="0" t="n">
        <f aca="false">J6*(1+K5/100)</f>
        <v>54405.4941791734</v>
      </c>
      <c r="L6" s="0" t="n">
        <f aca="false">K6*(1+L5/100)</f>
        <v>57397.7963590279</v>
      </c>
    </row>
    <row r="7" customFormat="false" ht="15" hidden="false" customHeight="false" outlineLevel="0" collapsed="false">
      <c r="A7" s="0" t="s">
        <v>92</v>
      </c>
      <c r="C7" s="4" t="n">
        <f aca="false">Assumptions!C42</f>
        <v>36</v>
      </c>
      <c r="D7" s="4" t="n">
        <f aca="false">Assumptions!D42</f>
        <v>38.5</v>
      </c>
      <c r="E7" s="4" t="n">
        <f aca="false">Assumptions!E42</f>
        <v>40.5</v>
      </c>
      <c r="F7" s="4" t="n">
        <f aca="false">Assumptions!F42</f>
        <v>42</v>
      </c>
      <c r="G7" s="4" t="n">
        <f aca="false">Assumptions!G42</f>
        <v>43.5</v>
      </c>
      <c r="H7" s="4" t="n">
        <f aca="false">Assumptions!H42</f>
        <v>44.5</v>
      </c>
      <c r="I7" s="4" t="n">
        <f aca="false">Assumptions!I42</f>
        <v>45</v>
      </c>
      <c r="J7" s="4" t="n">
        <f aca="false">Assumptions!J42</f>
        <v>45.5</v>
      </c>
      <c r="K7" s="4" t="n">
        <f aca="false">Assumptions!K42</f>
        <v>46</v>
      </c>
      <c r="L7" s="4" t="n">
        <f aca="false">Assumptions!L42</f>
        <v>46.5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9938.2464</v>
      </c>
      <c r="D8" s="0" t="n">
        <f aca="false">D6*D7/100</f>
        <v>12010.094712</v>
      </c>
      <c r="E8" s="0" t="n">
        <f aca="false">E6*E7/100</f>
        <v>14086.90524564</v>
      </c>
      <c r="F8" s="0" t="n">
        <f aca="false">F6*F7/100</f>
        <v>16069.506724656</v>
      </c>
      <c r="G8" s="0" t="n">
        <f aca="false">G6*G7/100</f>
        <v>18141.3252702277</v>
      </c>
      <c r="H8" s="0" t="n">
        <f aca="false">H6*H7/100</f>
        <v>20043.0366088999</v>
      </c>
      <c r="I8" s="0" t="n">
        <f aca="false">I6*I7/100</f>
        <v>21687.0160161467</v>
      </c>
      <c r="J8" s="0" t="n">
        <f aca="false">J6*J7/100</f>
        <v>23353.3017467207</v>
      </c>
      <c r="K8" s="0" t="n">
        <f aca="false">K6*K7/100</f>
        <v>25026.5273224198</v>
      </c>
      <c r="L8" s="0" t="n">
        <f aca="false">L6*L7/100</f>
        <v>26689.975306948</v>
      </c>
    </row>
    <row r="9" customFormat="false" ht="15" hidden="false" customHeight="false" outlineLevel="0" collapsed="false">
      <c r="A9" s="0" t="s">
        <v>93</v>
      </c>
      <c r="C9" s="4" t="n">
        <f aca="false">Assumptions!C43</f>
        <v>6</v>
      </c>
      <c r="D9" s="4" t="n">
        <f aca="false">Assumptions!D43</f>
        <v>5.5</v>
      </c>
      <c r="E9" s="4" t="n">
        <f aca="false">Assumptions!E43</f>
        <v>5</v>
      </c>
      <c r="F9" s="4" t="n">
        <f aca="false">Assumptions!F43</f>
        <v>4.7</v>
      </c>
      <c r="G9" s="4" t="n">
        <f aca="false">Assumptions!G43</f>
        <v>4.5</v>
      </c>
      <c r="H9" s="4" t="n">
        <f aca="false">Assumptions!H43</f>
        <v>4.3</v>
      </c>
      <c r="I9" s="4" t="n">
        <f aca="false">Assumptions!I43</f>
        <v>4.2</v>
      </c>
      <c r="J9" s="4" t="n">
        <f aca="false">Assumptions!J43</f>
        <v>4</v>
      </c>
      <c r="K9" s="4" t="n">
        <f aca="false">Assumptions!K43</f>
        <v>4</v>
      </c>
      <c r="L9" s="4" t="n">
        <f aca="false">Assumptions!L43</f>
        <v>4</v>
      </c>
    </row>
    <row r="10" customFormat="false" ht="15" hidden="false" customHeight="false" outlineLevel="0" collapsed="false">
      <c r="A10" s="0" t="s">
        <v>108</v>
      </c>
      <c r="C10" s="0" t="n">
        <f aca="false">-C6*C9/100</f>
        <v>-1656.3744</v>
      </c>
      <c r="D10" s="0" t="n">
        <f aca="false">-D6*D9/100</f>
        <v>-1715.727816</v>
      </c>
      <c r="E10" s="0" t="n">
        <f aca="false">-E6*E9/100</f>
        <v>-1739.1241044</v>
      </c>
      <c r="F10" s="0" t="n">
        <f aca="false">-F6*F9/100</f>
        <v>-1798.2543239496</v>
      </c>
      <c r="G10" s="0" t="n">
        <f aca="false">-G6*G9/100</f>
        <v>-1876.68882105804</v>
      </c>
      <c r="H10" s="0" t="n">
        <f aca="false">-H6*H9/100</f>
        <v>-1936.7428633319</v>
      </c>
      <c r="I10" s="0" t="n">
        <f aca="false">-I6*I9/100</f>
        <v>-2024.12149484036</v>
      </c>
      <c r="J10" s="0" t="n">
        <f aca="false">-J6*J9/100</f>
        <v>-2053.03751619522</v>
      </c>
      <c r="K10" s="0" t="n">
        <f aca="false">-K6*K9/100</f>
        <v>-2176.21976716694</v>
      </c>
      <c r="L10" s="0" t="n">
        <f aca="false">-L6*L9/100</f>
        <v>-2295.91185436112</v>
      </c>
    </row>
    <row r="11" customFormat="false" ht="15" hidden="false" customHeight="false" outlineLevel="0" collapsed="false">
      <c r="A11" s="0" t="s">
        <v>109</v>
      </c>
      <c r="C11" s="0" t="n">
        <f aca="false">C8+C10+C24</f>
        <v>8281.872</v>
      </c>
      <c r="D11" s="0" t="n">
        <f aca="false">D8+D10+D24</f>
        <v>10294.366896</v>
      </c>
      <c r="E11" s="0" t="n">
        <f aca="false">E8+E10+E24</f>
        <v>12347.78114124</v>
      </c>
      <c r="F11" s="0" t="n">
        <f aca="false">F8+F10+F24</f>
        <v>14271.2524007064</v>
      </c>
      <c r="G11" s="0" t="n">
        <f aca="false">G8+G10+G24</f>
        <v>16264.6364491697</v>
      </c>
      <c r="H11" s="0" t="n">
        <f aca="false">H8+H10+H24</f>
        <v>18106.293745568</v>
      </c>
      <c r="I11" s="0" t="n">
        <f aca="false">I8+I10+I24</f>
        <v>19662.8945213064</v>
      </c>
      <c r="J11" s="0" t="n">
        <f aca="false">J8+J10+J24</f>
        <v>21300.2642305254</v>
      </c>
      <c r="K11" s="0" t="n">
        <f aca="false">K8+K10+K24</f>
        <v>22850.3075552528</v>
      </c>
      <c r="L11" s="0" t="n">
        <f aca="false">L8+L10+L24</f>
        <v>24394.0634525869</v>
      </c>
    </row>
    <row r="12" customFormat="false" ht="15" hidden="false" customHeight="false" outlineLevel="0" collapsed="false">
      <c r="A12" s="0" t="s">
        <v>110</v>
      </c>
      <c r="C12" s="4" t="n">
        <f aca="false">-C6*Assumptions!C45/100</f>
        <v>-1214.67456</v>
      </c>
      <c r="D12" s="4" t="n">
        <f aca="false">-D6*Assumptions!D45/100</f>
        <v>-1278.9970992</v>
      </c>
      <c r="E12" s="4" t="n">
        <f aca="false">-E6*Assumptions!E45/100</f>
        <v>-1321.734319344</v>
      </c>
      <c r="F12" s="4" t="n">
        <f aca="false">-F6*Assumptions!F45/100</f>
        <v>-1339.125560388</v>
      </c>
      <c r="G12" s="4" t="n">
        <f aca="false">-G6*Assumptions!G45/100</f>
        <v>-1376.2384687759</v>
      </c>
      <c r="H12" s="4" t="n">
        <f aca="false">-H6*Assumptions!H45/100</f>
        <v>-1396.25648286718</v>
      </c>
      <c r="I12" s="4" t="n">
        <f aca="false">-I6*Assumptions!I45/100</f>
        <v>-1397.60769881834</v>
      </c>
      <c r="J12" s="4" t="n">
        <f aca="false">-J6*Assumptions!J45/100</f>
        <v>-1437.12626133666</v>
      </c>
      <c r="K12" s="4" t="n">
        <f aca="false">-K6*Assumptions!K45/100</f>
        <v>-1468.94834283768</v>
      </c>
      <c r="L12" s="4" t="n">
        <f aca="false">-L6*Assumptions!L45/100</f>
        <v>-1492.34270533473</v>
      </c>
    </row>
    <row r="13" customFormat="false" ht="15" hidden="false" customHeight="false" outlineLevel="0" collapsed="false">
      <c r="A13" s="0" t="s">
        <v>111</v>
      </c>
      <c r="C13" s="0" t="n">
        <f aca="false">C11+C12</f>
        <v>7067.19744</v>
      </c>
      <c r="D13" s="0" t="n">
        <f aca="false">D11+D12</f>
        <v>9015.3697968</v>
      </c>
      <c r="E13" s="0" t="n">
        <f aca="false">E11+E12</f>
        <v>11026.046821896</v>
      </c>
      <c r="F13" s="0" t="n">
        <f aca="false">F11+F12</f>
        <v>12932.1268403184</v>
      </c>
      <c r="G13" s="0" t="n">
        <f aca="false">G11+G12</f>
        <v>14888.3979803938</v>
      </c>
      <c r="H13" s="0" t="n">
        <f aca="false">H11+H12</f>
        <v>16710.0372627008</v>
      </c>
      <c r="I13" s="0" t="n">
        <f aca="false">I11+I12</f>
        <v>18265.286822488</v>
      </c>
      <c r="J13" s="0" t="n">
        <f aca="false">J11+J12</f>
        <v>19863.1379691888</v>
      </c>
      <c r="K13" s="0" t="n">
        <f aca="false">K11+K12</f>
        <v>21381.3592124152</v>
      </c>
      <c r="L13" s="0" t="n">
        <f aca="false">L11+L12</f>
        <v>22901.7207472521</v>
      </c>
    </row>
    <row r="14" customFormat="false" ht="15" hidden="false" customHeight="false" outlineLevel="0" collapsed="false">
      <c r="A14" s="0" t="s">
        <v>97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112</v>
      </c>
      <c r="C15" s="0" t="n">
        <f aca="false">C13-MAX(0,C13)*C14/100</f>
        <v>5441.7420288</v>
      </c>
      <c r="D15" s="0" t="n">
        <f aca="false">D13-MAX(0,D13)*D14/100</f>
        <v>6941.834743536</v>
      </c>
      <c r="E15" s="0" t="n">
        <f aca="false">E13-MAX(0,E13)*E14/100</f>
        <v>8490.05605285992</v>
      </c>
      <c r="F15" s="0" t="n">
        <f aca="false">F13-MAX(0,F13)*F14/100</f>
        <v>9957.73766704517</v>
      </c>
      <c r="G15" s="0" t="n">
        <f aca="false">G13-MAX(0,G13)*G14/100</f>
        <v>11464.0664449032</v>
      </c>
      <c r="H15" s="0" t="n">
        <f aca="false">H13-MAX(0,H13)*H14/100</f>
        <v>12866.7286922796</v>
      </c>
      <c r="I15" s="0" t="n">
        <f aca="false">I13-MAX(0,I13)*I14/100</f>
        <v>14064.2708533158</v>
      </c>
      <c r="J15" s="0" t="n">
        <f aca="false">J13-MAX(0,J13)*J14/100</f>
        <v>15294.6162362754</v>
      </c>
      <c r="K15" s="0" t="n">
        <f aca="false">K13-MAX(0,K13)*K14/100</f>
        <v>16463.6465935597</v>
      </c>
      <c r="L15" s="0" t="n">
        <f aca="false">L13-MAX(0,L13)*L14/100</f>
        <v>17634.3249753842</v>
      </c>
    </row>
    <row r="16" customFormat="false" ht="15" hidden="false" customHeight="false" outlineLevel="0" collapsed="false">
      <c r="A16" s="0" t="s">
        <v>113</v>
      </c>
      <c r="C16" s="0" t="n">
        <f aca="false">-C12</f>
        <v>1214.67456</v>
      </c>
      <c r="D16" s="0" t="n">
        <f aca="false">-D12</f>
        <v>1278.9970992</v>
      </c>
      <c r="E16" s="0" t="n">
        <f aca="false">-E12</f>
        <v>1321.734319344</v>
      </c>
      <c r="F16" s="0" t="n">
        <f aca="false">-F12</f>
        <v>1339.125560388</v>
      </c>
      <c r="G16" s="0" t="n">
        <f aca="false">-G12</f>
        <v>1376.2384687759</v>
      </c>
      <c r="H16" s="0" t="n">
        <f aca="false">-H12</f>
        <v>1396.25648286718</v>
      </c>
      <c r="I16" s="0" t="n">
        <f aca="false">-I12</f>
        <v>1397.60769881834</v>
      </c>
      <c r="J16" s="0" t="n">
        <f aca="false">-J12</f>
        <v>1437.12626133666</v>
      </c>
      <c r="K16" s="0" t="n">
        <f aca="false">-K12</f>
        <v>1468.94834283768</v>
      </c>
      <c r="L16" s="0" t="n">
        <f aca="false">-L12</f>
        <v>1492.34270533473</v>
      </c>
    </row>
    <row r="17" customFormat="false" ht="15" hidden="false" customHeight="false" outlineLevel="0" collapsed="false">
      <c r="A17" s="0" t="s">
        <v>114</v>
      </c>
      <c r="C17" s="4" t="n">
        <f aca="false">-C6*Assumptions!C46/100</f>
        <v>-414.0936</v>
      </c>
      <c r="D17" s="4" t="n">
        <f aca="false">-D6*Assumptions!D46/100</f>
        <v>-467.925768</v>
      </c>
      <c r="E17" s="4" t="n">
        <f aca="false">-E6*Assumptions!E46/100</f>
        <v>-521.73723132</v>
      </c>
      <c r="F17" s="4" t="n">
        <f aca="false">-F6*Assumptions!F46/100</f>
        <v>-573.910954452</v>
      </c>
      <c r="G17" s="4" t="n">
        <f aca="false">-G6*Assumptions!G46/100</f>
        <v>-625.56294035268</v>
      </c>
      <c r="H17" s="4" t="n">
        <f aca="false">-H6*Assumptions!H46/100</f>
        <v>-675.607975580895</v>
      </c>
      <c r="I17" s="4" t="n">
        <f aca="false">-I6*Assumptions!I46/100</f>
        <v>-722.900533871557</v>
      </c>
      <c r="J17" s="4" t="n">
        <f aca="false">-J6*Assumptions!J46/100</f>
        <v>-769.889068573209</v>
      </c>
      <c r="K17" s="4" t="n">
        <f aca="false">-K6*Assumptions!K46/100</f>
        <v>-816.082412687601</v>
      </c>
      <c r="L17" s="4" t="n">
        <f aca="false">-L6*Assumptions!L46/100</f>
        <v>-860.966945385419</v>
      </c>
    </row>
    <row r="18" customFormat="false" ht="15" hidden="false" customHeight="false" outlineLevel="0" collapsed="false">
      <c r="A18" s="0" t="s">
        <v>115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116</v>
      </c>
      <c r="C19" s="0" t="n">
        <f aca="false">C15+C16+C17+C18</f>
        <v>6242.3229888</v>
      </c>
      <c r="D19" s="0" t="n">
        <f aca="false">D15+D16+D17+D18</f>
        <v>7752.906074736</v>
      </c>
      <c r="E19" s="0" t="n">
        <f aca="false">E15+E16+E17+E18</f>
        <v>9290.05314088392</v>
      </c>
      <c r="F19" s="0" t="n">
        <f aca="false">F15+F16+F17+F18</f>
        <v>10722.9522729812</v>
      </c>
      <c r="G19" s="0" t="n">
        <f aca="false">G15+G16+G17+G18</f>
        <v>12214.7419733264</v>
      </c>
      <c r="H19" s="0" t="n">
        <f aca="false">H15+H16+H17+H18</f>
        <v>13587.3771995659</v>
      </c>
      <c r="I19" s="0" t="n">
        <f aca="false">I15+I16+I17+I18</f>
        <v>14738.9780182626</v>
      </c>
      <c r="J19" s="0" t="n">
        <f aca="false">J15+J16+J17+J18</f>
        <v>15961.8534290388</v>
      </c>
      <c r="K19" s="0" t="n">
        <f aca="false">K15+K16+K17+K18</f>
        <v>17116.5125237097</v>
      </c>
      <c r="L19" s="0" t="n">
        <f aca="false">L15+L16+L17+L18</f>
        <v>18265.7007353335</v>
      </c>
    </row>
    <row r="20" customFormat="false" ht="15" hidden="false" customHeight="false" outlineLevel="0" collapsed="false">
      <c r="A20" s="0" t="s">
        <v>117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118</v>
      </c>
      <c r="C21" s="0" t="n">
        <f aca="false">C19*C20</f>
        <v>5833.94671850467</v>
      </c>
      <c r="D21" s="0" t="n">
        <f aca="false">D19*D20</f>
        <v>6771.68842233907</v>
      </c>
      <c r="E21" s="0" t="n">
        <f aca="false">E19*E20</f>
        <v>7583.45065510673</v>
      </c>
      <c r="F21" s="0" t="n">
        <f aca="false">F19*F20</f>
        <v>8180.48894807146</v>
      </c>
      <c r="G21" s="0" t="n">
        <f aca="false">G19*G20</f>
        <v>8708.94221294082</v>
      </c>
      <c r="H21" s="0" t="n">
        <f aca="false">H19*H20</f>
        <v>9053.84313899252</v>
      </c>
      <c r="I21" s="0" t="n">
        <f aca="false">I19*I20</f>
        <v>9178.69475651567</v>
      </c>
      <c r="J21" s="0" t="n">
        <f aca="false">J19*J20</f>
        <v>9289.94402143326</v>
      </c>
      <c r="K21" s="0" t="n">
        <f aca="false">K19*K20</f>
        <v>9310.24871700988</v>
      </c>
      <c r="L21" s="0" t="n">
        <f aca="false">L19*L20</f>
        <v>9285.35603915136</v>
      </c>
    </row>
    <row r="23" customFormat="false" ht="15" hidden="false" customHeight="false" outlineLevel="0" collapsed="false">
      <c r="A23" s="0" t="s">
        <v>94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119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120</v>
      </c>
    </row>
    <row r="27" customFormat="false" ht="15" hidden="false" customHeight="false" outlineLevel="0" collapsed="false">
      <c r="A27" s="0" t="s">
        <v>98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99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100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121</v>
      </c>
      <c r="B30" s="0" t="n">
        <f aca="false">SUM(C21:L21)</f>
        <v>83196.6036300654</v>
      </c>
    </row>
    <row r="31" customFormat="false" ht="15" hidden="false" customHeight="false" outlineLevel="0" collapsed="false">
      <c r="A31" s="0" t="s">
        <v>122</v>
      </c>
      <c r="B31" s="0" t="n">
        <f aca="false">L19</f>
        <v>18265.7007353335</v>
      </c>
    </row>
    <row r="32" customFormat="false" ht="15" hidden="false" customHeight="false" outlineLevel="0" collapsed="false">
      <c r="A32" s="0" t="s">
        <v>123</v>
      </c>
      <c r="B32" s="0" t="n">
        <f aca="false">IF(B27&gt;B28,B31*(1+B28/100)/((B27-B28)/100),B31*B29)</f>
        <v>540142.864602004</v>
      </c>
    </row>
    <row r="33" customFormat="false" ht="15" hidden="false" customHeight="false" outlineLevel="0" collapsed="false">
      <c r="A33" s="0" t="s">
        <v>124</v>
      </c>
      <c r="B33" s="0" t="n">
        <f aca="false">B31*B29</f>
        <v>401845.416177336</v>
      </c>
    </row>
    <row r="34" customFormat="false" ht="15" hidden="false" customHeight="false" outlineLevel="0" collapsed="false">
      <c r="A34" s="0" t="s">
        <v>125</v>
      </c>
      <c r="B34" s="0" t="n">
        <f aca="false">MAX(0,MIN(B32,B33))</f>
        <v>401845.416177336</v>
      </c>
    </row>
    <row r="35" customFormat="false" ht="15" hidden="false" customHeight="false" outlineLevel="0" collapsed="false">
      <c r="A35" s="0" t="s">
        <v>126</v>
      </c>
      <c r="B35" s="0" t="n">
        <f aca="false">B34/(1+B27/100)^L4</f>
        <v>204277.83286133</v>
      </c>
    </row>
    <row r="36" customFormat="false" ht="15" hidden="false" customHeight="false" outlineLevel="0" collapsed="false">
      <c r="A36" s="0" t="s">
        <v>127</v>
      </c>
      <c r="B36" s="0" t="n">
        <f aca="false">B30+B35</f>
        <v>287474.436491395</v>
      </c>
    </row>
    <row r="37" customFormat="false" ht="15" hidden="false" customHeight="false" outlineLevel="0" collapsed="false">
      <c r="A37" s="0" t="s">
        <v>128</v>
      </c>
      <c r="B37" s="0" t="n">
        <f aca="false">B36+Assumptions!$B$5-Assumptions!$B$4</f>
        <v>286174.436491395</v>
      </c>
    </row>
    <row r="38" customFormat="false" ht="15" hidden="false" customHeight="false" outlineLevel="0" collapsed="false">
      <c r="A38" s="0" t="s">
        <v>129</v>
      </c>
      <c r="B38" s="0" t="n">
        <f aca="false">B37/Assumptions!$B$3*Assumptions!$B$10</f>
        <v>1753.99272163693</v>
      </c>
    </row>
    <row r="39" customFormat="false" ht="15" hidden="false" customHeight="false" outlineLevel="0" collapsed="false">
      <c r="A39" s="0" t="s">
        <v>130</v>
      </c>
      <c r="B39" s="4" t="n">
        <f aca="false">B38/Assumptions!$B$2-1</f>
        <v>0.614633688023614</v>
      </c>
    </row>
    <row r="41" customFormat="false" ht="15" hidden="false" customHeight="false" outlineLevel="0" collapsed="false">
      <c r="A41" s="0" t="s">
        <v>131</v>
      </c>
      <c r="B41" s="0" t="n">
        <f aca="false">SUMPRODUCT(-C10:L10/(1+$B$27/100)^C4:L4)</f>
        <v>13272.9584400925</v>
      </c>
    </row>
    <row r="42" customFormat="false" ht="15" hidden="false" customHeight="false" outlineLevel="0" collapsed="false">
      <c r="A42" s="0" t="s">
        <v>132</v>
      </c>
      <c r="B42" s="0" t="n">
        <f aca="false">IF(B27&gt;B28,-L10*(1+B28/100)/((B27-B28)/100),-L10*20)/(1+B27/100)^L4</f>
        <v>34513.5584793448</v>
      </c>
    </row>
    <row r="43" customFormat="false" ht="15" hidden="false" customHeight="false" outlineLevel="0" collapsed="false">
      <c r="A43" s="0" t="s">
        <v>133</v>
      </c>
      <c r="B43" s="0" t="n">
        <f aca="false">(B37+B41+B42)/Assumptions!$B$3*Assumptions!$B$10</f>
        <v>2046.88122662257</v>
      </c>
    </row>
    <row r="45" customFormat="false" ht="15" hidden="false" customHeight="false" outlineLevel="0" collapsed="false">
      <c r="A45" s="0" t="s">
        <v>74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134</v>
      </c>
      <c r="B46" s="0" t="n">
        <f aca="false">MAX(0,MIN(IF(B45&gt;B28,B31*(1+B28/100)/((B45-B28)/100),B31*B29),B31*B29))</f>
        <v>164391.306618001</v>
      </c>
    </row>
    <row r="47" customFormat="false" ht="15" hidden="false" customHeight="false" outlineLevel="0" collapsed="false">
      <c r="A47" s="0" t="s">
        <v>135</v>
      </c>
      <c r="B47" s="0" t="n">
        <f aca="false">(SUMPRODUCT(C19:L19/(1+B45/100)^C4:L4)+B46/(1+B45/100)^L4+Assumptions!$B$5-Assumptions!$B$4)/Assumptions!$B$3*Assumptions!$B$10</f>
        <v>581.965914377813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2" t="s">
        <v>130</v>
      </c>
      <c r="D3" s="2" t="s">
        <v>141</v>
      </c>
      <c r="E3" s="2" t="s">
        <v>133</v>
      </c>
      <c r="F3" s="2" t="s">
        <v>142</v>
      </c>
    </row>
    <row r="4" customFormat="false" ht="15" hidden="false" customHeight="false" outlineLevel="0" collapsed="false">
      <c r="A4" s="0" t="s">
        <v>143</v>
      </c>
      <c r="B4" s="4" t="n">
        <f aca="false">DCF_Bear!$B$38</f>
        <v>398.748283228987</v>
      </c>
      <c r="C4" s="0" t="n">
        <f aca="false">B4/Assumptions!$B$2-1</f>
        <v>-0.632933248125317</v>
      </c>
      <c r="D4" s="4" t="n">
        <f aca="false">Assumptions!$B$24</f>
        <v>0.2</v>
      </c>
      <c r="E4" s="4" t="n">
        <f aca="false">DCF_Bear!$B$43</f>
        <v>515.012634664521</v>
      </c>
      <c r="F4" s="4" t="n">
        <f aca="false">DCF_Bear!$B$47</f>
        <v>220.68367396466</v>
      </c>
    </row>
    <row r="5" customFormat="false" ht="15" hidden="false" customHeight="false" outlineLevel="0" collapsed="false">
      <c r="A5" s="0" t="s">
        <v>144</v>
      </c>
      <c r="B5" s="4" t="n">
        <f aca="false">DCF_Base!$B$38</f>
        <v>1066.94612287137</v>
      </c>
      <c r="C5" s="0" t="n">
        <f aca="false">B5/Assumptions!$B$2-1</f>
        <v>-0.0178253694881126</v>
      </c>
      <c r="D5" s="4" t="n">
        <f aca="false">Assumptions!$B$38</f>
        <v>0.5</v>
      </c>
      <c r="E5" s="4" t="n">
        <f aca="false">DCF_Base!$B$43</f>
        <v>1261.36445714909</v>
      </c>
      <c r="F5" s="4" t="n">
        <f aca="false">DCF_Base!$B$47</f>
        <v>412.71573886807</v>
      </c>
    </row>
    <row r="6" customFormat="false" ht="15" hidden="false" customHeight="false" outlineLevel="0" collapsed="false">
      <c r="A6" s="0" t="s">
        <v>145</v>
      </c>
      <c r="B6" s="4" t="n">
        <f aca="false">DCF_Bull!$B$38</f>
        <v>1753.99272163693</v>
      </c>
      <c r="C6" s="0" t="n">
        <f aca="false">B6/Assumptions!$B$2-1</f>
        <v>0.614633688023614</v>
      </c>
      <c r="D6" s="4" t="n">
        <f aca="false">Assumptions!$B$52</f>
        <v>0.3</v>
      </c>
      <c r="E6" s="4" t="n">
        <f aca="false">DCF_Bull!$B$43</f>
        <v>2046.88122662257</v>
      </c>
      <c r="F6" s="4" t="n">
        <f aca="false">DCF_Bull!$B$47</f>
        <v>581.965914377813</v>
      </c>
    </row>
    <row r="8" customFormat="false" ht="15" hidden="false" customHeight="false" outlineLevel="0" collapsed="false">
      <c r="A8" s="0" t="s">
        <v>146</v>
      </c>
      <c r="B8" s="0" t="n">
        <f aca="false">SUMPRODUCT(B4:B6,D4:D6)</f>
        <v>1139.42053457256</v>
      </c>
    </row>
    <row r="9" customFormat="false" ht="15" hidden="false" customHeight="false" outlineLevel="0" collapsed="false">
      <c r="A9" s="0" t="s">
        <v>147</v>
      </c>
      <c r="B9" s="0" t="n">
        <f aca="false">SUMPRODUCT(E4:E6,D4:D6)</f>
        <v>1347.74912349422</v>
      </c>
    </row>
    <row r="10" customFormat="false" ht="15" hidden="false" customHeight="false" outlineLevel="0" collapsed="false">
      <c r="A10" s="0" t="s">
        <v>148</v>
      </c>
      <c r="B10" s="0" t="n">
        <f aca="false">1-Assumptions!$B$2/B8</f>
        <v>0.0466118811808889</v>
      </c>
    </row>
    <row r="11" customFormat="false" ht="15" hidden="false" customHeight="false" outlineLevel="0" collapsed="false">
      <c r="A11" s="0" t="s">
        <v>149</v>
      </c>
      <c r="B11" s="0" t="n">
        <f aca="false">IF(ABS(B9-B8)&gt;0.01*ABS(B8),(Assumptions!$B$2-B8)/(B9-B8)*100,"n/a")</f>
        <v>-25.4936371659164</v>
      </c>
    </row>
    <row r="12" customFormat="false" ht="15" hidden="false" customHeight="false" outlineLevel="0" collapsed="false">
      <c r="A12" s="0" t="s">
        <v>150</v>
      </c>
      <c r="B12" s="0" t="n">
        <f aca="false">SUMPRODUCT(F4:F6,D4:D6)</f>
        <v>425.084378540311</v>
      </c>
    </row>
    <row r="14" customFormat="false" ht="15" hidden="false" customHeight="false" outlineLevel="0" collapsed="false">
      <c r="A14" s="2" t="s">
        <v>151</v>
      </c>
      <c r="C14" s="0" t="s">
        <v>152</v>
      </c>
    </row>
    <row r="15" customFormat="false" ht="15" hidden="false" customHeight="false" outlineLevel="0" collapsed="false">
      <c r="A15" s="0" t="s">
        <v>153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1066.94612287137</v>
      </c>
      <c r="C15" s="3" t="n">
        <v>8</v>
      </c>
    </row>
    <row r="16" customFormat="false" ht="15" hidden="false" customHeight="false" outlineLevel="0" collapsed="false">
      <c r="A16" s="0" t="s">
        <v>154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893.571069983516</v>
      </c>
      <c r="C16" s="3" t="n">
        <v>9</v>
      </c>
    </row>
    <row r="17" customFormat="false" ht="15" hidden="false" customHeight="false" outlineLevel="0" collapsed="false">
      <c r="A17" s="0" t="s">
        <v>155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754.976588743723</v>
      </c>
      <c r="C17" s="3" t="n">
        <v>10</v>
      </c>
    </row>
    <row r="18" customFormat="false" ht="15" hidden="false" customHeight="false" outlineLevel="0" collapsed="false">
      <c r="A18" s="0" t="s">
        <v>156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651.493646260983</v>
      </c>
      <c r="C18" s="3" t="n">
        <v>11</v>
      </c>
    </row>
    <row r="19" customFormat="false" ht="15" hidden="false" customHeight="false" outlineLevel="0" collapsed="false">
      <c r="A19" s="0" t="s">
        <v>157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571.389771441222</v>
      </c>
      <c r="C19" s="3" t="n">
        <v>12</v>
      </c>
    </row>
    <row r="20" customFormat="false" ht="15" hidden="false" customHeight="false" outlineLevel="0" collapsed="false">
      <c r="A20" s="0" t="s">
        <v>158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412.71573886807</v>
      </c>
      <c r="C20" s="3" t="n">
        <v>15</v>
      </c>
    </row>
    <row r="22" customFormat="false" ht="15" hidden="false" customHeight="false" outlineLevel="0" collapsed="false">
      <c r="A22" s="2" t="s">
        <v>159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1254.26705934067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1254.26705934067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1254.26705934067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1254.26705934067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1254.26705934067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1156.07128906835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1156.07128906835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1156.07128906835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1156.07128906835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1156.07128906835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959.675621526243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1018.18680407813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1066.94612287137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1066.94612287137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1066.94612287137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808.944090812692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848.002696583841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893.571069983516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947.424602183131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985.961992197534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696.514487986942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723.79680167344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754.976588743723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790.953266132511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832.926056419432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2026-09-25T23:40:48Z</dcterms:created>
  <dc:creator>openpyxl</dc:creator>
  <dc:description/>
  <dc:language>en-NZ</dc:language>
  <cp:lastModifiedBy/>
  <dcterms:modified xsi:type="dcterms:W3CDTF">2026-09-25T23:40:48Z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