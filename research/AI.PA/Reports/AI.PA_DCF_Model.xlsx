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<sst xmlns="http://schemas.openxmlformats.org/spreadsheetml/2006/main" count="374" uniqueCount="175">
  <si>
    <t xml:space="preserve">Ticker</t>
  </si>
  <si>
    <t xml:space="preserve">AI.PA</t>
  </si>
  <si>
    <t xml:space="preserve">Company</t>
  </si>
  <si>
    <t xml:space="preserve">L'Air Liquide S.A.</t>
  </si>
  <si>
    <t xml:space="preserve">Valuation date</t>
  </si>
  <si>
    <t xml:space="preserve">2026-10-25</t>
  </si>
  <si>
    <t xml:space="preserve">Current price</t>
  </si>
  <si>
    <t xml:space="preserve">Price as of</t>
  </si>
  <si>
    <t xml:space="preserve">2026-10-23T15:35:11Z regular close (Euronext Paris); valuation on Sunday 2026-10-25 so this is the latest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</si>
  <si>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</si>
  <si>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</si>
  <si>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</si>
  <si>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</si>
  <si>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</si>
  <si>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EUR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</si>
  <si>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</si>
  <si>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</si>
  <si>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</si>
  <si>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</si>
  <si>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</si>
  <si>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</si>
  <si>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2026-10-25T07:34:09Z</t>
  </si>
  <si>
    <t xml:space="preserve">Drivers file</t>
  </si>
  <si>
    <t xml:space="preserve">AI.PA_Drivers.json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</si>
  <si>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</si>
  <si>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</si>
  <si>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</si>
  <si>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Air Liquide is a high-quality, long-duration cash compounder - 15-20 year take-or-pay contracts, an oligopoly, cost pass-through - but FCF has been flat for five years because capex absorbs all of the EBITDA growth, and the market prices it as a bond proxy at ~29x earnings and ~15x EV/EBITDA. The house model values the owner FCF the business actually produces, charges SBC, leases and minorities once each, discounts at a EUR-built 7% and caps the terminal multiple at 20x. On that basis even the bull case is below the current price: the market is paying for both full delivery of the BEYOND margin plan and a discount rate well below 7%. The required-return table is the key output - it shows what IRR today's price implies.
key_risks_to_valuation: Terminal multiple: the 20x cap binds in all scenarios; the market's ~15x EV/EBITDA on this asset implies closer to 30x FCF. Removing the cap at 7%/2.5% lifts value ~10%; granting the market's multiple roughly doubles it.; Discount rate: a 1pt change in WACC moves the base value by ~20%; a 5.5-6% rate reconciles the model to the price.; Margin delivery vs. Linde: each 100bps of EBITDA margin is worth ~EUR 7-8/share at maturity; the bear-bull spread is almost entirely margin.; Capex intensity: the model assumes intensity falls from 14% to 12%; if the energy-transition backlog keeps it at 14%, base-case FCF is ~15% lower.; Energy pass-through and FX distort published revenue and margins year to year; the drivers are set on an ex-energy basis and a given year can miss by 2-3pts on either metric without the thesis changing.; Net debt anchor is the post-dividend, post-DIG June 2026 figure; the December 2026 balance sheet will likely show EUR 1-1.5bn less net debt (worth ~EUR 2/share).</t>
  </si>
  <si>
    <t xml:space="preserve">Data sources</t>
  </si>
  <si>
    <t xml:space="preserve">price: Yahoo Finance chart API at inputs.price_as_of; 52-week range 140.78-182.26
financials: AI.PA_Metrics.csv (core_metrics, EUR millions, FY2014-FY2025 + H1 FY2011-H1 FY2026); FY2025 Universal Registration Document and H1 2026 half-year financial report for net debt, share count, NCI, leases, SBC and guidance
qualitative: AI.PA_Analysis.json (2026-10-25), incl. the 5 Oct 2026 Capital Markets Day BEYOND plan and Elliott Management's stake</t>
  </si>
  <si>
    <t xml:space="preserve">Scenario narrative: bear</t>
  </si>
  <si>
    <t xml:space="preserve">The Linde gap is structural. Margin improvement stalls at +150bps, European industrial demand and helium remain headwinds, hydrogen projects are rescoped, capex intensity stays high and the balance sheet (45% D/E plus a EUR 4bn buyback) absorbs the shortfall. Growth 2-2.5% published.</t>
  </si>
  <si>
    <t xml:space="preserve">Scenario narrative: base</t>
  </si>
  <si>
    <t xml:space="preserve">Air Liquide keeps doing what it has done since 2022: roughly +60bps of EBITDA margin a year from pricing, portfolio pruning and efficiency, reaching ~33% by FY2030 (about +300bps of operating margin against the +400-600bps BEYOND ambition), with ~4% organic revenue growth from Electronics/AI fabs, US reshoring and Healthcare on top of the DIG Airgas scope. Capex intensity eases from 14% to 12% as the EUR 6bn backlog converts into take-or-pay revenue. The margin gap to Linde narrows but does not close. Discounted at a 7% EUR WACC with a 20x terminal cap, this is worth materially less than the ~29x earnings the market pays; the price implies a discount rate nearer 5.5%.</t>
  </si>
  <si>
    <t xml:space="preserve">Scenario narrative: bull</t>
  </si>
  <si>
    <t xml:space="preserve">The BEYOND plan is delivered in full under activist scrutiny: +550bps operating margin by 2030, growth at the top of the range on the AI semiconductor cycle and reshoring, and capital intensity falls as ROCE passes 11%. Even so, the model grants only a 20x terminal multiple at 7%, so the bull value sits below the current price - the market is already pricing the bull case plus a lower discount rate.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</si>
  <si>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</si>
  <si>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</si>
  <si>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</si>
  <si>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</si>
  <si>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</si>
  <si>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</si>
  <si>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</si>
  <si>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</si>
  <si>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</si>
  <si>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</si>
  <si>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</si>
  <si>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</si>
  <si>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</si>
  <si>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</si>
  <si>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</si>
  <si>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</si>
  <si>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</si>
  <si>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</si>
  <si>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</si>
  <si>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</si>
  <si>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</si>
  <si>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</si>
  <si>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</si>
  <si>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</si>
  <si>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</si>
  <si>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</si>
  <si>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</si>
  <si>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EBITDAMargin</t>
  </si>
  <si>
    <t xml:space="preserve">InterestPaid</t>
  </si>
  <si>
    <t xml:space="preserve">MinorityInterests</t>
  </si>
  <si>
    <t xml:space="preserve">SegmentRevenueAPAC</t>
  </si>
  <si>
    <t xml:space="preserve">SegmentRevenueAmericas</t>
  </si>
  <si>
    <t xml:space="preserve">SegmentRevenueEMEA</t>
  </si>
  <si>
    <t xml:space="preserve">SegmentRevenueEurope</t>
  </si>
  <si>
    <t xml:space="preserve">UnderlyingOperatingMargin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</si>
  <si>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</si>
  <si>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</si>
  <si>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</si>
  <si>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</si>
  <si>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</si>
  <si>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</si>
  <si>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</si>
  <si>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</si>
  <si>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</si>
  <si>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</si>
  <si>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</si>
  <si>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</si>
  <si>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</si>
  <si>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</si>
  <si>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</si>
  <si>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</si>
  <si>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</si>
  <si>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</si>
  <si>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</si>
  <si>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</si>
  <si>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</si>
  <si>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</si>
  <si>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</si>
  <si>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</si>
  <si>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</si>
  <si>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</si>
  <si>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</si>
  <si>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</si>
  <si>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</si>
  <si>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</si>
  <si>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</si>
  <si>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</si>
  <si>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</si>
  <si>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</si>
  <si>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</si>
  <si>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</si>
  <si>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</si>
  <si>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</si>
  <si>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</si>
  <si>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</si>
  <si>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</si>
  <si>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</si>
  <si>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</si>
  <si>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</si>
  <si>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</si>
  <si>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</si>
  <si>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</si>
  <si>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</si>
  <si>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</si>
  <si>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AI.PA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</si>
  <si>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</si>
  <si>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</si>
  <si>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</si>
  <si>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</si>
  <si>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</si>
  <si>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</si>
  <si>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</si>
  <si>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</si>
  <si>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</si>
  <si>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</si>
  <si>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</si>
  <si>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</si>
  <si>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</si>
  <si>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</si>
  <si>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</si>
  <si>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</si>
  <si>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</si>
  <si>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</si>
  <si>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</si>
  <si>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</si>
  <si>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</si>
  <si>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</si>
  <si>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</si>
  <si>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</si>
  <si>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</si>
  <si>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</si>
  <si>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</si>
  <si>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</si>
  <si>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</si>
  <si>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</si>
  <si>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AI.PA owner-FCF component DCF: base case (millions, EUR)</t>
  </si>
  <si>
    <t xml:space="preserve">AI.PA owner-FCF component DCF: bull case (millions, EUR)</t>
  </si>
  <si>
    <t xml:space="preserve">AI.PA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</si>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</sst>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174.68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  <c r="AJ1" s="2" t="s">
        <v>70</v>
      </c>
    </row>
    <row r="2" customFormat="false" ht="15" hidden="false" customHeight="false" outlineLevel="0" collapsed="false">
      <c r="A2" s="0" t="s">
        <v>71</v>
      </c>
      <c r="B2" s="0" t="n">
        <v>15358.3</v>
      </c>
      <c r="F2" s="0" t="n">
        <v>2649.8</v>
      </c>
      <c r="G2" s="0" t="n">
        <v>17.3</v>
      </c>
      <c r="H2" s="0" t="n">
        <v>3872.9</v>
      </c>
      <c r="I2" s="0" t="n">
        <v>1665</v>
      </c>
      <c r="J2" s="0" t="n">
        <v>10.8</v>
      </c>
      <c r="K2" s="0" t="n">
        <v>4.83</v>
      </c>
      <c r="L2" s="0" t="n">
        <v>2829.6</v>
      </c>
      <c r="M2" s="0" t="n">
        <v>1901.7</v>
      </c>
      <c r="N2" s="0" t="n">
        <v>927.9</v>
      </c>
      <c r="O2" s="0" t="n">
        <v>11536.5</v>
      </c>
      <c r="P2" s="0" t="n">
        <v>26724.9</v>
      </c>
      <c r="Q2" s="0" t="n">
        <v>14898</v>
      </c>
      <c r="R2" s="0" t="n">
        <v>7216.4</v>
      </c>
      <c r="S2" s="0" t="n">
        <v>910.1</v>
      </c>
      <c r="T2" s="0" t="n">
        <v>344.459392</v>
      </c>
      <c r="AA2" s="0" t="s">
        <v>17</v>
      </c>
      <c r="AB2" s="0" t="s">
        <v>14</v>
      </c>
      <c r="AC2" s="0" t="n">
        <v>25.2</v>
      </c>
      <c r="AE2" s="0" t="n">
        <v>290.4</v>
      </c>
      <c r="AJ2" s="0" t="n">
        <v>17.1</v>
      </c>
    </row>
    <row r="3" customFormat="false" ht="15" hidden="false" customHeight="false" outlineLevel="0" collapsed="false">
      <c r="A3" s="0" t="s">
        <v>72</v>
      </c>
      <c r="B3" s="0" t="n">
        <v>16379.8</v>
      </c>
      <c r="F3" s="0" t="n">
        <v>2758.4</v>
      </c>
      <c r="G3" s="0" t="n">
        <v>16.8</v>
      </c>
      <c r="H3" s="0" t="n">
        <v>4262.2</v>
      </c>
      <c r="I3" s="0" t="n">
        <v>1756.4</v>
      </c>
      <c r="J3" s="0" t="n">
        <v>10.7</v>
      </c>
      <c r="K3" s="0" t="n">
        <v>5.1</v>
      </c>
      <c r="L3" s="0" t="n">
        <v>2832.4</v>
      </c>
      <c r="M3" s="0" t="n">
        <v>2027.7</v>
      </c>
      <c r="N3" s="0" t="n">
        <v>804.7</v>
      </c>
      <c r="O3" s="0" t="n">
        <v>12405.7</v>
      </c>
      <c r="P3" s="0" t="n">
        <v>28941.4</v>
      </c>
      <c r="Q3" s="0" t="n">
        <v>16170.6</v>
      </c>
      <c r="R3" s="0" t="n">
        <v>8203.4</v>
      </c>
      <c r="S3" s="0" t="n">
        <v>965.5</v>
      </c>
      <c r="T3" s="0" t="n">
        <v>344.47288</v>
      </c>
      <c r="U3" s="0" t="n">
        <v>23.2</v>
      </c>
      <c r="AA3" s="0" t="s">
        <v>17</v>
      </c>
      <c r="AB3" s="0" t="s">
        <v>14</v>
      </c>
      <c r="AC3" s="0" t="n">
        <v>26</v>
      </c>
      <c r="AE3" s="0" t="n">
        <v>365.1</v>
      </c>
      <c r="AF3" s="0" t="n">
        <v>3849.6</v>
      </c>
      <c r="AG3" s="0" t="n">
        <v>3595.3</v>
      </c>
      <c r="AI3" s="0" t="n">
        <v>6749.4</v>
      </c>
      <c r="AJ3" s="0" t="n">
        <v>17.6</v>
      </c>
    </row>
    <row r="4" customFormat="false" ht="15" hidden="false" customHeight="false" outlineLevel="0" collapsed="false">
      <c r="A4" s="0" t="s">
        <v>73</v>
      </c>
      <c r="B4" s="0" t="n">
        <v>18134.8</v>
      </c>
      <c r="F4" s="0" t="n">
        <v>3059.5</v>
      </c>
      <c r="G4" s="0" t="n">
        <v>16.9</v>
      </c>
      <c r="H4" s="0" t="n">
        <v>4611.2</v>
      </c>
      <c r="I4" s="0" t="n">
        <v>1844</v>
      </c>
      <c r="J4" s="0" t="n">
        <v>10.2</v>
      </c>
      <c r="K4" s="0" t="n">
        <v>5.1</v>
      </c>
      <c r="L4" s="0" t="n">
        <v>3696.5</v>
      </c>
      <c r="M4" s="0" t="n">
        <v>2258.6</v>
      </c>
      <c r="N4" s="0" t="n">
        <v>1437.9</v>
      </c>
      <c r="O4" s="0" t="n">
        <v>16741.8</v>
      </c>
      <c r="P4" s="0" t="n">
        <v>44117.8</v>
      </c>
      <c r="Q4" s="0" t="n">
        <v>26992.8</v>
      </c>
      <c r="R4" s="0" t="n">
        <v>16891.1</v>
      </c>
      <c r="S4" s="0" t="n">
        <v>1523</v>
      </c>
      <c r="T4" s="0" t="n">
        <v>361.742159</v>
      </c>
      <c r="U4" s="0" t="n">
        <v>32.3</v>
      </c>
      <c r="AA4" s="0" t="s">
        <v>17</v>
      </c>
      <c r="AB4" s="0" t="s">
        <v>14</v>
      </c>
      <c r="AC4" s="0" t="n">
        <v>25.4</v>
      </c>
      <c r="AE4" s="0" t="n">
        <v>383.2</v>
      </c>
      <c r="AF4" s="0" t="n">
        <v>3936.2</v>
      </c>
      <c r="AG4" s="0" t="n">
        <v>6229.7</v>
      </c>
      <c r="AI4" s="0" t="n">
        <v>6593.1</v>
      </c>
      <c r="AJ4" s="0" t="n">
        <v>16.7</v>
      </c>
    </row>
    <row r="5" customFormat="false" ht="15" hidden="false" customHeight="false" outlineLevel="0" collapsed="false">
      <c r="A5" s="0" t="s">
        <v>74</v>
      </c>
      <c r="B5" s="0" t="n">
        <v>20349.3</v>
      </c>
      <c r="F5" s="0" t="n">
        <v>3020.3</v>
      </c>
      <c r="G5" s="0" t="n">
        <v>14.8</v>
      </c>
      <c r="H5" s="0" t="n">
        <v>5141.7</v>
      </c>
      <c r="I5" s="0" t="n">
        <v>2199.6</v>
      </c>
      <c r="J5" s="0" t="n">
        <v>10.8</v>
      </c>
      <c r="K5" s="0" t="n">
        <v>5.14</v>
      </c>
      <c r="L5" s="0" t="n">
        <v>4254</v>
      </c>
      <c r="M5" s="0" t="n">
        <v>2182.5</v>
      </c>
      <c r="N5" s="0" t="n">
        <v>2071.5</v>
      </c>
      <c r="O5" s="0" t="n">
        <v>16317.9</v>
      </c>
      <c r="P5" s="0" t="n">
        <v>41027.3</v>
      </c>
      <c r="Q5" s="0" t="n">
        <v>24308.9</v>
      </c>
      <c r="R5" s="0" t="n">
        <v>15027</v>
      </c>
      <c r="S5" s="0" t="n">
        <v>1656.1</v>
      </c>
      <c r="T5" s="0" t="n">
        <v>428.145442</v>
      </c>
      <c r="U5" s="0" t="n">
        <v>34.4</v>
      </c>
      <c r="AA5" s="0" t="s">
        <v>17</v>
      </c>
      <c r="AB5" s="0" t="s">
        <v>14</v>
      </c>
      <c r="AC5" s="0" t="n">
        <v>25.3</v>
      </c>
      <c r="AE5" s="0" t="n">
        <v>400.5</v>
      </c>
      <c r="AF5" s="0" t="n">
        <v>4081.7</v>
      </c>
      <c r="AG5" s="0" t="n">
        <v>8149.8</v>
      </c>
      <c r="AI5" s="0" t="n">
        <v>6775.5</v>
      </c>
      <c r="AJ5" s="0" t="n">
        <v>16.5</v>
      </c>
    </row>
    <row r="6" customFormat="false" ht="15" hidden="false" customHeight="false" outlineLevel="0" collapsed="false">
      <c r="A6" s="0" t="s">
        <v>75</v>
      </c>
      <c r="B6" s="0" t="n">
        <v>21011.1</v>
      </c>
      <c r="F6" s="0" t="n">
        <v>3286.7</v>
      </c>
      <c r="G6" s="0" t="n">
        <v>15.6</v>
      </c>
      <c r="H6" s="0" t="n">
        <v>5214.8</v>
      </c>
      <c r="I6" s="0" t="n">
        <v>2113.4</v>
      </c>
      <c r="J6" s="0" t="n">
        <v>10.1</v>
      </c>
      <c r="K6" s="0" t="n">
        <v>4.93</v>
      </c>
      <c r="L6" s="0" t="n">
        <v>4716.4</v>
      </c>
      <c r="M6" s="0" t="n">
        <v>2249.2</v>
      </c>
      <c r="N6" s="0" t="n">
        <v>2467.2</v>
      </c>
      <c r="O6" s="0" t="n">
        <v>17783.1</v>
      </c>
      <c r="P6" s="0" t="n">
        <v>41980.6</v>
      </c>
      <c r="Q6" s="0" t="n">
        <v>23773.2</v>
      </c>
      <c r="R6" s="0" t="n">
        <v>14260.5</v>
      </c>
      <c r="S6" s="0" t="n">
        <v>1725.6</v>
      </c>
      <c r="T6" s="0" t="n">
        <v>428.755523</v>
      </c>
      <c r="U6" s="0" t="n">
        <v>46.3</v>
      </c>
      <c r="AA6" s="0" t="s">
        <v>17</v>
      </c>
      <c r="AB6" s="0" t="s">
        <v>14</v>
      </c>
      <c r="AC6" s="0" t="n">
        <v>24.8</v>
      </c>
      <c r="AD6" s="0" t="n">
        <v>167.1</v>
      </c>
      <c r="AE6" s="0" t="n">
        <v>424.3</v>
      </c>
      <c r="AF6" s="0" t="n">
        <v>4358.5</v>
      </c>
      <c r="AG6" s="0" t="n">
        <v>7982.1</v>
      </c>
      <c r="AI6" s="0" t="n">
        <v>7111.4</v>
      </c>
      <c r="AJ6" s="0" t="n">
        <v>16.4</v>
      </c>
    </row>
    <row r="7" customFormat="false" ht="15" hidden="false" customHeight="false" outlineLevel="0" collapsed="false">
      <c r="A7" s="0" t="s">
        <v>76</v>
      </c>
      <c r="B7" s="0" t="n">
        <v>21920.1</v>
      </c>
      <c r="F7" s="0" t="n">
        <v>3606.3</v>
      </c>
      <c r="G7" s="0" t="n">
        <v>16.5</v>
      </c>
      <c r="H7" s="0" t="n">
        <v>5931.5</v>
      </c>
      <c r="I7" s="0" t="n">
        <v>2241.5</v>
      </c>
      <c r="J7" s="0" t="n">
        <v>10.2</v>
      </c>
      <c r="K7" s="0" t="n">
        <v>4.73</v>
      </c>
      <c r="L7" s="0" t="n">
        <v>4712.2</v>
      </c>
      <c r="M7" s="0" t="n">
        <v>2636.4</v>
      </c>
      <c r="N7" s="0" t="n">
        <v>2075.8</v>
      </c>
      <c r="O7" s="0" t="n">
        <v>18870.4</v>
      </c>
      <c r="P7" s="0" t="n">
        <v>43666.5</v>
      </c>
      <c r="Q7" s="0" t="n">
        <v>24342.1</v>
      </c>
      <c r="R7" s="0" t="n">
        <v>13399</v>
      </c>
      <c r="S7" s="0" t="n">
        <v>1025.7</v>
      </c>
      <c r="T7" s="0" t="n">
        <v>473.671854</v>
      </c>
      <c r="U7" s="0" t="n">
        <v>40.2</v>
      </c>
      <c r="AA7" s="0" t="s">
        <v>17</v>
      </c>
      <c r="AB7" s="0" t="s">
        <v>14</v>
      </c>
      <c r="AC7" s="0" t="n">
        <v>27.1</v>
      </c>
      <c r="AD7" s="0" t="n">
        <v>225.4</v>
      </c>
      <c r="AE7" s="0" t="n">
        <v>454</v>
      </c>
      <c r="AF7" s="0" t="n">
        <v>4793.7</v>
      </c>
      <c r="AG7" s="0" t="n">
        <v>8460.5</v>
      </c>
      <c r="AI7" s="0" t="n">
        <v>7172.3</v>
      </c>
      <c r="AJ7" s="0" t="n">
        <v>17.3</v>
      </c>
    </row>
    <row r="8" customFormat="false" ht="15" hidden="false" customHeight="false" outlineLevel="0" collapsed="false">
      <c r="A8" s="0" t="s">
        <v>77</v>
      </c>
      <c r="B8" s="0" t="n">
        <v>20485.2</v>
      </c>
      <c r="F8" s="0" t="n">
        <v>3650.1</v>
      </c>
      <c r="G8" s="0" t="n">
        <v>17.8</v>
      </c>
      <c r="H8" s="0" t="n">
        <v>5927.5</v>
      </c>
      <c r="I8" s="0" t="n">
        <v>2435.1</v>
      </c>
      <c r="J8" s="0" t="n">
        <v>11.9</v>
      </c>
      <c r="K8" s="0" t="n">
        <v>5.14</v>
      </c>
      <c r="L8" s="0" t="n">
        <v>5205.7</v>
      </c>
      <c r="M8" s="0" t="n">
        <v>2630.2</v>
      </c>
      <c r="N8" s="0" t="n">
        <v>2575.5</v>
      </c>
      <c r="O8" s="0" t="n">
        <v>18542.3</v>
      </c>
      <c r="P8" s="0" t="n">
        <v>41977.1</v>
      </c>
      <c r="Q8" s="0" t="n">
        <v>22972.5</v>
      </c>
      <c r="R8" s="0" t="n">
        <v>12400.7</v>
      </c>
      <c r="S8" s="0" t="n">
        <v>1791.4</v>
      </c>
      <c r="T8" s="0" t="n">
        <v>474.119799</v>
      </c>
      <c r="U8" s="0" t="n">
        <v>38.5</v>
      </c>
      <c r="AA8" s="0" t="s">
        <v>17</v>
      </c>
      <c r="AB8" s="0" t="s">
        <v>14</v>
      </c>
      <c r="AC8" s="0" t="n">
        <v>28.9</v>
      </c>
      <c r="AD8" s="0" t="n">
        <v>255.1</v>
      </c>
      <c r="AE8" s="0" t="n">
        <v>462.3</v>
      </c>
      <c r="AF8" s="0" t="n">
        <v>4467.4</v>
      </c>
      <c r="AG8" s="0" t="n">
        <v>7798.9</v>
      </c>
      <c r="AI8" s="0" t="n">
        <v>6825.8</v>
      </c>
      <c r="AJ8" s="0" t="n">
        <v>18.5</v>
      </c>
    </row>
    <row r="9" customFormat="false" ht="15" hidden="false" customHeight="false" outlineLevel="0" collapsed="false">
      <c r="A9" s="0" t="s">
        <v>78</v>
      </c>
      <c r="B9" s="0" t="n">
        <v>23334.8</v>
      </c>
      <c r="F9" s="0" t="n">
        <v>4009.6</v>
      </c>
      <c r="G9" s="0" t="n">
        <v>17.2</v>
      </c>
      <c r="H9" s="0" t="n">
        <v>6332.8</v>
      </c>
      <c r="I9" s="0" t="n">
        <v>2572.2</v>
      </c>
      <c r="J9" s="0" t="n">
        <v>11</v>
      </c>
      <c r="K9" s="0" t="n">
        <v>5.42</v>
      </c>
      <c r="L9" s="0" t="n">
        <v>5570.7</v>
      </c>
      <c r="M9" s="0" t="n">
        <v>2916.8</v>
      </c>
      <c r="N9" s="0" t="n">
        <v>2653.9</v>
      </c>
      <c r="O9" s="0" t="n">
        <v>21462.3</v>
      </c>
      <c r="P9" s="0" t="n">
        <v>46783.1</v>
      </c>
      <c r="Q9" s="0" t="n">
        <v>24784.3</v>
      </c>
      <c r="R9" s="0" t="n">
        <v>12694.9</v>
      </c>
      <c r="S9" s="0" t="n">
        <v>2246.6</v>
      </c>
      <c r="T9" s="0" t="n">
        <v>474.324596</v>
      </c>
      <c r="U9" s="0" t="n">
        <v>40.5</v>
      </c>
      <c r="AA9" s="0" t="s">
        <v>17</v>
      </c>
      <c r="AB9" s="0" t="s">
        <v>14</v>
      </c>
      <c r="AC9" s="0" t="n">
        <v>27.1</v>
      </c>
      <c r="AD9" s="0" t="n">
        <v>204.9</v>
      </c>
      <c r="AE9" s="0" t="n">
        <v>536.5</v>
      </c>
      <c r="AF9" s="0" t="n">
        <v>4790.7</v>
      </c>
      <c r="AG9" s="0" t="n">
        <v>8444.8</v>
      </c>
      <c r="AI9" s="0" t="n">
        <v>8314.8</v>
      </c>
      <c r="AJ9" s="0" t="n">
        <v>17.8</v>
      </c>
    </row>
    <row r="10" customFormat="false" ht="15" hidden="false" customHeight="false" outlineLevel="0" collapsed="false">
      <c r="A10" s="0" t="s">
        <v>79</v>
      </c>
      <c r="B10" s="0" t="n">
        <v>29934</v>
      </c>
      <c r="F10" s="0" t="n">
        <v>4291.1</v>
      </c>
      <c r="G10" s="0" t="n">
        <v>14.3</v>
      </c>
      <c r="H10" s="0" t="n">
        <v>7327.7</v>
      </c>
      <c r="I10" s="0" t="n">
        <v>2758.8</v>
      </c>
      <c r="J10" s="0" t="n">
        <v>9.2</v>
      </c>
      <c r="K10" s="0" t="n">
        <v>5.27</v>
      </c>
      <c r="L10" s="0" t="n">
        <v>5810.1</v>
      </c>
      <c r="M10" s="0" t="n">
        <v>3273</v>
      </c>
      <c r="N10" s="0" t="n">
        <v>2537.1</v>
      </c>
      <c r="O10" s="0" t="n">
        <v>23736.4</v>
      </c>
      <c r="P10" s="0" t="n">
        <v>49518</v>
      </c>
      <c r="Q10" s="0" t="n">
        <v>24946</v>
      </c>
      <c r="R10" s="0" t="n">
        <v>12172.7</v>
      </c>
      <c r="S10" s="0" t="n">
        <v>1911.4</v>
      </c>
      <c r="T10" s="0" t="n">
        <v>523.925143</v>
      </c>
      <c r="U10" s="0" t="n">
        <v>36.9</v>
      </c>
      <c r="AA10" s="0" t="s">
        <v>17</v>
      </c>
      <c r="AB10" s="0" t="s">
        <v>14</v>
      </c>
      <c r="AC10" s="0" t="n">
        <v>24.5</v>
      </c>
      <c r="AD10" s="0" t="n">
        <v>236.1</v>
      </c>
      <c r="AE10" s="0" t="n">
        <v>835.6</v>
      </c>
      <c r="AF10" s="0" t="n">
        <v>5608.1</v>
      </c>
      <c r="AG10" s="0" t="n">
        <v>10680</v>
      </c>
      <c r="AI10" s="0" t="n">
        <v>11390.4</v>
      </c>
      <c r="AJ10" s="0" t="n">
        <v>16.2</v>
      </c>
    </row>
    <row r="11" customFormat="false" ht="15" hidden="false" customHeight="false" outlineLevel="0" collapsed="false">
      <c r="A11" s="0" t="s">
        <v>80</v>
      </c>
      <c r="B11" s="0" t="n">
        <v>27607.6</v>
      </c>
      <c r="F11" s="0" t="n">
        <v>4571.5</v>
      </c>
      <c r="G11" s="0" t="n">
        <v>16.6</v>
      </c>
      <c r="H11" s="0" t="n">
        <v>7550</v>
      </c>
      <c r="I11" s="0" t="n">
        <v>3078</v>
      </c>
      <c r="J11" s="0" t="n">
        <v>11.1</v>
      </c>
      <c r="K11" s="0" t="n">
        <v>5.87</v>
      </c>
      <c r="L11" s="0" t="n">
        <v>6263</v>
      </c>
      <c r="M11" s="0" t="n">
        <v>3393.4</v>
      </c>
      <c r="N11" s="0" t="n">
        <v>2869.6</v>
      </c>
      <c r="O11" s="0" t="n">
        <v>24321.5</v>
      </c>
      <c r="P11" s="0" t="n">
        <v>48332.4</v>
      </c>
      <c r="Q11" s="0" t="n">
        <v>23289.3</v>
      </c>
      <c r="R11" s="0" t="n">
        <v>10845.8</v>
      </c>
      <c r="S11" s="0" t="n">
        <v>1624.9</v>
      </c>
      <c r="T11" s="0" t="n">
        <v>524.03485</v>
      </c>
      <c r="U11" s="0" t="n">
        <v>66.9</v>
      </c>
      <c r="AA11" s="0" t="s">
        <v>17</v>
      </c>
      <c r="AB11" s="0" t="s">
        <v>14</v>
      </c>
      <c r="AC11" s="0" t="n">
        <v>27.3</v>
      </c>
      <c r="AD11" s="0" t="n">
        <v>222.5</v>
      </c>
      <c r="AE11" s="0" t="n">
        <v>721.6</v>
      </c>
      <c r="AF11" s="0" t="n">
        <v>5409.7</v>
      </c>
      <c r="AG11" s="0" t="n">
        <v>10168.7</v>
      </c>
      <c r="AI11" s="0" t="n">
        <v>9734.5</v>
      </c>
      <c r="AJ11" s="0" t="n">
        <v>18.4</v>
      </c>
    </row>
    <row r="12" customFormat="false" ht="15" hidden="false" customHeight="false" outlineLevel="0" collapsed="false">
      <c r="A12" s="0" t="s">
        <v>81</v>
      </c>
      <c r="B12" s="0" t="n">
        <v>27057.8</v>
      </c>
      <c r="F12" s="0" t="n">
        <v>4945.6</v>
      </c>
      <c r="G12" s="0" t="n">
        <v>18.3</v>
      </c>
      <c r="H12" s="0" t="n">
        <v>7896.5</v>
      </c>
      <c r="I12" s="0" t="n">
        <v>3306.1</v>
      </c>
      <c r="J12" s="0" t="n">
        <v>12.2</v>
      </c>
      <c r="K12" s="0" t="n">
        <v>5.72</v>
      </c>
      <c r="L12" s="0" t="n">
        <v>6322.2</v>
      </c>
      <c r="M12" s="0" t="n">
        <v>3525.1</v>
      </c>
      <c r="N12" s="0" t="n">
        <v>2797.1</v>
      </c>
      <c r="O12" s="0" t="n">
        <v>26860</v>
      </c>
      <c r="P12" s="0" t="n">
        <v>51867.5</v>
      </c>
      <c r="Q12" s="0" t="n">
        <v>24246.2</v>
      </c>
      <c r="R12" s="0" t="n">
        <v>11074.5</v>
      </c>
      <c r="S12" s="0" t="n">
        <v>1915.3</v>
      </c>
      <c r="T12" s="0" t="n">
        <v>578.212512</v>
      </c>
      <c r="U12" s="0" t="n">
        <v>39.8</v>
      </c>
      <c r="AA12" s="0" t="s">
        <v>17</v>
      </c>
      <c r="AB12" s="0" t="s">
        <v>14</v>
      </c>
      <c r="AC12" s="0" t="n">
        <v>29.2</v>
      </c>
      <c r="AD12" s="0" t="n">
        <v>218.2</v>
      </c>
      <c r="AE12" s="0" t="n">
        <v>761.3</v>
      </c>
      <c r="AF12" s="0" t="n">
        <v>5302.7</v>
      </c>
      <c r="AG12" s="0" t="n">
        <v>10321.3</v>
      </c>
      <c r="AH12" s="0" t="n">
        <v>10186.1</v>
      </c>
      <c r="AJ12" s="0" t="n">
        <v>19.9</v>
      </c>
    </row>
    <row r="13" customFormat="false" ht="15" hidden="false" customHeight="false" outlineLevel="0" collapsed="false">
      <c r="A13" s="0" t="s">
        <v>82</v>
      </c>
      <c r="B13" s="0" t="n">
        <v>26940.2</v>
      </c>
      <c r="F13" s="0" t="n">
        <v>5278.7</v>
      </c>
      <c r="G13" s="0" t="n">
        <v>19.6</v>
      </c>
      <c r="H13" s="0" t="n">
        <v>8145.1</v>
      </c>
      <c r="I13" s="0" t="n">
        <v>3517.9</v>
      </c>
      <c r="J13" s="0" t="n">
        <v>13.1</v>
      </c>
      <c r="K13" s="0" t="n">
        <v>6.08</v>
      </c>
      <c r="L13" s="0" t="n">
        <v>6518.4</v>
      </c>
      <c r="M13" s="0" t="n">
        <v>3843.4</v>
      </c>
      <c r="N13" s="0" t="n">
        <v>2675</v>
      </c>
      <c r="O13" s="0" t="n">
        <v>26213.9</v>
      </c>
      <c r="P13" s="0" t="n">
        <v>51913.4</v>
      </c>
      <c r="Q13" s="0" t="n">
        <v>24966.2</v>
      </c>
      <c r="R13" s="0" t="n">
        <v>12377.5</v>
      </c>
      <c r="S13" s="0" t="n">
        <v>3962</v>
      </c>
      <c r="T13" s="0" t="n">
        <v>578.141125</v>
      </c>
      <c r="U13" s="0" t="n">
        <v>69.2</v>
      </c>
      <c r="AA13" s="0" t="s">
        <v>17</v>
      </c>
      <c r="AB13" s="0" t="s">
        <v>14</v>
      </c>
      <c r="AC13" s="0" t="n">
        <v>30.2</v>
      </c>
      <c r="AD13" s="0" t="n">
        <v>177.7</v>
      </c>
      <c r="AE13" s="0" t="n">
        <v>733.3</v>
      </c>
      <c r="AF13" s="0" t="n">
        <v>5117.5</v>
      </c>
      <c r="AG13" s="0" t="n">
        <v>10351.3</v>
      </c>
      <c r="AH13" s="0" t="n">
        <v>10616.3</v>
      </c>
      <c r="AJ13" s="0" t="n">
        <v>20.7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174.68</v>
      </c>
    </row>
    <row r="3" customFormat="false" ht="15" hidden="false" customHeight="false" outlineLevel="0" collapsed="false">
      <c r="A3" s="0" t="s">
        <v>86</v>
      </c>
      <c r="B3" s="3" t="n">
        <v>637.8</v>
      </c>
    </row>
    <row r="4" customFormat="false" ht="15" hidden="false" customHeight="false" outlineLevel="0" collapsed="false">
      <c r="A4" s="0" t="s">
        <v>87</v>
      </c>
      <c r="B4" s="3" t="n">
        <v>13920.9</v>
      </c>
    </row>
    <row r="5" customFormat="false" ht="15" hidden="false" customHeight="false" outlineLevel="0" collapsed="false">
      <c r="A5" s="0" t="s">
        <v>88</v>
      </c>
      <c r="B5" s="3" t="n">
        <v>-2290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26940.2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1</v>
      </c>
      <c r="D13" s="3" t="n">
        <v>2.5</v>
      </c>
      <c r="E13" s="3" t="n">
        <v>2.5</v>
      </c>
      <c r="F13" s="3" t="n">
        <v>2.5</v>
      </c>
      <c r="G13" s="3" t="n">
        <v>2.5</v>
      </c>
      <c r="H13" s="3" t="n">
        <v>2.5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30.4</v>
      </c>
      <c r="D14" s="3" t="n">
        <v>30.7</v>
      </c>
      <c r="E14" s="3" t="n">
        <v>31</v>
      </c>
      <c r="F14" s="3" t="n">
        <v>31.3</v>
      </c>
      <c r="G14" s="3" t="n">
        <v>31.5</v>
      </c>
      <c r="H14" s="3" t="n">
        <v>31.5</v>
      </c>
      <c r="I14" s="3" t="n">
        <v>31.5</v>
      </c>
      <c r="J14" s="3" t="n">
        <v>31.5</v>
      </c>
      <c r="K14" s="3" t="n">
        <v>31.5</v>
      </c>
      <c r="L14" s="3" t="n">
        <v>31.5</v>
      </c>
    </row>
    <row r="15" customFormat="false" ht="15" hidden="false" customHeight="false" outlineLevel="0" collapsed="false">
      <c r="A15" s="0" t="s">
        <v>108</v>
      </c>
      <c r="C15" s="3" t="n">
        <v>0.25</v>
      </c>
      <c r="D15" s="3" t="n">
        <v>0.25</v>
      </c>
      <c r="E15" s="3" t="n">
        <v>0.25</v>
      </c>
      <c r="F15" s="3" t="n">
        <v>0.25</v>
      </c>
      <c r="G15" s="3" t="n">
        <v>0.25</v>
      </c>
      <c r="H15" s="3" t="n">
        <v>0.25</v>
      </c>
      <c r="I15" s="3" t="n">
        <v>0.25</v>
      </c>
      <c r="J15" s="3" t="n">
        <v>0.25</v>
      </c>
      <c r="K15" s="3" t="n">
        <v>0.25</v>
      </c>
      <c r="L15" s="3" t="n">
        <v>0.25</v>
      </c>
    </row>
    <row r="16" customFormat="false" ht="15" hidden="false" customHeight="false" outlineLevel="0" collapsed="false">
      <c r="A16" s="0" t="s">
        <v>109</v>
      </c>
      <c r="C16" s="3" t="n">
        <v>1</v>
      </c>
      <c r="D16" s="3" t="n">
        <v>1</v>
      </c>
      <c r="E16" s="3" t="n">
        <v>1</v>
      </c>
      <c r="F16" s="3" t="n">
        <v>1</v>
      </c>
      <c r="G16" s="3" t="n">
        <v>1</v>
      </c>
      <c r="H16" s="3" t="n">
        <v>1</v>
      </c>
      <c r="I16" s="3" t="n">
        <v>1</v>
      </c>
      <c r="J16" s="3" t="n">
        <v>1</v>
      </c>
      <c r="K16" s="3" t="n">
        <v>1</v>
      </c>
      <c r="L16" s="3" t="n">
        <v>1</v>
      </c>
    </row>
    <row r="17" customFormat="false" ht="15" hidden="false" customHeight="false" outlineLevel="0" collapsed="false">
      <c r="A17" s="0" t="s">
        <v>110</v>
      </c>
      <c r="C17" s="3" t="n">
        <v>9</v>
      </c>
      <c r="D17" s="3" t="n">
        <v>9</v>
      </c>
      <c r="E17" s="3" t="n">
        <v>9</v>
      </c>
      <c r="F17" s="3" t="n">
        <v>9</v>
      </c>
      <c r="G17" s="3" t="n">
        <v>9</v>
      </c>
      <c r="H17" s="3" t="n">
        <v>9</v>
      </c>
      <c r="I17" s="3" t="n">
        <v>9</v>
      </c>
      <c r="J17" s="3" t="n">
        <v>9</v>
      </c>
      <c r="K17" s="3" t="n">
        <v>9</v>
      </c>
      <c r="L17" s="3" t="n">
        <v>9</v>
      </c>
    </row>
    <row r="18" customFormat="false" ht="15" hidden="false" customHeight="false" outlineLevel="0" collapsed="false">
      <c r="A18" s="0" t="s">
        <v>111</v>
      </c>
      <c r="C18" s="3" t="n">
        <v>14</v>
      </c>
      <c r="D18" s="3" t="n">
        <v>14</v>
      </c>
      <c r="E18" s="3" t="n">
        <v>13.8</v>
      </c>
      <c r="F18" s="3" t="n">
        <v>13.6</v>
      </c>
      <c r="G18" s="3" t="n">
        <v>13.5</v>
      </c>
      <c r="H18" s="3" t="n">
        <v>13.5</v>
      </c>
      <c r="I18" s="3" t="n">
        <v>13.5</v>
      </c>
      <c r="J18" s="3" t="n">
        <v>13.5</v>
      </c>
      <c r="K18" s="3" t="n">
        <v>13.5</v>
      </c>
      <c r="L18" s="3" t="n">
        <v>13.5</v>
      </c>
    </row>
    <row r="19" customFormat="false" ht="15" hidden="false" customHeight="false" outlineLevel="0" collapsed="false">
      <c r="A19" s="0" t="s">
        <v>112</v>
      </c>
      <c r="C19" s="3" t="n">
        <v>26</v>
      </c>
      <c r="D19" s="3" t="n">
        <v>26</v>
      </c>
      <c r="E19" s="3" t="n">
        <v>26</v>
      </c>
      <c r="F19" s="3" t="n">
        <v>26</v>
      </c>
      <c r="G19" s="3" t="n">
        <v>26</v>
      </c>
      <c r="H19" s="3" t="n">
        <v>26</v>
      </c>
      <c r="I19" s="3" t="n">
        <v>26</v>
      </c>
      <c r="J19" s="3" t="n">
        <v>26</v>
      </c>
      <c r="K19" s="3" t="n">
        <v>26</v>
      </c>
      <c r="L19" s="3" t="n">
        <v>26</v>
      </c>
    </row>
    <row r="20" customFormat="false" ht="15" hidden="false" customHeight="false" outlineLevel="0" collapsed="false">
      <c r="A20" s="0" t="s">
        <v>113</v>
      </c>
      <c r="B20" s="3" t="n">
        <v>7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20</v>
      </c>
    </row>
    <row r="23" customFormat="false" ht="15" hidden="false" customHeight="false" outlineLevel="0" collapsed="false">
      <c r="A23" s="0" t="s">
        <v>116</v>
      </c>
      <c r="B23" s="3" t="n">
        <v>-5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1.9</v>
      </c>
      <c r="D27" s="3" t="n">
        <v>4</v>
      </c>
      <c r="E27" s="3" t="n">
        <v>4</v>
      </c>
      <c r="F27" s="3" t="n">
        <v>4</v>
      </c>
      <c r="G27" s="3" t="n">
        <v>3.5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30.8</v>
      </c>
      <c r="D28" s="3" t="n">
        <v>31.4</v>
      </c>
      <c r="E28" s="3" t="n">
        <v>32</v>
      </c>
      <c r="F28" s="3" t="n">
        <v>32.6</v>
      </c>
      <c r="G28" s="3" t="n">
        <v>33.2</v>
      </c>
      <c r="H28" s="3" t="n">
        <v>33.5</v>
      </c>
      <c r="I28" s="3" t="n">
        <v>33.5</v>
      </c>
      <c r="J28" s="3" t="n">
        <v>33.5</v>
      </c>
      <c r="K28" s="3" t="n">
        <v>33.5</v>
      </c>
      <c r="L28" s="3" t="n">
        <v>33.5</v>
      </c>
    </row>
    <row r="29" customFormat="false" ht="15" hidden="false" customHeight="false" outlineLevel="0" collapsed="false">
      <c r="A29" s="0" t="s">
        <v>108</v>
      </c>
      <c r="C29" s="3" t="n">
        <v>0.25</v>
      </c>
      <c r="D29" s="3" t="n">
        <v>0.25</v>
      </c>
      <c r="E29" s="3" t="n">
        <v>0.25</v>
      </c>
      <c r="F29" s="3" t="n">
        <v>0.25</v>
      </c>
      <c r="G29" s="3" t="n">
        <v>0.25</v>
      </c>
      <c r="H29" s="3" t="n">
        <v>0.25</v>
      </c>
      <c r="I29" s="3" t="n">
        <v>0.25</v>
      </c>
      <c r="J29" s="3" t="n">
        <v>0.25</v>
      </c>
      <c r="K29" s="3" t="n">
        <v>0.25</v>
      </c>
      <c r="L29" s="3" t="n">
        <v>0.25</v>
      </c>
    </row>
    <row r="30" customFormat="false" ht="15" hidden="false" customHeight="false" outlineLevel="0" collapsed="false">
      <c r="A30" s="0" t="s">
        <v>109</v>
      </c>
      <c r="C30" s="3" t="n">
        <v>1</v>
      </c>
      <c r="D30" s="3" t="n">
        <v>1</v>
      </c>
      <c r="E30" s="3" t="n">
        <v>1</v>
      </c>
      <c r="F30" s="3" t="n">
        <v>1</v>
      </c>
      <c r="G30" s="3" t="n">
        <v>1</v>
      </c>
      <c r="H30" s="3" t="n">
        <v>1</v>
      </c>
      <c r="I30" s="3" t="n">
        <v>1</v>
      </c>
      <c r="J30" s="3" t="n">
        <v>1</v>
      </c>
      <c r="K30" s="3" t="n">
        <v>1</v>
      </c>
      <c r="L30" s="3" t="n">
        <v>1</v>
      </c>
    </row>
    <row r="31" customFormat="false" ht="15" hidden="false" customHeight="false" outlineLevel="0" collapsed="false">
      <c r="A31" s="0" t="s">
        <v>110</v>
      </c>
      <c r="C31" s="3" t="n">
        <v>9</v>
      </c>
      <c r="D31" s="3" t="n">
        <v>9</v>
      </c>
      <c r="E31" s="3" t="n">
        <v>9</v>
      </c>
      <c r="F31" s="3" t="n">
        <v>9</v>
      </c>
      <c r="G31" s="3" t="n">
        <v>9</v>
      </c>
      <c r="H31" s="3" t="n">
        <v>9</v>
      </c>
      <c r="I31" s="3" t="n">
        <v>9</v>
      </c>
      <c r="J31" s="3" t="n">
        <v>9</v>
      </c>
      <c r="K31" s="3" t="n">
        <v>9</v>
      </c>
      <c r="L31" s="3" t="n">
        <v>9</v>
      </c>
    </row>
    <row r="32" customFormat="false" ht="15" hidden="false" customHeight="false" outlineLevel="0" collapsed="false">
      <c r="A32" s="0" t="s">
        <v>111</v>
      </c>
      <c r="C32" s="3" t="n">
        <v>13.8</v>
      </c>
      <c r="D32" s="3" t="n">
        <v>13.5</v>
      </c>
      <c r="E32" s="3" t="n">
        <v>13.2</v>
      </c>
      <c r="F32" s="3" t="n">
        <v>13</v>
      </c>
      <c r="G32" s="3" t="n">
        <v>12.8</v>
      </c>
      <c r="H32" s="3" t="n">
        <v>12.5</v>
      </c>
      <c r="I32" s="3" t="n">
        <v>12.3</v>
      </c>
      <c r="J32" s="3" t="n">
        <v>12</v>
      </c>
      <c r="K32" s="3" t="n">
        <v>12</v>
      </c>
      <c r="L32" s="3" t="n">
        <v>12</v>
      </c>
    </row>
    <row r="33" customFormat="false" ht="15" hidden="false" customHeight="false" outlineLevel="0" collapsed="false">
      <c r="A33" s="0" t="s">
        <v>112</v>
      </c>
      <c r="C33" s="3" t="n">
        <v>25.5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113</v>
      </c>
      <c r="B34" s="3" t="n">
        <v>7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20</v>
      </c>
    </row>
    <row r="37" customFormat="false" ht="15" hidden="false" customHeight="false" outlineLevel="0" collapsed="false">
      <c r="A37" s="0" t="s">
        <v>116</v>
      </c>
      <c r="B37" s="3" t="n">
        <v>-5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2.5</v>
      </c>
      <c r="D41" s="3" t="n">
        <v>5</v>
      </c>
      <c r="E41" s="3" t="n">
        <v>5.5</v>
      </c>
      <c r="F41" s="3" t="n">
        <v>5.5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31</v>
      </c>
      <c r="D42" s="3" t="n">
        <v>32.2</v>
      </c>
      <c r="E42" s="3" t="n">
        <v>33.4</v>
      </c>
      <c r="F42" s="3" t="n">
        <v>34.6</v>
      </c>
      <c r="G42" s="3" t="n">
        <v>35.8</v>
      </c>
      <c r="H42" s="3" t="n">
        <v>36.2</v>
      </c>
      <c r="I42" s="3" t="n">
        <v>36.5</v>
      </c>
      <c r="J42" s="3" t="n">
        <v>36.5</v>
      </c>
      <c r="K42" s="3" t="n">
        <v>36.5</v>
      </c>
      <c r="L42" s="3" t="n">
        <v>36.5</v>
      </c>
    </row>
    <row r="43" customFormat="false" ht="15" hidden="false" customHeight="false" outlineLevel="0" collapsed="false">
      <c r="A43" s="0" t="s">
        <v>108</v>
      </c>
      <c r="C43" s="3" t="n">
        <v>0.25</v>
      </c>
      <c r="D43" s="3" t="n">
        <v>0.25</v>
      </c>
      <c r="E43" s="3" t="n">
        <v>0.25</v>
      </c>
      <c r="F43" s="3" t="n">
        <v>0.25</v>
      </c>
      <c r="G43" s="3" t="n">
        <v>0.25</v>
      </c>
      <c r="H43" s="3" t="n">
        <v>0.25</v>
      </c>
      <c r="I43" s="3" t="n">
        <v>0.25</v>
      </c>
      <c r="J43" s="3" t="n">
        <v>0.25</v>
      </c>
      <c r="K43" s="3" t="n">
        <v>0.25</v>
      </c>
      <c r="L43" s="3" t="n">
        <v>0.25</v>
      </c>
    </row>
    <row r="44" customFormat="false" ht="15" hidden="false" customHeight="false" outlineLevel="0" collapsed="false">
      <c r="A44" s="0" t="s">
        <v>109</v>
      </c>
      <c r="C44" s="3" t="n">
        <v>1</v>
      </c>
      <c r="D44" s="3" t="n">
        <v>1</v>
      </c>
      <c r="E44" s="3" t="n">
        <v>1</v>
      </c>
      <c r="F44" s="3" t="n">
        <v>1</v>
      </c>
      <c r="G44" s="3" t="n">
        <v>1</v>
      </c>
      <c r="H44" s="3" t="n">
        <v>1</v>
      </c>
      <c r="I44" s="3" t="n">
        <v>1</v>
      </c>
      <c r="J44" s="3" t="n">
        <v>1</v>
      </c>
      <c r="K44" s="3" t="n">
        <v>1</v>
      </c>
      <c r="L44" s="3" t="n">
        <v>1</v>
      </c>
    </row>
    <row r="45" customFormat="false" ht="15" hidden="false" customHeight="false" outlineLevel="0" collapsed="false">
      <c r="A45" s="0" t="s">
        <v>110</v>
      </c>
      <c r="C45" s="3" t="n">
        <v>9</v>
      </c>
      <c r="D45" s="3" t="n">
        <v>9</v>
      </c>
      <c r="E45" s="3" t="n">
        <v>9</v>
      </c>
      <c r="F45" s="3" t="n">
        <v>9</v>
      </c>
      <c r="G45" s="3" t="n">
        <v>9</v>
      </c>
      <c r="H45" s="3" t="n">
        <v>9</v>
      </c>
      <c r="I45" s="3" t="n">
        <v>9</v>
      </c>
      <c r="J45" s="3" t="n">
        <v>9</v>
      </c>
      <c r="K45" s="3" t="n">
        <v>9</v>
      </c>
      <c r="L45" s="3" t="n">
        <v>9</v>
      </c>
    </row>
    <row r="46" customFormat="false" ht="15" hidden="false" customHeight="false" outlineLevel="0" collapsed="false">
      <c r="A46" s="0" t="s">
        <v>111</v>
      </c>
      <c r="C46" s="3" t="n">
        <v>13.8</v>
      </c>
      <c r="D46" s="3" t="n">
        <v>13.5</v>
      </c>
      <c r="E46" s="3" t="n">
        <v>13</v>
      </c>
      <c r="F46" s="3" t="n">
        <v>12.5</v>
      </c>
      <c r="G46" s="3" t="n">
        <v>12.2</v>
      </c>
      <c r="H46" s="3" t="n">
        <v>12</v>
      </c>
      <c r="I46" s="3" t="n">
        <v>11.8</v>
      </c>
      <c r="J46" s="3" t="n">
        <v>11.5</v>
      </c>
      <c r="K46" s="3" t="n">
        <v>11.5</v>
      </c>
      <c r="L46" s="3" t="n">
        <v>11.5</v>
      </c>
    </row>
    <row r="47" customFormat="false" ht="15" hidden="false" customHeight="false" outlineLevel="0" collapsed="false">
      <c r="A47" s="0" t="s">
        <v>112</v>
      </c>
      <c r="C47" s="3" t="n">
        <v>25.5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113</v>
      </c>
      <c r="B48" s="3" t="n">
        <v>7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20</v>
      </c>
    </row>
    <row r="51" customFormat="false" ht="15" hidden="false" customHeight="false" outlineLevel="0" collapsed="false">
      <c r="A51" s="0" t="s">
        <v>116</v>
      </c>
      <c r="B51" s="3" t="n">
        <v>-5</v>
      </c>
    </row>
    <row r="52" customFormat="false" ht="15" hidden="false" customHeight="false" outlineLevel="0" collapsed="false">
      <c r="A52" s="0" t="s">
        <v>117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1</v>
      </c>
      <c r="D5" s="4" t="n">
        <f aca="false">Assumptions!D13</f>
        <v>2.5</v>
      </c>
      <c r="E5" s="4" t="n">
        <f aca="false">Assumptions!E13</f>
        <v>2.5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26940.2</v>
      </c>
      <c r="C6" s="0" t="n">
        <f aca="false">B6*(1+C5/100)</f>
        <v>27209.602</v>
      </c>
      <c r="D6" s="0" t="n">
        <f aca="false">C6*(1+D5/100)</f>
        <v>27889.84205</v>
      </c>
      <c r="E6" s="0" t="n">
        <f aca="false">D6*(1+E5/100)</f>
        <v>28587.08810125</v>
      </c>
      <c r="F6" s="0" t="n">
        <f aca="false">E6*(1+F5/100)</f>
        <v>29301.7653037812</v>
      </c>
      <c r="G6" s="0" t="n">
        <f aca="false">F6*(1+G5/100)</f>
        <v>30034.3094363758</v>
      </c>
      <c r="H6" s="0" t="n">
        <f aca="false">G6*(1+H5/100)</f>
        <v>30785.1671722852</v>
      </c>
      <c r="I6" s="0" t="n">
        <f aca="false">H6*(1+I5/100)</f>
        <v>31400.8705157309</v>
      </c>
      <c r="J6" s="0" t="n">
        <f aca="false">I6*(1+J5/100)</f>
        <v>32028.8879260455</v>
      </c>
      <c r="K6" s="0" t="n">
        <f aca="false">J6*(1+K5/100)</f>
        <v>32669.4656845664</v>
      </c>
      <c r="L6" s="0" t="n">
        <f aca="false">K6*(1+L5/100)</f>
        <v>33322.8549982577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30.4</v>
      </c>
      <c r="D7" s="4" t="n">
        <f aca="false">Assumptions!D14</f>
        <v>30.7</v>
      </c>
      <c r="E7" s="4" t="n">
        <f aca="false">Assumptions!E14</f>
        <v>31</v>
      </c>
      <c r="F7" s="4" t="n">
        <f aca="false">Assumptions!F14</f>
        <v>31.3</v>
      </c>
      <c r="G7" s="4" t="n">
        <f aca="false">Assumptions!G14</f>
        <v>31.5</v>
      </c>
      <c r="H7" s="4" t="n">
        <f aca="false">Assumptions!H14</f>
        <v>31.5</v>
      </c>
      <c r="I7" s="4" t="n">
        <f aca="false">Assumptions!I14</f>
        <v>31.5</v>
      </c>
      <c r="J7" s="4" t="n">
        <f aca="false">Assumptions!J14</f>
        <v>31.5</v>
      </c>
      <c r="K7" s="4" t="n">
        <f aca="false">Assumptions!K14</f>
        <v>31.5</v>
      </c>
      <c r="L7" s="4" t="n">
        <f aca="false">Assumptions!L14</f>
        <v>31.5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8271.719008</v>
      </c>
      <c r="D8" s="0" t="n">
        <f aca="false">D6*D7/100</f>
        <v>8562.18150935</v>
      </c>
      <c r="E8" s="0" t="n">
        <f aca="false">E6*E7/100</f>
        <v>8861.9973113875</v>
      </c>
      <c r="F8" s="0" t="n">
        <f aca="false">F6*F7/100</f>
        <v>9171.45254008353</v>
      </c>
      <c r="G8" s="0" t="n">
        <f aca="false">G6*G7/100</f>
        <v>9460.80747245837</v>
      </c>
      <c r="H8" s="0" t="n">
        <f aca="false">H6*H7/100</f>
        <v>9697.32765926983</v>
      </c>
      <c r="I8" s="0" t="n">
        <f aca="false">I6*I7/100</f>
        <v>9891.27421245522</v>
      </c>
      <c r="J8" s="0" t="n">
        <f aca="false">J6*J7/100</f>
        <v>10089.0996967043</v>
      </c>
      <c r="K8" s="0" t="n">
        <f aca="false">K6*K7/100</f>
        <v>10290.8816906384</v>
      </c>
      <c r="L8" s="0" t="n">
        <f aca="false">L6*L7/100</f>
        <v>10496.6993244512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0.25</v>
      </c>
      <c r="D9" s="4" t="n">
        <f aca="false">Assumptions!D15</f>
        <v>0.25</v>
      </c>
      <c r="E9" s="4" t="n">
        <f aca="false">Assumptions!E15</f>
        <v>0.25</v>
      </c>
      <c r="F9" s="4" t="n">
        <f aca="false">Assumptions!F15</f>
        <v>0.25</v>
      </c>
      <c r="G9" s="4" t="n">
        <f aca="false">Assumptions!G15</f>
        <v>0.25</v>
      </c>
      <c r="H9" s="4" t="n">
        <f aca="false">Assumptions!H15</f>
        <v>0.25</v>
      </c>
      <c r="I9" s="4" t="n">
        <f aca="false">Assumptions!I15</f>
        <v>0.25</v>
      </c>
      <c r="J9" s="4" t="n">
        <f aca="false">Assumptions!J15</f>
        <v>0.25</v>
      </c>
      <c r="K9" s="4" t="n">
        <f aca="false">Assumptions!K15</f>
        <v>0.25</v>
      </c>
      <c r="L9" s="4" t="n">
        <f aca="false">Assumptions!L15</f>
        <v>0.25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-68.024005</v>
      </c>
      <c r="D10" s="0" t="n">
        <f aca="false">-D6*D9/100</f>
        <v>-69.724605125</v>
      </c>
      <c r="E10" s="0" t="n">
        <f aca="false">-E6*E9/100</f>
        <v>-71.467720253125</v>
      </c>
      <c r="F10" s="0" t="n">
        <f aca="false">-F6*F9/100</f>
        <v>-73.2544132594531</v>
      </c>
      <c r="G10" s="0" t="n">
        <f aca="false">-G6*G9/100</f>
        <v>-75.0857735909394</v>
      </c>
      <c r="H10" s="0" t="n">
        <f aca="false">-H6*H9/100</f>
        <v>-76.9629179307129</v>
      </c>
      <c r="I10" s="0" t="n">
        <f aca="false">-I6*I9/100</f>
        <v>-78.5021762893272</v>
      </c>
      <c r="J10" s="0" t="n">
        <f aca="false">-J6*J9/100</f>
        <v>-80.0722198151137</v>
      </c>
      <c r="K10" s="0" t="n">
        <f aca="false">-K6*K9/100</f>
        <v>-81.673664211416</v>
      </c>
      <c r="L10" s="0" t="n">
        <f aca="false">-L6*L9/100</f>
        <v>-83.3071374956443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7931.598983</v>
      </c>
      <c r="D11" s="0" t="n">
        <f aca="false">D8+D10+D24</f>
        <v>8213.558483725</v>
      </c>
      <c r="E11" s="0" t="n">
        <f aca="false">E8+E10+E24</f>
        <v>8504.65871012187</v>
      </c>
      <c r="F11" s="0" t="n">
        <f aca="false">F8+F10+F24</f>
        <v>8805.18047378626</v>
      </c>
      <c r="G11" s="0" t="n">
        <f aca="false">G8+G10+G24</f>
        <v>9085.37860450367</v>
      </c>
      <c r="H11" s="0" t="n">
        <f aca="false">H8+H10+H24</f>
        <v>9312.51306961626</v>
      </c>
      <c r="I11" s="0" t="n">
        <f aca="false">I8+I10+I24</f>
        <v>9498.76333100859</v>
      </c>
      <c r="J11" s="0" t="n">
        <f aca="false">J8+J10+J24</f>
        <v>9688.73859762876</v>
      </c>
      <c r="K11" s="0" t="n">
        <f aca="false">K8+K10+K24</f>
        <v>9882.51336958133</v>
      </c>
      <c r="L11" s="0" t="n">
        <f aca="false">L8+L10+L24</f>
        <v>10080.163636973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-2448.86418</v>
      </c>
      <c r="D12" s="4" t="n">
        <f aca="false">-D6*Assumptions!D17/100</f>
        <v>-2510.0857845</v>
      </c>
      <c r="E12" s="4" t="n">
        <f aca="false">-E6*Assumptions!E17/100</f>
        <v>-2572.8379291125</v>
      </c>
      <c r="F12" s="4" t="n">
        <f aca="false">-F6*Assumptions!F17/100</f>
        <v>-2637.15887734031</v>
      </c>
      <c r="G12" s="4" t="n">
        <f aca="false">-G6*Assumptions!G17/100</f>
        <v>-2703.08784927382</v>
      </c>
      <c r="H12" s="4" t="n">
        <f aca="false">-H6*Assumptions!H17/100</f>
        <v>-2770.66504550566</v>
      </c>
      <c r="I12" s="4" t="n">
        <f aca="false">-I6*Assumptions!I17/100</f>
        <v>-2826.07834641578</v>
      </c>
      <c r="J12" s="4" t="n">
        <f aca="false">-J6*Assumptions!J17/100</f>
        <v>-2882.59991334409</v>
      </c>
      <c r="K12" s="4" t="n">
        <f aca="false">-K6*Assumptions!K17/100</f>
        <v>-2940.25191161098</v>
      </c>
      <c r="L12" s="4" t="n">
        <f aca="false">-L6*Assumptions!L17/100</f>
        <v>-2999.05694984319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5482.734803</v>
      </c>
      <c r="D13" s="0" t="n">
        <f aca="false">D11+D12</f>
        <v>5703.472699225</v>
      </c>
      <c r="E13" s="0" t="n">
        <f aca="false">E11+E12</f>
        <v>5931.82078100937</v>
      </c>
      <c r="F13" s="0" t="n">
        <f aca="false">F11+F12</f>
        <v>6168.02159644595</v>
      </c>
      <c r="G13" s="0" t="n">
        <f aca="false">G11+G12</f>
        <v>6382.29075522985</v>
      </c>
      <c r="H13" s="0" t="n">
        <f aca="false">H11+H12</f>
        <v>6541.8480241106</v>
      </c>
      <c r="I13" s="0" t="n">
        <f aca="false">I11+I12</f>
        <v>6672.68498459281</v>
      </c>
      <c r="J13" s="0" t="n">
        <f aca="false">J11+J12</f>
        <v>6806.13868428466</v>
      </c>
      <c r="K13" s="0" t="n">
        <f aca="false">K11+K12</f>
        <v>6942.26145797036</v>
      </c>
      <c r="L13" s="0" t="n">
        <f aca="false">L11+L12</f>
        <v>7081.10668712976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26</v>
      </c>
      <c r="D14" s="4" t="n">
        <f aca="false">Assumptions!D19</f>
        <v>26</v>
      </c>
      <c r="E14" s="4" t="n">
        <f aca="false">Assumptions!E19</f>
        <v>26</v>
      </c>
      <c r="F14" s="4" t="n">
        <f aca="false">Assumptions!F19</f>
        <v>26</v>
      </c>
      <c r="G14" s="4" t="n">
        <f aca="false">Assumptions!G19</f>
        <v>26</v>
      </c>
      <c r="H14" s="4" t="n">
        <f aca="false">Assumptions!H19</f>
        <v>26</v>
      </c>
      <c r="I14" s="4" t="n">
        <f aca="false">Assumptions!I19</f>
        <v>26</v>
      </c>
      <c r="J14" s="4" t="n">
        <f aca="false">Assumptions!J19</f>
        <v>26</v>
      </c>
      <c r="K14" s="4" t="n">
        <f aca="false">Assumptions!K19</f>
        <v>26</v>
      </c>
      <c r="L14" s="4" t="n">
        <f aca="false">Assumptions!L19</f>
        <v>26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4057.22375422</v>
      </c>
      <c r="D15" s="0" t="n">
        <f aca="false">D13-MAX(0,D13)*D14/100</f>
        <v>4220.5697974265</v>
      </c>
      <c r="E15" s="0" t="n">
        <f aca="false">E13-MAX(0,E13)*E14/100</f>
        <v>4389.54737794694</v>
      </c>
      <c r="F15" s="0" t="n">
        <f aca="false">F13-MAX(0,F13)*F14/100</f>
        <v>4564.33598137</v>
      </c>
      <c r="G15" s="0" t="n">
        <f aca="false">G13-MAX(0,G13)*G14/100</f>
        <v>4722.89515887009</v>
      </c>
      <c r="H15" s="0" t="n">
        <f aca="false">H13-MAX(0,H13)*H14/100</f>
        <v>4840.96753784184</v>
      </c>
      <c r="I15" s="0" t="n">
        <f aca="false">I13-MAX(0,I13)*I14/100</f>
        <v>4937.78688859868</v>
      </c>
      <c r="J15" s="0" t="n">
        <f aca="false">J13-MAX(0,J13)*J14/100</f>
        <v>5036.54262637065</v>
      </c>
      <c r="K15" s="0" t="n">
        <f aca="false">K13-MAX(0,K13)*K14/100</f>
        <v>5137.27347889806</v>
      </c>
      <c r="L15" s="0" t="n">
        <f aca="false">L13-MAX(0,L13)*L14/100</f>
        <v>5240.01894847603</v>
      </c>
    </row>
    <row r="16" customFormat="false" ht="15" hidden="false" customHeight="false" outlineLevel="0" collapsed="false">
      <c r="A16" s="0" t="s">
        <v>128</v>
      </c>
      <c r="C16" s="0" t="n">
        <f aca="false">-C12</f>
        <v>2448.86418</v>
      </c>
      <c r="D16" s="0" t="n">
        <f aca="false">-D12</f>
        <v>2510.0857845</v>
      </c>
      <c r="E16" s="0" t="n">
        <f aca="false">-E12</f>
        <v>2572.8379291125</v>
      </c>
      <c r="F16" s="0" t="n">
        <f aca="false">-F12</f>
        <v>2637.15887734031</v>
      </c>
      <c r="G16" s="0" t="n">
        <f aca="false">-G12</f>
        <v>2703.08784927382</v>
      </c>
      <c r="H16" s="0" t="n">
        <f aca="false">-H12</f>
        <v>2770.66504550566</v>
      </c>
      <c r="I16" s="0" t="n">
        <f aca="false">-I12</f>
        <v>2826.07834641578</v>
      </c>
      <c r="J16" s="0" t="n">
        <f aca="false">-J12</f>
        <v>2882.59991334409</v>
      </c>
      <c r="K16" s="0" t="n">
        <f aca="false">-K12</f>
        <v>2940.25191161098</v>
      </c>
      <c r="L16" s="0" t="n">
        <f aca="false">-L12</f>
        <v>2999.05694984319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-3809.34428</v>
      </c>
      <c r="D17" s="4" t="n">
        <f aca="false">-D6*Assumptions!D18/100</f>
        <v>-3904.577887</v>
      </c>
      <c r="E17" s="4" t="n">
        <f aca="false">-E6*Assumptions!E18/100</f>
        <v>-3945.0181579725</v>
      </c>
      <c r="F17" s="4" t="n">
        <f aca="false">-F6*Assumptions!F18/100</f>
        <v>-3985.04008131425</v>
      </c>
      <c r="G17" s="4" t="n">
        <f aca="false">-G6*Assumptions!G18/100</f>
        <v>-4054.63177391073</v>
      </c>
      <c r="H17" s="4" t="n">
        <f aca="false">-H6*Assumptions!H18/100</f>
        <v>-4155.9975682585</v>
      </c>
      <c r="I17" s="4" t="n">
        <f aca="false">-I6*Assumptions!I18/100</f>
        <v>-4239.11751962367</v>
      </c>
      <c r="J17" s="4" t="n">
        <f aca="false">-J6*Assumptions!J18/100</f>
        <v>-4323.89987001614</v>
      </c>
      <c r="K17" s="4" t="n">
        <f aca="false">-K6*Assumptions!K18/100</f>
        <v>-4410.37786741646</v>
      </c>
      <c r="L17" s="4" t="n">
        <f aca="false">-L6*Assumptions!L18/100</f>
        <v>-4498.58542476479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-13.4701000000001</v>
      </c>
      <c r="D18" s="4" t="n">
        <f aca="false">(D6-C6)*Assumptions!$B$23/100</f>
        <v>-34.0120024999998</v>
      </c>
      <c r="E18" s="4" t="n">
        <f aca="false">(E6-D6)*Assumptions!$B$23/100</f>
        <v>-34.8623025624998</v>
      </c>
      <c r="F18" s="4" t="n">
        <f aca="false">(F6-E6)*Assumptions!$B$23/100</f>
        <v>-35.7338601265623</v>
      </c>
      <c r="G18" s="4" t="n">
        <f aca="false">(G6-F6)*Assumptions!$B$23/100</f>
        <v>-36.6272066297264</v>
      </c>
      <c r="H18" s="4" t="n">
        <f aca="false">(H6-G6)*Assumptions!$B$23/100</f>
        <v>-37.5428867954695</v>
      </c>
      <c r="I18" s="4" t="n">
        <f aca="false">(I6-H6)*Assumptions!$B$23/100</f>
        <v>-30.7851671722852</v>
      </c>
      <c r="J18" s="4" t="n">
        <f aca="false">(J6-I6)*Assumptions!$B$23/100</f>
        <v>-31.4008705157308</v>
      </c>
      <c r="K18" s="4" t="n">
        <f aca="false">(K6-J6)*Assumptions!$B$23/100</f>
        <v>-32.0288879260455</v>
      </c>
      <c r="L18" s="4" t="n">
        <f aca="false">(L6-K6)*Assumptions!$B$23/100</f>
        <v>-32.6694656845662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2683.27355422</v>
      </c>
      <c r="D19" s="0" t="n">
        <f aca="false">D15+D16+D17+D18</f>
        <v>2792.0656924265</v>
      </c>
      <c r="E19" s="0" t="n">
        <f aca="false">E15+E16+E17+E18</f>
        <v>2982.50484652444</v>
      </c>
      <c r="F19" s="0" t="n">
        <f aca="false">F15+F16+F17+F18</f>
        <v>3180.7209172695</v>
      </c>
      <c r="G19" s="0" t="n">
        <f aca="false">G15+G16+G17+G18</f>
        <v>3334.72402760345</v>
      </c>
      <c r="H19" s="0" t="n">
        <f aca="false">H15+H16+H17+H18</f>
        <v>3418.09212829354</v>
      </c>
      <c r="I19" s="0" t="n">
        <f aca="false">I15+I16+I17+I18</f>
        <v>3493.9625482185</v>
      </c>
      <c r="J19" s="0" t="n">
        <f aca="false">J15+J16+J17+J18</f>
        <v>3563.84179918287</v>
      </c>
      <c r="K19" s="0" t="n">
        <f aca="false">K15+K16+K17+K18</f>
        <v>3635.11863516653</v>
      </c>
      <c r="L19" s="0" t="n">
        <f aca="false">L15+L16+L17+L18</f>
        <v>3707.82100786986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2507.73229366355</v>
      </c>
      <c r="D21" s="0" t="n">
        <f aca="false">D19*D20</f>
        <v>2438.69830764827</v>
      </c>
      <c r="E21" s="0" t="n">
        <f aca="false">E19*E20</f>
        <v>2434.61237403457</v>
      </c>
      <c r="F21" s="0" t="n">
        <f aca="false">F19*F20</f>
        <v>2426.55675864432</v>
      </c>
      <c r="G21" s="0" t="n">
        <f aca="false">G19*G20</f>
        <v>2377.61214407338</v>
      </c>
      <c r="H21" s="0" t="n">
        <f aca="false">H19*H20</f>
        <v>2277.61910997683</v>
      </c>
      <c r="I21" s="0" t="n">
        <f aca="false">I19*I20</f>
        <v>2175.8642750575</v>
      </c>
      <c r="J21" s="0" t="n">
        <f aca="false">J19*J20</f>
        <v>2074.18837435388</v>
      </c>
      <c r="K21" s="0" t="n">
        <f aca="false">K19*K20</f>
        <v>1977.26368396351</v>
      </c>
      <c r="L21" s="0" t="n">
        <f aca="false">L19*L20</f>
        <v>1884.86818471288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1</v>
      </c>
      <c r="D23" s="4" t="n">
        <f aca="false">Assumptions!D16</f>
        <v>1</v>
      </c>
      <c r="E23" s="4" t="n">
        <f aca="false">Assumptions!E16</f>
        <v>1</v>
      </c>
      <c r="F23" s="4" t="n">
        <f aca="false">Assumptions!F16</f>
        <v>1</v>
      </c>
      <c r="G23" s="4" t="n">
        <f aca="false">Assumptions!G16</f>
        <v>1</v>
      </c>
      <c r="H23" s="4" t="n">
        <f aca="false">Assumptions!H16</f>
        <v>1</v>
      </c>
      <c r="I23" s="4" t="n">
        <f aca="false">Assumptions!I16</f>
        <v>1</v>
      </c>
      <c r="J23" s="4" t="n">
        <f aca="false">Assumptions!J16</f>
        <v>1</v>
      </c>
      <c r="K23" s="4" t="n">
        <f aca="false">Assumptions!K16</f>
        <v>1</v>
      </c>
      <c r="L23" s="4" t="n">
        <f aca="false">Assumptions!L16</f>
        <v>1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-272.09602</v>
      </c>
      <c r="D24" s="0" t="n">
        <f aca="false">-D6*D23/100</f>
        <v>-278.8984205</v>
      </c>
      <c r="E24" s="0" t="n">
        <f aca="false">-E6*E23/100</f>
        <v>-285.8708810125</v>
      </c>
      <c r="F24" s="0" t="n">
        <f aca="false">-F6*F23/100</f>
        <v>-293.017653037812</v>
      </c>
      <c r="G24" s="0" t="n">
        <f aca="false">-G6*G23/100</f>
        <v>-300.343094363758</v>
      </c>
      <c r="H24" s="0" t="n">
        <f aca="false">-H6*H23/100</f>
        <v>-307.851671722852</v>
      </c>
      <c r="I24" s="0" t="n">
        <f aca="false">-I6*I23/100</f>
        <v>-314.008705157309</v>
      </c>
      <c r="J24" s="0" t="n">
        <f aca="false">-J6*J23/100</f>
        <v>-320.288879260455</v>
      </c>
      <c r="K24" s="0" t="n">
        <f aca="false">-K6*K23/100</f>
        <v>-326.694656845664</v>
      </c>
      <c r="L24" s="0" t="n">
        <f aca="false">-L6*L23/100</f>
        <v>-333.228549982577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22575.0155061287</v>
      </c>
    </row>
    <row r="31" customFormat="false" ht="15" hidden="false" customHeight="false" outlineLevel="0" collapsed="false">
      <c r="A31" s="0" t="s">
        <v>137</v>
      </c>
      <c r="B31" s="0" t="n">
        <f aca="false">L19</f>
        <v>3707.82100786986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75639.5485605452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74156.4201573973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74156.4201573973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37697.3636942576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60272.3792003863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44061.4792003863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69.083535905278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-0.604513762850481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525.781314253155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863.92213726388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71.2624375225828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29092.1340617482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10.6121209604638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1.9</v>
      </c>
      <c r="D5" s="4" t="n">
        <f aca="false">Assumptions!D27</f>
        <v>4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26940.2</v>
      </c>
      <c r="C6" s="0" t="n">
        <f aca="false">B6*(1+C5/100)</f>
        <v>27452.0638</v>
      </c>
      <c r="D6" s="0" t="n">
        <f aca="false">C6*(1+D5/100)</f>
        <v>28550.146352</v>
      </c>
      <c r="E6" s="0" t="n">
        <f aca="false">D6*(1+E5/100)</f>
        <v>29692.15220608</v>
      </c>
      <c r="F6" s="0" t="n">
        <f aca="false">E6*(1+F5/100)</f>
        <v>30879.8382943232</v>
      </c>
      <c r="G6" s="0" t="n">
        <f aca="false">F6*(1+G5/100)</f>
        <v>31960.6326346245</v>
      </c>
      <c r="H6" s="0" t="n">
        <f aca="false">G6*(1+H5/100)</f>
        <v>33079.2547768364</v>
      </c>
      <c r="I6" s="0" t="n">
        <f aca="false">H6*(1+I5/100)</f>
        <v>34071.6324201415</v>
      </c>
      <c r="J6" s="0" t="n">
        <f aca="false">I6*(1+J5/100)</f>
        <v>35093.7813927457</v>
      </c>
      <c r="K6" s="0" t="n">
        <f aca="false">J6*(1+K5/100)</f>
        <v>35971.1259275643</v>
      </c>
      <c r="L6" s="0" t="n">
        <f aca="false">K6*(1+L5/100)</f>
        <v>36870.4040757534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30.8</v>
      </c>
      <c r="D7" s="4" t="n">
        <f aca="false">Assumptions!D28</f>
        <v>31.4</v>
      </c>
      <c r="E7" s="4" t="n">
        <f aca="false">Assumptions!E28</f>
        <v>32</v>
      </c>
      <c r="F7" s="4" t="n">
        <f aca="false">Assumptions!F28</f>
        <v>32.6</v>
      </c>
      <c r="G7" s="4" t="n">
        <f aca="false">Assumptions!G28</f>
        <v>33.2</v>
      </c>
      <c r="H7" s="4" t="n">
        <f aca="false">Assumptions!H28</f>
        <v>33.5</v>
      </c>
      <c r="I7" s="4" t="n">
        <f aca="false">Assumptions!I28</f>
        <v>33.5</v>
      </c>
      <c r="J7" s="4" t="n">
        <f aca="false">Assumptions!J28</f>
        <v>33.5</v>
      </c>
      <c r="K7" s="4" t="n">
        <f aca="false">Assumptions!K28</f>
        <v>33.5</v>
      </c>
      <c r="L7" s="4" t="n">
        <f aca="false">Assumptions!L28</f>
        <v>33.5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8455.2356504</v>
      </c>
      <c r="D8" s="0" t="n">
        <f aca="false">D6*D7/100</f>
        <v>8964.745954528</v>
      </c>
      <c r="E8" s="0" t="n">
        <f aca="false">E6*E7/100</f>
        <v>9501.4887059456</v>
      </c>
      <c r="F8" s="0" t="n">
        <f aca="false">F6*F7/100</f>
        <v>10066.8272839494</v>
      </c>
      <c r="G8" s="0" t="n">
        <f aca="false">G6*G7/100</f>
        <v>10610.9300346953</v>
      </c>
      <c r="H8" s="0" t="n">
        <f aca="false">H6*H7/100</f>
        <v>11081.5503502402</v>
      </c>
      <c r="I8" s="0" t="n">
        <f aca="false">I6*I7/100</f>
        <v>11413.9968607474</v>
      </c>
      <c r="J8" s="0" t="n">
        <f aca="false">J6*J7/100</f>
        <v>11756.4167665698</v>
      </c>
      <c r="K8" s="0" t="n">
        <f aca="false">K6*K7/100</f>
        <v>12050.3271857341</v>
      </c>
      <c r="L8" s="0" t="n">
        <f aca="false">L6*L7/100</f>
        <v>12351.5853653774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0.25</v>
      </c>
      <c r="D9" s="4" t="n">
        <f aca="false">Assumptions!D29</f>
        <v>0.25</v>
      </c>
      <c r="E9" s="4" t="n">
        <f aca="false">Assumptions!E29</f>
        <v>0.25</v>
      </c>
      <c r="F9" s="4" t="n">
        <f aca="false">Assumptions!F29</f>
        <v>0.25</v>
      </c>
      <c r="G9" s="4" t="n">
        <f aca="false">Assumptions!G29</f>
        <v>0.25</v>
      </c>
      <c r="H9" s="4" t="n">
        <f aca="false">Assumptions!H29</f>
        <v>0.25</v>
      </c>
      <c r="I9" s="4" t="n">
        <f aca="false">Assumptions!I29</f>
        <v>0.25</v>
      </c>
      <c r="J9" s="4" t="n">
        <f aca="false">Assumptions!J29</f>
        <v>0.25</v>
      </c>
      <c r="K9" s="4" t="n">
        <f aca="false">Assumptions!K29</f>
        <v>0.25</v>
      </c>
      <c r="L9" s="4" t="n">
        <f aca="false">Assumptions!L29</f>
        <v>0.25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-68.6301595</v>
      </c>
      <c r="D10" s="0" t="n">
        <f aca="false">-D6*D9/100</f>
        <v>-71.37536588</v>
      </c>
      <c r="E10" s="0" t="n">
        <f aca="false">-E6*E9/100</f>
        <v>-74.2303805152</v>
      </c>
      <c r="F10" s="0" t="n">
        <f aca="false">-F6*F9/100</f>
        <v>-77.199595735808</v>
      </c>
      <c r="G10" s="0" t="n">
        <f aca="false">-G6*G9/100</f>
        <v>-79.9015815865613</v>
      </c>
      <c r="H10" s="0" t="n">
        <f aca="false">-H6*H9/100</f>
        <v>-82.6981369420909</v>
      </c>
      <c r="I10" s="0" t="n">
        <f aca="false">-I6*I9/100</f>
        <v>-85.1790810503537</v>
      </c>
      <c r="J10" s="0" t="n">
        <f aca="false">-J6*J9/100</f>
        <v>-87.7344534818643</v>
      </c>
      <c r="K10" s="0" t="n">
        <f aca="false">-K6*K9/100</f>
        <v>-89.9278148189109</v>
      </c>
      <c r="L10" s="0" t="n">
        <f aca="false">-L6*L9/100</f>
        <v>-92.1760101893836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8112.0848529</v>
      </c>
      <c r="D11" s="0" t="n">
        <f aca="false">D8+D10+D24</f>
        <v>8607.869125128</v>
      </c>
      <c r="E11" s="0" t="n">
        <f aca="false">E8+E10+E24</f>
        <v>9130.3368033696</v>
      </c>
      <c r="F11" s="0" t="n">
        <f aca="false">F8+F10+F24</f>
        <v>9680.82930527032</v>
      </c>
      <c r="G11" s="0" t="n">
        <f aca="false">G8+G10+G24</f>
        <v>10211.4221267625</v>
      </c>
      <c r="H11" s="0" t="n">
        <f aca="false">H8+H10+H24</f>
        <v>10668.0596655297</v>
      </c>
      <c r="I11" s="0" t="n">
        <f aca="false">I8+I10+I24</f>
        <v>10988.1014554956</v>
      </c>
      <c r="J11" s="0" t="n">
        <f aca="false">J8+J10+J24</f>
        <v>11317.7444991605</v>
      </c>
      <c r="K11" s="0" t="n">
        <f aca="false">K8+K10+K24</f>
        <v>11600.6881116395</v>
      </c>
      <c r="L11" s="0" t="n">
        <f aca="false">L8+L10+L24</f>
        <v>11890.7053144305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-2470.685742</v>
      </c>
      <c r="D12" s="4" t="n">
        <f aca="false">-D6*Assumptions!D31/100</f>
        <v>-2569.51317168</v>
      </c>
      <c r="E12" s="4" t="n">
        <f aca="false">-E6*Assumptions!E31/100</f>
        <v>-2672.2936985472</v>
      </c>
      <c r="F12" s="4" t="n">
        <f aca="false">-F6*Assumptions!F31/100</f>
        <v>-2779.18544648909</v>
      </c>
      <c r="G12" s="4" t="n">
        <f aca="false">-G6*Assumptions!G31/100</f>
        <v>-2876.45693711621</v>
      </c>
      <c r="H12" s="4" t="n">
        <f aca="false">-H6*Assumptions!H31/100</f>
        <v>-2977.13292991527</v>
      </c>
      <c r="I12" s="4" t="n">
        <f aca="false">-I6*Assumptions!I31/100</f>
        <v>-3066.44691781273</v>
      </c>
      <c r="J12" s="4" t="n">
        <f aca="false">-J6*Assumptions!J31/100</f>
        <v>-3158.44032534711</v>
      </c>
      <c r="K12" s="4" t="n">
        <f aca="false">-K6*Assumptions!K31/100</f>
        <v>-3237.40133348079</v>
      </c>
      <c r="L12" s="4" t="n">
        <f aca="false">-L6*Assumptions!L31/100</f>
        <v>-3318.33636681781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5641.3991109</v>
      </c>
      <c r="D13" s="0" t="n">
        <f aca="false">D11+D12</f>
        <v>6038.355953448</v>
      </c>
      <c r="E13" s="0" t="n">
        <f aca="false">E11+E12</f>
        <v>6458.0431048224</v>
      </c>
      <c r="F13" s="0" t="n">
        <f aca="false">F11+F12</f>
        <v>6901.64385878123</v>
      </c>
      <c r="G13" s="0" t="n">
        <f aca="false">G11+G12</f>
        <v>7334.96518964633</v>
      </c>
      <c r="H13" s="0" t="n">
        <f aca="false">H11+H12</f>
        <v>7690.92673561446</v>
      </c>
      <c r="I13" s="0" t="n">
        <f aca="false">I11+I12</f>
        <v>7921.65453768289</v>
      </c>
      <c r="J13" s="0" t="n">
        <f aca="false">J11+J12</f>
        <v>8159.30417381338</v>
      </c>
      <c r="K13" s="0" t="n">
        <f aca="false">K11+K12</f>
        <v>8363.28677815871</v>
      </c>
      <c r="L13" s="0" t="n">
        <f aca="false">L11+L12</f>
        <v>8572.36894761268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25.5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4202.8423376205</v>
      </c>
      <c r="D15" s="0" t="n">
        <f aca="false">D13-MAX(0,D13)*D14/100</f>
        <v>4528.766965086</v>
      </c>
      <c r="E15" s="0" t="n">
        <f aca="false">E13-MAX(0,E13)*E14/100</f>
        <v>4843.5323286168</v>
      </c>
      <c r="F15" s="0" t="n">
        <f aca="false">F13-MAX(0,F13)*F14/100</f>
        <v>5176.23289408593</v>
      </c>
      <c r="G15" s="0" t="n">
        <f aca="false">G13-MAX(0,G13)*G14/100</f>
        <v>5501.22389223475</v>
      </c>
      <c r="H15" s="0" t="n">
        <f aca="false">H13-MAX(0,H13)*H14/100</f>
        <v>5768.19505171084</v>
      </c>
      <c r="I15" s="0" t="n">
        <f aca="false">I13-MAX(0,I13)*I14/100</f>
        <v>5941.24090326217</v>
      </c>
      <c r="J15" s="0" t="n">
        <f aca="false">J13-MAX(0,J13)*J14/100</f>
        <v>6119.47813036003</v>
      </c>
      <c r="K15" s="0" t="n">
        <f aca="false">K13-MAX(0,K13)*K14/100</f>
        <v>6272.46508361903</v>
      </c>
      <c r="L15" s="0" t="n">
        <f aca="false">L13-MAX(0,L13)*L14/100</f>
        <v>6429.27671070951</v>
      </c>
    </row>
    <row r="16" customFormat="false" ht="15" hidden="false" customHeight="false" outlineLevel="0" collapsed="false">
      <c r="A16" s="0" t="s">
        <v>128</v>
      </c>
      <c r="C16" s="0" t="n">
        <f aca="false">-C12</f>
        <v>2470.685742</v>
      </c>
      <c r="D16" s="0" t="n">
        <f aca="false">-D12</f>
        <v>2569.51317168</v>
      </c>
      <c r="E16" s="0" t="n">
        <f aca="false">-E12</f>
        <v>2672.2936985472</v>
      </c>
      <c r="F16" s="0" t="n">
        <f aca="false">-F12</f>
        <v>2779.18544648909</v>
      </c>
      <c r="G16" s="0" t="n">
        <f aca="false">-G12</f>
        <v>2876.45693711621</v>
      </c>
      <c r="H16" s="0" t="n">
        <f aca="false">-H12</f>
        <v>2977.13292991527</v>
      </c>
      <c r="I16" s="0" t="n">
        <f aca="false">-I12</f>
        <v>3066.44691781273</v>
      </c>
      <c r="J16" s="0" t="n">
        <f aca="false">-J12</f>
        <v>3158.44032534711</v>
      </c>
      <c r="K16" s="0" t="n">
        <f aca="false">-K12</f>
        <v>3237.40133348079</v>
      </c>
      <c r="L16" s="0" t="n">
        <f aca="false">-L12</f>
        <v>3318.33636681781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-3788.3848044</v>
      </c>
      <c r="D17" s="4" t="n">
        <f aca="false">-D6*Assumptions!D32/100</f>
        <v>-3854.26975752</v>
      </c>
      <c r="E17" s="4" t="n">
        <f aca="false">-E6*Assumptions!E32/100</f>
        <v>-3919.36409120256</v>
      </c>
      <c r="F17" s="4" t="n">
        <f aca="false">-F6*Assumptions!F32/100</f>
        <v>-4014.37897826202</v>
      </c>
      <c r="G17" s="4" t="n">
        <f aca="false">-G6*Assumptions!G32/100</f>
        <v>-4090.96097723194</v>
      </c>
      <c r="H17" s="4" t="n">
        <f aca="false">-H6*Assumptions!H32/100</f>
        <v>-4134.90684710455</v>
      </c>
      <c r="I17" s="4" t="n">
        <f aca="false">-I6*Assumptions!I32/100</f>
        <v>-4190.8107876774</v>
      </c>
      <c r="J17" s="4" t="n">
        <f aca="false">-J6*Assumptions!J32/100</f>
        <v>-4211.25376712948</v>
      </c>
      <c r="K17" s="4" t="n">
        <f aca="false">-K6*Assumptions!K32/100</f>
        <v>-4316.53511130772</v>
      </c>
      <c r="L17" s="4" t="n">
        <f aca="false">-L6*Assumptions!L32/100</f>
        <v>-4424.44848909041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-25.59319</v>
      </c>
      <c r="D18" s="4" t="n">
        <f aca="false">(D6-C6)*Assumptions!$B$37/100</f>
        <v>-54.9041276</v>
      </c>
      <c r="E18" s="4" t="n">
        <f aca="false">(E6-D6)*Assumptions!$B$37/100</f>
        <v>-57.1002927040001</v>
      </c>
      <c r="F18" s="4" t="n">
        <f aca="false">(F6-E6)*Assumptions!$B$37/100</f>
        <v>-59.3843044121601</v>
      </c>
      <c r="G18" s="4" t="n">
        <f aca="false">(G6-F6)*Assumptions!$B$37/100</f>
        <v>-54.0397170150654</v>
      </c>
      <c r="H18" s="4" t="n">
        <f aca="false">(H6-G6)*Assumptions!$B$37/100</f>
        <v>-55.9311071105927</v>
      </c>
      <c r="I18" s="4" t="n">
        <f aca="false">(I6-H6)*Assumptions!$B$37/100</f>
        <v>-49.6188821652548</v>
      </c>
      <c r="J18" s="4" t="n">
        <f aca="false">(J6-I6)*Assumptions!$B$37/100</f>
        <v>-51.1074486302121</v>
      </c>
      <c r="K18" s="4" t="n">
        <f aca="false">(K6-J6)*Assumptions!$B$37/100</f>
        <v>-43.8672267409318</v>
      </c>
      <c r="L18" s="4" t="n">
        <f aca="false">(L6-K6)*Assumptions!$B$37/100</f>
        <v>-44.9639074094554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2859.5500852205</v>
      </c>
      <c r="D19" s="0" t="n">
        <f aca="false">D15+D16+D17+D18</f>
        <v>3189.106251646</v>
      </c>
      <c r="E19" s="0" t="n">
        <f aca="false">E15+E16+E17+E18</f>
        <v>3539.36164325744</v>
      </c>
      <c r="F19" s="0" t="n">
        <f aca="false">F15+F16+F17+F18</f>
        <v>3881.65505790084</v>
      </c>
      <c r="G19" s="0" t="n">
        <f aca="false">G15+G16+G17+G18</f>
        <v>4232.68013510395</v>
      </c>
      <c r="H19" s="0" t="n">
        <f aca="false">H15+H16+H17+H18</f>
        <v>4554.49002741098</v>
      </c>
      <c r="I19" s="0" t="n">
        <f aca="false">I15+I16+I17+I18</f>
        <v>4767.25815123225</v>
      </c>
      <c r="J19" s="0" t="n">
        <f aca="false">J15+J16+J17+J18</f>
        <v>5015.55723994745</v>
      </c>
      <c r="K19" s="0" t="n">
        <f aca="false">K15+K16+K17+K18</f>
        <v>5149.46407905117</v>
      </c>
      <c r="L19" s="0" t="n">
        <f aca="false">L15+L16+L17+L18</f>
        <v>5278.20068102745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2672.47671515935</v>
      </c>
      <c r="D21" s="0" t="n">
        <f aca="false">D19*D20</f>
        <v>2785.48890876583</v>
      </c>
      <c r="E21" s="0" t="n">
        <f aca="false">E19*E20</f>
        <v>2889.17339493996</v>
      </c>
      <c r="F21" s="0" t="n">
        <f aca="false">F19*F20</f>
        <v>2961.29605849261</v>
      </c>
      <c r="G21" s="0" t="n">
        <f aca="false">G19*G20</f>
        <v>3017.84243850418</v>
      </c>
      <c r="H21" s="0" t="n">
        <f aca="false">H19*H20</f>
        <v>3034.84901321516</v>
      </c>
      <c r="I21" s="0" t="n">
        <f aca="false">I19*I20</f>
        <v>2968.80878317709</v>
      </c>
      <c r="J21" s="0" t="n">
        <f aca="false">J19*J20</f>
        <v>2919.09997811651</v>
      </c>
      <c r="K21" s="0" t="n">
        <f aca="false">K19*K20</f>
        <v>2800.96726882094</v>
      </c>
      <c r="L21" s="0" t="n">
        <f aca="false">L19*L20</f>
        <v>2683.16957994529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1</v>
      </c>
      <c r="D23" s="4" t="n">
        <f aca="false">Assumptions!D30</f>
        <v>1</v>
      </c>
      <c r="E23" s="4" t="n">
        <f aca="false">Assumptions!E30</f>
        <v>1</v>
      </c>
      <c r="F23" s="4" t="n">
        <f aca="false">Assumptions!F30</f>
        <v>1</v>
      </c>
      <c r="G23" s="4" t="n">
        <f aca="false">Assumptions!G30</f>
        <v>1</v>
      </c>
      <c r="H23" s="4" t="n">
        <f aca="false">Assumptions!H30</f>
        <v>1</v>
      </c>
      <c r="I23" s="4" t="n">
        <f aca="false">Assumptions!I30</f>
        <v>1</v>
      </c>
      <c r="J23" s="4" t="n">
        <f aca="false">Assumptions!J30</f>
        <v>1</v>
      </c>
      <c r="K23" s="4" t="n">
        <f aca="false">Assumptions!K30</f>
        <v>1</v>
      </c>
      <c r="L23" s="4" t="n">
        <f aca="false">Assumptions!L30</f>
        <v>1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-274.520638</v>
      </c>
      <c r="D24" s="0" t="n">
        <f aca="false">-D6*D23/100</f>
        <v>-285.50146352</v>
      </c>
      <c r="E24" s="0" t="n">
        <f aca="false">-E6*E23/100</f>
        <v>-296.9215220608</v>
      </c>
      <c r="F24" s="0" t="n">
        <f aca="false">-F6*F23/100</f>
        <v>-308.798382943232</v>
      </c>
      <c r="G24" s="0" t="n">
        <f aca="false">-G6*G23/100</f>
        <v>-319.606326346245</v>
      </c>
      <c r="H24" s="0" t="n">
        <f aca="false">-H6*H23/100</f>
        <v>-330.792547768364</v>
      </c>
      <c r="I24" s="0" t="n">
        <f aca="false">-I6*I23/100</f>
        <v>-340.716324201415</v>
      </c>
      <c r="J24" s="0" t="n">
        <f aca="false">-J6*J23/100</f>
        <v>-350.937813927457</v>
      </c>
      <c r="K24" s="0" t="n">
        <f aca="false">-K6*K23/100</f>
        <v>-359.711259275643</v>
      </c>
      <c r="L24" s="0" t="n">
        <f aca="false">-L6*L23/100</f>
        <v>-368.704040757535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28733.1721391369</v>
      </c>
    </row>
    <row r="31" customFormat="false" ht="15" hidden="false" customHeight="false" outlineLevel="0" collapsed="false">
      <c r="A31" s="0" t="s">
        <v>137</v>
      </c>
      <c r="B31" s="0" t="n">
        <f aca="false">L19</f>
        <v>5278.20068102745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120225.682178958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105564.013620549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105564.013620549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53663.3915989057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82396.5637380426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66185.6637380426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103.77181520546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-0.405931902876916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557.925516482359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1067.31221710811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106.320008578917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43281.2455844251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22.2730969343033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2.5</v>
      </c>
      <c r="D5" s="4" t="n">
        <f aca="false">Assumptions!D41</f>
        <v>5</v>
      </c>
      <c r="E5" s="4" t="n">
        <f aca="false">Assumptions!E41</f>
        <v>5.5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26940.2</v>
      </c>
      <c r="C6" s="0" t="n">
        <f aca="false">B6*(1+C5/100)</f>
        <v>27613.705</v>
      </c>
      <c r="D6" s="0" t="n">
        <f aca="false">C6*(1+D5/100)</f>
        <v>28994.39025</v>
      </c>
      <c r="E6" s="0" t="n">
        <f aca="false">D6*(1+E5/100)</f>
        <v>30589.08171375</v>
      </c>
      <c r="F6" s="0" t="n">
        <f aca="false">E6*(1+F5/100)</f>
        <v>32271.4812080062</v>
      </c>
      <c r="G6" s="0" t="n">
        <f aca="false">F6*(1+G5/100)</f>
        <v>33885.0552684066</v>
      </c>
      <c r="H6" s="0" t="n">
        <f aca="false">G6*(1+H5/100)</f>
        <v>35409.8827554849</v>
      </c>
      <c r="I6" s="0" t="n">
        <f aca="false">H6*(1+I5/100)</f>
        <v>36826.2780657042</v>
      </c>
      <c r="J6" s="0" t="n">
        <f aca="false">I6*(1+J5/100)</f>
        <v>38115.1977980039</v>
      </c>
      <c r="K6" s="0" t="n">
        <f aca="false">J6*(1+K5/100)</f>
        <v>39258.653731944</v>
      </c>
      <c r="L6" s="0" t="n">
        <f aca="false">K6*(1+L5/100)</f>
        <v>40436.4133439023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31</v>
      </c>
      <c r="D7" s="4" t="n">
        <f aca="false">Assumptions!D42</f>
        <v>32.2</v>
      </c>
      <c r="E7" s="4" t="n">
        <f aca="false">Assumptions!E42</f>
        <v>33.4</v>
      </c>
      <c r="F7" s="4" t="n">
        <f aca="false">Assumptions!F42</f>
        <v>34.6</v>
      </c>
      <c r="G7" s="4" t="n">
        <f aca="false">Assumptions!G42</f>
        <v>35.8</v>
      </c>
      <c r="H7" s="4" t="n">
        <f aca="false">Assumptions!H42</f>
        <v>36.2</v>
      </c>
      <c r="I7" s="4" t="n">
        <f aca="false">Assumptions!I42</f>
        <v>36.5</v>
      </c>
      <c r="J7" s="4" t="n">
        <f aca="false">Assumptions!J42</f>
        <v>36.5</v>
      </c>
      <c r="K7" s="4" t="n">
        <f aca="false">Assumptions!K42</f>
        <v>36.5</v>
      </c>
      <c r="L7" s="4" t="n">
        <f aca="false">Assumptions!L42</f>
        <v>36.5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8560.24855</v>
      </c>
      <c r="D8" s="0" t="n">
        <f aca="false">D6*D7/100</f>
        <v>9336.1936605</v>
      </c>
      <c r="E8" s="0" t="n">
        <f aca="false">E6*E7/100</f>
        <v>10216.7532923925</v>
      </c>
      <c r="F8" s="0" t="n">
        <f aca="false">F6*F7/100</f>
        <v>11165.9324979702</v>
      </c>
      <c r="G8" s="0" t="n">
        <f aca="false">G6*G7/100</f>
        <v>12130.8497860896</v>
      </c>
      <c r="H8" s="0" t="n">
        <f aca="false">H6*H7/100</f>
        <v>12818.3775574855</v>
      </c>
      <c r="I8" s="0" t="n">
        <f aca="false">I6*I7/100</f>
        <v>13441.591493982</v>
      </c>
      <c r="J8" s="0" t="n">
        <f aca="false">J6*J7/100</f>
        <v>13912.0471962714</v>
      </c>
      <c r="K8" s="0" t="n">
        <f aca="false">K6*K7/100</f>
        <v>14329.4086121596</v>
      </c>
      <c r="L8" s="0" t="n">
        <f aca="false">L6*L7/100</f>
        <v>14759.2908705244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0.25</v>
      </c>
      <c r="D9" s="4" t="n">
        <f aca="false">Assumptions!D43</f>
        <v>0.25</v>
      </c>
      <c r="E9" s="4" t="n">
        <f aca="false">Assumptions!E43</f>
        <v>0.25</v>
      </c>
      <c r="F9" s="4" t="n">
        <f aca="false">Assumptions!F43</f>
        <v>0.25</v>
      </c>
      <c r="G9" s="4" t="n">
        <f aca="false">Assumptions!G43</f>
        <v>0.25</v>
      </c>
      <c r="H9" s="4" t="n">
        <f aca="false">Assumptions!H43</f>
        <v>0.25</v>
      </c>
      <c r="I9" s="4" t="n">
        <f aca="false">Assumptions!I43</f>
        <v>0.25</v>
      </c>
      <c r="J9" s="4" t="n">
        <f aca="false">Assumptions!J43</f>
        <v>0.25</v>
      </c>
      <c r="K9" s="4" t="n">
        <f aca="false">Assumptions!K43</f>
        <v>0.25</v>
      </c>
      <c r="L9" s="4" t="n">
        <f aca="false">Assumptions!L43</f>
        <v>0.25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-69.0342625</v>
      </c>
      <c r="D10" s="0" t="n">
        <f aca="false">-D6*D9/100</f>
        <v>-72.485975625</v>
      </c>
      <c r="E10" s="0" t="n">
        <f aca="false">-E6*E9/100</f>
        <v>-76.472704284375</v>
      </c>
      <c r="F10" s="0" t="n">
        <f aca="false">-F6*F9/100</f>
        <v>-80.6787030200156</v>
      </c>
      <c r="G10" s="0" t="n">
        <f aca="false">-G6*G9/100</f>
        <v>-84.7126381710164</v>
      </c>
      <c r="H10" s="0" t="n">
        <f aca="false">-H6*H9/100</f>
        <v>-88.5247068887121</v>
      </c>
      <c r="I10" s="0" t="n">
        <f aca="false">-I6*I9/100</f>
        <v>-92.0656951642606</v>
      </c>
      <c r="J10" s="0" t="n">
        <f aca="false">-J6*J9/100</f>
        <v>-95.2879944950097</v>
      </c>
      <c r="K10" s="0" t="n">
        <f aca="false">-K6*K9/100</f>
        <v>-98.14663432986</v>
      </c>
      <c r="L10" s="0" t="n">
        <f aca="false">-L6*L9/100</f>
        <v>-101.091033359756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8215.0772375</v>
      </c>
      <c r="D11" s="0" t="n">
        <f aca="false">D8+D10+D24</f>
        <v>8973.763782375</v>
      </c>
      <c r="E11" s="0" t="n">
        <f aca="false">E8+E10+E24</f>
        <v>9834.38977097062</v>
      </c>
      <c r="F11" s="0" t="n">
        <f aca="false">F8+F10+F24</f>
        <v>10762.5389828701</v>
      </c>
      <c r="G11" s="0" t="n">
        <f aca="false">G8+G10+G24</f>
        <v>11707.2865952345</v>
      </c>
      <c r="H11" s="0" t="n">
        <f aca="false">H8+H10+H24</f>
        <v>12375.754023042</v>
      </c>
      <c r="I11" s="0" t="n">
        <f aca="false">I8+I10+I24</f>
        <v>12981.2630181607</v>
      </c>
      <c r="J11" s="0" t="n">
        <f aca="false">J8+J10+J24</f>
        <v>13435.6072237964</v>
      </c>
      <c r="K11" s="0" t="n">
        <f aca="false">K8+K10+K24</f>
        <v>13838.6754405103</v>
      </c>
      <c r="L11" s="0" t="n">
        <f aca="false">L8+L10+L24</f>
        <v>14253.8357037256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-2485.23345</v>
      </c>
      <c r="D12" s="4" t="n">
        <f aca="false">-D6*Assumptions!D45/100</f>
        <v>-2609.4951225</v>
      </c>
      <c r="E12" s="4" t="n">
        <f aca="false">-E6*Assumptions!E45/100</f>
        <v>-2753.0173542375</v>
      </c>
      <c r="F12" s="4" t="n">
        <f aca="false">-F6*Assumptions!F45/100</f>
        <v>-2904.43330872056</v>
      </c>
      <c r="G12" s="4" t="n">
        <f aca="false">-G6*Assumptions!G45/100</f>
        <v>-3049.65497415659</v>
      </c>
      <c r="H12" s="4" t="n">
        <f aca="false">-H6*Assumptions!H45/100</f>
        <v>-3186.88944799364</v>
      </c>
      <c r="I12" s="4" t="n">
        <f aca="false">-I6*Assumptions!I45/100</f>
        <v>-3314.36502591338</v>
      </c>
      <c r="J12" s="4" t="n">
        <f aca="false">-J6*Assumptions!J45/100</f>
        <v>-3430.36780182035</v>
      </c>
      <c r="K12" s="4" t="n">
        <f aca="false">-K6*Assumptions!K45/100</f>
        <v>-3533.27883587496</v>
      </c>
      <c r="L12" s="4" t="n">
        <f aca="false">-L6*Assumptions!L45/100</f>
        <v>-3639.27720095121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5729.8437875</v>
      </c>
      <c r="D13" s="0" t="n">
        <f aca="false">D11+D12</f>
        <v>6364.268659875</v>
      </c>
      <c r="E13" s="0" t="n">
        <f aca="false">E11+E12</f>
        <v>7081.37241673312</v>
      </c>
      <c r="F13" s="0" t="n">
        <f aca="false">F11+F12</f>
        <v>7858.10567414952</v>
      </c>
      <c r="G13" s="0" t="n">
        <f aca="false">G11+G12</f>
        <v>8657.63162107788</v>
      </c>
      <c r="H13" s="0" t="n">
        <f aca="false">H11+H12</f>
        <v>9188.86457504832</v>
      </c>
      <c r="I13" s="0" t="n">
        <f aca="false">I11+I12</f>
        <v>9666.89799224736</v>
      </c>
      <c r="J13" s="0" t="n">
        <f aca="false">J11+J12</f>
        <v>10005.239421976</v>
      </c>
      <c r="K13" s="0" t="n">
        <f aca="false">K11+K12</f>
        <v>10305.3966046353</v>
      </c>
      <c r="L13" s="0" t="n">
        <f aca="false">L11+L12</f>
        <v>10614.5585027744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25.5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4268.7336216875</v>
      </c>
      <c r="D15" s="0" t="n">
        <f aca="false">D13-MAX(0,D13)*D14/100</f>
        <v>4773.20149490625</v>
      </c>
      <c r="E15" s="0" t="n">
        <f aca="false">E13-MAX(0,E13)*E14/100</f>
        <v>5311.02931254984</v>
      </c>
      <c r="F15" s="0" t="n">
        <f aca="false">F13-MAX(0,F13)*F14/100</f>
        <v>5893.57925561214</v>
      </c>
      <c r="G15" s="0" t="n">
        <f aca="false">G13-MAX(0,G13)*G14/100</f>
        <v>6493.22371580841</v>
      </c>
      <c r="H15" s="0" t="n">
        <f aca="false">H13-MAX(0,H13)*H14/100</f>
        <v>6891.64843128624</v>
      </c>
      <c r="I15" s="0" t="n">
        <f aca="false">I13-MAX(0,I13)*I14/100</f>
        <v>7250.17349418552</v>
      </c>
      <c r="J15" s="0" t="n">
        <f aca="false">J13-MAX(0,J13)*J14/100</f>
        <v>7503.92956648202</v>
      </c>
      <c r="K15" s="0" t="n">
        <f aca="false">K13-MAX(0,K13)*K14/100</f>
        <v>7729.04745347648</v>
      </c>
      <c r="L15" s="0" t="n">
        <f aca="false">L13-MAX(0,L13)*L14/100</f>
        <v>7960.91887708077</v>
      </c>
    </row>
    <row r="16" customFormat="false" ht="15" hidden="false" customHeight="false" outlineLevel="0" collapsed="false">
      <c r="A16" s="0" t="s">
        <v>128</v>
      </c>
      <c r="C16" s="0" t="n">
        <f aca="false">-C12</f>
        <v>2485.23345</v>
      </c>
      <c r="D16" s="0" t="n">
        <f aca="false">-D12</f>
        <v>2609.4951225</v>
      </c>
      <c r="E16" s="0" t="n">
        <f aca="false">-E12</f>
        <v>2753.0173542375</v>
      </c>
      <c r="F16" s="0" t="n">
        <f aca="false">-F12</f>
        <v>2904.43330872056</v>
      </c>
      <c r="G16" s="0" t="n">
        <f aca="false">-G12</f>
        <v>3049.65497415659</v>
      </c>
      <c r="H16" s="0" t="n">
        <f aca="false">-H12</f>
        <v>3186.88944799364</v>
      </c>
      <c r="I16" s="0" t="n">
        <f aca="false">-I12</f>
        <v>3314.36502591338</v>
      </c>
      <c r="J16" s="0" t="n">
        <f aca="false">-J12</f>
        <v>3430.36780182035</v>
      </c>
      <c r="K16" s="0" t="n">
        <f aca="false">-K12</f>
        <v>3533.27883587496</v>
      </c>
      <c r="L16" s="0" t="n">
        <f aca="false">-L12</f>
        <v>3639.27720095121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-3810.69129</v>
      </c>
      <c r="D17" s="4" t="n">
        <f aca="false">-D6*Assumptions!D46/100</f>
        <v>-3914.24268375</v>
      </c>
      <c r="E17" s="4" t="n">
        <f aca="false">-E6*Assumptions!E46/100</f>
        <v>-3976.5806227875</v>
      </c>
      <c r="F17" s="4" t="n">
        <f aca="false">-F6*Assumptions!F46/100</f>
        <v>-4033.93515100078</v>
      </c>
      <c r="G17" s="4" t="n">
        <f aca="false">-G6*Assumptions!G46/100</f>
        <v>-4133.9767427456</v>
      </c>
      <c r="H17" s="4" t="n">
        <f aca="false">-H6*Assumptions!H46/100</f>
        <v>-4249.18593065818</v>
      </c>
      <c r="I17" s="4" t="n">
        <f aca="false">-I6*Assumptions!I46/100</f>
        <v>-4345.5008117531</v>
      </c>
      <c r="J17" s="4" t="n">
        <f aca="false">-J6*Assumptions!J46/100</f>
        <v>-4383.24774677045</v>
      </c>
      <c r="K17" s="4" t="n">
        <f aca="false">-K6*Assumptions!K46/100</f>
        <v>-4514.74517917356</v>
      </c>
      <c r="L17" s="4" t="n">
        <f aca="false">-L6*Assumptions!L46/100</f>
        <v>-4650.18753454877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-33.6752499999999</v>
      </c>
      <c r="D18" s="4" t="n">
        <f aca="false">(D6-C6)*Assumptions!$B$51/100</f>
        <v>-69.0342625000001</v>
      </c>
      <c r="E18" s="4" t="n">
        <f aca="false">(E6-D6)*Assumptions!$B$51/100</f>
        <v>-79.7345731874999</v>
      </c>
      <c r="F18" s="4" t="n">
        <f aca="false">(F6-E6)*Assumptions!$B$51/100</f>
        <v>-84.1199747128125</v>
      </c>
      <c r="G18" s="4" t="n">
        <f aca="false">(G6-F6)*Assumptions!$B$51/100</f>
        <v>-80.6787030200158</v>
      </c>
      <c r="H18" s="4" t="n">
        <f aca="false">(H6-G6)*Assumptions!$B$51/100</f>
        <v>-76.2413743539146</v>
      </c>
      <c r="I18" s="4" t="n">
        <f aca="false">(I6-H6)*Assumptions!$B$51/100</f>
        <v>-70.8197655109696</v>
      </c>
      <c r="J18" s="4" t="n">
        <f aca="false">(J6-I6)*Assumptions!$B$51/100</f>
        <v>-64.4459866149824</v>
      </c>
      <c r="K18" s="4" t="n">
        <f aca="false">(K6-J6)*Assumptions!$B$51/100</f>
        <v>-57.1727966970058</v>
      </c>
      <c r="L18" s="4" t="n">
        <f aca="false">(L6-K6)*Assumptions!$B$51/100</f>
        <v>-58.8879805979163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2909.6005316875</v>
      </c>
      <c r="D19" s="0" t="n">
        <f aca="false">D15+D16+D17+D18</f>
        <v>3399.41967115625</v>
      </c>
      <c r="E19" s="0" t="n">
        <f aca="false">E15+E16+E17+E18</f>
        <v>4007.73147081234</v>
      </c>
      <c r="F19" s="0" t="n">
        <f aca="false">F15+F16+F17+F18</f>
        <v>4679.95743861911</v>
      </c>
      <c r="G19" s="0" t="n">
        <f aca="false">G15+G16+G17+G18</f>
        <v>5328.22324419938</v>
      </c>
      <c r="H19" s="0" t="n">
        <f aca="false">H15+H16+H17+H18</f>
        <v>5753.11057426778</v>
      </c>
      <c r="I19" s="0" t="n">
        <f aca="false">I15+I16+I17+I18</f>
        <v>6148.21794283483</v>
      </c>
      <c r="J19" s="0" t="n">
        <f aca="false">J15+J16+J17+J18</f>
        <v>6486.60363491694</v>
      </c>
      <c r="K19" s="0" t="n">
        <f aca="false">K15+K16+K17+K18</f>
        <v>6690.40831348087</v>
      </c>
      <c r="L19" s="0" t="n">
        <f aca="false">L15+L16+L17+L18</f>
        <v>6891.1205628853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2719.2528333528</v>
      </c>
      <c r="D21" s="0" t="n">
        <f aca="false">D19*D20</f>
        <v>2969.18479444166</v>
      </c>
      <c r="E21" s="0" t="n">
        <f aca="false">E19*E20</f>
        <v>3271.50269077277</v>
      </c>
      <c r="F21" s="0" t="n">
        <f aca="false">F19*F20</f>
        <v>3570.31712250872</v>
      </c>
      <c r="G21" s="0" t="n">
        <f aca="false">G19*G20</f>
        <v>3798.94953431779</v>
      </c>
      <c r="H21" s="0" t="n">
        <f aca="false">H19*H20</f>
        <v>3833.54049391988</v>
      </c>
      <c r="I21" s="0" t="n">
        <f aca="false">I19*I20</f>
        <v>3828.8011369506</v>
      </c>
      <c r="J21" s="0" t="n">
        <f aca="false">J19*J20</f>
        <v>3775.26237322633</v>
      </c>
      <c r="K21" s="0" t="n">
        <f aca="false">K19*K20</f>
        <v>3639.13883336775</v>
      </c>
      <c r="L21" s="0" t="n">
        <f aca="false">L19*L20</f>
        <v>3503.09626015774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1</v>
      </c>
      <c r="D23" s="4" t="n">
        <f aca="false">Assumptions!D44</f>
        <v>1</v>
      </c>
      <c r="E23" s="4" t="n">
        <f aca="false">Assumptions!E44</f>
        <v>1</v>
      </c>
      <c r="F23" s="4" t="n">
        <f aca="false">Assumptions!F44</f>
        <v>1</v>
      </c>
      <c r="G23" s="4" t="n">
        <f aca="false">Assumptions!G44</f>
        <v>1</v>
      </c>
      <c r="H23" s="4" t="n">
        <f aca="false">Assumptions!H44</f>
        <v>1</v>
      </c>
      <c r="I23" s="4" t="n">
        <f aca="false">Assumptions!I44</f>
        <v>1</v>
      </c>
      <c r="J23" s="4" t="n">
        <f aca="false">Assumptions!J44</f>
        <v>1</v>
      </c>
      <c r="K23" s="4" t="n">
        <f aca="false">Assumptions!K44</f>
        <v>1</v>
      </c>
      <c r="L23" s="4" t="n">
        <f aca="false">Assumptions!L44</f>
        <v>1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-276.13705</v>
      </c>
      <c r="D24" s="0" t="n">
        <f aca="false">-D6*D23/100</f>
        <v>-289.9439025</v>
      </c>
      <c r="E24" s="0" t="n">
        <f aca="false">-E6*E23/100</f>
        <v>-305.8908171375</v>
      </c>
      <c r="F24" s="0" t="n">
        <f aca="false">-F6*F23/100</f>
        <v>-322.714812080063</v>
      </c>
      <c r="G24" s="0" t="n">
        <f aca="false">-G6*G23/100</f>
        <v>-338.850552684066</v>
      </c>
      <c r="H24" s="0" t="n">
        <f aca="false">-H6*H23/100</f>
        <v>-354.098827554849</v>
      </c>
      <c r="I24" s="0" t="n">
        <f aca="false">-I6*I23/100</f>
        <v>-368.262780657042</v>
      </c>
      <c r="J24" s="0" t="n">
        <f aca="false">-J6*J23/100</f>
        <v>-381.151977980039</v>
      </c>
      <c r="K24" s="0" t="n">
        <f aca="false">-K6*K23/100</f>
        <v>-392.58653731944</v>
      </c>
      <c r="L24" s="0" t="n">
        <f aca="false">-L6*L23/100</f>
        <v>-404.364133439023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34909.046073016</v>
      </c>
    </row>
    <row r="31" customFormat="false" ht="15" hidden="false" customHeight="false" outlineLevel="0" collapsed="false">
      <c r="A31" s="0" t="s">
        <v>137</v>
      </c>
      <c r="B31" s="0" t="n">
        <f aca="false">L19</f>
        <v>6891.1205628853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177446.354494296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137822.411257706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137822.411257706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70061.9252031548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104970.971276171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88760.0712761708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139.165994475025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-0.203308939346091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588.757843028553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1323.28104767717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142.16386040589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59148.7848314322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34.4850655840035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69.083535905278</v>
      </c>
      <c r="C4" s="0" t="n">
        <f aca="false">B4/Assumptions!$B$2-1</f>
        <v>-0.604513762850481</v>
      </c>
      <c r="D4" s="4" t="n">
        <f aca="false">Assumptions!$B$24</f>
        <v>0.2</v>
      </c>
      <c r="E4" s="4" t="n">
        <f aca="false">DCF_Bear!$B$43</f>
        <v>71.2624375225828</v>
      </c>
      <c r="F4" s="4" t="n">
        <f aca="false">DCF_Bear!$B$47</f>
        <v>10.6121209604638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103.77181520546</v>
      </c>
      <c r="C5" s="0" t="n">
        <f aca="false">B5/Assumptions!$B$2-1</f>
        <v>-0.405931902876916</v>
      </c>
      <c r="D5" s="4" t="n">
        <f aca="false">Assumptions!$B$38</f>
        <v>0.5</v>
      </c>
      <c r="E5" s="4" t="n">
        <f aca="false">DCF_Base!$B$43</f>
        <v>106.320008578917</v>
      </c>
      <c r="F5" s="4" t="n">
        <f aca="false">DCF_Base!$B$47</f>
        <v>22.2730969343033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139.165994475025</v>
      </c>
      <c r="C6" s="0" t="n">
        <f aca="false">B6/Assumptions!$B$2-1</f>
        <v>-0.203308939346091</v>
      </c>
      <c r="D6" s="4" t="n">
        <f aca="false">Assumptions!$B$52</f>
        <v>0.3</v>
      </c>
      <c r="E6" s="4" t="n">
        <f aca="false">DCF_Bull!$B$43</f>
        <v>142.16386040589</v>
      </c>
      <c r="F6" s="4" t="n">
        <f aca="false">DCF_Bull!$B$47</f>
        <v>34.4850655840035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107.452413126293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110.061649915742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-0.625649856692296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2576.52303330861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23.6044923344455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103.77181520546</v>
      </c>
      <c r="C15" s="3" t="n">
        <v>7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70.4459040114906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56.9929298028968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46.7327101153679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38.6555456465433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22.2730969343033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126.247482467789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126.247482467789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126.247482467789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126.247482467789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126.247482467789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114.462320816524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114.462320816524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114.462320816524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114.462320816524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114.462320816524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97.2702212519455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103.77181520546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103.77181520546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103.77181520546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103.77181520546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77.2557756152033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82.5633120163671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88.8358550359242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94.0629742188885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94.0629742188885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62.6298368594797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66.2587251800562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70.4459040114906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75.3309459814975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81.1041774005965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2026-10-25T07:34:09Z</dcterms:created>
  <dc:creator>openpyxl</dc:creator>
  <dc:description/>
  <dc:language>en-NZ</dc:language>
  <cp:lastModifiedBy/>
  <dcterms:modified xsi:type="dcterms:W3CDTF">2026-10-25T07:34:09Z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