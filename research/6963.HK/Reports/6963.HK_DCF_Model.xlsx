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<sst xmlns="http://schemas.openxmlformats.org/spreadsheetml/2006/main" count="344" uniqueCount="162">
  <si>
    <t xml:space="preserve">Ticker</t>
  </si>
  <si>
    <t xml:space="preserve">6963.HK</t>
  </si>
  <si>
    <t xml:space="preserve">Company</t>
  </si>
  <si>
    <t xml:space="preserve">Sunshine Insurance Group Company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</si>
  <si>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</si>
  <si>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</si>
  <si>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</si>
  <si>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</si>
  <si>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regular HKEX close</t>
  </si>
  <si>
    <t xml:space="preserve">Balance sheet date</t>
  </si>
  <si>
    <t xml:space="preserve">2026-06-30</t>
  </si>
  <si>
    <t xml:space="preserve">Model</t>
  </si>
  <si>
    <t xml:space="preserve">Life and P&amp;C insurer FCFE at cost of equity, net debt held at zero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</si>
  <si>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</si>
  <si>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</si>
  <si>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</si>
  <si>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</si>
  <si>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</si>
  <si>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</si>
  <si>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</si>
  <si>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</si>
  <si>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</si>
  <si>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2026-10-23T17:32:13Z</t>
  </si>
  <si>
    <t xml:space="preserve">Drivers file</t>
  </si>
  <si>
    <t xml:space="preserve">6963.HK_Drivers.json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</si>
  <si>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</si>
  <si>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</si>
  <si>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</si>
  <si>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Chinese life/P&amp;C insurer on the cash it can distribute, not on IFRS 17 net income (dominated by investment variance: EV investment experience variance was -RMB11.5bn in FY2025) and not on OCF (policyholder float). Profit before tax after a 20% combined tax-and-NCI rate is the earnings measure; the payout ratio, calibrated to the FY2025 dividend (34.6%) and the solvency trajectory, sets how much must be retained. Debt interest is inside PBT so net debt is zero. Cross-checks: EV RMB11.25/share (HKD13.2) at 30 June 2026 -- the base IV is ~0.3-0.4x EV and the price ~0.26x EV, a steeper discount than New China Life (price ~0.5x EV at its valuation) which reflects Sunshine's lower solvency, lower ROE and H-share-only float; BVPS RMB4.81 (HKD5.65) with P/B 0.60x; trailing P/E ~5x, yield ~6.6%. If Sunshine ever traded at New China Life's EV discount the share would be ~2x the base IV, which is why the bull case is not capped at the dividend model alone.
key_risks_to_valuation: Payout ratio: every 10pp of long-run payout is worth roughly 20% of base IV; a solvency-driven freeze at 35% is the bear case; Combined tax-and-NCI rate swings 11-33% year to year; 20% is a through-cycle assumption; Interest-rate / negative-spread risk on legacy guaranteed liabilities as Chinese long bond yields fall; A-share equity exposure (21% of investment assets) drives reported margin volatility; Possible rights issue or capital supplementary bond issuance if Sunshine Life core solvency keeps falling; Structural H-share discount to EV may persist indefinitely; the EV cross-check is not a catalyst</t>
  </si>
  <si>
    <t xml:space="preserve">Data sources</t>
  </si>
  <si>
    <t xml:space="preserve">price: Yahoo Finance chart API at inputs.price_as_of; 52-week range 3.12-4.54 HKD; CNYHKD=X for fx_rate
financials: 6963.HK_Metrics.csv / kpis (FY2022-FY2025 annual, H1 FY2023-H1 FY2026 interims, IFRS 17 basis); FY2025 Annual Report and H1 FY2026 Interim Report (embedded value reports, solvency tables, dividend note, bonds payable note 19)
qualitative: 6963.HK_Analysis.json (2026-10-24)</t>
  </si>
  <si>
    <t xml:space="preserve">Scenario narrative: bear</t>
  </si>
  <si>
    <t xml:space="preserve">Falling Chinese rates and auto price competition hold margins at the FY2022-25 average; solvency keeps the payout frozen at 35%.</t>
  </si>
  <si>
    <t xml:space="preserve">Scenario narrative: base</t>
  </si>
  <si>
    <t xml:space="preserve">Mid-tier Chinese insurer growing with its bancassurance franchise, margins normalising to ~9-9.5% of total revenues, payout lifting from 35% to 50% over a decade as capital strain eases.</t>
  </si>
  <si>
    <t xml:space="preserve">Scenario narrative: bull</t>
  </si>
  <si>
    <t xml:space="preserve">Guarantee run-off and cost programme lift margins to 11%; VNB momentum sustains; payout reaches peer-level 55%.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</si>
  <si>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</si>
  <si>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</si>
  <si>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</si>
  <si>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</si>
  <si>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</si>
  <si>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</si>
  <si>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</si>
  <si>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</si>
  <si>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</si>
  <si>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</si>
  <si>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</si>
  <si>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</si>
  <si>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</si>
  <si>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</si>
  <si>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</si>
  <si>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</si>
  <si>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</si>
  <si>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</si>
  <si>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</si>
  <si>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</si>
  <si>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</si>
  <si>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</si>
  <si>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</si>
  <si>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</si>
  <si>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</si>
  <si>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</si>
  <si>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</si>
  <si>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InsuranceRevenue</t>
  </si>
  <si>
    <t xml:space="preserve">RepoLiabilities</t>
  </si>
  <si>
    <t xml:space="preserve">TotalEquityInclNCI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</si>
  <si>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</si>
  <si>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</si>
  <si>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</si>
  <si>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</si>
  <si>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</si>
  <si>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</si>
  <si>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</si>
  <si>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</si>
  <si>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</si>
  <si>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</si>
  <si>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</si>
  <si>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</si>
  <si>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</si>
  <si>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</si>
  <si>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</si>
  <si>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</si>
  <si>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</si>
  <si>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</si>
  <si>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</si>
  <si>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</si>
  <si>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</si>
  <si>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</si>
  <si>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</si>
  <si>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</si>
  <si>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</si>
  <si>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</si>
  <si>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</si>
  <si>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</si>
  <si>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</si>
  <si>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</si>
  <si>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</si>
  <si>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</si>
  <si>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</si>
  <si>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</si>
  <si>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</si>
  <si>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</si>
  <si>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</si>
  <si>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</si>
  <si>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</si>
  <si>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</si>
  <si>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</si>
  <si>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6963.HK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</si>
  <si>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</si>
  <si>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</si>
  <si>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</si>
  <si>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</si>
  <si>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</si>
  <si>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</si>
  <si>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</si>
  <si>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</si>
  <si>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</si>
  <si>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</si>
  <si>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</si>
  <si>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</si>
  <si>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</si>
  <si>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</si>
  <si>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</si>
  <si>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</si>
  <si>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</si>
  <si>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</si>
  <si>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</si>
  <si>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</si>
  <si>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</si>
  <si>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</si>
  <si>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</si>
  <si>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</si>
  <si>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</si>
  <si>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</si>
  <si>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</si>
  <si>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</si>
  <si>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</si>
  <si>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</si>
  <si>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6963.HK owner-FCF component DCF: base case (millions, CNY)</t>
  </si>
  <si>
    <t xml:space="preserve">6963.HK owner-FCF component DCF: bull case (millions, CNY)</t>
  </si>
  <si>
    <t xml:space="preserve">6963.HK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</si>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</sst>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3.385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77569</v>
      </c>
      <c r="I2" s="0" t="n">
        <v>4494</v>
      </c>
      <c r="J2" s="0" t="n">
        <v>5.8</v>
      </c>
      <c r="K2" s="0" t="n">
        <v>0.43</v>
      </c>
      <c r="L2" s="0" t="n">
        <v>25917</v>
      </c>
      <c r="M2" s="0" t="n">
        <v>1435</v>
      </c>
      <c r="N2" s="0" t="n">
        <v>24482</v>
      </c>
      <c r="O2" s="0" t="n">
        <v>58075</v>
      </c>
      <c r="P2" s="0" t="n">
        <v>453569</v>
      </c>
      <c r="Q2" s="0" t="n">
        <v>394216</v>
      </c>
      <c r="R2" s="0" t="n">
        <v>12125</v>
      </c>
      <c r="S2" s="0" t="n">
        <v>24830</v>
      </c>
      <c r="T2" s="0" t="n">
        <v>11502</v>
      </c>
      <c r="AA2" s="0" t="s">
        <v>18</v>
      </c>
      <c r="AB2" s="0" t="s">
        <v>14</v>
      </c>
      <c r="AC2" s="0" t="n">
        <v>55738</v>
      </c>
      <c r="AD2" s="0" t="n">
        <v>17480</v>
      </c>
      <c r="AE2" s="0" t="n">
        <v>59353</v>
      </c>
    </row>
    <row r="3" customFormat="false" ht="15" hidden="false" customHeight="false" outlineLevel="0" collapsed="false">
      <c r="A3" s="0" t="s">
        <v>68</v>
      </c>
      <c r="B3" s="0" t="n">
        <v>78224</v>
      </c>
      <c r="I3" s="0" t="n">
        <v>3738</v>
      </c>
      <c r="J3" s="0" t="n">
        <v>4.8</v>
      </c>
      <c r="K3" s="0" t="n">
        <v>0.32</v>
      </c>
      <c r="L3" s="0" t="n">
        <v>20334</v>
      </c>
      <c r="M3" s="0" t="n">
        <v>2051</v>
      </c>
      <c r="N3" s="0" t="n">
        <v>18283</v>
      </c>
      <c r="O3" s="0" t="n">
        <v>60446</v>
      </c>
      <c r="P3" s="0" t="n">
        <v>513686</v>
      </c>
      <c r="Q3" s="0" t="n">
        <v>451897</v>
      </c>
      <c r="R3" s="0" t="n">
        <v>19414</v>
      </c>
      <c r="S3" s="0" t="n">
        <v>26695</v>
      </c>
      <c r="T3" s="0" t="n">
        <v>11502</v>
      </c>
      <c r="AA3" s="0" t="s">
        <v>18</v>
      </c>
      <c r="AB3" s="0" t="s">
        <v>14</v>
      </c>
      <c r="AC3" s="0" t="n">
        <v>59900</v>
      </c>
      <c r="AD3" s="0" t="n">
        <v>29662</v>
      </c>
      <c r="AE3" s="0" t="n">
        <v>61789</v>
      </c>
    </row>
    <row r="4" customFormat="false" ht="15" hidden="false" customHeight="false" outlineLevel="0" collapsed="false">
      <c r="A4" s="0" t="s">
        <v>69</v>
      </c>
      <c r="B4" s="0" t="n">
        <v>90270</v>
      </c>
      <c r="I4" s="0" t="n">
        <v>5449</v>
      </c>
      <c r="J4" s="0" t="n">
        <v>6</v>
      </c>
      <c r="K4" s="0" t="n">
        <v>0.47</v>
      </c>
      <c r="L4" s="0" t="n">
        <v>32603</v>
      </c>
      <c r="M4" s="0" t="n">
        <v>602</v>
      </c>
      <c r="N4" s="0" t="n">
        <v>32001</v>
      </c>
      <c r="O4" s="0" t="n">
        <v>62082</v>
      </c>
      <c r="P4" s="0" t="n">
        <v>581790</v>
      </c>
      <c r="Q4" s="0" t="n">
        <v>518377</v>
      </c>
      <c r="R4" s="0" t="n">
        <v>19507</v>
      </c>
      <c r="S4" s="0" t="n">
        <v>12005</v>
      </c>
      <c r="T4" s="0" t="n">
        <v>11502</v>
      </c>
      <c r="AA4" s="0" t="s">
        <v>18</v>
      </c>
      <c r="AB4" s="0" t="s">
        <v>14</v>
      </c>
      <c r="AC4" s="0" t="n">
        <v>64004</v>
      </c>
      <c r="AD4" s="0" t="n">
        <v>22939</v>
      </c>
      <c r="AE4" s="0" t="n">
        <v>63413</v>
      </c>
    </row>
    <row r="5" customFormat="false" ht="15" hidden="false" customHeight="false" outlineLevel="0" collapsed="false">
      <c r="A5" s="0" t="s">
        <v>70</v>
      </c>
      <c r="B5" s="0" t="n">
        <v>94811</v>
      </c>
      <c r="I5" s="0" t="n">
        <v>6307</v>
      </c>
      <c r="J5" s="0" t="n">
        <v>6.7</v>
      </c>
      <c r="K5" s="0" t="n">
        <v>0.55</v>
      </c>
      <c r="L5" s="0" t="n">
        <v>64316</v>
      </c>
      <c r="M5" s="0" t="n">
        <v>635</v>
      </c>
      <c r="N5" s="0" t="n">
        <v>63681</v>
      </c>
      <c r="O5" s="0" t="n">
        <v>58201</v>
      </c>
      <c r="P5" s="0" t="n">
        <v>673339</v>
      </c>
      <c r="Q5" s="0" t="n">
        <v>608602</v>
      </c>
      <c r="R5" s="0" t="n">
        <v>19522</v>
      </c>
      <c r="S5" s="0" t="n">
        <v>20994</v>
      </c>
      <c r="T5" s="0" t="n">
        <v>11502</v>
      </c>
      <c r="AA5" s="0" t="s">
        <v>18</v>
      </c>
      <c r="AB5" s="0" t="s">
        <v>14</v>
      </c>
      <c r="AC5" s="0" t="n">
        <v>65066</v>
      </c>
      <c r="AD5" s="0" t="n">
        <v>27661</v>
      </c>
      <c r="AE5" s="0" t="n">
        <v>64737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3.385</v>
      </c>
    </row>
    <row r="3" customFormat="false" ht="15" hidden="false" customHeight="false" outlineLevel="0" collapsed="false">
      <c r="A3" s="0" t="s">
        <v>74</v>
      </c>
      <c r="B3" s="3" t="n">
        <v>11502</v>
      </c>
    </row>
    <row r="4" customFormat="false" ht="15" hidden="false" customHeight="false" outlineLevel="0" collapsed="false">
      <c r="A4" s="0" t="s">
        <v>75</v>
      </c>
      <c r="B4" s="3" t="n">
        <v>0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94811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1.1748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1</v>
      </c>
      <c r="D13" s="3" t="n">
        <v>2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95</v>
      </c>
      <c r="C14" s="3" t="n">
        <v>7.5</v>
      </c>
      <c r="D14" s="3" t="n">
        <v>6.5</v>
      </c>
      <c r="E14" s="3" t="n">
        <v>6.5</v>
      </c>
      <c r="F14" s="3" t="n">
        <v>6.5</v>
      </c>
      <c r="G14" s="3" t="n">
        <v>6.5</v>
      </c>
      <c r="H14" s="3" t="n">
        <v>6.5</v>
      </c>
      <c r="I14" s="3" t="n">
        <v>6.5</v>
      </c>
      <c r="J14" s="3" t="n">
        <v>6.5</v>
      </c>
      <c r="K14" s="3" t="n">
        <v>6.5</v>
      </c>
      <c r="L14" s="3" t="n">
        <v>6.5</v>
      </c>
    </row>
    <row r="15" customFormat="false" ht="15" hidden="false" customHeight="false" outlineLevel="0" collapsed="false">
      <c r="A15" s="0" t="s">
        <v>96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99</v>
      </c>
      <c r="C18" s="3" t="n">
        <v>3.9</v>
      </c>
      <c r="D18" s="3" t="n">
        <v>3.38</v>
      </c>
      <c r="E18" s="3" t="n">
        <v>3.38</v>
      </c>
      <c r="F18" s="3" t="n">
        <v>3.38</v>
      </c>
      <c r="G18" s="3" t="n">
        <v>3.38</v>
      </c>
      <c r="H18" s="3" t="n">
        <v>3.38</v>
      </c>
      <c r="I18" s="3" t="n">
        <v>3.38</v>
      </c>
      <c r="J18" s="3" t="n">
        <v>3.38</v>
      </c>
      <c r="K18" s="3" t="n">
        <v>3.38</v>
      </c>
      <c r="L18" s="3" t="n">
        <v>3.38</v>
      </c>
    </row>
    <row r="19" customFormat="false" ht="15" hidden="false" customHeight="false" outlineLevel="0" collapsed="false">
      <c r="A19" s="0" t="s">
        <v>100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101</v>
      </c>
      <c r="B20" s="3" t="n">
        <v>12</v>
      </c>
    </row>
    <row r="21" customFormat="false" ht="15" hidden="false" customHeight="false" outlineLevel="0" collapsed="false">
      <c r="A21" s="0" t="s">
        <v>102</v>
      </c>
      <c r="B21" s="3" t="n">
        <v>2.5</v>
      </c>
    </row>
    <row r="22" customFormat="false" ht="15" hidden="false" customHeight="false" outlineLevel="0" collapsed="false">
      <c r="A22" s="0" t="s">
        <v>103</v>
      </c>
      <c r="B22" s="3" t="n">
        <v>10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0.3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3</v>
      </c>
      <c r="D27" s="3" t="n">
        <v>4</v>
      </c>
      <c r="E27" s="3" t="n">
        <v>5</v>
      </c>
      <c r="F27" s="3" t="n">
        <v>5.5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95</v>
      </c>
      <c r="C28" s="3" t="n">
        <v>9</v>
      </c>
      <c r="D28" s="3" t="n">
        <v>8.8</v>
      </c>
      <c r="E28" s="3" t="n">
        <v>9</v>
      </c>
      <c r="F28" s="3" t="n">
        <v>9.2</v>
      </c>
      <c r="G28" s="3" t="n">
        <v>9.4</v>
      </c>
      <c r="H28" s="3" t="n">
        <v>9.5</v>
      </c>
      <c r="I28" s="3" t="n">
        <v>9.5</v>
      </c>
      <c r="J28" s="3" t="n">
        <v>9.5</v>
      </c>
      <c r="K28" s="3" t="n">
        <v>9.5</v>
      </c>
      <c r="L28" s="3" t="n">
        <v>9.5</v>
      </c>
    </row>
    <row r="29" customFormat="false" ht="15" hidden="false" customHeight="false" outlineLevel="0" collapsed="false">
      <c r="A29" s="0" t="s">
        <v>96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99</v>
      </c>
      <c r="C32" s="3" t="n">
        <v>4.68</v>
      </c>
      <c r="D32" s="3" t="n">
        <v>4.506</v>
      </c>
      <c r="E32" s="3" t="n">
        <v>4.464</v>
      </c>
      <c r="F32" s="3" t="n">
        <v>4.416</v>
      </c>
      <c r="G32" s="3" t="n">
        <v>4.362</v>
      </c>
      <c r="H32" s="3" t="n">
        <v>4.256</v>
      </c>
      <c r="I32" s="3" t="n">
        <v>4.104</v>
      </c>
      <c r="J32" s="3" t="n">
        <v>3.952</v>
      </c>
      <c r="K32" s="3" t="n">
        <v>3.8</v>
      </c>
      <c r="L32" s="3" t="n">
        <v>3.8</v>
      </c>
    </row>
    <row r="33" customFormat="false" ht="15" hidden="false" customHeight="false" outlineLevel="0" collapsed="false">
      <c r="A33" s="0" t="s">
        <v>100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101</v>
      </c>
      <c r="B34" s="3" t="n">
        <v>11</v>
      </c>
    </row>
    <row r="35" customFormat="false" ht="15" hidden="false" customHeight="false" outlineLevel="0" collapsed="false">
      <c r="A35" s="0" t="s">
        <v>102</v>
      </c>
      <c r="B35" s="3" t="n">
        <v>3</v>
      </c>
    </row>
    <row r="36" customFormat="false" ht="15" hidden="false" customHeight="false" outlineLevel="0" collapsed="false">
      <c r="A36" s="0" t="s">
        <v>103</v>
      </c>
      <c r="B36" s="3" t="n">
        <v>12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5</v>
      </c>
      <c r="D41" s="3" t="n">
        <v>6</v>
      </c>
      <c r="E41" s="3" t="n">
        <v>6.5</v>
      </c>
      <c r="F41" s="3" t="n">
        <v>6.5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95</v>
      </c>
      <c r="C42" s="3" t="n">
        <v>9.5</v>
      </c>
      <c r="D42" s="3" t="n">
        <v>9.8</v>
      </c>
      <c r="E42" s="3" t="n">
        <v>10.2</v>
      </c>
      <c r="F42" s="3" t="n">
        <v>10.5</v>
      </c>
      <c r="G42" s="3" t="n">
        <v>10.8</v>
      </c>
      <c r="H42" s="3" t="n">
        <v>11</v>
      </c>
      <c r="I42" s="3" t="n">
        <v>11</v>
      </c>
      <c r="J42" s="3" t="n">
        <v>11</v>
      </c>
      <c r="K42" s="3" t="n">
        <v>11</v>
      </c>
      <c r="L42" s="3" t="n">
        <v>11</v>
      </c>
    </row>
    <row r="43" customFormat="false" ht="15" hidden="false" customHeight="false" outlineLevel="0" collapsed="false">
      <c r="A43" s="0" t="s">
        <v>96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99</v>
      </c>
      <c r="C46" s="3" t="n">
        <v>4.864</v>
      </c>
      <c r="D46" s="3" t="n">
        <v>4.704</v>
      </c>
      <c r="E46" s="3" t="n">
        <v>4.57</v>
      </c>
      <c r="F46" s="3" t="n">
        <v>4.368</v>
      </c>
      <c r="G46" s="3" t="n">
        <v>4.32</v>
      </c>
      <c r="H46" s="3" t="n">
        <v>4.224</v>
      </c>
      <c r="I46" s="3" t="n">
        <v>4.048</v>
      </c>
      <c r="J46" s="3" t="n">
        <v>3.96</v>
      </c>
      <c r="K46" s="3" t="n">
        <v>3.96</v>
      </c>
      <c r="L46" s="3" t="n">
        <v>3.96</v>
      </c>
    </row>
    <row r="47" customFormat="false" ht="15" hidden="false" customHeight="false" outlineLevel="0" collapsed="false">
      <c r="A47" s="0" t="s">
        <v>100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101</v>
      </c>
      <c r="B48" s="3" t="n">
        <v>10</v>
      </c>
    </row>
    <row r="49" customFormat="false" ht="15" hidden="false" customHeight="false" outlineLevel="0" collapsed="false">
      <c r="A49" s="0" t="s">
        <v>102</v>
      </c>
      <c r="B49" s="3" t="n">
        <v>3.5</v>
      </c>
    </row>
    <row r="50" customFormat="false" ht="15" hidden="false" customHeight="false" outlineLevel="0" collapsed="false">
      <c r="A50" s="0" t="s">
        <v>103</v>
      </c>
      <c r="B50" s="3" t="n">
        <v>14</v>
      </c>
    </row>
    <row r="51" customFormat="false" ht="15" hidden="false" customHeight="false" outlineLevel="0" collapsed="false">
      <c r="A51" s="0" t="s">
        <v>104</v>
      </c>
      <c r="B51" s="3" t="n">
        <v>0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1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94811</v>
      </c>
      <c r="C6" s="0" t="n">
        <f aca="false">B6*(1+C5/100)</f>
        <v>95759.11</v>
      </c>
      <c r="D6" s="0" t="n">
        <f aca="false">C6*(1+D5/100)</f>
        <v>97674.2922</v>
      </c>
      <c r="E6" s="0" t="n">
        <f aca="false">D6*(1+E5/100)</f>
        <v>100604.520966</v>
      </c>
      <c r="F6" s="0" t="n">
        <f aca="false">E6*(1+F5/100)</f>
        <v>103622.65659498</v>
      </c>
      <c r="G6" s="0" t="n">
        <f aca="false">F6*(1+G5/100)</f>
        <v>106731.336292829</v>
      </c>
      <c r="H6" s="0" t="n">
        <f aca="false">G6*(1+H5/100)</f>
        <v>109933.276381614</v>
      </c>
      <c r="I6" s="0" t="n">
        <f aca="false">H6*(1+I5/100)</f>
        <v>113231.274673063</v>
      </c>
      <c r="J6" s="0" t="n">
        <f aca="false">I6*(1+J5/100)</f>
        <v>116628.212913255</v>
      </c>
      <c r="K6" s="0" t="n">
        <f aca="false">J6*(1+K5/100)</f>
        <v>120127.059300652</v>
      </c>
      <c r="L6" s="0" t="n">
        <f aca="false">K6*(1+L5/100)</f>
        <v>123730.871079672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7.5</v>
      </c>
      <c r="D7" s="4" t="n">
        <f aca="false">Assumptions!D14</f>
        <v>6.5</v>
      </c>
      <c r="E7" s="4" t="n">
        <f aca="false">Assumptions!E14</f>
        <v>6.5</v>
      </c>
      <c r="F7" s="4" t="n">
        <f aca="false">Assumptions!F14</f>
        <v>6.5</v>
      </c>
      <c r="G7" s="4" t="n">
        <f aca="false">Assumptions!G14</f>
        <v>6.5</v>
      </c>
      <c r="H7" s="4" t="n">
        <f aca="false">Assumptions!H14</f>
        <v>6.5</v>
      </c>
      <c r="I7" s="4" t="n">
        <f aca="false">Assumptions!I14</f>
        <v>6.5</v>
      </c>
      <c r="J7" s="4" t="n">
        <f aca="false">Assumptions!J14</f>
        <v>6.5</v>
      </c>
      <c r="K7" s="4" t="n">
        <f aca="false">Assumptions!K14</f>
        <v>6.5</v>
      </c>
      <c r="L7" s="4" t="n">
        <f aca="false">Assumptions!L14</f>
        <v>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7181.93325</v>
      </c>
      <c r="D8" s="0" t="n">
        <f aca="false">D6*D7/100</f>
        <v>6348.828993</v>
      </c>
      <c r="E8" s="0" t="n">
        <f aca="false">E6*E7/100</f>
        <v>6539.29386279</v>
      </c>
      <c r="F8" s="0" t="n">
        <f aca="false">F6*F7/100</f>
        <v>6735.4726786737</v>
      </c>
      <c r="G8" s="0" t="n">
        <f aca="false">G6*G7/100</f>
        <v>6937.53685903391</v>
      </c>
      <c r="H8" s="0" t="n">
        <f aca="false">H6*H7/100</f>
        <v>7145.66296480493</v>
      </c>
      <c r="I8" s="0" t="n">
        <f aca="false">I6*I7/100</f>
        <v>7360.03285374908</v>
      </c>
      <c r="J8" s="0" t="n">
        <f aca="false">J6*J7/100</f>
        <v>7580.83383936155</v>
      </c>
      <c r="K8" s="0" t="n">
        <f aca="false">K6*K7/100</f>
        <v>7808.2588545424</v>
      </c>
      <c r="L8" s="0" t="n">
        <f aca="false">L6*L7/100</f>
        <v>8042.50662017867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7181.93325</v>
      </c>
      <c r="D11" s="0" t="n">
        <f aca="false">D8+D10+D24</f>
        <v>6348.828993</v>
      </c>
      <c r="E11" s="0" t="n">
        <f aca="false">E8+E10+E24</f>
        <v>6539.29386279</v>
      </c>
      <c r="F11" s="0" t="n">
        <f aca="false">F8+F10+F24</f>
        <v>6735.4726786737</v>
      </c>
      <c r="G11" s="0" t="n">
        <f aca="false">G8+G10+G24</f>
        <v>6937.53685903391</v>
      </c>
      <c r="H11" s="0" t="n">
        <f aca="false">H8+H10+H24</f>
        <v>7145.66296480493</v>
      </c>
      <c r="I11" s="0" t="n">
        <f aca="false">I8+I10+I24</f>
        <v>7360.03285374908</v>
      </c>
      <c r="J11" s="0" t="n">
        <f aca="false">J8+J10+J24</f>
        <v>7580.83383936155</v>
      </c>
      <c r="K11" s="0" t="n">
        <f aca="false">K8+K10+K24</f>
        <v>7808.2588545424</v>
      </c>
      <c r="L11" s="0" t="n">
        <f aca="false">L8+L10+L24</f>
        <v>8042.50662017867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7181.93325</v>
      </c>
      <c r="D13" s="0" t="n">
        <f aca="false">D11+D12</f>
        <v>6348.828993</v>
      </c>
      <c r="E13" s="0" t="n">
        <f aca="false">E11+E12</f>
        <v>6539.29386279</v>
      </c>
      <c r="F13" s="0" t="n">
        <f aca="false">F11+F12</f>
        <v>6735.4726786737</v>
      </c>
      <c r="G13" s="0" t="n">
        <f aca="false">G11+G12</f>
        <v>6937.53685903391</v>
      </c>
      <c r="H13" s="0" t="n">
        <f aca="false">H11+H12</f>
        <v>7145.66296480493</v>
      </c>
      <c r="I13" s="0" t="n">
        <f aca="false">I11+I12</f>
        <v>7360.03285374908</v>
      </c>
      <c r="J13" s="0" t="n">
        <f aca="false">J11+J12</f>
        <v>7580.83383936155</v>
      </c>
      <c r="K13" s="0" t="n">
        <f aca="false">K11+K12</f>
        <v>7808.2588545424</v>
      </c>
      <c r="L13" s="0" t="n">
        <f aca="false">L11+L12</f>
        <v>8042.50662017867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5745.5466</v>
      </c>
      <c r="D15" s="0" t="n">
        <f aca="false">D13-MAX(0,D13)*D14/100</f>
        <v>5079.0631944</v>
      </c>
      <c r="E15" s="0" t="n">
        <f aca="false">E13-MAX(0,E13)*E14/100</f>
        <v>5231.435090232</v>
      </c>
      <c r="F15" s="0" t="n">
        <f aca="false">F13-MAX(0,F13)*F14/100</f>
        <v>5388.37814293896</v>
      </c>
      <c r="G15" s="0" t="n">
        <f aca="false">G13-MAX(0,G13)*G14/100</f>
        <v>5550.02948722713</v>
      </c>
      <c r="H15" s="0" t="n">
        <f aca="false">H13-MAX(0,H13)*H14/100</f>
        <v>5716.53037184394</v>
      </c>
      <c r="I15" s="0" t="n">
        <f aca="false">I13-MAX(0,I13)*I14/100</f>
        <v>5888.02628299926</v>
      </c>
      <c r="J15" s="0" t="n">
        <f aca="false">J13-MAX(0,J13)*J14/100</f>
        <v>6064.66707148924</v>
      </c>
      <c r="K15" s="0" t="n">
        <f aca="false">K13-MAX(0,K13)*K14/100</f>
        <v>6246.60708363392</v>
      </c>
      <c r="L15" s="0" t="n">
        <f aca="false">L13-MAX(0,L13)*L14/100</f>
        <v>6434.00529614294</v>
      </c>
    </row>
    <row r="16" customFormat="false" ht="15" hidden="false" customHeight="false" outlineLevel="0" collapsed="false">
      <c r="A16" s="0" t="s">
        <v>116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-3734.60529</v>
      </c>
      <c r="D17" s="4" t="n">
        <f aca="false">-D6*Assumptions!D18/100</f>
        <v>-3301.39107636</v>
      </c>
      <c r="E17" s="4" t="n">
        <f aca="false">-E6*Assumptions!E18/100</f>
        <v>-3400.4328086508</v>
      </c>
      <c r="F17" s="4" t="n">
        <f aca="false">-F6*Assumptions!F18/100</f>
        <v>-3502.44579291032</v>
      </c>
      <c r="G17" s="4" t="n">
        <f aca="false">-G6*Assumptions!G18/100</f>
        <v>-3607.51916669763</v>
      </c>
      <c r="H17" s="4" t="n">
        <f aca="false">-H6*Assumptions!H18/100</f>
        <v>-3715.74474169856</v>
      </c>
      <c r="I17" s="4" t="n">
        <f aca="false">-I6*Assumptions!I18/100</f>
        <v>-3827.21708394952</v>
      </c>
      <c r="J17" s="4" t="n">
        <f aca="false">-J6*Assumptions!J18/100</f>
        <v>-3942.03359646801</v>
      </c>
      <c r="K17" s="4" t="n">
        <f aca="false">-K6*Assumptions!K18/100</f>
        <v>-4060.29460436205</v>
      </c>
      <c r="L17" s="4" t="n">
        <f aca="false">-L6*Assumptions!L18/100</f>
        <v>-4182.10344249291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2010.94131</v>
      </c>
      <c r="D19" s="0" t="n">
        <f aca="false">D15+D16+D17+D18</f>
        <v>1777.67211804</v>
      </c>
      <c r="E19" s="0" t="n">
        <f aca="false">E15+E16+E17+E18</f>
        <v>1831.0022815812</v>
      </c>
      <c r="F19" s="0" t="n">
        <f aca="false">F15+F16+F17+F18</f>
        <v>1885.93235002864</v>
      </c>
      <c r="G19" s="0" t="n">
        <f aca="false">G15+G16+G17+G18</f>
        <v>1942.5103205295</v>
      </c>
      <c r="H19" s="0" t="n">
        <f aca="false">H15+H16+H17+H18</f>
        <v>2000.78563014538</v>
      </c>
      <c r="I19" s="0" t="n">
        <f aca="false">I15+I16+I17+I18</f>
        <v>2060.80919904974</v>
      </c>
      <c r="J19" s="0" t="n">
        <f aca="false">J15+J16+J17+J18</f>
        <v>2122.63347502124</v>
      </c>
      <c r="K19" s="0" t="n">
        <f aca="false">K15+K16+K17+K18</f>
        <v>2186.31247927187</v>
      </c>
      <c r="L19" s="0" t="n">
        <f aca="false">L15+L16+L17+L18</f>
        <v>2251.90185365003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1795.4833125</v>
      </c>
      <c r="D21" s="0" t="n">
        <f aca="false">D19*D20</f>
        <v>1417.14932879464</v>
      </c>
      <c r="E21" s="0" t="n">
        <f aca="false">E19*E20</f>
        <v>1303.27125773079</v>
      </c>
      <c r="F21" s="0" t="n">
        <f aca="false">F19*F20</f>
        <v>1198.54410309171</v>
      </c>
      <c r="G21" s="0" t="n">
        <f aca="false">G19*G20</f>
        <v>1102.23252337898</v>
      </c>
      <c r="H21" s="0" t="n">
        <f aca="false">H19*H20</f>
        <v>1013.66026703603</v>
      </c>
      <c r="I21" s="0" t="n">
        <f aca="false">I19*I20</f>
        <v>932.205424149203</v>
      </c>
      <c r="J21" s="0" t="n">
        <f aca="false">J19*J20</f>
        <v>857.296059708642</v>
      </c>
      <c r="K21" s="0" t="n">
        <f aca="false">K19*K20</f>
        <v>788.406197767768</v>
      </c>
      <c r="L21" s="0" t="n">
        <f aca="false">L19*L20</f>
        <v>725.052128304287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11133.300602462</v>
      </c>
    </row>
    <row r="31" customFormat="false" ht="15" hidden="false" customHeight="false" outlineLevel="0" collapsed="false">
      <c r="A31" s="0" t="s">
        <v>125</v>
      </c>
      <c r="B31" s="0" t="n">
        <f aca="false">L19</f>
        <v>2251.90185365003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24296.8357893819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22519.0185365003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22519.0185365003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7250.52128304287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18383.8218855049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18383.8218855049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1.87770074344385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-0.44528781582161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1.87770074344385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18465.5951999302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1.47252933466191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3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5.5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94811</v>
      </c>
      <c r="C6" s="0" t="n">
        <f aca="false">B6*(1+C5/100)</f>
        <v>97655.33</v>
      </c>
      <c r="D6" s="0" t="n">
        <f aca="false">C6*(1+D5/100)</f>
        <v>101561.5432</v>
      </c>
      <c r="E6" s="0" t="n">
        <f aca="false">D6*(1+E5/100)</f>
        <v>106639.62036</v>
      </c>
      <c r="F6" s="0" t="n">
        <f aca="false">E6*(1+F5/100)</f>
        <v>112504.7994798</v>
      </c>
      <c r="G6" s="0" t="n">
        <f aca="false">F6*(1+G5/100)</f>
        <v>118692.563451189</v>
      </c>
      <c r="H6" s="0" t="n">
        <f aca="false">G6*(1+H5/100)</f>
        <v>124627.191623748</v>
      </c>
      <c r="I6" s="0" t="n">
        <f aca="false">H6*(1+I5/100)</f>
        <v>130235.415246817</v>
      </c>
      <c r="J6" s="0" t="n">
        <f aca="false">I6*(1+J5/100)</f>
        <v>135444.83185669</v>
      </c>
      <c r="K6" s="0" t="n">
        <f aca="false">J6*(1+K5/100)</f>
        <v>140185.400971674</v>
      </c>
      <c r="L6" s="0" t="n">
        <f aca="false">K6*(1+L5/100)</f>
        <v>144390.963000824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9</v>
      </c>
      <c r="D7" s="4" t="n">
        <f aca="false">Assumptions!D28</f>
        <v>8.8</v>
      </c>
      <c r="E7" s="4" t="n">
        <f aca="false">Assumptions!E28</f>
        <v>9</v>
      </c>
      <c r="F7" s="4" t="n">
        <f aca="false">Assumptions!F28</f>
        <v>9.2</v>
      </c>
      <c r="G7" s="4" t="n">
        <f aca="false">Assumptions!G28</f>
        <v>9.4</v>
      </c>
      <c r="H7" s="4" t="n">
        <f aca="false">Assumptions!H28</f>
        <v>9.5</v>
      </c>
      <c r="I7" s="4" t="n">
        <f aca="false">Assumptions!I28</f>
        <v>9.5</v>
      </c>
      <c r="J7" s="4" t="n">
        <f aca="false">Assumptions!J28</f>
        <v>9.5</v>
      </c>
      <c r="K7" s="4" t="n">
        <f aca="false">Assumptions!K28</f>
        <v>9.5</v>
      </c>
      <c r="L7" s="4" t="n">
        <f aca="false">Assumptions!L28</f>
        <v>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8788.9797</v>
      </c>
      <c r="D8" s="0" t="n">
        <f aca="false">D6*D7/100</f>
        <v>8937.4158016</v>
      </c>
      <c r="E8" s="0" t="n">
        <f aca="false">E6*E7/100</f>
        <v>9597.5658324</v>
      </c>
      <c r="F8" s="0" t="n">
        <f aca="false">F6*F7/100</f>
        <v>10350.4415521416</v>
      </c>
      <c r="G8" s="0" t="n">
        <f aca="false">G6*G7/100</f>
        <v>11157.1009644118</v>
      </c>
      <c r="H8" s="0" t="n">
        <f aca="false">H6*H7/100</f>
        <v>11839.5832042561</v>
      </c>
      <c r="I8" s="0" t="n">
        <f aca="false">I6*I7/100</f>
        <v>12372.3644484476</v>
      </c>
      <c r="J8" s="0" t="n">
        <f aca="false">J6*J7/100</f>
        <v>12867.2590263855</v>
      </c>
      <c r="K8" s="0" t="n">
        <f aca="false">K6*K7/100</f>
        <v>13317.613092309</v>
      </c>
      <c r="L8" s="0" t="n">
        <f aca="false">L6*L7/100</f>
        <v>13717.1414850783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8788.9797</v>
      </c>
      <c r="D11" s="0" t="n">
        <f aca="false">D8+D10+D24</f>
        <v>8937.4158016</v>
      </c>
      <c r="E11" s="0" t="n">
        <f aca="false">E8+E10+E24</f>
        <v>9597.5658324</v>
      </c>
      <c r="F11" s="0" t="n">
        <f aca="false">F8+F10+F24</f>
        <v>10350.4415521416</v>
      </c>
      <c r="G11" s="0" t="n">
        <f aca="false">G8+G10+G24</f>
        <v>11157.1009644118</v>
      </c>
      <c r="H11" s="0" t="n">
        <f aca="false">H8+H10+H24</f>
        <v>11839.5832042561</v>
      </c>
      <c r="I11" s="0" t="n">
        <f aca="false">I8+I10+I24</f>
        <v>12372.3644484476</v>
      </c>
      <c r="J11" s="0" t="n">
        <f aca="false">J8+J10+J24</f>
        <v>12867.2590263855</v>
      </c>
      <c r="K11" s="0" t="n">
        <f aca="false">K8+K10+K24</f>
        <v>13317.613092309</v>
      </c>
      <c r="L11" s="0" t="n">
        <f aca="false">L8+L10+L24</f>
        <v>13717.1414850783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8788.9797</v>
      </c>
      <c r="D13" s="0" t="n">
        <f aca="false">D11+D12</f>
        <v>8937.4158016</v>
      </c>
      <c r="E13" s="0" t="n">
        <f aca="false">E11+E12</f>
        <v>9597.5658324</v>
      </c>
      <c r="F13" s="0" t="n">
        <f aca="false">F11+F12</f>
        <v>10350.4415521416</v>
      </c>
      <c r="G13" s="0" t="n">
        <f aca="false">G11+G12</f>
        <v>11157.1009644118</v>
      </c>
      <c r="H13" s="0" t="n">
        <f aca="false">H11+H12</f>
        <v>11839.5832042561</v>
      </c>
      <c r="I13" s="0" t="n">
        <f aca="false">I11+I12</f>
        <v>12372.3644484476</v>
      </c>
      <c r="J13" s="0" t="n">
        <f aca="false">J11+J12</f>
        <v>12867.2590263855</v>
      </c>
      <c r="K13" s="0" t="n">
        <f aca="false">K11+K12</f>
        <v>13317.613092309</v>
      </c>
      <c r="L13" s="0" t="n">
        <f aca="false">L11+L12</f>
        <v>13717.1414850783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7031.18376</v>
      </c>
      <c r="D15" s="0" t="n">
        <f aca="false">D13-MAX(0,D13)*D14/100</f>
        <v>7149.93264128</v>
      </c>
      <c r="E15" s="0" t="n">
        <f aca="false">E13-MAX(0,E13)*E14/100</f>
        <v>7678.05266592</v>
      </c>
      <c r="F15" s="0" t="n">
        <f aca="false">F13-MAX(0,F13)*F14/100</f>
        <v>8280.35324171328</v>
      </c>
      <c r="G15" s="0" t="n">
        <f aca="false">G13-MAX(0,G13)*G14/100</f>
        <v>8925.68077152941</v>
      </c>
      <c r="H15" s="0" t="n">
        <f aca="false">H13-MAX(0,H13)*H14/100</f>
        <v>9471.66656340488</v>
      </c>
      <c r="I15" s="0" t="n">
        <f aca="false">I13-MAX(0,I13)*I14/100</f>
        <v>9897.8915587581</v>
      </c>
      <c r="J15" s="0" t="n">
        <f aca="false">J13-MAX(0,J13)*J14/100</f>
        <v>10293.8072211084</v>
      </c>
      <c r="K15" s="0" t="n">
        <f aca="false">K13-MAX(0,K13)*K14/100</f>
        <v>10654.0904738472</v>
      </c>
      <c r="L15" s="0" t="n">
        <f aca="false">L13-MAX(0,L13)*L14/100</f>
        <v>10973.7131880626</v>
      </c>
    </row>
    <row r="16" customFormat="false" ht="15" hidden="false" customHeight="false" outlineLevel="0" collapsed="false">
      <c r="A16" s="0" t="s">
        <v>116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-4570.269444</v>
      </c>
      <c r="D17" s="4" t="n">
        <f aca="false">-D6*Assumptions!D32/100</f>
        <v>-4576.363136592</v>
      </c>
      <c r="E17" s="4" t="n">
        <f aca="false">-E6*Assumptions!E32/100</f>
        <v>-4760.3926528704</v>
      </c>
      <c r="F17" s="4" t="n">
        <f aca="false">-F6*Assumptions!F32/100</f>
        <v>-4968.21194502797</v>
      </c>
      <c r="G17" s="4" t="n">
        <f aca="false">-G6*Assumptions!G32/100</f>
        <v>-5177.36961774086</v>
      </c>
      <c r="H17" s="4" t="n">
        <f aca="false">-H6*Assumptions!H32/100</f>
        <v>-5304.13327550674</v>
      </c>
      <c r="I17" s="4" t="n">
        <f aca="false">-I6*Assumptions!I32/100</f>
        <v>-5344.86144172938</v>
      </c>
      <c r="J17" s="4" t="n">
        <f aca="false">-J6*Assumptions!J32/100</f>
        <v>-5352.77975497638</v>
      </c>
      <c r="K17" s="4" t="n">
        <f aca="false">-K6*Assumptions!K32/100</f>
        <v>-5327.04523692361</v>
      </c>
      <c r="L17" s="4" t="n">
        <f aca="false">-L6*Assumptions!L32/100</f>
        <v>-5486.85659403132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2460.914316</v>
      </c>
      <c r="D19" s="0" t="n">
        <f aca="false">D15+D16+D17+D18</f>
        <v>2573.569504688</v>
      </c>
      <c r="E19" s="0" t="n">
        <f aca="false">E15+E16+E17+E18</f>
        <v>2917.6600130496</v>
      </c>
      <c r="F19" s="0" t="n">
        <f aca="false">F15+F16+F17+F18</f>
        <v>3312.14129668531</v>
      </c>
      <c r="G19" s="0" t="n">
        <f aca="false">G15+G16+G17+G18</f>
        <v>3748.31115378855</v>
      </c>
      <c r="H19" s="0" t="n">
        <f aca="false">H15+H16+H17+H18</f>
        <v>4167.53328789815</v>
      </c>
      <c r="I19" s="0" t="n">
        <f aca="false">I15+I16+I17+I18</f>
        <v>4553.03011702873</v>
      </c>
      <c r="J19" s="0" t="n">
        <f aca="false">J15+J16+J17+J18</f>
        <v>4941.02746613205</v>
      </c>
      <c r="K19" s="0" t="n">
        <f aca="false">K15+K16+K17+K18</f>
        <v>5327.04523692361</v>
      </c>
      <c r="L19" s="0" t="n">
        <f aca="false">L15+L16+L17+L18</f>
        <v>5486.85659403132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2217.03992432432</v>
      </c>
      <c r="D21" s="0" t="n">
        <f aca="false">D19*D20</f>
        <v>2088.76674351757</v>
      </c>
      <c r="E21" s="0" t="n">
        <f aca="false">E19*E20</f>
        <v>2133.36785510829</v>
      </c>
      <c r="F21" s="0" t="n">
        <f aca="false">F19*F20</f>
        <v>2181.8100628714</v>
      </c>
      <c r="G21" s="0" t="n">
        <f aca="false">G19*G20</f>
        <v>2224.44023219252</v>
      </c>
      <c r="H21" s="0" t="n">
        <f aca="false">H19*H20</f>
        <v>2228.13348146974</v>
      </c>
      <c r="I21" s="0" t="n">
        <f aca="false">I19*I20</f>
        <v>2193.00525090602</v>
      </c>
      <c r="J21" s="0" t="n">
        <f aca="false">J19*J20</f>
        <v>2144.04273649097</v>
      </c>
      <c r="K21" s="0" t="n">
        <f aca="false">K19*K20</f>
        <v>2082.47394169308</v>
      </c>
      <c r="L21" s="0" t="n">
        <f aca="false">L19*L20</f>
        <v>1932.38572967917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21425.4659582531</v>
      </c>
    </row>
    <row r="31" customFormat="false" ht="15" hidden="false" customHeight="false" outlineLevel="0" collapsed="false">
      <c r="A31" s="0" t="s">
        <v>125</v>
      </c>
      <c r="B31" s="0" t="n">
        <f aca="false">L19</f>
        <v>5486.85659403132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70643.2786481532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65842.2791283758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65842.2791283758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23188.62875615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44614.0947144031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44614.0947144031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4.5568282446949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0.346182642450487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4.5568282446949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47095.5190987688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3.00309235635754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5</v>
      </c>
      <c r="D5" s="4" t="n">
        <f aca="false">Assumptions!D41</f>
        <v>6</v>
      </c>
      <c r="E5" s="4" t="n">
        <f aca="false">Assumptions!E41</f>
        <v>6.5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94811</v>
      </c>
      <c r="C6" s="0" t="n">
        <f aca="false">B6*(1+C5/100)</f>
        <v>99551.55</v>
      </c>
      <c r="D6" s="0" t="n">
        <f aca="false">C6*(1+D5/100)</f>
        <v>105524.643</v>
      </c>
      <c r="E6" s="0" t="n">
        <f aca="false">D6*(1+E5/100)</f>
        <v>112383.744795</v>
      </c>
      <c r="F6" s="0" t="n">
        <f aca="false">E6*(1+F5/100)</f>
        <v>119688.688206675</v>
      </c>
      <c r="G6" s="0" t="n">
        <f aca="false">F6*(1+G5/100)</f>
        <v>126870.009499076</v>
      </c>
      <c r="H6" s="0" t="n">
        <f aca="false">G6*(1+H5/100)</f>
        <v>133847.860021525</v>
      </c>
      <c r="I6" s="0" t="n">
        <f aca="false">H6*(1+I5/100)</f>
        <v>140540.253022601</v>
      </c>
      <c r="J6" s="0" t="n">
        <f aca="false">I6*(1+J5/100)</f>
        <v>146864.564408618</v>
      </c>
      <c r="K6" s="0" t="n">
        <f aca="false">J6*(1+K5/100)</f>
        <v>152739.146984963</v>
      </c>
      <c r="L6" s="0" t="n">
        <f aca="false">K6*(1+L5/100)</f>
        <v>158085.017129436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9.5</v>
      </c>
      <c r="D7" s="4" t="n">
        <f aca="false">Assumptions!D42</f>
        <v>9.8</v>
      </c>
      <c r="E7" s="4" t="n">
        <f aca="false">Assumptions!E42</f>
        <v>10.2</v>
      </c>
      <c r="F7" s="4" t="n">
        <f aca="false">Assumptions!F42</f>
        <v>10.5</v>
      </c>
      <c r="G7" s="4" t="n">
        <f aca="false">Assumptions!G42</f>
        <v>10.8</v>
      </c>
      <c r="H7" s="4" t="n">
        <f aca="false">Assumptions!H42</f>
        <v>11</v>
      </c>
      <c r="I7" s="4" t="n">
        <f aca="false">Assumptions!I42</f>
        <v>11</v>
      </c>
      <c r="J7" s="4" t="n">
        <f aca="false">Assumptions!J42</f>
        <v>11</v>
      </c>
      <c r="K7" s="4" t="n">
        <f aca="false">Assumptions!K42</f>
        <v>11</v>
      </c>
      <c r="L7" s="4" t="n">
        <f aca="false">Assumptions!L42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9457.39725</v>
      </c>
      <c r="D8" s="0" t="n">
        <f aca="false">D6*D7/100</f>
        <v>10341.415014</v>
      </c>
      <c r="E8" s="0" t="n">
        <f aca="false">E6*E7/100</f>
        <v>11463.14196909</v>
      </c>
      <c r="F8" s="0" t="n">
        <f aca="false">F6*F7/100</f>
        <v>12567.3122617009</v>
      </c>
      <c r="G8" s="0" t="n">
        <f aca="false">G6*G7/100</f>
        <v>13701.9610259002</v>
      </c>
      <c r="H8" s="0" t="n">
        <f aca="false">H6*H7/100</f>
        <v>14723.2646023677</v>
      </c>
      <c r="I8" s="0" t="n">
        <f aca="false">I6*I7/100</f>
        <v>15459.4278324861</v>
      </c>
      <c r="J8" s="0" t="n">
        <f aca="false">J6*J7/100</f>
        <v>16155.102084948</v>
      </c>
      <c r="K8" s="0" t="n">
        <f aca="false">K6*K7/100</f>
        <v>16801.3061683459</v>
      </c>
      <c r="L8" s="0" t="n">
        <f aca="false">L6*L7/100</f>
        <v>17389.351884238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9457.39725</v>
      </c>
      <c r="D11" s="0" t="n">
        <f aca="false">D8+D10+D24</f>
        <v>10341.415014</v>
      </c>
      <c r="E11" s="0" t="n">
        <f aca="false">E8+E10+E24</f>
        <v>11463.14196909</v>
      </c>
      <c r="F11" s="0" t="n">
        <f aca="false">F8+F10+F24</f>
        <v>12567.3122617009</v>
      </c>
      <c r="G11" s="0" t="n">
        <f aca="false">G8+G10+G24</f>
        <v>13701.9610259002</v>
      </c>
      <c r="H11" s="0" t="n">
        <f aca="false">H8+H10+H24</f>
        <v>14723.2646023677</v>
      </c>
      <c r="I11" s="0" t="n">
        <f aca="false">I8+I10+I24</f>
        <v>15459.4278324861</v>
      </c>
      <c r="J11" s="0" t="n">
        <f aca="false">J8+J10+J24</f>
        <v>16155.102084948</v>
      </c>
      <c r="K11" s="0" t="n">
        <f aca="false">K8+K10+K24</f>
        <v>16801.3061683459</v>
      </c>
      <c r="L11" s="0" t="n">
        <f aca="false">L8+L10+L24</f>
        <v>17389.351884238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9457.39725</v>
      </c>
      <c r="D13" s="0" t="n">
        <f aca="false">D11+D12</f>
        <v>10341.415014</v>
      </c>
      <c r="E13" s="0" t="n">
        <f aca="false">E11+E12</f>
        <v>11463.14196909</v>
      </c>
      <c r="F13" s="0" t="n">
        <f aca="false">F11+F12</f>
        <v>12567.3122617009</v>
      </c>
      <c r="G13" s="0" t="n">
        <f aca="false">G11+G12</f>
        <v>13701.9610259002</v>
      </c>
      <c r="H13" s="0" t="n">
        <f aca="false">H11+H12</f>
        <v>14723.2646023677</v>
      </c>
      <c r="I13" s="0" t="n">
        <f aca="false">I11+I12</f>
        <v>15459.4278324861</v>
      </c>
      <c r="J13" s="0" t="n">
        <f aca="false">J11+J12</f>
        <v>16155.102084948</v>
      </c>
      <c r="K13" s="0" t="n">
        <f aca="false">K11+K12</f>
        <v>16801.3061683459</v>
      </c>
      <c r="L13" s="0" t="n">
        <f aca="false">L11+L12</f>
        <v>17389.351884238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7565.9178</v>
      </c>
      <c r="D15" s="0" t="n">
        <f aca="false">D13-MAX(0,D13)*D14/100</f>
        <v>8273.1320112</v>
      </c>
      <c r="E15" s="0" t="n">
        <f aca="false">E13-MAX(0,E13)*E14/100</f>
        <v>9170.513575272</v>
      </c>
      <c r="F15" s="0" t="n">
        <f aca="false">F13-MAX(0,F13)*F14/100</f>
        <v>10053.8498093607</v>
      </c>
      <c r="G15" s="0" t="n">
        <f aca="false">G13-MAX(0,G13)*G14/100</f>
        <v>10961.5688207201</v>
      </c>
      <c r="H15" s="0" t="n">
        <f aca="false">H13-MAX(0,H13)*H14/100</f>
        <v>11778.6116818942</v>
      </c>
      <c r="I15" s="0" t="n">
        <f aca="false">I13-MAX(0,I13)*I14/100</f>
        <v>12367.5422659889</v>
      </c>
      <c r="J15" s="0" t="n">
        <f aca="false">J13-MAX(0,J13)*J14/100</f>
        <v>12924.0816679584</v>
      </c>
      <c r="K15" s="0" t="n">
        <f aca="false">K13-MAX(0,K13)*K14/100</f>
        <v>13441.0449346767</v>
      </c>
      <c r="L15" s="0" t="n">
        <f aca="false">L13-MAX(0,L13)*L14/100</f>
        <v>13911.4815073904</v>
      </c>
    </row>
    <row r="16" customFormat="false" ht="15" hidden="false" customHeight="false" outlineLevel="0" collapsed="false">
      <c r="A16" s="0" t="s">
        <v>116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-4842.187392</v>
      </c>
      <c r="D17" s="4" t="n">
        <f aca="false">-D6*Assumptions!D46/100</f>
        <v>-4963.87920672</v>
      </c>
      <c r="E17" s="4" t="n">
        <f aca="false">-E6*Assumptions!E46/100</f>
        <v>-5135.9371371315</v>
      </c>
      <c r="F17" s="4" t="n">
        <f aca="false">-F6*Assumptions!F46/100</f>
        <v>-5228.00190086756</v>
      </c>
      <c r="G17" s="4" t="n">
        <f aca="false">-G6*Assumptions!G46/100</f>
        <v>-5480.78441036006</v>
      </c>
      <c r="H17" s="4" t="n">
        <f aca="false">-H6*Assumptions!H46/100</f>
        <v>-5653.7336073092</v>
      </c>
      <c r="I17" s="4" t="n">
        <f aca="false">-I6*Assumptions!I46/100</f>
        <v>-5689.06944235488</v>
      </c>
      <c r="J17" s="4" t="n">
        <f aca="false">-J6*Assumptions!J46/100</f>
        <v>-5815.83675058127</v>
      </c>
      <c r="K17" s="4" t="n">
        <f aca="false">-K6*Assumptions!K46/100</f>
        <v>-6048.47022060452</v>
      </c>
      <c r="L17" s="4" t="n">
        <f aca="false">-L6*Assumptions!L46/100</f>
        <v>-6260.16667832568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2723.730408</v>
      </c>
      <c r="D19" s="0" t="n">
        <f aca="false">D15+D16+D17+D18</f>
        <v>3309.25280448</v>
      </c>
      <c r="E19" s="0" t="n">
        <f aca="false">E15+E16+E17+E18</f>
        <v>4034.5764381405</v>
      </c>
      <c r="F19" s="0" t="n">
        <f aca="false">F15+F16+F17+F18</f>
        <v>4825.84790849314</v>
      </c>
      <c r="G19" s="0" t="n">
        <f aca="false">G15+G16+G17+G18</f>
        <v>5480.78441036006</v>
      </c>
      <c r="H19" s="0" t="n">
        <f aca="false">H15+H16+H17+H18</f>
        <v>6124.87807458497</v>
      </c>
      <c r="I19" s="0" t="n">
        <f aca="false">I15+I16+I17+I18</f>
        <v>6678.472823634</v>
      </c>
      <c r="J19" s="0" t="n">
        <f aca="false">J15+J16+J17+J18</f>
        <v>7108.24491737711</v>
      </c>
      <c r="K19" s="0" t="n">
        <f aca="false">K15+K16+K17+K18</f>
        <v>7392.5747140722</v>
      </c>
      <c r="L19" s="0" t="n">
        <f aca="false">L15+L16+L17+L18</f>
        <v>7651.31482906472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2476.11855272727</v>
      </c>
      <c r="D21" s="0" t="n">
        <f aca="false">D19*D20</f>
        <v>2734.91967312397</v>
      </c>
      <c r="E21" s="0" t="n">
        <f aca="false">E19*E20</f>
        <v>3031.23699334373</v>
      </c>
      <c r="F21" s="0" t="n">
        <f aca="false">F19*F20</f>
        <v>3296.11905504619</v>
      </c>
      <c r="G21" s="0" t="n">
        <f aca="false">G19*G20</f>
        <v>3403.13590748276</v>
      </c>
      <c r="H21" s="0" t="n">
        <f aca="false">H19*H20</f>
        <v>3457.33399786119</v>
      </c>
      <c r="I21" s="0" t="n">
        <f aca="false">I19*I20</f>
        <v>3427.11254683093</v>
      </c>
      <c r="J21" s="0" t="n">
        <f aca="false">J19*J20</f>
        <v>3316.04871429475</v>
      </c>
      <c r="K21" s="0" t="n">
        <f aca="false">K19*K20</f>
        <v>3135.17332987867</v>
      </c>
      <c r="L21" s="0" t="n">
        <f aca="false">L19*L20</f>
        <v>2949.91308765857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31227.111858248</v>
      </c>
    </row>
    <row r="31" customFormat="false" ht="15" hidden="false" customHeight="false" outlineLevel="0" collapsed="false">
      <c r="A31" s="0" t="s">
        <v>125</v>
      </c>
      <c r="B31" s="0" t="n">
        <f aca="false">L19</f>
        <v>7651.31482906472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121832.474585877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107118.407606906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107118.407606906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41298.7832272199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72525.8950854679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72525.8950854679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7.40770488144738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1.1883913977688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7.40770488144738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68861.8334615825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4.23919687305978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1.87770074344385</v>
      </c>
      <c r="C4" s="0" t="n">
        <f aca="false">B4/Assumptions!$B$2-1</f>
        <v>-0.44528781582161</v>
      </c>
      <c r="D4" s="4" t="n">
        <f aca="false">Assumptions!$B$24</f>
        <v>0.3</v>
      </c>
      <c r="E4" s="4" t="n">
        <f aca="false">DCF_Bear!$B$43</f>
        <v>1.87770074344385</v>
      </c>
      <c r="F4" s="4" t="n">
        <f aca="false">DCF_Bear!$B$47</f>
        <v>1.47252933466191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4.5568282446949</v>
      </c>
      <c r="C5" s="0" t="n">
        <f aca="false">B5/Assumptions!$B$2-1</f>
        <v>0.346182642450487</v>
      </c>
      <c r="D5" s="4" t="n">
        <f aca="false">Assumptions!$B$38</f>
        <v>0.5</v>
      </c>
      <c r="E5" s="4" t="n">
        <f aca="false">DCF_Base!$B$43</f>
        <v>4.5568282446949</v>
      </c>
      <c r="F5" s="4" t="n">
        <f aca="false">DCF_Base!$B$47</f>
        <v>3.00309235635754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7.40770488144738</v>
      </c>
      <c r="C6" s="0" t="n">
        <f aca="false">B6/Assumptions!$B$2-1</f>
        <v>1.1883913977688</v>
      </c>
      <c r="D6" s="4" t="n">
        <f aca="false">Assumptions!$B$52</f>
        <v>0.2</v>
      </c>
      <c r="E6" s="4" t="n">
        <f aca="false">DCF_Bull!$B$43</f>
        <v>7.40770488144738</v>
      </c>
      <c r="F6" s="4" t="n">
        <f aca="false">DCF_Bull!$B$47</f>
        <v>4.23919687305978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4.32326532167008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4.32326532167008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0.217027004326357</v>
      </c>
    </row>
    <row r="11" customFormat="false" ht="15" hidden="false" customHeight="false" outlineLevel="0" collapsed="false">
      <c r="A11" s="0" t="s">
        <v>152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2.7911443531893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5.25990497590998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4.89238598105278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4.5568282446949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4.14985607659864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3.00309235635754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5.25990497590998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5.25990497590998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5.25990497590998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5.25990497590998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5.25990497590998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4.89238598105278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4.89238598105278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4.89238598105278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4.89238598105278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4.89238598105278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4.42524725847644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4.5568282446949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4.5568282446949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4.5568282446949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4.5568282446949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3.92530793215053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4.03167284267858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4.14985607659864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4.25010078394155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4.25010078394155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3.51915331066787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3.59991329255212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3.6887492726248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3.7869364084946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3.89603322612771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2026-10-23T17:32:13Z</dcterms:created>
  <dc:creator>openpyxl</dc:creator>
  <dc:description/>
  <dc:language>en-NZ</dc:language>
  <cp:lastModifiedBy/>
  <dcterms:modified xsi:type="dcterms:W3CDTF">2026-10-23T17:32:13Z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