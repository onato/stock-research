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<sst xmlns="http://schemas.openxmlformats.org/spreadsheetml/2006/main" count="366" uniqueCount="170">
  <si>
    <t xml:space="preserve">Ticker</t>
  </si>
  <si>
    <t xml:space="preserve">DEO</t>
  </si>
  <si>
    <t xml:space="preserve">Company</t>
  </si>
  <si>
    <t xml:space="preserve">Diageo plc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</si>
  <si>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</si>
  <si>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</si>
  <si>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</si>
  <si>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</si>
  <si>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 NYSE close; valuation dated Sunday 2026-10-04)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</si>
  <si>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</si>
  <si>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</si>
  <si>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</si>
  <si>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</si>
  <si>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</si>
  <si>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</si>
  <si>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</si>
  <si>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</si>
  <si>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</si>
  <si>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</si>
  <si>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</si>
  <si>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</si>
  <si>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2026-10-03T21:55:19Z</t>
  </si>
  <si>
    <t xml:space="preserve">Drivers file</t>
  </si>
  <si>
    <t xml:space="preserve">DEO_Drivers.json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</si>
  <si>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</si>
  <si>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</si>
  <si>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</si>
  <si>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Normalized, mid-cycle owner-FCF DCF in USD per ADS. The base is pro forma FY26 adjusted EBITDA (ex exceptionals, ex EABL), with restructuring cash charged explicitly and a permanent exceptional drag, so neither the depressed FY26 reported earnings nor the FY22-24 post-COVID peak is extrapolated. The disposals and the Moet Hennessy stake sit in the bridge; leverage is charged once, through the relevered beta and debt cost.
key_risks_to_valuation: North America (about 40% of sales) recovery slower than the guided multi-year path; structural moderation/GLP-1 demand loss; US tariffs on Mexico/Canada-sourced tequila and Canadian whisky (~40-45% of US sales); EABL net proceeds estimated (~$2.05bn): EABL stand-alone revenue/EBITDA not disclosed in the 20-F; ~$1,050m/$250m removal is an estimate; Moet Hennessy stake valued at ~$4.0bn vs $5.3bn book on trough cognac/champagne earnings; Further brand/market impairments (Turkiye, Don Papa, Aviation precedents) signalling M&amp;A value destruction not captured in capex; Terminal value cap-bound at 17x owner FCF: value is sensitive to the exit multiple more than to terminal growth</t>
  </si>
  <si>
    <t xml:space="preserve">Data sources</t>
  </si>
  <si>
    <t xml:space="preserve">price: Yahoo Finance chart API at inputs.price_as_of (regular close); 52-week range 72.45-102.74
financials: Diageo Form 20-F FY2026 (income statement, cash flow statement, notes 8, 14, 17, 18; non-GAAP reconciliations pp. 209-211: free cash flow, adjusted EBITDA $6,650m, net borrowings $20,482m, tax rate before exceptional items 24.3%); Form 20-F FY2024 for USD-restated FY2022-23 comparatives; DEO_Metrics.csv / DEO.duckdb core_metrics and kpis
qualitative: DEO_Analysis.json (2026-10-04): FY27 guidance (broadly flat organic net sales, LMSD organic OP growth, FCF c.$2bn after exceptionals), FY27-29 guidance (LSD organic sales CAGR, MSD organic OP CAGR, cumulative FCF c.$8bn after c.$850m exceptional cash), leverage target 2.5-3x FY27 and ~2x FY29</t>
  </si>
  <si>
    <t xml:space="preserve">Scenario narrative: bear</t>
  </si>
  <si>
    <t xml:space="preserve">The North America malaise is structural rather than cyclical: moderation, GLP-1 adoption and younger consumers drinking less keep the US spirits category shrinking, tequila and vodka keep losing share, and US tariffs on Mexico- and Canada-made spirits (~40-45% of US sales; ~$200m OP exposure) stick. Group sales fall in FY27 and grow only ~2% thereafter; the savings programme is consumed by price investment and tariffs, so the margin stalls around 33% and more impairments of past acquisitions (Turkiye, Don Papa, Aviation precedents) follow. Leverage stays near 3x, constraining the dividend.</t>
  </si>
  <si>
    <t xml:space="preserve">Scenario narrative: base</t>
  </si>
  <si>
    <t xml:space="preserve">Diageo follows the path its new CEO laid out at the FY26 results: FY27 is a reset year with broadly flat organic sales as North America (about 40% of sales) shrinks mid-single-digit in a US spirits market down ~3%, then low-single-digit growth FY28-29 with North America recovering only gradually while Europe (Guinness), India (USL premiumization), LatAm and Asia grow 3-5%. The ~$1bn Accelerate/operating-framework savings mostly fund reinvestment in A&amp;P, so the adjusted EBITDA margin creeps up ~1.5pp to ~36% rather than leaping, and ~$850m of restructuring cash plus a permanent ~0.6pp exceptional drag are charged in the flows. Disposals (EABL ~$2.3bn, RCB ~$1.78bn) take leverage back into the 2.5-3x range by FY27 without new equity. Owner FCF recovers from a guided ~$2bn trough in FY27 to ~$3.5-4bn by FY30.</t>
  </si>
  <si>
    <t xml:space="preserve">Scenario narrative: bull</t>
  </si>
  <si>
    <t xml:space="preserve">The US destocking cycle ends in FY27, Dave Lewis's North America reset (share recovery, Mexico/Canada supply-chain reshoring blunting the tariff hit) returns the region to growth from FY28, Guinness's doubled Kildare capacity sustains double-digit beer growth and Indian premiumization compounds; group sales grow ~5% FY29-31 and more of the $1bn savings drops through, taking the EBITDA margin to ~37.5%, near Diageo's FY19-22 peak economics. Deleveraging to ~2x by FY29 reopens buybacks.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</si>
  <si>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</si>
  <si>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</si>
  <si>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</si>
  <si>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</si>
  <si>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</si>
  <si>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</si>
  <si>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</si>
  <si>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</si>
  <si>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</si>
  <si>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</si>
  <si>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</si>
  <si>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</si>
  <si>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</si>
  <si>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</si>
  <si>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</si>
  <si>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</si>
  <si>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</si>
  <si>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</si>
  <si>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</si>
  <si>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</si>
  <si>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</si>
  <si>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</si>
  <si>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</si>
  <si>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</si>
  <si>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</si>
  <si>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</si>
  <si>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</si>
  <si>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ProfitForPeriodTotal</t>
  </si>
  <si>
    <t xml:space="preserve">SharesDiluted</t>
  </si>
  <si>
    <t xml:space="preserve">TotalEquityInclNCI</t>
  </si>
  <si>
    <t xml:space="preserve">FY2016</t>
  </si>
  <si>
    <t xml:space="preserve">GBP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</si>
  <si>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</si>
  <si>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</si>
  <si>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</si>
  <si>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</si>
  <si>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</si>
  <si>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</si>
  <si>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</si>
  <si>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</si>
  <si>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</si>
  <si>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</si>
  <si>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</si>
  <si>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</si>
  <si>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</si>
  <si>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</si>
  <si>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</si>
  <si>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</si>
  <si>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</si>
  <si>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</si>
  <si>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</si>
  <si>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</si>
  <si>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</si>
  <si>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</si>
  <si>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</si>
  <si>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</si>
  <si>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</si>
  <si>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</si>
  <si>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</si>
  <si>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</si>
  <si>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</si>
  <si>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</si>
  <si>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</si>
  <si>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</si>
  <si>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</si>
  <si>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</si>
  <si>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</si>
  <si>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</si>
  <si>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</si>
  <si>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</si>
  <si>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</si>
  <si>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</si>
  <si>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</si>
  <si>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</si>
  <si>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</si>
  <si>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</si>
  <si>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</si>
  <si>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</si>
  <si>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</si>
  <si>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DEO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</si>
  <si>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</si>
  <si>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</si>
  <si>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</si>
  <si>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</si>
  <si>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</si>
  <si>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</si>
  <si>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</si>
  <si>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</si>
  <si>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</si>
  <si>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</si>
  <si>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</si>
  <si>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</si>
  <si>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</si>
  <si>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</si>
  <si>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</si>
  <si>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</si>
  <si>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</si>
  <si>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</si>
  <si>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</si>
  <si>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</si>
  <si>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</si>
  <si>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</si>
  <si>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</si>
  <si>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</si>
  <si>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</si>
  <si>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</si>
  <si>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</si>
  <si>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</si>
  <si>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</si>
  <si>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</si>
  <si>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DEO owner-FCF component DCF: base case (millions, USD)</t>
  </si>
  <si>
    <t xml:space="preserve">DEO owner-FCF component DCF: bull case (millions, USD)</t>
  </si>
  <si>
    <t xml:space="preserve">DEO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</si>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</sst>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84.75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10485</v>
      </c>
      <c r="C2" s="0" t="n">
        <v>4251</v>
      </c>
      <c r="D2" s="0" t="n">
        <v>6234</v>
      </c>
      <c r="E2" s="0" t="n">
        <v>59.5</v>
      </c>
      <c r="F2" s="0" t="n">
        <v>2841</v>
      </c>
      <c r="G2" s="0" t="n">
        <v>27.1</v>
      </c>
      <c r="H2" s="0" t="n">
        <v>3314</v>
      </c>
      <c r="I2" s="0" t="n">
        <v>2244</v>
      </c>
      <c r="J2" s="0" t="n">
        <v>21.4</v>
      </c>
      <c r="K2" s="0" t="n">
        <v>3.58</v>
      </c>
      <c r="L2" s="0" t="n">
        <v>2548</v>
      </c>
      <c r="M2" s="0" t="n">
        <v>506</v>
      </c>
      <c r="N2" s="0" t="n">
        <v>2042</v>
      </c>
      <c r="O2" s="0" t="n">
        <v>8530</v>
      </c>
      <c r="P2" s="0" t="n">
        <v>28491</v>
      </c>
      <c r="Q2" s="0" t="n">
        <v>18311</v>
      </c>
      <c r="R2" s="0" t="n">
        <v>10129</v>
      </c>
      <c r="S2" s="0" t="n">
        <v>1089</v>
      </c>
      <c r="T2" s="0" t="n">
        <v>627</v>
      </c>
      <c r="U2" s="0" t="n">
        <v>29</v>
      </c>
      <c r="AA2" s="0" t="s">
        <v>17</v>
      </c>
      <c r="AB2" s="0" t="s">
        <v>67</v>
      </c>
      <c r="AC2" s="0" t="n">
        <v>2362</v>
      </c>
      <c r="AD2" s="0" t="n">
        <v>2518</v>
      </c>
      <c r="AE2" s="0" t="n">
        <v>10180</v>
      </c>
    </row>
    <row r="3" customFormat="false" ht="15" hidden="false" customHeight="false" outlineLevel="0" collapsed="false">
      <c r="A3" s="0" t="s">
        <v>68</v>
      </c>
      <c r="B3" s="0" t="n">
        <v>12050</v>
      </c>
      <c r="C3" s="0" t="n">
        <v>4680</v>
      </c>
      <c r="D3" s="0" t="n">
        <v>7370</v>
      </c>
      <c r="E3" s="0" t="n">
        <v>61.2</v>
      </c>
      <c r="F3" s="0" t="n">
        <v>3559</v>
      </c>
      <c r="G3" s="0" t="n">
        <v>29.5</v>
      </c>
      <c r="H3" s="0" t="n">
        <v>3920</v>
      </c>
      <c r="I3" s="0" t="n">
        <v>2662</v>
      </c>
      <c r="J3" s="0" t="n">
        <v>22.1</v>
      </c>
      <c r="K3" s="0" t="n">
        <v>4.24</v>
      </c>
      <c r="L3" s="0" t="n">
        <v>3132</v>
      </c>
      <c r="M3" s="0" t="n">
        <v>518</v>
      </c>
      <c r="N3" s="0" t="n">
        <v>2614</v>
      </c>
      <c r="O3" s="0" t="n">
        <v>10313</v>
      </c>
      <c r="P3" s="0" t="n">
        <v>28848</v>
      </c>
      <c r="Q3" s="0" t="n">
        <v>16820</v>
      </c>
      <c r="R3" s="0" t="n">
        <v>9042</v>
      </c>
      <c r="S3" s="0" t="n">
        <v>1191</v>
      </c>
      <c r="T3" s="0" t="n">
        <v>628</v>
      </c>
      <c r="U3" s="0" t="n">
        <v>34</v>
      </c>
      <c r="AA3" s="0" t="s">
        <v>17</v>
      </c>
      <c r="AB3" s="0" t="s">
        <v>67</v>
      </c>
      <c r="AC3" s="0" t="n">
        <v>2772</v>
      </c>
      <c r="AD3" s="0" t="n">
        <v>2523</v>
      </c>
      <c r="AE3" s="0" t="n">
        <v>12028</v>
      </c>
    </row>
    <row r="4" customFormat="false" ht="15" hidden="false" customHeight="false" outlineLevel="0" collapsed="false">
      <c r="A4" s="0" t="s">
        <v>69</v>
      </c>
      <c r="B4" s="0" t="n">
        <v>12163</v>
      </c>
      <c r="C4" s="0" t="n">
        <v>4634</v>
      </c>
      <c r="D4" s="0" t="n">
        <v>7529</v>
      </c>
      <c r="E4" s="0" t="n">
        <v>61.9</v>
      </c>
      <c r="F4" s="0" t="n">
        <v>3691</v>
      </c>
      <c r="G4" s="0" t="n">
        <v>30.3</v>
      </c>
      <c r="H4" s="0" t="n">
        <v>4184</v>
      </c>
      <c r="I4" s="0" t="n">
        <v>3022</v>
      </c>
      <c r="J4" s="0" t="n">
        <v>24.8</v>
      </c>
      <c r="K4" s="0" t="n">
        <v>4.868</v>
      </c>
      <c r="L4" s="0" t="n">
        <v>3084</v>
      </c>
      <c r="M4" s="0" t="n">
        <v>584</v>
      </c>
      <c r="N4" s="0" t="n">
        <v>2500</v>
      </c>
      <c r="O4" s="0" t="n">
        <v>9948</v>
      </c>
      <c r="P4" s="0" t="n">
        <v>29715</v>
      </c>
      <c r="Q4" s="0" t="n">
        <v>18002</v>
      </c>
      <c r="R4" s="0" t="n">
        <v>9902</v>
      </c>
      <c r="S4" s="0" t="n">
        <v>874</v>
      </c>
      <c r="T4" s="0" t="n">
        <v>621</v>
      </c>
      <c r="U4" s="0" t="n">
        <v>39</v>
      </c>
      <c r="AA4" s="0" t="s">
        <v>17</v>
      </c>
      <c r="AB4" s="0" t="s">
        <v>67</v>
      </c>
      <c r="AE4" s="0" t="n">
        <v>11713</v>
      </c>
    </row>
    <row r="5" customFormat="false" ht="15" hidden="false" customHeight="false" outlineLevel="0" collapsed="false">
      <c r="A5" s="0" t="s">
        <v>70</v>
      </c>
      <c r="B5" s="0" t="n">
        <v>12867</v>
      </c>
      <c r="C5" s="0" t="n">
        <v>4866</v>
      </c>
      <c r="D5" s="0" t="n">
        <v>8001</v>
      </c>
      <c r="E5" s="0" t="n">
        <v>62.2</v>
      </c>
      <c r="F5" s="0" t="n">
        <v>4042</v>
      </c>
      <c r="G5" s="0" t="n">
        <v>31.4</v>
      </c>
      <c r="H5" s="0" t="n">
        <v>4416</v>
      </c>
      <c r="I5" s="0" t="n">
        <v>3160</v>
      </c>
      <c r="J5" s="0" t="n">
        <v>24.6</v>
      </c>
      <c r="K5" s="0" t="n">
        <v>5.228</v>
      </c>
      <c r="L5" s="0" t="n">
        <v>3248</v>
      </c>
      <c r="M5" s="0" t="n">
        <v>671</v>
      </c>
      <c r="N5" s="0" t="n">
        <v>2577</v>
      </c>
      <c r="O5" s="0" t="n">
        <v>8361</v>
      </c>
      <c r="P5" s="0" t="n">
        <v>31296</v>
      </c>
      <c r="Q5" s="0" t="n">
        <v>21140</v>
      </c>
      <c r="R5" s="0" t="n">
        <v>12555</v>
      </c>
      <c r="S5" s="0" t="n">
        <v>932</v>
      </c>
      <c r="T5" s="0" t="n">
        <v>604.5</v>
      </c>
      <c r="U5" s="0" t="n">
        <v>49</v>
      </c>
      <c r="AA5" s="0" t="s">
        <v>17</v>
      </c>
      <c r="AB5" s="0" t="s">
        <v>67</v>
      </c>
      <c r="AE5" s="0" t="n">
        <v>10156</v>
      </c>
    </row>
    <row r="6" customFormat="false" ht="15" hidden="false" customHeight="false" outlineLevel="0" collapsed="false">
      <c r="A6" s="0" t="s">
        <v>71</v>
      </c>
      <c r="B6" s="0" t="n">
        <v>11752</v>
      </c>
      <c r="C6" s="0" t="n">
        <v>4654</v>
      </c>
      <c r="D6" s="0" t="n">
        <v>7098</v>
      </c>
      <c r="E6" s="0" t="n">
        <v>60.4</v>
      </c>
      <c r="F6" s="0" t="n">
        <v>2137</v>
      </c>
      <c r="G6" s="0" t="n">
        <v>18.2</v>
      </c>
      <c r="H6" s="0" t="n">
        <v>3976</v>
      </c>
      <c r="I6" s="0" t="n">
        <v>1409</v>
      </c>
      <c r="J6" s="0" t="n">
        <v>12</v>
      </c>
      <c r="K6" s="0" t="n">
        <v>2.404</v>
      </c>
      <c r="L6" s="0" t="n">
        <v>2320</v>
      </c>
      <c r="M6" s="0" t="n">
        <v>700</v>
      </c>
      <c r="N6" s="0" t="n">
        <v>1620</v>
      </c>
      <c r="O6" s="0" t="n">
        <v>6772</v>
      </c>
      <c r="P6" s="0" t="n">
        <v>33308</v>
      </c>
      <c r="Q6" s="0" t="n">
        <v>24868</v>
      </c>
      <c r="R6" s="0" t="n">
        <v>16785</v>
      </c>
      <c r="S6" s="0" t="n">
        <v>3323</v>
      </c>
      <c r="T6" s="0" t="n">
        <v>586.5</v>
      </c>
      <c r="U6" s="0" t="n">
        <v>2</v>
      </c>
      <c r="AA6" s="0" t="s">
        <v>17</v>
      </c>
      <c r="AB6" s="0" t="s">
        <v>67</v>
      </c>
      <c r="AE6" s="0" t="n">
        <v>8440</v>
      </c>
    </row>
    <row r="7" customFormat="false" ht="15" hidden="false" customHeight="false" outlineLevel="0" collapsed="false">
      <c r="A7" s="0" t="s">
        <v>72</v>
      </c>
      <c r="B7" s="0" t="n">
        <v>12733</v>
      </c>
      <c r="C7" s="0" t="n">
        <v>5038</v>
      </c>
      <c r="D7" s="0" t="n">
        <v>7695</v>
      </c>
      <c r="E7" s="0" t="n">
        <v>60.4</v>
      </c>
      <c r="F7" s="0" t="n">
        <v>3731</v>
      </c>
      <c r="G7" s="0" t="n">
        <v>29.3</v>
      </c>
      <c r="H7" s="0" t="n">
        <v>4178</v>
      </c>
      <c r="I7" s="0" t="n">
        <v>2660</v>
      </c>
      <c r="J7" s="0" t="n">
        <v>20.9</v>
      </c>
      <c r="K7" s="0" t="n">
        <v>4.552</v>
      </c>
      <c r="L7" s="0" t="n">
        <v>3654</v>
      </c>
      <c r="M7" s="0" t="n">
        <v>626</v>
      </c>
      <c r="N7" s="0" t="n">
        <v>3028</v>
      </c>
      <c r="O7" s="0" t="n">
        <v>6897</v>
      </c>
      <c r="P7" s="0" t="n">
        <v>31953</v>
      </c>
      <c r="Q7" s="0" t="n">
        <v>23522</v>
      </c>
      <c r="R7" s="0" t="n">
        <v>14727</v>
      </c>
      <c r="S7" s="0" t="n">
        <v>2749</v>
      </c>
      <c r="T7" s="0" t="n">
        <v>584.25</v>
      </c>
      <c r="U7" s="0" t="n">
        <v>49</v>
      </c>
      <c r="AA7" s="0" t="s">
        <v>17</v>
      </c>
      <c r="AB7" s="0" t="s">
        <v>67</v>
      </c>
      <c r="AC7" s="0" t="n">
        <v>2799</v>
      </c>
      <c r="AD7" s="0" t="n">
        <v>2345</v>
      </c>
      <c r="AE7" s="0" t="n">
        <v>8431</v>
      </c>
    </row>
    <row r="8" customFormat="false" ht="15" hidden="false" customHeight="false" outlineLevel="0" collapsed="false">
      <c r="A8" s="0" t="s">
        <v>73</v>
      </c>
      <c r="B8" s="0" t="n">
        <v>15452</v>
      </c>
      <c r="C8" s="0" t="n">
        <v>5973</v>
      </c>
      <c r="D8" s="0" t="n">
        <v>9479</v>
      </c>
      <c r="E8" s="0" t="n">
        <v>61.3</v>
      </c>
      <c r="F8" s="0" t="n">
        <v>4409</v>
      </c>
      <c r="G8" s="0" t="n">
        <v>28.5</v>
      </c>
      <c r="H8" s="0" t="n">
        <v>5237</v>
      </c>
      <c r="I8" s="0" t="n">
        <v>3249</v>
      </c>
      <c r="J8" s="0" t="n">
        <v>21</v>
      </c>
      <c r="K8" s="0" t="n">
        <v>5.608</v>
      </c>
      <c r="L8" s="0" t="n">
        <v>3935</v>
      </c>
      <c r="M8" s="0" t="n">
        <v>1097</v>
      </c>
      <c r="N8" s="0" t="n">
        <v>2838</v>
      </c>
      <c r="O8" s="0" t="n">
        <v>7798</v>
      </c>
      <c r="P8" s="0" t="n">
        <v>36516</v>
      </c>
      <c r="Q8" s="0" t="n">
        <v>27002</v>
      </c>
      <c r="R8" s="0" t="n">
        <v>16020</v>
      </c>
      <c r="S8" s="0" t="n">
        <v>2285</v>
      </c>
      <c r="T8" s="0" t="n">
        <v>579.5</v>
      </c>
      <c r="U8" s="0" t="n">
        <v>59</v>
      </c>
      <c r="AA8" s="0" t="s">
        <v>17</v>
      </c>
      <c r="AB8" s="0" t="s">
        <v>67</v>
      </c>
      <c r="AC8" s="0" t="n">
        <v>3338</v>
      </c>
      <c r="AD8" s="0" t="n">
        <v>2325</v>
      </c>
      <c r="AE8" s="0" t="n">
        <v>9514</v>
      </c>
    </row>
    <row r="9" customFormat="false" ht="15" hidden="false" customHeight="false" outlineLevel="0" collapsed="false">
      <c r="A9" s="0" t="s">
        <v>74</v>
      </c>
      <c r="B9" s="0" t="n">
        <v>17113</v>
      </c>
      <c r="C9" s="0" t="n">
        <v>6899</v>
      </c>
      <c r="D9" s="0" t="n">
        <v>10214</v>
      </c>
      <c r="E9" s="0" t="n">
        <v>59.7</v>
      </c>
      <c r="F9" s="0" t="n">
        <v>4632</v>
      </c>
      <c r="G9" s="0" t="n">
        <v>27.1</v>
      </c>
      <c r="H9" s="0" t="n">
        <v>5698</v>
      </c>
      <c r="I9" s="0" t="n">
        <v>3734</v>
      </c>
      <c r="J9" s="0" t="n">
        <v>21.8</v>
      </c>
      <c r="K9" s="0" t="n">
        <v>6.596</v>
      </c>
      <c r="L9" s="0" t="n">
        <v>3024</v>
      </c>
      <c r="M9" s="0" t="n">
        <v>1180</v>
      </c>
      <c r="N9" s="0" t="n">
        <v>1844</v>
      </c>
      <c r="O9" s="0" t="n">
        <v>7822</v>
      </c>
      <c r="P9" s="0" t="n">
        <v>35621</v>
      </c>
      <c r="Q9" s="0" t="n">
        <v>26329</v>
      </c>
      <c r="R9" s="0" t="n">
        <v>16502</v>
      </c>
      <c r="S9" s="0" t="n">
        <v>1439</v>
      </c>
      <c r="T9" s="0" t="n">
        <v>566</v>
      </c>
      <c r="U9" s="0" t="n">
        <v>49</v>
      </c>
      <c r="AA9" s="0" t="s">
        <v>17</v>
      </c>
      <c r="AB9" s="0" t="s">
        <v>67</v>
      </c>
      <c r="AC9" s="0" t="n">
        <v>3766</v>
      </c>
      <c r="AD9" s="0" t="n">
        <v>2271</v>
      </c>
      <c r="AE9" s="0" t="n">
        <v>9292</v>
      </c>
    </row>
    <row r="10" customFormat="false" ht="15" hidden="false" customHeight="false" outlineLevel="0" collapsed="false">
      <c r="A10" s="0" t="s">
        <v>75</v>
      </c>
      <c r="B10" s="0" t="n">
        <v>20269</v>
      </c>
      <c r="C10" s="0" t="n">
        <v>8071</v>
      </c>
      <c r="D10" s="0" t="n">
        <v>12198</v>
      </c>
      <c r="E10" s="0" t="n">
        <v>60.2</v>
      </c>
      <c r="F10" s="0" t="n">
        <v>6001</v>
      </c>
      <c r="G10" s="0" t="n">
        <v>29.6</v>
      </c>
      <c r="H10" s="0" t="n">
        <v>6494</v>
      </c>
      <c r="I10" s="0" t="n">
        <v>3870</v>
      </c>
      <c r="J10" s="0" t="n">
        <v>19.1</v>
      </c>
      <c r="K10" s="0" t="n">
        <v>6.928</v>
      </c>
      <c r="L10" s="0" t="n">
        <v>4105</v>
      </c>
      <c r="M10" s="0" t="n">
        <v>1510</v>
      </c>
      <c r="N10" s="0" t="n">
        <v>2595</v>
      </c>
      <c r="O10" s="0" t="n">
        <v>10032</v>
      </c>
      <c r="P10" s="0" t="n">
        <v>45474</v>
      </c>
      <c r="Q10" s="0" t="n">
        <v>33404</v>
      </c>
      <c r="R10" s="0" t="n">
        <v>21501</v>
      </c>
      <c r="S10" s="0" t="n">
        <v>1130</v>
      </c>
      <c r="T10" s="0" t="n">
        <v>558.5</v>
      </c>
      <c r="U10" s="0" t="n">
        <v>43</v>
      </c>
      <c r="AA10" s="0" t="s">
        <v>17</v>
      </c>
      <c r="AB10" s="0" t="s">
        <v>14</v>
      </c>
      <c r="AC10" s="0" t="n">
        <v>4166</v>
      </c>
      <c r="AD10" s="0" t="n">
        <v>2239</v>
      </c>
      <c r="AE10" s="0" t="n">
        <v>12070</v>
      </c>
    </row>
    <row r="11" customFormat="false" ht="15" hidden="false" customHeight="false" outlineLevel="0" collapsed="false">
      <c r="A11" s="0" t="s">
        <v>76</v>
      </c>
      <c r="B11" s="0" t="n">
        <v>20245</v>
      </c>
      <c r="C11" s="0" t="n">
        <v>8072</v>
      </c>
      <c r="D11" s="0" t="n">
        <v>12173</v>
      </c>
      <c r="E11" s="0" t="n">
        <v>60.1</v>
      </c>
      <c r="F11" s="0" t="n">
        <v>4335</v>
      </c>
      <c r="G11" s="0" t="n">
        <v>21.4</v>
      </c>
      <c r="H11" s="0" t="n">
        <v>6053</v>
      </c>
      <c r="I11" s="0" t="n">
        <v>2354</v>
      </c>
      <c r="J11" s="0" t="n">
        <v>11.6</v>
      </c>
      <c r="K11" s="0" t="n">
        <v>4.236</v>
      </c>
      <c r="L11" s="0" t="n">
        <v>4297</v>
      </c>
      <c r="M11" s="0" t="n">
        <v>1612</v>
      </c>
      <c r="N11" s="0" t="n">
        <v>2685</v>
      </c>
      <c r="O11" s="0" t="n">
        <v>11090</v>
      </c>
      <c r="P11" s="0" t="n">
        <v>49322</v>
      </c>
      <c r="Q11" s="0" t="n">
        <v>36144</v>
      </c>
      <c r="R11" s="0" t="n">
        <v>23748</v>
      </c>
      <c r="S11" s="0" t="n">
        <v>2200</v>
      </c>
      <c r="T11" s="0" t="n">
        <v>555.5</v>
      </c>
      <c r="U11" s="0" t="n">
        <v>59</v>
      </c>
      <c r="AA11" s="0" t="s">
        <v>17</v>
      </c>
      <c r="AB11" s="0" t="s">
        <v>14</v>
      </c>
      <c r="AC11" s="0" t="n">
        <v>2538</v>
      </c>
      <c r="AD11" s="0" t="n">
        <v>2228</v>
      </c>
      <c r="AE11" s="0" t="n">
        <v>13178</v>
      </c>
    </row>
    <row r="12" customFormat="false" ht="15" hidden="false" customHeight="false" outlineLevel="0" collapsed="false">
      <c r="A12" s="0" t="s">
        <v>77</v>
      </c>
      <c r="B12" s="0" t="n">
        <v>19643</v>
      </c>
      <c r="C12" s="0" t="n">
        <v>7962</v>
      </c>
      <c r="D12" s="0" t="n">
        <v>11681</v>
      </c>
      <c r="E12" s="0" t="n">
        <v>59.5</v>
      </c>
      <c r="F12" s="0" t="n">
        <v>3156</v>
      </c>
      <c r="G12" s="0" t="n">
        <v>16.1</v>
      </c>
      <c r="H12" s="0" t="n">
        <v>5636</v>
      </c>
      <c r="I12" s="0" t="n">
        <v>1737</v>
      </c>
      <c r="J12" s="0" t="n">
        <v>8.8</v>
      </c>
      <c r="K12" s="0" t="n">
        <v>3.124</v>
      </c>
      <c r="L12" s="0" t="n">
        <v>4392</v>
      </c>
      <c r="M12" s="0" t="n">
        <v>1197</v>
      </c>
      <c r="N12" s="0" t="n">
        <v>3195</v>
      </c>
      <c r="O12" s="0" t="n">
        <v>10871</v>
      </c>
      <c r="P12" s="0" t="n">
        <v>46845</v>
      </c>
      <c r="Q12" s="0" t="n">
        <v>33891</v>
      </c>
      <c r="R12" s="0" t="n">
        <v>21511</v>
      </c>
      <c r="S12" s="0" t="n">
        <v>1520</v>
      </c>
      <c r="T12" s="0" t="n">
        <v>556</v>
      </c>
      <c r="U12" s="0" t="n">
        <v>44</v>
      </c>
      <c r="AA12" s="0" t="s">
        <v>17</v>
      </c>
      <c r="AB12" s="0" t="s">
        <v>14</v>
      </c>
      <c r="AC12" s="0" t="n">
        <v>1958</v>
      </c>
      <c r="AD12" s="0" t="n">
        <v>2231</v>
      </c>
      <c r="AE12" s="0" t="n">
        <v>12954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84.75</v>
      </c>
    </row>
    <row r="3" customFormat="false" ht="15" hidden="false" customHeight="false" outlineLevel="0" collapsed="false">
      <c r="A3" s="0" t="s">
        <v>81</v>
      </c>
      <c r="B3" s="3" t="n">
        <v>557.75</v>
      </c>
    </row>
    <row r="4" customFormat="false" ht="15" hidden="false" customHeight="false" outlineLevel="0" collapsed="false">
      <c r="A4" s="0" t="s">
        <v>82</v>
      </c>
      <c r="B4" s="3" t="n">
        <v>19991</v>
      </c>
    </row>
    <row r="5" customFormat="false" ht="15" hidden="false" customHeight="false" outlineLevel="0" collapsed="false">
      <c r="A5" s="0" t="s">
        <v>83</v>
      </c>
      <c r="B5" s="3" t="n">
        <v>7119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18593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-1.5</v>
      </c>
      <c r="D13" s="3" t="n">
        <v>0.5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31.2</v>
      </c>
      <c r="D14" s="3" t="n">
        <v>31.9</v>
      </c>
      <c r="E14" s="3" t="n">
        <v>32.8</v>
      </c>
      <c r="F14" s="3" t="n">
        <v>33</v>
      </c>
      <c r="G14" s="3" t="n">
        <v>33.2</v>
      </c>
      <c r="H14" s="3" t="n">
        <v>33.2</v>
      </c>
      <c r="I14" s="3" t="n">
        <v>33.2</v>
      </c>
      <c r="J14" s="3" t="n">
        <v>33.2</v>
      </c>
      <c r="K14" s="3" t="n">
        <v>33.2</v>
      </c>
      <c r="L14" s="3" t="n">
        <v>33.2</v>
      </c>
    </row>
    <row r="15" customFormat="false" ht="15" hidden="false" customHeight="false" outlineLevel="0" collapsed="false">
      <c r="A15" s="0" t="s">
        <v>103</v>
      </c>
      <c r="C15" s="3" t="n">
        <v>0.23</v>
      </c>
      <c r="D15" s="3" t="n">
        <v>0.23</v>
      </c>
      <c r="E15" s="3" t="n">
        <v>0.23</v>
      </c>
      <c r="F15" s="3" t="n">
        <v>0.23</v>
      </c>
      <c r="G15" s="3" t="n">
        <v>0.23</v>
      </c>
      <c r="H15" s="3" t="n">
        <v>0.23</v>
      </c>
      <c r="I15" s="3" t="n">
        <v>0.23</v>
      </c>
      <c r="J15" s="3" t="n">
        <v>0.23</v>
      </c>
      <c r="K15" s="3" t="n">
        <v>0.23</v>
      </c>
      <c r="L15" s="3" t="n">
        <v>0.23</v>
      </c>
    </row>
    <row r="16" customFormat="false" ht="15" hidden="false" customHeight="false" outlineLevel="0" collapsed="false">
      <c r="A16" s="0" t="s">
        <v>104</v>
      </c>
      <c r="C16" s="3" t="n">
        <v>0.85</v>
      </c>
      <c r="D16" s="3" t="n">
        <v>0.85</v>
      </c>
      <c r="E16" s="3" t="n">
        <v>0.85</v>
      </c>
      <c r="F16" s="3" t="n">
        <v>0.85</v>
      </c>
      <c r="G16" s="3" t="n">
        <v>0.85</v>
      </c>
      <c r="H16" s="3" t="n">
        <v>0.85</v>
      </c>
      <c r="I16" s="3" t="n">
        <v>0.85</v>
      </c>
      <c r="J16" s="3" t="n">
        <v>0.85</v>
      </c>
      <c r="K16" s="3" t="n">
        <v>0.85</v>
      </c>
      <c r="L16" s="3" t="n">
        <v>0.85</v>
      </c>
    </row>
    <row r="17" customFormat="false" ht="15" hidden="false" customHeight="false" outlineLevel="0" collapsed="false">
      <c r="A17" s="0" t="s">
        <v>105</v>
      </c>
      <c r="C17" s="3" t="n">
        <v>3</v>
      </c>
      <c r="D17" s="3" t="n">
        <v>3.1</v>
      </c>
      <c r="E17" s="3" t="n">
        <v>3.2</v>
      </c>
      <c r="F17" s="3" t="n">
        <v>3.2</v>
      </c>
      <c r="G17" s="3" t="n">
        <v>3.3</v>
      </c>
      <c r="H17" s="3" t="n">
        <v>3.3</v>
      </c>
      <c r="I17" s="3" t="n">
        <v>3.3</v>
      </c>
      <c r="J17" s="3" t="n">
        <v>3.3</v>
      </c>
      <c r="K17" s="3" t="n">
        <v>3.3</v>
      </c>
      <c r="L17" s="3" t="n">
        <v>3.3</v>
      </c>
    </row>
    <row r="18" customFormat="false" ht="15" hidden="false" customHeight="false" outlineLevel="0" collapsed="false">
      <c r="A18" s="0" t="s">
        <v>106</v>
      </c>
      <c r="C18" s="3" t="n">
        <v>7</v>
      </c>
      <c r="D18" s="3" t="n">
        <v>6.8</v>
      </c>
      <c r="E18" s="3" t="n">
        <v>6.4</v>
      </c>
      <c r="F18" s="3" t="n">
        <v>6</v>
      </c>
      <c r="G18" s="3" t="n">
        <v>5.7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107</v>
      </c>
      <c r="C19" s="3" t="n">
        <v>28.5</v>
      </c>
      <c r="D19" s="3" t="n">
        <v>28.5</v>
      </c>
      <c r="E19" s="3" t="n">
        <v>28.5</v>
      </c>
      <c r="F19" s="3" t="n">
        <v>28.5</v>
      </c>
      <c r="G19" s="3" t="n">
        <v>28.5</v>
      </c>
      <c r="H19" s="3" t="n">
        <v>28.5</v>
      </c>
      <c r="I19" s="3" t="n">
        <v>28.5</v>
      </c>
      <c r="J19" s="3" t="n">
        <v>28.5</v>
      </c>
      <c r="K19" s="3" t="n">
        <v>28.5</v>
      </c>
      <c r="L19" s="3" t="n">
        <v>28.5</v>
      </c>
    </row>
    <row r="20" customFormat="false" ht="15" hidden="false" customHeight="false" outlineLevel="0" collapsed="false">
      <c r="A20" s="0" t="s">
        <v>108</v>
      </c>
      <c r="B20" s="3" t="n">
        <v>7.5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15</v>
      </c>
    </row>
    <row r="23" customFormat="false" ht="15" hidden="false" customHeight="false" outlineLevel="0" collapsed="false">
      <c r="A23" s="0" t="s">
        <v>111</v>
      </c>
      <c r="B23" s="3" t="n">
        <v>-40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0.5</v>
      </c>
      <c r="D27" s="3" t="n">
        <v>3</v>
      </c>
      <c r="E27" s="3" t="n">
        <v>3.5</v>
      </c>
      <c r="F27" s="3" t="n">
        <v>4</v>
      </c>
      <c r="G27" s="3" t="n">
        <v>4</v>
      </c>
      <c r="H27" s="3" t="n">
        <v>3.75</v>
      </c>
      <c r="I27" s="3" t="n">
        <v>3.5</v>
      </c>
      <c r="J27" s="3" t="n">
        <v>3.25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102</v>
      </c>
      <c r="C28" s="3" t="n">
        <v>32.6</v>
      </c>
      <c r="D28" s="3" t="n">
        <v>33.8</v>
      </c>
      <c r="E28" s="3" t="n">
        <v>35</v>
      </c>
      <c r="F28" s="3" t="n">
        <v>35.5</v>
      </c>
      <c r="G28" s="3" t="n">
        <v>35.8</v>
      </c>
      <c r="H28" s="3" t="n">
        <v>35.8</v>
      </c>
      <c r="I28" s="3" t="n">
        <v>35.8</v>
      </c>
      <c r="J28" s="3" t="n">
        <v>35.8</v>
      </c>
      <c r="K28" s="3" t="n">
        <v>35.8</v>
      </c>
      <c r="L28" s="3" t="n">
        <v>35.8</v>
      </c>
    </row>
    <row r="29" customFormat="false" ht="15" hidden="false" customHeight="false" outlineLevel="0" collapsed="false">
      <c r="A29" s="0" t="s">
        <v>103</v>
      </c>
      <c r="C29" s="3" t="n">
        <v>0.23</v>
      </c>
      <c r="D29" s="3" t="n">
        <v>0.23</v>
      </c>
      <c r="E29" s="3" t="n">
        <v>0.23</v>
      </c>
      <c r="F29" s="3" t="n">
        <v>0.23</v>
      </c>
      <c r="G29" s="3" t="n">
        <v>0.23</v>
      </c>
      <c r="H29" s="3" t="n">
        <v>0.23</v>
      </c>
      <c r="I29" s="3" t="n">
        <v>0.23</v>
      </c>
      <c r="J29" s="3" t="n">
        <v>0.23</v>
      </c>
      <c r="K29" s="3" t="n">
        <v>0.23</v>
      </c>
      <c r="L29" s="3" t="n">
        <v>0.23</v>
      </c>
    </row>
    <row r="30" customFormat="false" ht="15" hidden="false" customHeight="false" outlineLevel="0" collapsed="false">
      <c r="A30" s="0" t="s">
        <v>104</v>
      </c>
      <c r="C30" s="3" t="n">
        <v>0.85</v>
      </c>
      <c r="D30" s="3" t="n">
        <v>0.85</v>
      </c>
      <c r="E30" s="3" t="n">
        <v>0.85</v>
      </c>
      <c r="F30" s="3" t="n">
        <v>0.85</v>
      </c>
      <c r="G30" s="3" t="n">
        <v>0.85</v>
      </c>
      <c r="H30" s="3" t="n">
        <v>0.85</v>
      </c>
      <c r="I30" s="3" t="n">
        <v>0.85</v>
      </c>
      <c r="J30" s="3" t="n">
        <v>0.85</v>
      </c>
      <c r="K30" s="3" t="n">
        <v>0.85</v>
      </c>
      <c r="L30" s="3" t="n">
        <v>0.85</v>
      </c>
    </row>
    <row r="31" customFormat="false" ht="15" hidden="false" customHeight="false" outlineLevel="0" collapsed="false">
      <c r="A31" s="0" t="s">
        <v>105</v>
      </c>
      <c r="C31" s="3" t="n">
        <v>3</v>
      </c>
      <c r="D31" s="3" t="n">
        <v>3.1</v>
      </c>
      <c r="E31" s="3" t="n">
        <v>3.2</v>
      </c>
      <c r="F31" s="3" t="n">
        <v>3.2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106</v>
      </c>
      <c r="C32" s="3" t="n">
        <v>7</v>
      </c>
      <c r="D32" s="3" t="n">
        <v>6.8</v>
      </c>
      <c r="E32" s="3" t="n">
        <v>6.4</v>
      </c>
      <c r="F32" s="3" t="n">
        <v>6</v>
      </c>
      <c r="G32" s="3" t="n">
        <v>5.7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107</v>
      </c>
      <c r="C33" s="3" t="n">
        <v>28</v>
      </c>
      <c r="D33" s="3" t="n">
        <v>28</v>
      </c>
      <c r="E33" s="3" t="n">
        <v>28</v>
      </c>
      <c r="F33" s="3" t="n">
        <v>27.5</v>
      </c>
      <c r="G33" s="3" t="n">
        <v>27.5</v>
      </c>
      <c r="H33" s="3" t="n">
        <v>27.5</v>
      </c>
      <c r="I33" s="3" t="n">
        <v>27.5</v>
      </c>
      <c r="J33" s="3" t="n">
        <v>27.5</v>
      </c>
      <c r="K33" s="3" t="n">
        <v>27.5</v>
      </c>
      <c r="L33" s="3" t="n">
        <v>27.5</v>
      </c>
    </row>
    <row r="34" customFormat="false" ht="15" hidden="false" customHeight="false" outlineLevel="0" collapsed="false">
      <c r="A34" s="0" t="s">
        <v>108</v>
      </c>
      <c r="B34" s="3" t="n">
        <v>7.5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17</v>
      </c>
    </row>
    <row r="37" customFormat="false" ht="15" hidden="false" customHeight="false" outlineLevel="0" collapsed="false">
      <c r="A37" s="0" t="s">
        <v>111</v>
      </c>
      <c r="B37" s="3" t="n">
        <v>-40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1.5</v>
      </c>
      <c r="D41" s="3" t="n">
        <v>4.5</v>
      </c>
      <c r="E41" s="3" t="n">
        <v>5</v>
      </c>
      <c r="F41" s="3" t="n">
        <v>5.5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102</v>
      </c>
      <c r="C42" s="3" t="n">
        <v>33</v>
      </c>
      <c r="D42" s="3" t="n">
        <v>34.6</v>
      </c>
      <c r="E42" s="3" t="n">
        <v>36.2</v>
      </c>
      <c r="F42" s="3" t="n">
        <v>37</v>
      </c>
      <c r="G42" s="3" t="n">
        <v>37.5</v>
      </c>
      <c r="H42" s="3" t="n">
        <v>37.5</v>
      </c>
      <c r="I42" s="3" t="n">
        <v>37.5</v>
      </c>
      <c r="J42" s="3" t="n">
        <v>37.5</v>
      </c>
      <c r="K42" s="3" t="n">
        <v>37.5</v>
      </c>
      <c r="L42" s="3" t="n">
        <v>37.5</v>
      </c>
    </row>
    <row r="43" customFormat="false" ht="15" hidden="false" customHeight="false" outlineLevel="0" collapsed="false">
      <c r="A43" s="0" t="s">
        <v>103</v>
      </c>
      <c r="C43" s="3" t="n">
        <v>0.23</v>
      </c>
      <c r="D43" s="3" t="n">
        <v>0.23</v>
      </c>
      <c r="E43" s="3" t="n">
        <v>0.23</v>
      </c>
      <c r="F43" s="3" t="n">
        <v>0.23</v>
      </c>
      <c r="G43" s="3" t="n">
        <v>0.23</v>
      </c>
      <c r="H43" s="3" t="n">
        <v>0.23</v>
      </c>
      <c r="I43" s="3" t="n">
        <v>0.23</v>
      </c>
      <c r="J43" s="3" t="n">
        <v>0.23</v>
      </c>
      <c r="K43" s="3" t="n">
        <v>0.23</v>
      </c>
      <c r="L43" s="3" t="n">
        <v>0.23</v>
      </c>
    </row>
    <row r="44" customFormat="false" ht="15" hidden="false" customHeight="false" outlineLevel="0" collapsed="false">
      <c r="A44" s="0" t="s">
        <v>104</v>
      </c>
      <c r="C44" s="3" t="n">
        <v>0.85</v>
      </c>
      <c r="D44" s="3" t="n">
        <v>0.85</v>
      </c>
      <c r="E44" s="3" t="n">
        <v>0.85</v>
      </c>
      <c r="F44" s="3" t="n">
        <v>0.85</v>
      </c>
      <c r="G44" s="3" t="n">
        <v>0.85</v>
      </c>
      <c r="H44" s="3" t="n">
        <v>0.85</v>
      </c>
      <c r="I44" s="3" t="n">
        <v>0.85</v>
      </c>
      <c r="J44" s="3" t="n">
        <v>0.85</v>
      </c>
      <c r="K44" s="3" t="n">
        <v>0.85</v>
      </c>
      <c r="L44" s="3" t="n">
        <v>0.85</v>
      </c>
    </row>
    <row r="45" customFormat="false" ht="15" hidden="false" customHeight="false" outlineLevel="0" collapsed="false">
      <c r="A45" s="0" t="s">
        <v>105</v>
      </c>
      <c r="C45" s="3" t="n">
        <v>3</v>
      </c>
      <c r="D45" s="3" t="n">
        <v>3.1</v>
      </c>
      <c r="E45" s="3" t="n">
        <v>3.2</v>
      </c>
      <c r="F45" s="3" t="n">
        <v>3.2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106</v>
      </c>
      <c r="C46" s="3" t="n">
        <v>7</v>
      </c>
      <c r="D46" s="3" t="n">
        <v>6.8</v>
      </c>
      <c r="E46" s="3" t="n">
        <v>6.4</v>
      </c>
      <c r="F46" s="3" t="n">
        <v>6</v>
      </c>
      <c r="G46" s="3" t="n">
        <v>5.7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107</v>
      </c>
      <c r="C47" s="3" t="n">
        <v>27.5</v>
      </c>
      <c r="D47" s="3" t="n">
        <v>27.5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108</v>
      </c>
      <c r="B48" s="3" t="n">
        <v>7.5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18</v>
      </c>
    </row>
    <row r="51" customFormat="false" ht="15" hidden="false" customHeight="false" outlineLevel="0" collapsed="false">
      <c r="A51" s="0" t="s">
        <v>111</v>
      </c>
      <c r="B51" s="3" t="n">
        <v>-40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-1.5</v>
      </c>
      <c r="D5" s="4" t="n">
        <f aca="false">Assumptions!D13</f>
        <v>0.5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18593</v>
      </c>
      <c r="C6" s="0" t="n">
        <f aca="false">B6*(1+C5/100)</f>
        <v>18314.105</v>
      </c>
      <c r="D6" s="0" t="n">
        <f aca="false">C6*(1+D5/100)</f>
        <v>18405.675525</v>
      </c>
      <c r="E6" s="0" t="n">
        <f aca="false">D6*(1+E5/100)</f>
        <v>18681.760657875</v>
      </c>
      <c r="F6" s="0" t="n">
        <f aca="false">E6*(1+F5/100)</f>
        <v>19055.3958710325</v>
      </c>
      <c r="G6" s="0" t="n">
        <f aca="false">F6*(1+G5/100)</f>
        <v>19436.5037884532</v>
      </c>
      <c r="H6" s="0" t="n">
        <f aca="false">G6*(1+H5/100)</f>
        <v>19825.2338642222</v>
      </c>
      <c r="I6" s="0" t="n">
        <f aca="false">H6*(1+I5/100)</f>
        <v>20221.7385415067</v>
      </c>
      <c r="J6" s="0" t="n">
        <f aca="false">I6*(1+J5/100)</f>
        <v>20626.1733123368</v>
      </c>
      <c r="K6" s="0" t="n">
        <f aca="false">J6*(1+K5/100)</f>
        <v>21038.6967785835</v>
      </c>
      <c r="L6" s="0" t="n">
        <f aca="false">K6*(1+L5/100)</f>
        <v>21459.4707141552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31.2</v>
      </c>
      <c r="D7" s="4" t="n">
        <f aca="false">Assumptions!D14</f>
        <v>31.9</v>
      </c>
      <c r="E7" s="4" t="n">
        <f aca="false">Assumptions!E14</f>
        <v>32.8</v>
      </c>
      <c r="F7" s="4" t="n">
        <f aca="false">Assumptions!F14</f>
        <v>33</v>
      </c>
      <c r="G7" s="4" t="n">
        <f aca="false">Assumptions!G14</f>
        <v>33.2</v>
      </c>
      <c r="H7" s="4" t="n">
        <f aca="false">Assumptions!H14</f>
        <v>33.2</v>
      </c>
      <c r="I7" s="4" t="n">
        <f aca="false">Assumptions!I14</f>
        <v>33.2</v>
      </c>
      <c r="J7" s="4" t="n">
        <f aca="false">Assumptions!J14</f>
        <v>33.2</v>
      </c>
      <c r="K7" s="4" t="n">
        <f aca="false">Assumptions!K14</f>
        <v>33.2</v>
      </c>
      <c r="L7" s="4" t="n">
        <f aca="false">Assumptions!L14</f>
        <v>33.2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5714.00076</v>
      </c>
      <c r="D8" s="0" t="n">
        <f aca="false">D6*D7/100</f>
        <v>5871.410492475</v>
      </c>
      <c r="E8" s="0" t="n">
        <f aca="false">E6*E7/100</f>
        <v>6127.617495783</v>
      </c>
      <c r="F8" s="0" t="n">
        <f aca="false">F6*F7/100</f>
        <v>6288.28063744073</v>
      </c>
      <c r="G8" s="0" t="n">
        <f aca="false">G6*G7/100</f>
        <v>6452.91925776645</v>
      </c>
      <c r="H8" s="0" t="n">
        <f aca="false">H6*H7/100</f>
        <v>6581.97764292178</v>
      </c>
      <c r="I8" s="0" t="n">
        <f aca="false">I6*I7/100</f>
        <v>6713.61719578021</v>
      </c>
      <c r="J8" s="0" t="n">
        <f aca="false">J6*J7/100</f>
        <v>6847.88953969581</v>
      </c>
      <c r="K8" s="0" t="n">
        <f aca="false">K6*K7/100</f>
        <v>6984.84733048973</v>
      </c>
      <c r="L8" s="0" t="n">
        <f aca="false">L6*L7/100</f>
        <v>7124.54427709953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0.23</v>
      </c>
      <c r="D9" s="4" t="n">
        <f aca="false">Assumptions!D15</f>
        <v>0.23</v>
      </c>
      <c r="E9" s="4" t="n">
        <f aca="false">Assumptions!E15</f>
        <v>0.23</v>
      </c>
      <c r="F9" s="4" t="n">
        <f aca="false">Assumptions!F15</f>
        <v>0.23</v>
      </c>
      <c r="G9" s="4" t="n">
        <f aca="false">Assumptions!G15</f>
        <v>0.23</v>
      </c>
      <c r="H9" s="4" t="n">
        <f aca="false">Assumptions!H15</f>
        <v>0.23</v>
      </c>
      <c r="I9" s="4" t="n">
        <f aca="false">Assumptions!I15</f>
        <v>0.23</v>
      </c>
      <c r="J9" s="4" t="n">
        <f aca="false">Assumptions!J15</f>
        <v>0.23</v>
      </c>
      <c r="K9" s="4" t="n">
        <f aca="false">Assumptions!K15</f>
        <v>0.23</v>
      </c>
      <c r="L9" s="4" t="n">
        <f aca="false">Assumptions!L15</f>
        <v>0.23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-42.1224415</v>
      </c>
      <c r="D10" s="0" t="n">
        <f aca="false">-D6*D9/100</f>
        <v>-42.3330537075</v>
      </c>
      <c r="E10" s="0" t="n">
        <f aca="false">-E6*E9/100</f>
        <v>-42.9680495131125</v>
      </c>
      <c r="F10" s="0" t="n">
        <f aca="false">-F6*F9/100</f>
        <v>-43.8274105033748</v>
      </c>
      <c r="G10" s="0" t="n">
        <f aca="false">-G6*G9/100</f>
        <v>-44.7039587134422</v>
      </c>
      <c r="H10" s="0" t="n">
        <f aca="false">-H6*H9/100</f>
        <v>-45.5980378877111</v>
      </c>
      <c r="I10" s="0" t="n">
        <f aca="false">-I6*I9/100</f>
        <v>-46.5099986454653</v>
      </c>
      <c r="J10" s="0" t="n">
        <f aca="false">-J6*J9/100</f>
        <v>-47.4401986183746</v>
      </c>
      <c r="K10" s="0" t="n">
        <f aca="false">-K6*K9/100</f>
        <v>-48.3890025907421</v>
      </c>
      <c r="L10" s="0" t="n">
        <f aca="false">-L6*L9/100</f>
        <v>-49.356782642557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5516.208426</v>
      </c>
      <c r="D11" s="0" t="n">
        <f aca="false">D8+D10+D24</f>
        <v>5672.629196805</v>
      </c>
      <c r="E11" s="0" t="n">
        <f aca="false">E8+E10+E24</f>
        <v>5925.85448067795</v>
      </c>
      <c r="F11" s="0" t="n">
        <f aca="false">F8+F10+F24</f>
        <v>6082.48236203357</v>
      </c>
      <c r="G11" s="0" t="n">
        <f aca="false">G8+G10+G24</f>
        <v>6243.00501685115</v>
      </c>
      <c r="H11" s="0" t="n">
        <f aca="false">H8+H10+H24</f>
        <v>6367.86511718818</v>
      </c>
      <c r="I11" s="0" t="n">
        <f aca="false">I8+I10+I24</f>
        <v>6495.22241953194</v>
      </c>
      <c r="J11" s="0" t="n">
        <f aca="false">J8+J10+J24</f>
        <v>6625.12686792258</v>
      </c>
      <c r="K11" s="0" t="n">
        <f aca="false">K8+K10+K24</f>
        <v>6757.62940528103</v>
      </c>
      <c r="L11" s="0" t="n">
        <f aca="false">L8+L10+L24</f>
        <v>6892.78199338665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-549.42315</v>
      </c>
      <c r="D12" s="4" t="n">
        <f aca="false">-D6*Assumptions!D17/100</f>
        <v>-570.575941275</v>
      </c>
      <c r="E12" s="4" t="n">
        <f aca="false">-E6*Assumptions!E17/100</f>
        <v>-597.816341052</v>
      </c>
      <c r="F12" s="4" t="n">
        <f aca="false">-F6*Assumptions!F17/100</f>
        <v>-609.77266787304</v>
      </c>
      <c r="G12" s="4" t="n">
        <f aca="false">-G6*Assumptions!G17/100</f>
        <v>-641.404625018954</v>
      </c>
      <c r="H12" s="4" t="n">
        <f aca="false">-H6*Assumptions!H17/100</f>
        <v>-654.232717519333</v>
      </c>
      <c r="I12" s="4" t="n">
        <f aca="false">-I6*Assumptions!I17/100</f>
        <v>-667.31737186972</v>
      </c>
      <c r="J12" s="4" t="n">
        <f aca="false">-J6*Assumptions!J17/100</f>
        <v>-680.663719307114</v>
      </c>
      <c r="K12" s="4" t="n">
        <f aca="false">-K6*Assumptions!K17/100</f>
        <v>-694.276993693256</v>
      </c>
      <c r="L12" s="4" t="n">
        <f aca="false">-L6*Assumptions!L17/100</f>
        <v>-708.162533567121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4966.785276</v>
      </c>
      <c r="D13" s="0" t="n">
        <f aca="false">D11+D12</f>
        <v>5102.05325553</v>
      </c>
      <c r="E13" s="0" t="n">
        <f aca="false">E11+E12</f>
        <v>5328.03813962595</v>
      </c>
      <c r="F13" s="0" t="n">
        <f aca="false">F11+F12</f>
        <v>5472.70969416053</v>
      </c>
      <c r="G13" s="0" t="n">
        <f aca="false">G11+G12</f>
        <v>5601.6003918322</v>
      </c>
      <c r="H13" s="0" t="n">
        <f aca="false">H11+H12</f>
        <v>5713.63239966884</v>
      </c>
      <c r="I13" s="0" t="n">
        <f aca="false">I11+I12</f>
        <v>5827.90504766222</v>
      </c>
      <c r="J13" s="0" t="n">
        <f aca="false">J11+J12</f>
        <v>5944.46314861546</v>
      </c>
      <c r="K13" s="0" t="n">
        <f aca="false">K11+K12</f>
        <v>6063.35241158777</v>
      </c>
      <c r="L13" s="0" t="n">
        <f aca="false">L11+L12</f>
        <v>6184.61945981953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28.5</v>
      </c>
      <c r="D14" s="4" t="n">
        <f aca="false">Assumptions!D19</f>
        <v>28.5</v>
      </c>
      <c r="E14" s="4" t="n">
        <f aca="false">Assumptions!E19</f>
        <v>28.5</v>
      </c>
      <c r="F14" s="4" t="n">
        <f aca="false">Assumptions!F19</f>
        <v>28.5</v>
      </c>
      <c r="G14" s="4" t="n">
        <f aca="false">Assumptions!G19</f>
        <v>28.5</v>
      </c>
      <c r="H14" s="4" t="n">
        <f aca="false">Assumptions!H19</f>
        <v>28.5</v>
      </c>
      <c r="I14" s="4" t="n">
        <f aca="false">Assumptions!I19</f>
        <v>28.5</v>
      </c>
      <c r="J14" s="4" t="n">
        <f aca="false">Assumptions!J19</f>
        <v>28.5</v>
      </c>
      <c r="K14" s="4" t="n">
        <f aca="false">Assumptions!K19</f>
        <v>28.5</v>
      </c>
      <c r="L14" s="4" t="n">
        <f aca="false">Assumptions!L19</f>
        <v>28.5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3551.25147234</v>
      </c>
      <c r="D15" s="0" t="n">
        <f aca="false">D13-MAX(0,D13)*D14/100</f>
        <v>3647.96807770395</v>
      </c>
      <c r="E15" s="0" t="n">
        <f aca="false">E13-MAX(0,E13)*E14/100</f>
        <v>3809.54726983255</v>
      </c>
      <c r="F15" s="0" t="n">
        <f aca="false">F13-MAX(0,F13)*F14/100</f>
        <v>3912.98743132478</v>
      </c>
      <c r="G15" s="0" t="n">
        <f aca="false">G13-MAX(0,G13)*G14/100</f>
        <v>4005.14428016002</v>
      </c>
      <c r="H15" s="0" t="n">
        <f aca="false">H13-MAX(0,H13)*H14/100</f>
        <v>4085.24716576322</v>
      </c>
      <c r="I15" s="0" t="n">
        <f aca="false">I13-MAX(0,I13)*I14/100</f>
        <v>4166.95210907849</v>
      </c>
      <c r="J15" s="0" t="n">
        <f aca="false">J13-MAX(0,J13)*J14/100</f>
        <v>4250.29115126006</v>
      </c>
      <c r="K15" s="0" t="n">
        <f aca="false">K13-MAX(0,K13)*K14/100</f>
        <v>4335.29697428526</v>
      </c>
      <c r="L15" s="0" t="n">
        <f aca="false">L13-MAX(0,L13)*L14/100</f>
        <v>4422.00291377096</v>
      </c>
    </row>
    <row r="16" customFormat="false" ht="15" hidden="false" customHeight="false" outlineLevel="0" collapsed="false">
      <c r="A16" s="0" t="s">
        <v>123</v>
      </c>
      <c r="C16" s="0" t="n">
        <f aca="false">-C12</f>
        <v>549.42315</v>
      </c>
      <c r="D16" s="0" t="n">
        <f aca="false">-D12</f>
        <v>570.575941275</v>
      </c>
      <c r="E16" s="0" t="n">
        <f aca="false">-E12</f>
        <v>597.816341052</v>
      </c>
      <c r="F16" s="0" t="n">
        <f aca="false">-F12</f>
        <v>609.77266787304</v>
      </c>
      <c r="G16" s="0" t="n">
        <f aca="false">-G12</f>
        <v>641.404625018954</v>
      </c>
      <c r="H16" s="0" t="n">
        <f aca="false">-H12</f>
        <v>654.232717519333</v>
      </c>
      <c r="I16" s="0" t="n">
        <f aca="false">-I12</f>
        <v>667.31737186972</v>
      </c>
      <c r="J16" s="0" t="n">
        <f aca="false">-J12</f>
        <v>680.663719307114</v>
      </c>
      <c r="K16" s="0" t="n">
        <f aca="false">-K12</f>
        <v>694.276993693256</v>
      </c>
      <c r="L16" s="0" t="n">
        <f aca="false">-L12</f>
        <v>708.162533567121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-1281.98735</v>
      </c>
      <c r="D17" s="4" t="n">
        <f aca="false">-D6*Assumptions!D18/100</f>
        <v>-1251.5859357</v>
      </c>
      <c r="E17" s="4" t="n">
        <f aca="false">-E6*Assumptions!E18/100</f>
        <v>-1195.632682104</v>
      </c>
      <c r="F17" s="4" t="n">
        <f aca="false">-F6*Assumptions!F18/100</f>
        <v>-1143.32375226195</v>
      </c>
      <c r="G17" s="4" t="n">
        <f aca="false">-G6*Assumptions!G18/100</f>
        <v>-1107.88071594183</v>
      </c>
      <c r="H17" s="4" t="n">
        <f aca="false">-H6*Assumptions!H18/100</f>
        <v>-1090.38786253222</v>
      </c>
      <c r="I17" s="4" t="n">
        <f aca="false">-I6*Assumptions!I18/100</f>
        <v>-1112.19561978287</v>
      </c>
      <c r="J17" s="4" t="n">
        <f aca="false">-J6*Assumptions!J18/100</f>
        <v>-1134.43953217852</v>
      </c>
      <c r="K17" s="4" t="n">
        <f aca="false">-K6*Assumptions!K18/100</f>
        <v>-1157.12832282209</v>
      </c>
      <c r="L17" s="4" t="n">
        <f aca="false">-L6*Assumptions!L18/100</f>
        <v>-1180.27088927854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111.558</v>
      </c>
      <c r="D18" s="4" t="n">
        <f aca="false">(D6-C6)*Assumptions!$B$23/100</f>
        <v>-36.6282099999997</v>
      </c>
      <c r="E18" s="4" t="n">
        <f aca="false">(E6-D6)*Assumptions!$B$23/100</f>
        <v>-110.43405315</v>
      </c>
      <c r="F18" s="4" t="n">
        <f aca="false">(F6-E6)*Assumptions!$B$23/100</f>
        <v>-149.454085263</v>
      </c>
      <c r="G18" s="4" t="n">
        <f aca="false">(G6-F6)*Assumptions!$B$23/100</f>
        <v>-152.44316696826</v>
      </c>
      <c r="H18" s="4" t="n">
        <f aca="false">(H6-G6)*Assumptions!$B$23/100</f>
        <v>-155.492030307626</v>
      </c>
      <c r="I18" s="4" t="n">
        <f aca="false">(I6-H6)*Assumptions!$B$23/100</f>
        <v>-158.601870913777</v>
      </c>
      <c r="J18" s="4" t="n">
        <f aca="false">(J6-I6)*Assumptions!$B$23/100</f>
        <v>-161.773908332053</v>
      </c>
      <c r="K18" s="4" t="n">
        <f aca="false">(K6-J6)*Assumptions!$B$23/100</f>
        <v>-165.009386498695</v>
      </c>
      <c r="L18" s="4" t="n">
        <f aca="false">(L6-K6)*Assumptions!$B$23/100</f>
        <v>-168.309574228668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2930.24527234</v>
      </c>
      <c r="D19" s="0" t="n">
        <f aca="false">D15+D16+D17+D18</f>
        <v>2930.32987327895</v>
      </c>
      <c r="E19" s="0" t="n">
        <f aca="false">E15+E16+E17+E18</f>
        <v>3101.29687563055</v>
      </c>
      <c r="F19" s="0" t="n">
        <f aca="false">F15+F16+F17+F18</f>
        <v>3229.98226167287</v>
      </c>
      <c r="G19" s="0" t="n">
        <f aca="false">G15+G16+G17+G18</f>
        <v>3386.22502226889</v>
      </c>
      <c r="H19" s="0" t="n">
        <f aca="false">H15+H16+H17+H18</f>
        <v>3493.59999044271</v>
      </c>
      <c r="I19" s="0" t="n">
        <f aca="false">I15+I16+I17+I18</f>
        <v>3563.47199025156</v>
      </c>
      <c r="J19" s="0" t="n">
        <f aca="false">J15+J16+J17+J18</f>
        <v>3634.74143005659</v>
      </c>
      <c r="K19" s="0" t="n">
        <f aca="false">K15+K16+K17+K18</f>
        <v>3707.43625865773</v>
      </c>
      <c r="L19" s="0" t="n">
        <f aca="false">L15+L16+L17+L18</f>
        <v>3781.58498383088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2725.80955566512</v>
      </c>
      <c r="D21" s="0" t="n">
        <f aca="false">D19*D20</f>
        <v>2535.71000391905</v>
      </c>
      <c r="E21" s="0" t="n">
        <f aca="false">E19*E20</f>
        <v>2496.42169922592</v>
      </c>
      <c r="F21" s="0" t="n">
        <f aca="false">F19*F20</f>
        <v>2418.61242870894</v>
      </c>
      <c r="G21" s="0" t="n">
        <f aca="false">G19*G20</f>
        <v>2358.70427034136</v>
      </c>
      <c r="H21" s="0" t="n">
        <f aca="false">H19*H20</f>
        <v>2263.71835471735</v>
      </c>
      <c r="I21" s="0" t="n">
        <f aca="false">I19*I20</f>
        <v>2147.90020633646</v>
      </c>
      <c r="J21" s="0" t="n">
        <f aca="false">J19*J20</f>
        <v>2038.00763764018</v>
      </c>
      <c r="K21" s="0" t="n">
        <f aca="false">K19*K20</f>
        <v>1933.73747943533</v>
      </c>
      <c r="L21" s="0" t="n">
        <f aca="false">L19*L20</f>
        <v>1834.80207351073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0.85</v>
      </c>
      <c r="D23" s="4" t="n">
        <f aca="false">Assumptions!D16</f>
        <v>0.85</v>
      </c>
      <c r="E23" s="4" t="n">
        <f aca="false">Assumptions!E16</f>
        <v>0.85</v>
      </c>
      <c r="F23" s="4" t="n">
        <f aca="false">Assumptions!F16</f>
        <v>0.85</v>
      </c>
      <c r="G23" s="4" t="n">
        <f aca="false">Assumptions!G16</f>
        <v>0.85</v>
      </c>
      <c r="H23" s="4" t="n">
        <f aca="false">Assumptions!H16</f>
        <v>0.85</v>
      </c>
      <c r="I23" s="4" t="n">
        <f aca="false">Assumptions!I16</f>
        <v>0.85</v>
      </c>
      <c r="J23" s="4" t="n">
        <f aca="false">Assumptions!J16</f>
        <v>0.85</v>
      </c>
      <c r="K23" s="4" t="n">
        <f aca="false">Assumptions!K16</f>
        <v>0.85</v>
      </c>
      <c r="L23" s="4" t="n">
        <f aca="false">Assumptions!L16</f>
        <v>0.85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-155.6698925</v>
      </c>
      <c r="D24" s="0" t="n">
        <f aca="false">-D6*D23/100</f>
        <v>-156.4482419625</v>
      </c>
      <c r="E24" s="0" t="n">
        <f aca="false">-E6*E23/100</f>
        <v>-158.794965591937</v>
      </c>
      <c r="F24" s="0" t="n">
        <f aca="false">-F6*F23/100</f>
        <v>-161.970864903776</v>
      </c>
      <c r="G24" s="0" t="n">
        <f aca="false">-G6*G23/100</f>
        <v>-165.210282201852</v>
      </c>
      <c r="H24" s="0" t="n">
        <f aca="false">-H6*H23/100</f>
        <v>-168.514487845889</v>
      </c>
      <c r="I24" s="0" t="n">
        <f aca="false">-I6*I23/100</f>
        <v>-171.884777602807</v>
      </c>
      <c r="J24" s="0" t="n">
        <f aca="false">-J6*J23/100</f>
        <v>-175.322473154863</v>
      </c>
      <c r="K24" s="0" t="n">
        <f aca="false">-K6*K23/100</f>
        <v>-178.82892261796</v>
      </c>
      <c r="L24" s="0" t="n">
        <f aca="false">-L6*L23/100</f>
        <v>-182.405501070319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22753.4237095004</v>
      </c>
    </row>
    <row r="31" customFormat="false" ht="15" hidden="false" customHeight="false" outlineLevel="0" collapsed="false">
      <c r="A31" s="0" t="s">
        <v>132</v>
      </c>
      <c r="B31" s="0" t="n">
        <f aca="false">L19</f>
        <v>3781.58498383088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70131.2124274091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56723.7747574632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56723.7747574632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27522.031102661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50275.4548121615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37403.4548121615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67.0613264225217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-0.208715912418623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307.726584704512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444.119336069764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68.4093244875585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29670.8975654423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19.4034943672671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0.5</v>
      </c>
      <c r="D5" s="4" t="n">
        <f aca="false">Assumptions!D27</f>
        <v>3</v>
      </c>
      <c r="E5" s="4" t="n">
        <f aca="false">Assumptions!E27</f>
        <v>3.5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3.75</v>
      </c>
      <c r="I5" s="4" t="n">
        <f aca="false">Assumptions!I27</f>
        <v>3.5</v>
      </c>
      <c r="J5" s="4" t="n">
        <f aca="false">Assumptions!J27</f>
        <v>3.25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18593</v>
      </c>
      <c r="C6" s="0" t="n">
        <f aca="false">B6*(1+C5/100)</f>
        <v>18685.965</v>
      </c>
      <c r="D6" s="0" t="n">
        <f aca="false">C6*(1+D5/100)</f>
        <v>19246.54395</v>
      </c>
      <c r="E6" s="0" t="n">
        <f aca="false">D6*(1+E5/100)</f>
        <v>19920.17298825</v>
      </c>
      <c r="F6" s="0" t="n">
        <f aca="false">E6*(1+F5/100)</f>
        <v>20716.97990778</v>
      </c>
      <c r="G6" s="0" t="n">
        <f aca="false">F6*(1+G5/100)</f>
        <v>21545.6591040912</v>
      </c>
      <c r="H6" s="0" t="n">
        <f aca="false">G6*(1+H5/100)</f>
        <v>22353.6213204946</v>
      </c>
      <c r="I6" s="0" t="n">
        <f aca="false">H6*(1+I5/100)</f>
        <v>23135.9980667119</v>
      </c>
      <c r="J6" s="0" t="n">
        <f aca="false">I6*(1+J5/100)</f>
        <v>23887.9180038801</v>
      </c>
      <c r="K6" s="0" t="n">
        <f aca="false">J6*(1+K5/100)</f>
        <v>24604.5555439965</v>
      </c>
      <c r="L6" s="0" t="n">
        <f aca="false">K6*(1+L5/100)</f>
        <v>25342.6922103164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32.6</v>
      </c>
      <c r="D7" s="4" t="n">
        <f aca="false">Assumptions!D28</f>
        <v>33.8</v>
      </c>
      <c r="E7" s="4" t="n">
        <f aca="false">Assumptions!E28</f>
        <v>35</v>
      </c>
      <c r="F7" s="4" t="n">
        <f aca="false">Assumptions!F28</f>
        <v>35.5</v>
      </c>
      <c r="G7" s="4" t="n">
        <f aca="false">Assumptions!G28</f>
        <v>35.8</v>
      </c>
      <c r="H7" s="4" t="n">
        <f aca="false">Assumptions!H28</f>
        <v>35.8</v>
      </c>
      <c r="I7" s="4" t="n">
        <f aca="false">Assumptions!I28</f>
        <v>35.8</v>
      </c>
      <c r="J7" s="4" t="n">
        <f aca="false">Assumptions!J28</f>
        <v>35.8</v>
      </c>
      <c r="K7" s="4" t="n">
        <f aca="false">Assumptions!K28</f>
        <v>35.8</v>
      </c>
      <c r="L7" s="4" t="n">
        <f aca="false">Assumptions!L28</f>
        <v>35.8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6091.62459</v>
      </c>
      <c r="D8" s="0" t="n">
        <f aca="false">D6*D7/100</f>
        <v>6505.3318551</v>
      </c>
      <c r="E8" s="0" t="n">
        <f aca="false">E6*E7/100</f>
        <v>6972.0605458875</v>
      </c>
      <c r="F8" s="0" t="n">
        <f aca="false">F6*F7/100</f>
        <v>7354.5278672619</v>
      </c>
      <c r="G8" s="0" t="n">
        <f aca="false">G6*G7/100</f>
        <v>7713.34595926465</v>
      </c>
      <c r="H8" s="0" t="n">
        <f aca="false">H6*H7/100</f>
        <v>8002.59643273707</v>
      </c>
      <c r="I8" s="0" t="n">
        <f aca="false">I6*I7/100</f>
        <v>8282.68730788287</v>
      </c>
      <c r="J8" s="0" t="n">
        <f aca="false">J6*J7/100</f>
        <v>8551.87464538906</v>
      </c>
      <c r="K8" s="0" t="n">
        <f aca="false">K6*K7/100</f>
        <v>8808.43088475074</v>
      </c>
      <c r="L8" s="0" t="n">
        <f aca="false">L6*L7/100</f>
        <v>9072.68381129326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0.23</v>
      </c>
      <c r="D9" s="4" t="n">
        <f aca="false">Assumptions!D29</f>
        <v>0.23</v>
      </c>
      <c r="E9" s="4" t="n">
        <f aca="false">Assumptions!E29</f>
        <v>0.23</v>
      </c>
      <c r="F9" s="4" t="n">
        <f aca="false">Assumptions!F29</f>
        <v>0.23</v>
      </c>
      <c r="G9" s="4" t="n">
        <f aca="false">Assumptions!G29</f>
        <v>0.23</v>
      </c>
      <c r="H9" s="4" t="n">
        <f aca="false">Assumptions!H29</f>
        <v>0.23</v>
      </c>
      <c r="I9" s="4" t="n">
        <f aca="false">Assumptions!I29</f>
        <v>0.23</v>
      </c>
      <c r="J9" s="4" t="n">
        <f aca="false">Assumptions!J29</f>
        <v>0.23</v>
      </c>
      <c r="K9" s="4" t="n">
        <f aca="false">Assumptions!K29</f>
        <v>0.23</v>
      </c>
      <c r="L9" s="4" t="n">
        <f aca="false">Assumptions!L29</f>
        <v>0.23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-42.9777195</v>
      </c>
      <c r="D10" s="0" t="n">
        <f aca="false">-D6*D9/100</f>
        <v>-44.267051085</v>
      </c>
      <c r="E10" s="0" t="n">
        <f aca="false">-E6*E9/100</f>
        <v>-45.816397872975</v>
      </c>
      <c r="F10" s="0" t="n">
        <f aca="false">-F6*F9/100</f>
        <v>-47.649053787894</v>
      </c>
      <c r="G10" s="0" t="n">
        <f aca="false">-G6*G9/100</f>
        <v>-49.5550159394098</v>
      </c>
      <c r="H10" s="0" t="n">
        <f aca="false">-H6*H9/100</f>
        <v>-51.4133290371376</v>
      </c>
      <c r="I10" s="0" t="n">
        <f aca="false">-I6*I9/100</f>
        <v>-53.2127955534374</v>
      </c>
      <c r="J10" s="0" t="n">
        <f aca="false">-J6*J9/100</f>
        <v>-54.9422114089242</v>
      </c>
      <c r="K10" s="0" t="n">
        <f aca="false">-K6*K9/100</f>
        <v>-56.5904777511919</v>
      </c>
      <c r="L10" s="0" t="n">
        <f aca="false">-L6*L9/100</f>
        <v>-58.2881920837276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5889.816168</v>
      </c>
      <c r="D11" s="0" t="n">
        <f aca="false">D8+D10+D24</f>
        <v>6297.46918044</v>
      </c>
      <c r="E11" s="0" t="n">
        <f aca="false">E8+E10+E24</f>
        <v>6756.9226776144</v>
      </c>
      <c r="F11" s="0" t="n">
        <f aca="false">F8+F10+F24</f>
        <v>7130.78448425787</v>
      </c>
      <c r="G11" s="0" t="n">
        <f aca="false">G8+G10+G24</f>
        <v>7480.65284094046</v>
      </c>
      <c r="H11" s="0" t="n">
        <f aca="false">H8+H10+H24</f>
        <v>7761.17732247573</v>
      </c>
      <c r="I11" s="0" t="n">
        <f aca="false">I8+I10+I24</f>
        <v>8032.81852876238</v>
      </c>
      <c r="J11" s="0" t="n">
        <f aca="false">J8+J10+J24</f>
        <v>8293.88513094716</v>
      </c>
      <c r="K11" s="0" t="n">
        <f aca="false">K8+K10+K24</f>
        <v>8542.70168487557</v>
      </c>
      <c r="L11" s="0" t="n">
        <f aca="false">L8+L10+L24</f>
        <v>8798.98273542184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-560.57895</v>
      </c>
      <c r="D12" s="4" t="n">
        <f aca="false">-D6*Assumptions!D31/100</f>
        <v>-596.64286245</v>
      </c>
      <c r="E12" s="4" t="n">
        <f aca="false">-E6*Assumptions!E31/100</f>
        <v>-637.445535624</v>
      </c>
      <c r="F12" s="4" t="n">
        <f aca="false">-F6*Assumptions!F31/100</f>
        <v>-662.94335704896</v>
      </c>
      <c r="G12" s="4" t="n">
        <f aca="false">-G6*Assumptions!G31/100</f>
        <v>-711.00675043501</v>
      </c>
      <c r="H12" s="4" t="n">
        <f aca="false">-H6*Assumptions!H31/100</f>
        <v>-737.669503576322</v>
      </c>
      <c r="I12" s="4" t="n">
        <f aca="false">-I6*Assumptions!I31/100</f>
        <v>-763.487936201494</v>
      </c>
      <c r="J12" s="4" t="n">
        <f aca="false">-J6*Assumptions!J31/100</f>
        <v>-788.301294128042</v>
      </c>
      <c r="K12" s="4" t="n">
        <f aca="false">-K6*Assumptions!K31/100</f>
        <v>-811.950332951883</v>
      </c>
      <c r="L12" s="4" t="n">
        <f aca="false">-L6*Assumptions!L31/100</f>
        <v>-836.30884294044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5329.237218</v>
      </c>
      <c r="D13" s="0" t="n">
        <f aca="false">D11+D12</f>
        <v>5700.82631799</v>
      </c>
      <c r="E13" s="0" t="n">
        <f aca="false">E11+E12</f>
        <v>6119.4771419904</v>
      </c>
      <c r="F13" s="0" t="n">
        <f aca="false">F11+F12</f>
        <v>6467.84112720891</v>
      </c>
      <c r="G13" s="0" t="n">
        <f aca="false">G11+G12</f>
        <v>6769.64609050545</v>
      </c>
      <c r="H13" s="0" t="n">
        <f aca="false">H11+H12</f>
        <v>7023.50781889941</v>
      </c>
      <c r="I13" s="0" t="n">
        <f aca="false">I11+I12</f>
        <v>7269.33059256089</v>
      </c>
      <c r="J13" s="0" t="n">
        <f aca="false">J11+J12</f>
        <v>7505.58383681911</v>
      </c>
      <c r="K13" s="0" t="n">
        <f aca="false">K11+K12</f>
        <v>7730.75135192369</v>
      </c>
      <c r="L13" s="0" t="n">
        <f aca="false">L11+L12</f>
        <v>7962.6738924814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27.5</v>
      </c>
      <c r="G14" s="4" t="n">
        <f aca="false">Assumptions!G33</f>
        <v>27.5</v>
      </c>
      <c r="H14" s="4" t="n">
        <f aca="false">Assumptions!H33</f>
        <v>27.5</v>
      </c>
      <c r="I14" s="4" t="n">
        <f aca="false">Assumptions!I33</f>
        <v>27.5</v>
      </c>
      <c r="J14" s="4" t="n">
        <f aca="false">Assumptions!J33</f>
        <v>27.5</v>
      </c>
      <c r="K14" s="4" t="n">
        <f aca="false">Assumptions!K33</f>
        <v>27.5</v>
      </c>
      <c r="L14" s="4" t="n">
        <f aca="false">Assumptions!L33</f>
        <v>27.5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3837.05079696</v>
      </c>
      <c r="D15" s="0" t="n">
        <f aca="false">D13-MAX(0,D13)*D14/100</f>
        <v>4104.5949489528</v>
      </c>
      <c r="E15" s="0" t="n">
        <f aca="false">E13-MAX(0,E13)*E14/100</f>
        <v>4406.02354223309</v>
      </c>
      <c r="F15" s="0" t="n">
        <f aca="false">F13-MAX(0,F13)*F14/100</f>
        <v>4689.18481722646</v>
      </c>
      <c r="G15" s="0" t="n">
        <f aca="false">G13-MAX(0,G13)*G14/100</f>
        <v>4907.99341561645</v>
      </c>
      <c r="H15" s="0" t="n">
        <f aca="false">H13-MAX(0,H13)*H14/100</f>
        <v>5092.04316870207</v>
      </c>
      <c r="I15" s="0" t="n">
        <f aca="false">I13-MAX(0,I13)*I14/100</f>
        <v>5270.26467960664</v>
      </c>
      <c r="J15" s="0" t="n">
        <f aca="false">J13-MAX(0,J13)*J14/100</f>
        <v>5441.54828169386</v>
      </c>
      <c r="K15" s="0" t="n">
        <f aca="false">K13-MAX(0,K13)*K14/100</f>
        <v>5604.79473014468</v>
      </c>
      <c r="L15" s="0" t="n">
        <f aca="false">L13-MAX(0,L13)*L14/100</f>
        <v>5772.93857204902</v>
      </c>
    </row>
    <row r="16" customFormat="false" ht="15" hidden="false" customHeight="false" outlineLevel="0" collapsed="false">
      <c r="A16" s="0" t="s">
        <v>123</v>
      </c>
      <c r="C16" s="0" t="n">
        <f aca="false">-C12</f>
        <v>560.57895</v>
      </c>
      <c r="D16" s="0" t="n">
        <f aca="false">-D12</f>
        <v>596.64286245</v>
      </c>
      <c r="E16" s="0" t="n">
        <f aca="false">-E12</f>
        <v>637.445535624</v>
      </c>
      <c r="F16" s="0" t="n">
        <f aca="false">-F12</f>
        <v>662.94335704896</v>
      </c>
      <c r="G16" s="0" t="n">
        <f aca="false">-G12</f>
        <v>711.00675043501</v>
      </c>
      <c r="H16" s="0" t="n">
        <f aca="false">-H12</f>
        <v>737.669503576322</v>
      </c>
      <c r="I16" s="0" t="n">
        <f aca="false">-I12</f>
        <v>763.487936201494</v>
      </c>
      <c r="J16" s="0" t="n">
        <f aca="false">-J12</f>
        <v>788.301294128042</v>
      </c>
      <c r="K16" s="0" t="n">
        <f aca="false">-K12</f>
        <v>811.950332951883</v>
      </c>
      <c r="L16" s="0" t="n">
        <f aca="false">-L12</f>
        <v>836.30884294044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-1308.01755</v>
      </c>
      <c r="D17" s="4" t="n">
        <f aca="false">-D6*Assumptions!D32/100</f>
        <v>-1308.7649886</v>
      </c>
      <c r="E17" s="4" t="n">
        <f aca="false">-E6*Assumptions!E32/100</f>
        <v>-1274.891071248</v>
      </c>
      <c r="F17" s="4" t="n">
        <f aca="false">-F6*Assumptions!F32/100</f>
        <v>-1243.0187944668</v>
      </c>
      <c r="G17" s="4" t="n">
        <f aca="false">-G6*Assumptions!G32/100</f>
        <v>-1228.1025689332</v>
      </c>
      <c r="H17" s="4" t="n">
        <f aca="false">-H6*Assumptions!H32/100</f>
        <v>-1229.4491726272</v>
      </c>
      <c r="I17" s="4" t="n">
        <f aca="false">-I6*Assumptions!I32/100</f>
        <v>-1272.47989366916</v>
      </c>
      <c r="J17" s="4" t="n">
        <f aca="false">-J6*Assumptions!J32/100</f>
        <v>-1313.8354902134</v>
      </c>
      <c r="K17" s="4" t="n">
        <f aca="false">-K6*Assumptions!K32/100</f>
        <v>-1353.25055491981</v>
      </c>
      <c r="L17" s="4" t="n">
        <f aca="false">-L6*Assumptions!L32/100</f>
        <v>-1393.8480715674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-37.1859999999986</v>
      </c>
      <c r="D18" s="4" t="n">
        <f aca="false">(D6-C6)*Assumptions!$B$37/100</f>
        <v>-224.23158</v>
      </c>
      <c r="E18" s="4" t="n">
        <f aca="false">(E6-D6)*Assumptions!$B$37/100</f>
        <v>-269.451615299999</v>
      </c>
      <c r="F18" s="4" t="n">
        <f aca="false">(F6-E6)*Assumptions!$B$37/100</f>
        <v>-318.722767812001</v>
      </c>
      <c r="G18" s="4" t="n">
        <f aca="false">(G6-F6)*Assumptions!$B$37/100</f>
        <v>-331.47167852448</v>
      </c>
      <c r="H18" s="4" t="n">
        <f aca="false">(H6-G6)*Assumptions!$B$37/100</f>
        <v>-323.184886561369</v>
      </c>
      <c r="I18" s="4" t="n">
        <f aca="false">(I6-H6)*Assumptions!$B$37/100</f>
        <v>-312.950698486924</v>
      </c>
      <c r="J18" s="4" t="n">
        <f aca="false">(J6-I6)*Assumptions!$B$37/100</f>
        <v>-300.767974867254</v>
      </c>
      <c r="K18" s="4" t="n">
        <f aca="false">(K6-J6)*Assumptions!$B$37/100</f>
        <v>-286.655016046562</v>
      </c>
      <c r="L18" s="4" t="n">
        <f aca="false">(L6-K6)*Assumptions!$B$37/100</f>
        <v>-295.254666527957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3052.42619696</v>
      </c>
      <c r="D19" s="0" t="n">
        <f aca="false">D15+D16+D17+D18</f>
        <v>3168.2412428028</v>
      </c>
      <c r="E19" s="0" t="n">
        <f aca="false">E15+E16+E17+E18</f>
        <v>3499.12639130909</v>
      </c>
      <c r="F19" s="0" t="n">
        <f aca="false">F15+F16+F17+F18</f>
        <v>3790.38661199662</v>
      </c>
      <c r="G19" s="0" t="n">
        <f aca="false">G15+G16+G17+G18</f>
        <v>4059.42591859378</v>
      </c>
      <c r="H19" s="0" t="n">
        <f aca="false">H15+H16+H17+H18</f>
        <v>4277.07861308982</v>
      </c>
      <c r="I19" s="0" t="n">
        <f aca="false">I15+I16+I17+I18</f>
        <v>4448.32202365206</v>
      </c>
      <c r="J19" s="0" t="n">
        <f aca="false">J15+J16+J17+J18</f>
        <v>4615.24611074124</v>
      </c>
      <c r="K19" s="0" t="n">
        <f aca="false">K15+K16+K17+K18</f>
        <v>4776.83949213019</v>
      </c>
      <c r="L19" s="0" t="n">
        <f aca="false">L15+L16+L17+L18</f>
        <v>4920.1446768941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2839.46622973023</v>
      </c>
      <c r="D21" s="0" t="n">
        <f aca="false">D19*D20</f>
        <v>2741.58247078663</v>
      </c>
      <c r="E21" s="0" t="n">
        <f aca="false">E19*E20</f>
        <v>2816.65877273425</v>
      </c>
      <c r="F21" s="0" t="n">
        <f aca="false">F19*F20</f>
        <v>2838.24350312035</v>
      </c>
      <c r="G21" s="0" t="n">
        <f aca="false">G19*G20</f>
        <v>2827.6281659823</v>
      </c>
      <c r="H21" s="0" t="n">
        <f aca="false">H19*H20</f>
        <v>2771.38235273282</v>
      </c>
      <c r="I21" s="0" t="n">
        <f aca="false">I19*I20</f>
        <v>2681.24790052827</v>
      </c>
      <c r="J21" s="0" t="n">
        <f aca="false">J19*J20</f>
        <v>2587.77880195272</v>
      </c>
      <c r="K21" s="0" t="n">
        <f aca="false">K19*K20</f>
        <v>2491.52053190614</v>
      </c>
      <c r="L21" s="0" t="n">
        <f aca="false">L19*L20</f>
        <v>2387.22432359379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0.85</v>
      </c>
      <c r="D23" s="4" t="n">
        <f aca="false">Assumptions!D30</f>
        <v>0.85</v>
      </c>
      <c r="E23" s="4" t="n">
        <f aca="false">Assumptions!E30</f>
        <v>0.85</v>
      </c>
      <c r="F23" s="4" t="n">
        <f aca="false">Assumptions!F30</f>
        <v>0.85</v>
      </c>
      <c r="G23" s="4" t="n">
        <f aca="false">Assumptions!G30</f>
        <v>0.85</v>
      </c>
      <c r="H23" s="4" t="n">
        <f aca="false">Assumptions!H30</f>
        <v>0.85</v>
      </c>
      <c r="I23" s="4" t="n">
        <f aca="false">Assumptions!I30</f>
        <v>0.85</v>
      </c>
      <c r="J23" s="4" t="n">
        <f aca="false">Assumptions!J30</f>
        <v>0.85</v>
      </c>
      <c r="K23" s="4" t="n">
        <f aca="false">Assumptions!K30</f>
        <v>0.85</v>
      </c>
      <c r="L23" s="4" t="n">
        <f aca="false">Assumptions!L30</f>
        <v>0.85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-158.8307025</v>
      </c>
      <c r="D24" s="0" t="n">
        <f aca="false">-D6*D23/100</f>
        <v>-163.595623575</v>
      </c>
      <c r="E24" s="0" t="n">
        <f aca="false">-E6*E23/100</f>
        <v>-169.321470400125</v>
      </c>
      <c r="F24" s="0" t="n">
        <f aca="false">-F6*F23/100</f>
        <v>-176.09432921613</v>
      </c>
      <c r="G24" s="0" t="n">
        <f aca="false">-G6*G23/100</f>
        <v>-183.138102384775</v>
      </c>
      <c r="H24" s="0" t="n">
        <f aca="false">-H6*H23/100</f>
        <v>-190.005781224204</v>
      </c>
      <c r="I24" s="0" t="n">
        <f aca="false">-I6*I23/100</f>
        <v>-196.655983567051</v>
      </c>
      <c r="J24" s="0" t="n">
        <f aca="false">-J6*J23/100</f>
        <v>-203.047303032981</v>
      </c>
      <c r="K24" s="0" t="n">
        <f aca="false">-K6*K23/100</f>
        <v>-209.13872212397</v>
      </c>
      <c r="L24" s="0" t="n">
        <f aca="false">-L6*L23/100</f>
        <v>-215.412883787689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26982.7330530675</v>
      </c>
    </row>
    <row r="31" customFormat="false" ht="15" hidden="false" customHeight="false" outlineLevel="0" collapsed="false">
      <c r="A31" s="0" t="s">
        <v>132</v>
      </c>
      <c r="B31" s="0" t="n">
        <f aca="false">L19</f>
        <v>4920.1446768941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100862.965876329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83642.4595071997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83642.4595071997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40582.8135010944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67565.5465541619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54693.5465541619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98.0610426789097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0.15706245048861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339.355088995258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579.76207625923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99.7089443647089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40345.1863505316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29.1187329602068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1.5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5.5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18593</v>
      </c>
      <c r="C6" s="0" t="n">
        <f aca="false">B6*(1+C5/100)</f>
        <v>18871.895</v>
      </c>
      <c r="D6" s="0" t="n">
        <f aca="false">C6*(1+D5/100)</f>
        <v>19721.130275</v>
      </c>
      <c r="E6" s="0" t="n">
        <f aca="false">D6*(1+E5/100)</f>
        <v>20707.18678875</v>
      </c>
      <c r="F6" s="0" t="n">
        <f aca="false">E6*(1+F5/100)</f>
        <v>21846.0820621312</v>
      </c>
      <c r="G6" s="0" t="n">
        <f aca="false">F6*(1+G5/100)</f>
        <v>23047.6165755485</v>
      </c>
      <c r="H6" s="0" t="n">
        <f aca="false">G6*(1+H5/100)</f>
        <v>24199.9974043259</v>
      </c>
      <c r="I6" s="0" t="n">
        <f aca="false">H6*(1+I5/100)</f>
        <v>25288.9972875205</v>
      </c>
      <c r="J6" s="0" t="n">
        <f aca="false">I6*(1+J5/100)</f>
        <v>26300.5571790214</v>
      </c>
      <c r="K6" s="0" t="n">
        <f aca="false">J6*(1+K5/100)</f>
        <v>27221.0766802871</v>
      </c>
      <c r="L6" s="0" t="n">
        <f aca="false">K6*(1+L5/100)</f>
        <v>28173.8143640972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33</v>
      </c>
      <c r="D7" s="4" t="n">
        <f aca="false">Assumptions!D42</f>
        <v>34.6</v>
      </c>
      <c r="E7" s="4" t="n">
        <f aca="false">Assumptions!E42</f>
        <v>36.2</v>
      </c>
      <c r="F7" s="4" t="n">
        <f aca="false">Assumptions!F42</f>
        <v>37</v>
      </c>
      <c r="G7" s="4" t="n">
        <f aca="false">Assumptions!G42</f>
        <v>37.5</v>
      </c>
      <c r="H7" s="4" t="n">
        <f aca="false">Assumptions!H42</f>
        <v>37.5</v>
      </c>
      <c r="I7" s="4" t="n">
        <f aca="false">Assumptions!I42</f>
        <v>37.5</v>
      </c>
      <c r="J7" s="4" t="n">
        <f aca="false">Assumptions!J42</f>
        <v>37.5</v>
      </c>
      <c r="K7" s="4" t="n">
        <f aca="false">Assumptions!K42</f>
        <v>37.5</v>
      </c>
      <c r="L7" s="4" t="n">
        <f aca="false">Assumptions!L42</f>
        <v>37.5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6227.72535</v>
      </c>
      <c r="D8" s="0" t="n">
        <f aca="false">D6*D7/100</f>
        <v>6823.51107515</v>
      </c>
      <c r="E8" s="0" t="n">
        <f aca="false">E6*E7/100</f>
        <v>7496.0016175275</v>
      </c>
      <c r="F8" s="0" t="n">
        <f aca="false">F6*F7/100</f>
        <v>8083.05036298856</v>
      </c>
      <c r="G8" s="0" t="n">
        <f aca="false">G6*G7/100</f>
        <v>8642.85621583067</v>
      </c>
      <c r="H8" s="0" t="n">
        <f aca="false">H6*H7/100</f>
        <v>9074.99902662221</v>
      </c>
      <c r="I8" s="0" t="n">
        <f aca="false">I6*I7/100</f>
        <v>9483.37398282021</v>
      </c>
      <c r="J8" s="0" t="n">
        <f aca="false">J6*J7/100</f>
        <v>9862.70894213301</v>
      </c>
      <c r="K8" s="0" t="n">
        <f aca="false">K6*K7/100</f>
        <v>10207.9037551077</v>
      </c>
      <c r="L8" s="0" t="n">
        <f aca="false">L6*L7/100</f>
        <v>10565.1803865364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0.23</v>
      </c>
      <c r="D9" s="4" t="n">
        <f aca="false">Assumptions!D43</f>
        <v>0.23</v>
      </c>
      <c r="E9" s="4" t="n">
        <f aca="false">Assumptions!E43</f>
        <v>0.23</v>
      </c>
      <c r="F9" s="4" t="n">
        <f aca="false">Assumptions!F43</f>
        <v>0.23</v>
      </c>
      <c r="G9" s="4" t="n">
        <f aca="false">Assumptions!G43</f>
        <v>0.23</v>
      </c>
      <c r="H9" s="4" t="n">
        <f aca="false">Assumptions!H43</f>
        <v>0.23</v>
      </c>
      <c r="I9" s="4" t="n">
        <f aca="false">Assumptions!I43</f>
        <v>0.23</v>
      </c>
      <c r="J9" s="4" t="n">
        <f aca="false">Assumptions!J43</f>
        <v>0.23</v>
      </c>
      <c r="K9" s="4" t="n">
        <f aca="false">Assumptions!K43</f>
        <v>0.23</v>
      </c>
      <c r="L9" s="4" t="n">
        <f aca="false">Assumptions!L43</f>
        <v>0.23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-43.4053585</v>
      </c>
      <c r="D10" s="0" t="n">
        <f aca="false">-D6*D9/100</f>
        <v>-45.3585996325</v>
      </c>
      <c r="E10" s="0" t="n">
        <f aca="false">-E6*E9/100</f>
        <v>-47.626529614125</v>
      </c>
      <c r="F10" s="0" t="n">
        <f aca="false">-F6*F9/100</f>
        <v>-50.2459887429019</v>
      </c>
      <c r="G10" s="0" t="n">
        <f aca="false">-G6*G9/100</f>
        <v>-53.0095181237615</v>
      </c>
      <c r="H10" s="0" t="n">
        <f aca="false">-H6*H9/100</f>
        <v>-55.6599940299495</v>
      </c>
      <c r="I10" s="0" t="n">
        <f aca="false">-I6*I9/100</f>
        <v>-58.1646937612973</v>
      </c>
      <c r="J10" s="0" t="n">
        <f aca="false">-J6*J9/100</f>
        <v>-60.4912815117492</v>
      </c>
      <c r="K10" s="0" t="n">
        <f aca="false">-K6*K9/100</f>
        <v>-62.6084763646604</v>
      </c>
      <c r="L10" s="0" t="n">
        <f aca="false">-L6*L9/100</f>
        <v>-64.7997730374235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6023.908884</v>
      </c>
      <c r="D11" s="0" t="n">
        <f aca="false">D8+D10+D24</f>
        <v>6610.52286818</v>
      </c>
      <c r="E11" s="0" t="n">
        <f aca="false">E8+E10+E24</f>
        <v>7272.364000209</v>
      </c>
      <c r="F11" s="0" t="n">
        <f aca="false">F8+F10+F24</f>
        <v>7847.11267671754</v>
      </c>
      <c r="G11" s="0" t="n">
        <f aca="false">G8+G10+G24</f>
        <v>8393.94195681475</v>
      </c>
      <c r="H11" s="0" t="n">
        <f aca="false">H8+H10+H24</f>
        <v>8813.63905465549</v>
      </c>
      <c r="I11" s="0" t="n">
        <f aca="false">I8+I10+I24</f>
        <v>9210.25281211498</v>
      </c>
      <c r="J11" s="0" t="n">
        <f aca="false">J8+J10+J24</f>
        <v>9578.66292459958</v>
      </c>
      <c r="K11" s="0" t="n">
        <f aca="false">K8+K10+K24</f>
        <v>9913.91612696057</v>
      </c>
      <c r="L11" s="0" t="n">
        <f aca="false">L8+L10+L24</f>
        <v>10260.9031914042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-566.15685</v>
      </c>
      <c r="D12" s="4" t="n">
        <f aca="false">-D6*Assumptions!D45/100</f>
        <v>-611.355038525</v>
      </c>
      <c r="E12" s="4" t="n">
        <f aca="false">-E6*Assumptions!E45/100</f>
        <v>-662.62997724</v>
      </c>
      <c r="F12" s="4" t="n">
        <f aca="false">-F6*Assumptions!F45/100</f>
        <v>-699.0746259882</v>
      </c>
      <c r="G12" s="4" t="n">
        <f aca="false">-G6*Assumptions!G45/100</f>
        <v>-760.571346993099</v>
      </c>
      <c r="H12" s="4" t="n">
        <f aca="false">-H6*Assumptions!H45/100</f>
        <v>-798.599914342754</v>
      </c>
      <c r="I12" s="4" t="n">
        <f aca="false">-I6*Assumptions!I45/100</f>
        <v>-834.536910488178</v>
      </c>
      <c r="J12" s="4" t="n">
        <f aca="false">-J6*Assumptions!J45/100</f>
        <v>-867.918386907705</v>
      </c>
      <c r="K12" s="4" t="n">
        <f aca="false">-K6*Assumptions!K45/100</f>
        <v>-898.295530449475</v>
      </c>
      <c r="L12" s="4" t="n">
        <f aca="false">-L6*Assumptions!L45/100</f>
        <v>-929.735874015206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5457.752034</v>
      </c>
      <c r="D13" s="0" t="n">
        <f aca="false">D11+D12</f>
        <v>5999.167829655</v>
      </c>
      <c r="E13" s="0" t="n">
        <f aca="false">E11+E12</f>
        <v>6609.734022969</v>
      </c>
      <c r="F13" s="0" t="n">
        <f aca="false">F11+F12</f>
        <v>7148.03805072934</v>
      </c>
      <c r="G13" s="0" t="n">
        <f aca="false">G11+G12</f>
        <v>7633.37060982165</v>
      </c>
      <c r="H13" s="0" t="n">
        <f aca="false">H11+H12</f>
        <v>8015.03914031273</v>
      </c>
      <c r="I13" s="0" t="n">
        <f aca="false">I11+I12</f>
        <v>8375.71590162681</v>
      </c>
      <c r="J13" s="0" t="n">
        <f aca="false">J11+J12</f>
        <v>8710.74453769188</v>
      </c>
      <c r="K13" s="0" t="n">
        <f aca="false">K11+K12</f>
        <v>9015.62059651109</v>
      </c>
      <c r="L13" s="0" t="n">
        <f aca="false">L11+L12</f>
        <v>9331.16731738898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27.5</v>
      </c>
      <c r="D14" s="4" t="n">
        <f aca="false">Assumptions!D47</f>
        <v>27.5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3956.87022465</v>
      </c>
      <c r="D15" s="0" t="n">
        <f aca="false">D13-MAX(0,D13)*D14/100</f>
        <v>4349.39667649988</v>
      </c>
      <c r="E15" s="0" t="n">
        <f aca="false">E13-MAX(0,E13)*E14/100</f>
        <v>4825.10583676737</v>
      </c>
      <c r="F15" s="0" t="n">
        <f aca="false">F13-MAX(0,F13)*F14/100</f>
        <v>5218.06777703242</v>
      </c>
      <c r="G15" s="0" t="n">
        <f aca="false">G13-MAX(0,G13)*G14/100</f>
        <v>5572.36054516981</v>
      </c>
      <c r="H15" s="0" t="n">
        <f aca="false">H13-MAX(0,H13)*H14/100</f>
        <v>5850.9785724283</v>
      </c>
      <c r="I15" s="0" t="n">
        <f aca="false">I13-MAX(0,I13)*I14/100</f>
        <v>6114.27260818757</v>
      </c>
      <c r="J15" s="0" t="n">
        <f aca="false">J13-MAX(0,J13)*J14/100</f>
        <v>6358.84351251507</v>
      </c>
      <c r="K15" s="0" t="n">
        <f aca="false">K13-MAX(0,K13)*K14/100</f>
        <v>6581.4030354531</v>
      </c>
      <c r="L15" s="0" t="n">
        <f aca="false">L13-MAX(0,L13)*L14/100</f>
        <v>6811.75214169396</v>
      </c>
    </row>
    <row r="16" customFormat="false" ht="15" hidden="false" customHeight="false" outlineLevel="0" collapsed="false">
      <c r="A16" s="0" t="s">
        <v>123</v>
      </c>
      <c r="C16" s="0" t="n">
        <f aca="false">-C12</f>
        <v>566.15685</v>
      </c>
      <c r="D16" s="0" t="n">
        <f aca="false">-D12</f>
        <v>611.355038525</v>
      </c>
      <c r="E16" s="0" t="n">
        <f aca="false">-E12</f>
        <v>662.62997724</v>
      </c>
      <c r="F16" s="0" t="n">
        <f aca="false">-F12</f>
        <v>699.0746259882</v>
      </c>
      <c r="G16" s="0" t="n">
        <f aca="false">-G12</f>
        <v>760.571346993099</v>
      </c>
      <c r="H16" s="0" t="n">
        <f aca="false">-H12</f>
        <v>798.599914342754</v>
      </c>
      <c r="I16" s="0" t="n">
        <f aca="false">-I12</f>
        <v>834.536910488178</v>
      </c>
      <c r="J16" s="0" t="n">
        <f aca="false">-J12</f>
        <v>867.918386907705</v>
      </c>
      <c r="K16" s="0" t="n">
        <f aca="false">-K12</f>
        <v>898.295530449475</v>
      </c>
      <c r="L16" s="0" t="n">
        <f aca="false">-L12</f>
        <v>929.735874015206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-1321.03265</v>
      </c>
      <c r="D17" s="4" t="n">
        <f aca="false">-D6*Assumptions!D46/100</f>
        <v>-1341.0368587</v>
      </c>
      <c r="E17" s="4" t="n">
        <f aca="false">-E6*Assumptions!E46/100</f>
        <v>-1325.25995448</v>
      </c>
      <c r="F17" s="4" t="n">
        <f aca="false">-F6*Assumptions!F46/100</f>
        <v>-1310.76492372787</v>
      </c>
      <c r="G17" s="4" t="n">
        <f aca="false">-G6*Assumptions!G46/100</f>
        <v>-1313.71414480626</v>
      </c>
      <c r="H17" s="4" t="n">
        <f aca="false">-H6*Assumptions!H46/100</f>
        <v>-1330.99985723792</v>
      </c>
      <c r="I17" s="4" t="n">
        <f aca="false">-I6*Assumptions!I46/100</f>
        <v>-1390.89485081363</v>
      </c>
      <c r="J17" s="4" t="n">
        <f aca="false">-J6*Assumptions!J46/100</f>
        <v>-1446.53064484618</v>
      </c>
      <c r="K17" s="4" t="n">
        <f aca="false">-K6*Assumptions!K46/100</f>
        <v>-1497.15921741579</v>
      </c>
      <c r="L17" s="4" t="n">
        <f aca="false">-L6*Assumptions!L46/100</f>
        <v>-1549.55979002534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-111.557999999999</v>
      </c>
      <c r="D18" s="4" t="n">
        <f aca="false">(D6-C6)*Assumptions!$B$51/100</f>
        <v>-339.69411</v>
      </c>
      <c r="E18" s="4" t="n">
        <f aca="false">(E6-D6)*Assumptions!$B$51/100</f>
        <v>-394.422605500001</v>
      </c>
      <c r="F18" s="4" t="n">
        <f aca="false">(F6-E6)*Assumptions!$B$51/100</f>
        <v>-455.558109352499</v>
      </c>
      <c r="G18" s="4" t="n">
        <f aca="false">(G6-F6)*Assumptions!$B$51/100</f>
        <v>-480.613805366887</v>
      </c>
      <c r="H18" s="4" t="n">
        <f aca="false">(H6-G6)*Assumptions!$B$51/100</f>
        <v>-460.952331510969</v>
      </c>
      <c r="I18" s="4" t="n">
        <f aca="false">(I6-H6)*Assumptions!$B$51/100</f>
        <v>-435.599953277865</v>
      </c>
      <c r="J18" s="4" t="n">
        <f aca="false">(J6-I6)*Assumptions!$B$51/100</f>
        <v>-404.623956600329</v>
      </c>
      <c r="K18" s="4" t="n">
        <f aca="false">(K6-J6)*Assumptions!$B$51/100</f>
        <v>-368.207800506298</v>
      </c>
      <c r="L18" s="4" t="n">
        <f aca="false">(L6-K6)*Assumptions!$B$51/100</f>
        <v>-381.095073524019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3090.43642465</v>
      </c>
      <c r="D19" s="0" t="n">
        <f aca="false">D15+D16+D17+D18</f>
        <v>3280.02074632488</v>
      </c>
      <c r="E19" s="0" t="n">
        <f aca="false">E15+E16+E17+E18</f>
        <v>3768.05325402737</v>
      </c>
      <c r="F19" s="0" t="n">
        <f aca="false">F15+F16+F17+F18</f>
        <v>4150.81936994025</v>
      </c>
      <c r="G19" s="0" t="n">
        <f aca="false">G15+G16+G17+G18</f>
        <v>4538.60394198976</v>
      </c>
      <c r="H19" s="0" t="n">
        <f aca="false">H15+H16+H17+H18</f>
        <v>4857.62629802216</v>
      </c>
      <c r="I19" s="0" t="n">
        <f aca="false">I15+I16+I17+I18</f>
        <v>5122.31471458425</v>
      </c>
      <c r="J19" s="0" t="n">
        <f aca="false">J15+J16+J17+J18</f>
        <v>5375.60729797627</v>
      </c>
      <c r="K19" s="0" t="n">
        <f aca="false">K15+K16+K17+K18</f>
        <v>5614.33154798048</v>
      </c>
      <c r="L19" s="0" t="n">
        <f aca="false">L15+L16+L17+L18</f>
        <v>5810.8331521598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2874.82458106977</v>
      </c>
      <c r="D21" s="0" t="n">
        <f aca="false">D19*D20</f>
        <v>2838.30892056236</v>
      </c>
      <c r="E21" s="0" t="n">
        <f aca="false">E19*E20</f>
        <v>3033.13429330438</v>
      </c>
      <c r="F21" s="0" t="n">
        <f aca="false">F19*F20</f>
        <v>3108.1357432173</v>
      </c>
      <c r="G21" s="0" t="n">
        <f aca="false">G19*G20</f>
        <v>3161.40375461123</v>
      </c>
      <c r="H21" s="0" t="n">
        <f aca="false">H19*H20</f>
        <v>3147.55491220304</v>
      </c>
      <c r="I21" s="0" t="n">
        <f aca="false">I19*I20</f>
        <v>3087.500298157</v>
      </c>
      <c r="J21" s="0" t="n">
        <f aca="false">J19*J20</f>
        <v>3014.11501782105</v>
      </c>
      <c r="K21" s="0" t="n">
        <f aca="false">K19*K20</f>
        <v>2928.34254694285</v>
      </c>
      <c r="L21" s="0" t="n">
        <f aca="false">L19*L20</f>
        <v>2819.3809638008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0.85</v>
      </c>
      <c r="D23" s="4" t="n">
        <f aca="false">Assumptions!D44</f>
        <v>0.85</v>
      </c>
      <c r="E23" s="4" t="n">
        <f aca="false">Assumptions!E44</f>
        <v>0.85</v>
      </c>
      <c r="F23" s="4" t="n">
        <f aca="false">Assumptions!F44</f>
        <v>0.85</v>
      </c>
      <c r="G23" s="4" t="n">
        <f aca="false">Assumptions!G44</f>
        <v>0.85</v>
      </c>
      <c r="H23" s="4" t="n">
        <f aca="false">Assumptions!H44</f>
        <v>0.85</v>
      </c>
      <c r="I23" s="4" t="n">
        <f aca="false">Assumptions!I44</f>
        <v>0.85</v>
      </c>
      <c r="J23" s="4" t="n">
        <f aca="false">Assumptions!J44</f>
        <v>0.85</v>
      </c>
      <c r="K23" s="4" t="n">
        <f aca="false">Assumptions!K44</f>
        <v>0.85</v>
      </c>
      <c r="L23" s="4" t="n">
        <f aca="false">Assumptions!L44</f>
        <v>0.85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-160.4111075</v>
      </c>
      <c r="D24" s="0" t="n">
        <f aca="false">-D6*D23/100</f>
        <v>-167.6296073375</v>
      </c>
      <c r="E24" s="0" t="n">
        <f aca="false">-E6*E23/100</f>
        <v>-176.011087704375</v>
      </c>
      <c r="F24" s="0" t="n">
        <f aca="false">-F6*F23/100</f>
        <v>-185.691697528116</v>
      </c>
      <c r="G24" s="0" t="n">
        <f aca="false">-G6*G23/100</f>
        <v>-195.904740892162</v>
      </c>
      <c r="H24" s="0" t="n">
        <f aca="false">-H6*H23/100</f>
        <v>-205.69997793677</v>
      </c>
      <c r="I24" s="0" t="n">
        <f aca="false">-I6*I23/100</f>
        <v>-214.956476943925</v>
      </c>
      <c r="J24" s="0" t="n">
        <f aca="false">-J6*J23/100</f>
        <v>-223.554736021682</v>
      </c>
      <c r="K24" s="0" t="n">
        <f aca="false">-K6*K23/100</f>
        <v>-231.37915178244</v>
      </c>
      <c r="L24" s="0" t="n">
        <f aca="false">-L6*L23/100</f>
        <v>-239.477422094826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30012.7010316898</v>
      </c>
    </row>
    <row r="31" customFormat="false" ht="15" hidden="false" customHeight="false" outlineLevel="0" collapsed="false">
      <c r="A31" s="0" t="s">
        <v>132</v>
      </c>
      <c r="B31" s="0" t="n">
        <f aca="false">L19</f>
        <v>5810.8331521598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133003.514371658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104594.996738876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104594.996738876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50748.8573484143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80761.5583801041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67889.5583801041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121.720409466794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0.436229020257151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361.651480106338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719.63711391251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123.659071222094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49876.3178893716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36.8387210013402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67.0613264225217</v>
      </c>
      <c r="C4" s="0" t="n">
        <f aca="false">B4/Assumptions!$B$2-1</f>
        <v>-0.208715912418623</v>
      </c>
      <c r="D4" s="4" t="n">
        <f aca="false">Assumptions!$B$24</f>
        <v>0.25</v>
      </c>
      <c r="E4" s="4" t="n">
        <f aca="false">DCF_Bear!$B$43</f>
        <v>68.4093244875585</v>
      </c>
      <c r="F4" s="4" t="n">
        <f aca="false">DCF_Bear!$B$47</f>
        <v>19.4034943672671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98.0610426789097</v>
      </c>
      <c r="C5" s="0" t="n">
        <f aca="false">B5/Assumptions!$B$2-1</f>
        <v>0.15706245048861</v>
      </c>
      <c r="D5" s="4" t="n">
        <f aca="false">Assumptions!$B$38</f>
        <v>0.5</v>
      </c>
      <c r="E5" s="4" t="n">
        <f aca="false">DCF_Base!$B$43</f>
        <v>99.7089443647089</v>
      </c>
      <c r="F5" s="4" t="n">
        <f aca="false">DCF_Base!$B$47</f>
        <v>29.1187329602068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121.720409466794</v>
      </c>
      <c r="C6" s="0" t="n">
        <f aca="false">B6/Assumptions!$B$2-1</f>
        <v>0.436229020257151</v>
      </c>
      <c r="D6" s="4" t="n">
        <f aca="false">Assumptions!$B$52</f>
        <v>0.25</v>
      </c>
      <c r="E6" s="4" t="n">
        <f aca="false">DCF_Bull!$B$43</f>
        <v>123.659071222094</v>
      </c>
      <c r="F6" s="4" t="n">
        <f aca="false">DCF_Bull!$B$47</f>
        <v>36.8387210013402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96.2259553117837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97.8715711097676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0.119260497592361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-697.365407274479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28.6199203222552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98.0610426789097</v>
      </c>
      <c r="C15" s="3" t="n">
        <v>7.5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80.6305984791766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66.2612911397274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55.2961775849813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46.6589403828232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29.1187329602068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118.293353659719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118.293353659719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118.293353659719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118.293353659719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118.293353659719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107.692738233079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107.692738233079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107.692738233079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107.692738233079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107.692738233079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97.704367895764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98.0610426789097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98.0610426789097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98.0610426789097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98.0610426789097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79.5453337478386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84.1972218383336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89.2992926472635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89.2992926472635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89.2992926472635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65.9688965203322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69.2170008903328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72.9291201703334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77.2123347241803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81.3195267621157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2026-10-03T21:55:19Z</dcterms:created>
  <dc:creator>openpyxl</dc:creator>
  <dc:description/>
  <dc:language>en-NZ</dc:language>
  <cp:lastModifiedBy/>
  <dcterms:modified xsi:type="dcterms:W3CDTF">2026-10-03T21:55:19Z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