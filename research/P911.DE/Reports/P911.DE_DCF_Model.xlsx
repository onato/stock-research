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5.xml" ContentType="application/vnd.openxmlformats-officedocument.spreadsheetml.worksheet+xml"/>
  <Override PartName="/xl/worksheets/sheet3.xml" ContentType="application/vnd.openxmlformats-officedocument.spreadsheetml.worksheet+xml"/>
  <Override PartName="/xl/worksheets/sheet6.xml" ContentType="application/vnd.openxmlformats-officedocument.spreadsheetml.worksheet+xml"/>
  <Override PartName="/xl/worksheets/sheet4.xml" ContentType="application/vnd.openxmlformats-officedocument.spreadsheetml.worksheet+xml"/>
  <Override PartName="/xl/worksheets/sheet7.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600" firstSheet="0" activeTab="0"/>
  </bookViews>
  <sheets>
    <sheet name="Model_Info" sheetId="1" state="visible" r:id="rId3"/>
    <sheet name="Actuals" sheetId="2" state="visible" r:id="rId4"/>
    <sheet name="Assumptions" sheetId="3" state="visible" r:id="rId5"/>
    <sheet name="DCF_Bear" sheetId="4" state="visible" r:id="rId6"/>
    <sheet name="DCF_Base" sheetId="5" state="visible" r:id="rId7"/>
    <sheet name="DCF_Bull" sheetId="6" state="visible" r:id="rId8"/>
    <sheet name="Valuation" sheetId="7" state="visible" r:id="rId9"/>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<sst xmlns="http://schemas.openxmlformats.org/spreadsheetml/2006/main" count="349" uniqueCount="164">
  <si>
    <t xml:space="preserve">Ticker</t>
  </si>
  <si>
    <t xml:space="preserve">P911.DE</t>
  </si>
  <si>
    <t xml:space="preserve">Company</t>
  </si>
  <si>
    <t xml:space="preserve">Dr. Ing. h.c. F. Porsche AG</t>
  </si>
  <si>
    <t xml:space="preserve">Valuation date</t>
  </si>
  <si>
    <t xml:space="preserve">2026-10-25</t>
  </si>
  <si>
    <t xml:space="preserve">Current price</t>
  </si>
  <si>
    <t xml:space="preserve">Price as of</t>
  </si>
  <si>
    <t xml:space="preserve">2026-10-23T15:36:58Z (Yahoo chart API, P911.DE regular session, last trade before the weekend; Q3 2026 report due 2026-10-27 -- refresh after it)</t>
  </si>
  <si>
    <t xml:space="preserve">Balance sheet date</t>
  </si>
  <si>
    <t xml:space="preserve">2026-06-30</t>
  </si>
  <si>
    <t xml:space="preserve">Model</t>
  </si>
  <si>
    <t xml:space="preserve">owner_fcf_dcf_component</t>
  </si>
  <si>
    <t xml:space="preserve">Currency (model)</t>
  </si>
  <si>
    <t xml:space="preserve">EUR</t>
  </si>
  <si>
    <t xml:space="preserve">Currency (quote)</t>
  </si>
  <si>
    <t xml:space="preserve">Units</t>
  </si>
  <si>
    <t xml:space="preserve">millions</t>
  </si>
  <si>
    <t xml:space="preserve">Engine</t>
  </si>
  <si>
    <t xml:space="preserve">dcf_engine v1</t>
  </si>
  <si>
    <t xml:space="preserve">Built at</t>
  </si>
  <si>
    <t xml:space="preserve">2026-10-25T02:07:28Z</t>
  </si>
  <si>
    <t xml:space="preserve">Drivers file</t>
  </si>
  <si>
    <t xml:space="preserve">P911.DE_Drivers.json</t>
  </si>
  <si>
    <t xml:space="preserve">Convention</t>
  </si>
  <si>
    <t xml:space="preserve">Percents stored as percents; formulas divide by 100. Blue = input, green = link, black = formula.</t>
  </si>
  <si>
    <t xml:space="preserve">Methodology</t>
  </si>
  <si>
    <t xml:space="preserve">summary: Value the car company on a normalised, mid-cycle owner-FCF path rather than on the FY2025 trough or the FY2021-23 peak. The trough (auto RoS 0.3%, owner FCF EUR 1.3bn) is dominated by EUR 3.1bn of one-off realignment charges and would undervalue the franchise by more than half if extrapolated; the peak (RoS 18.6%) predates US tariffs and the China reset and would overvalue it. The base path converges on the lower end of management's own mid-term ambition, the captive finance arm is valued separately so its ABS funding does not masquerade as enterprise debt, and pensions are charged as debt.
key_risks_to_valuation: Margin recovery is the whole thesis: each 1pp of mature automotive EBITDA margin is worth roughly EUR 2.5-3 per share.; China: deliveries fell from ~95k (2021) to ~42k (2025) and local premium EVs keep taking share; the base case assumes stabilisation, not recovery.; US tariffs (15% since Jul-2025) with no US production; any increase hits margin directly.; Product execution after the 2025 strategy reversal (BEV launches postponed, combustion/hybrid derivatives reinstated, new EV platform rescheduled) -- further write-downs possible.; Governance: Volkswagen AG and Porsche SE control the ordinary shares; P911 preferred holders have no vote, and capital allocation (dividends, intra-group pricing, VW platform costs) is set by the controlling shareholder.; Q3 2026 results on 27-Oct-2026 may move FY2026 anchors; refresh after the print.; sanity_check P/E trip is a trough-denominator artefact (FY2025 EPS); it should clear once FY2026 (guided auto RoS recovery) becomes latest FY -- if it does not, revisit the margin path.
trough_pe_distortion: sanity_check trips on implied P/E (~99x) only because its denominator is FY2025 net income less SBC -- a trough year carrying EUR 3.1bn of realignment, BEV-Macan and impairment charges (automotive RoS 0.3%). The market price itself is ~88x on the same denominator, and P/B (1.85x vs 10y 1.6-5.8x), EV/EBITDA (8.4x vs 6.3-10.5x) and P/Sales (1.17x vs 1.0-2.6x) all sit inside their historical ranges. Clearing the 2x-average P/E rule (68x) would need a weighted IV of ~EUR 32, below the bear case and 23% under the market price; no defensible WACC clears it (base at 12% is EUR 37.0, because the 12x FCF terminal cap binds at every rate at or below 9%). Decision (2026-10-25): no driver change. WACC stays 9.0% = CoE (Bund 2.7% + beta 1.15 x ERP 5.5%): cyclicality is already in the beta, China/tariff risk is priced in the scenario flows and the 25% bear weight, and the 'customer concentration' diagnosis does not apply to a retail luxury-auto OEM selling ~280k cars a year to individuals. Treat the P/E trip as a known false positive; re-test after FY2026 earnings replace the trough denominator.</t>
  </si>
  <si>
    <t xml:space="preserve">Data sources</t>
  </si>
  <si>
    <t xml:space="preserve">price: Yahoo Finance chart API for P911.DE at inputs.price_as_of; 52-week range 35.62-50.66 EUR.
financials: Porsche AG Annual and Sustainability Report FY2025 (automotive net cash flow table, third-party borrowings note, pensions, segment results); Half-Year Financial Report H1 2026 (automotive net liquidity bridge at 30-Jun-2026, automotive NCF); H1 2026 analyst presentation (FY2026 outlook, reconfirmed); Capital Markets Day presentation 7-Oct-2026 (mid-term ambition: revenue EUR 41-45bn, RoS 10-15%, auto NCF margin 9-12%, lower bracket expected); Q3 2026 pre-close call 13-Oct-2026 (YTD deliveries); P911.DE_Metrics.csv / kpis table for FY2021-25 history.
qualitative: No Analysis JSON at build time; scenario axes drawn from the filings above (product gap, strategy realignment, China, tariffs, cost programme) and the CMD framework.</t>
  </si>
  <si>
    <t xml:space="preserve">Scenario narrative: bear</t>
  </si>
  <si>
    <t xml:space="preserve">The 2024-26 damage is structural. China keeps shrinking as local EV makers take the premium segment, US tariffs stay and widen, the BEV share stalls while CO2 regulation forces compliance cost, and the product push lands into a soft luxury market with VW-group platform delays. Automotive revenue barely recovers (~EUR 34bn by 2030), EBITDA margins plateau at ~18% with D&amp;A stuck near 9% (auto RoS ~9%), and owner FCF settles around EUR 2bn -- a premium automaker earning an ordinary automaker's return, closer to BMW/Mercedes economics than to Ferrari's.</t>
  </si>
  <si>
    <t xml:space="preserve">Scenario narrative: base</t>
  </si>
  <si>
    <t xml:space="preserve">Porsche delivers roughly the lower bracket of its own October-2026 mid-term ambition, a little late. FY2026 is the trough year management guided (automotive EBITDA ~16%, NCF margin 3-5%) with a product gap from the 718 run-out and the end of ICE Macan production. From 2027 the refreshed line-up -- electric Cayenne, the combustion/hybrid Macan successor that the 2025 strategy reversal brought back, 911 derivatives -- plus the cost programme lift automotive revenue to ~EUR 38bn and EBITDA margins to ~21.5% by 2030. That is a good business again (auto RoS ~13%, owner-FCF ~EUR 3.2bn) but not the 18-19% RoS Porsche of 2021-23: US tariffs, a smaller and cheaper China, a strong euro and elevated D&amp;A from the EV write-down cycle are treated as permanent.</t>
  </si>
  <si>
    <t xml:space="preserve">Scenario narrative: bull</t>
  </si>
  <si>
    <t xml:space="preserve">The brand proves intact and pricing power returns: 'value over volume' plus the new SUVs and a strong 911 cycle push automotive revenue past EUR 41bn by 2030 and EBITDA margins back to ~24% (auto RoS ~15.5%, the CMD strategic ambition of 15%). US tariffs are partly absorbed by pricing and local-content deals, China stabilises at ~40-45k units at better mix, the battery/BEV write-downs leave capex discipline behind them, and owner FCF margin returns to ~10%, inside management's 9-12% NCF ambition.</t>
  </si>
  <si>
    <t xml:space="preserve">Period</t>
  </si>
  <si>
    <t xml:space="preserve">Revenue</t>
  </si>
  <si>
    <t xml:space="preserve">CostOfRevenue</t>
  </si>
  <si>
    <t xml:space="preserve">GrossProfit</t>
  </si>
  <si>
    <t xml:space="preserve">GrossMargin</t>
  </si>
  <si>
    <t xml:space="preserve">OperatingIncome</t>
  </si>
  <si>
    <t xml:space="preserve">OperatingMargin</t>
  </si>
  <si>
    <t xml:space="preserve">EBITDA</t>
  </si>
  <si>
    <t xml:space="preserve">NetIncome</t>
  </si>
  <si>
    <t xml:space="preserve">NetMargin</t>
  </si>
  <si>
    <t xml:space="preserve">EPS</t>
  </si>
  <si>
    <t xml:space="preserve">OperatingCashFlow</t>
  </si>
  <si>
    <t xml:space="preserve">CapEx</t>
  </si>
  <si>
    <t xml:space="preserve">FreeCashFlow</t>
  </si>
  <si>
    <t xml:space="preserve">ShareholdersEquity</t>
  </si>
  <si>
    <t xml:space="preserve">TotalAssets</t>
  </si>
  <si>
    <t xml:space="preserve">TotalLiabilities</t>
  </si>
  <si>
    <t xml:space="preserve">TotalDebt</t>
  </si>
  <si>
    <t xml:space="preserve">CashAndEquivalents</t>
  </si>
  <si>
    <t xml:space="preserve">SharesOutstanding</t>
  </si>
  <si>
    <t xml:space="preserve">StockBasedComp</t>
  </si>
  <si>
    <t xml:space="preserve">DividendPerShare</t>
  </si>
  <si>
    <t xml:space="preserve">EBITDABeforeSignificant</t>
  </si>
  <si>
    <t xml:space="preserve">RevenueContinuing</t>
  </si>
  <si>
    <t xml:space="preserve">EBITDAContinuingBeforeSignificant</t>
  </si>
  <si>
    <t xml:space="preserve">EBITContinuingBeforeSignificant</t>
  </si>
  <si>
    <t xml:space="preserve">Currency</t>
  </si>
  <si>
    <t xml:space="preserve">CapitalisedDevelopmentCosts</t>
  </si>
  <si>
    <t xml:space="preserve">EffectiveCashTaxRate</t>
  </si>
  <si>
    <t xml:space="preserve">NetIncomeInclNCI</t>
  </si>
  <si>
    <t xml:space="preserve">Production</t>
  </si>
  <si>
    <t xml:space="preserve">ShortTermInvestments</t>
  </si>
  <si>
    <t xml:space="preserve">FY2021</t>
  </si>
  <si>
    <t xml:space="preserve">FY2022</t>
  </si>
  <si>
    <t xml:space="preserve">FY2023</t>
  </si>
  <si>
    <t xml:space="preserve">FY2024</t>
  </si>
  <si>
    <t xml:space="preserve">FY2025</t>
  </si>
  <si>
    <t xml:space="preserve">Input</t>
  </si>
  <si>
    <t xml:space="preserve">Value</t>
  </si>
  <si>
    <t xml:space="preserve">Current price (quote currency)</t>
  </si>
  <si>
    <t xml:space="preserve">Shares, final projected (m)</t>
  </si>
  <si>
    <t xml:space="preserve">Net debt (m, model currency)</t>
  </si>
  <si>
    <t xml:space="preserve">Equity bridge total (m, + adds)</t>
  </si>
  <si>
    <t xml:space="preserve">Hurdle rate (%)</t>
  </si>
  <si>
    <t xml:space="preserve">Base revenue FY0 (m)</t>
  </si>
  <si>
    <t xml:space="preserve">FY0</t>
  </si>
  <si>
    <t xml:space="preserve">Currency / units</t>
  </si>
  <si>
    <t xml:space="preserve">EUR millions</t>
  </si>
  <si>
    <t xml:space="preserve">FX rate (model -&gt; quote)</t>
  </si>
  <si>
    <t xml:space="preserve">BEAR</t>
  </si>
  <si>
    <t xml:space="preserve">FY2026</t>
  </si>
  <si>
    <t xml:space="preserve">FY2027</t>
  </si>
  <si>
    <t xml:space="preserve">FY2028</t>
  </si>
  <si>
    <t xml:space="preserve">FY2029</t>
  </si>
  <si>
    <t xml:space="preserve">FY2030</t>
  </si>
  <si>
    <t xml:space="preserve">FY2031</t>
  </si>
  <si>
    <t xml:space="preserve">FY2032</t>
  </si>
  <si>
    <t xml:space="preserve">FY2033</t>
  </si>
  <si>
    <t xml:space="preserve">FY2034</t>
  </si>
  <si>
    <t xml:space="preserve">FY2035</t>
  </si>
  <si>
    <t xml:space="preserve">Revenue growth (%)</t>
  </si>
  <si>
    <t xml:space="preserve">EBITDA margin (%)</t>
  </si>
  <si>
    <t xml:space="preserve">SBC (% of revenue)</t>
  </si>
  <si>
    <t xml:space="preserve">Lease cost (% of revenue)</t>
  </si>
  <si>
    <t xml:space="preserve">D&amp;A (% of revenue)</t>
  </si>
  <si>
    <t xml:space="preserve">Capex (% of revenue)</t>
  </si>
  <si>
    <t xml:space="preserve">Cash tax rate (%)</t>
  </si>
  <si>
    <t xml:space="preserve">WACC (%)</t>
  </si>
  <si>
    <t xml:space="preserve">Terminal growth (%)</t>
  </si>
  <si>
    <t xml:space="preserve">Terminal cap multiple (x FCF)</t>
  </si>
  <si>
    <t xml:space="preserve">Working-capital capture (% of revenue change)</t>
  </si>
  <si>
    <t xml:space="preserve">Scenario weight</t>
  </si>
  <si>
    <t xml:space="preserve">BASE</t>
  </si>
  <si>
    <t xml:space="preserve">BULL</t>
  </si>
  <si>
    <t xml:space="preserve">P911.DE owner-FCF component DCF: bear case (millions, EUR)</t>
  </si>
  <si>
    <t xml:space="preserve">Line</t>
  </si>
  <si>
    <t xml:space="preserve">Year index (discount exponent)</t>
  </si>
  <si>
    <t xml:space="preserve">SBC charge</t>
  </si>
  <si>
    <t xml:space="preserve">Owner EBITDA (after SBC and leases)</t>
  </si>
  <si>
    <t xml:space="preserve">D&amp;A</t>
  </si>
  <si>
    <t xml:space="preserve">EBIT</t>
  </si>
  <si>
    <t xml:space="preserve">NOPAT</t>
  </si>
  <si>
    <t xml:space="preserve">D&amp;A add-back</t>
  </si>
  <si>
    <t xml:space="preserve">Capex</t>
  </si>
  <si>
    <t xml:space="preserve">Working capital</t>
  </si>
  <si>
    <t xml:space="preserve">Unlevered owner FCF</t>
  </si>
  <si>
    <t xml:space="preserve">Discount factor</t>
  </si>
  <si>
    <t xml:space="preserve">PV of FCF</t>
  </si>
  <si>
    <t xml:space="preserve">Lease cost</t>
  </si>
  <si>
    <t xml:space="preserve">Valuation</t>
  </si>
  <si>
    <t xml:space="preserve">Sum of PV of FCF</t>
  </si>
  <si>
    <t xml:space="preserve">Terminal-year FCF</t>
  </si>
  <si>
    <t xml:space="preserve">Gordon terminal value</t>
  </si>
  <si>
    <t xml:space="preserve">Cap terminal value</t>
  </si>
  <si>
    <t xml:space="preserve">Terminal value used: MAX(0,MIN(Gordon,cap))</t>
  </si>
  <si>
    <t xml:space="preserve">PV of terminal value</t>
  </si>
  <si>
    <t xml:space="preserve">Enterprise value</t>
  </si>
  <si>
    <t xml:space="preserve">Equity value (EV + bridge - net debt)</t>
  </si>
  <si>
    <t xml:space="preserve">Value per share (quote currency)</t>
  </si>
  <si>
    <t xml:space="preserve">Upside vs price</t>
  </si>
  <si>
    <t xml:space="preserve">Street memo: PV of explicit-period SBC</t>
  </si>
  <si>
    <t xml:space="preserve">Street memo: PV of terminal SBC (Gordon)</t>
  </si>
  <si>
    <t xml:space="preserve">Street value per share</t>
  </si>
  <si>
    <t xml:space="preserve">Terminal value at hurdle: MAX(0,MIN(Gordon@hurdle,cap))</t>
  </si>
  <si>
    <t xml:space="preserve">Hurdle entry price (quote currency)</t>
  </si>
  <si>
    <t xml:space="preserve">P911.DE owner-FCF component DCF: base case (millions, EUR)</t>
  </si>
  <si>
    <t xml:space="preserve">P911.DE owner-FCF component DCF: bull case (millions, EUR)</t>
  </si>
  <si>
    <t xml:space="preserve">P911.DE valuation summary</t>
  </si>
  <si>
    <t xml:space="preserve">Scenario</t>
  </si>
  <si>
    <t xml:space="preserve">Value per share</t>
  </si>
  <si>
    <t xml:space="preserve">Weight</t>
  </si>
  <si>
    <t xml:space="preserve">Hurdle entry price</t>
  </si>
  <si>
    <t xml:space="preserve">Bear</t>
  </si>
  <si>
    <t xml:space="preserve">Base</t>
  </si>
  <si>
    <t xml:space="preserve">Bull</t>
  </si>
  <si>
    <t xml:space="preserve">Probability-weighted value per share</t>
  </si>
  <si>
    <t xml:space="preserve">Street weighted value per share</t>
  </si>
  <si>
    <t xml:space="preserve">Margin of safety (1 - price/weighted)</t>
  </si>
  <si>
    <t xml:space="preserve">Band position (%; 0 = house, 100 = street)</t>
  </si>
  <si>
    <t xml:space="preserve">Weighted 15% hurdle entry price</t>
  </si>
  <si>
    <t xml:space="preserve">Required-return table (base case; each row rebuilds its own terminal value)</t>
  </si>
  <si>
    <t xml:space="preserve">Rate (%)</t>
  </si>
  <si>
    <t xml:space="preserve">Value per share at 9% (WACC)</t>
  </si>
  <si>
    <t xml:space="preserve">Value per share at 10%</t>
  </si>
  <si>
    <t xml:space="preserve">Value per share at 11%</t>
  </si>
  <si>
    <t xml:space="preserve">Value per share at 12%</t>
  </si>
  <si>
    <t xml:space="preserve">Value per share at 15%</t>
  </si>
  <si>
    <t xml:space="preserve">Sensitivity: value per share, rows WACC (%) x columns terminal growth (%)</t>
  </si>
</sst>
</file>

<file path=xl/styles.xml><?xml version="1.0" encoding="utf-8"?>
<styleSheet xmlns="http://schemas.openxmlformats.org/spreadsheetml/2006/main">
  <numFmts count="1">
    <numFmt numFmtId="164" formatCode="General"/>
  </numFmts>
  <fonts count="7">
    <font>
      <sz val="11"/>
      <color theme="1"/>
      <name val="Calibri"/>
      <family val="2"/>
      <charset val="1"/>
    </font>
    <font>
      <sz val="10"/>
      <name val="Arial"/>
      <family val="0"/>
    </font>
    <font>
      <sz val="10"/>
      <name val="Arial"/>
      <family val="0"/>
    </font>
    <font>
      <sz val="10"/>
      <name val="Arial"/>
      <family val="0"/>
    </font>
    <font>
      <b val="true"/>
      <sz val="11"/>
      <name val="Cambria"/>
      <family val="0"/>
      <charset val="1"/>
    </font>
    <font>
      <sz val="11"/>
      <color rgb="FF0000FF"/>
      <name val="Cambria"/>
      <family val="0"/>
      <charset val="1"/>
    </font>
    <font>
      <sz val="11"/>
      <color rgb="FF008000"/>
      <name val="Cambria"/>
      <family val="0"/>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26"/>
    <col collapsed="false" customWidth="true" hidden="false" outlineLevel="0" max="2" min="2" style="0" width="100"/>
  </cols>
  <sheetData>
    <row r="1" customFormat="false" ht="15" hidden="false" customHeight="false" outlineLevel="0" collapsed="false">
      <c r="A1" s="0" t="s">
        <v>0</v>
      </c>
      <c r="B1" s="0" t="s">
        <v>1</v>
      </c>
    </row>
    <row r="2" customFormat="false" ht="15" hidden="false" customHeight="false" outlineLevel="0" collapsed="false">
      <c r="A2" s="0" t="s">
        <v>2</v>
      </c>
      <c r="B2" s="0" t="s">
        <v>3</v>
      </c>
    </row>
    <row r="3" customFormat="false" ht="15" hidden="false" customHeight="false" outlineLevel="0" collapsed="false">
      <c r="A3" s="0" t="s">
        <v>4</v>
      </c>
      <c r="B3" s="0" t="s">
        <v>5</v>
      </c>
    </row>
    <row r="4" customFormat="false" ht="15" hidden="false" customHeight="false" outlineLevel="0" collapsed="false">
      <c r="A4" s="0" t="s">
        <v>6</v>
      </c>
      <c r="B4" s="0" t="n">
        <v>41.6</v>
      </c>
    </row>
    <row r="5" customFormat="false" ht="15" hidden="false" customHeight="false" outlineLevel="0" collapsed="false">
      <c r="A5" s="0" t="s">
        <v>7</v>
      </c>
      <c r="B5" s="0" t="s">
        <v>8</v>
      </c>
    </row>
    <row r="6" customFormat="false" ht="15" hidden="false" customHeight="false" outlineLevel="0" collapsed="false">
      <c r="A6" s="0" t="s">
        <v>9</v>
      </c>
      <c r="B6" s="0" t="s">
        <v>10</v>
      </c>
    </row>
    <row r="7" customFormat="false" ht="15" hidden="false" customHeight="false" outlineLevel="0" collapsed="false">
      <c r="A7" s="0" t="s">
        <v>11</v>
      </c>
      <c r="B7" s="0" t="s">
        <v>12</v>
      </c>
    </row>
    <row r="8" customFormat="false" ht="15" hidden="false" customHeight="false" outlineLevel="0" collapsed="false">
      <c r="A8" s="0" t="s">
        <v>13</v>
      </c>
      <c r="B8" s="0" t="s">
        <v>14</v>
      </c>
    </row>
    <row r="9" customFormat="false" ht="15" hidden="false" customHeight="false" outlineLevel="0" collapsed="false">
      <c r="A9" s="0" t="s">
        <v>15</v>
      </c>
      <c r="B9" s="0" t="s">
        <v>14</v>
      </c>
    </row>
    <row r="10" customFormat="false" ht="15" hidden="false" customHeight="false" outlineLevel="0" collapsed="false">
      <c r="A10" s="0" t="s">
        <v>16</v>
      </c>
      <c r="B10" s="0" t="s">
        <v>17</v>
      </c>
    </row>
    <row r="11" customFormat="false" ht="15" hidden="false" customHeight="false" outlineLevel="0" collapsed="false">
      <c r="A11" s="0" t="s">
        <v>18</v>
      </c>
      <c r="B11" s="0" t="s">
        <v>19</v>
      </c>
    </row>
    <row r="12" customFormat="false" ht="15" hidden="false" customHeight="false" outlineLevel="0" collapsed="false">
      <c r="A12" s="0" t="s">
        <v>20</v>
      </c>
      <c r="B12" s="0" t="s">
        <v>21</v>
      </c>
    </row>
    <row r="13" customFormat="false" ht="15" hidden="false" customHeight="false" outlineLevel="0" collapsed="false">
      <c r="A13" s="0" t="s">
        <v>22</v>
      </c>
      <c r="B13" s="0" t="s">
        <v>23</v>
      </c>
    </row>
    <row r="14" customFormat="false" ht="15" hidden="false" customHeight="false" outlineLevel="0" collapsed="false">
      <c r="A14" s="0" t="s">
        <v>24</v>
      </c>
      <c r="B14" s="0" t="s">
        <v>25</v>
      </c>
    </row>
    <row r="15" customFormat="false" ht="35.05" hidden="false" customHeight="false" outlineLevel="0" collapsed="false">
      <c r="A15" s="0" t="s">
        <v>26</v>
      </c>
      <c r="B15" s="1" t="s">
        <v>27</v>
      </c>
    </row>
    <row r="16" customFormat="false" ht="35.05" hidden="false" customHeight="false" outlineLevel="0" collapsed="false">
      <c r="A16" s="0" t="s">
        <v>28</v>
      </c>
      <c r="B16" s="1" t="s">
        <v>29</v>
      </c>
    </row>
    <row r="17" customFormat="false" ht="15" hidden="false" customHeight="false" outlineLevel="0" collapsed="false">
      <c r="A17" s="0" t="s">
        <v>30</v>
      </c>
      <c r="B17" s="0" t="s">
        <v>31</v>
      </c>
    </row>
    <row r="18" customFormat="false" ht="15" hidden="false" customHeight="false" outlineLevel="0" collapsed="false">
      <c r="A18" s="0" t="s">
        <v>32</v>
      </c>
      <c r="B18" s="0" t="s">
        <v>33</v>
      </c>
    </row>
    <row r="19" customFormat="false" ht="15" hidden="false" customHeight="false" outlineLevel="0" collapsed="false">
      <c r="A19" s="0" t="s">
        <v>34</v>
      </c>
      <c r="B19" s="0" t="s">
        <v>35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G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sheetData>
    <row r="1" customFormat="false" ht="15" hidden="false" customHeight="false" outlineLevel="0" collapsed="false">
      <c r="A1" s="2" t="s">
        <v>36</v>
      </c>
      <c r="B1" s="2" t="s">
        <v>37</v>
      </c>
      <c r="C1" s="2" t="s">
        <v>38</v>
      </c>
      <c r="D1" s="2" t="s">
        <v>39</v>
      </c>
      <c r="E1" s="2" t="s">
        <v>40</v>
      </c>
      <c r="F1" s="2" t="s">
        <v>41</v>
      </c>
      <c r="G1" s="2" t="s">
        <v>42</v>
      </c>
      <c r="H1" s="2" t="s">
        <v>43</v>
      </c>
      <c r="I1" s="2" t="s">
        <v>44</v>
      </c>
      <c r="J1" s="2" t="s">
        <v>45</v>
      </c>
      <c r="K1" s="2" t="s">
        <v>46</v>
      </c>
      <c r="L1" s="2" t="s">
        <v>47</v>
      </c>
      <c r="M1" s="2" t="s">
        <v>48</v>
      </c>
      <c r="N1" s="2" t="s">
        <v>49</v>
      </c>
      <c r="O1" s="2" t="s">
        <v>50</v>
      </c>
      <c r="P1" s="2" t="s">
        <v>51</v>
      </c>
      <c r="Q1" s="2" t="s">
        <v>52</v>
      </c>
      <c r="R1" s="2" t="s">
        <v>53</v>
      </c>
      <c r="S1" s="2" t="s">
        <v>54</v>
      </c>
      <c r="T1" s="2" t="s">
        <v>55</v>
      </c>
      <c r="U1" s="2" t="s">
        <v>56</v>
      </c>
      <c r="V1" s="2" t="s">
        <v>57</v>
      </c>
      <c r="W1" s="2" t="s">
        <v>58</v>
      </c>
      <c r="X1" s="2" t="s">
        <v>59</v>
      </c>
      <c r="Y1" s="2" t="s">
        <v>60</v>
      </c>
      <c r="Z1" s="2" t="s">
        <v>61</v>
      </c>
      <c r="AA1" s="2" t="s">
        <v>16</v>
      </c>
      <c r="AB1" s="2" t="s">
        <v>62</v>
      </c>
      <c r="AC1" s="2" t="s">
        <v>63</v>
      </c>
      <c r="AD1" s="2" t="s">
        <v>64</v>
      </c>
      <c r="AE1" s="2" t="s">
        <v>65</v>
      </c>
      <c r="AF1" s="2" t="s">
        <v>66</v>
      </c>
      <c r="AG1" s="2" t="s">
        <v>67</v>
      </c>
    </row>
    <row r="2" customFormat="false" ht="15" hidden="false" customHeight="false" outlineLevel="0" collapsed="false">
      <c r="A2" s="0" t="s">
        <v>68</v>
      </c>
      <c r="B2" s="0" t="n">
        <v>33138</v>
      </c>
      <c r="C2" s="0" t="n">
        <v>24281</v>
      </c>
      <c r="D2" s="0" t="n">
        <v>8857</v>
      </c>
      <c r="E2" s="0" t="n">
        <v>26.7</v>
      </c>
      <c r="F2" s="0" t="n">
        <v>5314</v>
      </c>
      <c r="G2" s="0" t="n">
        <v>16</v>
      </c>
      <c r="H2" s="0" t="n">
        <v>8528</v>
      </c>
      <c r="I2" s="0" t="n">
        <v>4032</v>
      </c>
      <c r="J2" s="0" t="n">
        <v>12.2</v>
      </c>
      <c r="K2" s="0" t="n">
        <v>4.42</v>
      </c>
      <c r="L2" s="0" t="n">
        <v>6416</v>
      </c>
      <c r="M2" s="0" t="n">
        <v>3043</v>
      </c>
      <c r="N2" s="0" t="n">
        <v>3373</v>
      </c>
      <c r="O2" s="0" t="n">
        <v>22927</v>
      </c>
      <c r="P2" s="0" t="n">
        <v>51382</v>
      </c>
      <c r="Q2" s="0" t="n">
        <v>28447</v>
      </c>
      <c r="R2" s="0" t="n">
        <v>9727</v>
      </c>
      <c r="S2" s="0" t="n">
        <v>4686</v>
      </c>
      <c r="T2" s="0" t="n">
        <v>911</v>
      </c>
      <c r="U2" s="0" t="n">
        <v>0</v>
      </c>
      <c r="AA2" s="0" t="s">
        <v>17</v>
      </c>
      <c r="AB2" s="0" t="s">
        <v>14</v>
      </c>
      <c r="AC2" s="0" t="n">
        <v>1601</v>
      </c>
      <c r="AD2" s="0" t="n">
        <v>27.1</v>
      </c>
      <c r="AE2" s="0" t="n">
        <v>4038</v>
      </c>
      <c r="AF2" s="0" t="n">
        <v>300081</v>
      </c>
      <c r="AG2" s="0" t="n">
        <v>982</v>
      </c>
    </row>
    <row r="3" customFormat="false" ht="15" hidden="false" customHeight="false" outlineLevel="0" collapsed="false">
      <c r="A3" s="0" t="s">
        <v>69</v>
      </c>
      <c r="B3" s="0" t="n">
        <v>37637</v>
      </c>
      <c r="C3" s="0" t="n">
        <v>27089</v>
      </c>
      <c r="D3" s="0" t="n">
        <v>10549</v>
      </c>
      <c r="E3" s="0" t="n">
        <v>28</v>
      </c>
      <c r="F3" s="0" t="n">
        <v>6772</v>
      </c>
      <c r="G3" s="0" t="n">
        <v>18</v>
      </c>
      <c r="H3" s="0" t="n">
        <v>9961</v>
      </c>
      <c r="I3" s="0" t="n">
        <v>4960</v>
      </c>
      <c r="J3" s="0" t="n">
        <v>13.2</v>
      </c>
      <c r="K3" s="0" t="n">
        <v>5.44</v>
      </c>
      <c r="L3" s="0" t="n">
        <v>7114</v>
      </c>
      <c r="M3" s="0" t="n">
        <v>3661</v>
      </c>
      <c r="N3" s="0" t="n">
        <v>3453</v>
      </c>
      <c r="O3" s="0" t="n">
        <v>17027</v>
      </c>
      <c r="P3" s="0" t="n">
        <v>47642</v>
      </c>
      <c r="Q3" s="0" t="n">
        <v>30607</v>
      </c>
      <c r="R3" s="0" t="n">
        <v>9480</v>
      </c>
      <c r="S3" s="0" t="n">
        <v>3719</v>
      </c>
      <c r="T3" s="0" t="n">
        <v>911</v>
      </c>
      <c r="U3" s="0" t="n">
        <v>0</v>
      </c>
      <c r="V3" s="0" t="n">
        <v>1</v>
      </c>
      <c r="AA3" s="0" t="s">
        <v>17</v>
      </c>
      <c r="AB3" s="0" t="s">
        <v>14</v>
      </c>
      <c r="AC3" s="0" t="n">
        <v>1951</v>
      </c>
      <c r="AD3" s="0" t="n">
        <v>33.5</v>
      </c>
      <c r="AE3" s="0" t="n">
        <v>4967</v>
      </c>
      <c r="AF3" s="0" t="n">
        <v>321321</v>
      </c>
      <c r="AG3" s="0" t="n">
        <v>1795</v>
      </c>
    </row>
    <row r="4" customFormat="false" ht="15" hidden="false" customHeight="false" outlineLevel="0" collapsed="false">
      <c r="A4" s="0" t="s">
        <v>70</v>
      </c>
      <c r="B4" s="0" t="n">
        <v>40530</v>
      </c>
      <c r="C4" s="0" t="n">
        <v>28924</v>
      </c>
      <c r="D4" s="0" t="n">
        <v>11606</v>
      </c>
      <c r="E4" s="0" t="n">
        <v>28.6</v>
      </c>
      <c r="F4" s="0" t="n">
        <v>7284</v>
      </c>
      <c r="G4" s="0" t="n">
        <v>18</v>
      </c>
      <c r="H4" s="0" t="n">
        <v>10812</v>
      </c>
      <c r="I4" s="0" t="n">
        <v>5157</v>
      </c>
      <c r="J4" s="0" t="n">
        <v>12.7</v>
      </c>
      <c r="K4" s="0" t="n">
        <v>5.66</v>
      </c>
      <c r="L4" s="0" t="n">
        <v>7023</v>
      </c>
      <c r="M4" s="0" t="n">
        <v>4097</v>
      </c>
      <c r="N4" s="0" t="n">
        <v>2926</v>
      </c>
      <c r="O4" s="0" t="n">
        <v>21667</v>
      </c>
      <c r="P4" s="0" t="n">
        <v>50447</v>
      </c>
      <c r="Q4" s="0" t="n">
        <v>28779</v>
      </c>
      <c r="R4" s="0" t="n">
        <v>10417</v>
      </c>
      <c r="S4" s="0" t="n">
        <v>5820</v>
      </c>
      <c r="T4" s="0" t="n">
        <v>911</v>
      </c>
      <c r="U4" s="0" t="n">
        <v>0</v>
      </c>
      <c r="V4" s="0" t="n">
        <v>2.3</v>
      </c>
      <c r="AA4" s="0" t="s">
        <v>17</v>
      </c>
      <c r="AB4" s="0" t="s">
        <v>14</v>
      </c>
      <c r="AC4" s="0" t="n">
        <v>2081</v>
      </c>
      <c r="AD4" s="0" t="n">
        <v>29.7</v>
      </c>
      <c r="AE4" s="0" t="n">
        <v>5157</v>
      </c>
      <c r="AF4" s="0" t="n">
        <v>336280</v>
      </c>
      <c r="AG4" s="0" t="n">
        <v>1826</v>
      </c>
    </row>
    <row r="5" customFormat="false" ht="15" hidden="false" customHeight="false" outlineLevel="0" collapsed="false">
      <c r="A5" s="0" t="s">
        <v>71</v>
      </c>
      <c r="B5" s="0" t="n">
        <v>40083</v>
      </c>
      <c r="C5" s="0" t="n">
        <v>29756</v>
      </c>
      <c r="D5" s="0" t="n">
        <v>10327</v>
      </c>
      <c r="E5" s="0" t="n">
        <v>25.8</v>
      </c>
      <c r="F5" s="0" t="n">
        <v>5637</v>
      </c>
      <c r="G5" s="0" t="n">
        <v>14.1</v>
      </c>
      <c r="H5" s="0" t="n">
        <v>9725</v>
      </c>
      <c r="I5" s="0" t="n">
        <v>3592</v>
      </c>
      <c r="J5" s="0" t="n">
        <v>9</v>
      </c>
      <c r="K5" s="0" t="n">
        <v>3.94</v>
      </c>
      <c r="L5" s="0" t="n">
        <v>6353</v>
      </c>
      <c r="M5" s="0" t="n">
        <v>3757</v>
      </c>
      <c r="N5" s="0" t="n">
        <v>2596</v>
      </c>
      <c r="O5" s="0" t="n">
        <v>23043</v>
      </c>
      <c r="P5" s="0" t="n">
        <v>53527</v>
      </c>
      <c r="Q5" s="0" t="n">
        <v>30471</v>
      </c>
      <c r="R5" s="0" t="n">
        <v>11413</v>
      </c>
      <c r="S5" s="0" t="n">
        <v>6384</v>
      </c>
      <c r="T5" s="0" t="n">
        <v>911</v>
      </c>
      <c r="U5" s="0" t="n">
        <v>0</v>
      </c>
      <c r="V5" s="0" t="n">
        <v>2.3</v>
      </c>
      <c r="AA5" s="0" t="s">
        <v>17</v>
      </c>
      <c r="AB5" s="0" t="s">
        <v>14</v>
      </c>
      <c r="AC5" s="0" t="n">
        <v>1583</v>
      </c>
      <c r="AD5" s="0" t="n">
        <v>27.8</v>
      </c>
      <c r="AE5" s="0" t="n">
        <v>3595</v>
      </c>
      <c r="AF5" s="0" t="n">
        <v>302750</v>
      </c>
      <c r="AG5" s="0" t="n">
        <v>1965</v>
      </c>
    </row>
    <row r="6" customFormat="false" ht="15" hidden="false" customHeight="false" outlineLevel="0" collapsed="false">
      <c r="A6" s="0" t="s">
        <v>72</v>
      </c>
      <c r="B6" s="0" t="n">
        <v>36272</v>
      </c>
      <c r="C6" s="0" t="n">
        <v>31221</v>
      </c>
      <c r="D6" s="0" t="n">
        <v>5051</v>
      </c>
      <c r="E6" s="0" t="n">
        <v>13.9</v>
      </c>
      <c r="F6" s="0" t="n">
        <v>413</v>
      </c>
      <c r="G6" s="0" t="n">
        <v>1.1</v>
      </c>
      <c r="H6" s="0" t="n">
        <v>5864</v>
      </c>
      <c r="I6" s="0" t="n">
        <v>431</v>
      </c>
      <c r="J6" s="0" t="n">
        <v>1.2</v>
      </c>
      <c r="K6" s="0" t="n">
        <v>0.47</v>
      </c>
      <c r="L6" s="0" t="n">
        <v>3614</v>
      </c>
      <c r="M6" s="0" t="n">
        <v>3136</v>
      </c>
      <c r="N6" s="0" t="n">
        <v>478</v>
      </c>
      <c r="O6" s="0" t="n">
        <v>22991</v>
      </c>
      <c r="P6" s="0" t="n">
        <v>52715</v>
      </c>
      <c r="Q6" s="0" t="n">
        <v>29594</v>
      </c>
      <c r="R6" s="0" t="n">
        <v>11431</v>
      </c>
      <c r="S6" s="0" t="n">
        <v>4996</v>
      </c>
      <c r="T6" s="0" t="n">
        <v>911</v>
      </c>
      <c r="U6" s="0" t="n">
        <v>0</v>
      </c>
      <c r="AA6" s="0" t="s">
        <v>17</v>
      </c>
      <c r="AB6" s="0" t="s">
        <v>14</v>
      </c>
      <c r="AC6" s="0" t="n">
        <v>963</v>
      </c>
      <c r="AD6" s="0" t="n">
        <v>71.2</v>
      </c>
      <c r="AE6" s="0" t="n">
        <v>310</v>
      </c>
      <c r="AF6" s="0" t="n">
        <v>261341</v>
      </c>
      <c r="AG6" s="0" t="n">
        <v>2307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5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44"/>
  </cols>
  <sheetData>
    <row r="1" customFormat="false" ht="15" hidden="false" customHeight="false" outlineLevel="0" collapsed="false">
      <c r="A1" s="2" t="s">
        <v>73</v>
      </c>
      <c r="B1" s="2" t="s">
        <v>74</v>
      </c>
    </row>
    <row r="2" customFormat="false" ht="15" hidden="false" customHeight="false" outlineLevel="0" collapsed="false">
      <c r="A2" s="0" t="s">
        <v>75</v>
      </c>
      <c r="B2" s="3" t="n">
        <v>41.6</v>
      </c>
    </row>
    <row r="3" customFormat="false" ht="15" hidden="false" customHeight="false" outlineLevel="0" collapsed="false">
      <c r="A3" s="0" t="s">
        <v>76</v>
      </c>
      <c r="B3" s="3" t="n">
        <v>911</v>
      </c>
    </row>
    <row r="4" customFormat="false" ht="15" hidden="false" customHeight="false" outlineLevel="0" collapsed="false">
      <c r="A4" s="0" t="s">
        <v>77</v>
      </c>
      <c r="B4" s="3" t="n">
        <v>-7302</v>
      </c>
    </row>
    <row r="5" customFormat="false" ht="15" hidden="false" customHeight="false" outlineLevel="0" collapsed="false">
      <c r="A5" s="0" t="s">
        <v>78</v>
      </c>
      <c r="B5" s="3" t="n">
        <v>-220</v>
      </c>
    </row>
    <row r="6" customFormat="false" ht="15" hidden="false" customHeight="false" outlineLevel="0" collapsed="false">
      <c r="A6" s="0" t="s">
        <v>79</v>
      </c>
      <c r="B6" s="3" t="n">
        <v>15</v>
      </c>
    </row>
    <row r="7" customFormat="false" ht="15" hidden="false" customHeight="false" outlineLevel="0" collapsed="false">
      <c r="A7" s="0" t="s">
        <v>80</v>
      </c>
      <c r="B7" s="3" t="n">
        <v>32170</v>
      </c>
    </row>
    <row r="8" customFormat="false" ht="15" hidden="false" customHeight="false" outlineLevel="0" collapsed="false">
      <c r="A8" s="0" t="s">
        <v>81</v>
      </c>
      <c r="B8" s="3" t="s">
        <v>72</v>
      </c>
    </row>
    <row r="9" customFormat="false" ht="15" hidden="false" customHeight="false" outlineLevel="0" collapsed="false">
      <c r="A9" s="0" t="s">
        <v>82</v>
      </c>
      <c r="B9" s="3" t="s">
        <v>83</v>
      </c>
    </row>
    <row r="10" customFormat="false" ht="15" hidden="false" customHeight="false" outlineLevel="0" collapsed="false">
      <c r="A10" s="0" t="s">
        <v>84</v>
      </c>
      <c r="B10" s="3" t="n">
        <v>1</v>
      </c>
    </row>
    <row r="12" customFormat="false" ht="15" hidden="false" customHeight="false" outlineLevel="0" collapsed="false">
      <c r="A12" s="2" t="s">
        <v>85</v>
      </c>
      <c r="C12" s="2" t="s">
        <v>86</v>
      </c>
      <c r="D12" s="2" t="s">
        <v>87</v>
      </c>
      <c r="E12" s="2" t="s">
        <v>88</v>
      </c>
      <c r="F12" s="2" t="s">
        <v>89</v>
      </c>
      <c r="G12" s="2" t="s">
        <v>90</v>
      </c>
      <c r="H12" s="2" t="s">
        <v>91</v>
      </c>
      <c r="I12" s="2" t="s">
        <v>92</v>
      </c>
      <c r="J12" s="2" t="s">
        <v>93</v>
      </c>
      <c r="K12" s="2" t="s">
        <v>94</v>
      </c>
      <c r="L12" s="2" t="s">
        <v>95</v>
      </c>
    </row>
    <row r="13" customFormat="false" ht="15" hidden="false" customHeight="false" outlineLevel="0" collapsed="false">
      <c r="A13" s="0" t="s">
        <v>96</v>
      </c>
      <c r="C13" s="3" t="n">
        <v>-4</v>
      </c>
      <c r="D13" s="3" t="n">
        <v>1</v>
      </c>
      <c r="E13" s="3" t="n">
        <v>3</v>
      </c>
      <c r="F13" s="3" t="n">
        <v>3</v>
      </c>
      <c r="G13" s="3" t="n">
        <v>2.5</v>
      </c>
      <c r="H13" s="3" t="n">
        <v>2</v>
      </c>
      <c r="I13" s="3" t="n">
        <v>2</v>
      </c>
      <c r="J13" s="3" t="n">
        <v>2</v>
      </c>
      <c r="K13" s="3" t="n">
        <v>1.5</v>
      </c>
      <c r="L13" s="3" t="n">
        <v>1.5</v>
      </c>
    </row>
    <row r="14" customFormat="false" ht="15" hidden="false" customHeight="false" outlineLevel="0" collapsed="false">
      <c r="A14" s="0" t="s">
        <v>97</v>
      </c>
      <c r="C14" s="3" t="n">
        <v>15</v>
      </c>
      <c r="D14" s="3" t="n">
        <v>16</v>
      </c>
      <c r="E14" s="3" t="n">
        <v>17</v>
      </c>
      <c r="F14" s="3" t="n">
        <v>17.5</v>
      </c>
      <c r="G14" s="3" t="n">
        <v>18</v>
      </c>
      <c r="H14" s="3" t="n">
        <v>18</v>
      </c>
      <c r="I14" s="3" t="n">
        <v>18</v>
      </c>
      <c r="J14" s="3" t="n">
        <v>18</v>
      </c>
      <c r="K14" s="3" t="n">
        <v>18</v>
      </c>
      <c r="L14" s="3" t="n">
        <v>18</v>
      </c>
    </row>
    <row r="15" customFormat="false" ht="15" hidden="false" customHeight="false" outlineLevel="0" collapsed="false">
      <c r="A15" s="0" t="s">
        <v>98</v>
      </c>
      <c r="C15" s="3" t="n">
        <v>0</v>
      </c>
      <c r="D15" s="3" t="n">
        <v>0</v>
      </c>
      <c r="E15" s="3" t="n">
        <v>0</v>
      </c>
      <c r="F15" s="3" t="n">
        <v>0</v>
      </c>
      <c r="G15" s="3" t="n">
        <v>0</v>
      </c>
      <c r="H15" s="3" t="n">
        <v>0</v>
      </c>
      <c r="I15" s="3" t="n">
        <v>0</v>
      </c>
      <c r="J15" s="3" t="n">
        <v>0</v>
      </c>
      <c r="K15" s="3" t="n">
        <v>0</v>
      </c>
      <c r="L15" s="3" t="n">
        <v>0</v>
      </c>
    </row>
    <row r="16" customFormat="false" ht="15" hidden="false" customHeight="false" outlineLevel="0" collapsed="false">
      <c r="A16" s="0" t="s">
        <v>99</v>
      </c>
      <c r="C16" s="3" t="n">
        <v>0</v>
      </c>
      <c r="D16" s="3" t="n">
        <v>0</v>
      </c>
      <c r="E16" s="3" t="n">
        <v>0</v>
      </c>
      <c r="F16" s="3" t="n">
        <v>0</v>
      </c>
      <c r="G16" s="3" t="n">
        <v>0</v>
      </c>
      <c r="H16" s="3" t="n">
        <v>0</v>
      </c>
      <c r="I16" s="3" t="n">
        <v>0</v>
      </c>
      <c r="J16" s="3" t="n">
        <v>0</v>
      </c>
      <c r="K16" s="3" t="n">
        <v>0</v>
      </c>
      <c r="L16" s="3" t="n">
        <v>0</v>
      </c>
    </row>
    <row r="17" customFormat="false" ht="15" hidden="false" customHeight="false" outlineLevel="0" collapsed="false">
      <c r="A17" s="0" t="s">
        <v>100</v>
      </c>
      <c r="C17" s="3" t="n">
        <v>9.8</v>
      </c>
      <c r="D17" s="3" t="n">
        <v>9.7</v>
      </c>
      <c r="E17" s="3" t="n">
        <v>9.5</v>
      </c>
      <c r="F17" s="3" t="n">
        <v>9.3</v>
      </c>
      <c r="G17" s="3" t="n">
        <v>9</v>
      </c>
      <c r="H17" s="3" t="n">
        <v>9</v>
      </c>
      <c r="I17" s="3" t="n">
        <v>9</v>
      </c>
      <c r="J17" s="3" t="n">
        <v>9</v>
      </c>
      <c r="K17" s="3" t="n">
        <v>9</v>
      </c>
      <c r="L17" s="3" t="n">
        <v>9</v>
      </c>
    </row>
    <row r="18" customFormat="false" ht="15" hidden="false" customHeight="false" outlineLevel="0" collapsed="false">
      <c r="A18" s="0" t="s">
        <v>101</v>
      </c>
      <c r="C18" s="3" t="n">
        <v>10</v>
      </c>
      <c r="D18" s="3" t="n">
        <v>10</v>
      </c>
      <c r="E18" s="3" t="n">
        <v>9.8</v>
      </c>
      <c r="F18" s="3" t="n">
        <v>9.5</v>
      </c>
      <c r="G18" s="3" t="n">
        <v>9.5</v>
      </c>
      <c r="H18" s="3" t="n">
        <v>9.5</v>
      </c>
      <c r="I18" s="3" t="n">
        <v>9.5</v>
      </c>
      <c r="J18" s="3" t="n">
        <v>9.5</v>
      </c>
      <c r="K18" s="3" t="n">
        <v>9.5</v>
      </c>
      <c r="L18" s="3" t="n">
        <v>9.5</v>
      </c>
    </row>
    <row r="19" customFormat="false" ht="15" hidden="false" customHeight="false" outlineLevel="0" collapsed="false">
      <c r="A19" s="0" t="s">
        <v>102</v>
      </c>
      <c r="C19" s="3" t="n">
        <v>30</v>
      </c>
      <c r="D19" s="3" t="n">
        <v>30</v>
      </c>
      <c r="E19" s="3" t="n">
        <v>30</v>
      </c>
      <c r="F19" s="3" t="n">
        <v>30</v>
      </c>
      <c r="G19" s="3" t="n">
        <v>30</v>
      </c>
      <c r="H19" s="3" t="n">
        <v>30</v>
      </c>
      <c r="I19" s="3" t="n">
        <v>30</v>
      </c>
      <c r="J19" s="3" t="n">
        <v>30</v>
      </c>
      <c r="K19" s="3" t="n">
        <v>30</v>
      </c>
      <c r="L19" s="3" t="n">
        <v>30</v>
      </c>
    </row>
    <row r="20" customFormat="false" ht="15" hidden="false" customHeight="false" outlineLevel="0" collapsed="false">
      <c r="A20" s="0" t="s">
        <v>103</v>
      </c>
      <c r="B20" s="3" t="n">
        <v>9</v>
      </c>
    </row>
    <row r="21" customFormat="false" ht="15" hidden="false" customHeight="false" outlineLevel="0" collapsed="false">
      <c r="A21" s="0" t="s">
        <v>104</v>
      </c>
      <c r="B21" s="3" t="n">
        <v>1.5</v>
      </c>
    </row>
    <row r="22" customFormat="false" ht="15" hidden="false" customHeight="false" outlineLevel="0" collapsed="false">
      <c r="A22" s="0" t="s">
        <v>105</v>
      </c>
      <c r="B22" s="3" t="n">
        <v>12</v>
      </c>
    </row>
    <row r="23" customFormat="false" ht="15" hidden="false" customHeight="false" outlineLevel="0" collapsed="false">
      <c r="A23" s="0" t="s">
        <v>106</v>
      </c>
      <c r="B23" s="3" t="n">
        <v>-14</v>
      </c>
    </row>
    <row r="24" customFormat="false" ht="15" hidden="false" customHeight="false" outlineLevel="0" collapsed="false">
      <c r="A24" s="0" t="s">
        <v>107</v>
      </c>
      <c r="B24" s="3" t="n">
        <v>0.25</v>
      </c>
    </row>
    <row r="26" customFormat="false" ht="15" hidden="false" customHeight="false" outlineLevel="0" collapsed="false">
      <c r="A26" s="2" t="s">
        <v>108</v>
      </c>
      <c r="C26" s="2" t="s">
        <v>86</v>
      </c>
      <c r="D26" s="2" t="s">
        <v>87</v>
      </c>
      <c r="E26" s="2" t="s">
        <v>88</v>
      </c>
      <c r="F26" s="2" t="s">
        <v>89</v>
      </c>
      <c r="G26" s="2" t="s">
        <v>90</v>
      </c>
      <c r="H26" s="2" t="s">
        <v>91</v>
      </c>
      <c r="I26" s="2" t="s">
        <v>92</v>
      </c>
      <c r="J26" s="2" t="s">
        <v>93</v>
      </c>
      <c r="K26" s="2" t="s">
        <v>94</v>
      </c>
      <c r="L26" s="2" t="s">
        <v>95</v>
      </c>
    </row>
    <row r="27" customFormat="false" ht="15" hidden="false" customHeight="false" outlineLevel="0" collapsed="false">
      <c r="A27" s="0" t="s">
        <v>96</v>
      </c>
      <c r="C27" s="3" t="n">
        <v>-2</v>
      </c>
      <c r="D27" s="3" t="n">
        <v>5</v>
      </c>
      <c r="E27" s="3" t="n">
        <v>6</v>
      </c>
      <c r="F27" s="3" t="n">
        <v>5</v>
      </c>
      <c r="G27" s="3" t="n">
        <v>4</v>
      </c>
      <c r="H27" s="3" t="n">
        <v>3</v>
      </c>
      <c r="I27" s="3" t="n">
        <v>3</v>
      </c>
      <c r="J27" s="3" t="n">
        <v>2.5</v>
      </c>
      <c r="K27" s="3" t="n">
        <v>2.5</v>
      </c>
      <c r="L27" s="3" t="n">
        <v>2.5</v>
      </c>
    </row>
    <row r="28" customFormat="false" ht="15" hidden="false" customHeight="false" outlineLevel="0" collapsed="false">
      <c r="A28" s="0" t="s">
        <v>97</v>
      </c>
      <c r="C28" s="3" t="n">
        <v>16</v>
      </c>
      <c r="D28" s="3" t="n">
        <v>18.5</v>
      </c>
      <c r="E28" s="3" t="n">
        <v>20</v>
      </c>
      <c r="F28" s="3" t="n">
        <v>21</v>
      </c>
      <c r="G28" s="3" t="n">
        <v>21.5</v>
      </c>
      <c r="H28" s="3" t="n">
        <v>21.5</v>
      </c>
      <c r="I28" s="3" t="n">
        <v>21.5</v>
      </c>
      <c r="J28" s="3" t="n">
        <v>21.5</v>
      </c>
      <c r="K28" s="3" t="n">
        <v>21.5</v>
      </c>
      <c r="L28" s="3" t="n">
        <v>21.5</v>
      </c>
    </row>
    <row r="29" customFormat="false" ht="15" hidden="false" customHeight="false" outlineLevel="0" collapsed="false">
      <c r="A29" s="0" t="s">
        <v>98</v>
      </c>
      <c r="C29" s="3" t="n">
        <v>0</v>
      </c>
      <c r="D29" s="3" t="n">
        <v>0</v>
      </c>
      <c r="E29" s="3" t="n">
        <v>0</v>
      </c>
      <c r="F29" s="3" t="n">
        <v>0</v>
      </c>
      <c r="G29" s="3" t="n">
        <v>0</v>
      </c>
      <c r="H29" s="3" t="n">
        <v>0</v>
      </c>
      <c r="I29" s="3" t="n">
        <v>0</v>
      </c>
      <c r="J29" s="3" t="n">
        <v>0</v>
      </c>
      <c r="K29" s="3" t="n">
        <v>0</v>
      </c>
      <c r="L29" s="3" t="n">
        <v>0</v>
      </c>
    </row>
    <row r="30" customFormat="false" ht="15" hidden="false" customHeight="false" outlineLevel="0" collapsed="false">
      <c r="A30" s="0" t="s">
        <v>99</v>
      </c>
      <c r="C30" s="3" t="n">
        <v>0</v>
      </c>
      <c r="D30" s="3" t="n">
        <v>0</v>
      </c>
      <c r="E30" s="3" t="n">
        <v>0</v>
      </c>
      <c r="F30" s="3" t="n">
        <v>0</v>
      </c>
      <c r="G30" s="3" t="n">
        <v>0</v>
      </c>
      <c r="H30" s="3" t="n">
        <v>0</v>
      </c>
      <c r="I30" s="3" t="n">
        <v>0</v>
      </c>
      <c r="J30" s="3" t="n">
        <v>0</v>
      </c>
      <c r="K30" s="3" t="n">
        <v>0</v>
      </c>
      <c r="L30" s="3" t="n">
        <v>0</v>
      </c>
    </row>
    <row r="31" customFormat="false" ht="15" hidden="false" customHeight="false" outlineLevel="0" collapsed="false">
      <c r="A31" s="0" t="s">
        <v>100</v>
      </c>
      <c r="C31" s="3" t="n">
        <v>9.7</v>
      </c>
      <c r="D31" s="3" t="n">
        <v>9.5</v>
      </c>
      <c r="E31" s="3" t="n">
        <v>9.2</v>
      </c>
      <c r="F31" s="3" t="n">
        <v>9</v>
      </c>
      <c r="G31" s="3" t="n">
        <v>8.8</v>
      </c>
      <c r="H31" s="3" t="n">
        <v>8.5</v>
      </c>
      <c r="I31" s="3" t="n">
        <v>8.5</v>
      </c>
      <c r="J31" s="3" t="n">
        <v>8.5</v>
      </c>
      <c r="K31" s="3" t="n">
        <v>8.5</v>
      </c>
      <c r="L31" s="3" t="n">
        <v>8.5</v>
      </c>
    </row>
    <row r="32" customFormat="false" ht="15" hidden="false" customHeight="false" outlineLevel="0" collapsed="false">
      <c r="A32" s="0" t="s">
        <v>101</v>
      </c>
      <c r="C32" s="3" t="n">
        <v>9.8</v>
      </c>
      <c r="D32" s="3" t="n">
        <v>9.8</v>
      </c>
      <c r="E32" s="3" t="n">
        <v>9.6</v>
      </c>
      <c r="F32" s="3" t="n">
        <v>9.3</v>
      </c>
      <c r="G32" s="3" t="n">
        <v>9</v>
      </c>
      <c r="H32" s="3" t="n">
        <v>9</v>
      </c>
      <c r="I32" s="3" t="n">
        <v>9</v>
      </c>
      <c r="J32" s="3" t="n">
        <v>9</v>
      </c>
      <c r="K32" s="3" t="n">
        <v>9</v>
      </c>
      <c r="L32" s="3" t="n">
        <v>9</v>
      </c>
    </row>
    <row r="33" customFormat="false" ht="15" hidden="false" customHeight="false" outlineLevel="0" collapsed="false">
      <c r="A33" s="0" t="s">
        <v>102</v>
      </c>
      <c r="C33" s="3" t="n">
        <v>30</v>
      </c>
      <c r="D33" s="3" t="n">
        <v>30</v>
      </c>
      <c r="E33" s="3" t="n">
        <v>30</v>
      </c>
      <c r="F33" s="3" t="n">
        <v>30</v>
      </c>
      <c r="G33" s="3" t="n">
        <v>30</v>
      </c>
      <c r="H33" s="3" t="n">
        <v>30</v>
      </c>
      <c r="I33" s="3" t="n">
        <v>30</v>
      </c>
      <c r="J33" s="3" t="n">
        <v>30</v>
      </c>
      <c r="K33" s="3" t="n">
        <v>30</v>
      </c>
      <c r="L33" s="3" t="n">
        <v>30</v>
      </c>
    </row>
    <row r="34" customFormat="false" ht="15" hidden="false" customHeight="false" outlineLevel="0" collapsed="false">
      <c r="A34" s="0" t="s">
        <v>103</v>
      </c>
      <c r="B34" s="3" t="n">
        <v>9</v>
      </c>
    </row>
    <row r="35" customFormat="false" ht="15" hidden="false" customHeight="false" outlineLevel="0" collapsed="false">
      <c r="A35" s="0" t="s">
        <v>104</v>
      </c>
      <c r="B35" s="3" t="n">
        <v>2</v>
      </c>
    </row>
    <row r="36" customFormat="false" ht="15" hidden="false" customHeight="false" outlineLevel="0" collapsed="false">
      <c r="A36" s="0" t="s">
        <v>105</v>
      </c>
      <c r="B36" s="3" t="n">
        <v>12</v>
      </c>
    </row>
    <row r="37" customFormat="false" ht="15" hidden="false" customHeight="false" outlineLevel="0" collapsed="false">
      <c r="A37" s="0" t="s">
        <v>106</v>
      </c>
      <c r="B37" s="3" t="n">
        <v>-14</v>
      </c>
    </row>
    <row r="38" customFormat="false" ht="15" hidden="false" customHeight="false" outlineLevel="0" collapsed="false">
      <c r="A38" s="0" t="s">
        <v>107</v>
      </c>
      <c r="B38" s="3" t="n">
        <v>0.5</v>
      </c>
    </row>
    <row r="40" customFormat="false" ht="15" hidden="false" customHeight="false" outlineLevel="0" collapsed="false">
      <c r="A40" s="2" t="s">
        <v>109</v>
      </c>
      <c r="C40" s="2" t="s">
        <v>86</v>
      </c>
      <c r="D40" s="2" t="s">
        <v>87</v>
      </c>
      <c r="E40" s="2" t="s">
        <v>88</v>
      </c>
      <c r="F40" s="2" t="s">
        <v>89</v>
      </c>
      <c r="G40" s="2" t="s">
        <v>90</v>
      </c>
      <c r="H40" s="2" t="s">
        <v>91</v>
      </c>
      <c r="I40" s="2" t="s">
        <v>92</v>
      </c>
      <c r="J40" s="2" t="s">
        <v>93</v>
      </c>
      <c r="K40" s="2" t="s">
        <v>94</v>
      </c>
      <c r="L40" s="2" t="s">
        <v>95</v>
      </c>
    </row>
    <row r="41" customFormat="false" ht="15" hidden="false" customHeight="false" outlineLevel="0" collapsed="false">
      <c r="A41" s="0" t="s">
        <v>96</v>
      </c>
      <c r="C41" s="3" t="n">
        <v>-1</v>
      </c>
      <c r="D41" s="3" t="n">
        <v>7</v>
      </c>
      <c r="E41" s="3" t="n">
        <v>8</v>
      </c>
      <c r="F41" s="3" t="n">
        <v>7</v>
      </c>
      <c r="G41" s="3" t="n">
        <v>5</v>
      </c>
      <c r="H41" s="3" t="n">
        <v>4</v>
      </c>
      <c r="I41" s="3" t="n">
        <v>3.5</v>
      </c>
      <c r="J41" s="3" t="n">
        <v>3</v>
      </c>
      <c r="K41" s="3" t="n">
        <v>3</v>
      </c>
      <c r="L41" s="3" t="n">
        <v>3</v>
      </c>
    </row>
    <row r="42" customFormat="false" ht="15" hidden="false" customHeight="false" outlineLevel="0" collapsed="false">
      <c r="A42" s="0" t="s">
        <v>97</v>
      </c>
      <c r="C42" s="3" t="n">
        <v>16.5</v>
      </c>
      <c r="D42" s="3" t="n">
        <v>20</v>
      </c>
      <c r="E42" s="3" t="n">
        <v>22</v>
      </c>
      <c r="F42" s="3" t="n">
        <v>23.5</v>
      </c>
      <c r="G42" s="3" t="n">
        <v>24</v>
      </c>
      <c r="H42" s="3" t="n">
        <v>24</v>
      </c>
      <c r="I42" s="3" t="n">
        <v>24</v>
      </c>
      <c r="J42" s="3" t="n">
        <v>24</v>
      </c>
      <c r="K42" s="3" t="n">
        <v>24</v>
      </c>
      <c r="L42" s="3" t="n">
        <v>24</v>
      </c>
    </row>
    <row r="43" customFormat="false" ht="15" hidden="false" customHeight="false" outlineLevel="0" collapsed="false">
      <c r="A43" s="0" t="s">
        <v>98</v>
      </c>
      <c r="C43" s="3" t="n">
        <v>0</v>
      </c>
      <c r="D43" s="3" t="n">
        <v>0</v>
      </c>
      <c r="E43" s="3" t="n">
        <v>0</v>
      </c>
      <c r="F43" s="3" t="n">
        <v>0</v>
      </c>
      <c r="G43" s="3" t="n">
        <v>0</v>
      </c>
      <c r="H43" s="3" t="n">
        <v>0</v>
      </c>
      <c r="I43" s="3" t="n">
        <v>0</v>
      </c>
      <c r="J43" s="3" t="n">
        <v>0</v>
      </c>
      <c r="K43" s="3" t="n">
        <v>0</v>
      </c>
      <c r="L43" s="3" t="n">
        <v>0</v>
      </c>
    </row>
    <row r="44" customFormat="false" ht="15" hidden="false" customHeight="false" outlineLevel="0" collapsed="false">
      <c r="A44" s="0" t="s">
        <v>99</v>
      </c>
      <c r="C44" s="3" t="n">
        <v>0</v>
      </c>
      <c r="D44" s="3" t="n">
        <v>0</v>
      </c>
      <c r="E44" s="3" t="n">
        <v>0</v>
      </c>
      <c r="F44" s="3" t="n">
        <v>0</v>
      </c>
      <c r="G44" s="3" t="n">
        <v>0</v>
      </c>
      <c r="H44" s="3" t="n">
        <v>0</v>
      </c>
      <c r="I44" s="3" t="n">
        <v>0</v>
      </c>
      <c r="J44" s="3" t="n">
        <v>0</v>
      </c>
      <c r="K44" s="3" t="n">
        <v>0</v>
      </c>
      <c r="L44" s="3" t="n">
        <v>0</v>
      </c>
    </row>
    <row r="45" customFormat="false" ht="15" hidden="false" customHeight="false" outlineLevel="0" collapsed="false">
      <c r="A45" s="0" t="s">
        <v>100</v>
      </c>
      <c r="C45" s="3" t="n">
        <v>9.7</v>
      </c>
      <c r="D45" s="3" t="n">
        <v>9.4</v>
      </c>
      <c r="E45" s="3" t="n">
        <v>9</v>
      </c>
      <c r="F45" s="3" t="n">
        <v>8.7</v>
      </c>
      <c r="G45" s="3" t="n">
        <v>8.5</v>
      </c>
      <c r="H45" s="3" t="n">
        <v>8.3</v>
      </c>
      <c r="I45" s="3" t="n">
        <v>8.3</v>
      </c>
      <c r="J45" s="3" t="n">
        <v>8.3</v>
      </c>
      <c r="K45" s="3" t="n">
        <v>8.3</v>
      </c>
      <c r="L45" s="3" t="n">
        <v>8.3</v>
      </c>
    </row>
    <row r="46" customFormat="false" ht="15" hidden="false" customHeight="false" outlineLevel="0" collapsed="false">
      <c r="A46" s="0" t="s">
        <v>101</v>
      </c>
      <c r="C46" s="3" t="n">
        <v>9.6</v>
      </c>
      <c r="D46" s="3" t="n">
        <v>9.6</v>
      </c>
      <c r="E46" s="3" t="n">
        <v>9.4</v>
      </c>
      <c r="F46" s="3" t="n">
        <v>9</v>
      </c>
      <c r="G46" s="3" t="n">
        <v>8.8</v>
      </c>
      <c r="H46" s="3" t="n">
        <v>8.8</v>
      </c>
      <c r="I46" s="3" t="n">
        <v>8.8</v>
      </c>
      <c r="J46" s="3" t="n">
        <v>8.8</v>
      </c>
      <c r="K46" s="3" t="n">
        <v>8.8</v>
      </c>
      <c r="L46" s="3" t="n">
        <v>8.8</v>
      </c>
    </row>
    <row r="47" customFormat="false" ht="15" hidden="false" customHeight="false" outlineLevel="0" collapsed="false">
      <c r="A47" s="0" t="s">
        <v>102</v>
      </c>
      <c r="C47" s="3" t="n">
        <v>30</v>
      </c>
      <c r="D47" s="3" t="n">
        <v>30</v>
      </c>
      <c r="E47" s="3" t="n">
        <v>30</v>
      </c>
      <c r="F47" s="3" t="n">
        <v>30</v>
      </c>
      <c r="G47" s="3" t="n">
        <v>30</v>
      </c>
      <c r="H47" s="3" t="n">
        <v>30</v>
      </c>
      <c r="I47" s="3" t="n">
        <v>30</v>
      </c>
      <c r="J47" s="3" t="n">
        <v>30</v>
      </c>
      <c r="K47" s="3" t="n">
        <v>30</v>
      </c>
      <c r="L47" s="3" t="n">
        <v>30</v>
      </c>
    </row>
    <row r="48" customFormat="false" ht="15" hidden="false" customHeight="false" outlineLevel="0" collapsed="false">
      <c r="A48" s="0" t="s">
        <v>103</v>
      </c>
      <c r="B48" s="3" t="n">
        <v>9</v>
      </c>
    </row>
    <row r="49" customFormat="false" ht="15" hidden="false" customHeight="false" outlineLevel="0" collapsed="false">
      <c r="A49" s="0" t="s">
        <v>104</v>
      </c>
      <c r="B49" s="3" t="n">
        <v>2.5</v>
      </c>
    </row>
    <row r="50" customFormat="false" ht="15" hidden="false" customHeight="false" outlineLevel="0" collapsed="false">
      <c r="A50" s="0" t="s">
        <v>105</v>
      </c>
      <c r="B50" s="3" t="n">
        <v>12</v>
      </c>
    </row>
    <row r="51" customFormat="false" ht="15" hidden="false" customHeight="false" outlineLevel="0" collapsed="false">
      <c r="A51" s="0" t="s">
        <v>106</v>
      </c>
      <c r="B51" s="3" t="n">
        <v>-14</v>
      </c>
    </row>
    <row r="52" customFormat="false" ht="15" hidden="false" customHeight="false" outlineLevel="0" collapsed="false">
      <c r="A52" s="0" t="s">
        <v>107</v>
      </c>
      <c r="B52" s="3" t="n">
        <v>0.25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110</v>
      </c>
    </row>
    <row r="3" customFormat="false" ht="15" hidden="false" customHeight="false" outlineLevel="0" collapsed="false">
      <c r="A3" s="0" t="s">
        <v>111</v>
      </c>
      <c r="B3" s="0" t="s">
        <v>72</v>
      </c>
      <c r="C3" s="2" t="s">
        <v>86</v>
      </c>
      <c r="D3" s="2" t="s">
        <v>87</v>
      </c>
      <c r="E3" s="2" t="s">
        <v>88</v>
      </c>
      <c r="F3" s="2" t="s">
        <v>89</v>
      </c>
      <c r="G3" s="2" t="s">
        <v>90</v>
      </c>
      <c r="H3" s="2" t="s">
        <v>91</v>
      </c>
      <c r="I3" s="2" t="s">
        <v>92</v>
      </c>
      <c r="J3" s="2" t="s">
        <v>93</v>
      </c>
      <c r="K3" s="2" t="s">
        <v>94</v>
      </c>
      <c r="L3" s="2" t="s">
        <v>95</v>
      </c>
    </row>
    <row r="4" customFormat="false" ht="15" hidden="false" customHeight="false" outlineLevel="0" collapsed="false">
      <c r="A4" s="0" t="s">
        <v>112</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96</v>
      </c>
      <c r="C5" s="4" t="n">
        <f aca="false">Assumptions!C13</f>
        <v>-4</v>
      </c>
      <c r="D5" s="4" t="n">
        <f aca="false">Assumptions!D13</f>
        <v>1</v>
      </c>
      <c r="E5" s="4" t="n">
        <f aca="false">Assumptions!E13</f>
        <v>3</v>
      </c>
      <c r="F5" s="4" t="n">
        <f aca="false">Assumptions!F13</f>
        <v>3</v>
      </c>
      <c r="G5" s="4" t="n">
        <f aca="false">Assumptions!G13</f>
        <v>2.5</v>
      </c>
      <c r="H5" s="4" t="n">
        <f aca="false">Assumptions!H13</f>
        <v>2</v>
      </c>
      <c r="I5" s="4" t="n">
        <f aca="false">Assumptions!I13</f>
        <v>2</v>
      </c>
      <c r="J5" s="4" t="n">
        <f aca="false">Assumptions!J13</f>
        <v>2</v>
      </c>
      <c r="K5" s="4" t="n">
        <f aca="false">Assumptions!K13</f>
        <v>1.5</v>
      </c>
      <c r="L5" s="4" t="n">
        <f aca="false">Assumptions!L13</f>
        <v>1.5</v>
      </c>
    </row>
    <row r="6" customFormat="false" ht="15" hidden="false" customHeight="false" outlineLevel="0" collapsed="false">
      <c r="A6" s="0" t="s">
        <v>37</v>
      </c>
      <c r="B6" s="3" t="n">
        <v>32170</v>
      </c>
      <c r="C6" s="0" t="n">
        <f aca="false">B6*(1+C5/100)</f>
        <v>30883.2</v>
      </c>
      <c r="D6" s="0" t="n">
        <f aca="false">C6*(1+D5/100)</f>
        <v>31192.032</v>
      </c>
      <c r="E6" s="0" t="n">
        <f aca="false">D6*(1+E5/100)</f>
        <v>32127.79296</v>
      </c>
      <c r="F6" s="0" t="n">
        <f aca="false">E6*(1+F5/100)</f>
        <v>33091.6267488</v>
      </c>
      <c r="G6" s="0" t="n">
        <f aca="false">F6*(1+G5/100)</f>
        <v>33918.91741752</v>
      </c>
      <c r="H6" s="0" t="n">
        <f aca="false">G6*(1+H5/100)</f>
        <v>34597.2957658704</v>
      </c>
      <c r="I6" s="0" t="n">
        <f aca="false">H6*(1+I5/100)</f>
        <v>35289.2416811878</v>
      </c>
      <c r="J6" s="0" t="n">
        <f aca="false">I6*(1+J5/100)</f>
        <v>35995.0265148116</v>
      </c>
      <c r="K6" s="0" t="n">
        <f aca="false">J6*(1+K5/100)</f>
        <v>36534.9519125337</v>
      </c>
      <c r="L6" s="0" t="n">
        <f aca="false">K6*(1+L5/100)</f>
        <v>37082.9761912217</v>
      </c>
    </row>
    <row r="7" customFormat="false" ht="15" hidden="false" customHeight="false" outlineLevel="0" collapsed="false">
      <c r="A7" s="0" t="s">
        <v>97</v>
      </c>
      <c r="C7" s="4" t="n">
        <f aca="false">Assumptions!C14</f>
        <v>15</v>
      </c>
      <c r="D7" s="4" t="n">
        <f aca="false">Assumptions!D14</f>
        <v>16</v>
      </c>
      <c r="E7" s="4" t="n">
        <f aca="false">Assumptions!E14</f>
        <v>17</v>
      </c>
      <c r="F7" s="4" t="n">
        <f aca="false">Assumptions!F14</f>
        <v>17.5</v>
      </c>
      <c r="G7" s="4" t="n">
        <f aca="false">Assumptions!G14</f>
        <v>18</v>
      </c>
      <c r="H7" s="4" t="n">
        <f aca="false">Assumptions!H14</f>
        <v>18</v>
      </c>
      <c r="I7" s="4" t="n">
        <f aca="false">Assumptions!I14</f>
        <v>18</v>
      </c>
      <c r="J7" s="4" t="n">
        <f aca="false">Assumptions!J14</f>
        <v>18</v>
      </c>
      <c r="K7" s="4" t="n">
        <f aca="false">Assumptions!K14</f>
        <v>18</v>
      </c>
      <c r="L7" s="4" t="n">
        <f aca="false">Assumptions!L14</f>
        <v>18</v>
      </c>
    </row>
    <row r="8" customFormat="false" ht="15" hidden="false" customHeight="false" outlineLevel="0" collapsed="false">
      <c r="A8" s="0" t="s">
        <v>43</v>
      </c>
      <c r="C8" s="0" t="n">
        <f aca="false">C6*C7/100</f>
        <v>4632.48</v>
      </c>
      <c r="D8" s="0" t="n">
        <f aca="false">D6*D7/100</f>
        <v>4990.72512</v>
      </c>
      <c r="E8" s="0" t="n">
        <f aca="false">E6*E7/100</f>
        <v>5461.7248032</v>
      </c>
      <c r="F8" s="0" t="n">
        <f aca="false">F6*F7/100</f>
        <v>5791.03468104</v>
      </c>
      <c r="G8" s="0" t="n">
        <f aca="false">G6*G7/100</f>
        <v>6105.4051351536</v>
      </c>
      <c r="H8" s="0" t="n">
        <f aca="false">H6*H7/100</f>
        <v>6227.51323785667</v>
      </c>
      <c r="I8" s="0" t="n">
        <f aca="false">I6*I7/100</f>
        <v>6352.0635026138</v>
      </c>
      <c r="J8" s="0" t="n">
        <f aca="false">J6*J7/100</f>
        <v>6479.10477266608</v>
      </c>
      <c r="K8" s="0" t="n">
        <f aca="false">K6*K7/100</f>
        <v>6576.29134425607</v>
      </c>
      <c r="L8" s="0" t="n">
        <f aca="false">L6*L7/100</f>
        <v>6674.93571441991</v>
      </c>
    </row>
    <row r="9" customFormat="false" ht="15" hidden="false" customHeight="false" outlineLevel="0" collapsed="false">
      <c r="A9" s="0" t="s">
        <v>98</v>
      </c>
      <c r="C9" s="4" t="n">
        <f aca="false">Assumptions!C15</f>
        <v>0</v>
      </c>
      <c r="D9" s="4" t="n">
        <f aca="false">Assumptions!D15</f>
        <v>0</v>
      </c>
      <c r="E9" s="4" t="n">
        <f aca="false">Assumptions!E15</f>
        <v>0</v>
      </c>
      <c r="F9" s="4" t="n">
        <f aca="false">Assumptions!F15</f>
        <v>0</v>
      </c>
      <c r="G9" s="4" t="n">
        <f aca="false">Assumptions!G15</f>
        <v>0</v>
      </c>
      <c r="H9" s="4" t="n">
        <f aca="false">Assumptions!H15</f>
        <v>0</v>
      </c>
      <c r="I9" s="4" t="n">
        <f aca="false">Assumptions!I15</f>
        <v>0</v>
      </c>
      <c r="J9" s="4" t="n">
        <f aca="false">Assumptions!J15</f>
        <v>0</v>
      </c>
      <c r="K9" s="4" t="n">
        <f aca="false">Assumptions!K15</f>
        <v>0</v>
      </c>
      <c r="L9" s="4" t="n">
        <f aca="false">Assumptions!L15</f>
        <v>0</v>
      </c>
    </row>
    <row r="10" customFormat="false" ht="15" hidden="false" customHeight="false" outlineLevel="0" collapsed="false">
      <c r="A10" s="0" t="s">
        <v>113</v>
      </c>
      <c r="C10" s="0" t="n">
        <f aca="false">-C6*C9/100</f>
        <v>-0</v>
      </c>
      <c r="D10" s="0" t="n">
        <f aca="false">-D6*D9/100</f>
        <v>-0</v>
      </c>
      <c r="E10" s="0" t="n">
        <f aca="false">-E6*E9/100</f>
        <v>-0</v>
      </c>
      <c r="F10" s="0" t="n">
        <f aca="false">-F6*F9/100</f>
        <v>-0</v>
      </c>
      <c r="G10" s="0" t="n">
        <f aca="false">-G6*G9/100</f>
        <v>-0</v>
      </c>
      <c r="H10" s="0" t="n">
        <f aca="false">-H6*H9/100</f>
        <v>-0</v>
      </c>
      <c r="I10" s="0" t="n">
        <f aca="false">-I6*I9/100</f>
        <v>-0</v>
      </c>
      <c r="J10" s="0" t="n">
        <f aca="false">-J6*J9/100</f>
        <v>-0</v>
      </c>
      <c r="K10" s="0" t="n">
        <f aca="false">-K6*K9/100</f>
        <v>-0</v>
      </c>
      <c r="L10" s="0" t="n">
        <f aca="false">-L6*L9/100</f>
        <v>-0</v>
      </c>
    </row>
    <row r="11" customFormat="false" ht="15" hidden="false" customHeight="false" outlineLevel="0" collapsed="false">
      <c r="A11" s="0" t="s">
        <v>114</v>
      </c>
      <c r="C11" s="0" t="n">
        <f aca="false">C8+C10+C24</f>
        <v>4632.48</v>
      </c>
      <c r="D11" s="0" t="n">
        <f aca="false">D8+D10+D24</f>
        <v>4990.72512</v>
      </c>
      <c r="E11" s="0" t="n">
        <f aca="false">E8+E10+E24</f>
        <v>5461.7248032</v>
      </c>
      <c r="F11" s="0" t="n">
        <f aca="false">F8+F10+F24</f>
        <v>5791.03468104</v>
      </c>
      <c r="G11" s="0" t="n">
        <f aca="false">G8+G10+G24</f>
        <v>6105.4051351536</v>
      </c>
      <c r="H11" s="0" t="n">
        <f aca="false">H8+H10+H24</f>
        <v>6227.51323785667</v>
      </c>
      <c r="I11" s="0" t="n">
        <f aca="false">I8+I10+I24</f>
        <v>6352.0635026138</v>
      </c>
      <c r="J11" s="0" t="n">
        <f aca="false">J8+J10+J24</f>
        <v>6479.10477266608</v>
      </c>
      <c r="K11" s="0" t="n">
        <f aca="false">K8+K10+K24</f>
        <v>6576.29134425607</v>
      </c>
      <c r="L11" s="0" t="n">
        <f aca="false">L8+L10+L24</f>
        <v>6674.93571441991</v>
      </c>
    </row>
    <row r="12" customFormat="false" ht="15" hidden="false" customHeight="false" outlineLevel="0" collapsed="false">
      <c r="A12" s="0" t="s">
        <v>115</v>
      </c>
      <c r="C12" s="4" t="n">
        <f aca="false">-C6*Assumptions!C17/100</f>
        <v>-3026.5536</v>
      </c>
      <c r="D12" s="4" t="n">
        <f aca="false">-D6*Assumptions!D17/100</f>
        <v>-3025.627104</v>
      </c>
      <c r="E12" s="4" t="n">
        <f aca="false">-E6*Assumptions!E17/100</f>
        <v>-3052.1403312</v>
      </c>
      <c r="F12" s="4" t="n">
        <f aca="false">-F6*Assumptions!F17/100</f>
        <v>-3077.5212876384</v>
      </c>
      <c r="G12" s="4" t="n">
        <f aca="false">-G6*Assumptions!G17/100</f>
        <v>-3052.7025675768</v>
      </c>
      <c r="H12" s="4" t="n">
        <f aca="false">-H6*Assumptions!H17/100</f>
        <v>-3113.75661892834</v>
      </c>
      <c r="I12" s="4" t="n">
        <f aca="false">-I6*Assumptions!I17/100</f>
        <v>-3176.0317513069</v>
      </c>
      <c r="J12" s="4" t="n">
        <f aca="false">-J6*Assumptions!J17/100</f>
        <v>-3239.55238633304</v>
      </c>
      <c r="K12" s="4" t="n">
        <f aca="false">-K6*Assumptions!K17/100</f>
        <v>-3288.14567212804</v>
      </c>
      <c r="L12" s="4" t="n">
        <f aca="false">-L6*Assumptions!L17/100</f>
        <v>-3337.46785720996</v>
      </c>
    </row>
    <row r="13" customFormat="false" ht="15" hidden="false" customHeight="false" outlineLevel="0" collapsed="false">
      <c r="A13" s="0" t="s">
        <v>116</v>
      </c>
      <c r="C13" s="0" t="n">
        <f aca="false">C11+C12</f>
        <v>1605.9264</v>
      </c>
      <c r="D13" s="0" t="n">
        <f aca="false">D11+D12</f>
        <v>1965.098016</v>
      </c>
      <c r="E13" s="0" t="n">
        <f aca="false">E11+E12</f>
        <v>2409.584472</v>
      </c>
      <c r="F13" s="0" t="n">
        <f aca="false">F11+F12</f>
        <v>2713.5133934016</v>
      </c>
      <c r="G13" s="0" t="n">
        <f aca="false">G11+G12</f>
        <v>3052.7025675768</v>
      </c>
      <c r="H13" s="0" t="n">
        <f aca="false">H11+H12</f>
        <v>3113.75661892834</v>
      </c>
      <c r="I13" s="0" t="n">
        <f aca="false">I11+I12</f>
        <v>3176.0317513069</v>
      </c>
      <c r="J13" s="0" t="n">
        <f aca="false">J11+J12</f>
        <v>3239.55238633304</v>
      </c>
      <c r="K13" s="0" t="n">
        <f aca="false">K11+K12</f>
        <v>3288.14567212804</v>
      </c>
      <c r="L13" s="0" t="n">
        <f aca="false">L11+L12</f>
        <v>3337.46785720996</v>
      </c>
    </row>
    <row r="14" customFormat="false" ht="15" hidden="false" customHeight="false" outlineLevel="0" collapsed="false">
      <c r="A14" s="0" t="s">
        <v>102</v>
      </c>
      <c r="C14" s="4" t="n">
        <f aca="false">Assumptions!C19</f>
        <v>30</v>
      </c>
      <c r="D14" s="4" t="n">
        <f aca="false">Assumptions!D19</f>
        <v>30</v>
      </c>
      <c r="E14" s="4" t="n">
        <f aca="false">Assumptions!E19</f>
        <v>30</v>
      </c>
      <c r="F14" s="4" t="n">
        <f aca="false">Assumptions!F19</f>
        <v>30</v>
      </c>
      <c r="G14" s="4" t="n">
        <f aca="false">Assumptions!G19</f>
        <v>30</v>
      </c>
      <c r="H14" s="4" t="n">
        <f aca="false">Assumptions!H19</f>
        <v>30</v>
      </c>
      <c r="I14" s="4" t="n">
        <f aca="false">Assumptions!I19</f>
        <v>30</v>
      </c>
      <c r="J14" s="4" t="n">
        <f aca="false">Assumptions!J19</f>
        <v>30</v>
      </c>
      <c r="K14" s="4" t="n">
        <f aca="false">Assumptions!K19</f>
        <v>30</v>
      </c>
      <c r="L14" s="4" t="n">
        <f aca="false">Assumptions!L19</f>
        <v>30</v>
      </c>
    </row>
    <row r="15" customFormat="false" ht="15" hidden="false" customHeight="false" outlineLevel="0" collapsed="false">
      <c r="A15" s="0" t="s">
        <v>117</v>
      </c>
      <c r="C15" s="0" t="n">
        <f aca="false">C13-MAX(0,C13)*C14/100</f>
        <v>1124.14848</v>
      </c>
      <c r="D15" s="0" t="n">
        <f aca="false">D13-MAX(0,D13)*D14/100</f>
        <v>1375.5686112</v>
      </c>
      <c r="E15" s="0" t="n">
        <f aca="false">E13-MAX(0,E13)*E14/100</f>
        <v>1686.7091304</v>
      </c>
      <c r="F15" s="0" t="n">
        <f aca="false">F13-MAX(0,F13)*F14/100</f>
        <v>1899.45937538112</v>
      </c>
      <c r="G15" s="0" t="n">
        <f aca="false">G13-MAX(0,G13)*G14/100</f>
        <v>2136.89179730376</v>
      </c>
      <c r="H15" s="0" t="n">
        <f aca="false">H13-MAX(0,H13)*H14/100</f>
        <v>2179.62963324983</v>
      </c>
      <c r="I15" s="0" t="n">
        <f aca="false">I13-MAX(0,I13)*I14/100</f>
        <v>2223.22222591483</v>
      </c>
      <c r="J15" s="0" t="n">
        <f aca="false">J13-MAX(0,J13)*J14/100</f>
        <v>2267.68667043313</v>
      </c>
      <c r="K15" s="0" t="n">
        <f aca="false">K13-MAX(0,K13)*K14/100</f>
        <v>2301.70197048962</v>
      </c>
      <c r="L15" s="0" t="n">
        <f aca="false">L13-MAX(0,L13)*L14/100</f>
        <v>2336.22750004697</v>
      </c>
    </row>
    <row r="16" customFormat="false" ht="15" hidden="false" customHeight="false" outlineLevel="0" collapsed="false">
      <c r="A16" s="0" t="s">
        <v>118</v>
      </c>
      <c r="C16" s="0" t="n">
        <f aca="false">-C12</f>
        <v>3026.5536</v>
      </c>
      <c r="D16" s="0" t="n">
        <f aca="false">-D12</f>
        <v>3025.627104</v>
      </c>
      <c r="E16" s="0" t="n">
        <f aca="false">-E12</f>
        <v>3052.1403312</v>
      </c>
      <c r="F16" s="0" t="n">
        <f aca="false">-F12</f>
        <v>3077.5212876384</v>
      </c>
      <c r="G16" s="0" t="n">
        <f aca="false">-G12</f>
        <v>3052.7025675768</v>
      </c>
      <c r="H16" s="0" t="n">
        <f aca="false">-H12</f>
        <v>3113.75661892834</v>
      </c>
      <c r="I16" s="0" t="n">
        <f aca="false">-I12</f>
        <v>3176.0317513069</v>
      </c>
      <c r="J16" s="0" t="n">
        <f aca="false">-J12</f>
        <v>3239.55238633304</v>
      </c>
      <c r="K16" s="0" t="n">
        <f aca="false">-K12</f>
        <v>3288.14567212804</v>
      </c>
      <c r="L16" s="0" t="n">
        <f aca="false">-L12</f>
        <v>3337.46785720996</v>
      </c>
    </row>
    <row r="17" customFormat="false" ht="15" hidden="false" customHeight="false" outlineLevel="0" collapsed="false">
      <c r="A17" s="0" t="s">
        <v>119</v>
      </c>
      <c r="C17" s="4" t="n">
        <f aca="false">-C6*Assumptions!C18/100</f>
        <v>-3088.32</v>
      </c>
      <c r="D17" s="4" t="n">
        <f aca="false">-D6*Assumptions!D18/100</f>
        <v>-3119.2032</v>
      </c>
      <c r="E17" s="4" t="n">
        <f aca="false">-E6*Assumptions!E18/100</f>
        <v>-3148.52371008</v>
      </c>
      <c r="F17" s="4" t="n">
        <f aca="false">-F6*Assumptions!F18/100</f>
        <v>-3143.704541136</v>
      </c>
      <c r="G17" s="4" t="n">
        <f aca="false">-G6*Assumptions!G18/100</f>
        <v>-3222.2971546644</v>
      </c>
      <c r="H17" s="4" t="n">
        <f aca="false">-H6*Assumptions!H18/100</f>
        <v>-3286.74309775769</v>
      </c>
      <c r="I17" s="4" t="n">
        <f aca="false">-I6*Assumptions!I18/100</f>
        <v>-3352.47795971284</v>
      </c>
      <c r="J17" s="4" t="n">
        <f aca="false">-J6*Assumptions!J18/100</f>
        <v>-3419.5275189071</v>
      </c>
      <c r="K17" s="4" t="n">
        <f aca="false">-K6*Assumptions!K18/100</f>
        <v>-3470.8204316907</v>
      </c>
      <c r="L17" s="4" t="n">
        <f aca="false">-L6*Assumptions!L18/100</f>
        <v>-3522.88273816606</v>
      </c>
    </row>
    <row r="18" customFormat="false" ht="15" hidden="false" customHeight="false" outlineLevel="0" collapsed="false">
      <c r="A18" s="0" t="s">
        <v>120</v>
      </c>
      <c r="C18" s="4" t="n">
        <f aca="false">(C6-B6)*Assumptions!$B$23/100</f>
        <v>180.152</v>
      </c>
      <c r="D18" s="4" t="n">
        <f aca="false">(D6-C6)*Assumptions!$B$23/100</f>
        <v>-43.2364799999998</v>
      </c>
      <c r="E18" s="4" t="n">
        <f aca="false">(E6-D6)*Assumptions!$B$23/100</f>
        <v>-131.0065344</v>
      </c>
      <c r="F18" s="4" t="n">
        <f aca="false">(F6-E6)*Assumptions!$B$23/100</f>
        <v>-134.936730432</v>
      </c>
      <c r="G18" s="4" t="n">
        <f aca="false">(G6-F6)*Assumptions!$B$23/100</f>
        <v>-115.820693620799</v>
      </c>
      <c r="H18" s="4" t="n">
        <f aca="false">(H6-G6)*Assumptions!$B$23/100</f>
        <v>-94.9729687690562</v>
      </c>
      <c r="I18" s="4" t="n">
        <f aca="false">(I6-H6)*Assumptions!$B$23/100</f>
        <v>-96.8724281444374</v>
      </c>
      <c r="J18" s="4" t="n">
        <f aca="false">(J6-I6)*Assumptions!$B$23/100</f>
        <v>-98.8098767073262</v>
      </c>
      <c r="K18" s="4" t="n">
        <f aca="false">(K6-J6)*Assumptions!$B$23/100</f>
        <v>-75.5895556811034</v>
      </c>
      <c r="L18" s="4" t="n">
        <f aca="false">(L6-K6)*Assumptions!$B$23/100</f>
        <v>-76.7233990163206</v>
      </c>
    </row>
    <row r="19" customFormat="false" ht="15" hidden="false" customHeight="false" outlineLevel="0" collapsed="false">
      <c r="A19" s="0" t="s">
        <v>121</v>
      </c>
      <c r="C19" s="0" t="n">
        <f aca="false">C15+C16+C17+C18</f>
        <v>1242.53408</v>
      </c>
      <c r="D19" s="0" t="n">
        <f aca="false">D15+D16+D17+D18</f>
        <v>1238.7560352</v>
      </c>
      <c r="E19" s="0" t="n">
        <f aca="false">E15+E16+E17+E18</f>
        <v>1459.31921712</v>
      </c>
      <c r="F19" s="0" t="n">
        <f aca="false">F15+F16+F17+F18</f>
        <v>1698.33939145152</v>
      </c>
      <c r="G19" s="0" t="n">
        <f aca="false">G15+G16+G17+G18</f>
        <v>1851.47651659536</v>
      </c>
      <c r="H19" s="0" t="n">
        <f aca="false">H15+H16+H17+H18</f>
        <v>1911.67018565142</v>
      </c>
      <c r="I19" s="0" t="n">
        <f aca="false">I15+I16+I17+I18</f>
        <v>1949.90358936446</v>
      </c>
      <c r="J19" s="0" t="n">
        <f aca="false">J15+J16+J17+J18</f>
        <v>1988.90166115174</v>
      </c>
      <c r="K19" s="0" t="n">
        <f aca="false">K15+K16+K17+K18</f>
        <v>2043.43765524585</v>
      </c>
      <c r="L19" s="0" t="n">
        <f aca="false">L15+L16+L17+L18</f>
        <v>2074.08922007454</v>
      </c>
    </row>
    <row r="20" customFormat="false" ht="15" hidden="false" customHeight="false" outlineLevel="0" collapsed="false">
      <c r="A20" s="0" t="s">
        <v>122</v>
      </c>
      <c r="C20" s="0" t="n">
        <f aca="false">1/(1+$B$27/100)^C4</f>
        <v>0.91743119266055</v>
      </c>
      <c r="D20" s="0" t="n">
        <f aca="false">1/(1+$B$27/100)^D4</f>
        <v>0.84167999326656</v>
      </c>
      <c r="E20" s="0" t="n">
        <f aca="false">1/(1+$B$27/100)^E4</f>
        <v>0.772183480061064</v>
      </c>
      <c r="F20" s="0" t="n">
        <f aca="false">1/(1+$B$27/100)^F4</f>
        <v>0.708425211065196</v>
      </c>
      <c r="G20" s="0" t="n">
        <f aca="false">1/(1+$B$27/100)^G4</f>
        <v>0.649931386298345</v>
      </c>
      <c r="H20" s="0" t="n">
        <f aca="false">1/(1+$B$27/100)^H4</f>
        <v>0.596267326879216</v>
      </c>
      <c r="I20" s="0" t="n">
        <f aca="false">1/(1+$B$27/100)^I4</f>
        <v>0.547034244843317</v>
      </c>
      <c r="J20" s="0" t="n">
        <f aca="false">1/(1+$B$27/100)^J4</f>
        <v>0.501866279672768</v>
      </c>
      <c r="K20" s="0" t="n">
        <f aca="false">1/(1+$B$27/100)^K4</f>
        <v>0.460427779516301</v>
      </c>
      <c r="L20" s="0" t="n">
        <f aca="false">1/(1+$B$27/100)^L4</f>
        <v>0.422410806895689</v>
      </c>
    </row>
    <row r="21" customFormat="false" ht="15" hidden="false" customHeight="false" outlineLevel="0" collapsed="false">
      <c r="A21" s="0" t="s">
        <v>123</v>
      </c>
      <c r="C21" s="0" t="n">
        <f aca="false">C19*C20</f>
        <v>1139.93952293578</v>
      </c>
      <c r="D21" s="0" t="n">
        <f aca="false">D19*D20</f>
        <v>1042.63617136605</v>
      </c>
      <c r="E21" s="0" t="n">
        <f aca="false">E19*E20</f>
        <v>1126.86219159571</v>
      </c>
      <c r="F21" s="0" t="n">
        <f aca="false">F19*F20</f>
        <v>1203.14644184938</v>
      </c>
      <c r="G21" s="0" t="n">
        <f aca="false">G19*G20</f>
        <v>1203.33269912965</v>
      </c>
      <c r="H21" s="0" t="n">
        <f aca="false">H19*H20</f>
        <v>1139.86647147307</v>
      </c>
      <c r="I21" s="0" t="n">
        <f aca="false">I19*I20</f>
        <v>1066.66403752526</v>
      </c>
      <c r="J21" s="0" t="n">
        <f aca="false">J19*J20</f>
        <v>998.162677317214</v>
      </c>
      <c r="K21" s="0" t="n">
        <f aca="false">K19*K20</f>
        <v>940.855462184844</v>
      </c>
      <c r="L21" s="0" t="n">
        <f aca="false">L19*L20</f>
        <v>876.117701025336</v>
      </c>
    </row>
    <row r="23" customFormat="false" ht="15" hidden="false" customHeight="false" outlineLevel="0" collapsed="false">
      <c r="A23" s="0" t="s">
        <v>99</v>
      </c>
      <c r="C23" s="4" t="n">
        <f aca="false">Assumptions!C16</f>
        <v>0</v>
      </c>
      <c r="D23" s="4" t="n">
        <f aca="false">Assumptions!D16</f>
        <v>0</v>
      </c>
      <c r="E23" s="4" t="n">
        <f aca="false">Assumptions!E16</f>
        <v>0</v>
      </c>
      <c r="F23" s="4" t="n">
        <f aca="false">Assumptions!F16</f>
        <v>0</v>
      </c>
      <c r="G23" s="4" t="n">
        <f aca="false">Assumptions!G16</f>
        <v>0</v>
      </c>
      <c r="H23" s="4" t="n">
        <f aca="false">Assumptions!H16</f>
        <v>0</v>
      </c>
      <c r="I23" s="4" t="n">
        <f aca="false">Assumptions!I16</f>
        <v>0</v>
      </c>
      <c r="J23" s="4" t="n">
        <f aca="false">Assumptions!J16</f>
        <v>0</v>
      </c>
      <c r="K23" s="4" t="n">
        <f aca="false">Assumptions!K16</f>
        <v>0</v>
      </c>
      <c r="L23" s="4" t="n">
        <f aca="false">Assumptions!L16</f>
        <v>0</v>
      </c>
    </row>
    <row r="24" customFormat="false" ht="15" hidden="false" customHeight="false" outlineLevel="0" collapsed="false">
      <c r="A24" s="0" t="s">
        <v>124</v>
      </c>
      <c r="C24" s="0" t="n">
        <f aca="false">-C6*C23/100</f>
        <v>-0</v>
      </c>
      <c r="D24" s="0" t="n">
        <f aca="false">-D6*D23/100</f>
        <v>-0</v>
      </c>
      <c r="E24" s="0" t="n">
        <f aca="false">-E6*E23/100</f>
        <v>-0</v>
      </c>
      <c r="F24" s="0" t="n">
        <f aca="false">-F6*F23/100</f>
        <v>-0</v>
      </c>
      <c r="G24" s="0" t="n">
        <f aca="false">-G6*G23/100</f>
        <v>-0</v>
      </c>
      <c r="H24" s="0" t="n">
        <f aca="false">-H6*H23/100</f>
        <v>-0</v>
      </c>
      <c r="I24" s="0" t="n">
        <f aca="false">-I6*I23/100</f>
        <v>-0</v>
      </c>
      <c r="J24" s="0" t="n">
        <f aca="false">-J6*J23/100</f>
        <v>-0</v>
      </c>
      <c r="K24" s="0" t="n">
        <f aca="false">-K6*K23/100</f>
        <v>-0</v>
      </c>
      <c r="L24" s="0" t="n">
        <f aca="false">-L6*L23/100</f>
        <v>-0</v>
      </c>
    </row>
    <row r="26" customFormat="false" ht="15" hidden="false" customHeight="false" outlineLevel="0" collapsed="false">
      <c r="A26" s="2" t="s">
        <v>125</v>
      </c>
    </row>
    <row r="27" customFormat="false" ht="15" hidden="false" customHeight="false" outlineLevel="0" collapsed="false">
      <c r="A27" s="0" t="s">
        <v>103</v>
      </c>
      <c r="B27" s="4" t="n">
        <f aca="false">Assumptions!$B$20</f>
        <v>9</v>
      </c>
    </row>
    <row r="28" customFormat="false" ht="15" hidden="false" customHeight="false" outlineLevel="0" collapsed="false">
      <c r="A28" s="0" t="s">
        <v>104</v>
      </c>
      <c r="B28" s="4" t="n">
        <f aca="false">Assumptions!$B$21</f>
        <v>1.5</v>
      </c>
    </row>
    <row r="29" customFormat="false" ht="15" hidden="false" customHeight="false" outlineLevel="0" collapsed="false">
      <c r="A29" s="0" t="s">
        <v>105</v>
      </c>
      <c r="B29" s="4" t="n">
        <f aca="false">Assumptions!$B$22</f>
        <v>12</v>
      </c>
    </row>
    <row r="30" customFormat="false" ht="15" hidden="false" customHeight="false" outlineLevel="0" collapsed="false">
      <c r="A30" s="0" t="s">
        <v>126</v>
      </c>
      <c r="B30" s="0" t="n">
        <f aca="false">SUM(C21:L21)</f>
        <v>10737.5833764023</v>
      </c>
    </row>
    <row r="31" customFormat="false" ht="15" hidden="false" customHeight="false" outlineLevel="0" collapsed="false">
      <c r="A31" s="0" t="s">
        <v>127</v>
      </c>
      <c r="B31" s="0" t="n">
        <f aca="false">L19</f>
        <v>2074.08922007454</v>
      </c>
    </row>
    <row r="32" customFormat="false" ht="15" hidden="false" customHeight="false" outlineLevel="0" collapsed="false">
      <c r="A32" s="0" t="s">
        <v>128</v>
      </c>
      <c r="B32" s="0" t="n">
        <f aca="false">IF(B27&gt;B28,B31*(1+B28/100)/((B27-B28)/100),B31*B29)</f>
        <v>28069.3407783421</v>
      </c>
    </row>
    <row r="33" customFormat="false" ht="15" hidden="false" customHeight="false" outlineLevel="0" collapsed="false">
      <c r="A33" s="0" t="s">
        <v>129</v>
      </c>
      <c r="B33" s="0" t="n">
        <f aca="false">B31*B29</f>
        <v>24889.0706408945</v>
      </c>
    </row>
    <row r="34" customFormat="false" ht="15" hidden="false" customHeight="false" outlineLevel="0" collapsed="false">
      <c r="A34" s="0" t="s">
        <v>130</v>
      </c>
      <c r="B34" s="0" t="n">
        <f aca="false">MAX(0,MIN(B32,B33))</f>
        <v>24889.0706408945</v>
      </c>
    </row>
    <row r="35" customFormat="false" ht="15" hidden="false" customHeight="false" outlineLevel="0" collapsed="false">
      <c r="A35" s="0" t="s">
        <v>131</v>
      </c>
      <c r="B35" s="0" t="n">
        <f aca="false">B34/(1+B27/100)^L4</f>
        <v>10513.412412304</v>
      </c>
    </row>
    <row r="36" customFormat="false" ht="15" hidden="false" customHeight="false" outlineLevel="0" collapsed="false">
      <c r="A36" s="0" t="s">
        <v>132</v>
      </c>
      <c r="B36" s="0" t="n">
        <f aca="false">B30+B35</f>
        <v>21250.9957887063</v>
      </c>
    </row>
    <row r="37" customFormat="false" ht="15" hidden="false" customHeight="false" outlineLevel="0" collapsed="false">
      <c r="A37" s="0" t="s">
        <v>133</v>
      </c>
      <c r="B37" s="0" t="n">
        <f aca="false">B36+Assumptions!$B$5-Assumptions!$B$4</f>
        <v>28332.9957887063</v>
      </c>
    </row>
    <row r="38" customFormat="false" ht="15" hidden="false" customHeight="false" outlineLevel="0" collapsed="false">
      <c r="A38" s="0" t="s">
        <v>134</v>
      </c>
      <c r="B38" s="0" t="n">
        <f aca="false">B37/Assumptions!$B$3*Assumptions!$B$10</f>
        <v>31.1009833026414</v>
      </c>
    </row>
    <row r="39" customFormat="false" ht="15" hidden="false" customHeight="false" outlineLevel="0" collapsed="false">
      <c r="A39" s="0" t="s">
        <v>135</v>
      </c>
      <c r="B39" s="4" t="n">
        <f aca="false">B38/Assumptions!$B$2-1</f>
        <v>-0.25238020907112</v>
      </c>
    </row>
    <row r="41" customFormat="false" ht="15" hidden="false" customHeight="false" outlineLevel="0" collapsed="false">
      <c r="A41" s="0" t="s">
        <v>136</v>
      </c>
      <c r="B41" s="0" t="n">
        <f aca="false">SUMPRODUCT(-C10:L10/(1+$B$27/100)^C4:L4)</f>
        <v>0</v>
      </c>
    </row>
    <row r="42" customFormat="false" ht="15" hidden="false" customHeight="false" outlineLevel="0" collapsed="false">
      <c r="A42" s="0" t="s">
        <v>137</v>
      </c>
      <c r="B42" s="0" t="n">
        <f aca="false">IF(B27&gt;B28,-L10*(1+B28/100)/((B27-B28)/100),-L10*20)/(1+B27/100)^L4</f>
        <v>0</v>
      </c>
    </row>
    <row r="43" customFormat="false" ht="15" hidden="false" customHeight="false" outlineLevel="0" collapsed="false">
      <c r="A43" s="0" t="s">
        <v>138</v>
      </c>
      <c r="B43" s="0" t="n">
        <f aca="false">(B37+B41+B42)/Assumptions!$B$3*Assumptions!$B$10</f>
        <v>31.1009833026414</v>
      </c>
    </row>
    <row r="45" customFormat="false" ht="15" hidden="false" customHeight="false" outlineLevel="0" collapsed="false">
      <c r="A45" s="0" t="s">
        <v>79</v>
      </c>
      <c r="B45" s="4" t="n">
        <f aca="false">Assumptions!$B$6</f>
        <v>15</v>
      </c>
    </row>
    <row r="46" customFormat="false" ht="15" hidden="false" customHeight="false" outlineLevel="0" collapsed="false">
      <c r="A46" s="0" t="s">
        <v>139</v>
      </c>
      <c r="B46" s="0" t="n">
        <f aca="false">MAX(0,MIN(IF(B45&gt;B28,B31*(1+B28/100)/((B45-B28)/100),B31*B29),B31*B29))</f>
        <v>15594.0782101901</v>
      </c>
    </row>
    <row r="47" customFormat="false" ht="15" hidden="false" customHeight="false" outlineLevel="0" collapsed="false">
      <c r="A47" s="0" t="s">
        <v>140</v>
      </c>
      <c r="B47" s="0" t="n">
        <f aca="false">(SUMPRODUCT(C19:L19/(1+B45/100)^C4:L4)+B46/(1+B45/100)^L4+Assumptions!$B$5-Assumptions!$B$4)/Assumptions!$B$3*Assumptions!$B$10</f>
        <v>20.9748272911794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141</v>
      </c>
    </row>
    <row r="3" customFormat="false" ht="15" hidden="false" customHeight="false" outlineLevel="0" collapsed="false">
      <c r="A3" s="0" t="s">
        <v>111</v>
      </c>
      <c r="B3" s="0" t="s">
        <v>72</v>
      </c>
      <c r="C3" s="2" t="s">
        <v>86</v>
      </c>
      <c r="D3" s="2" t="s">
        <v>87</v>
      </c>
      <c r="E3" s="2" t="s">
        <v>88</v>
      </c>
      <c r="F3" s="2" t="s">
        <v>89</v>
      </c>
      <c r="G3" s="2" t="s">
        <v>90</v>
      </c>
      <c r="H3" s="2" t="s">
        <v>91</v>
      </c>
      <c r="I3" s="2" t="s">
        <v>92</v>
      </c>
      <c r="J3" s="2" t="s">
        <v>93</v>
      </c>
      <c r="K3" s="2" t="s">
        <v>94</v>
      </c>
      <c r="L3" s="2" t="s">
        <v>95</v>
      </c>
    </row>
    <row r="4" customFormat="false" ht="15" hidden="false" customHeight="false" outlineLevel="0" collapsed="false">
      <c r="A4" s="0" t="s">
        <v>112</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96</v>
      </c>
      <c r="C5" s="4" t="n">
        <f aca="false">Assumptions!C27</f>
        <v>-2</v>
      </c>
      <c r="D5" s="4" t="n">
        <f aca="false">Assumptions!D27</f>
        <v>5</v>
      </c>
      <c r="E5" s="4" t="n">
        <f aca="false">Assumptions!E27</f>
        <v>6</v>
      </c>
      <c r="F5" s="4" t="n">
        <f aca="false">Assumptions!F27</f>
        <v>5</v>
      </c>
      <c r="G5" s="4" t="n">
        <f aca="false">Assumptions!G27</f>
        <v>4</v>
      </c>
      <c r="H5" s="4" t="n">
        <f aca="false">Assumptions!H27</f>
        <v>3</v>
      </c>
      <c r="I5" s="4" t="n">
        <f aca="false">Assumptions!I27</f>
        <v>3</v>
      </c>
      <c r="J5" s="4" t="n">
        <f aca="false">Assumptions!J27</f>
        <v>2.5</v>
      </c>
      <c r="K5" s="4" t="n">
        <f aca="false">Assumptions!K27</f>
        <v>2.5</v>
      </c>
      <c r="L5" s="4" t="n">
        <f aca="false">Assumptions!L27</f>
        <v>2.5</v>
      </c>
    </row>
    <row r="6" customFormat="false" ht="15" hidden="false" customHeight="false" outlineLevel="0" collapsed="false">
      <c r="A6" s="0" t="s">
        <v>37</v>
      </c>
      <c r="B6" s="3" t="n">
        <v>32170</v>
      </c>
      <c r="C6" s="0" t="n">
        <f aca="false">B6*(1+C5/100)</f>
        <v>31526.6</v>
      </c>
      <c r="D6" s="0" t="n">
        <f aca="false">C6*(1+D5/100)</f>
        <v>33102.93</v>
      </c>
      <c r="E6" s="0" t="n">
        <f aca="false">D6*(1+E5/100)</f>
        <v>35089.1058</v>
      </c>
      <c r="F6" s="0" t="n">
        <f aca="false">E6*(1+F5/100)</f>
        <v>36843.56109</v>
      </c>
      <c r="G6" s="0" t="n">
        <f aca="false">F6*(1+G5/100)</f>
        <v>38317.3035336</v>
      </c>
      <c r="H6" s="0" t="n">
        <f aca="false">G6*(1+H5/100)</f>
        <v>39466.822639608</v>
      </c>
      <c r="I6" s="0" t="n">
        <f aca="false">H6*(1+I5/100)</f>
        <v>40650.8273187963</v>
      </c>
      <c r="J6" s="0" t="n">
        <f aca="false">I6*(1+J5/100)</f>
        <v>41667.0980017662</v>
      </c>
      <c r="K6" s="0" t="n">
        <f aca="false">J6*(1+K5/100)</f>
        <v>42708.7754518103</v>
      </c>
      <c r="L6" s="0" t="n">
        <f aca="false">K6*(1+L5/100)</f>
        <v>43776.4948381056</v>
      </c>
    </row>
    <row r="7" customFormat="false" ht="15" hidden="false" customHeight="false" outlineLevel="0" collapsed="false">
      <c r="A7" s="0" t="s">
        <v>97</v>
      </c>
      <c r="C7" s="4" t="n">
        <f aca="false">Assumptions!C28</f>
        <v>16</v>
      </c>
      <c r="D7" s="4" t="n">
        <f aca="false">Assumptions!D28</f>
        <v>18.5</v>
      </c>
      <c r="E7" s="4" t="n">
        <f aca="false">Assumptions!E28</f>
        <v>20</v>
      </c>
      <c r="F7" s="4" t="n">
        <f aca="false">Assumptions!F28</f>
        <v>21</v>
      </c>
      <c r="G7" s="4" t="n">
        <f aca="false">Assumptions!G28</f>
        <v>21.5</v>
      </c>
      <c r="H7" s="4" t="n">
        <f aca="false">Assumptions!H28</f>
        <v>21.5</v>
      </c>
      <c r="I7" s="4" t="n">
        <f aca="false">Assumptions!I28</f>
        <v>21.5</v>
      </c>
      <c r="J7" s="4" t="n">
        <f aca="false">Assumptions!J28</f>
        <v>21.5</v>
      </c>
      <c r="K7" s="4" t="n">
        <f aca="false">Assumptions!K28</f>
        <v>21.5</v>
      </c>
      <c r="L7" s="4" t="n">
        <f aca="false">Assumptions!L28</f>
        <v>21.5</v>
      </c>
    </row>
    <row r="8" customFormat="false" ht="15" hidden="false" customHeight="false" outlineLevel="0" collapsed="false">
      <c r="A8" s="0" t="s">
        <v>43</v>
      </c>
      <c r="C8" s="0" t="n">
        <f aca="false">C6*C7/100</f>
        <v>5044.256</v>
      </c>
      <c r="D8" s="0" t="n">
        <f aca="false">D6*D7/100</f>
        <v>6124.04205</v>
      </c>
      <c r="E8" s="0" t="n">
        <f aca="false">E6*E7/100</f>
        <v>7017.82116</v>
      </c>
      <c r="F8" s="0" t="n">
        <f aca="false">F6*F7/100</f>
        <v>7737.1478289</v>
      </c>
      <c r="G8" s="0" t="n">
        <f aca="false">G6*G7/100</f>
        <v>8238.220259724</v>
      </c>
      <c r="H8" s="0" t="n">
        <f aca="false">H6*H7/100</f>
        <v>8485.36686751572</v>
      </c>
      <c r="I8" s="0" t="n">
        <f aca="false">I6*I7/100</f>
        <v>8739.9278735412</v>
      </c>
      <c r="J8" s="0" t="n">
        <f aca="false">J6*J7/100</f>
        <v>8958.42607037972</v>
      </c>
      <c r="K8" s="0" t="n">
        <f aca="false">K6*K7/100</f>
        <v>9182.38672213922</v>
      </c>
      <c r="L8" s="0" t="n">
        <f aca="false">L6*L7/100</f>
        <v>9411.9463901927</v>
      </c>
    </row>
    <row r="9" customFormat="false" ht="15" hidden="false" customHeight="false" outlineLevel="0" collapsed="false">
      <c r="A9" s="0" t="s">
        <v>98</v>
      </c>
      <c r="C9" s="4" t="n">
        <f aca="false">Assumptions!C29</f>
        <v>0</v>
      </c>
      <c r="D9" s="4" t="n">
        <f aca="false">Assumptions!D29</f>
        <v>0</v>
      </c>
      <c r="E9" s="4" t="n">
        <f aca="false">Assumptions!E29</f>
        <v>0</v>
      </c>
      <c r="F9" s="4" t="n">
        <f aca="false">Assumptions!F29</f>
        <v>0</v>
      </c>
      <c r="G9" s="4" t="n">
        <f aca="false">Assumptions!G29</f>
        <v>0</v>
      </c>
      <c r="H9" s="4" t="n">
        <f aca="false">Assumptions!H29</f>
        <v>0</v>
      </c>
      <c r="I9" s="4" t="n">
        <f aca="false">Assumptions!I29</f>
        <v>0</v>
      </c>
      <c r="J9" s="4" t="n">
        <f aca="false">Assumptions!J29</f>
        <v>0</v>
      </c>
      <c r="K9" s="4" t="n">
        <f aca="false">Assumptions!K29</f>
        <v>0</v>
      </c>
      <c r="L9" s="4" t="n">
        <f aca="false">Assumptions!L29</f>
        <v>0</v>
      </c>
    </row>
    <row r="10" customFormat="false" ht="15" hidden="false" customHeight="false" outlineLevel="0" collapsed="false">
      <c r="A10" s="0" t="s">
        <v>113</v>
      </c>
      <c r="C10" s="0" t="n">
        <f aca="false">-C6*C9/100</f>
        <v>-0</v>
      </c>
      <c r="D10" s="0" t="n">
        <f aca="false">-D6*D9/100</f>
        <v>-0</v>
      </c>
      <c r="E10" s="0" t="n">
        <f aca="false">-E6*E9/100</f>
        <v>-0</v>
      </c>
      <c r="F10" s="0" t="n">
        <f aca="false">-F6*F9/100</f>
        <v>-0</v>
      </c>
      <c r="G10" s="0" t="n">
        <f aca="false">-G6*G9/100</f>
        <v>-0</v>
      </c>
      <c r="H10" s="0" t="n">
        <f aca="false">-H6*H9/100</f>
        <v>-0</v>
      </c>
      <c r="I10" s="0" t="n">
        <f aca="false">-I6*I9/100</f>
        <v>-0</v>
      </c>
      <c r="J10" s="0" t="n">
        <f aca="false">-J6*J9/100</f>
        <v>-0</v>
      </c>
      <c r="K10" s="0" t="n">
        <f aca="false">-K6*K9/100</f>
        <v>-0</v>
      </c>
      <c r="L10" s="0" t="n">
        <f aca="false">-L6*L9/100</f>
        <v>-0</v>
      </c>
    </row>
    <row r="11" customFormat="false" ht="15" hidden="false" customHeight="false" outlineLevel="0" collapsed="false">
      <c r="A11" s="0" t="s">
        <v>114</v>
      </c>
      <c r="C11" s="0" t="n">
        <f aca="false">C8+C10+C24</f>
        <v>5044.256</v>
      </c>
      <c r="D11" s="0" t="n">
        <f aca="false">D8+D10+D24</f>
        <v>6124.04205</v>
      </c>
      <c r="E11" s="0" t="n">
        <f aca="false">E8+E10+E24</f>
        <v>7017.82116</v>
      </c>
      <c r="F11" s="0" t="n">
        <f aca="false">F8+F10+F24</f>
        <v>7737.1478289</v>
      </c>
      <c r="G11" s="0" t="n">
        <f aca="false">G8+G10+G24</f>
        <v>8238.220259724</v>
      </c>
      <c r="H11" s="0" t="n">
        <f aca="false">H8+H10+H24</f>
        <v>8485.36686751572</v>
      </c>
      <c r="I11" s="0" t="n">
        <f aca="false">I8+I10+I24</f>
        <v>8739.9278735412</v>
      </c>
      <c r="J11" s="0" t="n">
        <f aca="false">J8+J10+J24</f>
        <v>8958.42607037972</v>
      </c>
      <c r="K11" s="0" t="n">
        <f aca="false">K8+K10+K24</f>
        <v>9182.38672213922</v>
      </c>
      <c r="L11" s="0" t="n">
        <f aca="false">L8+L10+L24</f>
        <v>9411.9463901927</v>
      </c>
    </row>
    <row r="12" customFormat="false" ht="15" hidden="false" customHeight="false" outlineLevel="0" collapsed="false">
      <c r="A12" s="0" t="s">
        <v>115</v>
      </c>
      <c r="C12" s="4" t="n">
        <f aca="false">-C6*Assumptions!C31/100</f>
        <v>-3058.0802</v>
      </c>
      <c r="D12" s="4" t="n">
        <f aca="false">-D6*Assumptions!D31/100</f>
        <v>-3144.77835</v>
      </c>
      <c r="E12" s="4" t="n">
        <f aca="false">-E6*Assumptions!E31/100</f>
        <v>-3228.1977336</v>
      </c>
      <c r="F12" s="4" t="n">
        <f aca="false">-F6*Assumptions!F31/100</f>
        <v>-3315.9204981</v>
      </c>
      <c r="G12" s="4" t="n">
        <f aca="false">-G6*Assumptions!G31/100</f>
        <v>-3371.9227109568</v>
      </c>
      <c r="H12" s="4" t="n">
        <f aca="false">-H6*Assumptions!H31/100</f>
        <v>-3354.67992436668</v>
      </c>
      <c r="I12" s="4" t="n">
        <f aca="false">-I6*Assumptions!I31/100</f>
        <v>-3455.32032209768</v>
      </c>
      <c r="J12" s="4" t="n">
        <f aca="false">-J6*Assumptions!J31/100</f>
        <v>-3541.70333015012</v>
      </c>
      <c r="K12" s="4" t="n">
        <f aca="false">-K6*Assumptions!K31/100</f>
        <v>-3630.24591340388</v>
      </c>
      <c r="L12" s="4" t="n">
        <f aca="false">-L6*Assumptions!L31/100</f>
        <v>-3721.00206123897</v>
      </c>
    </row>
    <row r="13" customFormat="false" ht="15" hidden="false" customHeight="false" outlineLevel="0" collapsed="false">
      <c r="A13" s="0" t="s">
        <v>116</v>
      </c>
      <c r="C13" s="0" t="n">
        <f aca="false">C11+C12</f>
        <v>1986.1758</v>
      </c>
      <c r="D13" s="0" t="n">
        <f aca="false">D11+D12</f>
        <v>2979.2637</v>
      </c>
      <c r="E13" s="0" t="n">
        <f aca="false">E11+E12</f>
        <v>3789.6234264</v>
      </c>
      <c r="F13" s="0" t="n">
        <f aca="false">F11+F12</f>
        <v>4421.2273308</v>
      </c>
      <c r="G13" s="0" t="n">
        <f aca="false">G11+G12</f>
        <v>4866.2975487672</v>
      </c>
      <c r="H13" s="0" t="n">
        <f aca="false">H11+H12</f>
        <v>5130.68694314904</v>
      </c>
      <c r="I13" s="0" t="n">
        <f aca="false">I11+I12</f>
        <v>5284.60755144351</v>
      </c>
      <c r="J13" s="0" t="n">
        <f aca="false">J11+J12</f>
        <v>5416.7227402296</v>
      </c>
      <c r="K13" s="0" t="n">
        <f aca="false">K11+K12</f>
        <v>5552.14080873534</v>
      </c>
      <c r="L13" s="0" t="n">
        <f aca="false">L11+L12</f>
        <v>5690.94432895372</v>
      </c>
    </row>
    <row r="14" customFormat="false" ht="15" hidden="false" customHeight="false" outlineLevel="0" collapsed="false">
      <c r="A14" s="0" t="s">
        <v>102</v>
      </c>
      <c r="C14" s="4" t="n">
        <f aca="false">Assumptions!C33</f>
        <v>30</v>
      </c>
      <c r="D14" s="4" t="n">
        <f aca="false">Assumptions!D33</f>
        <v>30</v>
      </c>
      <c r="E14" s="4" t="n">
        <f aca="false">Assumptions!E33</f>
        <v>30</v>
      </c>
      <c r="F14" s="4" t="n">
        <f aca="false">Assumptions!F33</f>
        <v>30</v>
      </c>
      <c r="G14" s="4" t="n">
        <f aca="false">Assumptions!G33</f>
        <v>30</v>
      </c>
      <c r="H14" s="4" t="n">
        <f aca="false">Assumptions!H33</f>
        <v>30</v>
      </c>
      <c r="I14" s="4" t="n">
        <f aca="false">Assumptions!I33</f>
        <v>30</v>
      </c>
      <c r="J14" s="4" t="n">
        <f aca="false">Assumptions!J33</f>
        <v>30</v>
      </c>
      <c r="K14" s="4" t="n">
        <f aca="false">Assumptions!K33</f>
        <v>30</v>
      </c>
      <c r="L14" s="4" t="n">
        <f aca="false">Assumptions!L33</f>
        <v>30</v>
      </c>
    </row>
    <row r="15" customFormat="false" ht="15" hidden="false" customHeight="false" outlineLevel="0" collapsed="false">
      <c r="A15" s="0" t="s">
        <v>117</v>
      </c>
      <c r="C15" s="0" t="n">
        <f aca="false">C13-MAX(0,C13)*C14/100</f>
        <v>1390.32306</v>
      </c>
      <c r="D15" s="0" t="n">
        <f aca="false">D13-MAX(0,D13)*D14/100</f>
        <v>2085.48459</v>
      </c>
      <c r="E15" s="0" t="n">
        <f aca="false">E13-MAX(0,E13)*E14/100</f>
        <v>2652.73639848</v>
      </c>
      <c r="F15" s="0" t="n">
        <f aca="false">F13-MAX(0,F13)*F14/100</f>
        <v>3094.85913156</v>
      </c>
      <c r="G15" s="0" t="n">
        <f aca="false">G13-MAX(0,G13)*G14/100</f>
        <v>3406.40828413704</v>
      </c>
      <c r="H15" s="0" t="n">
        <f aca="false">H13-MAX(0,H13)*H14/100</f>
        <v>3591.48086020433</v>
      </c>
      <c r="I15" s="0" t="n">
        <f aca="false">I13-MAX(0,I13)*I14/100</f>
        <v>3699.22528601046</v>
      </c>
      <c r="J15" s="0" t="n">
        <f aca="false">J13-MAX(0,J13)*J14/100</f>
        <v>3791.70591816072</v>
      </c>
      <c r="K15" s="0" t="n">
        <f aca="false">K13-MAX(0,K13)*K14/100</f>
        <v>3886.49856611474</v>
      </c>
      <c r="L15" s="0" t="n">
        <f aca="false">L13-MAX(0,L13)*L14/100</f>
        <v>3983.66103026761</v>
      </c>
    </row>
    <row r="16" customFormat="false" ht="15" hidden="false" customHeight="false" outlineLevel="0" collapsed="false">
      <c r="A16" s="0" t="s">
        <v>118</v>
      </c>
      <c r="C16" s="0" t="n">
        <f aca="false">-C12</f>
        <v>3058.0802</v>
      </c>
      <c r="D16" s="0" t="n">
        <f aca="false">-D12</f>
        <v>3144.77835</v>
      </c>
      <c r="E16" s="0" t="n">
        <f aca="false">-E12</f>
        <v>3228.1977336</v>
      </c>
      <c r="F16" s="0" t="n">
        <f aca="false">-F12</f>
        <v>3315.9204981</v>
      </c>
      <c r="G16" s="0" t="n">
        <f aca="false">-G12</f>
        <v>3371.9227109568</v>
      </c>
      <c r="H16" s="0" t="n">
        <f aca="false">-H12</f>
        <v>3354.67992436668</v>
      </c>
      <c r="I16" s="0" t="n">
        <f aca="false">-I12</f>
        <v>3455.32032209768</v>
      </c>
      <c r="J16" s="0" t="n">
        <f aca="false">-J12</f>
        <v>3541.70333015012</v>
      </c>
      <c r="K16" s="0" t="n">
        <f aca="false">-K12</f>
        <v>3630.24591340388</v>
      </c>
      <c r="L16" s="0" t="n">
        <f aca="false">-L12</f>
        <v>3721.00206123897</v>
      </c>
    </row>
    <row r="17" customFormat="false" ht="15" hidden="false" customHeight="false" outlineLevel="0" collapsed="false">
      <c r="A17" s="0" t="s">
        <v>119</v>
      </c>
      <c r="C17" s="4" t="n">
        <f aca="false">-C6*Assumptions!C32/100</f>
        <v>-3089.6068</v>
      </c>
      <c r="D17" s="4" t="n">
        <f aca="false">-D6*Assumptions!D32/100</f>
        <v>-3244.08714</v>
      </c>
      <c r="E17" s="4" t="n">
        <f aca="false">-E6*Assumptions!E32/100</f>
        <v>-3368.5541568</v>
      </c>
      <c r="F17" s="4" t="n">
        <f aca="false">-F6*Assumptions!F32/100</f>
        <v>-3426.45118137</v>
      </c>
      <c r="G17" s="4" t="n">
        <f aca="false">-G6*Assumptions!G32/100</f>
        <v>-3448.557318024</v>
      </c>
      <c r="H17" s="4" t="n">
        <f aca="false">-H6*Assumptions!H32/100</f>
        <v>-3552.01403756472</v>
      </c>
      <c r="I17" s="4" t="n">
        <f aca="false">-I6*Assumptions!I32/100</f>
        <v>-3658.57445869166</v>
      </c>
      <c r="J17" s="4" t="n">
        <f aca="false">-J6*Assumptions!J32/100</f>
        <v>-3750.03882015895</v>
      </c>
      <c r="K17" s="4" t="n">
        <f aca="false">-K6*Assumptions!K32/100</f>
        <v>-3843.78979066293</v>
      </c>
      <c r="L17" s="4" t="n">
        <f aca="false">-L6*Assumptions!L32/100</f>
        <v>-3939.8845354295</v>
      </c>
    </row>
    <row r="18" customFormat="false" ht="15" hidden="false" customHeight="false" outlineLevel="0" collapsed="false">
      <c r="A18" s="0" t="s">
        <v>120</v>
      </c>
      <c r="C18" s="4" t="n">
        <f aca="false">(C6-B6)*Assumptions!$B$37/100</f>
        <v>90.0760000000002</v>
      </c>
      <c r="D18" s="4" t="n">
        <f aca="false">(D6-C6)*Assumptions!$B$37/100</f>
        <v>-220.6862</v>
      </c>
      <c r="E18" s="4" t="n">
        <f aca="false">(E6-D6)*Assumptions!$B$37/100</f>
        <v>-278.064612000001</v>
      </c>
      <c r="F18" s="4" t="n">
        <f aca="false">(F6-E6)*Assumptions!$B$37/100</f>
        <v>-245.623740600001</v>
      </c>
      <c r="G18" s="4" t="n">
        <f aca="false">(G6-F6)*Assumptions!$B$37/100</f>
        <v>-206.323942104</v>
      </c>
      <c r="H18" s="4" t="n">
        <f aca="false">(H6-G6)*Assumptions!$B$37/100</f>
        <v>-160.93267484112</v>
      </c>
      <c r="I18" s="4" t="n">
        <f aca="false">(I6-H6)*Assumptions!$B$37/100</f>
        <v>-165.760655086354</v>
      </c>
      <c r="J18" s="4" t="n">
        <f aca="false">(J6-I6)*Assumptions!$B$37/100</f>
        <v>-142.277895615786</v>
      </c>
      <c r="K18" s="4" t="n">
        <f aca="false">(K6-J6)*Assumptions!$B$37/100</f>
        <v>-145.834843006181</v>
      </c>
      <c r="L18" s="4" t="n">
        <f aca="false">(L6-K6)*Assumptions!$B$37/100</f>
        <v>-149.480714081336</v>
      </c>
    </row>
    <row r="19" customFormat="false" ht="15" hidden="false" customHeight="false" outlineLevel="0" collapsed="false">
      <c r="A19" s="0" t="s">
        <v>121</v>
      </c>
      <c r="C19" s="0" t="n">
        <f aca="false">C15+C16+C17+C18</f>
        <v>1448.87246</v>
      </c>
      <c r="D19" s="0" t="n">
        <f aca="false">D15+D16+D17+D18</f>
        <v>1765.4896</v>
      </c>
      <c r="E19" s="0" t="n">
        <f aca="false">E15+E16+E17+E18</f>
        <v>2234.31536328</v>
      </c>
      <c r="F19" s="0" t="n">
        <f aca="false">F15+F16+F17+F18</f>
        <v>2738.70470769</v>
      </c>
      <c r="G19" s="0" t="n">
        <f aca="false">G15+G16+G17+G18</f>
        <v>3123.44973496584</v>
      </c>
      <c r="H19" s="0" t="n">
        <f aca="false">H15+H16+H17+H18</f>
        <v>3233.21407216517</v>
      </c>
      <c r="I19" s="0" t="n">
        <f aca="false">I15+I16+I17+I18</f>
        <v>3330.21049433012</v>
      </c>
      <c r="J19" s="0" t="n">
        <f aca="false">J15+J16+J17+J18</f>
        <v>3441.0925325361</v>
      </c>
      <c r="K19" s="0" t="n">
        <f aca="false">K15+K16+K17+K18</f>
        <v>3527.11984584951</v>
      </c>
      <c r="L19" s="0" t="n">
        <f aca="false">L15+L16+L17+L18</f>
        <v>3615.29784199574</v>
      </c>
    </row>
    <row r="20" customFormat="false" ht="15" hidden="false" customHeight="false" outlineLevel="0" collapsed="false">
      <c r="A20" s="0" t="s">
        <v>122</v>
      </c>
      <c r="C20" s="0" t="n">
        <f aca="false">1/(1+$B$27/100)^C4</f>
        <v>0.91743119266055</v>
      </c>
      <c r="D20" s="0" t="n">
        <f aca="false">1/(1+$B$27/100)^D4</f>
        <v>0.84167999326656</v>
      </c>
      <c r="E20" s="0" t="n">
        <f aca="false">1/(1+$B$27/100)^E4</f>
        <v>0.772183480061064</v>
      </c>
      <c r="F20" s="0" t="n">
        <f aca="false">1/(1+$B$27/100)^F4</f>
        <v>0.708425211065196</v>
      </c>
      <c r="G20" s="0" t="n">
        <f aca="false">1/(1+$B$27/100)^G4</f>
        <v>0.649931386298345</v>
      </c>
      <c r="H20" s="0" t="n">
        <f aca="false">1/(1+$B$27/100)^H4</f>
        <v>0.596267326879216</v>
      </c>
      <c r="I20" s="0" t="n">
        <f aca="false">1/(1+$B$27/100)^I4</f>
        <v>0.547034244843317</v>
      </c>
      <c r="J20" s="0" t="n">
        <f aca="false">1/(1+$B$27/100)^J4</f>
        <v>0.501866279672768</v>
      </c>
      <c r="K20" s="0" t="n">
        <f aca="false">1/(1+$B$27/100)^K4</f>
        <v>0.460427779516301</v>
      </c>
      <c r="L20" s="0" t="n">
        <f aca="false">1/(1+$B$27/100)^L4</f>
        <v>0.422410806895689</v>
      </c>
    </row>
    <row r="21" customFormat="false" ht="15" hidden="false" customHeight="false" outlineLevel="0" collapsed="false">
      <c r="A21" s="0" t="s">
        <v>123</v>
      </c>
      <c r="C21" s="0" t="n">
        <f aca="false">C19*C20</f>
        <v>1329.24078899083</v>
      </c>
      <c r="D21" s="0" t="n">
        <f aca="false">D19*D20</f>
        <v>1485.97727464018</v>
      </c>
      <c r="E21" s="0" t="n">
        <f aca="false">E19*E20</f>
        <v>1725.30141277145</v>
      </c>
      <c r="F21" s="0" t="n">
        <f aca="false">F19*F20</f>
        <v>1940.16746059053</v>
      </c>
      <c r="G21" s="0" t="n">
        <f aca="false">G19*G20</f>
        <v>2030.02801627955</v>
      </c>
      <c r="H21" s="0" t="n">
        <f aca="false">H19*H20</f>
        <v>1927.85991203819</v>
      </c>
      <c r="I21" s="0" t="n">
        <f aca="false">I19*I20</f>
        <v>1821.73918293517</v>
      </c>
      <c r="J21" s="0" t="n">
        <f aca="false">J19*J20</f>
        <v>1726.96830731364</v>
      </c>
      <c r="K21" s="0" t="n">
        <f aca="false">K19*K20</f>
        <v>1623.98395871237</v>
      </c>
      <c r="L21" s="0" t="n">
        <f aca="false">L19*L20</f>
        <v>1527.14087860566</v>
      </c>
    </row>
    <row r="23" customFormat="false" ht="15" hidden="false" customHeight="false" outlineLevel="0" collapsed="false">
      <c r="A23" s="0" t="s">
        <v>99</v>
      </c>
      <c r="C23" s="4" t="n">
        <f aca="false">Assumptions!C30</f>
        <v>0</v>
      </c>
      <c r="D23" s="4" t="n">
        <f aca="false">Assumptions!D30</f>
        <v>0</v>
      </c>
      <c r="E23" s="4" t="n">
        <f aca="false">Assumptions!E30</f>
        <v>0</v>
      </c>
      <c r="F23" s="4" t="n">
        <f aca="false">Assumptions!F30</f>
        <v>0</v>
      </c>
      <c r="G23" s="4" t="n">
        <f aca="false">Assumptions!G30</f>
        <v>0</v>
      </c>
      <c r="H23" s="4" t="n">
        <f aca="false">Assumptions!H30</f>
        <v>0</v>
      </c>
      <c r="I23" s="4" t="n">
        <f aca="false">Assumptions!I30</f>
        <v>0</v>
      </c>
      <c r="J23" s="4" t="n">
        <f aca="false">Assumptions!J30</f>
        <v>0</v>
      </c>
      <c r="K23" s="4" t="n">
        <f aca="false">Assumptions!K30</f>
        <v>0</v>
      </c>
      <c r="L23" s="4" t="n">
        <f aca="false">Assumptions!L30</f>
        <v>0</v>
      </c>
    </row>
    <row r="24" customFormat="false" ht="15" hidden="false" customHeight="false" outlineLevel="0" collapsed="false">
      <c r="A24" s="0" t="s">
        <v>124</v>
      </c>
      <c r="C24" s="0" t="n">
        <f aca="false">-C6*C23/100</f>
        <v>-0</v>
      </c>
      <c r="D24" s="0" t="n">
        <f aca="false">-D6*D23/100</f>
        <v>-0</v>
      </c>
      <c r="E24" s="0" t="n">
        <f aca="false">-E6*E23/100</f>
        <v>-0</v>
      </c>
      <c r="F24" s="0" t="n">
        <f aca="false">-F6*F23/100</f>
        <v>-0</v>
      </c>
      <c r="G24" s="0" t="n">
        <f aca="false">-G6*G23/100</f>
        <v>-0</v>
      </c>
      <c r="H24" s="0" t="n">
        <f aca="false">-H6*H23/100</f>
        <v>-0</v>
      </c>
      <c r="I24" s="0" t="n">
        <f aca="false">-I6*I23/100</f>
        <v>-0</v>
      </c>
      <c r="J24" s="0" t="n">
        <f aca="false">-J6*J23/100</f>
        <v>-0</v>
      </c>
      <c r="K24" s="0" t="n">
        <f aca="false">-K6*K23/100</f>
        <v>-0</v>
      </c>
      <c r="L24" s="0" t="n">
        <f aca="false">-L6*L23/100</f>
        <v>-0</v>
      </c>
    </row>
    <row r="26" customFormat="false" ht="15" hidden="false" customHeight="false" outlineLevel="0" collapsed="false">
      <c r="A26" s="2" t="s">
        <v>125</v>
      </c>
    </row>
    <row r="27" customFormat="false" ht="15" hidden="false" customHeight="false" outlineLevel="0" collapsed="false">
      <c r="A27" s="0" t="s">
        <v>103</v>
      </c>
      <c r="B27" s="4" t="n">
        <f aca="false">Assumptions!$B$34</f>
        <v>9</v>
      </c>
    </row>
    <row r="28" customFormat="false" ht="15" hidden="false" customHeight="false" outlineLevel="0" collapsed="false">
      <c r="A28" s="0" t="s">
        <v>104</v>
      </c>
      <c r="B28" s="4" t="n">
        <f aca="false">Assumptions!$B$35</f>
        <v>2</v>
      </c>
    </row>
    <row r="29" customFormat="false" ht="15" hidden="false" customHeight="false" outlineLevel="0" collapsed="false">
      <c r="A29" s="0" t="s">
        <v>105</v>
      </c>
      <c r="B29" s="4" t="n">
        <f aca="false">Assumptions!$B$36</f>
        <v>12</v>
      </c>
    </row>
    <row r="30" customFormat="false" ht="15" hidden="false" customHeight="false" outlineLevel="0" collapsed="false">
      <c r="A30" s="0" t="s">
        <v>126</v>
      </c>
      <c r="B30" s="0" t="n">
        <f aca="false">SUM(C21:L21)</f>
        <v>17138.4071928776</v>
      </c>
    </row>
    <row r="31" customFormat="false" ht="15" hidden="false" customHeight="false" outlineLevel="0" collapsed="false">
      <c r="A31" s="0" t="s">
        <v>127</v>
      </c>
      <c r="B31" s="0" t="n">
        <f aca="false">L19</f>
        <v>3615.29784199574</v>
      </c>
    </row>
    <row r="32" customFormat="false" ht="15" hidden="false" customHeight="false" outlineLevel="0" collapsed="false">
      <c r="A32" s="0" t="s">
        <v>128</v>
      </c>
      <c r="B32" s="0" t="n">
        <f aca="false">IF(B27&gt;B28,B31*(1+B28/100)/((B27-B28)/100),B31*B29)</f>
        <v>52680.0542690808</v>
      </c>
    </row>
    <row r="33" customFormat="false" ht="15" hidden="false" customHeight="false" outlineLevel="0" collapsed="false">
      <c r="A33" s="0" t="s">
        <v>129</v>
      </c>
      <c r="B33" s="0" t="n">
        <f aca="false">B31*B29</f>
        <v>43383.5741039489</v>
      </c>
    </row>
    <row r="34" customFormat="false" ht="15" hidden="false" customHeight="false" outlineLevel="0" collapsed="false">
      <c r="A34" s="0" t="s">
        <v>130</v>
      </c>
      <c r="B34" s="0" t="n">
        <f aca="false">MAX(0,MIN(B32,B33))</f>
        <v>43383.5741039489</v>
      </c>
    </row>
    <row r="35" customFormat="false" ht="15" hidden="false" customHeight="false" outlineLevel="0" collapsed="false">
      <c r="A35" s="0" t="s">
        <v>131</v>
      </c>
      <c r="B35" s="0" t="n">
        <f aca="false">B34/(1+B27/100)^L4</f>
        <v>18325.690543268</v>
      </c>
    </row>
    <row r="36" customFormat="false" ht="15" hidden="false" customHeight="false" outlineLevel="0" collapsed="false">
      <c r="A36" s="0" t="s">
        <v>132</v>
      </c>
      <c r="B36" s="0" t="n">
        <f aca="false">B30+B35</f>
        <v>35464.0977361455</v>
      </c>
    </row>
    <row r="37" customFormat="false" ht="15" hidden="false" customHeight="false" outlineLevel="0" collapsed="false">
      <c r="A37" s="0" t="s">
        <v>133</v>
      </c>
      <c r="B37" s="0" t="n">
        <f aca="false">B36+Assumptions!$B$5-Assumptions!$B$4</f>
        <v>42546.0977361455</v>
      </c>
    </row>
    <row r="38" customFormat="false" ht="15" hidden="false" customHeight="false" outlineLevel="0" collapsed="false">
      <c r="A38" s="0" t="s">
        <v>134</v>
      </c>
      <c r="B38" s="0" t="n">
        <f aca="false">B37/Assumptions!$B$3*Assumptions!$B$10</f>
        <v>46.7026319825966</v>
      </c>
    </row>
    <row r="39" customFormat="false" ht="15" hidden="false" customHeight="false" outlineLevel="0" collapsed="false">
      <c r="A39" s="0" t="s">
        <v>135</v>
      </c>
      <c r="B39" s="4" t="n">
        <f aca="false">B38/Assumptions!$B$2-1</f>
        <v>0.122659422658573</v>
      </c>
    </row>
    <row r="41" customFormat="false" ht="15" hidden="false" customHeight="false" outlineLevel="0" collapsed="false">
      <c r="A41" s="0" t="s">
        <v>136</v>
      </c>
      <c r="B41" s="0" t="n">
        <f aca="false">SUMPRODUCT(-C10:L10/(1+$B$27/100)^C4:L4)</f>
        <v>0</v>
      </c>
    </row>
    <row r="42" customFormat="false" ht="15" hidden="false" customHeight="false" outlineLevel="0" collapsed="false">
      <c r="A42" s="0" t="s">
        <v>137</v>
      </c>
      <c r="B42" s="0" t="n">
        <f aca="false">IF(B27&gt;B28,-L10*(1+B28/100)/((B27-B28)/100),-L10*20)/(1+B27/100)^L4</f>
        <v>0</v>
      </c>
    </row>
    <row r="43" customFormat="false" ht="15" hidden="false" customHeight="false" outlineLevel="0" collapsed="false">
      <c r="A43" s="0" t="s">
        <v>138</v>
      </c>
      <c r="B43" s="0" t="n">
        <f aca="false">(B37+B41+B42)/Assumptions!$B$3*Assumptions!$B$10</f>
        <v>46.7026319825966</v>
      </c>
    </row>
    <row r="45" customFormat="false" ht="15" hidden="false" customHeight="false" outlineLevel="0" collapsed="false">
      <c r="A45" s="0" t="s">
        <v>79</v>
      </c>
      <c r="B45" s="4" t="n">
        <f aca="false">Assumptions!$B$6</f>
        <v>15</v>
      </c>
    </row>
    <row r="46" customFormat="false" ht="15" hidden="false" customHeight="false" outlineLevel="0" collapsed="false">
      <c r="A46" s="0" t="s">
        <v>139</v>
      </c>
      <c r="B46" s="0" t="n">
        <f aca="false">MAX(0,MIN(IF(B45&gt;B28,B31*(1+B28/100)/((B45-B28)/100),B31*B29),B31*B29))</f>
        <v>28366.1830679666</v>
      </c>
    </row>
    <row r="47" customFormat="false" ht="15" hidden="false" customHeight="false" outlineLevel="0" collapsed="false">
      <c r="A47" s="0" t="s">
        <v>140</v>
      </c>
      <c r="B47" s="0" t="n">
        <f aca="false">(SUMPRODUCT(C19:L19/(1+B45/100)^C4:L4)+B46/(1+B45/100)^L4+Assumptions!$B$5-Assumptions!$B$4)/Assumptions!$B$3*Assumptions!$B$10</f>
        <v>29.5799542193724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142</v>
      </c>
    </row>
    <row r="3" customFormat="false" ht="15" hidden="false" customHeight="false" outlineLevel="0" collapsed="false">
      <c r="A3" s="0" t="s">
        <v>111</v>
      </c>
      <c r="B3" s="0" t="s">
        <v>72</v>
      </c>
      <c r="C3" s="2" t="s">
        <v>86</v>
      </c>
      <c r="D3" s="2" t="s">
        <v>87</v>
      </c>
      <c r="E3" s="2" t="s">
        <v>88</v>
      </c>
      <c r="F3" s="2" t="s">
        <v>89</v>
      </c>
      <c r="G3" s="2" t="s">
        <v>90</v>
      </c>
      <c r="H3" s="2" t="s">
        <v>91</v>
      </c>
      <c r="I3" s="2" t="s">
        <v>92</v>
      </c>
      <c r="J3" s="2" t="s">
        <v>93</v>
      </c>
      <c r="K3" s="2" t="s">
        <v>94</v>
      </c>
      <c r="L3" s="2" t="s">
        <v>95</v>
      </c>
    </row>
    <row r="4" customFormat="false" ht="15" hidden="false" customHeight="false" outlineLevel="0" collapsed="false">
      <c r="A4" s="0" t="s">
        <v>112</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96</v>
      </c>
      <c r="C5" s="4" t="n">
        <f aca="false">Assumptions!C41</f>
        <v>-1</v>
      </c>
      <c r="D5" s="4" t="n">
        <f aca="false">Assumptions!D41</f>
        <v>7</v>
      </c>
      <c r="E5" s="4" t="n">
        <f aca="false">Assumptions!E41</f>
        <v>8</v>
      </c>
      <c r="F5" s="4" t="n">
        <f aca="false">Assumptions!F41</f>
        <v>7</v>
      </c>
      <c r="G5" s="4" t="n">
        <f aca="false">Assumptions!G41</f>
        <v>5</v>
      </c>
      <c r="H5" s="4" t="n">
        <f aca="false">Assumptions!H41</f>
        <v>4</v>
      </c>
      <c r="I5" s="4" t="n">
        <f aca="false">Assumptions!I41</f>
        <v>3.5</v>
      </c>
      <c r="J5" s="4" t="n">
        <f aca="false">Assumptions!J41</f>
        <v>3</v>
      </c>
      <c r="K5" s="4" t="n">
        <f aca="false">Assumptions!K41</f>
        <v>3</v>
      </c>
      <c r="L5" s="4" t="n">
        <f aca="false">Assumptions!L41</f>
        <v>3</v>
      </c>
    </row>
    <row r="6" customFormat="false" ht="15" hidden="false" customHeight="false" outlineLevel="0" collapsed="false">
      <c r="A6" s="0" t="s">
        <v>37</v>
      </c>
      <c r="B6" s="3" t="n">
        <v>32170</v>
      </c>
      <c r="C6" s="0" t="n">
        <f aca="false">B6*(1+C5/100)</f>
        <v>31848.3</v>
      </c>
      <c r="D6" s="0" t="n">
        <f aca="false">C6*(1+D5/100)</f>
        <v>34077.681</v>
      </c>
      <c r="E6" s="0" t="n">
        <f aca="false">D6*(1+E5/100)</f>
        <v>36803.89548</v>
      </c>
      <c r="F6" s="0" t="n">
        <f aca="false">E6*(1+F5/100)</f>
        <v>39380.1681636</v>
      </c>
      <c r="G6" s="0" t="n">
        <f aca="false">F6*(1+G5/100)</f>
        <v>41349.17657178</v>
      </c>
      <c r="H6" s="0" t="n">
        <f aca="false">G6*(1+H5/100)</f>
        <v>43003.1436346512</v>
      </c>
      <c r="I6" s="0" t="n">
        <f aca="false">H6*(1+I5/100)</f>
        <v>44508.253661864</v>
      </c>
      <c r="J6" s="0" t="n">
        <f aca="false">I6*(1+J5/100)</f>
        <v>45843.5012717199</v>
      </c>
      <c r="K6" s="0" t="n">
        <f aca="false">J6*(1+K5/100)</f>
        <v>47218.8063098715</v>
      </c>
      <c r="L6" s="0" t="n">
        <f aca="false">K6*(1+L5/100)</f>
        <v>48635.3704991677</v>
      </c>
    </row>
    <row r="7" customFormat="false" ht="15" hidden="false" customHeight="false" outlineLevel="0" collapsed="false">
      <c r="A7" s="0" t="s">
        <v>97</v>
      </c>
      <c r="C7" s="4" t="n">
        <f aca="false">Assumptions!C42</f>
        <v>16.5</v>
      </c>
      <c r="D7" s="4" t="n">
        <f aca="false">Assumptions!D42</f>
        <v>20</v>
      </c>
      <c r="E7" s="4" t="n">
        <f aca="false">Assumptions!E42</f>
        <v>22</v>
      </c>
      <c r="F7" s="4" t="n">
        <f aca="false">Assumptions!F42</f>
        <v>23.5</v>
      </c>
      <c r="G7" s="4" t="n">
        <f aca="false">Assumptions!G42</f>
        <v>24</v>
      </c>
      <c r="H7" s="4" t="n">
        <f aca="false">Assumptions!H42</f>
        <v>24</v>
      </c>
      <c r="I7" s="4" t="n">
        <f aca="false">Assumptions!I42</f>
        <v>24</v>
      </c>
      <c r="J7" s="4" t="n">
        <f aca="false">Assumptions!J42</f>
        <v>24</v>
      </c>
      <c r="K7" s="4" t="n">
        <f aca="false">Assumptions!K42</f>
        <v>24</v>
      </c>
      <c r="L7" s="4" t="n">
        <f aca="false">Assumptions!L42</f>
        <v>24</v>
      </c>
    </row>
    <row r="8" customFormat="false" ht="15" hidden="false" customHeight="false" outlineLevel="0" collapsed="false">
      <c r="A8" s="0" t="s">
        <v>43</v>
      </c>
      <c r="C8" s="0" t="n">
        <f aca="false">C6*C7/100</f>
        <v>5254.9695</v>
      </c>
      <c r="D8" s="0" t="n">
        <f aca="false">D6*D7/100</f>
        <v>6815.5362</v>
      </c>
      <c r="E8" s="0" t="n">
        <f aca="false">E6*E7/100</f>
        <v>8096.8570056</v>
      </c>
      <c r="F8" s="0" t="n">
        <f aca="false">F6*F7/100</f>
        <v>9254.339518446</v>
      </c>
      <c r="G8" s="0" t="n">
        <f aca="false">G6*G7/100</f>
        <v>9923.8023772272</v>
      </c>
      <c r="H8" s="0" t="n">
        <f aca="false">H6*H7/100</f>
        <v>10320.7544723163</v>
      </c>
      <c r="I8" s="0" t="n">
        <f aca="false">I6*I7/100</f>
        <v>10681.9808788474</v>
      </c>
      <c r="J8" s="0" t="n">
        <f aca="false">J6*J7/100</f>
        <v>11002.4403052128</v>
      </c>
      <c r="K8" s="0" t="n">
        <f aca="false">K6*K7/100</f>
        <v>11332.5135143692</v>
      </c>
      <c r="L8" s="0" t="n">
        <f aca="false">L6*L7/100</f>
        <v>11672.4889198002</v>
      </c>
    </row>
    <row r="9" customFormat="false" ht="15" hidden="false" customHeight="false" outlineLevel="0" collapsed="false">
      <c r="A9" s="0" t="s">
        <v>98</v>
      </c>
      <c r="C9" s="4" t="n">
        <f aca="false">Assumptions!C43</f>
        <v>0</v>
      </c>
      <c r="D9" s="4" t="n">
        <f aca="false">Assumptions!D43</f>
        <v>0</v>
      </c>
      <c r="E9" s="4" t="n">
        <f aca="false">Assumptions!E43</f>
        <v>0</v>
      </c>
      <c r="F9" s="4" t="n">
        <f aca="false">Assumptions!F43</f>
        <v>0</v>
      </c>
      <c r="G9" s="4" t="n">
        <f aca="false">Assumptions!G43</f>
        <v>0</v>
      </c>
      <c r="H9" s="4" t="n">
        <f aca="false">Assumptions!H43</f>
        <v>0</v>
      </c>
      <c r="I9" s="4" t="n">
        <f aca="false">Assumptions!I43</f>
        <v>0</v>
      </c>
      <c r="J9" s="4" t="n">
        <f aca="false">Assumptions!J43</f>
        <v>0</v>
      </c>
      <c r="K9" s="4" t="n">
        <f aca="false">Assumptions!K43</f>
        <v>0</v>
      </c>
      <c r="L9" s="4" t="n">
        <f aca="false">Assumptions!L43</f>
        <v>0</v>
      </c>
    </row>
    <row r="10" customFormat="false" ht="15" hidden="false" customHeight="false" outlineLevel="0" collapsed="false">
      <c r="A10" s="0" t="s">
        <v>113</v>
      </c>
      <c r="C10" s="0" t="n">
        <f aca="false">-C6*C9/100</f>
        <v>-0</v>
      </c>
      <c r="D10" s="0" t="n">
        <f aca="false">-D6*D9/100</f>
        <v>-0</v>
      </c>
      <c r="E10" s="0" t="n">
        <f aca="false">-E6*E9/100</f>
        <v>-0</v>
      </c>
      <c r="F10" s="0" t="n">
        <f aca="false">-F6*F9/100</f>
        <v>-0</v>
      </c>
      <c r="G10" s="0" t="n">
        <f aca="false">-G6*G9/100</f>
        <v>-0</v>
      </c>
      <c r="H10" s="0" t="n">
        <f aca="false">-H6*H9/100</f>
        <v>-0</v>
      </c>
      <c r="I10" s="0" t="n">
        <f aca="false">-I6*I9/100</f>
        <v>-0</v>
      </c>
      <c r="J10" s="0" t="n">
        <f aca="false">-J6*J9/100</f>
        <v>-0</v>
      </c>
      <c r="K10" s="0" t="n">
        <f aca="false">-K6*K9/100</f>
        <v>-0</v>
      </c>
      <c r="L10" s="0" t="n">
        <f aca="false">-L6*L9/100</f>
        <v>-0</v>
      </c>
    </row>
    <row r="11" customFormat="false" ht="15" hidden="false" customHeight="false" outlineLevel="0" collapsed="false">
      <c r="A11" s="0" t="s">
        <v>114</v>
      </c>
      <c r="C11" s="0" t="n">
        <f aca="false">C8+C10+C24</f>
        <v>5254.9695</v>
      </c>
      <c r="D11" s="0" t="n">
        <f aca="false">D8+D10+D24</f>
        <v>6815.5362</v>
      </c>
      <c r="E11" s="0" t="n">
        <f aca="false">E8+E10+E24</f>
        <v>8096.8570056</v>
      </c>
      <c r="F11" s="0" t="n">
        <f aca="false">F8+F10+F24</f>
        <v>9254.339518446</v>
      </c>
      <c r="G11" s="0" t="n">
        <f aca="false">G8+G10+G24</f>
        <v>9923.8023772272</v>
      </c>
      <c r="H11" s="0" t="n">
        <f aca="false">H8+H10+H24</f>
        <v>10320.7544723163</v>
      </c>
      <c r="I11" s="0" t="n">
        <f aca="false">I8+I10+I24</f>
        <v>10681.9808788474</v>
      </c>
      <c r="J11" s="0" t="n">
        <f aca="false">J8+J10+J24</f>
        <v>11002.4403052128</v>
      </c>
      <c r="K11" s="0" t="n">
        <f aca="false">K8+K10+K24</f>
        <v>11332.5135143692</v>
      </c>
      <c r="L11" s="0" t="n">
        <f aca="false">L8+L10+L24</f>
        <v>11672.4889198002</v>
      </c>
    </row>
    <row r="12" customFormat="false" ht="15" hidden="false" customHeight="false" outlineLevel="0" collapsed="false">
      <c r="A12" s="0" t="s">
        <v>115</v>
      </c>
      <c r="C12" s="4" t="n">
        <f aca="false">-C6*Assumptions!C45/100</f>
        <v>-3089.2851</v>
      </c>
      <c r="D12" s="4" t="n">
        <f aca="false">-D6*Assumptions!D45/100</f>
        <v>-3203.302014</v>
      </c>
      <c r="E12" s="4" t="n">
        <f aca="false">-E6*Assumptions!E45/100</f>
        <v>-3312.3505932</v>
      </c>
      <c r="F12" s="4" t="n">
        <f aca="false">-F6*Assumptions!F45/100</f>
        <v>-3426.0746302332</v>
      </c>
      <c r="G12" s="4" t="n">
        <f aca="false">-G6*Assumptions!G45/100</f>
        <v>-3514.6800086013</v>
      </c>
      <c r="H12" s="4" t="n">
        <f aca="false">-H6*Assumptions!H45/100</f>
        <v>-3569.26092167605</v>
      </c>
      <c r="I12" s="4" t="n">
        <f aca="false">-I6*Assumptions!I45/100</f>
        <v>-3694.18505393471</v>
      </c>
      <c r="J12" s="4" t="n">
        <f aca="false">-J6*Assumptions!J45/100</f>
        <v>-3805.01060555275</v>
      </c>
      <c r="K12" s="4" t="n">
        <f aca="false">-K6*Assumptions!K45/100</f>
        <v>-3919.16092371934</v>
      </c>
      <c r="L12" s="4" t="n">
        <f aca="false">-L6*Assumptions!L45/100</f>
        <v>-4036.73575143092</v>
      </c>
    </row>
    <row r="13" customFormat="false" ht="15" hidden="false" customHeight="false" outlineLevel="0" collapsed="false">
      <c r="A13" s="0" t="s">
        <v>116</v>
      </c>
      <c r="C13" s="0" t="n">
        <f aca="false">C11+C12</f>
        <v>2165.6844</v>
      </c>
      <c r="D13" s="0" t="n">
        <f aca="false">D11+D12</f>
        <v>3612.234186</v>
      </c>
      <c r="E13" s="0" t="n">
        <f aca="false">E11+E12</f>
        <v>4784.5064124</v>
      </c>
      <c r="F13" s="0" t="n">
        <f aca="false">F11+F12</f>
        <v>5828.2648882128</v>
      </c>
      <c r="G13" s="0" t="n">
        <f aca="false">G11+G12</f>
        <v>6409.1223686259</v>
      </c>
      <c r="H13" s="0" t="n">
        <f aca="false">H11+H12</f>
        <v>6751.49355064024</v>
      </c>
      <c r="I13" s="0" t="n">
        <f aca="false">I11+I12</f>
        <v>6987.79582491265</v>
      </c>
      <c r="J13" s="0" t="n">
        <f aca="false">J11+J12</f>
        <v>7197.42969966003</v>
      </c>
      <c r="K13" s="0" t="n">
        <f aca="false">K11+K12</f>
        <v>7413.35259064983</v>
      </c>
      <c r="L13" s="0" t="n">
        <f aca="false">L11+L12</f>
        <v>7635.75316836932</v>
      </c>
    </row>
    <row r="14" customFormat="false" ht="15" hidden="false" customHeight="false" outlineLevel="0" collapsed="false">
      <c r="A14" s="0" t="s">
        <v>102</v>
      </c>
      <c r="C14" s="4" t="n">
        <f aca="false">Assumptions!C47</f>
        <v>30</v>
      </c>
      <c r="D14" s="4" t="n">
        <f aca="false">Assumptions!D47</f>
        <v>30</v>
      </c>
      <c r="E14" s="4" t="n">
        <f aca="false">Assumptions!E47</f>
        <v>30</v>
      </c>
      <c r="F14" s="4" t="n">
        <f aca="false">Assumptions!F47</f>
        <v>30</v>
      </c>
      <c r="G14" s="4" t="n">
        <f aca="false">Assumptions!G47</f>
        <v>30</v>
      </c>
      <c r="H14" s="4" t="n">
        <f aca="false">Assumptions!H47</f>
        <v>30</v>
      </c>
      <c r="I14" s="4" t="n">
        <f aca="false">Assumptions!I47</f>
        <v>30</v>
      </c>
      <c r="J14" s="4" t="n">
        <f aca="false">Assumptions!J47</f>
        <v>30</v>
      </c>
      <c r="K14" s="4" t="n">
        <f aca="false">Assumptions!K47</f>
        <v>30</v>
      </c>
      <c r="L14" s="4" t="n">
        <f aca="false">Assumptions!L47</f>
        <v>30</v>
      </c>
    </row>
    <row r="15" customFormat="false" ht="15" hidden="false" customHeight="false" outlineLevel="0" collapsed="false">
      <c r="A15" s="0" t="s">
        <v>117</v>
      </c>
      <c r="C15" s="0" t="n">
        <f aca="false">C13-MAX(0,C13)*C14/100</f>
        <v>1515.97908</v>
      </c>
      <c r="D15" s="0" t="n">
        <f aca="false">D13-MAX(0,D13)*D14/100</f>
        <v>2528.5639302</v>
      </c>
      <c r="E15" s="0" t="n">
        <f aca="false">E13-MAX(0,E13)*E14/100</f>
        <v>3349.15448868</v>
      </c>
      <c r="F15" s="0" t="n">
        <f aca="false">F13-MAX(0,F13)*F14/100</f>
        <v>4079.78542174896</v>
      </c>
      <c r="G15" s="0" t="n">
        <f aca="false">G13-MAX(0,G13)*G14/100</f>
        <v>4486.38565803813</v>
      </c>
      <c r="H15" s="0" t="n">
        <f aca="false">H13-MAX(0,H13)*H14/100</f>
        <v>4726.04548544817</v>
      </c>
      <c r="I15" s="0" t="n">
        <f aca="false">I13-MAX(0,I13)*I14/100</f>
        <v>4891.45707743885</v>
      </c>
      <c r="J15" s="0" t="n">
        <f aca="false">J13-MAX(0,J13)*J14/100</f>
        <v>5038.20078976202</v>
      </c>
      <c r="K15" s="0" t="n">
        <f aca="false">K13-MAX(0,K13)*K14/100</f>
        <v>5189.34681345488</v>
      </c>
      <c r="L15" s="0" t="n">
        <f aca="false">L13-MAX(0,L13)*L14/100</f>
        <v>5345.02721785853</v>
      </c>
    </row>
    <row r="16" customFormat="false" ht="15" hidden="false" customHeight="false" outlineLevel="0" collapsed="false">
      <c r="A16" s="0" t="s">
        <v>118</v>
      </c>
      <c r="C16" s="0" t="n">
        <f aca="false">-C12</f>
        <v>3089.2851</v>
      </c>
      <c r="D16" s="0" t="n">
        <f aca="false">-D12</f>
        <v>3203.302014</v>
      </c>
      <c r="E16" s="0" t="n">
        <f aca="false">-E12</f>
        <v>3312.3505932</v>
      </c>
      <c r="F16" s="0" t="n">
        <f aca="false">-F12</f>
        <v>3426.0746302332</v>
      </c>
      <c r="G16" s="0" t="n">
        <f aca="false">-G12</f>
        <v>3514.6800086013</v>
      </c>
      <c r="H16" s="0" t="n">
        <f aca="false">-H12</f>
        <v>3569.26092167605</v>
      </c>
      <c r="I16" s="0" t="n">
        <f aca="false">-I12</f>
        <v>3694.18505393471</v>
      </c>
      <c r="J16" s="0" t="n">
        <f aca="false">-J12</f>
        <v>3805.01060555275</v>
      </c>
      <c r="K16" s="0" t="n">
        <f aca="false">-K12</f>
        <v>3919.16092371934</v>
      </c>
      <c r="L16" s="0" t="n">
        <f aca="false">-L12</f>
        <v>4036.73575143092</v>
      </c>
    </row>
    <row r="17" customFormat="false" ht="15" hidden="false" customHeight="false" outlineLevel="0" collapsed="false">
      <c r="A17" s="0" t="s">
        <v>119</v>
      </c>
      <c r="C17" s="4" t="n">
        <f aca="false">-C6*Assumptions!C46/100</f>
        <v>-3057.4368</v>
      </c>
      <c r="D17" s="4" t="n">
        <f aca="false">-D6*Assumptions!D46/100</f>
        <v>-3271.457376</v>
      </c>
      <c r="E17" s="4" t="n">
        <f aca="false">-E6*Assumptions!E46/100</f>
        <v>-3459.56617512</v>
      </c>
      <c r="F17" s="4" t="n">
        <f aca="false">-F6*Assumptions!F46/100</f>
        <v>-3544.215134724</v>
      </c>
      <c r="G17" s="4" t="n">
        <f aca="false">-G6*Assumptions!G46/100</f>
        <v>-3638.72753831664</v>
      </c>
      <c r="H17" s="4" t="n">
        <f aca="false">-H6*Assumptions!H46/100</f>
        <v>-3784.27663984931</v>
      </c>
      <c r="I17" s="4" t="n">
        <f aca="false">-I6*Assumptions!I46/100</f>
        <v>-3916.72632224403</v>
      </c>
      <c r="J17" s="4" t="n">
        <f aca="false">-J6*Assumptions!J46/100</f>
        <v>-4034.22811191135</v>
      </c>
      <c r="K17" s="4" t="n">
        <f aca="false">-K6*Assumptions!K46/100</f>
        <v>-4155.25495526869</v>
      </c>
      <c r="L17" s="4" t="n">
        <f aca="false">-L6*Assumptions!L46/100</f>
        <v>-4279.91260392676</v>
      </c>
    </row>
    <row r="18" customFormat="false" ht="15" hidden="false" customHeight="false" outlineLevel="0" collapsed="false">
      <c r="A18" s="0" t="s">
        <v>120</v>
      </c>
      <c r="C18" s="4" t="n">
        <f aca="false">(C6-B6)*Assumptions!$B$51/100</f>
        <v>45.0380000000001</v>
      </c>
      <c r="D18" s="4" t="n">
        <f aca="false">(D6-C6)*Assumptions!$B$51/100</f>
        <v>-312.113340000001</v>
      </c>
      <c r="E18" s="4" t="n">
        <f aca="false">(E6-D6)*Assumptions!$B$51/100</f>
        <v>-381.6700272</v>
      </c>
      <c r="F18" s="4" t="n">
        <f aca="false">(F6-E6)*Assumptions!$B$51/100</f>
        <v>-360.678175704</v>
      </c>
      <c r="G18" s="4" t="n">
        <f aca="false">(G6-F6)*Assumptions!$B$51/100</f>
        <v>-275.6611771452</v>
      </c>
      <c r="H18" s="4" t="n">
        <f aca="false">(H6-G6)*Assumptions!$B$51/100</f>
        <v>-231.555388801969</v>
      </c>
      <c r="I18" s="4" t="n">
        <f aca="false">(I6-H6)*Assumptions!$B$51/100</f>
        <v>-210.71540380979</v>
      </c>
      <c r="J18" s="4" t="n">
        <f aca="false">(J6-I6)*Assumptions!$B$51/100</f>
        <v>-186.934665379829</v>
      </c>
      <c r="K18" s="4" t="n">
        <f aca="false">(K6-J6)*Assumptions!$B$51/100</f>
        <v>-192.542705341224</v>
      </c>
      <c r="L18" s="4" t="n">
        <f aca="false">(L6-K6)*Assumptions!$B$51/100</f>
        <v>-198.318986501461</v>
      </c>
    </row>
    <row r="19" customFormat="false" ht="15" hidden="false" customHeight="false" outlineLevel="0" collapsed="false">
      <c r="A19" s="0" t="s">
        <v>121</v>
      </c>
      <c r="C19" s="0" t="n">
        <f aca="false">C15+C16+C17+C18</f>
        <v>1592.86538</v>
      </c>
      <c r="D19" s="0" t="n">
        <f aca="false">D15+D16+D17+D18</f>
        <v>2148.2952282</v>
      </c>
      <c r="E19" s="0" t="n">
        <f aca="false">E15+E16+E17+E18</f>
        <v>2820.26887956</v>
      </c>
      <c r="F19" s="0" t="n">
        <f aca="false">F15+F16+F17+F18</f>
        <v>3600.96674155416</v>
      </c>
      <c r="G19" s="0" t="n">
        <f aca="false">G15+G16+G17+G18</f>
        <v>4086.67695117759</v>
      </c>
      <c r="H19" s="0" t="n">
        <f aca="false">H15+H16+H17+H18</f>
        <v>4279.47437847294</v>
      </c>
      <c r="I19" s="0" t="n">
        <f aca="false">I15+I16+I17+I18</f>
        <v>4458.20040531974</v>
      </c>
      <c r="J19" s="0" t="n">
        <f aca="false">J15+J16+J17+J18</f>
        <v>4622.04861802359</v>
      </c>
      <c r="K19" s="0" t="n">
        <f aca="false">K15+K16+K17+K18</f>
        <v>4760.7100765643</v>
      </c>
      <c r="L19" s="0" t="n">
        <f aca="false">L15+L16+L17+L18</f>
        <v>4903.53137886123</v>
      </c>
    </row>
    <row r="20" customFormat="false" ht="15" hidden="false" customHeight="false" outlineLevel="0" collapsed="false">
      <c r="A20" s="0" t="s">
        <v>122</v>
      </c>
      <c r="C20" s="0" t="n">
        <f aca="false">1/(1+$B$27/100)^C4</f>
        <v>0.91743119266055</v>
      </c>
      <c r="D20" s="0" t="n">
        <f aca="false">1/(1+$B$27/100)^D4</f>
        <v>0.84167999326656</v>
      </c>
      <c r="E20" s="0" t="n">
        <f aca="false">1/(1+$B$27/100)^E4</f>
        <v>0.772183480061064</v>
      </c>
      <c r="F20" s="0" t="n">
        <f aca="false">1/(1+$B$27/100)^F4</f>
        <v>0.708425211065196</v>
      </c>
      <c r="G20" s="0" t="n">
        <f aca="false">1/(1+$B$27/100)^G4</f>
        <v>0.649931386298345</v>
      </c>
      <c r="H20" s="0" t="n">
        <f aca="false">1/(1+$B$27/100)^H4</f>
        <v>0.596267326879216</v>
      </c>
      <c r="I20" s="0" t="n">
        <f aca="false">1/(1+$B$27/100)^I4</f>
        <v>0.547034244843317</v>
      </c>
      <c r="J20" s="0" t="n">
        <f aca="false">1/(1+$B$27/100)^J4</f>
        <v>0.501866279672768</v>
      </c>
      <c r="K20" s="0" t="n">
        <f aca="false">1/(1+$B$27/100)^K4</f>
        <v>0.460427779516301</v>
      </c>
      <c r="L20" s="0" t="n">
        <f aca="false">1/(1+$B$27/100)^L4</f>
        <v>0.422410806895689</v>
      </c>
    </row>
    <row r="21" customFormat="false" ht="15" hidden="false" customHeight="false" outlineLevel="0" collapsed="false">
      <c r="A21" s="0" t="s">
        <v>123</v>
      </c>
      <c r="C21" s="0" t="n">
        <f aca="false">C19*C20</f>
        <v>1461.3443853211</v>
      </c>
      <c r="D21" s="0" t="n">
        <f aca="false">D19*D20</f>
        <v>1808.17711320596</v>
      </c>
      <c r="E21" s="0" t="n">
        <f aca="false">E19*E20</f>
        <v>2177.76503812656</v>
      </c>
      <c r="F21" s="0" t="n">
        <f aca="false">F19*F20</f>
        <v>2551.01562392426</v>
      </c>
      <c r="G21" s="0" t="n">
        <f aca="false">G19*G20</f>
        <v>2656.05961623235</v>
      </c>
      <c r="H21" s="0" t="n">
        <f aca="false">H19*H20</f>
        <v>2551.71074810016</v>
      </c>
      <c r="I21" s="0" t="n">
        <f aca="false">I19*I20</f>
        <v>2438.78829208426</v>
      </c>
      <c r="J21" s="0" t="n">
        <f aca="false">J19*J20</f>
        <v>2319.65034439416</v>
      </c>
      <c r="K21" s="0" t="n">
        <f aca="false">K19*K20</f>
        <v>2191.96316947338</v>
      </c>
      <c r="L21" s="0" t="n">
        <f aca="false">L19*L20</f>
        <v>2071.3046463831</v>
      </c>
    </row>
    <row r="23" customFormat="false" ht="15" hidden="false" customHeight="false" outlineLevel="0" collapsed="false">
      <c r="A23" s="0" t="s">
        <v>99</v>
      </c>
      <c r="C23" s="4" t="n">
        <f aca="false">Assumptions!C44</f>
        <v>0</v>
      </c>
      <c r="D23" s="4" t="n">
        <f aca="false">Assumptions!D44</f>
        <v>0</v>
      </c>
      <c r="E23" s="4" t="n">
        <f aca="false">Assumptions!E44</f>
        <v>0</v>
      </c>
      <c r="F23" s="4" t="n">
        <f aca="false">Assumptions!F44</f>
        <v>0</v>
      </c>
      <c r="G23" s="4" t="n">
        <f aca="false">Assumptions!G44</f>
        <v>0</v>
      </c>
      <c r="H23" s="4" t="n">
        <f aca="false">Assumptions!H44</f>
        <v>0</v>
      </c>
      <c r="I23" s="4" t="n">
        <f aca="false">Assumptions!I44</f>
        <v>0</v>
      </c>
      <c r="J23" s="4" t="n">
        <f aca="false">Assumptions!J44</f>
        <v>0</v>
      </c>
      <c r="K23" s="4" t="n">
        <f aca="false">Assumptions!K44</f>
        <v>0</v>
      </c>
      <c r="L23" s="4" t="n">
        <f aca="false">Assumptions!L44</f>
        <v>0</v>
      </c>
    </row>
    <row r="24" customFormat="false" ht="15" hidden="false" customHeight="false" outlineLevel="0" collapsed="false">
      <c r="A24" s="0" t="s">
        <v>124</v>
      </c>
      <c r="C24" s="0" t="n">
        <f aca="false">-C6*C23/100</f>
        <v>-0</v>
      </c>
      <c r="D24" s="0" t="n">
        <f aca="false">-D6*D23/100</f>
        <v>-0</v>
      </c>
      <c r="E24" s="0" t="n">
        <f aca="false">-E6*E23/100</f>
        <v>-0</v>
      </c>
      <c r="F24" s="0" t="n">
        <f aca="false">-F6*F23/100</f>
        <v>-0</v>
      </c>
      <c r="G24" s="0" t="n">
        <f aca="false">-G6*G23/100</f>
        <v>-0</v>
      </c>
      <c r="H24" s="0" t="n">
        <f aca="false">-H6*H23/100</f>
        <v>-0</v>
      </c>
      <c r="I24" s="0" t="n">
        <f aca="false">-I6*I23/100</f>
        <v>-0</v>
      </c>
      <c r="J24" s="0" t="n">
        <f aca="false">-J6*J23/100</f>
        <v>-0</v>
      </c>
      <c r="K24" s="0" t="n">
        <f aca="false">-K6*K23/100</f>
        <v>-0</v>
      </c>
      <c r="L24" s="0" t="n">
        <f aca="false">-L6*L23/100</f>
        <v>-0</v>
      </c>
    </row>
    <row r="26" customFormat="false" ht="15" hidden="false" customHeight="false" outlineLevel="0" collapsed="false">
      <c r="A26" s="2" t="s">
        <v>125</v>
      </c>
    </row>
    <row r="27" customFormat="false" ht="15" hidden="false" customHeight="false" outlineLevel="0" collapsed="false">
      <c r="A27" s="0" t="s">
        <v>103</v>
      </c>
      <c r="B27" s="4" t="n">
        <f aca="false">Assumptions!$B$48</f>
        <v>9</v>
      </c>
    </row>
    <row r="28" customFormat="false" ht="15" hidden="false" customHeight="false" outlineLevel="0" collapsed="false">
      <c r="A28" s="0" t="s">
        <v>104</v>
      </c>
      <c r="B28" s="4" t="n">
        <f aca="false">Assumptions!$B$49</f>
        <v>2.5</v>
      </c>
    </row>
    <row r="29" customFormat="false" ht="15" hidden="false" customHeight="false" outlineLevel="0" collapsed="false">
      <c r="A29" s="0" t="s">
        <v>105</v>
      </c>
      <c r="B29" s="4" t="n">
        <f aca="false">Assumptions!$B$50</f>
        <v>12</v>
      </c>
    </row>
    <row r="30" customFormat="false" ht="15" hidden="false" customHeight="false" outlineLevel="0" collapsed="false">
      <c r="A30" s="0" t="s">
        <v>126</v>
      </c>
      <c r="B30" s="0" t="n">
        <f aca="false">SUM(C21:L21)</f>
        <v>22227.7789772453</v>
      </c>
    </row>
    <row r="31" customFormat="false" ht="15" hidden="false" customHeight="false" outlineLevel="0" collapsed="false">
      <c r="A31" s="0" t="s">
        <v>127</v>
      </c>
      <c r="B31" s="0" t="n">
        <f aca="false">L19</f>
        <v>4903.53137886123</v>
      </c>
    </row>
    <row r="32" customFormat="false" ht="15" hidden="false" customHeight="false" outlineLevel="0" collapsed="false">
      <c r="A32" s="0" t="s">
        <v>128</v>
      </c>
      <c r="B32" s="0" t="n">
        <f aca="false">IF(B27&gt;B28,B31*(1+B28/100)/((B27-B28)/100),B31*B29)</f>
        <v>77324.9178974271</v>
      </c>
    </row>
    <row r="33" customFormat="false" ht="15" hidden="false" customHeight="false" outlineLevel="0" collapsed="false">
      <c r="A33" s="0" t="s">
        <v>129</v>
      </c>
      <c r="B33" s="0" t="n">
        <f aca="false">B31*B29</f>
        <v>58842.3765463347</v>
      </c>
    </row>
    <row r="34" customFormat="false" ht="15" hidden="false" customHeight="false" outlineLevel="0" collapsed="false">
      <c r="A34" s="0" t="s">
        <v>130</v>
      </c>
      <c r="B34" s="0" t="n">
        <f aca="false">MAX(0,MIN(B32,B33))</f>
        <v>58842.3765463347</v>
      </c>
    </row>
    <row r="35" customFormat="false" ht="15" hidden="false" customHeight="false" outlineLevel="0" collapsed="false">
      <c r="A35" s="0" t="s">
        <v>131</v>
      </c>
      <c r="B35" s="0" t="n">
        <f aca="false">B34/(1+B27/100)^L4</f>
        <v>24855.6557565972</v>
      </c>
    </row>
    <row r="36" customFormat="false" ht="15" hidden="false" customHeight="false" outlineLevel="0" collapsed="false">
      <c r="A36" s="0" t="s">
        <v>132</v>
      </c>
      <c r="B36" s="0" t="n">
        <f aca="false">B30+B35</f>
        <v>47083.4347338425</v>
      </c>
    </row>
    <row r="37" customFormat="false" ht="15" hidden="false" customHeight="false" outlineLevel="0" collapsed="false">
      <c r="A37" s="0" t="s">
        <v>133</v>
      </c>
      <c r="B37" s="0" t="n">
        <f aca="false">B36+Assumptions!$B$5-Assumptions!$B$4</f>
        <v>54165.4347338425</v>
      </c>
    </row>
    <row r="38" customFormat="false" ht="15" hidden="false" customHeight="false" outlineLevel="0" collapsed="false">
      <c r="A38" s="0" t="s">
        <v>134</v>
      </c>
      <c r="B38" s="0" t="n">
        <f aca="false">B37/Assumptions!$B$3*Assumptions!$B$10</f>
        <v>59.4571182588831</v>
      </c>
    </row>
    <row r="39" customFormat="false" ht="15" hidden="false" customHeight="false" outlineLevel="0" collapsed="false">
      <c r="A39" s="0" t="s">
        <v>135</v>
      </c>
      <c r="B39" s="4" t="n">
        <f aca="false">B38/Assumptions!$B$2-1</f>
        <v>0.42925765045392</v>
      </c>
    </row>
    <row r="41" customFormat="false" ht="15" hidden="false" customHeight="false" outlineLevel="0" collapsed="false">
      <c r="A41" s="0" t="s">
        <v>136</v>
      </c>
      <c r="B41" s="0" t="n">
        <f aca="false">SUMPRODUCT(-C10:L10/(1+$B$27/100)^C4:L4)</f>
        <v>0</v>
      </c>
    </row>
    <row r="42" customFormat="false" ht="15" hidden="false" customHeight="false" outlineLevel="0" collapsed="false">
      <c r="A42" s="0" t="s">
        <v>137</v>
      </c>
      <c r="B42" s="0" t="n">
        <f aca="false">IF(B27&gt;B28,-L10*(1+B28/100)/((B27-B28)/100),-L10*20)/(1+B27/100)^L4</f>
        <v>0</v>
      </c>
    </row>
    <row r="43" customFormat="false" ht="15" hidden="false" customHeight="false" outlineLevel="0" collapsed="false">
      <c r="A43" s="0" t="s">
        <v>138</v>
      </c>
      <c r="B43" s="0" t="n">
        <f aca="false">(B37+B41+B42)/Assumptions!$B$3*Assumptions!$B$10</f>
        <v>59.4571182588831</v>
      </c>
    </row>
    <row r="45" customFormat="false" ht="15" hidden="false" customHeight="false" outlineLevel="0" collapsed="false">
      <c r="A45" s="0" t="s">
        <v>79</v>
      </c>
      <c r="B45" s="4" t="n">
        <f aca="false">Assumptions!$B$6</f>
        <v>15</v>
      </c>
    </row>
    <row r="46" customFormat="false" ht="15" hidden="false" customHeight="false" outlineLevel="0" collapsed="false">
      <c r="A46" s="0" t="s">
        <v>139</v>
      </c>
      <c r="B46" s="0" t="n">
        <f aca="false">MAX(0,MIN(IF(B45&gt;B28,B31*(1+B28/100)/((B45-B28)/100),B31*B29),B31*B29))</f>
        <v>40208.9573066621</v>
      </c>
    </row>
    <row r="47" customFormat="false" ht="15" hidden="false" customHeight="false" outlineLevel="0" collapsed="false">
      <c r="A47" s="0" t="s">
        <v>140</v>
      </c>
      <c r="B47" s="0" t="n">
        <f aca="false">(SUMPRODUCT(C19:L19/(1+B45/100)^C4:L4)+B46/(1+B45/100)^L4+Assumptions!$B$5-Assumptions!$B$4)/Assumptions!$B$3*Assumptions!$B$10</f>
        <v>36.8584626460674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60"/>
  </cols>
  <sheetData>
    <row r="1" customFormat="false" ht="15" hidden="false" customHeight="false" outlineLevel="0" collapsed="false">
      <c r="A1" s="2" t="s">
        <v>143</v>
      </c>
    </row>
    <row r="3" customFormat="false" ht="15" hidden="false" customHeight="false" outlineLevel="0" collapsed="false">
      <c r="A3" s="2" t="s">
        <v>144</v>
      </c>
      <c r="B3" s="2" t="s">
        <v>145</v>
      </c>
      <c r="C3" s="2" t="s">
        <v>135</v>
      </c>
      <c r="D3" s="2" t="s">
        <v>146</v>
      </c>
      <c r="E3" s="2" t="s">
        <v>138</v>
      </c>
      <c r="F3" s="2" t="s">
        <v>147</v>
      </c>
    </row>
    <row r="4" customFormat="false" ht="15" hidden="false" customHeight="false" outlineLevel="0" collapsed="false">
      <c r="A4" s="0" t="s">
        <v>148</v>
      </c>
      <c r="B4" s="4" t="n">
        <f aca="false">DCF_Bear!$B$38</f>
        <v>31.1009833026414</v>
      </c>
      <c r="C4" s="0" t="n">
        <f aca="false">B4/Assumptions!$B$2-1</f>
        <v>-0.25238020907112</v>
      </c>
      <c r="D4" s="4" t="n">
        <f aca="false">Assumptions!$B$24</f>
        <v>0.25</v>
      </c>
      <c r="E4" s="4" t="n">
        <f aca="false">DCF_Bear!$B$43</f>
        <v>31.1009833026414</v>
      </c>
      <c r="F4" s="4" t="n">
        <f aca="false">DCF_Bear!$B$47</f>
        <v>20.9748272911794</v>
      </c>
    </row>
    <row r="5" customFormat="false" ht="15" hidden="false" customHeight="false" outlineLevel="0" collapsed="false">
      <c r="A5" s="0" t="s">
        <v>149</v>
      </c>
      <c r="B5" s="4" t="n">
        <f aca="false">DCF_Base!$B$38</f>
        <v>46.7026319825966</v>
      </c>
      <c r="C5" s="0" t="n">
        <f aca="false">B5/Assumptions!$B$2-1</f>
        <v>0.122659422658573</v>
      </c>
      <c r="D5" s="4" t="n">
        <f aca="false">Assumptions!$B$38</f>
        <v>0.5</v>
      </c>
      <c r="E5" s="4" t="n">
        <f aca="false">DCF_Base!$B$43</f>
        <v>46.7026319825966</v>
      </c>
      <c r="F5" s="4" t="n">
        <f aca="false">DCF_Base!$B$47</f>
        <v>29.5799542193724</v>
      </c>
    </row>
    <row r="6" customFormat="false" ht="15" hidden="false" customHeight="false" outlineLevel="0" collapsed="false">
      <c r="A6" s="0" t="s">
        <v>150</v>
      </c>
      <c r="B6" s="4" t="n">
        <f aca="false">DCF_Bull!$B$38</f>
        <v>59.4571182588831</v>
      </c>
      <c r="C6" s="0" t="n">
        <f aca="false">B6/Assumptions!$B$2-1</f>
        <v>0.42925765045392</v>
      </c>
      <c r="D6" s="4" t="n">
        <f aca="false">Assumptions!$B$52</f>
        <v>0.25</v>
      </c>
      <c r="E6" s="4" t="n">
        <f aca="false">DCF_Bull!$B$43</f>
        <v>59.4571182588831</v>
      </c>
      <c r="F6" s="4" t="n">
        <f aca="false">DCF_Bull!$B$47</f>
        <v>36.8584626460674</v>
      </c>
    </row>
    <row r="8" customFormat="false" ht="15" hidden="false" customHeight="false" outlineLevel="0" collapsed="false">
      <c r="A8" s="0" t="s">
        <v>151</v>
      </c>
      <c r="B8" s="0" t="n">
        <f aca="false">SUMPRODUCT(B4:B6,D4:D6)</f>
        <v>45.9908413816794</v>
      </c>
    </row>
    <row r="9" customFormat="false" ht="15" hidden="false" customHeight="false" outlineLevel="0" collapsed="false">
      <c r="A9" s="0" t="s">
        <v>152</v>
      </c>
      <c r="B9" s="0" t="n">
        <f aca="false">SUMPRODUCT(E4:E6,D4:D6)</f>
        <v>45.9908413816794</v>
      </c>
    </row>
    <row r="10" customFormat="false" ht="15" hidden="false" customHeight="false" outlineLevel="0" collapsed="false">
      <c r="A10" s="0" t="s">
        <v>153</v>
      </c>
      <c r="B10" s="0" t="n">
        <f aca="false">1-Assumptions!$B$2/B8</f>
        <v>0.0954720820443293</v>
      </c>
    </row>
    <row r="11" customFormat="false" ht="15" hidden="false" customHeight="false" outlineLevel="0" collapsed="false">
      <c r="A11" s="0" t="s">
        <v>154</v>
      </c>
      <c r="B11" s="0" t="str">
        <f aca="false">IF(ABS(B9-B8)&gt;0.01*ABS(B8),(Assumptions!$B$2-B8)/(B9-B8)*100,"n/a")</f>
        <v>n/a</v>
      </c>
    </row>
    <row r="12" customFormat="false" ht="15" hidden="false" customHeight="false" outlineLevel="0" collapsed="false">
      <c r="A12" s="0" t="s">
        <v>155</v>
      </c>
      <c r="B12" s="0" t="n">
        <f aca="false">SUMPRODUCT(F4:F6,D4:D6)</f>
        <v>29.2482995939979</v>
      </c>
    </row>
    <row r="14" customFormat="false" ht="15" hidden="false" customHeight="false" outlineLevel="0" collapsed="false">
      <c r="A14" s="2" t="s">
        <v>156</v>
      </c>
      <c r="C14" s="0" t="s">
        <v>157</v>
      </c>
    </row>
    <row r="15" customFormat="false" ht="15" hidden="false" customHeight="false" outlineLevel="0" collapsed="false">
      <c r="A15" s="0" t="s">
        <v>158</v>
      </c>
      <c r="B15" s="0" t="n">
        <f aca="false">(SUMPRODUCT(DCF_Base!$C$19:$L$19/(1+$C$15/100)^DCF_Base!$C$4:$L$4)+MAX(0,MIN(IF($C$15&gt;DCF_Base!$B$28,DCF_Base!$L$19*(1+DCF_Base!$B$28/100)/(($C$15-DCF_Base!$B$28)/100),DCF_Base!$L$19*DCF_Base!$B$29),DCF_Base!$L$19*DCF_Base!$B$29))/(1+$C$15/100)^DCF_Base!$L$4+Assumptions!$B$5-Assumptions!$B$4)/Assumptions!$B$3*Assumptions!$B$10</f>
        <v>46.7026319825966</v>
      </c>
      <c r="C15" s="3" t="n">
        <v>9</v>
      </c>
    </row>
    <row r="16" customFormat="false" ht="15" hidden="false" customHeight="false" outlineLevel="0" collapsed="false">
      <c r="A16" s="0" t="s">
        <v>159</v>
      </c>
      <c r="B16" s="0" t="n">
        <f aca="false">(SUMPRODUCT(DCF_Base!$C$19:$L$19/(1+$C$16/100)^DCF_Base!$C$4:$L$4)+MAX(0,MIN(IF($C$16&gt;DCF_Base!$B$28,DCF_Base!$L$19*(1+DCF_Base!$B$28/100)/(($C$16-DCF_Base!$B$28)/100),DCF_Base!$L$19*DCF_Base!$B$29),DCF_Base!$L$19*DCF_Base!$B$29))/(1+$C$16/100)^DCF_Base!$L$4+Assumptions!$B$5-Assumptions!$B$4)/Assumptions!$B$3*Assumptions!$B$10</f>
        <v>44.0199006461262</v>
      </c>
      <c r="C16" s="3" t="n">
        <v>10</v>
      </c>
    </row>
    <row r="17" customFormat="false" ht="15" hidden="false" customHeight="false" outlineLevel="0" collapsed="false">
      <c r="A17" s="0" t="s">
        <v>160</v>
      </c>
      <c r="B17" s="0" t="n">
        <f aca="false">(SUMPRODUCT(DCF_Base!$C$19:$L$19/(1+$C$17/100)^DCF_Base!$C$4:$L$4)+MAX(0,MIN(IF($C$17&gt;DCF_Base!$B$28,DCF_Base!$L$19*(1+DCF_Base!$B$28/100)/(($C$17-DCF_Base!$B$28)/100),DCF_Base!$L$19*DCF_Base!$B$29),DCF_Base!$L$19*DCF_Base!$B$29))/(1+$C$17/100)^DCF_Base!$L$4+Assumptions!$B$5-Assumptions!$B$4)/Assumptions!$B$3*Assumptions!$B$10</f>
        <v>40.6363218769334</v>
      </c>
      <c r="C17" s="3" t="n">
        <v>11</v>
      </c>
    </row>
    <row r="18" customFormat="false" ht="15" hidden="false" customHeight="false" outlineLevel="0" collapsed="false">
      <c r="A18" s="0" t="s">
        <v>161</v>
      </c>
      <c r="B18" s="0" t="n">
        <f aca="false">(SUMPRODUCT(DCF_Base!$C$19:$L$19/(1+$C$18/100)^DCF_Base!$C$4:$L$4)+MAX(0,MIN(IF($C$18&gt;DCF_Base!$B$28,DCF_Base!$L$19*(1+DCF_Base!$B$28/100)/(($C$18-DCF_Base!$B$28)/100),DCF_Base!$L$19*DCF_Base!$B$29),DCF_Base!$L$19*DCF_Base!$B$29))/(1+$C$18/100)^DCF_Base!$L$4+Assumptions!$B$5-Assumptions!$B$4)/Assumptions!$B$3*Assumptions!$B$10</f>
        <v>37.0247492254113</v>
      </c>
      <c r="C18" s="3" t="n">
        <v>12</v>
      </c>
    </row>
    <row r="19" customFormat="false" ht="15" hidden="false" customHeight="false" outlineLevel="0" collapsed="false">
      <c r="A19" s="0" t="s">
        <v>162</v>
      </c>
      <c r="B19" s="0" t="n">
        <f aca="false">(SUMPRODUCT(DCF_Base!$C$19:$L$19/(1+$C$19/100)^DCF_Base!$C$4:$L$4)+MAX(0,MIN(IF($C$19&gt;DCF_Base!$B$28,DCF_Base!$L$19*(1+DCF_Base!$B$28/100)/(($C$19-DCF_Base!$B$28)/100),DCF_Base!$L$19*DCF_Base!$B$29),DCF_Base!$L$19*DCF_Base!$B$29))/(1+$C$19/100)^DCF_Base!$L$4+Assumptions!$B$5-Assumptions!$B$4)/Assumptions!$B$3*Assumptions!$B$10</f>
        <v>29.5799542193724</v>
      </c>
      <c r="C19" s="3" t="n">
        <v>15</v>
      </c>
    </row>
    <row r="21" customFormat="false" ht="15" hidden="false" customHeight="false" outlineLevel="0" collapsed="false">
      <c r="A21" s="2" t="s">
        <v>163</v>
      </c>
    </row>
    <row r="22" customFormat="false" ht="15" hidden="false" customHeight="false" outlineLevel="0" collapsed="false">
      <c r="B22" s="3" t="n">
        <v>1</v>
      </c>
      <c r="C22" s="3" t="n">
        <v>1.5</v>
      </c>
      <c r="D22" s="3" t="n">
        <v>2</v>
      </c>
      <c r="E22" s="3" t="n">
        <v>2.5</v>
      </c>
      <c r="F22" s="3" t="n">
        <v>3</v>
      </c>
    </row>
    <row r="23" customFormat="false" ht="15" hidden="false" customHeight="false" outlineLevel="0" collapsed="false">
      <c r="A23" s="3" t="n">
        <v>7</v>
      </c>
      <c r="B23" s="0" t="n">
        <f aca="false">(SUMPRODUCT(DCF_Base!$C$19:$L$19/(1+$A$23/100)^DCF_Base!$C$4:$L$4)+MAX(0,MIN(IF($A$23&gt;$B$22,DCF_Base!$L$19*(1+$B$22/100)/(($A$23-$B$22)/100),DCF_Base!$L$19*DCF_Base!$B$29),DCF_Base!$L$19*DCF_Base!$B$29))/(1+$A$23/100)^DCF_Base!$L$4+Assumptions!$B$5-Assumptions!$B$4)/Assumptions!$B$3*Assumptions!$B$10</f>
        <v>52.8647049824813</v>
      </c>
      <c r="C23" s="0" t="n">
        <f aca="false">(SUMPRODUCT(DCF_Base!$C$19:$L$19/(1+$A$23/100)^DCF_Base!$C$4:$L$4)+MAX(0,MIN(IF($A$23&gt;$C$22,DCF_Base!$L$19*(1+$C$22/100)/(($A$23-$C$22)/100),DCF_Base!$L$19*DCF_Base!$B$29),DCF_Base!$L$19*DCF_Base!$B$29))/(1+$A$23/100)^DCF_Base!$L$4+Assumptions!$B$5-Assumptions!$B$4)/Assumptions!$B$3*Assumptions!$B$10</f>
        <v>52.8647049824813</v>
      </c>
      <c r="D23" s="0" t="n">
        <f aca="false">(SUMPRODUCT(DCF_Base!$C$19:$L$19/(1+$A$23/100)^DCF_Base!$C$4:$L$4)+MAX(0,MIN(IF($A$23&gt;$D$22,DCF_Base!$L$19*(1+$D$22/100)/(($A$23-$D$22)/100),DCF_Base!$L$19*DCF_Base!$B$29),DCF_Base!$L$19*DCF_Base!$B$29))/(1+$A$23/100)^DCF_Base!$L$4+Assumptions!$B$5-Assumptions!$B$4)/Assumptions!$B$3*Assumptions!$B$10</f>
        <v>52.8647049824813</v>
      </c>
      <c r="E23" s="0" t="n">
        <f aca="false">(SUMPRODUCT(DCF_Base!$C$19:$L$19/(1+$A$23/100)^DCF_Base!$C$4:$L$4)+MAX(0,MIN(IF($A$23&gt;$E$22,DCF_Base!$L$19*(1+$E$22/100)/(($A$23-$E$22)/100),DCF_Base!$L$19*DCF_Base!$B$29),DCF_Base!$L$19*DCF_Base!$B$29))/(1+$A$23/100)^DCF_Base!$L$4+Assumptions!$B$5-Assumptions!$B$4)/Assumptions!$B$3*Assumptions!$B$10</f>
        <v>52.8647049824813</v>
      </c>
      <c r="F23" s="0" t="n">
        <f aca="false">(SUMPRODUCT(DCF_Base!$C$19:$L$19/(1+$A$23/100)^DCF_Base!$C$4:$L$4)+MAX(0,MIN(IF($A$23&gt;$F$22,DCF_Base!$L$19*(1+$F$22/100)/(($A$23-$F$22)/100),DCF_Base!$L$19*DCF_Base!$B$29),DCF_Base!$L$19*DCF_Base!$B$29))/(1+$A$23/100)^DCF_Base!$L$4+Assumptions!$B$5-Assumptions!$B$4)/Assumptions!$B$3*Assumptions!$B$10</f>
        <v>52.8647049824813</v>
      </c>
    </row>
    <row r="24" customFormat="false" ht="15" hidden="false" customHeight="false" outlineLevel="0" collapsed="false">
      <c r="A24" s="3" t="n">
        <v>8</v>
      </c>
      <c r="B24" s="0" t="n">
        <f aca="false">(SUMPRODUCT(DCF_Base!$C$19:$L$19/(1+$A$24/100)^DCF_Base!$C$4:$L$4)+MAX(0,MIN(IF($A$24&gt;$B$22,DCF_Base!$L$19*(1+$B$22/100)/(($A$24-$B$22)/100),DCF_Base!$L$19*DCF_Base!$B$29),DCF_Base!$L$19*DCF_Base!$B$29))/(1+$A$24/100)^DCF_Base!$L$4+Assumptions!$B$5-Assumptions!$B$4)/Assumptions!$B$3*Assumptions!$B$10</f>
        <v>49.6414751934044</v>
      </c>
      <c r="C24" s="0" t="n">
        <f aca="false">(SUMPRODUCT(DCF_Base!$C$19:$L$19/(1+$A$24/100)^DCF_Base!$C$4:$L$4)+MAX(0,MIN(IF($A$24&gt;$C$22,DCF_Base!$L$19*(1+$C$22/100)/(($A$24-$C$22)/100),DCF_Base!$L$19*DCF_Base!$B$29),DCF_Base!$L$19*DCF_Base!$B$29))/(1+$A$24/100)^DCF_Base!$L$4+Assumptions!$B$5-Assumptions!$B$4)/Assumptions!$B$3*Assumptions!$B$10</f>
        <v>49.6414751934044</v>
      </c>
      <c r="D24" s="0" t="n">
        <f aca="false">(SUMPRODUCT(DCF_Base!$C$19:$L$19/(1+$A$24/100)^DCF_Base!$C$4:$L$4)+MAX(0,MIN(IF($A$24&gt;$D$22,DCF_Base!$L$19*(1+$D$22/100)/(($A$24-$D$22)/100),DCF_Base!$L$19*DCF_Base!$B$29),DCF_Base!$L$19*DCF_Base!$B$29))/(1+$A$24/100)^DCF_Base!$L$4+Assumptions!$B$5-Assumptions!$B$4)/Assumptions!$B$3*Assumptions!$B$10</f>
        <v>49.6414751934044</v>
      </c>
      <c r="E24" s="0" t="n">
        <f aca="false">(SUMPRODUCT(DCF_Base!$C$19:$L$19/(1+$A$24/100)^DCF_Base!$C$4:$L$4)+MAX(0,MIN(IF($A$24&gt;$E$22,DCF_Base!$L$19*(1+$E$22/100)/(($A$24-$E$22)/100),DCF_Base!$L$19*DCF_Base!$B$29),DCF_Base!$L$19*DCF_Base!$B$29))/(1+$A$24/100)^DCF_Base!$L$4+Assumptions!$B$5-Assumptions!$B$4)/Assumptions!$B$3*Assumptions!$B$10</f>
        <v>49.6414751934044</v>
      </c>
      <c r="F24" s="0" t="n">
        <f aca="false">(SUMPRODUCT(DCF_Base!$C$19:$L$19/(1+$A$24/100)^DCF_Base!$C$4:$L$4)+MAX(0,MIN(IF($A$24&gt;$F$22,DCF_Base!$L$19*(1+$F$22/100)/(($A$24-$F$22)/100),DCF_Base!$L$19*DCF_Base!$B$29),DCF_Base!$L$19*DCF_Base!$B$29))/(1+$A$24/100)^DCF_Base!$L$4+Assumptions!$B$5-Assumptions!$B$4)/Assumptions!$B$3*Assumptions!$B$10</f>
        <v>49.6414751934044</v>
      </c>
    </row>
    <row r="25" customFormat="false" ht="15" hidden="false" customHeight="false" outlineLevel="0" collapsed="false">
      <c r="A25" s="3" t="n">
        <v>9</v>
      </c>
      <c r="B25" s="0" t="n">
        <f aca="false">(SUMPRODUCT(DCF_Base!$C$19:$L$19/(1+$A$25/100)^DCF_Base!$C$4:$L$4)+MAX(0,MIN(IF($A$25&gt;$B$22,DCF_Base!$L$19*(1+$B$22/100)/(($A$25-$B$22)/100),DCF_Base!$L$19*DCF_Base!$B$29),DCF_Base!$L$19*DCF_Base!$B$29))/(1+$A$25/100)^DCF_Base!$L$4+Assumptions!$B$5-Assumptions!$B$4)/Assumptions!$B$3*Assumptions!$B$10</f>
        <v>46.7026319825966</v>
      </c>
      <c r="C25" s="0" t="n">
        <f aca="false">(SUMPRODUCT(DCF_Base!$C$19:$L$19/(1+$A$25/100)^DCF_Base!$C$4:$L$4)+MAX(0,MIN(IF($A$25&gt;$C$22,DCF_Base!$L$19*(1+$C$22/100)/(($A$25-$C$22)/100),DCF_Base!$L$19*DCF_Base!$B$29),DCF_Base!$L$19*DCF_Base!$B$29))/(1+$A$25/100)^DCF_Base!$L$4+Assumptions!$B$5-Assumptions!$B$4)/Assumptions!$B$3*Assumptions!$B$10</f>
        <v>46.7026319825966</v>
      </c>
      <c r="D25" s="0" t="n">
        <f aca="false">(SUMPRODUCT(DCF_Base!$C$19:$L$19/(1+$A$25/100)^DCF_Base!$C$4:$L$4)+MAX(0,MIN(IF($A$25&gt;$D$22,DCF_Base!$L$19*(1+$D$22/100)/(($A$25-$D$22)/100),DCF_Base!$L$19*DCF_Base!$B$29),DCF_Base!$L$19*DCF_Base!$B$29))/(1+$A$25/100)^DCF_Base!$L$4+Assumptions!$B$5-Assumptions!$B$4)/Assumptions!$B$3*Assumptions!$B$10</f>
        <v>46.7026319825966</v>
      </c>
      <c r="E25" s="0" t="n">
        <f aca="false">(SUMPRODUCT(DCF_Base!$C$19:$L$19/(1+$A$25/100)^DCF_Base!$C$4:$L$4)+MAX(0,MIN(IF($A$25&gt;$E$22,DCF_Base!$L$19*(1+$E$22/100)/(($A$25-$E$22)/100),DCF_Base!$L$19*DCF_Base!$B$29),DCF_Base!$L$19*DCF_Base!$B$29))/(1+$A$25/100)^DCF_Base!$L$4+Assumptions!$B$5-Assumptions!$B$4)/Assumptions!$B$3*Assumptions!$B$10</f>
        <v>46.7026319825966</v>
      </c>
      <c r="F25" s="0" t="n">
        <f aca="false">(SUMPRODUCT(DCF_Base!$C$19:$L$19/(1+$A$25/100)^DCF_Base!$C$4:$L$4)+MAX(0,MIN(IF($A$25&gt;$F$22,DCF_Base!$L$19*(1+$F$22/100)/(($A$25-$F$22)/100),DCF_Base!$L$19*DCF_Base!$B$29),DCF_Base!$L$19*DCF_Base!$B$29))/(1+$A$25/100)^DCF_Base!$L$4+Assumptions!$B$5-Assumptions!$B$4)/Assumptions!$B$3*Assumptions!$B$10</f>
        <v>46.7026319825966</v>
      </c>
    </row>
    <row r="26" customFormat="false" ht="15" hidden="false" customHeight="false" outlineLevel="0" collapsed="false">
      <c r="A26" s="3" t="n">
        <v>10</v>
      </c>
      <c r="B26" s="0" t="n">
        <f aca="false">(SUMPRODUCT(DCF_Base!$C$19:$L$19/(1+$A$26/100)^DCF_Base!$C$4:$L$4)+MAX(0,MIN(IF($A$26&gt;$B$22,DCF_Base!$L$19*(1+$B$22/100)/(($A$26-$B$22)/100),DCF_Base!$L$19*DCF_Base!$B$29),DCF_Base!$L$19*DCF_Base!$B$29))/(1+$A$26/100)^DCF_Base!$L$4+Assumptions!$B$5-Assumptions!$B$4)/Assumptions!$B$3*Assumptions!$B$10</f>
        <v>42.8298803075613</v>
      </c>
      <c r="C26" s="0" t="n">
        <f aca="false">(SUMPRODUCT(DCF_Base!$C$19:$L$19/(1+$A$26/100)^DCF_Base!$C$4:$L$4)+MAX(0,MIN(IF($A$26&gt;$C$22,DCF_Base!$L$19*(1+$C$22/100)/(($A$26-$C$22)/100),DCF_Base!$L$19*DCF_Base!$B$29),DCF_Base!$L$19*DCF_Base!$B$29))/(1+$A$26/100)^DCF_Base!$L$4+Assumptions!$B$5-Assumptions!$B$4)/Assumptions!$B$3*Assumptions!$B$10</f>
        <v>43.9298991079154</v>
      </c>
      <c r="D26" s="0" t="n">
        <f aca="false">(SUMPRODUCT(DCF_Base!$C$19:$L$19/(1+$A$26/100)^DCF_Base!$C$4:$L$4)+MAX(0,MIN(IF($A$26&gt;$D$22,DCF_Base!$L$19*(1+$D$22/100)/(($A$26-$D$22)/100),DCF_Base!$L$19*DCF_Base!$B$29),DCF_Base!$L$19*DCF_Base!$B$29))/(1+$A$26/100)^DCF_Base!$L$4+Assumptions!$B$5-Assumptions!$B$4)/Assumptions!$B$3*Assumptions!$B$10</f>
        <v>44.0199006461262</v>
      </c>
      <c r="E26" s="0" t="n">
        <f aca="false">(SUMPRODUCT(DCF_Base!$C$19:$L$19/(1+$A$26/100)^DCF_Base!$C$4:$L$4)+MAX(0,MIN(IF($A$26&gt;$E$22,DCF_Base!$L$19*(1+$E$22/100)/(($A$26-$E$22)/100),DCF_Base!$L$19*DCF_Base!$B$29),DCF_Base!$L$19*DCF_Base!$B$29))/(1+$A$26/100)^DCF_Base!$L$4+Assumptions!$B$5-Assumptions!$B$4)/Assumptions!$B$3*Assumptions!$B$10</f>
        <v>44.0199006461262</v>
      </c>
      <c r="F26" s="0" t="n">
        <f aca="false">(SUMPRODUCT(DCF_Base!$C$19:$L$19/(1+$A$26/100)^DCF_Base!$C$4:$L$4)+MAX(0,MIN(IF($A$26&gt;$F$22,DCF_Base!$L$19*(1+$F$22/100)/(($A$26-$F$22)/100),DCF_Base!$L$19*DCF_Base!$B$29),DCF_Base!$L$19*DCF_Base!$B$29))/(1+$A$26/100)^DCF_Base!$L$4+Assumptions!$B$5-Assumptions!$B$4)/Assumptions!$B$3*Assumptions!$B$10</f>
        <v>44.0199006461262</v>
      </c>
    </row>
    <row r="27" customFormat="false" ht="15" hidden="false" customHeight="false" outlineLevel="0" collapsed="false">
      <c r="A27" s="3" t="n">
        <v>11</v>
      </c>
      <c r="B27" s="0" t="n">
        <f aca="false">(SUMPRODUCT(DCF_Base!$C$19:$L$19/(1+$A$27/100)^DCF_Base!$C$4:$L$4)+MAX(0,MIN(IF($A$27&gt;$B$22,DCF_Base!$L$19*(1+$B$22/100)/(($A$27-$B$22)/100),DCF_Base!$L$19*DCF_Base!$B$29),DCF_Base!$L$19*DCF_Base!$B$29))/(1+$A$27/100)^DCF_Base!$L$4+Assumptions!$B$5-Assumptions!$B$4)/Assumptions!$B$3*Assumptions!$B$10</f>
        <v>38.912563513025</v>
      </c>
      <c r="C27" s="0" t="n">
        <f aca="false">(SUMPRODUCT(DCF_Base!$C$19:$L$19/(1+$A$27/100)^DCF_Base!$C$4:$L$4)+MAX(0,MIN(IF($A$27&gt;$C$22,DCF_Base!$L$19*(1+$C$22/100)/(($A$27-$C$22)/100),DCF_Base!$L$19*DCF_Base!$B$29),DCF_Base!$L$19*DCF_Base!$B$29))/(1+$A$27/100)^DCF_Base!$L$4+Assumptions!$B$5-Assumptions!$B$4)/Assumptions!$B$3*Assumptions!$B$10</f>
        <v>39.7290806327711</v>
      </c>
      <c r="D27" s="0" t="n">
        <f aca="false">(SUMPRODUCT(DCF_Base!$C$19:$L$19/(1+$A$27/100)^DCF_Base!$C$4:$L$4)+MAX(0,MIN(IF($A$27&gt;$D$22,DCF_Base!$L$19*(1+$D$22/100)/(($A$27-$D$22)/100),DCF_Base!$L$19*DCF_Base!$B$29),DCF_Base!$L$19*DCF_Base!$B$29))/(1+$A$27/100)^DCF_Base!$L$4+Assumptions!$B$5-Assumptions!$B$4)/Assumptions!$B$3*Assumptions!$B$10</f>
        <v>40.6363218769334</v>
      </c>
      <c r="E27" s="0" t="n">
        <f aca="false">(SUMPRODUCT(DCF_Base!$C$19:$L$19/(1+$A$27/100)^DCF_Base!$C$4:$L$4)+MAX(0,MIN(IF($A$27&gt;$E$22,DCF_Base!$L$19*(1+$E$22/100)/(($A$27-$E$22)/100),DCF_Base!$L$19*DCF_Base!$B$29),DCF_Base!$L$19*DCF_Base!$B$29))/(1+$A$27/100)^DCF_Base!$L$4+Assumptions!$B$5-Assumptions!$B$4)/Assumptions!$B$3*Assumptions!$B$10</f>
        <v>41.5680831547217</v>
      </c>
      <c r="F27" s="0" t="n">
        <f aca="false">(SUMPRODUCT(DCF_Base!$C$19:$L$19/(1+$A$27/100)^DCF_Base!$C$4:$L$4)+MAX(0,MIN(IF($A$27&gt;$F$22,DCF_Base!$L$19*(1+$F$22/100)/(($A$27-$F$22)/100),DCF_Base!$L$19*DCF_Base!$B$29),DCF_Base!$L$19*DCF_Base!$B$29))/(1+$A$27/100)^DCF_Base!$L$4+Assumptions!$B$5-Assumptions!$B$4)/Assumptions!$B$3*Assumptions!$B$10</f>
        <v>41.5680831547217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LibreOffice/26.2.5.2$MacOSX_AARCH64 LibreOffice_project/cd7284b4cbbfeb507e630c1aac019f4157393acb</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2026-10-25T02:07:28Z</dcterms:created>
  <dc:creator>openpyxl</dc:creator>
  <dc:description/>
  <dc:language>en-NZ</dc:language>
  <cp:lastModifiedBy/>
  <dcterms:modified xsi:type="dcterms:W3CDTF">2026-10-25T02:07:28Z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