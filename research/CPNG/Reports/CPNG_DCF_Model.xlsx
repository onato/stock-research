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<sst xmlns="http://schemas.openxmlformats.org/spreadsheetml/2006/main" count="113" uniqueCount="97">
  <si>
    <t>CPNG DCF Valuation Model (Base Case)</t>
  </si>
  <si>
    <t>Gray cells are INPUTS - adjust to see valuation change</t>
  </si>
  <si>
    <t>KEY INPUTS</t>
  </si>
  <si>
    <t>Current Stock Price</t>
  </si>
  <si>
    <t>Shares Outstanding (M)</t>
  </si>
  <si>
    <t>Cash &amp; Equivalents (M)</t>
  </si>
  <si>
    <t>Total Debt (M)</t>
  </si>
  <si>
    <t>Net Debt (M) [negative = net cash]</t>
  </si>
  <si>
    <t>Base Year Revenue - FY2025 (M)</t>
  </si>
  <si>
    <t>WACC</t>
  </si>
  <si>
    <t>Terminal Growth Rate</t>
  </si>
  <si>
    <t>GROWTH &amp; MARGIN ASSUMPTIONS</t>
  </si>
  <si>
    <t>Revenue Growth Rate</t>
  </si>
  <si>
    <t>Year 1</t>
  </si>
  <si>
    <t>Year 2</t>
  </si>
  <si>
    <t>Year 3</t>
  </si>
  <si>
    <t>Year 4</t>
  </si>
  <si>
    <t>Year 5</t>
  </si>
  <si>
    <t>FCF Margin (% of Revenue)</t>
  </si>
  <si>
    <t>PROJECTIONS</t>
  </si>
  <si>
    <t>Revenue</t>
  </si>
  <si>
    <t>Free Cash Flow</t>
  </si>
  <si>
    <t>Discount Factor</t>
  </si>
  <si>
    <t>PV of FCF</t>
  </si>
  <si>
    <t>VALUATION</t>
  </si>
  <si>
    <t>Sum of PV of FCF</t>
  </si>
  <si>
    <t>Terminal FCF (Year 5 *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</si>
  <si>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</si>
  <si>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</si>
  <si>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</si>
  <si>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</si>
  <si>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</si>
  <si>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</si>
  <si>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Terminal Value % of EV</t>
  </si>
  <si>
    <t>Implied Exit Multiple (TV/FCF5)</t>
  </si>
  <si>
    <t>ENTRY PRICE (15% IRR Target)</t>
  </si>
  <si>
    <t>PV of Yrs 1-5 FCF @15%</t>
  </si>
  <si>
    <t>PV of Terminal Value @15%</t>
  </si>
  <si>
    <t>Entry Price (15% CAGR)</t>
  </si>
  <si>
    <t>Upside to Intrinsic Value</t>
  </si>
  <si>
    <t>Upside to Entry Price</t>
  </si>
  <si>
    <t>Note: FCF base year is FY2025 revenue ($34,534M); FY2025 FCF margin was</t>
  </si>
  <si>
    <t>trough-depressed at 1.5% due to Taiwan/automation capex ramp and the Nov-2025</t>
  </si>
  <si>
    <t>data-breach compensation program (~$1.2B voucher program hitting Q1 2026).</t>
  </si>
  <si>
    <t>Model normalizes FCF margin toward 3.5% by Year 3-5 rather than extrapolating</t>
  </si>
  <si>
    <t>the depressed FY2025/Q1-2026 FCF forward.</t>
  </si>
  <si>
    <t>Bull / Base / Bear Scenario Comparison</t>
  </si>
  <si>
    <t>Assumption</t>
  </si>
  <si>
    <t>Bull</t>
  </si>
  <si>
    <t>Base</t>
  </si>
  <si>
    <t>Bear</t>
  </si>
  <si>
    <t>Terminal Growth</t>
  </si>
  <si>
    <t>Year 5 FCF Margin</t>
  </si>
  <si>
    <t>Year</t>
  </si>
  <si>
    <t>Y1</t>
  </si>
  <si>
    <t>Y2</t>
  </si>
  <si>
    <t>Y3</t>
  </si>
  <si>
    <t>Y4</t>
  </si>
  <si>
    <t>Y5</t>
  </si>
  <si>
    <t>Bull Revenue Growth</t>
  </si>
  <si>
    <t>Base Revenue Growth</t>
  </si>
  <si>
    <t>Bear Revenue Growth</t>
  </si>
  <si>
    <t>Scenario Results</t>
  </si>
  <si>
    <t>Intrinsic Value</t>
  </si>
  <si>
    <t>Upside/Downside</t>
  </si>
  <si>
    <t>Terminal % of EV</t>
  </si>
  <si>
    <t>Implied Exit Mult</t>
  </si>
  <si>
    <t>Probability-Weighted IV</t>
  </si>
  <si>
    <t>Weights (Bull/Base/Bear)</t>
  </si>
  <si>
    <t>25% / 50% / 25%</t>
  </si>
  <si>
    <t>Sensitivity Analysis (Base Case)</t>
  </si>
  <si>
    <t>Intrinsic Value by WACC &amp; Terminal Growth</t>
  </si>
  <si>
    <t>WACC \ Term G</t>
  </si>
  <si>
    <t>Note: matrix recalculates using Base case revenue growth &amp; FCF margin</t>
  </si>
  <si>
    <t>path from the DCF Model sheet, varying only WACC and terminal growth.</t>
  </si>
  <si>
    <t>Historical Growth Rates</t>
  </si>
  <si>
    <t>Metric</t>
  </si>
  <si>
    <t>3-Year CAGR</t>
  </si>
  <si>
    <t>5-Year CAGR</t>
  </si>
  <si>
    <t>EPS</t>
  </si>
  <si>
    <t>n/a</t>
  </si>
  <si>
    <t>Equity</t>
  </si>
  <si>
    <t>FCF</t>
  </si>
  <si>
    <t>Selected Growth Driver:</t>
  </si>
  <si>
    <t>Source:</t>
  </si>
  <si>
    <t>revenue_driven_decelerating (management guide + FY2025 actual +14%, Q1-2026 +8% breach-impacted, Q2-2026 guide +9-10% cc)</t>
  </si>
  <si>
    <t>Growth Divergence Warning:</t>
  </si>
  <si>
    <t>Equity CAGR (24.2%, 3yr) and revenue CAGR (18.8%, 3yr) are not meaningful as growth drivers here: FY2020 equity was negative (post-IPO recap distortion) so a clean 5yr equity CAGR cannot be computed, EPS CAGR is not meaningful given a 2023 net-income spike from a one-off tax benefit followed by declines, and FCF CAGR is negative/not meaningful because FCF swung from -$1,082M (FY2021) to a $1,775M peak (FY2023, inflated by working-capital tailwinds) down to $527M (FY2025) and -$110M (Q1-2026, data-breach compensation). Given this volatility, the model uses a revenue-driven, decelerating growth path (FY2025 revenue +14%, Q1-2026 +8%, Q2-2026 guided +9-10% cc) combined with an FCF margin that normalizes from the FY2025 trough (1.5%) toward 3.5% mid-term, rather than compounding any single historical CAGR.</t>
  </si>
  <si>
    <t>Revenue ($M)</t>
  </si>
  <si>
    <t>FCF ($M)</t>
  </si>
  <si>
    <t>FCF Margin</t>
  </si>
  <si>
    <t>FY2021</t>
  </si>
  <si>
    <t>FY2022</t>
  </si>
  <si>
    <t>FY2023</t>
  </si>
  <si>
    <t>FY2024</t>
  </si>
  <si>
    <t>FY2025</t>
  </si>
  <si>
    <t>Q1-2026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</si>
</sst>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0" fontId="2" fillId="0" borderId="0" xfId="0" applyFont="1" applyAlignment="1">
      <alignment wrapText="1"/>
    </xf>
    <xf numFmtId="166" fontId="0" fillId="0" borderId="2" xfId="0" applyNumberFormat="1" applyBorder="1"/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cols>
    <col min="1" max="1" width="28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t="s">
        <v>3</v>
      </c>
      <c r="B5" s="4">
        <v>15.5</v>
      </c>
    </row>
    <row r="6" spans="1:6">
      <c r="A6" t="s">
        <v>4</v>
      </c>
      <c r="B6" s="4">
        <v>1809</v>
      </c>
    </row>
    <row r="7" spans="1:6">
      <c r="A7" t="s">
        <v>5</v>
      </c>
      <c r="B7" s="4">
        <v>6301</v>
      </c>
    </row>
    <row r="8" spans="1:6">
      <c r="A8" t="s">
        <v>6</v>
      </c>
      <c r="B8" s="4">
        <v>2289</v>
      </c>
    </row>
    <row r="9" spans="1:6">
      <c r="A9" t="s">
        <v>7</v>
      </c>
      <c r="B9" s="5">
        <f>B8-B7</f>
        <v>0</v>
      </c>
    </row>
    <row r="10" spans="1:6">
      <c r="A10" t="s">
        <v>8</v>
      </c>
      <c r="B10" s="4">
        <v>34534</v>
      </c>
    </row>
    <row r="12" spans="1:6">
      <c r="A12" t="s">
        <v>9</v>
      </c>
      <c r="B12" s="6">
        <v>0.115</v>
      </c>
    </row>
    <row r="13" spans="1:6">
      <c r="A13" t="s">
        <v>10</v>
      </c>
      <c r="B13" s="6">
        <v>0.025</v>
      </c>
    </row>
    <row r="15" spans="1:6">
      <c r="A15" s="3" t="s">
        <v>11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</row>
    <row r="16" spans="1:6">
      <c r="A16" t="s">
        <v>12</v>
      </c>
      <c r="B16" s="6">
        <v>0.105</v>
      </c>
      <c r="C16" s="6">
        <v>0.095</v>
      </c>
      <c r="D16" s="6">
        <v>0.08500000000000001</v>
      </c>
      <c r="E16" s="6">
        <v>0.075</v>
      </c>
      <c r="F16" s="6">
        <v>0.065</v>
      </c>
    </row>
    <row r="17" spans="1:6">
      <c r="A17" t="s">
        <v>18</v>
      </c>
      <c r="B17" s="6">
        <v>0.02</v>
      </c>
      <c r="C17" s="6">
        <v>0.028</v>
      </c>
      <c r="D17" s="6">
        <v>0.033</v>
      </c>
      <c r="E17" s="6">
        <v>0.035</v>
      </c>
      <c r="F17" s="6">
        <v>0.035</v>
      </c>
    </row>
    <row r="19" spans="1:6">
      <c r="A19" s="3" t="s">
        <v>19</v>
      </c>
    </row>
    <row r="20" spans="1:6">
      <c r="A20" s="7"/>
      <c r="B20" s="7" t="s">
        <v>13</v>
      </c>
      <c r="C20" s="7" t="s">
        <v>14</v>
      </c>
      <c r="D20" s="7" t="s">
        <v>15</v>
      </c>
      <c r="E20" s="7" t="s">
        <v>16</v>
      </c>
      <c r="F20" s="7" t="s">
        <v>17</v>
      </c>
    </row>
    <row r="21" spans="1:6">
      <c r="A21" t="s">
        <v>20</v>
      </c>
      <c r="B21" s="5">
        <f>B10*(1+B16)</f>
        <v>0</v>
      </c>
      <c r="C21" s="5">
        <f>B21*(1+C16)</f>
        <v>0</v>
      </c>
      <c r="D21" s="5">
        <f>C21*(1+D16)</f>
        <v>0</v>
      </c>
      <c r="E21" s="5">
        <f>D21*(1+E16)</f>
        <v>0</v>
      </c>
      <c r="F21" s="5">
        <f>E21*(1+F16)</f>
        <v>0</v>
      </c>
    </row>
    <row r="22" spans="1:6">
      <c r="A22" t="s">
        <v>21</v>
      </c>
      <c r="B22" s="5">
        <f>B21*B17</f>
        <v>0</v>
      </c>
      <c r="C22" s="5">
        <f>C21*C17</f>
        <v>0</v>
      </c>
      <c r="D22" s="5">
        <f>D21*D17</f>
        <v>0</v>
      </c>
      <c r="E22" s="5">
        <f>E21*E17</f>
        <v>0</v>
      </c>
      <c r="F22" s="5">
        <f>F21*F17</f>
        <v>0</v>
      </c>
    </row>
    <row r="23" spans="1:6">
      <c r="A23" t="s">
        <v>22</v>
      </c>
      <c r="B23" s="5">
        <f>1/(1+$B$12)^1</f>
        <v>0</v>
      </c>
      <c r="C23" s="5">
        <f>1/(1+$B$12)^2</f>
        <v>0</v>
      </c>
      <c r="D23" s="5">
        <f>1/(1+$B$12)^3</f>
        <v>0</v>
      </c>
      <c r="E23" s="5">
        <f>1/(1+$B$12)^4</f>
        <v>0</v>
      </c>
      <c r="F23" s="5">
        <f>1/(1+$B$12)^5</f>
        <v>0</v>
      </c>
    </row>
    <row r="24" spans="1:6">
      <c r="A24" t="s">
        <v>23</v>
      </c>
      <c r="B24" s="5">
        <f>B22*B23</f>
        <v>0</v>
      </c>
      <c r="C24" s="5">
        <f>C22*C23</f>
        <v>0</v>
      </c>
      <c r="D24" s="5">
        <f>D22*D23</f>
        <v>0</v>
      </c>
      <c r="E24" s="5">
        <f>E22*E23</f>
        <v>0</v>
      </c>
      <c r="F24" s="5">
        <f>F22*F23</f>
        <v>0</v>
      </c>
    </row>
    <row r="26" spans="1:6">
      <c r="A26" s="3" t="s">
        <v>24</v>
      </c>
    </row>
    <row r="27" spans="1:6">
      <c r="A27" t="s">
        <v>25</v>
      </c>
      <c r="B27" s="5">
        <f>SUM(B24:F24)</f>
        <v>0</v>
      </c>
    </row>
    <row r="28" spans="1:6">
      <c r="A28" t="s">
        <v>26</v>
      </c>
      <c r="B28" s="5">
        <f>F22*(1+$B$13)</f>
        <v>0</v>
      </c>
    </row>
    <row r="29" spans="1:6">
      <c r="A29" t="s">
        <v>27</v>
      </c>
      <c r="B29" s="5">
        <f>B28/($B$12-$B$13)</f>
        <v>0</v>
      </c>
    </row>
    <row r="30" spans="1:6">
      <c r="A30" t="s">
        <v>28</v>
      </c>
      <c r="B30" s="5">
        <f>B29*F23</f>
        <v>0</v>
      </c>
    </row>
    <row r="31" spans="1:6">
      <c r="A31" t="s">
        <v>29</v>
      </c>
      <c r="B31" s="5">
        <f>B27+B30</f>
        <v>0</v>
      </c>
    </row>
    <row r="32" spans="1:6">
      <c r="A32" t="s">
        <v>30</v>
      </c>
      <c r="B32" s="5">
        <f>B9</f>
        <v>0</v>
      </c>
    </row>
    <row r="33" spans="1:2">
      <c r="A33" t="s">
        <v>31</v>
      </c>
      <c r="B33" s="5">
        <f>B31-B32</f>
        <v>0</v>
      </c>
    </row>
    <row r="34" spans="1:2">
      <c r="A34" s="8" t="s">
        <v>32</v>
      </c>
      <c r="B34" s="9">
        <f>B33/B6</f>
        <v>0</v>
      </c>
    </row>
    <row r="35" spans="1:2">
      <c r="A35" t="s">
        <v>33</v>
      </c>
      <c r="B35" s="10">
        <f>B30/B31</f>
        <v>0</v>
      </c>
    </row>
    <row r="36" spans="1:2">
      <c r="A36" t="s">
        <v>34</v>
      </c>
      <c r="B36" s="5">
        <f>B29/F22</f>
        <v>0</v>
      </c>
    </row>
    <row r="38" spans="1:2">
      <c r="A38" s="3" t="s">
        <v>35</v>
      </c>
    </row>
    <row r="39" spans="1:2">
      <c r="A39" t="s">
        <v>36</v>
      </c>
      <c r="B39" s="5">
        <f>NPV(0.15,B22:F22)</f>
        <v>0</v>
      </c>
    </row>
    <row r="40" spans="1:2">
      <c r="A40" t="s">
        <v>37</v>
      </c>
      <c r="B40" s="5">
        <f>B29/(1.15^5)</f>
        <v>0</v>
      </c>
    </row>
    <row r="41" spans="1:2">
      <c r="A41" t="s">
        <v>30</v>
      </c>
      <c r="B41" s="5">
        <f>B9</f>
        <v>0</v>
      </c>
    </row>
    <row r="42" spans="1:2">
      <c r="A42" t="s">
        <v>38</v>
      </c>
      <c r="B42" s="9">
        <f>(B39+B40-B41)/B6</f>
        <v>0</v>
      </c>
    </row>
    <row r="44" spans="1:2">
      <c r="A44" t="s">
        <v>39</v>
      </c>
      <c r="B44" s="10">
        <f>(B34-B5)/B5</f>
        <v>0</v>
      </c>
    </row>
    <row r="45" spans="1:2">
      <c r="A45" t="s">
        <v>40</v>
      </c>
      <c r="B45" s="10">
        <f>(B5-B42)/B5</f>
        <v>0</v>
      </c>
    </row>
    <row r="47" spans="1:2">
      <c r="A47" s="11" t="s">
        <v>41</v>
      </c>
    </row>
    <row r="48" spans="1:2">
      <c r="A48" s="11" t="s">
        <v>42</v>
      </c>
    </row>
    <row r="49" spans="1:1">
      <c r="A49" s="11" t="s">
        <v>43</v>
      </c>
    </row>
    <row r="50" spans="1:1">
      <c r="A50" s="11" t="s">
        <v>44</v>
      </c>
    </row>
    <row r="51" spans="1:1">
      <c r="A51" s="1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28.7109375" customWidth="1"/>
    <col min="2" max="7" width="13.7109375" customWidth="1"/>
  </cols>
  <sheetData>
    <row r="1" spans="1:6">
      <c r="A1" s="1" t="s">
        <v>46</v>
      </c>
    </row>
    <row r="3" spans="1:6">
      <c r="A3" s="7" t="s">
        <v>47</v>
      </c>
      <c r="B3" s="7" t="s">
        <v>48</v>
      </c>
      <c r="C3" s="7" t="s">
        <v>49</v>
      </c>
      <c r="D3" s="7" t="s">
        <v>50</v>
      </c>
    </row>
    <row r="4" spans="1:6">
      <c r="A4" t="s">
        <v>9</v>
      </c>
      <c r="B4" s="10">
        <v>0.105</v>
      </c>
      <c r="C4" s="10">
        <v>0.115</v>
      </c>
      <c r="D4" s="10">
        <v>0.125</v>
      </c>
    </row>
    <row r="5" spans="1:6">
      <c r="A5" t="s">
        <v>51</v>
      </c>
      <c r="B5" s="10">
        <v>0.03</v>
      </c>
      <c r="C5" s="10">
        <v>0.025</v>
      </c>
      <c r="D5" s="10">
        <v>0.02</v>
      </c>
    </row>
    <row r="6" spans="1:6">
      <c r="A6" t="s">
        <v>52</v>
      </c>
      <c r="B6" s="10">
        <v>0.05</v>
      </c>
      <c r="C6" s="10">
        <v>0.035</v>
      </c>
      <c r="D6" s="10">
        <v>0.02</v>
      </c>
    </row>
    <row r="8" spans="1:6">
      <c r="A8" s="7" t="s">
        <v>53</v>
      </c>
      <c r="B8" s="7" t="s">
        <v>54</v>
      </c>
      <c r="C8" s="7" t="s">
        <v>55</v>
      </c>
      <c r="D8" s="7" t="s">
        <v>56</v>
      </c>
      <c r="E8" s="7" t="s">
        <v>57</v>
      </c>
      <c r="F8" s="7" t="s">
        <v>58</v>
      </c>
    </row>
    <row r="9" spans="1:6">
      <c r="A9" t="s">
        <v>59</v>
      </c>
      <c r="B9" s="10">
        <v>0.135</v>
      </c>
      <c r="C9" s="10">
        <v>0.12</v>
      </c>
      <c r="D9" s="10">
        <v>0.11</v>
      </c>
      <c r="E9" s="10">
        <v>0.1</v>
      </c>
      <c r="F9" s="10">
        <v>0.09</v>
      </c>
    </row>
    <row r="10" spans="1:6">
      <c r="A10" t="s">
        <v>60</v>
      </c>
      <c r="B10" s="10">
        <v>0.105</v>
      </c>
      <c r="C10" s="10">
        <v>0.095</v>
      </c>
      <c r="D10" s="10">
        <v>0.08500000000000001</v>
      </c>
      <c r="E10" s="10">
        <v>0.075</v>
      </c>
      <c r="F10" s="10">
        <v>0.065</v>
      </c>
    </row>
    <row r="11" spans="1:6">
      <c r="A11" t="s">
        <v>61</v>
      </c>
      <c r="B11" s="10">
        <v>0.06</v>
      </c>
      <c r="C11" s="10">
        <v>0.05</v>
      </c>
      <c r="D11" s="10">
        <v>0.045</v>
      </c>
      <c r="E11" s="10">
        <v>0.035</v>
      </c>
      <c r="F11" s="10">
        <v>0.03</v>
      </c>
    </row>
    <row r="13" spans="1:6">
      <c r="A13" s="3" t="s">
        <v>62</v>
      </c>
    </row>
    <row r="14" spans="1:6">
      <c r="A14" s="7"/>
      <c r="B14" s="7" t="s">
        <v>63</v>
      </c>
      <c r="C14" s="7" t="s">
        <v>64</v>
      </c>
      <c r="D14" s="7" t="s">
        <v>65</v>
      </c>
      <c r="E14" s="7" t="s">
        <v>66</v>
      </c>
    </row>
    <row r="15" spans="1:6">
      <c r="A15" t="s">
        <v>48</v>
      </c>
      <c r="B15" s="12">
        <v>19.72</v>
      </c>
      <c r="C15" s="10">
        <v>0.272</v>
      </c>
      <c r="D15" s="10">
        <v>0.769</v>
      </c>
      <c r="E15" s="5">
        <v>13.7</v>
      </c>
    </row>
    <row r="16" spans="1:6">
      <c r="A16" t="s">
        <v>49</v>
      </c>
      <c r="B16" s="12">
        <v>11.54</v>
      </c>
      <c r="C16" s="10">
        <v>-0.255</v>
      </c>
      <c r="D16" s="10">
        <v>0.7120000000000001</v>
      </c>
      <c r="E16" s="5">
        <v>11.4</v>
      </c>
    </row>
    <row r="17" spans="1:5">
      <c r="A17" t="s">
        <v>50</v>
      </c>
      <c r="B17" s="12">
        <v>6.21</v>
      </c>
      <c r="C17" s="10">
        <v>-0.6</v>
      </c>
      <c r="D17" s="10">
        <v>0.64</v>
      </c>
      <c r="E17" s="5">
        <v>9.699999999999999</v>
      </c>
    </row>
    <row r="19" spans="1:5">
      <c r="A19" s="8" t="s">
        <v>67</v>
      </c>
      <c r="B19" s="12">
        <v>12.25</v>
      </c>
    </row>
    <row r="20" spans="1:5">
      <c r="A20" t="s">
        <v>68</v>
      </c>
      <c r="B20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70</v>
      </c>
    </row>
    <row r="2" spans="1:6">
      <c r="A2" t="s">
        <v>71</v>
      </c>
    </row>
    <row r="4" spans="1:6">
      <c r="A4" s="7" t="s">
        <v>72</v>
      </c>
      <c r="B4" s="13">
        <v>0.015</v>
      </c>
      <c r="C4" s="13">
        <v>0.02</v>
      </c>
      <c r="D4" s="13">
        <v>0.025</v>
      </c>
      <c r="E4" s="13">
        <v>0.03</v>
      </c>
      <c r="F4" s="13">
        <v>0.035</v>
      </c>
    </row>
    <row r="5" spans="1:6">
      <c r="A5" s="13">
        <v>0.095</v>
      </c>
      <c r="B5" s="12">
        <f>('DCF Model'!$B$10*(1+'DCF Model'!$B$16)*(1+'DCF Model'!$B$17)*(1+0.095)^-1 + 'DCF Model'!$B$10*(1+'DCF Model'!$B$16)*(1+'DCF Model'!$C$16)*(1+'DCF Model'!$C$17)*(1+0.095)^-2 + 'DCF Model'!$B$10*(1+'DCF Model'!$B$16)*(1+'DCF Model'!$C$16)*(1+'DCF Model'!$D$16)*(1+'DCF Model'!$D$17)*(1+0.095)^-3 + 'DCF Model'!$B$10*(1+'DCF Model'!$B$16)*(1+'DCF Model'!$C$16)*(1+'DCF Model'!$D$16)*(1+'DCF Model'!$E$16)*(1+'DCF Model'!$E$17)*(1+0.095)^-4 + 'DCF Model'!$B$10*(1+'DCF Model'!$B$16)*(1+'DCF Model'!$C$16)*(1+'DCF Model'!$D$16)*(1+'DCF Model'!$E$16)*(1+'DCF Model'!$F$16)*'DCF Model'!$F$17*(1+0.095)^-5 + ('DCF Model'!$B$10*(1+'DCF Model'!$B$16)*(1+'DCF Model'!$C$16)*(1+'DCF Model'!$D$16)*(1+'DCF Model'!$E$16)*(1+'DCF Model'!$F$16)*'DCF Model'!$F$17*(1+0.015)/(0.095-0.015))*(1+0.095)^-5 - 'DCF Model'!$B$9)/'DCF Model'!$B$6</f>
        <v>0</v>
      </c>
      <c r="C5" s="12">
        <f>('DCF Model'!$B$10*(1+'DCF Model'!$B$16)*(1+'DCF Model'!$B$17)*(1+0.095)^-1 + 'DCF Model'!$B$10*(1+'DCF Model'!$B$16)*(1+'DCF Model'!$C$16)*(1+'DCF Model'!$C$17)*(1+0.095)^-2 + 'DCF Model'!$B$10*(1+'DCF Model'!$B$16)*(1+'DCF Model'!$C$16)*(1+'DCF Model'!$D$16)*(1+'DCF Model'!$D$17)*(1+0.095)^-3 + 'DCF Model'!$B$10*(1+'DCF Model'!$B$16)*(1+'DCF Model'!$C$16)*(1+'DCF Model'!$D$16)*(1+'DCF Model'!$E$16)*(1+'DCF Model'!$E$17)*(1+0.095)^-4 + 'DCF Model'!$B$10*(1+'DCF Model'!$B$16)*(1+'DCF Model'!$C$16)*(1+'DCF Model'!$D$16)*(1+'DCF Model'!$E$16)*(1+'DCF Model'!$F$16)*'DCF Model'!$F$17*(1+0.095)^-5 + ('DCF Model'!$B$10*(1+'DCF Model'!$B$16)*(1+'DCF Model'!$C$16)*(1+'DCF Model'!$D$16)*(1+'DCF Model'!$E$16)*(1+'DCF Model'!$F$16)*'DCF Model'!$F$17*(1+0.02)/(0.095-0.02))*(1+0.095)^-5 - 'DCF Model'!$B$9)/'DCF Model'!$B$6</f>
        <v>0</v>
      </c>
      <c r="D5" s="12">
        <f>('DCF Model'!$B$10*(1+'DCF Model'!$B$16)*(1+'DCF Model'!$B$17)*(1+0.095)^-1 + 'DCF Model'!$B$10*(1+'DCF Model'!$B$16)*(1+'DCF Model'!$C$16)*(1+'DCF Model'!$C$17)*(1+0.095)^-2 + 'DCF Model'!$B$10*(1+'DCF Model'!$B$16)*(1+'DCF Model'!$C$16)*(1+'DCF Model'!$D$16)*(1+'DCF Model'!$D$17)*(1+0.095)^-3 + 'DCF Model'!$B$10*(1+'DCF Model'!$B$16)*(1+'DCF Model'!$C$16)*(1+'DCF Model'!$D$16)*(1+'DCF Model'!$E$16)*(1+'DCF Model'!$E$17)*(1+0.095)^-4 + 'DCF Model'!$B$10*(1+'DCF Model'!$B$16)*(1+'DCF Model'!$C$16)*(1+'DCF Model'!$D$16)*(1+'DCF Model'!$E$16)*(1+'DCF Model'!$F$16)*'DCF Model'!$F$17*(1+0.095)^-5 + ('DCF Model'!$B$10*(1+'DCF Model'!$B$16)*(1+'DCF Model'!$C$16)*(1+'DCF Model'!$D$16)*(1+'DCF Model'!$E$16)*(1+'DCF Model'!$F$16)*'DCF Model'!$F$17*(1+0.025)/(0.095-0.025))*(1+0.095)^-5 - 'DCF Model'!$B$9)/'DCF Model'!$B$6</f>
        <v>0</v>
      </c>
      <c r="E5" s="12">
        <f>('DCF Model'!$B$10*(1+'DCF Model'!$B$16)*(1+'DCF Model'!$B$17)*(1+0.095)^-1 + 'DCF Model'!$B$10*(1+'DCF Model'!$B$16)*(1+'DCF Model'!$C$16)*(1+'DCF Model'!$C$17)*(1+0.095)^-2 + 'DCF Model'!$B$10*(1+'DCF Model'!$B$16)*(1+'DCF Model'!$C$16)*(1+'DCF Model'!$D$16)*(1+'DCF Model'!$D$17)*(1+0.095)^-3 + 'DCF Model'!$B$10*(1+'DCF Model'!$B$16)*(1+'DCF Model'!$C$16)*(1+'DCF Model'!$D$16)*(1+'DCF Model'!$E$16)*(1+'DCF Model'!$E$17)*(1+0.095)^-4 + 'DCF Model'!$B$10*(1+'DCF Model'!$B$16)*(1+'DCF Model'!$C$16)*(1+'DCF Model'!$D$16)*(1+'DCF Model'!$E$16)*(1+'DCF Model'!$F$16)*'DCF Model'!$F$17*(1+0.095)^-5 + ('DCF Model'!$B$10*(1+'DCF Model'!$B$16)*(1+'DCF Model'!$C$16)*(1+'DCF Model'!$D$16)*(1+'DCF Model'!$E$16)*(1+'DCF Model'!$F$16)*'DCF Model'!$F$17*(1+0.03)/(0.095-0.03))*(1+0.095)^-5 - 'DCF Model'!$B$9)/'DCF Model'!$B$6</f>
        <v>0</v>
      </c>
      <c r="F5" s="12">
        <f>('DCF Model'!$B$10*(1+'DCF Model'!$B$16)*(1+'DCF Model'!$B$17)*(1+0.095)^-1 + 'DCF Model'!$B$10*(1+'DCF Model'!$B$16)*(1+'DCF Model'!$C$16)*(1+'DCF Model'!$C$17)*(1+0.095)^-2 + 'DCF Model'!$B$10*(1+'DCF Model'!$B$16)*(1+'DCF Model'!$C$16)*(1+'DCF Model'!$D$16)*(1+'DCF Model'!$D$17)*(1+0.095)^-3 + 'DCF Model'!$B$10*(1+'DCF Model'!$B$16)*(1+'DCF Model'!$C$16)*(1+'DCF Model'!$D$16)*(1+'DCF Model'!$E$16)*(1+'DCF Model'!$E$17)*(1+0.095)^-4 + 'DCF Model'!$B$10*(1+'DCF Model'!$B$16)*(1+'DCF Model'!$C$16)*(1+'DCF Model'!$D$16)*(1+'DCF Model'!$E$16)*(1+'DCF Model'!$F$16)*'DCF Model'!$F$17*(1+0.095)^-5 + ('DCF Model'!$B$10*(1+'DCF Model'!$B$16)*(1+'DCF Model'!$C$16)*(1+'DCF Model'!$D$16)*(1+'DCF Model'!$E$16)*(1+'DCF Model'!$F$16)*'DCF Model'!$F$17*(1+0.035)/(0.095-0.035))*(1+0.095)^-5 - 'DCF Model'!$B$9)/'DCF Model'!$B$6</f>
        <v>0</v>
      </c>
    </row>
    <row r="6" spans="1:6">
      <c r="A6" s="13">
        <v>0.105</v>
      </c>
      <c r="B6" s="12">
        <f>('DCF Model'!$B$10*(1+'DCF Model'!$B$16)*(1+'DCF Model'!$B$17)*(1+0.105)^-1 + 'DCF Model'!$B$10*(1+'DCF Model'!$B$16)*(1+'DCF Model'!$C$16)*(1+'DCF Model'!$C$17)*(1+0.105)^-2 + 'DCF Model'!$B$10*(1+'DCF Model'!$B$16)*(1+'DCF Model'!$C$16)*(1+'DCF Model'!$D$16)*(1+'DCF Model'!$D$17)*(1+0.105)^-3 + 'DCF Model'!$B$10*(1+'DCF Model'!$B$16)*(1+'DCF Model'!$C$16)*(1+'DCF Model'!$D$16)*(1+'DCF Model'!$E$16)*(1+'DCF Model'!$E$17)*(1+0.105)^-4 + 'DCF Model'!$B$10*(1+'DCF Model'!$B$16)*(1+'DCF Model'!$C$16)*(1+'DCF Model'!$D$16)*(1+'DCF Model'!$E$16)*(1+'DCF Model'!$F$16)*'DCF Model'!$F$17*(1+0.105)^-5 + ('DCF Model'!$B$10*(1+'DCF Model'!$B$16)*(1+'DCF Model'!$C$16)*(1+'DCF Model'!$D$16)*(1+'DCF Model'!$E$16)*(1+'DCF Model'!$F$16)*'DCF Model'!$F$17*(1+0.015)/(0.105-0.015))*(1+0.105)^-5 - 'DCF Model'!$B$9)/'DCF Model'!$B$6</f>
        <v>0</v>
      </c>
      <c r="C6" s="12">
        <f>('DCF Model'!$B$10*(1+'DCF Model'!$B$16)*(1+'DCF Model'!$B$17)*(1+0.105)^-1 + 'DCF Model'!$B$10*(1+'DCF Model'!$B$16)*(1+'DCF Model'!$C$16)*(1+'DCF Model'!$C$17)*(1+0.105)^-2 + 'DCF Model'!$B$10*(1+'DCF Model'!$B$16)*(1+'DCF Model'!$C$16)*(1+'DCF Model'!$D$16)*(1+'DCF Model'!$D$17)*(1+0.105)^-3 + 'DCF Model'!$B$10*(1+'DCF Model'!$B$16)*(1+'DCF Model'!$C$16)*(1+'DCF Model'!$D$16)*(1+'DCF Model'!$E$16)*(1+'DCF Model'!$E$17)*(1+0.105)^-4 + 'DCF Model'!$B$10*(1+'DCF Model'!$B$16)*(1+'DCF Model'!$C$16)*(1+'DCF Model'!$D$16)*(1+'DCF Model'!$E$16)*(1+'DCF Model'!$F$16)*'DCF Model'!$F$17*(1+0.105)^-5 + ('DCF Model'!$B$10*(1+'DCF Model'!$B$16)*(1+'DCF Model'!$C$16)*(1+'DCF Model'!$D$16)*(1+'DCF Model'!$E$16)*(1+'DCF Model'!$F$16)*'DCF Model'!$F$17*(1+0.02)/(0.105-0.02))*(1+0.105)^-5 - 'DCF Model'!$B$9)/'DCF Model'!$B$6</f>
        <v>0</v>
      </c>
      <c r="D6" s="12">
        <f>('DCF Model'!$B$10*(1+'DCF Model'!$B$16)*(1+'DCF Model'!$B$17)*(1+0.105)^-1 + 'DCF Model'!$B$10*(1+'DCF Model'!$B$16)*(1+'DCF Model'!$C$16)*(1+'DCF Model'!$C$17)*(1+0.105)^-2 + 'DCF Model'!$B$10*(1+'DCF Model'!$B$16)*(1+'DCF Model'!$C$16)*(1+'DCF Model'!$D$16)*(1+'DCF Model'!$D$17)*(1+0.105)^-3 + 'DCF Model'!$B$10*(1+'DCF Model'!$B$16)*(1+'DCF Model'!$C$16)*(1+'DCF Model'!$D$16)*(1+'DCF Model'!$E$16)*(1+'DCF Model'!$E$17)*(1+0.105)^-4 + 'DCF Model'!$B$10*(1+'DCF Model'!$B$16)*(1+'DCF Model'!$C$16)*(1+'DCF Model'!$D$16)*(1+'DCF Model'!$E$16)*(1+'DCF Model'!$F$16)*'DCF Model'!$F$17*(1+0.105)^-5 + ('DCF Model'!$B$10*(1+'DCF Model'!$B$16)*(1+'DCF Model'!$C$16)*(1+'DCF Model'!$D$16)*(1+'DCF Model'!$E$16)*(1+'DCF Model'!$F$16)*'DCF Model'!$F$17*(1+0.025)/(0.105-0.025))*(1+0.105)^-5 - 'DCF Model'!$B$9)/'DCF Model'!$B$6</f>
        <v>0</v>
      </c>
      <c r="E6" s="12">
        <f>('DCF Model'!$B$10*(1+'DCF Model'!$B$16)*(1+'DCF Model'!$B$17)*(1+0.105)^-1 + 'DCF Model'!$B$10*(1+'DCF Model'!$B$16)*(1+'DCF Model'!$C$16)*(1+'DCF Model'!$C$17)*(1+0.105)^-2 + 'DCF Model'!$B$10*(1+'DCF Model'!$B$16)*(1+'DCF Model'!$C$16)*(1+'DCF Model'!$D$16)*(1+'DCF Model'!$D$17)*(1+0.105)^-3 + 'DCF Model'!$B$10*(1+'DCF Model'!$B$16)*(1+'DCF Model'!$C$16)*(1+'DCF Model'!$D$16)*(1+'DCF Model'!$E$16)*(1+'DCF Model'!$E$17)*(1+0.105)^-4 + 'DCF Model'!$B$10*(1+'DCF Model'!$B$16)*(1+'DCF Model'!$C$16)*(1+'DCF Model'!$D$16)*(1+'DCF Model'!$E$16)*(1+'DCF Model'!$F$16)*'DCF Model'!$F$17*(1+0.105)^-5 + ('DCF Model'!$B$10*(1+'DCF Model'!$B$16)*(1+'DCF Model'!$C$16)*(1+'DCF Model'!$D$16)*(1+'DCF Model'!$E$16)*(1+'DCF Model'!$F$16)*'DCF Model'!$F$17*(1+0.03)/(0.105-0.03))*(1+0.105)^-5 - 'DCF Model'!$B$9)/'DCF Model'!$B$6</f>
        <v>0</v>
      </c>
      <c r="F6" s="12">
        <f>('DCF Model'!$B$10*(1+'DCF Model'!$B$16)*(1+'DCF Model'!$B$17)*(1+0.105)^-1 + 'DCF Model'!$B$10*(1+'DCF Model'!$B$16)*(1+'DCF Model'!$C$16)*(1+'DCF Model'!$C$17)*(1+0.105)^-2 + 'DCF Model'!$B$10*(1+'DCF Model'!$B$16)*(1+'DCF Model'!$C$16)*(1+'DCF Model'!$D$16)*(1+'DCF Model'!$D$17)*(1+0.105)^-3 + 'DCF Model'!$B$10*(1+'DCF Model'!$B$16)*(1+'DCF Model'!$C$16)*(1+'DCF Model'!$D$16)*(1+'DCF Model'!$E$16)*(1+'DCF Model'!$E$17)*(1+0.105)^-4 + 'DCF Model'!$B$10*(1+'DCF Model'!$B$16)*(1+'DCF Model'!$C$16)*(1+'DCF Model'!$D$16)*(1+'DCF Model'!$E$16)*(1+'DCF Model'!$F$16)*'DCF Model'!$F$17*(1+0.105)^-5 + ('DCF Model'!$B$10*(1+'DCF Model'!$B$16)*(1+'DCF Model'!$C$16)*(1+'DCF Model'!$D$16)*(1+'DCF Model'!$E$16)*(1+'DCF Model'!$F$16)*'DCF Model'!$F$17*(1+0.035)/(0.105-0.035))*(1+0.105)^-5 - 'DCF Model'!$B$9)/'DCF Model'!$B$6</f>
        <v>0</v>
      </c>
    </row>
    <row r="7" spans="1:6">
      <c r="A7" s="13">
        <v>0.115</v>
      </c>
      <c r="B7" s="12">
        <f>('DCF Model'!$B$10*(1+'DCF Model'!$B$16)*(1+'DCF Model'!$B$17)*(1+0.115)^-1 + 'DCF Model'!$B$10*(1+'DCF Model'!$B$16)*(1+'DCF Model'!$C$16)*(1+'DCF Model'!$C$17)*(1+0.115)^-2 + 'DCF Model'!$B$10*(1+'DCF Model'!$B$16)*(1+'DCF Model'!$C$16)*(1+'DCF Model'!$D$16)*(1+'DCF Model'!$D$17)*(1+0.115)^-3 + 'DCF Model'!$B$10*(1+'DCF Model'!$B$16)*(1+'DCF Model'!$C$16)*(1+'DCF Model'!$D$16)*(1+'DCF Model'!$E$16)*(1+'DCF Model'!$E$17)*(1+0.115)^-4 + 'DCF Model'!$B$10*(1+'DCF Model'!$B$16)*(1+'DCF Model'!$C$16)*(1+'DCF Model'!$D$16)*(1+'DCF Model'!$E$16)*(1+'DCF Model'!$F$16)*'DCF Model'!$F$17*(1+0.115)^-5 + ('DCF Model'!$B$10*(1+'DCF Model'!$B$16)*(1+'DCF Model'!$C$16)*(1+'DCF Model'!$D$16)*(1+'DCF Model'!$E$16)*(1+'DCF Model'!$F$16)*'DCF Model'!$F$17*(1+0.015)/(0.115-0.015))*(1+0.115)^-5 - 'DCF Model'!$B$9)/'DCF Model'!$B$6</f>
        <v>0</v>
      </c>
      <c r="C7" s="12">
        <f>('DCF Model'!$B$10*(1+'DCF Model'!$B$16)*(1+'DCF Model'!$B$17)*(1+0.115)^-1 + 'DCF Model'!$B$10*(1+'DCF Model'!$B$16)*(1+'DCF Model'!$C$16)*(1+'DCF Model'!$C$17)*(1+0.115)^-2 + 'DCF Model'!$B$10*(1+'DCF Model'!$B$16)*(1+'DCF Model'!$C$16)*(1+'DCF Model'!$D$16)*(1+'DCF Model'!$D$17)*(1+0.115)^-3 + 'DCF Model'!$B$10*(1+'DCF Model'!$B$16)*(1+'DCF Model'!$C$16)*(1+'DCF Model'!$D$16)*(1+'DCF Model'!$E$16)*(1+'DCF Model'!$E$17)*(1+0.115)^-4 + 'DCF Model'!$B$10*(1+'DCF Model'!$B$16)*(1+'DCF Model'!$C$16)*(1+'DCF Model'!$D$16)*(1+'DCF Model'!$E$16)*(1+'DCF Model'!$F$16)*'DCF Model'!$F$17*(1+0.115)^-5 + ('DCF Model'!$B$10*(1+'DCF Model'!$B$16)*(1+'DCF Model'!$C$16)*(1+'DCF Model'!$D$16)*(1+'DCF Model'!$E$16)*(1+'DCF Model'!$F$16)*'DCF Model'!$F$17*(1+0.02)/(0.115-0.02))*(1+0.115)^-5 - 'DCF Model'!$B$9)/'DCF Model'!$B$6</f>
        <v>0</v>
      </c>
      <c r="D7" s="12">
        <f>('DCF Model'!$B$10*(1+'DCF Model'!$B$16)*(1+'DCF Model'!$B$17)*(1+0.115)^-1 + 'DCF Model'!$B$10*(1+'DCF Model'!$B$16)*(1+'DCF Model'!$C$16)*(1+'DCF Model'!$C$17)*(1+0.115)^-2 + 'DCF Model'!$B$10*(1+'DCF Model'!$B$16)*(1+'DCF Model'!$C$16)*(1+'DCF Model'!$D$16)*(1+'DCF Model'!$D$17)*(1+0.115)^-3 + 'DCF Model'!$B$10*(1+'DCF Model'!$B$16)*(1+'DCF Model'!$C$16)*(1+'DCF Model'!$D$16)*(1+'DCF Model'!$E$16)*(1+'DCF Model'!$E$17)*(1+0.115)^-4 + 'DCF Model'!$B$10*(1+'DCF Model'!$B$16)*(1+'DCF Model'!$C$16)*(1+'DCF Model'!$D$16)*(1+'DCF Model'!$E$16)*(1+'DCF Model'!$F$16)*'DCF Model'!$F$17*(1+0.115)^-5 + ('DCF Model'!$B$10*(1+'DCF Model'!$B$16)*(1+'DCF Model'!$C$16)*(1+'DCF Model'!$D$16)*(1+'DCF Model'!$E$16)*(1+'DCF Model'!$F$16)*'DCF Model'!$F$17*(1+0.025)/(0.115-0.025))*(1+0.115)^-5 - 'DCF Model'!$B$9)/'DCF Model'!$B$6</f>
        <v>0</v>
      </c>
      <c r="E7" s="12">
        <f>('DCF Model'!$B$10*(1+'DCF Model'!$B$16)*(1+'DCF Model'!$B$17)*(1+0.115)^-1 + 'DCF Model'!$B$10*(1+'DCF Model'!$B$16)*(1+'DCF Model'!$C$16)*(1+'DCF Model'!$C$17)*(1+0.115)^-2 + 'DCF Model'!$B$10*(1+'DCF Model'!$B$16)*(1+'DCF Model'!$C$16)*(1+'DCF Model'!$D$16)*(1+'DCF Model'!$D$17)*(1+0.115)^-3 + 'DCF Model'!$B$10*(1+'DCF Model'!$B$16)*(1+'DCF Model'!$C$16)*(1+'DCF Model'!$D$16)*(1+'DCF Model'!$E$16)*(1+'DCF Model'!$E$17)*(1+0.115)^-4 + 'DCF Model'!$B$10*(1+'DCF Model'!$B$16)*(1+'DCF Model'!$C$16)*(1+'DCF Model'!$D$16)*(1+'DCF Model'!$E$16)*(1+'DCF Model'!$F$16)*'DCF Model'!$F$17*(1+0.115)^-5 + ('DCF Model'!$B$10*(1+'DCF Model'!$B$16)*(1+'DCF Model'!$C$16)*(1+'DCF Model'!$D$16)*(1+'DCF Model'!$E$16)*(1+'DCF Model'!$F$16)*'DCF Model'!$F$17*(1+0.03)/(0.115-0.03))*(1+0.115)^-5 - 'DCF Model'!$B$9)/'DCF Model'!$B$6</f>
        <v>0</v>
      </c>
      <c r="F7" s="12">
        <f>('DCF Model'!$B$10*(1+'DCF Model'!$B$16)*(1+'DCF Model'!$B$17)*(1+0.115)^-1 + 'DCF Model'!$B$10*(1+'DCF Model'!$B$16)*(1+'DCF Model'!$C$16)*(1+'DCF Model'!$C$17)*(1+0.115)^-2 + 'DCF Model'!$B$10*(1+'DCF Model'!$B$16)*(1+'DCF Model'!$C$16)*(1+'DCF Model'!$D$16)*(1+'DCF Model'!$D$17)*(1+0.115)^-3 + 'DCF Model'!$B$10*(1+'DCF Model'!$B$16)*(1+'DCF Model'!$C$16)*(1+'DCF Model'!$D$16)*(1+'DCF Model'!$E$16)*(1+'DCF Model'!$E$17)*(1+0.115)^-4 + 'DCF Model'!$B$10*(1+'DCF Model'!$B$16)*(1+'DCF Model'!$C$16)*(1+'DCF Model'!$D$16)*(1+'DCF Model'!$E$16)*(1+'DCF Model'!$F$16)*'DCF Model'!$F$17*(1+0.115)^-5 + ('DCF Model'!$B$10*(1+'DCF Model'!$B$16)*(1+'DCF Model'!$C$16)*(1+'DCF Model'!$D$16)*(1+'DCF Model'!$E$16)*(1+'DCF Model'!$F$16)*'DCF Model'!$F$17*(1+0.035)/(0.115-0.035))*(1+0.115)^-5 - 'DCF Model'!$B$9)/'DCF Model'!$B$6</f>
        <v>0</v>
      </c>
    </row>
    <row r="8" spans="1:6">
      <c r="A8" s="13">
        <v>0.125</v>
      </c>
      <c r="B8" s="12">
        <f>('DCF Model'!$B$10*(1+'DCF Model'!$B$16)*(1+'DCF Model'!$B$17)*(1+0.125)^-1 + 'DCF Model'!$B$10*(1+'DCF Model'!$B$16)*(1+'DCF Model'!$C$16)*(1+'DCF Model'!$C$17)*(1+0.125)^-2 + 'DCF Model'!$B$10*(1+'DCF Model'!$B$16)*(1+'DCF Model'!$C$16)*(1+'DCF Model'!$D$16)*(1+'DCF Model'!$D$17)*(1+0.125)^-3 + 'DCF Model'!$B$10*(1+'DCF Model'!$B$16)*(1+'DCF Model'!$C$16)*(1+'DCF Model'!$D$16)*(1+'DCF Model'!$E$16)*(1+'DCF Model'!$E$17)*(1+0.125)^-4 + 'DCF Model'!$B$10*(1+'DCF Model'!$B$16)*(1+'DCF Model'!$C$16)*(1+'DCF Model'!$D$16)*(1+'DCF Model'!$E$16)*(1+'DCF Model'!$F$16)*'DCF Model'!$F$17*(1+0.125)^-5 + ('DCF Model'!$B$10*(1+'DCF Model'!$B$16)*(1+'DCF Model'!$C$16)*(1+'DCF Model'!$D$16)*(1+'DCF Model'!$E$16)*(1+'DCF Model'!$F$16)*'DCF Model'!$F$17*(1+0.015)/(0.125-0.015))*(1+0.125)^-5 - 'DCF Model'!$B$9)/'DCF Model'!$B$6</f>
        <v>0</v>
      </c>
      <c r="C8" s="12">
        <f>('DCF Model'!$B$10*(1+'DCF Model'!$B$16)*(1+'DCF Model'!$B$17)*(1+0.125)^-1 + 'DCF Model'!$B$10*(1+'DCF Model'!$B$16)*(1+'DCF Model'!$C$16)*(1+'DCF Model'!$C$17)*(1+0.125)^-2 + 'DCF Model'!$B$10*(1+'DCF Model'!$B$16)*(1+'DCF Model'!$C$16)*(1+'DCF Model'!$D$16)*(1+'DCF Model'!$D$17)*(1+0.125)^-3 + 'DCF Model'!$B$10*(1+'DCF Model'!$B$16)*(1+'DCF Model'!$C$16)*(1+'DCF Model'!$D$16)*(1+'DCF Model'!$E$16)*(1+'DCF Model'!$E$17)*(1+0.125)^-4 + 'DCF Model'!$B$10*(1+'DCF Model'!$B$16)*(1+'DCF Model'!$C$16)*(1+'DCF Model'!$D$16)*(1+'DCF Model'!$E$16)*(1+'DCF Model'!$F$16)*'DCF Model'!$F$17*(1+0.125)^-5 + ('DCF Model'!$B$10*(1+'DCF Model'!$B$16)*(1+'DCF Model'!$C$16)*(1+'DCF Model'!$D$16)*(1+'DCF Model'!$E$16)*(1+'DCF Model'!$F$16)*'DCF Model'!$F$17*(1+0.02)/(0.125-0.02))*(1+0.125)^-5 - 'DCF Model'!$B$9)/'DCF Model'!$B$6</f>
        <v>0</v>
      </c>
      <c r="D8" s="12">
        <f>('DCF Model'!$B$10*(1+'DCF Model'!$B$16)*(1+'DCF Model'!$B$17)*(1+0.125)^-1 + 'DCF Model'!$B$10*(1+'DCF Model'!$B$16)*(1+'DCF Model'!$C$16)*(1+'DCF Model'!$C$17)*(1+0.125)^-2 + 'DCF Model'!$B$10*(1+'DCF Model'!$B$16)*(1+'DCF Model'!$C$16)*(1+'DCF Model'!$D$16)*(1+'DCF Model'!$D$17)*(1+0.125)^-3 + 'DCF Model'!$B$10*(1+'DCF Model'!$B$16)*(1+'DCF Model'!$C$16)*(1+'DCF Model'!$D$16)*(1+'DCF Model'!$E$16)*(1+'DCF Model'!$E$17)*(1+0.125)^-4 + 'DCF Model'!$B$10*(1+'DCF Model'!$B$16)*(1+'DCF Model'!$C$16)*(1+'DCF Model'!$D$16)*(1+'DCF Model'!$E$16)*(1+'DCF Model'!$F$16)*'DCF Model'!$F$17*(1+0.125)^-5 + ('DCF Model'!$B$10*(1+'DCF Model'!$B$16)*(1+'DCF Model'!$C$16)*(1+'DCF Model'!$D$16)*(1+'DCF Model'!$E$16)*(1+'DCF Model'!$F$16)*'DCF Model'!$F$17*(1+0.025)/(0.125-0.025))*(1+0.125)^-5 - 'DCF Model'!$B$9)/'DCF Model'!$B$6</f>
        <v>0</v>
      </c>
      <c r="E8" s="12">
        <f>('DCF Model'!$B$10*(1+'DCF Model'!$B$16)*(1+'DCF Model'!$B$17)*(1+0.125)^-1 + 'DCF Model'!$B$10*(1+'DCF Model'!$B$16)*(1+'DCF Model'!$C$16)*(1+'DCF Model'!$C$17)*(1+0.125)^-2 + 'DCF Model'!$B$10*(1+'DCF Model'!$B$16)*(1+'DCF Model'!$C$16)*(1+'DCF Model'!$D$16)*(1+'DCF Model'!$D$17)*(1+0.125)^-3 + 'DCF Model'!$B$10*(1+'DCF Model'!$B$16)*(1+'DCF Model'!$C$16)*(1+'DCF Model'!$D$16)*(1+'DCF Model'!$E$16)*(1+'DCF Model'!$E$17)*(1+0.125)^-4 + 'DCF Model'!$B$10*(1+'DCF Model'!$B$16)*(1+'DCF Model'!$C$16)*(1+'DCF Model'!$D$16)*(1+'DCF Model'!$E$16)*(1+'DCF Model'!$F$16)*'DCF Model'!$F$17*(1+0.125)^-5 + ('DCF Model'!$B$10*(1+'DCF Model'!$B$16)*(1+'DCF Model'!$C$16)*(1+'DCF Model'!$D$16)*(1+'DCF Model'!$E$16)*(1+'DCF Model'!$F$16)*'DCF Model'!$F$17*(1+0.03)/(0.125-0.03))*(1+0.125)^-5 - 'DCF Model'!$B$9)/'DCF Model'!$B$6</f>
        <v>0</v>
      </c>
      <c r="F8" s="12">
        <f>('DCF Model'!$B$10*(1+'DCF Model'!$B$16)*(1+'DCF Model'!$B$17)*(1+0.125)^-1 + 'DCF Model'!$B$10*(1+'DCF Model'!$B$16)*(1+'DCF Model'!$C$16)*(1+'DCF Model'!$C$17)*(1+0.125)^-2 + 'DCF Model'!$B$10*(1+'DCF Model'!$B$16)*(1+'DCF Model'!$C$16)*(1+'DCF Model'!$D$16)*(1+'DCF Model'!$D$17)*(1+0.125)^-3 + 'DCF Model'!$B$10*(1+'DCF Model'!$B$16)*(1+'DCF Model'!$C$16)*(1+'DCF Model'!$D$16)*(1+'DCF Model'!$E$16)*(1+'DCF Model'!$E$17)*(1+0.125)^-4 + 'DCF Model'!$B$10*(1+'DCF Model'!$B$16)*(1+'DCF Model'!$C$16)*(1+'DCF Model'!$D$16)*(1+'DCF Model'!$E$16)*(1+'DCF Model'!$F$16)*'DCF Model'!$F$17*(1+0.125)^-5 + ('DCF Model'!$B$10*(1+'DCF Model'!$B$16)*(1+'DCF Model'!$C$16)*(1+'DCF Model'!$D$16)*(1+'DCF Model'!$E$16)*(1+'DCF Model'!$F$16)*'DCF Model'!$F$17*(1+0.035)/(0.125-0.035))*(1+0.125)^-5 - 'DCF Model'!$B$9)/'DCF Model'!$B$6</f>
        <v>0</v>
      </c>
    </row>
    <row r="9" spans="1:6">
      <c r="A9" s="13">
        <v>0.135</v>
      </c>
      <c r="B9" s="12">
        <f>('DCF Model'!$B$10*(1+'DCF Model'!$B$16)*(1+'DCF Model'!$B$17)*(1+0.135)^-1 + 'DCF Model'!$B$10*(1+'DCF Model'!$B$16)*(1+'DCF Model'!$C$16)*(1+'DCF Model'!$C$17)*(1+0.135)^-2 + 'DCF Model'!$B$10*(1+'DCF Model'!$B$16)*(1+'DCF Model'!$C$16)*(1+'DCF Model'!$D$16)*(1+'DCF Model'!$D$17)*(1+0.135)^-3 + 'DCF Model'!$B$10*(1+'DCF Model'!$B$16)*(1+'DCF Model'!$C$16)*(1+'DCF Model'!$D$16)*(1+'DCF Model'!$E$16)*(1+'DCF Model'!$E$17)*(1+0.135)^-4 + 'DCF Model'!$B$10*(1+'DCF Model'!$B$16)*(1+'DCF Model'!$C$16)*(1+'DCF Model'!$D$16)*(1+'DCF Model'!$E$16)*(1+'DCF Model'!$F$16)*'DCF Model'!$F$17*(1+0.135)^-5 + ('DCF Model'!$B$10*(1+'DCF Model'!$B$16)*(1+'DCF Model'!$C$16)*(1+'DCF Model'!$D$16)*(1+'DCF Model'!$E$16)*(1+'DCF Model'!$F$16)*'DCF Model'!$F$17*(1+0.015)/(0.135-0.015))*(1+0.135)^-5 - 'DCF Model'!$B$9)/'DCF Model'!$B$6</f>
        <v>0</v>
      </c>
      <c r="C9" s="12">
        <f>('DCF Model'!$B$10*(1+'DCF Model'!$B$16)*(1+'DCF Model'!$B$17)*(1+0.135)^-1 + 'DCF Model'!$B$10*(1+'DCF Model'!$B$16)*(1+'DCF Model'!$C$16)*(1+'DCF Model'!$C$17)*(1+0.135)^-2 + 'DCF Model'!$B$10*(1+'DCF Model'!$B$16)*(1+'DCF Model'!$C$16)*(1+'DCF Model'!$D$16)*(1+'DCF Model'!$D$17)*(1+0.135)^-3 + 'DCF Model'!$B$10*(1+'DCF Model'!$B$16)*(1+'DCF Model'!$C$16)*(1+'DCF Model'!$D$16)*(1+'DCF Model'!$E$16)*(1+'DCF Model'!$E$17)*(1+0.135)^-4 + 'DCF Model'!$B$10*(1+'DCF Model'!$B$16)*(1+'DCF Model'!$C$16)*(1+'DCF Model'!$D$16)*(1+'DCF Model'!$E$16)*(1+'DCF Model'!$F$16)*'DCF Model'!$F$17*(1+0.135)^-5 + ('DCF Model'!$B$10*(1+'DCF Model'!$B$16)*(1+'DCF Model'!$C$16)*(1+'DCF Model'!$D$16)*(1+'DCF Model'!$E$16)*(1+'DCF Model'!$F$16)*'DCF Model'!$F$17*(1+0.02)/(0.135-0.02))*(1+0.135)^-5 - 'DCF Model'!$B$9)/'DCF Model'!$B$6</f>
        <v>0</v>
      </c>
      <c r="D9" s="12">
        <f>('DCF Model'!$B$10*(1+'DCF Model'!$B$16)*(1+'DCF Model'!$B$17)*(1+0.135)^-1 + 'DCF Model'!$B$10*(1+'DCF Model'!$B$16)*(1+'DCF Model'!$C$16)*(1+'DCF Model'!$C$17)*(1+0.135)^-2 + 'DCF Model'!$B$10*(1+'DCF Model'!$B$16)*(1+'DCF Model'!$C$16)*(1+'DCF Model'!$D$16)*(1+'DCF Model'!$D$17)*(1+0.135)^-3 + 'DCF Model'!$B$10*(1+'DCF Model'!$B$16)*(1+'DCF Model'!$C$16)*(1+'DCF Model'!$D$16)*(1+'DCF Model'!$E$16)*(1+'DCF Model'!$E$17)*(1+0.135)^-4 + 'DCF Model'!$B$10*(1+'DCF Model'!$B$16)*(1+'DCF Model'!$C$16)*(1+'DCF Model'!$D$16)*(1+'DCF Model'!$E$16)*(1+'DCF Model'!$F$16)*'DCF Model'!$F$17*(1+0.135)^-5 + ('DCF Model'!$B$10*(1+'DCF Model'!$B$16)*(1+'DCF Model'!$C$16)*(1+'DCF Model'!$D$16)*(1+'DCF Model'!$E$16)*(1+'DCF Model'!$F$16)*'DCF Model'!$F$17*(1+0.025)/(0.135-0.025))*(1+0.135)^-5 - 'DCF Model'!$B$9)/'DCF Model'!$B$6</f>
        <v>0</v>
      </c>
      <c r="E9" s="12">
        <f>('DCF Model'!$B$10*(1+'DCF Model'!$B$16)*(1+'DCF Model'!$B$17)*(1+0.135)^-1 + 'DCF Model'!$B$10*(1+'DCF Model'!$B$16)*(1+'DCF Model'!$C$16)*(1+'DCF Model'!$C$17)*(1+0.135)^-2 + 'DCF Model'!$B$10*(1+'DCF Model'!$B$16)*(1+'DCF Model'!$C$16)*(1+'DCF Model'!$D$16)*(1+'DCF Model'!$D$17)*(1+0.135)^-3 + 'DCF Model'!$B$10*(1+'DCF Model'!$B$16)*(1+'DCF Model'!$C$16)*(1+'DCF Model'!$D$16)*(1+'DCF Model'!$E$16)*(1+'DCF Model'!$E$17)*(1+0.135)^-4 + 'DCF Model'!$B$10*(1+'DCF Model'!$B$16)*(1+'DCF Model'!$C$16)*(1+'DCF Model'!$D$16)*(1+'DCF Model'!$E$16)*(1+'DCF Model'!$F$16)*'DCF Model'!$F$17*(1+0.135)^-5 + ('DCF Model'!$B$10*(1+'DCF Model'!$B$16)*(1+'DCF Model'!$C$16)*(1+'DCF Model'!$D$16)*(1+'DCF Model'!$E$16)*(1+'DCF Model'!$F$16)*'DCF Model'!$F$17*(1+0.03)/(0.135-0.03))*(1+0.135)^-5 - 'DCF Model'!$B$9)/'DCF Model'!$B$6</f>
        <v>0</v>
      </c>
      <c r="F9" s="12">
        <f>('DCF Model'!$B$10*(1+'DCF Model'!$B$16)*(1+'DCF Model'!$B$17)*(1+0.135)^-1 + 'DCF Model'!$B$10*(1+'DCF Model'!$B$16)*(1+'DCF Model'!$C$16)*(1+'DCF Model'!$C$17)*(1+0.135)^-2 + 'DCF Model'!$B$10*(1+'DCF Model'!$B$16)*(1+'DCF Model'!$C$16)*(1+'DCF Model'!$D$16)*(1+'DCF Model'!$D$17)*(1+0.135)^-3 + 'DCF Model'!$B$10*(1+'DCF Model'!$B$16)*(1+'DCF Model'!$C$16)*(1+'DCF Model'!$D$16)*(1+'DCF Model'!$E$16)*(1+'DCF Model'!$E$17)*(1+0.135)^-4 + 'DCF Model'!$B$10*(1+'DCF Model'!$B$16)*(1+'DCF Model'!$C$16)*(1+'DCF Model'!$D$16)*(1+'DCF Model'!$E$16)*(1+'DCF Model'!$F$16)*'DCF Model'!$F$17*(1+0.135)^-5 + ('DCF Model'!$B$10*(1+'DCF Model'!$B$16)*(1+'DCF Model'!$C$16)*(1+'DCF Model'!$D$16)*(1+'DCF Model'!$E$16)*(1+'DCF Model'!$F$16)*'DCF Model'!$F$17*(1+0.035)/(0.135-0.035))*(1+0.135)^-5 - 'DCF Model'!$B$9)/'DCF Model'!$B$6</f>
        <v>0</v>
      </c>
    </row>
    <row r="11" spans="1:6">
      <c r="A11" s="11" t="s">
        <v>73</v>
      </c>
    </row>
    <row r="12" spans="1:6">
      <c r="A12" s="1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22.7109375" customWidth="1"/>
    <col min="2" max="3" width="15.7109375" customWidth="1"/>
  </cols>
  <sheetData>
    <row r="1" spans="1:6">
      <c r="A1" s="1" t="s">
        <v>75</v>
      </c>
    </row>
    <row r="3" spans="1:6">
      <c r="A3" s="7" t="s">
        <v>76</v>
      </c>
      <c r="B3" s="7" t="s">
        <v>77</v>
      </c>
      <c r="C3" s="7" t="s">
        <v>78</v>
      </c>
    </row>
    <row r="4" spans="1:6">
      <c r="A4" t="s">
        <v>20</v>
      </c>
      <c r="B4" s="10">
        <v>0.188</v>
      </c>
      <c r="C4" s="10">
        <v>0.236</v>
      </c>
    </row>
    <row r="5" spans="1:6">
      <c r="A5" t="s">
        <v>79</v>
      </c>
      <c r="B5" t="s">
        <v>80</v>
      </c>
      <c r="C5" t="s">
        <v>80</v>
      </c>
    </row>
    <row r="6" spans="1:6">
      <c r="A6" t="s">
        <v>81</v>
      </c>
      <c r="B6" s="10">
        <v>0.242</v>
      </c>
      <c r="C6" t="s">
        <v>80</v>
      </c>
    </row>
    <row r="7" spans="1:6">
      <c r="A7" t="s">
        <v>82</v>
      </c>
      <c r="B7" t="s">
        <v>80</v>
      </c>
      <c r="C7" t="s">
        <v>80</v>
      </c>
    </row>
    <row r="9" spans="1:6">
      <c r="A9" s="8" t="s">
        <v>83</v>
      </c>
      <c r="B9" s="10">
        <v>0.105</v>
      </c>
    </row>
    <row r="10" spans="1:6">
      <c r="A10" t="s">
        <v>84</v>
      </c>
      <c r="B10" t="s">
        <v>85</v>
      </c>
    </row>
    <row r="12" spans="1:6">
      <c r="A12" s="8" t="s">
        <v>86</v>
      </c>
    </row>
    <row r="13" spans="1:6">
      <c r="A13" s="11" t="s">
        <v>87</v>
      </c>
      <c r="B13" s="11"/>
      <c r="C13" s="11"/>
      <c r="D13" s="11"/>
      <c r="E13" s="11"/>
      <c r="F13" s="11"/>
    </row>
    <row r="14" spans="1:6">
      <c r="A14" s="11"/>
      <c r="B14" s="11"/>
      <c r="C14" s="11"/>
      <c r="D14" s="11"/>
      <c r="E14" s="11"/>
      <c r="F14" s="11"/>
    </row>
    <row r="15" spans="1:6">
      <c r="A15" s="11"/>
      <c r="B15" s="11"/>
      <c r="C15" s="11"/>
      <c r="D15" s="11"/>
      <c r="E15" s="11"/>
      <c r="F15" s="11"/>
    </row>
    <row r="16" spans="1:6">
      <c r="A16" s="11"/>
      <c r="B16" s="11"/>
      <c r="C16" s="11"/>
      <c r="D16" s="11"/>
      <c r="E16" s="11"/>
      <c r="F16" s="11"/>
    </row>
    <row r="17" spans="1:6">
      <c r="A17" s="11"/>
      <c r="B17" s="11"/>
      <c r="C17" s="11"/>
      <c r="D17" s="11"/>
      <c r="E17" s="11"/>
      <c r="F17" s="11"/>
    </row>
    <row r="18" spans="1:6">
      <c r="A18" s="11"/>
      <c r="B18" s="11"/>
      <c r="C18" s="11"/>
      <c r="D18" s="11"/>
      <c r="E18" s="11"/>
      <c r="F18" s="11"/>
    </row>
    <row r="19" spans="1:6">
      <c r="A19" s="11"/>
      <c r="B19" s="11"/>
      <c r="C19" s="11"/>
      <c r="D19" s="11"/>
      <c r="E19" s="11"/>
      <c r="F19" s="11"/>
    </row>
    <row r="20" spans="1:6">
      <c r="A20" s="11"/>
      <c r="B20" s="11"/>
      <c r="C20" s="11"/>
      <c r="D20" s="11"/>
      <c r="E20" s="11"/>
      <c r="F20" s="11"/>
    </row>
    <row r="22" spans="1:6">
      <c r="A22" s="7" t="s">
        <v>53</v>
      </c>
      <c r="B22" s="7" t="s">
        <v>88</v>
      </c>
      <c r="C22" s="7" t="s">
        <v>89</v>
      </c>
      <c r="D22" s="7" t="s">
        <v>90</v>
      </c>
    </row>
    <row r="24" spans="1:6">
      <c r="A24" t="s">
        <v>91</v>
      </c>
      <c r="B24" s="5">
        <v>18406.4</v>
      </c>
      <c r="C24" s="5">
        <v>-1082.4</v>
      </c>
      <c r="D24" s="10">
        <f>C24/B24</f>
        <v>0</v>
      </c>
    </row>
    <row r="25" spans="1:6">
      <c r="A25" t="s">
        <v>92</v>
      </c>
      <c r="B25" s="5">
        <v>20582.6</v>
      </c>
      <c r="C25" s="5">
        <v>-245.6</v>
      </c>
      <c r="D25" s="10">
        <f>C25/B25</f>
        <v>0</v>
      </c>
    </row>
    <row r="26" spans="1:6">
      <c r="A26" t="s">
        <v>93</v>
      </c>
      <c r="B26" s="5">
        <v>24383</v>
      </c>
      <c r="C26" s="5">
        <v>1775</v>
      </c>
      <c r="D26" s="10">
        <f>C26/B26</f>
        <v>0</v>
      </c>
    </row>
    <row r="27" spans="1:6">
      <c r="A27" t="s">
        <v>94</v>
      </c>
      <c r="B27" s="5">
        <v>30268</v>
      </c>
      <c r="C27" s="5">
        <v>1016</v>
      </c>
      <c r="D27" s="10">
        <f>C27/B27</f>
        <v>0</v>
      </c>
    </row>
    <row r="28" spans="1:6">
      <c r="A28" t="s">
        <v>95</v>
      </c>
      <c r="B28" s="5">
        <v>34534</v>
      </c>
      <c r="C28" s="5">
        <v>527</v>
      </c>
      <c r="D28" s="10">
        <f>C28/B28</f>
        <v>0</v>
      </c>
    </row>
    <row r="29" spans="1:6">
      <c r="A29" t="s">
        <v>96</v>
      </c>
      <c r="B29" s="5">
        <v>8504</v>
      </c>
      <c r="C29" s="5">
        <v>-110</v>
      </c>
      <c r="D29" s="10">
        <f>C29/B29</f>
        <v>0</v>
      </c>
    </row>
  </sheetData>
  <mergeCells count="1">
    <mergeCell ref="A13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2026-07-27T06:21:00Z</dcterms:created>
  <dcterms:modified xsi:type="dcterms:W3CDTF">2026-07-27T06:21:00Z</dcterms:modified>
</cp:coreProperties>
</file>