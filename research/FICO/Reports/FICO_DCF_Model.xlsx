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<sst xmlns="http://schemas.openxmlformats.org/spreadsheetml/2006/main" count="386" uniqueCount="174">
  <si>
    <t xml:space="preserve">Ticker</t>
  </si>
  <si>
    <t xml:space="preserve">FICO</t>
  </si>
  <si>
    <t xml:space="preserve">Company</t>
  </si>
  <si>
    <t xml:space="preserve">Fair Isaac Corporation</t>
  </si>
  <si>
    <t xml:space="preserve">Valuation date</t>
  </si>
  <si>
    <t xml:space="preserve">2026-09-28</t>
  </si>
  <si>
    <t xml:space="preserve">Current price</t>
  </si>
  <si>
    <t xml:space="preserve">Price as of</t>
  </si>
  <si>
    <t xml:space="preserve">2026-09-25T20:00:02Z regular close (refreshed 2026-09-28 pre-open, unchanged)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</si>
  <si>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</si>
  <si>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</si>
  <si>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</si>
  <si>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</si>
  <si>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</si>
  <si>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</si>
  <si>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</si>
  <si>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</si>
  <si>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</si>
  <si>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</si>
  <si>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</si>
  <si>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</si>
  <si>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2026-09-28T08:22:15Z</t>
  </si>
  <si>
    <t xml:space="preserve">Drivers file</t>
  </si>
  <si>
    <t xml:space="preserve">FICO_Drivers.json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</si>
  <si>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</si>
  <si>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</si>
  <si>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</si>
  <si>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FICO as an unlevered owner-FCF stream on a strict basis -- GAAP SBC and the cash taxes paid to settle equity awards are both charged, the share count is held flat, and no further mortgage-score price step-up is assumed in the base case while the regulatory track is live. The FY2026 pricing windfall is treated as a level shift already in the base, not a growth rate. The debt taken on to fund $3B of FY2026 buybacks is deducted at face, which is what makes the equity's bear case steep relative to the revenue bear case. The house (SBC-expensed) and street (SBC as non-cash) values bracket where the market is pricing the accounting regime.
key_risks_to_valuation: Regulatory remedy on mortgage-score pricing (DOJ/FTC consent order, FHFA lender's-choice or bi-merge rule, class-action settlement) -- the bear-case axis and the largest single swing factor; VantageScore share gains in mortgage beyond the low-20s management believes gaming dynamics cap it at; Leverage: 5.6B net debt at ~5.6x TTM owner FCF and ~4x forward EBITDA; a revenue shock passes straight through to equity and constrains the buyback that has held the count flat; Equity-comp charge: if FICO's share price recovers, net-share-settlement taxes rise back toward the FY2025 level (10% of revenue) and the owner-FCF margin falls -- the model's SBC glide assumes a ~$900 vesting price; Mortgage origination volume stays ~40% below normal for longer if rates remain elevated; volume is the only non-pricing lever in Scores; Platform migration executes below plan: non-platform ARR is declining 17% a year, so any stumble in Platform ARR shows up as flat total software revenue; Terminal value is ~60% of EV in the base case at a 9% WACC; each 1pp of WACC moves value by roughly 15-20%</t>
  </si>
  <si>
    <t xml:space="preserve">Data sources</t>
  </si>
  <si>
    <t xml:space="preserve">price: Yahoo Finance chart API regularMarketPrice at inputs.price_as_of (Friday 2026-09-25 regular close, re-fetched 2026-09-28 pre-open and unchanged); 52-week range 848.64-1998.01, so the price is within 2% of its 52-week low after a ~40% YTD decline.
financials: research/FICO/Reports/FICO_Metrics.csv (SEC XBRL companyfacts, 105 periods through the Jun-2026 10-Q; metrics_normalized in USD millions). Balance sheet and diluted share count from the Q3 FY2026 10-Q (2026-06-30). Buybacks, equity-award taxes, cash taxes, D&amp;A and deferred revenue from the kpis table. FY2026 guidance ($2.53B revenue, $850M GAAP NI, $36.86 GAAP EPS, $979M / $42.43 non-GAAP) from the Q3 FY2026 release as recorded in FICO_Analysis.json.
qualitative: research/FICO/Reports/FICO_Analysis.json (2026-09-28): segment mix, Platform ARR, mortgage pricing history ($0.60 -&gt; $10.00 over five years), Hawley/FTC/DOJ investigation, FHFA bi-merge reversal, VantageScore dynamics, Accenture partnership, DLP status.</t>
  </si>
  <si>
    <t xml:space="preserve">Scenario narrative: bear</t>
  </si>
  <si>
    <t xml:space="preserve">The antitrust track bites: a DOJ/FTC consent order, an FHFA 'lender's choice' rule, or a settled class action forces a ~50% rollback of the $10 mortgage price in FY2028 while VantageScore captures ~20% of mortgage pulls. Because mortgage royalties (~30% of revenue) carry ~100% incremental margin, revenue falls 10% and adj. EBITDA drops to ~50%. Growth thereafter is volume plus inflation at a regulated toll. The 5.9B of notes issued to buy back stock at $1,300-1,800 becomes the story: net debt/EBITDA rises toward 5x, buybacks stop, and the equity absorbs the full swing -- this is the scenario in which the FY2026 leveraged repurchase program destroyed value.</t>
  </si>
  <si>
    <t xml:space="preserve">Scenario narrative: base</t>
  </si>
  <si>
    <t xml:space="preserve">The mortgage-score price doubling to $10.00 (Jan 2026) sticks but is the LAST step-up for the foreseeable future: under FTC/DOJ and Congressional attention FICO holds the price, takes one more quarter of carryover in FY2027 (+12% revenue), and then grows Scores on volume, modest auto/card pricing and B2C, while Software compounds high-single digits as the FICO Platform (ARR +62%, 148% NRR) overtakes the shrinking legacy book. Adj. EBITDA settles at 63%; equity comp glides from 10.5% to 8.5% of revenue as the withholding-tax component normalises at a lower share price. The 5.6B of buyback-funded debt is serviceable (~4x FY2027 EBITDA) and rolls down as FCF is redirected from repurchases.</t>
  </si>
  <si>
    <t xml:space="preserve">Scenario narrative: bull</t>
  </si>
  <si>
    <t xml:space="preserve">Regulatory scrutiny produces hearings but no remedy; the March 2026 reversal of the FHFA bi-merge mandate holds. FICO takes another mortgage price step in 2027, Fed cuts revive origination volume from its ~40%-below-normal trough, the Direct Licensing Program is certified (reseller agreements already cover ~60% of mortgage volume) and Score 10T/UltraFICO extend the franchise. Platform ARR keeps growing 40%+ with the Accenture channel, pushing Software to low-teens growth. Revenue +18% in FY2027 fading to 5%; margins reach 65.5%. The levered balance sheet becomes a tailwind as the market re-rates toward the 30x+ non-GAAP P/E the stock carried in 2025.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</si>
  <si>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</si>
  <si>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</si>
  <si>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</si>
  <si>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</si>
  <si>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</si>
  <si>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</si>
  <si>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</si>
  <si>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</si>
  <si>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</si>
  <si>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</si>
  <si>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</si>
  <si>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</si>
  <si>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</si>
  <si>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</si>
  <si>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</si>
  <si>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</si>
  <si>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</si>
  <si>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</si>
  <si>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</si>
  <si>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</si>
  <si>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</si>
  <si>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</si>
  <si>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</si>
  <si>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</si>
  <si>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</si>
  <si>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</si>
  <si>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</si>
  <si>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</si>
  <si>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</si>
  <si>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</si>
  <si>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</si>
  <si>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</si>
  <si>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</si>
  <si>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</si>
  <si>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</si>
  <si>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</si>
  <si>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</si>
  <si>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</si>
  <si>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</si>
  <si>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</si>
  <si>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</si>
  <si>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</si>
  <si>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</si>
  <si>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</si>
  <si>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</si>
  <si>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</si>
  <si>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</si>
  <si>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</si>
  <si>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</si>
  <si>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</si>
  <si>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</si>
  <si>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</si>
  <si>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</si>
  <si>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</si>
  <si>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</si>
  <si>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</si>
  <si>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</si>
  <si>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</si>
  <si>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</si>
  <si>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</si>
  <si>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</si>
  <si>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</si>
  <si>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</si>
  <si>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</si>
  <si>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</si>
  <si>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</si>
  <si>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</si>
  <si>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</si>
  <si>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</si>
  <si>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</si>
  <si>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</si>
  <si>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</si>
  <si>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</si>
  <si>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</si>
  <si>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</si>
  <si>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</si>
  <si>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</si>
  <si>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</si>
  <si>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</si>
  <si>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</si>
  <si>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</si>
  <si>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</si>
  <si>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</si>
  <si>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</si>
  <si>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FICO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</si>
  <si>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</si>
  <si>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</si>
  <si>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</si>
  <si>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</si>
  <si>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</si>
  <si>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</si>
  <si>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</si>
  <si>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</si>
  <si>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</si>
  <si>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</si>
  <si>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</si>
  <si>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</si>
  <si>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</si>
  <si>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</si>
  <si>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</si>
  <si>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</si>
  <si>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</si>
  <si>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</si>
  <si>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</si>
  <si>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</si>
  <si>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</si>
  <si>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</si>
  <si>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</si>
  <si>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</si>
  <si>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</si>
  <si>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</si>
  <si>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</si>
  <si>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</si>
  <si>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</si>
  <si>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</si>
  <si>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FICO owner-FCF component DCF: base case (millions, USD)</t>
  </si>
  <si>
    <t xml:space="preserve">FICO owner-FCF component DCF: bull case (millions, USD)</t>
  </si>
  <si>
    <t xml:space="preserve">FICO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</si>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</sst>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863.09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566.314</v>
      </c>
      <c r="S2" s="0" t="n">
        <v>95.284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744.842</v>
      </c>
      <c r="C3" s="0" t="n">
        <v>274.917</v>
      </c>
      <c r="F3" s="0" t="n">
        <v>122.283</v>
      </c>
      <c r="G3" s="0" t="n">
        <v>16.4173072947014</v>
      </c>
      <c r="H3" s="0" t="n">
        <v>161.777</v>
      </c>
      <c r="I3" s="0" t="n">
        <v>83.952</v>
      </c>
      <c r="J3" s="0" t="n">
        <v>11.2711152163815</v>
      </c>
      <c r="K3" s="0" t="n">
        <v>1.72</v>
      </c>
      <c r="L3" s="0" t="n">
        <v>159.15</v>
      </c>
      <c r="M3" s="0" t="n">
        <v>22.78</v>
      </c>
      <c r="N3" s="0" t="n">
        <v>136.37</v>
      </c>
      <c r="O3" s="0" t="n">
        <v>561.941</v>
      </c>
      <c r="S3" s="0" t="n">
        <v>129.678</v>
      </c>
      <c r="T3" s="0" t="n">
        <v>49.373</v>
      </c>
      <c r="U3" s="0" t="n">
        <v>27.981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630.735</v>
      </c>
      <c r="C4" s="0" t="n">
        <v>206.448</v>
      </c>
      <c r="F4" s="0" t="n">
        <v>116.747</v>
      </c>
      <c r="G4" s="0" t="n">
        <v>18.5096752201796</v>
      </c>
      <c r="H4" s="0" t="n">
        <v>155.166</v>
      </c>
      <c r="I4" s="0" t="n">
        <v>65.102</v>
      </c>
      <c r="J4" s="0" t="n">
        <v>10.3216089165815</v>
      </c>
      <c r="K4" s="0" t="n">
        <v>1.34</v>
      </c>
      <c r="L4" s="0" t="n">
        <v>151.633</v>
      </c>
      <c r="M4" s="0" t="n">
        <v>13.958</v>
      </c>
      <c r="N4" s="0" t="n">
        <v>137.675</v>
      </c>
      <c r="O4" s="0" t="n">
        <v>600.269</v>
      </c>
      <c r="P4" s="0" t="n">
        <v>1303.888</v>
      </c>
      <c r="Q4" s="0" t="n">
        <v>703.619</v>
      </c>
      <c r="R4" s="0" t="n">
        <v>0</v>
      </c>
      <c r="S4" s="0" t="n">
        <v>178.157</v>
      </c>
      <c r="T4" s="0" t="n">
        <v>48.776</v>
      </c>
      <c r="U4" s="0" t="n">
        <v>19.935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605.643</v>
      </c>
      <c r="C5" s="0" t="n">
        <v>180.932</v>
      </c>
      <c r="F5" s="0" t="n">
        <v>113.349</v>
      </c>
      <c r="G5" s="0" t="n">
        <v>18.7154809021156</v>
      </c>
      <c r="H5" s="0" t="n">
        <v>144.267</v>
      </c>
      <c r="I5" s="0" t="n">
        <v>64.457</v>
      </c>
      <c r="J5" s="0" t="n">
        <v>10.64273837888</v>
      </c>
      <c r="K5" s="0" t="n">
        <v>1.44</v>
      </c>
      <c r="L5" s="0" t="n">
        <v>105.78</v>
      </c>
      <c r="M5" s="0" t="n">
        <v>17.453</v>
      </c>
      <c r="N5" s="0" t="n">
        <v>88.327</v>
      </c>
      <c r="O5" s="0" t="n">
        <v>474.914</v>
      </c>
      <c r="P5" s="0" t="n">
        <v>1123.716</v>
      </c>
      <c r="Q5" s="0" t="n">
        <v>648.802</v>
      </c>
      <c r="R5" s="0" t="n">
        <v>8</v>
      </c>
      <c r="S5" s="0" t="n">
        <v>146.199</v>
      </c>
      <c r="T5" s="0" t="n">
        <v>45.308</v>
      </c>
      <c r="U5" s="0" t="n">
        <v>17.305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619.683</v>
      </c>
      <c r="C6" s="0" t="n">
        <v>186.47</v>
      </c>
      <c r="F6" s="0" t="n">
        <v>127.337</v>
      </c>
      <c r="G6" s="0" t="n">
        <v>20.5487321743537</v>
      </c>
      <c r="H6" s="0" t="n">
        <v>151.534</v>
      </c>
      <c r="I6" s="0" t="n">
        <v>71.562</v>
      </c>
      <c r="J6" s="0" t="n">
        <v>11.5481625282604</v>
      </c>
      <c r="K6" s="0" t="n">
        <v>1.82</v>
      </c>
      <c r="L6" s="0" t="n">
        <v>136.156</v>
      </c>
      <c r="M6" s="0" t="n">
        <v>14.02</v>
      </c>
      <c r="N6" s="0" t="n">
        <v>122.136</v>
      </c>
      <c r="O6" s="0" t="n">
        <v>465.494</v>
      </c>
      <c r="P6" s="0" t="n">
        <v>1129.468</v>
      </c>
      <c r="Q6" s="0" t="n">
        <v>663.974</v>
      </c>
      <c r="R6" s="0" t="n">
        <v>512</v>
      </c>
      <c r="S6" s="0" t="n">
        <v>135.752</v>
      </c>
      <c r="T6" s="0" t="n">
        <v>39.988</v>
      </c>
      <c r="U6" s="0" t="n">
        <v>15.5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676.423</v>
      </c>
      <c r="C7" s="0" t="n">
        <v>197.947</v>
      </c>
      <c r="F7" s="0" t="n">
        <v>168.358</v>
      </c>
      <c r="G7" s="0" t="n">
        <v>24.8894552668966</v>
      </c>
      <c r="H7" s="0" t="n">
        <v>189.907</v>
      </c>
      <c r="I7" s="0" t="n">
        <v>92.004</v>
      </c>
      <c r="J7" s="0" t="n">
        <v>13.6015481436912</v>
      </c>
      <c r="K7" s="0" t="n">
        <v>2.64</v>
      </c>
      <c r="L7" s="0" t="n">
        <v>129.746</v>
      </c>
      <c r="M7" s="0" t="n">
        <v>25.483</v>
      </c>
      <c r="N7" s="0" t="n">
        <v>104.263</v>
      </c>
      <c r="O7" s="0" t="n">
        <v>474.406</v>
      </c>
      <c r="P7" s="0" t="n">
        <v>1158.611</v>
      </c>
      <c r="Q7" s="0" t="n">
        <v>684.205</v>
      </c>
      <c r="R7" s="0" t="n">
        <v>553</v>
      </c>
      <c r="S7" s="0" t="n">
        <v>71.609</v>
      </c>
      <c r="T7" s="0" t="n">
        <v>36.063</v>
      </c>
      <c r="U7" s="0" t="n">
        <v>21.229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743.444</v>
      </c>
      <c r="C8" s="0" t="n">
        <v>229.468</v>
      </c>
      <c r="F8" s="0" t="n">
        <v>161.593</v>
      </c>
      <c r="G8" s="0" t="n">
        <v>21.7357326173861</v>
      </c>
      <c r="H8" s="0" t="n">
        <v>194.807</v>
      </c>
      <c r="I8" s="0" t="n">
        <v>90.095</v>
      </c>
      <c r="J8" s="0" t="n">
        <v>12.1185993834102</v>
      </c>
      <c r="K8" s="0" t="n">
        <v>2.55</v>
      </c>
      <c r="M8" s="0" t="n">
        <v>24.147</v>
      </c>
      <c r="O8" s="0" t="n">
        <v>530.677</v>
      </c>
      <c r="P8" s="0" t="n">
        <v>1161.547</v>
      </c>
      <c r="Q8" s="0" t="n">
        <v>630.87</v>
      </c>
      <c r="R8" s="0" t="n">
        <v>478</v>
      </c>
      <c r="S8" s="0" t="n">
        <v>83.178</v>
      </c>
      <c r="T8" s="0" t="n">
        <v>36.292</v>
      </c>
      <c r="U8" s="0" t="n">
        <v>25.85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788.985</v>
      </c>
      <c r="C9" s="0" t="n">
        <v>249.281</v>
      </c>
      <c r="F9" s="0" t="n">
        <v>161.868</v>
      </c>
      <c r="G9" s="0" t="n">
        <v>20.5159793912432</v>
      </c>
      <c r="H9" s="0" t="n">
        <v>194.5</v>
      </c>
      <c r="I9" s="0" t="n">
        <v>94.879</v>
      </c>
      <c r="J9" s="0" t="n">
        <v>12.0254504204769</v>
      </c>
      <c r="K9" s="0" t="n">
        <v>2.8</v>
      </c>
      <c r="M9" s="0" t="n">
        <v>12.59</v>
      </c>
      <c r="O9" s="0" t="n">
        <v>454.614</v>
      </c>
      <c r="P9" s="0" t="n">
        <v>1192.298</v>
      </c>
      <c r="Q9" s="0" t="n">
        <v>737.684</v>
      </c>
      <c r="R9" s="0" t="n">
        <v>617</v>
      </c>
      <c r="S9" s="0" t="n">
        <v>105.075</v>
      </c>
      <c r="T9" s="0" t="n">
        <v>34.864</v>
      </c>
      <c r="U9" s="0" t="n">
        <v>36.4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838.781</v>
      </c>
      <c r="C10" s="0" t="n">
        <v>270.535</v>
      </c>
      <c r="F10" s="0" t="n">
        <v>137.505</v>
      </c>
      <c r="G10" s="0" t="n">
        <v>16.393432850768</v>
      </c>
      <c r="H10" s="0" t="n">
        <v>171.394</v>
      </c>
      <c r="I10" s="0" t="n">
        <v>86.502</v>
      </c>
      <c r="J10" s="0" t="n">
        <v>10.3128230133968</v>
      </c>
      <c r="K10" s="0" t="n">
        <v>2.75</v>
      </c>
      <c r="M10" s="0" t="n">
        <v>24.999</v>
      </c>
      <c r="O10" s="0" t="n">
        <v>436.998</v>
      </c>
      <c r="P10" s="0" t="n">
        <v>1230.163</v>
      </c>
      <c r="Q10" s="0" t="n">
        <v>793.165</v>
      </c>
      <c r="R10" s="0" t="n">
        <v>608</v>
      </c>
      <c r="S10" s="0" t="n">
        <v>86.12</v>
      </c>
      <c r="T10" s="0" t="n">
        <v>32.609</v>
      </c>
      <c r="U10" s="0" t="n">
        <v>45.308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881.356</v>
      </c>
      <c r="C11" s="0" t="n">
        <v>265.173</v>
      </c>
      <c r="F11" s="0" t="n">
        <v>169.592</v>
      </c>
      <c r="G11" s="0" t="n">
        <v>19.2421677506025</v>
      </c>
      <c r="H11" s="0" t="n">
        <v>201.225</v>
      </c>
      <c r="I11" s="0" t="n">
        <v>109.448</v>
      </c>
      <c r="J11" s="0" t="n">
        <v>12.4181375062971</v>
      </c>
      <c r="K11" s="0" t="n">
        <v>3.52</v>
      </c>
      <c r="M11" s="0" t="n">
        <v>21.969</v>
      </c>
      <c r="O11" s="0" t="n">
        <v>481.316</v>
      </c>
      <c r="P11" s="0" t="n">
        <v>1220.676</v>
      </c>
      <c r="Q11" s="0" t="n">
        <v>773.848</v>
      </c>
      <c r="R11" s="0" t="n">
        <v>570.624</v>
      </c>
      <c r="S11" s="0" t="n">
        <v>75.926</v>
      </c>
      <c r="T11" s="0" t="n">
        <v>32.308</v>
      </c>
      <c r="U11" s="0" t="n">
        <v>55.509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934.983</v>
      </c>
      <c r="C12" s="0" t="n">
        <v>287.607</v>
      </c>
      <c r="F12" s="0" t="n">
        <v>182.159</v>
      </c>
      <c r="G12" s="0" t="n">
        <v>19.4826002183997</v>
      </c>
      <c r="H12" s="0" t="n">
        <v>218.373</v>
      </c>
      <c r="I12" s="0" t="n">
        <v>133.414</v>
      </c>
      <c r="J12" s="0" t="n">
        <v>14.269136444192</v>
      </c>
      <c r="K12" s="0" t="n">
        <v>4.32</v>
      </c>
      <c r="L12" s="0" t="n">
        <v>225.644</v>
      </c>
      <c r="M12" s="0" t="n">
        <v>19.828</v>
      </c>
      <c r="N12" s="0" t="n">
        <v>205.816</v>
      </c>
      <c r="O12" s="0" t="n">
        <v>466.183</v>
      </c>
      <c r="P12" s="0" t="n">
        <v>1255.62</v>
      </c>
      <c r="Q12" s="0" t="n">
        <v>829.083</v>
      </c>
      <c r="R12" s="0" t="n">
        <v>604.801</v>
      </c>
      <c r="S12" s="0" t="n">
        <v>105.618</v>
      </c>
      <c r="T12" s="0" t="n">
        <v>32.245</v>
      </c>
      <c r="U12" s="0" t="n">
        <v>61.222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1000.146</v>
      </c>
      <c r="C13" s="0" t="n">
        <v>312.898</v>
      </c>
      <c r="F13" s="0" t="n">
        <v>175.359</v>
      </c>
      <c r="G13" s="0" t="n">
        <v>17.5333401323407</v>
      </c>
      <c r="H13" s="0" t="n">
        <v>205.541</v>
      </c>
      <c r="I13" s="0" t="n">
        <v>126.482</v>
      </c>
      <c r="J13" s="0" t="n">
        <v>12.6463536323697</v>
      </c>
      <c r="K13" s="0" t="n">
        <v>4.26</v>
      </c>
      <c r="L13" s="0" t="n">
        <v>223.052</v>
      </c>
      <c r="M13" s="0" t="n">
        <v>31.299</v>
      </c>
      <c r="N13" s="0" t="n">
        <v>191.753</v>
      </c>
      <c r="O13" s="0" t="n">
        <v>287.437</v>
      </c>
      <c r="P13" s="0" t="n">
        <v>1330.467</v>
      </c>
      <c r="Q13" s="0" t="n">
        <v>1043.03</v>
      </c>
      <c r="R13" s="0" t="n">
        <v>763.944</v>
      </c>
      <c r="S13" s="0" t="n">
        <v>90.023</v>
      </c>
      <c r="T13" s="0" t="n">
        <v>31.18</v>
      </c>
      <c r="U13" s="0" t="n">
        <v>74.814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1160.083</v>
      </c>
      <c r="C14" s="0" t="n">
        <v>336.845</v>
      </c>
      <c r="F14" s="0" t="n">
        <v>253.548</v>
      </c>
      <c r="G14" s="0" t="n">
        <v>21.8560223708131</v>
      </c>
      <c r="H14" s="0" t="n">
        <v>285.16</v>
      </c>
      <c r="I14" s="0" t="n">
        <v>192.124</v>
      </c>
      <c r="J14" s="0" t="n">
        <v>16.5612288086284</v>
      </c>
      <c r="K14" s="0" t="n">
        <v>6.63</v>
      </c>
      <c r="L14" s="0" t="n">
        <v>260.35</v>
      </c>
      <c r="M14" s="0" t="n">
        <v>23.981</v>
      </c>
      <c r="N14" s="0" t="n">
        <v>236.369</v>
      </c>
      <c r="O14" s="0" t="n">
        <v>289.767</v>
      </c>
      <c r="P14" s="0" t="n">
        <v>1433.448</v>
      </c>
      <c r="Q14" s="0" t="n">
        <v>1143.681</v>
      </c>
      <c r="R14" s="0" t="n">
        <v>824.79</v>
      </c>
      <c r="S14" s="0" t="n">
        <v>106.426</v>
      </c>
      <c r="T14" s="0" t="n">
        <v>30.294</v>
      </c>
      <c r="U14" s="0" t="n">
        <v>83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1294.562</v>
      </c>
      <c r="C15" s="0" t="n">
        <v>361.142</v>
      </c>
      <c r="F15" s="0" t="n">
        <v>295.969</v>
      </c>
      <c r="G15" s="0" t="n">
        <v>22.8624816733382</v>
      </c>
      <c r="H15" s="0" t="n">
        <v>326.336</v>
      </c>
      <c r="I15" s="0" t="n">
        <v>236.411</v>
      </c>
      <c r="J15" s="0" t="n">
        <v>18.2618522712701</v>
      </c>
      <c r="K15" s="0" t="n">
        <v>8.13</v>
      </c>
      <c r="L15" s="0" t="n">
        <v>364.916</v>
      </c>
      <c r="M15" s="0" t="n">
        <v>21.989</v>
      </c>
      <c r="N15" s="0" t="n">
        <v>342.927</v>
      </c>
      <c r="O15" s="0" t="n">
        <v>331.082</v>
      </c>
      <c r="P15" s="0" t="n">
        <v>1606.24</v>
      </c>
      <c r="Q15" s="0" t="n">
        <v>1275.158</v>
      </c>
      <c r="R15" s="0" t="n">
        <v>834.435</v>
      </c>
      <c r="S15" s="0" t="n">
        <v>157.394</v>
      </c>
      <c r="T15" s="0" t="n">
        <v>29.932</v>
      </c>
      <c r="U15" s="0" t="n">
        <v>93.7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1316.536</v>
      </c>
      <c r="C16" s="0" t="n">
        <v>332.462</v>
      </c>
      <c r="F16" s="0" t="n">
        <v>505.489</v>
      </c>
      <c r="G16" s="0" t="n">
        <v>38.3953799972048</v>
      </c>
      <c r="H16" s="0" t="n">
        <v>531.081</v>
      </c>
      <c r="I16" s="0" t="n">
        <v>392.084</v>
      </c>
      <c r="J16" s="0" t="n">
        <v>29.7814871754361</v>
      </c>
      <c r="K16" s="0" t="n">
        <v>13.65</v>
      </c>
      <c r="L16" s="0" t="n">
        <v>423.817</v>
      </c>
      <c r="M16" s="0" t="n">
        <v>7.569</v>
      </c>
      <c r="N16" s="0" t="n">
        <v>416.248</v>
      </c>
      <c r="O16" s="0" t="n">
        <v>-110.942</v>
      </c>
      <c r="P16" s="0" t="n">
        <v>1567.776</v>
      </c>
      <c r="Q16" s="0" t="n">
        <v>1678.718</v>
      </c>
      <c r="R16" s="0" t="n">
        <v>1259.018</v>
      </c>
      <c r="S16" s="0" t="n">
        <v>195.354</v>
      </c>
      <c r="T16" s="0" t="n">
        <v>29.26</v>
      </c>
      <c r="U16" s="0" t="n">
        <v>112.5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1377.27</v>
      </c>
      <c r="C17" s="0" t="n">
        <v>302.174</v>
      </c>
      <c r="F17" s="0" t="n">
        <v>542.414</v>
      </c>
      <c r="G17" s="0" t="n">
        <v>39.3832727061506</v>
      </c>
      <c r="H17" s="0" t="n">
        <v>562.879</v>
      </c>
      <c r="I17" s="0" t="n">
        <v>373.541</v>
      </c>
      <c r="J17" s="0" t="n">
        <v>27.1218424854967</v>
      </c>
      <c r="K17" s="0" t="n">
        <v>14.34</v>
      </c>
      <c r="L17" s="0" t="n">
        <v>509.45</v>
      </c>
      <c r="M17" s="0" t="n">
        <v>6.029</v>
      </c>
      <c r="N17" s="0" t="n">
        <v>503.421</v>
      </c>
      <c r="O17" s="0" t="n">
        <v>-801.947</v>
      </c>
      <c r="P17" s="0" t="n">
        <v>1442.034</v>
      </c>
      <c r="Q17" s="0" t="n">
        <v>2243.981</v>
      </c>
      <c r="R17" s="0" t="n">
        <v>1853.669</v>
      </c>
      <c r="S17" s="0" t="n">
        <v>133.202</v>
      </c>
      <c r="T17" s="0" t="n">
        <v>26.347</v>
      </c>
      <c r="U17" s="0" t="n">
        <v>115.4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1513.557</v>
      </c>
      <c r="C18" s="0" t="n">
        <v>311.053</v>
      </c>
      <c r="F18" s="0" t="n">
        <v>642.83</v>
      </c>
      <c r="G18" s="0" t="n">
        <v>42.4714761320519</v>
      </c>
      <c r="H18" s="0" t="n">
        <v>657.468</v>
      </c>
      <c r="I18" s="0" t="n">
        <v>429.375</v>
      </c>
      <c r="J18" s="0" t="n">
        <v>28.3686045520585</v>
      </c>
      <c r="K18" s="0" t="n">
        <v>17.18</v>
      </c>
      <c r="L18" s="0" t="n">
        <v>468.915</v>
      </c>
      <c r="M18" s="0" t="n">
        <v>4.237</v>
      </c>
      <c r="N18" s="0" t="n">
        <v>464.678</v>
      </c>
      <c r="O18" s="0" t="n">
        <v>-687.99</v>
      </c>
      <c r="P18" s="0" t="n">
        <v>1575.281</v>
      </c>
      <c r="Q18" s="0" t="n">
        <v>2263.271</v>
      </c>
      <c r="R18" s="0" t="n">
        <v>1861.658</v>
      </c>
      <c r="S18" s="0" t="n">
        <v>136.778</v>
      </c>
      <c r="T18" s="0" t="n">
        <v>25.367</v>
      </c>
      <c r="U18" s="0" t="n">
        <v>123.847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1717.526</v>
      </c>
      <c r="C19" s="0" t="n">
        <v>348.206</v>
      </c>
      <c r="F19" s="0" t="n">
        <v>733.629</v>
      </c>
      <c r="G19" s="0" t="n">
        <v>42.7142878768647</v>
      </c>
      <c r="H19" s="0" t="n">
        <v>747.456</v>
      </c>
      <c r="I19" s="0" t="n">
        <v>512.811</v>
      </c>
      <c r="J19" s="0" t="n">
        <v>29.8575392745146</v>
      </c>
      <c r="K19" s="0" t="n">
        <v>20.78</v>
      </c>
      <c r="L19" s="0" t="n">
        <v>632.964</v>
      </c>
      <c r="M19" s="0" t="n">
        <v>8.884</v>
      </c>
      <c r="N19" s="0" t="n">
        <v>624.08</v>
      </c>
      <c r="O19" s="0" t="n">
        <v>-962.679</v>
      </c>
      <c r="P19" s="0" t="n">
        <v>1717.884</v>
      </c>
      <c r="Q19" s="0" t="n">
        <v>2680.563</v>
      </c>
      <c r="R19" s="0" t="n">
        <v>2224.021</v>
      </c>
      <c r="S19" s="0" t="n">
        <v>150.667</v>
      </c>
      <c r="T19" s="0" t="n">
        <v>25.079</v>
      </c>
      <c r="U19" s="0" t="n">
        <v>149.439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1990.869</v>
      </c>
      <c r="C20" s="0" t="n">
        <v>353.722</v>
      </c>
      <c r="F20" s="0" t="n">
        <v>924.85</v>
      </c>
      <c r="G20" s="0" t="n">
        <v>46.4545884234473</v>
      </c>
      <c r="H20" s="0" t="n">
        <v>939.802</v>
      </c>
      <c r="I20" s="0" t="n">
        <v>651.946</v>
      </c>
      <c r="J20" s="0" t="n">
        <v>32.7468055406961</v>
      </c>
      <c r="K20" s="0" t="n">
        <v>26.9</v>
      </c>
      <c r="L20" s="0" t="n">
        <v>778.807</v>
      </c>
      <c r="M20" s="0" t="n">
        <v>8.922</v>
      </c>
      <c r="N20" s="0" t="n">
        <v>769.885</v>
      </c>
      <c r="O20" s="0" t="n">
        <v>-1745.784</v>
      </c>
      <c r="P20" s="0" t="n">
        <v>1868.133</v>
      </c>
      <c r="Q20" s="0" t="n">
        <v>3613.917</v>
      </c>
      <c r="R20" s="0" t="n">
        <v>3455.232</v>
      </c>
      <c r="S20" s="0" t="n">
        <v>134.136</v>
      </c>
      <c r="T20" s="0" t="n">
        <v>24.561</v>
      </c>
      <c r="U20" s="0" t="n">
        <v>156.7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863.09</v>
      </c>
    </row>
    <row r="3" customFormat="false" ht="15" hidden="false" customHeight="false" outlineLevel="0" collapsed="false">
      <c r="A3" s="0" t="s">
        <v>85</v>
      </c>
      <c r="B3" s="3" t="n">
        <v>22.7</v>
      </c>
    </row>
    <row r="4" customFormat="false" ht="15" hidden="false" customHeight="false" outlineLevel="0" collapsed="false">
      <c r="A4" s="0" t="s">
        <v>86</v>
      </c>
      <c r="B4" s="3" t="n">
        <v>5634</v>
      </c>
    </row>
    <row r="5" customFormat="false" ht="15" hidden="false" customHeight="false" outlineLevel="0" collapsed="false">
      <c r="A5" s="0" t="s">
        <v>87</v>
      </c>
      <c r="B5" s="3" t="n">
        <v>0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2530</v>
      </c>
    </row>
    <row r="8" customFormat="false" ht="15" hidden="false" customHeight="false" outlineLevel="0" collapsed="false">
      <c r="A8" s="0" t="s">
        <v>90</v>
      </c>
      <c r="B8" s="3" t="s">
        <v>91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3</v>
      </c>
      <c r="D13" s="3" t="n">
        <v>-10</v>
      </c>
      <c r="E13" s="3" t="n">
        <v>-2</v>
      </c>
      <c r="F13" s="3" t="n">
        <v>2</v>
      </c>
      <c r="G13" s="3" t="n">
        <v>3</v>
      </c>
      <c r="H13" s="3" t="n">
        <v>3</v>
      </c>
      <c r="I13" s="3" t="n">
        <v>3</v>
      </c>
      <c r="J13" s="3" t="n">
        <v>3</v>
      </c>
      <c r="K13" s="3" t="n">
        <v>3</v>
      </c>
      <c r="L13" s="3" t="n">
        <v>3</v>
      </c>
    </row>
    <row r="14" customFormat="false" ht="15" hidden="false" customHeight="false" outlineLevel="0" collapsed="false">
      <c r="A14" s="0" t="s">
        <v>107</v>
      </c>
      <c r="C14" s="3" t="n">
        <v>58</v>
      </c>
      <c r="D14" s="3" t="n">
        <v>52</v>
      </c>
      <c r="E14" s="3" t="n">
        <v>50</v>
      </c>
      <c r="F14" s="3" t="n">
        <v>50</v>
      </c>
      <c r="G14" s="3" t="n">
        <v>50</v>
      </c>
      <c r="H14" s="3" t="n">
        <v>50</v>
      </c>
      <c r="I14" s="3" t="n">
        <v>50</v>
      </c>
      <c r="J14" s="3" t="n">
        <v>50</v>
      </c>
      <c r="K14" s="3" t="n">
        <v>50</v>
      </c>
      <c r="L14" s="3" t="n">
        <v>50</v>
      </c>
    </row>
    <row r="15" customFormat="false" ht="15" hidden="false" customHeight="false" outlineLevel="0" collapsed="false">
      <c r="A15" s="0" t="s">
        <v>108</v>
      </c>
      <c r="C15" s="3" t="n">
        <v>10.5</v>
      </c>
      <c r="D15" s="3" t="n">
        <v>10.5</v>
      </c>
      <c r="E15" s="3" t="n">
        <v>10</v>
      </c>
      <c r="F15" s="3" t="n">
        <v>10</v>
      </c>
      <c r="G15" s="3" t="n">
        <v>9.5</v>
      </c>
      <c r="H15" s="3" t="n">
        <v>9.5</v>
      </c>
      <c r="I15" s="3" t="n">
        <v>9</v>
      </c>
      <c r="J15" s="3" t="n">
        <v>9</v>
      </c>
      <c r="K15" s="3" t="n">
        <v>9</v>
      </c>
      <c r="L15" s="3" t="n">
        <v>9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0.6</v>
      </c>
      <c r="D17" s="3" t="n">
        <v>0.6</v>
      </c>
      <c r="E17" s="3" t="n">
        <v>0.6</v>
      </c>
      <c r="F17" s="3" t="n">
        <v>0.6</v>
      </c>
      <c r="G17" s="3" t="n">
        <v>0.6</v>
      </c>
      <c r="H17" s="3" t="n">
        <v>0.6</v>
      </c>
      <c r="I17" s="3" t="n">
        <v>0.6</v>
      </c>
      <c r="J17" s="3" t="n">
        <v>0.6</v>
      </c>
      <c r="K17" s="3" t="n">
        <v>0.6</v>
      </c>
      <c r="L17" s="3" t="n">
        <v>0.6</v>
      </c>
    </row>
    <row r="18" customFormat="false" ht="15" hidden="false" customHeight="false" outlineLevel="0" collapsed="false">
      <c r="A18" s="0" t="s">
        <v>111</v>
      </c>
      <c r="C18" s="3" t="n">
        <v>0.5</v>
      </c>
      <c r="D18" s="3" t="n">
        <v>0.5</v>
      </c>
      <c r="E18" s="3" t="n">
        <v>0.5</v>
      </c>
      <c r="F18" s="3" t="n">
        <v>0.5</v>
      </c>
      <c r="G18" s="3" t="n">
        <v>0.5</v>
      </c>
      <c r="H18" s="3" t="n">
        <v>0.5</v>
      </c>
      <c r="I18" s="3" t="n">
        <v>0.5</v>
      </c>
      <c r="J18" s="3" t="n">
        <v>0.5</v>
      </c>
      <c r="K18" s="3" t="n">
        <v>0.5</v>
      </c>
      <c r="L18" s="3" t="n">
        <v>0.5</v>
      </c>
    </row>
    <row r="19" customFormat="false" ht="15" hidden="false" customHeight="false" outlineLevel="0" collapsed="false">
      <c r="A19" s="0" t="s">
        <v>112</v>
      </c>
      <c r="C19" s="3" t="n">
        <v>21</v>
      </c>
      <c r="D19" s="3" t="n">
        <v>21.5</v>
      </c>
      <c r="E19" s="3" t="n">
        <v>22</v>
      </c>
      <c r="F19" s="3" t="n">
        <v>22.5</v>
      </c>
      <c r="G19" s="3" t="n">
        <v>23</v>
      </c>
      <c r="H19" s="3" t="n">
        <v>23</v>
      </c>
      <c r="I19" s="3" t="n">
        <v>23</v>
      </c>
      <c r="J19" s="3" t="n">
        <v>23</v>
      </c>
      <c r="K19" s="3" t="n">
        <v>23</v>
      </c>
      <c r="L19" s="3" t="n">
        <v>23</v>
      </c>
    </row>
    <row r="20" customFormat="false" ht="15" hidden="false" customHeight="false" outlineLevel="0" collapsed="false">
      <c r="A20" s="0" t="s">
        <v>113</v>
      </c>
      <c r="B20" s="3" t="n">
        <v>9</v>
      </c>
    </row>
    <row r="21" customFormat="false" ht="15" hidden="false" customHeight="false" outlineLevel="0" collapsed="false">
      <c r="A21" s="0" t="s">
        <v>114</v>
      </c>
      <c r="B21" s="3" t="n">
        <v>2</v>
      </c>
    </row>
    <row r="22" customFormat="false" ht="15" hidden="false" customHeight="false" outlineLevel="0" collapsed="false">
      <c r="A22" s="0" t="s">
        <v>115</v>
      </c>
      <c r="B22" s="3" t="n">
        <v>15</v>
      </c>
    </row>
    <row r="23" customFormat="false" ht="15" hidden="false" customHeight="false" outlineLevel="0" collapsed="false">
      <c r="A23" s="0" t="s">
        <v>116</v>
      </c>
      <c r="B23" s="3" t="n">
        <v>-10</v>
      </c>
    </row>
    <row r="24" customFormat="false" ht="15" hidden="false" customHeight="false" outlineLevel="0" collapsed="false">
      <c r="A24" s="0" t="s">
        <v>117</v>
      </c>
      <c r="B24" s="3" t="n">
        <v>0.25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12</v>
      </c>
      <c r="D27" s="3" t="n">
        <v>10</v>
      </c>
      <c r="E27" s="3" t="n">
        <v>9</v>
      </c>
      <c r="F27" s="3" t="n">
        <v>8</v>
      </c>
      <c r="G27" s="3" t="n">
        <v>7</v>
      </c>
      <c r="H27" s="3" t="n">
        <v>6.5</v>
      </c>
      <c r="I27" s="3" t="n">
        <v>6</v>
      </c>
      <c r="J27" s="3" t="n">
        <v>5.5</v>
      </c>
      <c r="K27" s="3" t="n">
        <v>5</v>
      </c>
      <c r="L27" s="3" t="n">
        <v>4.5</v>
      </c>
    </row>
    <row r="28" customFormat="false" ht="15" hidden="false" customHeight="false" outlineLevel="0" collapsed="false">
      <c r="A28" s="0" t="s">
        <v>107</v>
      </c>
      <c r="C28" s="3" t="n">
        <v>61.5</v>
      </c>
      <c r="D28" s="3" t="n">
        <v>62</v>
      </c>
      <c r="E28" s="3" t="n">
        <v>62.5</v>
      </c>
      <c r="F28" s="3" t="n">
        <v>63</v>
      </c>
      <c r="G28" s="3" t="n">
        <v>63</v>
      </c>
      <c r="H28" s="3" t="n">
        <v>63</v>
      </c>
      <c r="I28" s="3" t="n">
        <v>63</v>
      </c>
      <c r="J28" s="3" t="n">
        <v>63</v>
      </c>
      <c r="K28" s="3" t="n">
        <v>63</v>
      </c>
      <c r="L28" s="3" t="n">
        <v>63</v>
      </c>
    </row>
    <row r="29" customFormat="false" ht="15" hidden="false" customHeight="false" outlineLevel="0" collapsed="false">
      <c r="A29" s="0" t="s">
        <v>108</v>
      </c>
      <c r="C29" s="3" t="n">
        <v>10.5</v>
      </c>
      <c r="D29" s="3" t="n">
        <v>10</v>
      </c>
      <c r="E29" s="3" t="n">
        <v>9.7</v>
      </c>
      <c r="F29" s="3" t="n">
        <v>9.4</v>
      </c>
      <c r="G29" s="3" t="n">
        <v>9.2</v>
      </c>
      <c r="H29" s="3" t="n">
        <v>9</v>
      </c>
      <c r="I29" s="3" t="n">
        <v>8.8</v>
      </c>
      <c r="J29" s="3" t="n">
        <v>8.6</v>
      </c>
      <c r="K29" s="3" t="n">
        <v>8.5</v>
      </c>
      <c r="L29" s="3" t="n">
        <v>8.5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0.6</v>
      </c>
      <c r="D31" s="3" t="n">
        <v>0.6</v>
      </c>
      <c r="E31" s="3" t="n">
        <v>0.6</v>
      </c>
      <c r="F31" s="3" t="n">
        <v>0.6</v>
      </c>
      <c r="G31" s="3" t="n">
        <v>0.6</v>
      </c>
      <c r="H31" s="3" t="n">
        <v>0.6</v>
      </c>
      <c r="I31" s="3" t="n">
        <v>0.6</v>
      </c>
      <c r="J31" s="3" t="n">
        <v>0.6</v>
      </c>
      <c r="K31" s="3" t="n">
        <v>0.6</v>
      </c>
      <c r="L31" s="3" t="n">
        <v>0.6</v>
      </c>
    </row>
    <row r="32" customFormat="false" ht="15" hidden="false" customHeight="false" outlineLevel="0" collapsed="false">
      <c r="A32" s="0" t="s">
        <v>111</v>
      </c>
      <c r="C32" s="3" t="n">
        <v>0.5</v>
      </c>
      <c r="D32" s="3" t="n">
        <v>0.5</v>
      </c>
      <c r="E32" s="3" t="n">
        <v>0.5</v>
      </c>
      <c r="F32" s="3" t="n">
        <v>0.5</v>
      </c>
      <c r="G32" s="3" t="n">
        <v>0.5</v>
      </c>
      <c r="H32" s="3" t="n">
        <v>0.5</v>
      </c>
      <c r="I32" s="3" t="n">
        <v>0.5</v>
      </c>
      <c r="J32" s="3" t="n">
        <v>0.5</v>
      </c>
      <c r="K32" s="3" t="n">
        <v>0.5</v>
      </c>
      <c r="L32" s="3" t="n">
        <v>0.5</v>
      </c>
    </row>
    <row r="33" customFormat="false" ht="15" hidden="false" customHeight="false" outlineLevel="0" collapsed="false">
      <c r="A33" s="0" t="s">
        <v>112</v>
      </c>
      <c r="C33" s="3" t="n">
        <v>21</v>
      </c>
      <c r="D33" s="3" t="n">
        <v>21.5</v>
      </c>
      <c r="E33" s="3" t="n">
        <v>22</v>
      </c>
      <c r="F33" s="3" t="n">
        <v>22.5</v>
      </c>
      <c r="G33" s="3" t="n">
        <v>23</v>
      </c>
      <c r="H33" s="3" t="n">
        <v>23</v>
      </c>
      <c r="I33" s="3" t="n">
        <v>23</v>
      </c>
      <c r="J33" s="3" t="n">
        <v>23</v>
      </c>
      <c r="K33" s="3" t="n">
        <v>23</v>
      </c>
      <c r="L33" s="3" t="n">
        <v>23</v>
      </c>
    </row>
    <row r="34" customFormat="false" ht="15" hidden="false" customHeight="false" outlineLevel="0" collapsed="false">
      <c r="A34" s="0" t="s">
        <v>113</v>
      </c>
      <c r="B34" s="3" t="n">
        <v>9</v>
      </c>
    </row>
    <row r="35" customFormat="false" ht="15" hidden="false" customHeight="false" outlineLevel="0" collapsed="false">
      <c r="A35" s="0" t="s">
        <v>114</v>
      </c>
      <c r="B35" s="3" t="n">
        <v>3</v>
      </c>
    </row>
    <row r="36" customFormat="false" ht="15" hidden="false" customHeight="false" outlineLevel="0" collapsed="false">
      <c r="A36" s="0" t="s">
        <v>115</v>
      </c>
      <c r="B36" s="3" t="n">
        <v>20</v>
      </c>
    </row>
    <row r="37" customFormat="false" ht="15" hidden="false" customHeight="false" outlineLevel="0" collapsed="false">
      <c r="A37" s="0" t="s">
        <v>116</v>
      </c>
      <c r="B37" s="3" t="n">
        <v>-10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18</v>
      </c>
      <c r="D41" s="3" t="n">
        <v>15</v>
      </c>
      <c r="E41" s="3" t="n">
        <v>13</v>
      </c>
      <c r="F41" s="3" t="n">
        <v>11</v>
      </c>
      <c r="G41" s="3" t="n">
        <v>10</v>
      </c>
      <c r="H41" s="3" t="n">
        <v>9</v>
      </c>
      <c r="I41" s="3" t="n">
        <v>8</v>
      </c>
      <c r="J41" s="3" t="n">
        <v>7</v>
      </c>
      <c r="K41" s="3" t="n">
        <v>6</v>
      </c>
      <c r="L41" s="3" t="n">
        <v>5</v>
      </c>
    </row>
    <row r="42" customFormat="false" ht="15" hidden="false" customHeight="false" outlineLevel="0" collapsed="false">
      <c r="A42" s="0" t="s">
        <v>107</v>
      </c>
      <c r="C42" s="3" t="n">
        <v>62.5</v>
      </c>
      <c r="D42" s="3" t="n">
        <v>63.5</v>
      </c>
      <c r="E42" s="3" t="n">
        <v>64.5</v>
      </c>
      <c r="F42" s="3" t="n">
        <v>65</v>
      </c>
      <c r="G42" s="3" t="n">
        <v>65.5</v>
      </c>
      <c r="H42" s="3" t="n">
        <v>65.5</v>
      </c>
      <c r="I42" s="3" t="n">
        <v>65.5</v>
      </c>
      <c r="J42" s="3" t="n">
        <v>65.5</v>
      </c>
      <c r="K42" s="3" t="n">
        <v>65.5</v>
      </c>
      <c r="L42" s="3" t="n">
        <v>65.5</v>
      </c>
    </row>
    <row r="43" customFormat="false" ht="15" hidden="false" customHeight="false" outlineLevel="0" collapsed="false">
      <c r="A43" s="0" t="s">
        <v>108</v>
      </c>
      <c r="C43" s="3" t="n">
        <v>10.5</v>
      </c>
      <c r="D43" s="3" t="n">
        <v>9.8</v>
      </c>
      <c r="E43" s="3" t="n">
        <v>9.3</v>
      </c>
      <c r="F43" s="3" t="n">
        <v>8.9</v>
      </c>
      <c r="G43" s="3" t="n">
        <v>8.6</v>
      </c>
      <c r="H43" s="3" t="n">
        <v>8.3</v>
      </c>
      <c r="I43" s="3" t="n">
        <v>8.1</v>
      </c>
      <c r="J43" s="3" t="n">
        <v>8</v>
      </c>
      <c r="K43" s="3" t="n">
        <v>8</v>
      </c>
      <c r="L43" s="3" t="n">
        <v>8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0.6</v>
      </c>
      <c r="D45" s="3" t="n">
        <v>0.6</v>
      </c>
      <c r="E45" s="3" t="n">
        <v>0.6</v>
      </c>
      <c r="F45" s="3" t="n">
        <v>0.6</v>
      </c>
      <c r="G45" s="3" t="n">
        <v>0.6</v>
      </c>
      <c r="H45" s="3" t="n">
        <v>0.6</v>
      </c>
      <c r="I45" s="3" t="n">
        <v>0.6</v>
      </c>
      <c r="J45" s="3" t="n">
        <v>0.6</v>
      </c>
      <c r="K45" s="3" t="n">
        <v>0.6</v>
      </c>
      <c r="L45" s="3" t="n">
        <v>0.6</v>
      </c>
    </row>
    <row r="46" customFormat="false" ht="15" hidden="false" customHeight="false" outlineLevel="0" collapsed="false">
      <c r="A46" s="0" t="s">
        <v>111</v>
      </c>
      <c r="C46" s="3" t="n">
        <v>0.5</v>
      </c>
      <c r="D46" s="3" t="n">
        <v>0.5</v>
      </c>
      <c r="E46" s="3" t="n">
        <v>0.5</v>
      </c>
      <c r="F46" s="3" t="n">
        <v>0.5</v>
      </c>
      <c r="G46" s="3" t="n">
        <v>0.5</v>
      </c>
      <c r="H46" s="3" t="n">
        <v>0.5</v>
      </c>
      <c r="I46" s="3" t="n">
        <v>0.5</v>
      </c>
      <c r="J46" s="3" t="n">
        <v>0.5</v>
      </c>
      <c r="K46" s="3" t="n">
        <v>0.5</v>
      </c>
      <c r="L46" s="3" t="n">
        <v>0.5</v>
      </c>
    </row>
    <row r="47" customFormat="false" ht="15" hidden="false" customHeight="false" outlineLevel="0" collapsed="false">
      <c r="A47" s="0" t="s">
        <v>112</v>
      </c>
      <c r="C47" s="3" t="n">
        <v>21</v>
      </c>
      <c r="D47" s="3" t="n">
        <v>21.5</v>
      </c>
      <c r="E47" s="3" t="n">
        <v>22</v>
      </c>
      <c r="F47" s="3" t="n">
        <v>22.5</v>
      </c>
      <c r="G47" s="3" t="n">
        <v>23</v>
      </c>
      <c r="H47" s="3" t="n">
        <v>23</v>
      </c>
      <c r="I47" s="3" t="n">
        <v>23</v>
      </c>
      <c r="J47" s="3" t="n">
        <v>23</v>
      </c>
      <c r="K47" s="3" t="n">
        <v>23</v>
      </c>
      <c r="L47" s="3" t="n">
        <v>23</v>
      </c>
    </row>
    <row r="48" customFormat="false" ht="15" hidden="false" customHeight="false" outlineLevel="0" collapsed="false">
      <c r="A48" s="0" t="s">
        <v>113</v>
      </c>
      <c r="B48" s="3" t="n">
        <v>9</v>
      </c>
    </row>
    <row r="49" customFormat="false" ht="15" hidden="false" customHeight="false" outlineLevel="0" collapsed="false">
      <c r="A49" s="0" t="s">
        <v>114</v>
      </c>
      <c r="B49" s="3" t="n">
        <v>3.5</v>
      </c>
    </row>
    <row r="50" customFormat="false" ht="15" hidden="false" customHeight="false" outlineLevel="0" collapsed="false">
      <c r="A50" s="0" t="s">
        <v>115</v>
      </c>
      <c r="B50" s="3" t="n">
        <v>20</v>
      </c>
    </row>
    <row r="51" customFormat="false" ht="15" hidden="false" customHeight="false" outlineLevel="0" collapsed="false">
      <c r="A51" s="0" t="s">
        <v>116</v>
      </c>
      <c r="B51" s="3" t="n">
        <v>-10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3</v>
      </c>
      <c r="D5" s="4" t="n">
        <f aca="false">Assumptions!D13</f>
        <v>-10</v>
      </c>
      <c r="E5" s="4" t="n">
        <f aca="false">Assumptions!E13</f>
        <v>-2</v>
      </c>
      <c r="F5" s="4" t="n">
        <f aca="false">Assumptions!F13</f>
        <v>2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3</v>
      </c>
      <c r="K5" s="4" t="n">
        <f aca="false">Assumptions!K13</f>
        <v>3</v>
      </c>
      <c r="L5" s="4" t="n">
        <f aca="false">Assumptions!L13</f>
        <v>3</v>
      </c>
    </row>
    <row r="6" customFormat="false" ht="15" hidden="false" customHeight="false" outlineLevel="0" collapsed="false">
      <c r="A6" s="0" t="s">
        <v>37</v>
      </c>
      <c r="B6" s="3" t="n">
        <v>2530</v>
      </c>
      <c r="C6" s="0" t="n">
        <f aca="false">B6*(1+C5/100)</f>
        <v>2605.9</v>
      </c>
      <c r="D6" s="0" t="n">
        <f aca="false">C6*(1+D5/100)</f>
        <v>2345.31</v>
      </c>
      <c r="E6" s="0" t="n">
        <f aca="false">D6*(1+E5/100)</f>
        <v>2298.4038</v>
      </c>
      <c r="F6" s="0" t="n">
        <f aca="false">E6*(1+F5/100)</f>
        <v>2344.371876</v>
      </c>
      <c r="G6" s="0" t="n">
        <f aca="false">F6*(1+G5/100)</f>
        <v>2414.70303228</v>
      </c>
      <c r="H6" s="0" t="n">
        <f aca="false">G6*(1+H5/100)</f>
        <v>2487.1441232484</v>
      </c>
      <c r="I6" s="0" t="n">
        <f aca="false">H6*(1+I5/100)</f>
        <v>2561.75844694585</v>
      </c>
      <c r="J6" s="0" t="n">
        <f aca="false">I6*(1+J5/100)</f>
        <v>2638.61120035423</v>
      </c>
      <c r="K6" s="0" t="n">
        <f aca="false">J6*(1+K5/100)</f>
        <v>2717.76953636486</v>
      </c>
      <c r="L6" s="0" t="n">
        <f aca="false">K6*(1+L5/100)</f>
        <v>2799.3026224558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58</v>
      </c>
      <c r="D7" s="4" t="n">
        <f aca="false">Assumptions!D14</f>
        <v>52</v>
      </c>
      <c r="E7" s="4" t="n">
        <f aca="false">Assumptions!E14</f>
        <v>50</v>
      </c>
      <c r="F7" s="4" t="n">
        <f aca="false">Assumptions!F14</f>
        <v>50</v>
      </c>
      <c r="G7" s="4" t="n">
        <f aca="false">Assumptions!G14</f>
        <v>50</v>
      </c>
      <c r="H7" s="4" t="n">
        <f aca="false">Assumptions!H14</f>
        <v>50</v>
      </c>
      <c r="I7" s="4" t="n">
        <f aca="false">Assumptions!I14</f>
        <v>50</v>
      </c>
      <c r="J7" s="4" t="n">
        <f aca="false">Assumptions!J14</f>
        <v>50</v>
      </c>
      <c r="K7" s="4" t="n">
        <f aca="false">Assumptions!K14</f>
        <v>50</v>
      </c>
      <c r="L7" s="4" t="n">
        <f aca="false">Assumptions!L14</f>
        <v>50</v>
      </c>
    </row>
    <row r="8" customFormat="false" ht="15" hidden="false" customHeight="false" outlineLevel="0" collapsed="false">
      <c r="A8" s="0" t="s">
        <v>43</v>
      </c>
      <c r="C8" s="0" t="n">
        <f aca="false">C6*C7/100</f>
        <v>1511.422</v>
      </c>
      <c r="D8" s="0" t="n">
        <f aca="false">D6*D7/100</f>
        <v>1219.5612</v>
      </c>
      <c r="E8" s="0" t="n">
        <f aca="false">E6*E7/100</f>
        <v>1149.2019</v>
      </c>
      <c r="F8" s="0" t="n">
        <f aca="false">F6*F7/100</f>
        <v>1172.185938</v>
      </c>
      <c r="G8" s="0" t="n">
        <f aca="false">G6*G7/100</f>
        <v>1207.35151614</v>
      </c>
      <c r="H8" s="0" t="n">
        <f aca="false">H6*H7/100</f>
        <v>1243.5720616242</v>
      </c>
      <c r="I8" s="0" t="n">
        <f aca="false">I6*I7/100</f>
        <v>1280.87922347293</v>
      </c>
      <c r="J8" s="0" t="n">
        <f aca="false">J6*J7/100</f>
        <v>1319.30560017711</v>
      </c>
      <c r="K8" s="0" t="n">
        <f aca="false">K6*K7/100</f>
        <v>1358.88476818243</v>
      </c>
      <c r="L8" s="0" t="n">
        <f aca="false">L6*L7/100</f>
        <v>1399.6513112279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10.5</v>
      </c>
      <c r="D9" s="4" t="n">
        <f aca="false">Assumptions!D15</f>
        <v>10.5</v>
      </c>
      <c r="E9" s="4" t="n">
        <f aca="false">Assumptions!E15</f>
        <v>10</v>
      </c>
      <c r="F9" s="4" t="n">
        <f aca="false">Assumptions!F15</f>
        <v>10</v>
      </c>
      <c r="G9" s="4" t="n">
        <f aca="false">Assumptions!G15</f>
        <v>9.5</v>
      </c>
      <c r="H9" s="4" t="n">
        <f aca="false">Assumptions!H15</f>
        <v>9.5</v>
      </c>
      <c r="I9" s="4" t="n">
        <f aca="false">Assumptions!I15</f>
        <v>9</v>
      </c>
      <c r="J9" s="4" t="n">
        <f aca="false">Assumptions!J15</f>
        <v>9</v>
      </c>
      <c r="K9" s="4" t="n">
        <f aca="false">Assumptions!K15</f>
        <v>9</v>
      </c>
      <c r="L9" s="4" t="n">
        <f aca="false">Assumptions!L15</f>
        <v>9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-273.6195</v>
      </c>
      <c r="D10" s="0" t="n">
        <f aca="false">-D6*D9/100</f>
        <v>-246.25755</v>
      </c>
      <c r="E10" s="0" t="n">
        <f aca="false">-E6*E9/100</f>
        <v>-229.84038</v>
      </c>
      <c r="F10" s="0" t="n">
        <f aca="false">-F6*F9/100</f>
        <v>-234.4371876</v>
      </c>
      <c r="G10" s="0" t="n">
        <f aca="false">-G6*G9/100</f>
        <v>-229.3967880666</v>
      </c>
      <c r="H10" s="0" t="n">
        <f aca="false">-H6*H9/100</f>
        <v>-236.278691708598</v>
      </c>
      <c r="I10" s="0" t="n">
        <f aca="false">-I6*I9/100</f>
        <v>-230.558260225127</v>
      </c>
      <c r="J10" s="0" t="n">
        <f aca="false">-J6*J9/100</f>
        <v>-237.475008031881</v>
      </c>
      <c r="K10" s="0" t="n">
        <f aca="false">-K6*K9/100</f>
        <v>-244.599258272837</v>
      </c>
      <c r="L10" s="0" t="n">
        <f aca="false">-L6*L9/100</f>
        <v>-251.937236021022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1237.8025</v>
      </c>
      <c r="D11" s="0" t="n">
        <f aca="false">D8+D10+D24</f>
        <v>973.30365</v>
      </c>
      <c r="E11" s="0" t="n">
        <f aca="false">E8+E10+E24</f>
        <v>919.36152</v>
      </c>
      <c r="F11" s="0" t="n">
        <f aca="false">F8+F10+F24</f>
        <v>937.7487504</v>
      </c>
      <c r="G11" s="0" t="n">
        <f aca="false">G8+G10+G24</f>
        <v>977.9547280734</v>
      </c>
      <c r="H11" s="0" t="n">
        <f aca="false">H8+H10+H24</f>
        <v>1007.2933699156</v>
      </c>
      <c r="I11" s="0" t="n">
        <f aca="false">I8+I10+I24</f>
        <v>1050.3209632478</v>
      </c>
      <c r="J11" s="0" t="n">
        <f aca="false">J8+J10+J24</f>
        <v>1081.83059214523</v>
      </c>
      <c r="K11" s="0" t="n">
        <f aca="false">K8+K10+K24</f>
        <v>1114.28550990959</v>
      </c>
      <c r="L11" s="0" t="n">
        <f aca="false">L8+L10+L24</f>
        <v>1147.71407520688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-15.6354</v>
      </c>
      <c r="D12" s="4" t="n">
        <f aca="false">-D6*Assumptions!D17/100</f>
        <v>-14.07186</v>
      </c>
      <c r="E12" s="4" t="n">
        <f aca="false">-E6*Assumptions!E17/100</f>
        <v>-13.7904228</v>
      </c>
      <c r="F12" s="4" t="n">
        <f aca="false">-F6*Assumptions!F17/100</f>
        <v>-14.066231256</v>
      </c>
      <c r="G12" s="4" t="n">
        <f aca="false">-G6*Assumptions!G17/100</f>
        <v>-14.48821819368</v>
      </c>
      <c r="H12" s="4" t="n">
        <f aca="false">-H6*Assumptions!H17/100</f>
        <v>-14.9228647394904</v>
      </c>
      <c r="I12" s="4" t="n">
        <f aca="false">-I6*Assumptions!I17/100</f>
        <v>-15.3705506816751</v>
      </c>
      <c r="J12" s="4" t="n">
        <f aca="false">-J6*Assumptions!J17/100</f>
        <v>-15.8316672021254</v>
      </c>
      <c r="K12" s="4" t="n">
        <f aca="false">-K6*Assumptions!K17/100</f>
        <v>-16.3066172181891</v>
      </c>
      <c r="L12" s="4" t="n">
        <f aca="false">-L6*Assumptions!L17/100</f>
        <v>-16.7958157347348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1222.1671</v>
      </c>
      <c r="D13" s="0" t="n">
        <f aca="false">D11+D12</f>
        <v>959.23179</v>
      </c>
      <c r="E13" s="0" t="n">
        <f aca="false">E11+E12</f>
        <v>905.5710972</v>
      </c>
      <c r="F13" s="0" t="n">
        <f aca="false">F11+F12</f>
        <v>923.682519144</v>
      </c>
      <c r="G13" s="0" t="n">
        <f aca="false">G11+G12</f>
        <v>963.46650987972</v>
      </c>
      <c r="H13" s="0" t="n">
        <f aca="false">H11+H12</f>
        <v>992.370505176112</v>
      </c>
      <c r="I13" s="0" t="n">
        <f aca="false">I11+I12</f>
        <v>1034.95041256612</v>
      </c>
      <c r="J13" s="0" t="n">
        <f aca="false">J11+J12</f>
        <v>1065.99892494311</v>
      </c>
      <c r="K13" s="0" t="n">
        <f aca="false">K11+K12</f>
        <v>1097.9788926914</v>
      </c>
      <c r="L13" s="0" t="n">
        <f aca="false">L11+L12</f>
        <v>1130.91825947214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21</v>
      </c>
      <c r="D14" s="4" t="n">
        <f aca="false">Assumptions!D19</f>
        <v>21.5</v>
      </c>
      <c r="E14" s="4" t="n">
        <f aca="false">Assumptions!E19</f>
        <v>22</v>
      </c>
      <c r="F14" s="4" t="n">
        <f aca="false">Assumptions!F19</f>
        <v>22.5</v>
      </c>
      <c r="G14" s="4" t="n">
        <f aca="false">Assumptions!G19</f>
        <v>23</v>
      </c>
      <c r="H14" s="4" t="n">
        <f aca="false">Assumptions!H19</f>
        <v>23</v>
      </c>
      <c r="I14" s="4" t="n">
        <f aca="false">Assumptions!I19</f>
        <v>23</v>
      </c>
      <c r="J14" s="4" t="n">
        <f aca="false">Assumptions!J19</f>
        <v>23</v>
      </c>
      <c r="K14" s="4" t="n">
        <f aca="false">Assumptions!K19</f>
        <v>23</v>
      </c>
      <c r="L14" s="4" t="n">
        <f aca="false">Assumptions!L19</f>
        <v>23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965.512009</v>
      </c>
      <c r="D15" s="0" t="n">
        <f aca="false">D13-MAX(0,D13)*D14/100</f>
        <v>752.99695515</v>
      </c>
      <c r="E15" s="0" t="n">
        <f aca="false">E13-MAX(0,E13)*E14/100</f>
        <v>706.345455816</v>
      </c>
      <c r="F15" s="0" t="n">
        <f aca="false">F13-MAX(0,F13)*F14/100</f>
        <v>715.8539523366</v>
      </c>
      <c r="G15" s="0" t="n">
        <f aca="false">G13-MAX(0,G13)*G14/100</f>
        <v>741.869212607384</v>
      </c>
      <c r="H15" s="0" t="n">
        <f aca="false">H13-MAX(0,H13)*H14/100</f>
        <v>764.125288985606</v>
      </c>
      <c r="I15" s="0" t="n">
        <f aca="false">I13-MAX(0,I13)*I14/100</f>
        <v>796.911817675916</v>
      </c>
      <c r="J15" s="0" t="n">
        <f aca="false">J13-MAX(0,J13)*J14/100</f>
        <v>820.819172206193</v>
      </c>
      <c r="K15" s="0" t="n">
        <f aca="false">K13-MAX(0,K13)*K14/100</f>
        <v>845.443747372379</v>
      </c>
      <c r="L15" s="0" t="n">
        <f aca="false">L13-MAX(0,L13)*L14/100</f>
        <v>870.807059793551</v>
      </c>
    </row>
    <row r="16" customFormat="false" ht="15" hidden="false" customHeight="false" outlineLevel="0" collapsed="false">
      <c r="A16" s="0" t="s">
        <v>128</v>
      </c>
      <c r="C16" s="0" t="n">
        <f aca="false">-C12</f>
        <v>15.6354</v>
      </c>
      <c r="D16" s="0" t="n">
        <f aca="false">-D12</f>
        <v>14.07186</v>
      </c>
      <c r="E16" s="0" t="n">
        <f aca="false">-E12</f>
        <v>13.7904228</v>
      </c>
      <c r="F16" s="0" t="n">
        <f aca="false">-F12</f>
        <v>14.066231256</v>
      </c>
      <c r="G16" s="0" t="n">
        <f aca="false">-G12</f>
        <v>14.48821819368</v>
      </c>
      <c r="H16" s="0" t="n">
        <f aca="false">-H12</f>
        <v>14.9228647394904</v>
      </c>
      <c r="I16" s="0" t="n">
        <f aca="false">-I12</f>
        <v>15.3705506816751</v>
      </c>
      <c r="J16" s="0" t="n">
        <f aca="false">-J12</f>
        <v>15.8316672021254</v>
      </c>
      <c r="K16" s="0" t="n">
        <f aca="false">-K12</f>
        <v>16.3066172181891</v>
      </c>
      <c r="L16" s="0" t="n">
        <f aca="false">-L12</f>
        <v>16.7958157347348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-13.0295</v>
      </c>
      <c r="D17" s="4" t="n">
        <f aca="false">-D6*Assumptions!D18/100</f>
        <v>-11.72655</v>
      </c>
      <c r="E17" s="4" t="n">
        <f aca="false">-E6*Assumptions!E18/100</f>
        <v>-11.492019</v>
      </c>
      <c r="F17" s="4" t="n">
        <f aca="false">-F6*Assumptions!F18/100</f>
        <v>-11.72185938</v>
      </c>
      <c r="G17" s="4" t="n">
        <f aca="false">-G6*Assumptions!G18/100</f>
        <v>-12.0735151614</v>
      </c>
      <c r="H17" s="4" t="n">
        <f aca="false">-H6*Assumptions!H18/100</f>
        <v>-12.435720616242</v>
      </c>
      <c r="I17" s="4" t="n">
        <f aca="false">-I6*Assumptions!I18/100</f>
        <v>-12.8087922347293</v>
      </c>
      <c r="J17" s="4" t="n">
        <f aca="false">-J6*Assumptions!J18/100</f>
        <v>-13.1930560017711</v>
      </c>
      <c r="K17" s="4" t="n">
        <f aca="false">-K6*Assumptions!K18/100</f>
        <v>-13.5888476818243</v>
      </c>
      <c r="L17" s="4" t="n">
        <f aca="false">-L6*Assumptions!L18/100</f>
        <v>-13.996513112279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-7.59000000000001</v>
      </c>
      <c r="D18" s="4" t="n">
        <f aca="false">(D6-C6)*Assumptions!$B$23/100</f>
        <v>26.059</v>
      </c>
      <c r="E18" s="4" t="n">
        <f aca="false">(E6-D6)*Assumptions!$B$23/100</f>
        <v>4.69061999999999</v>
      </c>
      <c r="F18" s="4" t="n">
        <f aca="false">(F6-E6)*Assumptions!$B$23/100</f>
        <v>-4.59680760000001</v>
      </c>
      <c r="G18" s="4" t="n">
        <f aca="false">(G6-F6)*Assumptions!$B$23/100</f>
        <v>-7.033115628</v>
      </c>
      <c r="H18" s="4" t="n">
        <f aca="false">(H6-G6)*Assumptions!$B$23/100</f>
        <v>-7.24410909684002</v>
      </c>
      <c r="I18" s="4" t="n">
        <f aca="false">(I6-H6)*Assumptions!$B$23/100</f>
        <v>-7.46143236974522</v>
      </c>
      <c r="J18" s="4" t="n">
        <f aca="false">(J6-I6)*Assumptions!$B$23/100</f>
        <v>-7.68527534083755</v>
      </c>
      <c r="K18" s="4" t="n">
        <f aca="false">(K6-J6)*Assumptions!$B$23/100</f>
        <v>-7.9158336010627</v>
      </c>
      <c r="L18" s="4" t="n">
        <f aca="false">(L6-K6)*Assumptions!$B$23/100</f>
        <v>-8.15330860909458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960.527909</v>
      </c>
      <c r="D19" s="0" t="n">
        <f aca="false">D15+D16+D17+D18</f>
        <v>781.40126515</v>
      </c>
      <c r="E19" s="0" t="n">
        <f aca="false">E15+E16+E17+E18</f>
        <v>713.334479616</v>
      </c>
      <c r="F19" s="0" t="n">
        <f aca="false">F15+F16+F17+F18</f>
        <v>713.6015166126</v>
      </c>
      <c r="G19" s="0" t="n">
        <f aca="false">G15+G16+G17+G18</f>
        <v>737.250800011664</v>
      </c>
      <c r="H19" s="0" t="n">
        <f aca="false">H15+H16+H17+H18</f>
        <v>759.368324012015</v>
      </c>
      <c r="I19" s="0" t="n">
        <f aca="false">I15+I16+I17+I18</f>
        <v>792.012143753116</v>
      </c>
      <c r="J19" s="0" t="n">
        <f aca="false">J15+J16+J17+J18</f>
        <v>815.77250806571</v>
      </c>
      <c r="K19" s="0" t="n">
        <f aca="false">K15+K16+K17+K18</f>
        <v>840.245683307681</v>
      </c>
      <c r="L19" s="0" t="n">
        <f aca="false">L15+L16+L17+L18</f>
        <v>865.453053806912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881.218265137615</v>
      </c>
      <c r="D21" s="0" t="n">
        <f aca="false">D19*D20</f>
        <v>657.689811589933</v>
      </c>
      <c r="E21" s="0" t="n">
        <f aca="false">E19*E20</f>
        <v>550.825100917431</v>
      </c>
      <c r="F21" s="0" t="n">
        <f aca="false">F19*F20</f>
        <v>505.533305022725</v>
      </c>
      <c r="G21" s="0" t="n">
        <f aca="false">G19*G20</f>
        <v>479.162434501145</v>
      </c>
      <c r="H21" s="0" t="n">
        <f aca="false">H19*H20</f>
        <v>452.786520675394</v>
      </c>
      <c r="I21" s="0" t="n">
        <f aca="false">I19*I20</f>
        <v>433.257764964723</v>
      </c>
      <c r="J21" s="0" t="n">
        <f aca="false">J19*J20</f>
        <v>409.408713682261</v>
      </c>
      <c r="K21" s="0" t="n">
        <f aca="false">K19*K20</f>
        <v>386.872454213513</v>
      </c>
      <c r="L21" s="0" t="n">
        <f aca="false">L19*L20</f>
        <v>365.576722788916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5122.33109349366</v>
      </c>
    </row>
    <row r="31" customFormat="false" ht="15" hidden="false" customHeight="false" outlineLevel="0" collapsed="false">
      <c r="A31" s="0" t="s">
        <v>137</v>
      </c>
      <c r="B31" s="0" t="n">
        <f aca="false">L19</f>
        <v>865.453053806912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12610.8873554721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12981.7958071037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12610.8873554721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5326.97510349563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10449.3061969893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4815.30619698928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212.128026299087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-0.754222588259524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1556.17997930763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1550.70616254005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348.995257217487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6790.47780679269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2.62861471717353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12</v>
      </c>
      <c r="D5" s="4" t="n">
        <f aca="false">Assumptions!D27</f>
        <v>10</v>
      </c>
      <c r="E5" s="4" t="n">
        <f aca="false">Assumptions!E27</f>
        <v>9</v>
      </c>
      <c r="F5" s="4" t="n">
        <f aca="false">Assumptions!F27</f>
        <v>8</v>
      </c>
      <c r="G5" s="4" t="n">
        <f aca="false">Assumptions!G27</f>
        <v>7</v>
      </c>
      <c r="H5" s="4" t="n">
        <f aca="false">Assumptions!H27</f>
        <v>6.5</v>
      </c>
      <c r="I5" s="4" t="n">
        <f aca="false">Assumptions!I27</f>
        <v>6</v>
      </c>
      <c r="J5" s="4" t="n">
        <f aca="false">Assumptions!J27</f>
        <v>5.5</v>
      </c>
      <c r="K5" s="4" t="n">
        <f aca="false">Assumptions!K27</f>
        <v>5</v>
      </c>
      <c r="L5" s="4" t="n">
        <f aca="false">Assumptions!L27</f>
        <v>4.5</v>
      </c>
    </row>
    <row r="6" customFormat="false" ht="15" hidden="false" customHeight="false" outlineLevel="0" collapsed="false">
      <c r="A6" s="0" t="s">
        <v>37</v>
      </c>
      <c r="B6" s="3" t="n">
        <v>2530</v>
      </c>
      <c r="C6" s="0" t="n">
        <f aca="false">B6*(1+C5/100)</f>
        <v>2833.6</v>
      </c>
      <c r="D6" s="0" t="n">
        <f aca="false">C6*(1+D5/100)</f>
        <v>3116.96</v>
      </c>
      <c r="E6" s="0" t="n">
        <f aca="false">D6*(1+E5/100)</f>
        <v>3397.4864</v>
      </c>
      <c r="F6" s="0" t="n">
        <f aca="false">E6*(1+F5/100)</f>
        <v>3669.285312</v>
      </c>
      <c r="G6" s="0" t="n">
        <f aca="false">F6*(1+G5/100)</f>
        <v>3926.13528384</v>
      </c>
      <c r="H6" s="0" t="n">
        <f aca="false">G6*(1+H5/100)</f>
        <v>4181.3340772896</v>
      </c>
      <c r="I6" s="0" t="n">
        <f aca="false">H6*(1+I5/100)</f>
        <v>4432.21412192698</v>
      </c>
      <c r="J6" s="0" t="n">
        <f aca="false">I6*(1+J5/100)</f>
        <v>4675.98589863296</v>
      </c>
      <c r="K6" s="0" t="n">
        <f aca="false">J6*(1+K5/100)</f>
        <v>4909.78519356461</v>
      </c>
      <c r="L6" s="0" t="n">
        <f aca="false">K6*(1+L5/100)</f>
        <v>5130.72552727502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61.5</v>
      </c>
      <c r="D7" s="4" t="n">
        <f aca="false">Assumptions!D28</f>
        <v>62</v>
      </c>
      <c r="E7" s="4" t="n">
        <f aca="false">Assumptions!E28</f>
        <v>62.5</v>
      </c>
      <c r="F7" s="4" t="n">
        <f aca="false">Assumptions!F28</f>
        <v>63</v>
      </c>
      <c r="G7" s="4" t="n">
        <f aca="false">Assumptions!G28</f>
        <v>63</v>
      </c>
      <c r="H7" s="4" t="n">
        <f aca="false">Assumptions!H28</f>
        <v>63</v>
      </c>
      <c r="I7" s="4" t="n">
        <f aca="false">Assumptions!I28</f>
        <v>63</v>
      </c>
      <c r="J7" s="4" t="n">
        <f aca="false">Assumptions!J28</f>
        <v>63</v>
      </c>
      <c r="K7" s="4" t="n">
        <f aca="false">Assumptions!K28</f>
        <v>63</v>
      </c>
      <c r="L7" s="4" t="n">
        <f aca="false">Assumptions!L28</f>
        <v>63</v>
      </c>
    </row>
    <row r="8" customFormat="false" ht="15" hidden="false" customHeight="false" outlineLevel="0" collapsed="false">
      <c r="A8" s="0" t="s">
        <v>43</v>
      </c>
      <c r="C8" s="0" t="n">
        <f aca="false">C6*C7/100</f>
        <v>1742.664</v>
      </c>
      <c r="D8" s="0" t="n">
        <f aca="false">D6*D7/100</f>
        <v>1932.5152</v>
      </c>
      <c r="E8" s="0" t="n">
        <f aca="false">E6*E7/100</f>
        <v>2123.429</v>
      </c>
      <c r="F8" s="0" t="n">
        <f aca="false">F6*F7/100</f>
        <v>2311.64974656</v>
      </c>
      <c r="G8" s="0" t="n">
        <f aca="false">G6*G7/100</f>
        <v>2473.4652288192</v>
      </c>
      <c r="H8" s="0" t="n">
        <f aca="false">H6*H7/100</f>
        <v>2634.24046869245</v>
      </c>
      <c r="I8" s="0" t="n">
        <f aca="false">I6*I7/100</f>
        <v>2792.294896814</v>
      </c>
      <c r="J8" s="0" t="n">
        <f aca="false">J6*J7/100</f>
        <v>2945.87111613876</v>
      </c>
      <c r="K8" s="0" t="n">
        <f aca="false">K6*K7/100</f>
        <v>3093.1646719457</v>
      </c>
      <c r="L8" s="0" t="n">
        <f aca="false">L6*L7/100</f>
        <v>3232.35708218326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10.5</v>
      </c>
      <c r="D9" s="4" t="n">
        <f aca="false">Assumptions!D29</f>
        <v>10</v>
      </c>
      <c r="E9" s="4" t="n">
        <f aca="false">Assumptions!E29</f>
        <v>9.7</v>
      </c>
      <c r="F9" s="4" t="n">
        <f aca="false">Assumptions!F29</f>
        <v>9.4</v>
      </c>
      <c r="G9" s="4" t="n">
        <f aca="false">Assumptions!G29</f>
        <v>9.2</v>
      </c>
      <c r="H9" s="4" t="n">
        <f aca="false">Assumptions!H29</f>
        <v>9</v>
      </c>
      <c r="I9" s="4" t="n">
        <f aca="false">Assumptions!I29</f>
        <v>8.8</v>
      </c>
      <c r="J9" s="4" t="n">
        <f aca="false">Assumptions!J29</f>
        <v>8.6</v>
      </c>
      <c r="K9" s="4" t="n">
        <f aca="false">Assumptions!K29</f>
        <v>8.5</v>
      </c>
      <c r="L9" s="4" t="n">
        <f aca="false">Assumptions!L29</f>
        <v>8.5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-297.528</v>
      </c>
      <c r="D10" s="0" t="n">
        <f aca="false">-D6*D9/100</f>
        <v>-311.696</v>
      </c>
      <c r="E10" s="0" t="n">
        <f aca="false">-E6*E9/100</f>
        <v>-329.5561808</v>
      </c>
      <c r="F10" s="0" t="n">
        <f aca="false">-F6*F9/100</f>
        <v>-344.912819328</v>
      </c>
      <c r="G10" s="0" t="n">
        <f aca="false">-G6*G9/100</f>
        <v>-361.20444611328</v>
      </c>
      <c r="H10" s="0" t="n">
        <f aca="false">-H6*H9/100</f>
        <v>-376.320066956064</v>
      </c>
      <c r="I10" s="0" t="n">
        <f aca="false">-I6*I9/100</f>
        <v>-390.034842729574</v>
      </c>
      <c r="J10" s="0" t="n">
        <f aca="false">-J6*J9/100</f>
        <v>-402.134787282435</v>
      </c>
      <c r="K10" s="0" t="n">
        <f aca="false">-K6*K9/100</f>
        <v>-417.331741452992</v>
      </c>
      <c r="L10" s="0" t="n">
        <f aca="false">-L6*L9/100</f>
        <v>-436.111669818376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1445.136</v>
      </c>
      <c r="D11" s="0" t="n">
        <f aca="false">D8+D10+D24</f>
        <v>1620.8192</v>
      </c>
      <c r="E11" s="0" t="n">
        <f aca="false">E8+E10+E24</f>
        <v>1793.8728192</v>
      </c>
      <c r="F11" s="0" t="n">
        <f aca="false">F8+F10+F24</f>
        <v>1966.736927232</v>
      </c>
      <c r="G11" s="0" t="n">
        <f aca="false">G8+G10+G24</f>
        <v>2112.26078270592</v>
      </c>
      <c r="H11" s="0" t="n">
        <f aca="false">H8+H10+H24</f>
        <v>2257.92040173638</v>
      </c>
      <c r="I11" s="0" t="n">
        <f aca="false">I8+I10+I24</f>
        <v>2402.26005408442</v>
      </c>
      <c r="J11" s="0" t="n">
        <f aca="false">J8+J10+J24</f>
        <v>2543.73632885633</v>
      </c>
      <c r="K11" s="0" t="n">
        <f aca="false">K8+K10+K24</f>
        <v>2675.83293049271</v>
      </c>
      <c r="L11" s="0" t="n">
        <f aca="false">L8+L10+L24</f>
        <v>2796.24541236488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-17.0016</v>
      </c>
      <c r="D12" s="4" t="n">
        <f aca="false">-D6*Assumptions!D31/100</f>
        <v>-18.70176</v>
      </c>
      <c r="E12" s="4" t="n">
        <f aca="false">-E6*Assumptions!E31/100</f>
        <v>-20.3849184</v>
      </c>
      <c r="F12" s="4" t="n">
        <f aca="false">-F6*Assumptions!F31/100</f>
        <v>-22.015711872</v>
      </c>
      <c r="G12" s="4" t="n">
        <f aca="false">-G6*Assumptions!G31/100</f>
        <v>-23.55681170304</v>
      </c>
      <c r="H12" s="4" t="n">
        <f aca="false">-H6*Assumptions!H31/100</f>
        <v>-25.0880044637376</v>
      </c>
      <c r="I12" s="4" t="n">
        <f aca="false">-I6*Assumptions!I31/100</f>
        <v>-26.5932847315619</v>
      </c>
      <c r="J12" s="4" t="n">
        <f aca="false">-J6*Assumptions!J31/100</f>
        <v>-28.0559153917978</v>
      </c>
      <c r="K12" s="4" t="n">
        <f aca="false">-K6*Assumptions!K31/100</f>
        <v>-29.4587111613877</v>
      </c>
      <c r="L12" s="4" t="n">
        <f aca="false">-L6*Assumptions!L31/100</f>
        <v>-30.7843531636501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1428.1344</v>
      </c>
      <c r="D13" s="0" t="n">
        <f aca="false">D11+D12</f>
        <v>1602.11744</v>
      </c>
      <c r="E13" s="0" t="n">
        <f aca="false">E11+E12</f>
        <v>1773.4879008</v>
      </c>
      <c r="F13" s="0" t="n">
        <f aca="false">F11+F12</f>
        <v>1944.72121536</v>
      </c>
      <c r="G13" s="0" t="n">
        <f aca="false">G11+G12</f>
        <v>2088.70397100288</v>
      </c>
      <c r="H13" s="0" t="n">
        <f aca="false">H11+H12</f>
        <v>2232.83239727265</v>
      </c>
      <c r="I13" s="0" t="n">
        <f aca="false">I11+I12</f>
        <v>2375.66676935286</v>
      </c>
      <c r="J13" s="0" t="n">
        <f aca="false">J11+J12</f>
        <v>2515.68041346453</v>
      </c>
      <c r="K13" s="0" t="n">
        <f aca="false">K11+K12</f>
        <v>2646.37421933132</v>
      </c>
      <c r="L13" s="0" t="n">
        <f aca="false">L11+L12</f>
        <v>2765.46105920123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21</v>
      </c>
      <c r="D14" s="4" t="n">
        <f aca="false">Assumptions!D33</f>
        <v>21.5</v>
      </c>
      <c r="E14" s="4" t="n">
        <f aca="false">Assumptions!E33</f>
        <v>22</v>
      </c>
      <c r="F14" s="4" t="n">
        <f aca="false">Assumptions!F33</f>
        <v>22.5</v>
      </c>
      <c r="G14" s="4" t="n">
        <f aca="false">Assumptions!G33</f>
        <v>23</v>
      </c>
      <c r="H14" s="4" t="n">
        <f aca="false">Assumptions!H33</f>
        <v>23</v>
      </c>
      <c r="I14" s="4" t="n">
        <f aca="false">Assumptions!I33</f>
        <v>23</v>
      </c>
      <c r="J14" s="4" t="n">
        <f aca="false">Assumptions!J33</f>
        <v>23</v>
      </c>
      <c r="K14" s="4" t="n">
        <f aca="false">Assumptions!K33</f>
        <v>23</v>
      </c>
      <c r="L14" s="4" t="n">
        <f aca="false">Assumptions!L33</f>
        <v>23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1128.226176</v>
      </c>
      <c r="D15" s="0" t="n">
        <f aca="false">D13-MAX(0,D13)*D14/100</f>
        <v>1257.6621904</v>
      </c>
      <c r="E15" s="0" t="n">
        <f aca="false">E13-MAX(0,E13)*E14/100</f>
        <v>1383.320562624</v>
      </c>
      <c r="F15" s="0" t="n">
        <f aca="false">F13-MAX(0,F13)*F14/100</f>
        <v>1507.158941904</v>
      </c>
      <c r="G15" s="0" t="n">
        <f aca="false">G13-MAX(0,G13)*G14/100</f>
        <v>1608.30205767222</v>
      </c>
      <c r="H15" s="0" t="n">
        <f aca="false">H13-MAX(0,H13)*H14/100</f>
        <v>1719.28094589994</v>
      </c>
      <c r="I15" s="0" t="n">
        <f aca="false">I13-MAX(0,I13)*I14/100</f>
        <v>1829.2634124017</v>
      </c>
      <c r="J15" s="0" t="n">
        <f aca="false">J13-MAX(0,J13)*J14/100</f>
        <v>1937.07391836769</v>
      </c>
      <c r="K15" s="0" t="n">
        <f aca="false">K13-MAX(0,K13)*K14/100</f>
        <v>2037.70814888512</v>
      </c>
      <c r="L15" s="0" t="n">
        <f aca="false">L13-MAX(0,L13)*L14/100</f>
        <v>2129.40501558495</v>
      </c>
    </row>
    <row r="16" customFormat="false" ht="15" hidden="false" customHeight="false" outlineLevel="0" collapsed="false">
      <c r="A16" s="0" t="s">
        <v>128</v>
      </c>
      <c r="C16" s="0" t="n">
        <f aca="false">-C12</f>
        <v>17.0016</v>
      </c>
      <c r="D16" s="0" t="n">
        <f aca="false">-D12</f>
        <v>18.70176</v>
      </c>
      <c r="E16" s="0" t="n">
        <f aca="false">-E12</f>
        <v>20.3849184</v>
      </c>
      <c r="F16" s="0" t="n">
        <f aca="false">-F12</f>
        <v>22.015711872</v>
      </c>
      <c r="G16" s="0" t="n">
        <f aca="false">-G12</f>
        <v>23.55681170304</v>
      </c>
      <c r="H16" s="0" t="n">
        <f aca="false">-H12</f>
        <v>25.0880044637376</v>
      </c>
      <c r="I16" s="0" t="n">
        <f aca="false">-I12</f>
        <v>26.5932847315619</v>
      </c>
      <c r="J16" s="0" t="n">
        <f aca="false">-J12</f>
        <v>28.0559153917978</v>
      </c>
      <c r="K16" s="0" t="n">
        <f aca="false">-K12</f>
        <v>29.4587111613877</v>
      </c>
      <c r="L16" s="0" t="n">
        <f aca="false">-L12</f>
        <v>30.7843531636501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-14.168</v>
      </c>
      <c r="D17" s="4" t="n">
        <f aca="false">-D6*Assumptions!D32/100</f>
        <v>-15.5848</v>
      </c>
      <c r="E17" s="4" t="n">
        <f aca="false">-E6*Assumptions!E32/100</f>
        <v>-16.987432</v>
      </c>
      <c r="F17" s="4" t="n">
        <f aca="false">-F6*Assumptions!F32/100</f>
        <v>-18.34642656</v>
      </c>
      <c r="G17" s="4" t="n">
        <f aca="false">-G6*Assumptions!G32/100</f>
        <v>-19.6306764192</v>
      </c>
      <c r="H17" s="4" t="n">
        <f aca="false">-H6*Assumptions!H32/100</f>
        <v>-20.906670386448</v>
      </c>
      <c r="I17" s="4" t="n">
        <f aca="false">-I6*Assumptions!I32/100</f>
        <v>-22.1610706096349</v>
      </c>
      <c r="J17" s="4" t="n">
        <f aca="false">-J6*Assumptions!J32/100</f>
        <v>-23.3799294931648</v>
      </c>
      <c r="K17" s="4" t="n">
        <f aca="false">-K6*Assumptions!K32/100</f>
        <v>-24.548925967823</v>
      </c>
      <c r="L17" s="4" t="n">
        <f aca="false">-L6*Assumptions!L32/100</f>
        <v>-25.6536276363751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-30.36</v>
      </c>
      <c r="D18" s="4" t="n">
        <f aca="false">(D6-C6)*Assumptions!$B$37/100</f>
        <v>-28.336</v>
      </c>
      <c r="E18" s="4" t="n">
        <f aca="false">(E6-D6)*Assumptions!$B$37/100</f>
        <v>-28.05264</v>
      </c>
      <c r="F18" s="4" t="n">
        <f aca="false">(F6-E6)*Assumptions!$B$37/100</f>
        <v>-27.1798912</v>
      </c>
      <c r="G18" s="4" t="n">
        <f aca="false">(G6-F6)*Assumptions!$B$37/100</f>
        <v>-25.684997184</v>
      </c>
      <c r="H18" s="4" t="n">
        <f aca="false">(H6-G6)*Assumptions!$B$37/100</f>
        <v>-25.51987934496</v>
      </c>
      <c r="I18" s="4" t="n">
        <f aca="false">(I6-H6)*Assumptions!$B$37/100</f>
        <v>-25.0880044637376</v>
      </c>
      <c r="J18" s="4" t="n">
        <f aca="false">(J6-I6)*Assumptions!$B$37/100</f>
        <v>-24.3771776705983</v>
      </c>
      <c r="K18" s="4" t="n">
        <f aca="false">(K6-J6)*Assumptions!$B$37/100</f>
        <v>-23.3799294931649</v>
      </c>
      <c r="L18" s="4" t="n">
        <f aca="false">(L6-K6)*Assumptions!$B$37/100</f>
        <v>-22.0940333710407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1100.699776</v>
      </c>
      <c r="D19" s="0" t="n">
        <f aca="false">D15+D16+D17+D18</f>
        <v>1232.4431504</v>
      </c>
      <c r="E19" s="0" t="n">
        <f aca="false">E15+E16+E17+E18</f>
        <v>1358.665409024</v>
      </c>
      <c r="F19" s="0" t="n">
        <f aca="false">F15+F16+F17+F18</f>
        <v>1483.648336016</v>
      </c>
      <c r="G19" s="0" t="n">
        <f aca="false">G15+G16+G17+G18</f>
        <v>1586.54319577206</v>
      </c>
      <c r="H19" s="0" t="n">
        <f aca="false">H15+H16+H17+H18</f>
        <v>1697.94240063227</v>
      </c>
      <c r="I19" s="0" t="n">
        <f aca="false">I15+I16+I17+I18</f>
        <v>1808.60762205989</v>
      </c>
      <c r="J19" s="0" t="n">
        <f aca="false">J15+J16+J17+J18</f>
        <v>1917.37272659572</v>
      </c>
      <c r="K19" s="0" t="n">
        <f aca="false">K15+K16+K17+K18</f>
        <v>2019.23800458552</v>
      </c>
      <c r="L19" s="0" t="n">
        <f aca="false">L15+L16+L17+L18</f>
        <v>2112.44170774118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1009.81630825688</v>
      </c>
      <c r="D21" s="0" t="n">
        <f aca="false">D19*D20</f>
        <v>1037.32274253009</v>
      </c>
      <c r="E21" s="0" t="n">
        <f aca="false">E19*E20</f>
        <v>1049.13898377874</v>
      </c>
      <c r="F21" s="0" t="n">
        <f aca="false">F19*F20</f>
        <v>1051.05388558866</v>
      </c>
      <c r="G21" s="0" t="n">
        <f aca="false">G19*G20</f>
        <v>1031.14421865034</v>
      </c>
      <c r="H21" s="0" t="n">
        <f aca="false">H19*H20</f>
        <v>1012.42757641988</v>
      </c>
      <c r="I21" s="0" t="n">
        <f aca="false">I19*I20</f>
        <v>989.3703047514</v>
      </c>
      <c r="J21" s="0" t="n">
        <f aca="false">J19*J20</f>
        <v>962.264717042628</v>
      </c>
      <c r="K21" s="0" t="n">
        <f aca="false">K19*K20</f>
        <v>929.713270766237</v>
      </c>
      <c r="L21" s="0" t="n">
        <f aca="false">L19*L20</f>
        <v>892.318206287061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9964.57021407192</v>
      </c>
    </row>
    <row r="31" customFormat="false" ht="15" hidden="false" customHeight="false" outlineLevel="0" collapsed="false">
      <c r="A31" s="0" t="s">
        <v>137</v>
      </c>
      <c r="B31" s="0" t="n">
        <f aca="false">L19</f>
        <v>2112.44170774118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36263.582649557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42248.8341548237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36263.582649557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15318.1292079279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25282.6994219998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19648.6994219998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865.581472334793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0.00288668891401023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2284.82771190193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3162.41384691575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1105.54806082896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18131.7913247785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282.127434276522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18</v>
      </c>
      <c r="D5" s="4" t="n">
        <f aca="false">Assumptions!D41</f>
        <v>15</v>
      </c>
      <c r="E5" s="4" t="n">
        <f aca="false">Assumptions!E41</f>
        <v>13</v>
      </c>
      <c r="F5" s="4" t="n">
        <f aca="false">Assumptions!F41</f>
        <v>11</v>
      </c>
      <c r="G5" s="4" t="n">
        <f aca="false">Assumptions!G41</f>
        <v>10</v>
      </c>
      <c r="H5" s="4" t="n">
        <f aca="false">Assumptions!H41</f>
        <v>9</v>
      </c>
      <c r="I5" s="4" t="n">
        <f aca="false">Assumptions!I41</f>
        <v>8</v>
      </c>
      <c r="J5" s="4" t="n">
        <f aca="false">Assumptions!J41</f>
        <v>7</v>
      </c>
      <c r="K5" s="4" t="n">
        <f aca="false">Assumptions!K41</f>
        <v>6</v>
      </c>
      <c r="L5" s="4" t="n">
        <f aca="false">Assumptions!L41</f>
        <v>5</v>
      </c>
    </row>
    <row r="6" customFormat="false" ht="15" hidden="false" customHeight="false" outlineLevel="0" collapsed="false">
      <c r="A6" s="0" t="s">
        <v>37</v>
      </c>
      <c r="B6" s="3" t="n">
        <v>2530</v>
      </c>
      <c r="C6" s="0" t="n">
        <f aca="false">B6*(1+C5/100)</f>
        <v>2985.4</v>
      </c>
      <c r="D6" s="0" t="n">
        <f aca="false">C6*(1+D5/100)</f>
        <v>3433.21</v>
      </c>
      <c r="E6" s="0" t="n">
        <f aca="false">D6*(1+E5/100)</f>
        <v>3879.5273</v>
      </c>
      <c r="F6" s="0" t="n">
        <f aca="false">E6*(1+F5/100)</f>
        <v>4306.275303</v>
      </c>
      <c r="G6" s="0" t="n">
        <f aca="false">F6*(1+G5/100)</f>
        <v>4736.9028333</v>
      </c>
      <c r="H6" s="0" t="n">
        <f aca="false">G6*(1+H5/100)</f>
        <v>5163.224088297</v>
      </c>
      <c r="I6" s="0" t="n">
        <f aca="false">H6*(1+I5/100)</f>
        <v>5576.28201536076</v>
      </c>
      <c r="J6" s="0" t="n">
        <f aca="false">I6*(1+J5/100)</f>
        <v>5966.62175643601</v>
      </c>
      <c r="K6" s="0" t="n">
        <f aca="false">J6*(1+K5/100)</f>
        <v>6324.61906182217</v>
      </c>
      <c r="L6" s="0" t="n">
        <f aca="false">K6*(1+L5/100)</f>
        <v>6640.85001491328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62.5</v>
      </c>
      <c r="D7" s="4" t="n">
        <f aca="false">Assumptions!D42</f>
        <v>63.5</v>
      </c>
      <c r="E7" s="4" t="n">
        <f aca="false">Assumptions!E42</f>
        <v>64.5</v>
      </c>
      <c r="F7" s="4" t="n">
        <f aca="false">Assumptions!F42</f>
        <v>65</v>
      </c>
      <c r="G7" s="4" t="n">
        <f aca="false">Assumptions!G42</f>
        <v>65.5</v>
      </c>
      <c r="H7" s="4" t="n">
        <f aca="false">Assumptions!H42</f>
        <v>65.5</v>
      </c>
      <c r="I7" s="4" t="n">
        <f aca="false">Assumptions!I42</f>
        <v>65.5</v>
      </c>
      <c r="J7" s="4" t="n">
        <f aca="false">Assumptions!J42</f>
        <v>65.5</v>
      </c>
      <c r="K7" s="4" t="n">
        <f aca="false">Assumptions!K42</f>
        <v>65.5</v>
      </c>
      <c r="L7" s="4" t="n">
        <f aca="false">Assumptions!L42</f>
        <v>65.5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1865.875</v>
      </c>
      <c r="D8" s="0" t="n">
        <f aca="false">D6*D7/100</f>
        <v>2180.08835</v>
      </c>
      <c r="E8" s="0" t="n">
        <f aca="false">E6*E7/100</f>
        <v>2502.2951085</v>
      </c>
      <c r="F8" s="0" t="n">
        <f aca="false">F6*F7/100</f>
        <v>2799.07894695</v>
      </c>
      <c r="G8" s="0" t="n">
        <f aca="false">G6*G7/100</f>
        <v>3102.6713558115</v>
      </c>
      <c r="H8" s="0" t="n">
        <f aca="false">H6*H7/100</f>
        <v>3381.91177783454</v>
      </c>
      <c r="I8" s="0" t="n">
        <f aca="false">I6*I7/100</f>
        <v>3652.4647200613</v>
      </c>
      <c r="J8" s="0" t="n">
        <f aca="false">J6*J7/100</f>
        <v>3908.13725046559</v>
      </c>
      <c r="K8" s="0" t="n">
        <f aca="false">K6*K7/100</f>
        <v>4142.62548549352</v>
      </c>
      <c r="L8" s="0" t="n">
        <f aca="false">L6*L7/100</f>
        <v>4349.7567597682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10.5</v>
      </c>
      <c r="D9" s="4" t="n">
        <f aca="false">Assumptions!D43</f>
        <v>9.8</v>
      </c>
      <c r="E9" s="4" t="n">
        <f aca="false">Assumptions!E43</f>
        <v>9.3</v>
      </c>
      <c r="F9" s="4" t="n">
        <f aca="false">Assumptions!F43</f>
        <v>8.9</v>
      </c>
      <c r="G9" s="4" t="n">
        <f aca="false">Assumptions!G43</f>
        <v>8.6</v>
      </c>
      <c r="H9" s="4" t="n">
        <f aca="false">Assumptions!H43</f>
        <v>8.3</v>
      </c>
      <c r="I9" s="4" t="n">
        <f aca="false">Assumptions!I43</f>
        <v>8.1</v>
      </c>
      <c r="J9" s="4" t="n">
        <f aca="false">Assumptions!J43</f>
        <v>8</v>
      </c>
      <c r="K9" s="4" t="n">
        <f aca="false">Assumptions!K43</f>
        <v>8</v>
      </c>
      <c r="L9" s="4" t="n">
        <f aca="false">Assumptions!L43</f>
        <v>8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-313.467</v>
      </c>
      <c r="D10" s="0" t="n">
        <f aca="false">-D6*D9/100</f>
        <v>-336.45458</v>
      </c>
      <c r="E10" s="0" t="n">
        <f aca="false">-E6*E9/100</f>
        <v>-360.7960389</v>
      </c>
      <c r="F10" s="0" t="n">
        <f aca="false">-F6*F9/100</f>
        <v>-383.258501967</v>
      </c>
      <c r="G10" s="0" t="n">
        <f aca="false">-G6*G9/100</f>
        <v>-407.3736436638</v>
      </c>
      <c r="H10" s="0" t="n">
        <f aca="false">-H6*H9/100</f>
        <v>-428.547599328651</v>
      </c>
      <c r="I10" s="0" t="n">
        <f aca="false">-I6*I9/100</f>
        <v>-451.678843244222</v>
      </c>
      <c r="J10" s="0" t="n">
        <f aca="false">-J6*J9/100</f>
        <v>-477.329740514881</v>
      </c>
      <c r="K10" s="0" t="n">
        <f aca="false">-K6*K9/100</f>
        <v>-505.969524945774</v>
      </c>
      <c r="L10" s="0" t="n">
        <f aca="false">-L6*L9/100</f>
        <v>-531.268001193063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1552.408</v>
      </c>
      <c r="D11" s="0" t="n">
        <f aca="false">D8+D10+D24</f>
        <v>1843.63377</v>
      </c>
      <c r="E11" s="0" t="n">
        <f aca="false">E8+E10+E24</f>
        <v>2141.4990696</v>
      </c>
      <c r="F11" s="0" t="n">
        <f aca="false">F8+F10+F24</f>
        <v>2415.820444983</v>
      </c>
      <c r="G11" s="0" t="n">
        <f aca="false">G8+G10+G24</f>
        <v>2695.2977121477</v>
      </c>
      <c r="H11" s="0" t="n">
        <f aca="false">H8+H10+H24</f>
        <v>2953.36417850588</v>
      </c>
      <c r="I11" s="0" t="n">
        <f aca="false">I8+I10+I24</f>
        <v>3200.78587681708</v>
      </c>
      <c r="J11" s="0" t="n">
        <f aca="false">J8+J10+J24</f>
        <v>3430.80750995071</v>
      </c>
      <c r="K11" s="0" t="n">
        <f aca="false">K8+K10+K24</f>
        <v>3636.65596054775</v>
      </c>
      <c r="L11" s="0" t="n">
        <f aca="false">L8+L10+L24</f>
        <v>3818.48875857514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-17.9124</v>
      </c>
      <c r="D12" s="4" t="n">
        <f aca="false">-D6*Assumptions!D45/100</f>
        <v>-20.59926</v>
      </c>
      <c r="E12" s="4" t="n">
        <f aca="false">-E6*Assumptions!E45/100</f>
        <v>-23.2771638</v>
      </c>
      <c r="F12" s="4" t="n">
        <f aca="false">-F6*Assumptions!F45/100</f>
        <v>-25.837651818</v>
      </c>
      <c r="G12" s="4" t="n">
        <f aca="false">-G6*Assumptions!G45/100</f>
        <v>-28.4214169998</v>
      </c>
      <c r="H12" s="4" t="n">
        <f aca="false">-H6*Assumptions!H45/100</f>
        <v>-30.979344529782</v>
      </c>
      <c r="I12" s="4" t="n">
        <f aca="false">-I6*Assumptions!I45/100</f>
        <v>-33.4576920921646</v>
      </c>
      <c r="J12" s="4" t="n">
        <f aca="false">-J6*Assumptions!J45/100</f>
        <v>-35.7997305386161</v>
      </c>
      <c r="K12" s="4" t="n">
        <f aca="false">-K6*Assumptions!K45/100</f>
        <v>-37.947714370933</v>
      </c>
      <c r="L12" s="4" t="n">
        <f aca="false">-L6*Assumptions!L45/100</f>
        <v>-39.8451000894797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1534.4956</v>
      </c>
      <c r="D13" s="0" t="n">
        <f aca="false">D11+D12</f>
        <v>1823.03451</v>
      </c>
      <c r="E13" s="0" t="n">
        <f aca="false">E11+E12</f>
        <v>2118.2219058</v>
      </c>
      <c r="F13" s="0" t="n">
        <f aca="false">F11+F12</f>
        <v>2389.982793165</v>
      </c>
      <c r="G13" s="0" t="n">
        <f aca="false">G11+G12</f>
        <v>2666.8762951479</v>
      </c>
      <c r="H13" s="0" t="n">
        <f aca="false">H11+H12</f>
        <v>2922.3848339761</v>
      </c>
      <c r="I13" s="0" t="n">
        <f aca="false">I11+I12</f>
        <v>3167.32818472491</v>
      </c>
      <c r="J13" s="0" t="n">
        <f aca="false">J11+J12</f>
        <v>3395.00777941209</v>
      </c>
      <c r="K13" s="0" t="n">
        <f aca="false">K11+K12</f>
        <v>3598.70824617682</v>
      </c>
      <c r="L13" s="0" t="n">
        <f aca="false">L11+L12</f>
        <v>3778.64365848566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21</v>
      </c>
      <c r="D14" s="4" t="n">
        <f aca="false">Assumptions!D47</f>
        <v>21.5</v>
      </c>
      <c r="E14" s="4" t="n">
        <f aca="false">Assumptions!E47</f>
        <v>22</v>
      </c>
      <c r="F14" s="4" t="n">
        <f aca="false">Assumptions!F47</f>
        <v>22.5</v>
      </c>
      <c r="G14" s="4" t="n">
        <f aca="false">Assumptions!G47</f>
        <v>23</v>
      </c>
      <c r="H14" s="4" t="n">
        <f aca="false">Assumptions!H47</f>
        <v>23</v>
      </c>
      <c r="I14" s="4" t="n">
        <f aca="false">Assumptions!I47</f>
        <v>23</v>
      </c>
      <c r="J14" s="4" t="n">
        <f aca="false">Assumptions!J47</f>
        <v>23</v>
      </c>
      <c r="K14" s="4" t="n">
        <f aca="false">Assumptions!K47</f>
        <v>23</v>
      </c>
      <c r="L14" s="4" t="n">
        <f aca="false">Assumptions!L47</f>
        <v>23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1212.251524</v>
      </c>
      <c r="D15" s="0" t="n">
        <f aca="false">D13-MAX(0,D13)*D14/100</f>
        <v>1431.08209035</v>
      </c>
      <c r="E15" s="0" t="n">
        <f aca="false">E13-MAX(0,E13)*E14/100</f>
        <v>1652.213086524</v>
      </c>
      <c r="F15" s="0" t="n">
        <f aca="false">F13-MAX(0,F13)*F14/100</f>
        <v>1852.23666470287</v>
      </c>
      <c r="G15" s="0" t="n">
        <f aca="false">G13-MAX(0,G13)*G14/100</f>
        <v>2053.49474726388</v>
      </c>
      <c r="H15" s="0" t="n">
        <f aca="false">H13-MAX(0,H13)*H14/100</f>
        <v>2250.2363221616</v>
      </c>
      <c r="I15" s="0" t="n">
        <f aca="false">I13-MAX(0,I13)*I14/100</f>
        <v>2438.84270223818</v>
      </c>
      <c r="J15" s="0" t="n">
        <f aca="false">J13-MAX(0,J13)*J14/100</f>
        <v>2614.15599014731</v>
      </c>
      <c r="K15" s="0" t="n">
        <f aca="false">K13-MAX(0,K13)*K14/100</f>
        <v>2771.00534955615</v>
      </c>
      <c r="L15" s="0" t="n">
        <f aca="false">L13-MAX(0,L13)*L14/100</f>
        <v>2909.55561703396</v>
      </c>
    </row>
    <row r="16" customFormat="false" ht="15" hidden="false" customHeight="false" outlineLevel="0" collapsed="false">
      <c r="A16" s="0" t="s">
        <v>128</v>
      </c>
      <c r="C16" s="0" t="n">
        <f aca="false">-C12</f>
        <v>17.9124</v>
      </c>
      <c r="D16" s="0" t="n">
        <f aca="false">-D12</f>
        <v>20.59926</v>
      </c>
      <c r="E16" s="0" t="n">
        <f aca="false">-E12</f>
        <v>23.2771638</v>
      </c>
      <c r="F16" s="0" t="n">
        <f aca="false">-F12</f>
        <v>25.837651818</v>
      </c>
      <c r="G16" s="0" t="n">
        <f aca="false">-G12</f>
        <v>28.4214169998</v>
      </c>
      <c r="H16" s="0" t="n">
        <f aca="false">-H12</f>
        <v>30.979344529782</v>
      </c>
      <c r="I16" s="0" t="n">
        <f aca="false">-I12</f>
        <v>33.4576920921646</v>
      </c>
      <c r="J16" s="0" t="n">
        <f aca="false">-J12</f>
        <v>35.7997305386161</v>
      </c>
      <c r="K16" s="0" t="n">
        <f aca="false">-K12</f>
        <v>37.947714370933</v>
      </c>
      <c r="L16" s="0" t="n">
        <f aca="false">-L12</f>
        <v>39.8451000894797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-14.927</v>
      </c>
      <c r="D17" s="4" t="n">
        <f aca="false">-D6*Assumptions!D46/100</f>
        <v>-17.16605</v>
      </c>
      <c r="E17" s="4" t="n">
        <f aca="false">-E6*Assumptions!E46/100</f>
        <v>-19.3976365</v>
      </c>
      <c r="F17" s="4" t="n">
        <f aca="false">-F6*Assumptions!F46/100</f>
        <v>-21.531376515</v>
      </c>
      <c r="G17" s="4" t="n">
        <f aca="false">-G6*Assumptions!G46/100</f>
        <v>-23.6845141665</v>
      </c>
      <c r="H17" s="4" t="n">
        <f aca="false">-H6*Assumptions!H46/100</f>
        <v>-25.816120441485</v>
      </c>
      <c r="I17" s="4" t="n">
        <f aca="false">-I6*Assumptions!I46/100</f>
        <v>-27.8814100768038</v>
      </c>
      <c r="J17" s="4" t="n">
        <f aca="false">-J6*Assumptions!J46/100</f>
        <v>-29.8331087821801</v>
      </c>
      <c r="K17" s="4" t="n">
        <f aca="false">-K6*Assumptions!K46/100</f>
        <v>-31.6230953091109</v>
      </c>
      <c r="L17" s="4" t="n">
        <f aca="false">-L6*Assumptions!L46/100</f>
        <v>-33.2042500745664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-45.54</v>
      </c>
      <c r="D18" s="4" t="n">
        <f aca="false">(D6-C6)*Assumptions!$B$51/100</f>
        <v>-44.781</v>
      </c>
      <c r="E18" s="4" t="n">
        <f aca="false">(E6-D6)*Assumptions!$B$51/100</f>
        <v>-44.63173</v>
      </c>
      <c r="F18" s="4" t="n">
        <f aca="false">(F6-E6)*Assumptions!$B$51/100</f>
        <v>-42.6748003000001</v>
      </c>
      <c r="G18" s="4" t="n">
        <f aca="false">(G6-F6)*Assumptions!$B$51/100</f>
        <v>-43.06275303</v>
      </c>
      <c r="H18" s="4" t="n">
        <f aca="false">(H6-G6)*Assumptions!$B$51/100</f>
        <v>-42.6321254997</v>
      </c>
      <c r="I18" s="4" t="n">
        <f aca="false">(I6-H6)*Assumptions!$B$51/100</f>
        <v>-41.305792706376</v>
      </c>
      <c r="J18" s="4" t="n">
        <f aca="false">(J6-I6)*Assumptions!$B$51/100</f>
        <v>-39.0339741075253</v>
      </c>
      <c r="K18" s="4" t="n">
        <f aca="false">(K6-J6)*Assumptions!$B$51/100</f>
        <v>-35.7997305386161</v>
      </c>
      <c r="L18" s="4" t="n">
        <f aca="false">(L6-K6)*Assumptions!$B$51/100</f>
        <v>-31.6230953091109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1169.696924</v>
      </c>
      <c r="D19" s="0" t="n">
        <f aca="false">D15+D16+D17+D18</f>
        <v>1389.73430035</v>
      </c>
      <c r="E19" s="0" t="n">
        <f aca="false">E15+E16+E17+E18</f>
        <v>1611.460883824</v>
      </c>
      <c r="F19" s="0" t="n">
        <f aca="false">F15+F16+F17+F18</f>
        <v>1813.86813970588</v>
      </c>
      <c r="G19" s="0" t="n">
        <f aca="false">G15+G16+G17+G18</f>
        <v>2015.16889706718</v>
      </c>
      <c r="H19" s="0" t="n">
        <f aca="false">H15+H16+H17+H18</f>
        <v>2212.7674207502</v>
      </c>
      <c r="I19" s="0" t="n">
        <f aca="false">I15+I16+I17+I18</f>
        <v>2403.11319154717</v>
      </c>
      <c r="J19" s="0" t="n">
        <f aca="false">J15+J16+J17+J18</f>
        <v>2581.08863779622</v>
      </c>
      <c r="K19" s="0" t="n">
        <f aca="false">K15+K16+K17+K18</f>
        <v>2741.53023807936</v>
      </c>
      <c r="L19" s="0" t="n">
        <f aca="false">L15+L16+L17+L18</f>
        <v>2884.57337173976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1073.1164440367</v>
      </c>
      <c r="D21" s="0" t="n">
        <f aca="false">D19*D20</f>
        <v>1169.7115565609</v>
      </c>
      <c r="E21" s="0" t="n">
        <f aca="false">E19*E20</f>
        <v>1244.34347325349</v>
      </c>
      <c r="F21" s="0" t="n">
        <f aca="false">F19*F20</f>
        <v>1284.98991971557</v>
      </c>
      <c r="G21" s="0" t="n">
        <f aca="false">G19*G20</f>
        <v>1309.72151489618</v>
      </c>
      <c r="H21" s="0" t="n">
        <f aca="false">H19*H20</f>
        <v>1319.40091497614</v>
      </c>
      <c r="I21" s="0" t="n">
        <f aca="false">I19*I20</f>
        <v>1314.58521001102</v>
      </c>
      <c r="J21" s="0" t="n">
        <f aca="false">J19*J20</f>
        <v>1295.36135215644</v>
      </c>
      <c r="K21" s="0" t="n">
        <f aca="false">K19*K20</f>
        <v>1262.27667999567</v>
      </c>
      <c r="L21" s="0" t="n">
        <f aca="false">L19*L20</f>
        <v>1218.47496550641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12491.9820311085</v>
      </c>
    </row>
    <row r="31" customFormat="false" ht="15" hidden="false" customHeight="false" outlineLevel="0" collapsed="false">
      <c r="A31" s="0" t="s">
        <v>137</v>
      </c>
      <c r="B31" s="0" t="n">
        <f aca="false">L19</f>
        <v>2884.57337173976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54282.4261772846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57691.4674347952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54282.4261772846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22929.4834418024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35421.465472911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29787.465472911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1312.22314858639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0.520378116519002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2585.1913327279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4223.05112979973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1612.14572402813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25961.1603456578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446.954567049245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212.128026299087</v>
      </c>
      <c r="C4" s="0" t="n">
        <f aca="false">B4/Assumptions!$B$2-1</f>
        <v>-0.754222588259524</v>
      </c>
      <c r="D4" s="4" t="n">
        <f aca="false">Assumptions!$B$24</f>
        <v>0.25</v>
      </c>
      <c r="E4" s="4" t="n">
        <f aca="false">DCF_Bear!$B$43</f>
        <v>348.995257217487</v>
      </c>
      <c r="F4" s="4" t="n">
        <f aca="false">DCF_Bear!$B$47</f>
        <v>2.62861471717353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865.581472334793</v>
      </c>
      <c r="C5" s="0" t="n">
        <f aca="false">B5/Assumptions!$B$2-1</f>
        <v>0.00288668891401023</v>
      </c>
      <c r="D5" s="4" t="n">
        <f aca="false">Assumptions!$B$38</f>
        <v>0.5</v>
      </c>
      <c r="E5" s="4" t="n">
        <f aca="false">DCF_Base!$B$43</f>
        <v>1105.54806082896</v>
      </c>
      <c r="F5" s="4" t="n">
        <f aca="false">DCF_Base!$B$47</f>
        <v>282.127434276522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1312.22314858639</v>
      </c>
      <c r="C6" s="0" t="n">
        <f aca="false">B6/Assumptions!$B$2-1</f>
        <v>0.520378116519002</v>
      </c>
      <c r="D6" s="4" t="n">
        <f aca="false">Assumptions!$B$52</f>
        <v>0.25</v>
      </c>
      <c r="E6" s="4" t="n">
        <f aca="false">DCF_Bull!$B$43</f>
        <v>1612.14572402813</v>
      </c>
      <c r="F6" s="4" t="n">
        <f aca="false">DCF_Bull!$B$47</f>
        <v>446.954567049245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813.878529888765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1043.05927572589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-0.0604653745049169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21.4727768388579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253.459512579866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865.581472334793</v>
      </c>
      <c r="C15" s="3" t="n">
        <v>9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697.802444457658</v>
      </c>
      <c r="C16" s="3" t="n">
        <v>10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572.381825798772</v>
      </c>
      <c r="C17" s="3" t="n">
        <v>11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475.17433837497</v>
      </c>
      <c r="C18" s="3" t="n">
        <v>12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282.127434276522</v>
      </c>
      <c r="C19" s="3" t="n">
        <v>15</v>
      </c>
    </row>
    <row r="21" customFormat="false" ht="15" hidden="false" customHeight="false" outlineLevel="0" collapsed="false">
      <c r="A21" s="2" t="s">
        <v>173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1183.53683376408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1183.53683376408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1183.53683376408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1183.53683376408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1183.53683376408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946.008921154556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1016.54334796159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1075.32203696745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1075.32203696745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1075.32203696745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763.564811452383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810.649424167341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865.581472334793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930.501165623599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976.957459903662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627.327185080397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660.215639456452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697.802444457658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741.171834843665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791.769456960673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521.855284451591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545.632480379676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572.381825798772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602.697750607081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637.344521816576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2026-09-28T08:22:15Z</dcterms:created>
  <dc:creator>openpyxl</dc:creator>
  <dc:description/>
  <dc:language>en-NZ</dc:language>
  <cp:lastModifiedBy/>
  <dcterms:modified xsi:type="dcterms:W3CDTF">2026-09-28T08:22:15Z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