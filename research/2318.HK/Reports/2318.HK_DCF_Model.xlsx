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<sst xmlns="http://schemas.openxmlformats.org/spreadsheetml/2006/main" count="358" uniqueCount="166">
  <si>
    <t xml:space="preserve">Ticker</t>
  </si>
  <si>
    <t xml:space="preserve">2318.HK</t>
  </si>
  <si>
    <t xml:space="preserve">Company</t>
  </si>
  <si>
    <t xml:space="preserve">Ping An Insurance (Group) Company of China, Ltd.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</si>
  <si>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</si>
  <si>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</si>
  <si>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</si>
  <si>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</si>
  <si>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HKEX regular close (Friday); 52-week range 49.86-74.70, the price sits at the bottom of its range ahead of Q3 2026 results (late October)</t>
  </si>
  <si>
    <t xml:space="preserve">Balance sheet date</t>
  </si>
  <si>
    <t xml:space="preserve">2026-06-30</t>
  </si>
  <si>
    <t xml:space="preserve">Model</t>
  </si>
  <si>
    <t xml:space="preserve">Diversified financial FCFE at cost of equity on group operating profit attributable, net debt held at zero (engine route)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</si>
  <si>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</si>
  <si>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</si>
  <si>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</si>
  <si>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</si>
  <si>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</si>
  <si>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</si>
  <si>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</si>
  <si>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</si>
  <si>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</si>
  <si>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2026-10-18T00:54:30Z</t>
  </si>
  <si>
    <t xml:space="preserve">Drivers file</t>
  </si>
  <si>
    <t xml:space="preserve">2318.HK_Drivers.json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</si>
  <si>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</si>
  <si>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</si>
  <si>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</si>
  <si>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what the shareholder of a Chinese financial conglomerate actually receives: the holdco dividend, funded from group operating profit attributable (OPAT), with payout tied to growth through payout = 1 - g/ROE, discounted at a CNY cost of equity. Cross-checks: (1) Group EV RMB1,567.8bn at 30 June 2026 = RMB82.4/share fully diluted (HKD96.9); the market price is ~0.5x EV, the usual deep discount for Chinese life EVs whose 4.0% investment-return and 8.5%-ish risk-discount assumptions the market does not believe. (2) Residual income on book: equity attributable RMB1,028.1bn = RMB54.0/share diluted; justified P/B = (ROE - g)/(CoE - g) = (12 - 3)/(10.5 - 3) = 1.2x -&gt; ~RMB65 (HKD76), vs 0.79x at the current price; at a 9% ROE (bear) the justified P/B is 0.8x. (3) Separate parts: the 58.0% stake in Ping An Bank (19,405.9M shares, 000001.SZ RMB11.50 at the 2026-10-16 close) is worth RMB129bn at market = RMB6.8/share of Ping An, and at 0.48x its RMB271bn attributable operating equity; ex-bank, the current price capitalises the insurance, asset management and tech businesses at ~RMB680bn diluted against L&amp;H EV RMB970.8bn and P&amp;C operating equity RMB151.8bn. The engine's base sits between the dividend-yield floor and the EV/book reads, which is the expected ordering for a business earning a little above its cost of equity.
key_risks_to_valuation: Interest-rate spread: CGB 10y ~1.8% vs guaranteed rates on the in-force book; a further cut to the 4.0% EV long-run return would lower OPAT (L&amp;H OPAT locks investment return at 4.0%); Property/credit: debt schemes, WMPs and the bank loan book (NPL 1.05%, provision cover 219.6%); 2021's RMB35.9bn China Fortune Land impairment is the precedent; Payout path is the dominant lever: holding payout at 37% for ten years (no rise) cuts base value materially; regulators or solvency (Life comprehensive 185.5%) could force that; OPAT definition risk: OPAT locks L&amp;H returns at 4.0% and excludes short-term investment variance; if realised returns persistently undershoot, OPAT overstates distributable profit; Equity-market exposure (~19% of the investment book) drives net profit and OCI, and therefore solvency and payout capacity; CB dilution: 2024 CB is in the money at HKD39.29; share count already assumes full conversion of both CBs</t>
  </si>
  <si>
    <t xml:space="preserve">Data sources</t>
  </si>
  <si>
    <t xml:space="preserve">price: Yahoo Finance chart API (2318.HK) at inputs.price_as_of; 52-week range 49.86-74.70. FX HKDCNY=X and A-share 601318.SS from the same endpoint (see inputs.fx_note).
financials: 2318.HK_Metrics.csv (core_metrics, RMB millions) and kpis (IFRS 17 restated FY2022, dividends, LTSP purchases); FY2025 Annual Report (notes 39 LTSP, subsidiaries list); H1 2026 Interim Report (Financial Highlights, Operating Profit reconciliation and segment OPAT, Components of Economic Value, CB dilution table, EPS note 16, dividend payout table).
qualitative: 2318.HK_Analysis.json (2026-10-18)</t>
  </si>
  <si>
    <t xml:space="preserve">Scenario narrative: bear</t>
  </si>
  <si>
    <t xml:space="preserve">Japan-style low-rate squeeze plus property credit: negative spread pressure, another EV assumption cut, bank impairments; OPAT falls ~10% by FY2028 and grows only with nominal GDP thereafter at an ROE below the cost of equity.</t>
  </si>
  <si>
    <t xml:space="preserve">Scenario narrative: base</t>
  </si>
  <si>
    <t xml:space="preserve">Recovery-then-fade: OPAT +8% in FY2026 (asset management back in profit, L&amp;H flat-to-up, bank +3%), growth easing to 3.5% by FY2035; operating ROE ~12% against a 10.5% CoE, so retained earnings add a modest amount of value and payout rises from 37% to 70%.</t>
  </si>
  <si>
    <t xml:space="preserve">Scenario narrative: bull</t>
  </si>
  <si>
    <t xml:space="preserve">Integrated-finance flywheel works: bancassurance and agent productivity keep NBV growing high single digits, CSM release grows, bank credit normalises; operating ROE ~13.5% and OPAT compounds 6-9% before fading to 4%.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</si>
  <si>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</si>
  <si>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</si>
  <si>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</si>
  <si>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</si>
  <si>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</si>
  <si>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</si>
  <si>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</si>
  <si>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</si>
  <si>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</si>
  <si>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</si>
  <si>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</si>
  <si>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</si>
  <si>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</si>
  <si>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</si>
  <si>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</si>
  <si>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</si>
  <si>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</si>
  <si>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</si>
  <si>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</si>
  <si>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</si>
  <si>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</si>
  <si>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</si>
  <si>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</si>
  <si>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</si>
  <si>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</si>
  <si>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</si>
  <si>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</si>
  <si>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InterestPaid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</si>
  <si>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</si>
  <si>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</si>
  <si>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</si>
  <si>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</si>
  <si>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</si>
  <si>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</si>
  <si>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</si>
  <si>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</si>
  <si>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</si>
  <si>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</si>
  <si>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</si>
  <si>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</si>
  <si>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</si>
  <si>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</si>
  <si>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</si>
  <si>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</si>
  <si>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</si>
  <si>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</si>
  <si>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</si>
  <si>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</si>
  <si>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</si>
  <si>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</si>
  <si>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</si>
  <si>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</si>
  <si>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</si>
  <si>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</si>
  <si>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</si>
  <si>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</si>
  <si>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</si>
  <si>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</si>
  <si>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</si>
  <si>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</si>
  <si>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</si>
  <si>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</si>
  <si>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</si>
  <si>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</si>
  <si>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</si>
  <si>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</si>
  <si>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</si>
  <si>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</si>
  <si>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</si>
  <si>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</si>
  <si>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</si>
  <si>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</si>
  <si>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</si>
  <si>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</si>
  <si>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2318.HK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</si>
  <si>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</si>
  <si>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</si>
  <si>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</si>
  <si>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</si>
  <si>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</si>
  <si>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</si>
  <si>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</si>
  <si>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</si>
  <si>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</si>
  <si>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</si>
  <si>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</si>
  <si>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</si>
  <si>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</si>
  <si>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</si>
  <si>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</si>
  <si>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</si>
  <si>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</si>
  <si>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</si>
  <si>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</si>
  <si>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</si>
  <si>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</si>
  <si>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</si>
  <si>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</si>
  <si>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</si>
  <si>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</si>
  <si>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</si>
  <si>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</si>
  <si>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</si>
  <si>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</si>
  <si>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</si>
  <si>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2318.HK owner-FCF component DCF: base case (millions, CNY)</t>
  </si>
  <si>
    <t xml:space="preserve">2318.HK owner-FCF component DCF: bull case (millions, CNY)</t>
  </si>
  <si>
    <t xml:space="preserve">2318.HK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</si>
  <si>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</si>
  <si>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</si>
  <si>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</si>
  <si>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</si>
  <si>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</si>
  <si>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</si>
  <si>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</si>
  <si>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</si>
  <si>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</si>
  <si>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</si>
  <si>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</si>
  <si>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</si>
  <si>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</si>
  <si>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</si>
  <si>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</si>
  <si>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</si>
  <si>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10.5%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</si>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</sst>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50.05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974570</v>
      </c>
      <c r="I2" s="0" t="n">
        <v>89088</v>
      </c>
      <c r="J2" s="0" t="n">
        <v>9.1</v>
      </c>
      <c r="K2" s="0" t="n">
        <v>4.99</v>
      </c>
      <c r="L2" s="0" t="n">
        <v>121283</v>
      </c>
      <c r="M2" s="0" t="n">
        <v>19257</v>
      </c>
      <c r="N2" s="0" t="n">
        <v>102026</v>
      </c>
      <c r="O2" s="0" t="n">
        <v>473351</v>
      </c>
      <c r="P2" s="0" t="n">
        <v>6493075</v>
      </c>
      <c r="Q2" s="0" t="n">
        <v>5905158</v>
      </c>
      <c r="S2" s="0" t="n">
        <v>308664</v>
      </c>
      <c r="T2" s="0" t="n">
        <v>17837</v>
      </c>
      <c r="AA2" s="0" t="s">
        <v>18</v>
      </c>
      <c r="AB2" s="0" t="s">
        <v>14</v>
      </c>
      <c r="AC2" s="0" t="n">
        <v>16109</v>
      </c>
    </row>
    <row r="3" customFormat="false" ht="15" hidden="false" customHeight="false" outlineLevel="0" collapsed="false">
      <c r="A3" s="0" t="s">
        <v>66</v>
      </c>
      <c r="B3" s="0" t="n">
        <v>1082146</v>
      </c>
      <c r="I3" s="0" t="n">
        <v>107404</v>
      </c>
      <c r="J3" s="0" t="n">
        <v>9.9</v>
      </c>
      <c r="K3" s="0" t="n">
        <v>6.02</v>
      </c>
      <c r="L3" s="0" t="n">
        <v>206260</v>
      </c>
      <c r="M3" s="0" t="n">
        <v>10663</v>
      </c>
      <c r="N3" s="0" t="n">
        <v>195597</v>
      </c>
      <c r="O3" s="0" t="n">
        <v>556508</v>
      </c>
      <c r="P3" s="0" t="n">
        <v>7142960</v>
      </c>
      <c r="Q3" s="0" t="n">
        <v>6459317</v>
      </c>
      <c r="S3" s="0" t="n">
        <v>308024</v>
      </c>
      <c r="T3" s="0" t="n">
        <v>17834</v>
      </c>
      <c r="AA3" s="0" t="s">
        <v>18</v>
      </c>
      <c r="AB3" s="0" t="s">
        <v>14</v>
      </c>
      <c r="AC3" s="0" t="n">
        <v>25308</v>
      </c>
    </row>
    <row r="4" customFormat="false" ht="15" hidden="false" customHeight="false" outlineLevel="0" collapsed="false">
      <c r="A4" s="0" t="s">
        <v>67</v>
      </c>
      <c r="B4" s="0" t="n">
        <v>1273091</v>
      </c>
      <c r="I4" s="0" t="n">
        <v>149407</v>
      </c>
      <c r="J4" s="0" t="n">
        <v>11.7</v>
      </c>
      <c r="K4" s="0" t="n">
        <v>8.41</v>
      </c>
      <c r="L4" s="0" t="n">
        <v>249445</v>
      </c>
      <c r="M4" s="0" t="n">
        <v>12210</v>
      </c>
      <c r="N4" s="0" t="n">
        <v>237235</v>
      </c>
      <c r="O4" s="0" t="n">
        <v>673161</v>
      </c>
      <c r="P4" s="0" t="n">
        <v>8222929</v>
      </c>
      <c r="Q4" s="0" t="n">
        <v>7370559</v>
      </c>
      <c r="S4" s="0" t="n">
        <v>303466</v>
      </c>
      <c r="T4" s="0" t="n">
        <v>17769</v>
      </c>
      <c r="AA4" s="0" t="s">
        <v>18</v>
      </c>
      <c r="AB4" s="0" t="s">
        <v>14</v>
      </c>
      <c r="AC4" s="0" t="n">
        <v>33994</v>
      </c>
    </row>
    <row r="5" customFormat="false" ht="15" hidden="false" customHeight="false" outlineLevel="0" collapsed="false">
      <c r="A5" s="0" t="s">
        <v>68</v>
      </c>
      <c r="B5" s="0" t="n">
        <v>1321418</v>
      </c>
      <c r="I5" s="0" t="n">
        <v>143099</v>
      </c>
      <c r="J5" s="0" t="n">
        <v>10.8</v>
      </c>
      <c r="K5" s="0" t="n">
        <v>8.1</v>
      </c>
      <c r="L5" s="0" t="n">
        <v>312075</v>
      </c>
      <c r="M5" s="0" t="n">
        <v>9995</v>
      </c>
      <c r="N5" s="0" t="n">
        <v>302080</v>
      </c>
      <c r="O5" s="0" t="n">
        <v>762560</v>
      </c>
      <c r="P5" s="0" t="n">
        <v>9527870</v>
      </c>
      <c r="Q5" s="0" t="n">
        <v>8539965</v>
      </c>
      <c r="S5" s="0" t="n">
        <v>424748</v>
      </c>
      <c r="T5" s="0" t="n">
        <v>17675</v>
      </c>
      <c r="AA5" s="0" t="s">
        <v>18</v>
      </c>
      <c r="AB5" s="0" t="s">
        <v>14</v>
      </c>
      <c r="AC5" s="0" t="n">
        <v>41937</v>
      </c>
    </row>
    <row r="6" customFormat="false" ht="15" hidden="false" customHeight="false" outlineLevel="0" collapsed="false">
      <c r="A6" s="0" t="s">
        <v>69</v>
      </c>
      <c r="B6" s="0" t="n">
        <v>1287675</v>
      </c>
      <c r="I6" s="0" t="n">
        <v>101618</v>
      </c>
      <c r="J6" s="0" t="n">
        <v>7.9</v>
      </c>
      <c r="K6" s="0" t="n">
        <v>5.77</v>
      </c>
      <c r="L6" s="0" t="n">
        <v>90116</v>
      </c>
      <c r="M6" s="0" t="n">
        <v>12186</v>
      </c>
      <c r="N6" s="0" t="n">
        <v>77930</v>
      </c>
      <c r="O6" s="0" t="n">
        <v>812405</v>
      </c>
      <c r="P6" s="0" t="n">
        <v>10142026</v>
      </c>
      <c r="Q6" s="0" t="n">
        <v>9064303</v>
      </c>
      <c r="S6" s="0" t="n">
        <v>403125</v>
      </c>
      <c r="T6" s="0" t="n">
        <v>17607</v>
      </c>
      <c r="AA6" s="0" t="s">
        <v>18</v>
      </c>
      <c r="AB6" s="0" t="s">
        <v>14</v>
      </c>
      <c r="AC6" s="0" t="n">
        <v>45887</v>
      </c>
    </row>
    <row r="7" customFormat="false" ht="15" hidden="false" customHeight="false" outlineLevel="0" collapsed="false">
      <c r="A7" s="0" t="s">
        <v>70</v>
      </c>
      <c r="B7" s="0" t="n">
        <v>1221351</v>
      </c>
      <c r="I7" s="0" t="n">
        <v>83774</v>
      </c>
      <c r="J7" s="0" t="n">
        <v>6.9</v>
      </c>
      <c r="K7" s="0" t="n">
        <v>4.8</v>
      </c>
      <c r="L7" s="0" t="n">
        <v>485905</v>
      </c>
      <c r="M7" s="0" t="n">
        <v>8871</v>
      </c>
      <c r="N7" s="0" t="n">
        <v>477034</v>
      </c>
      <c r="O7" s="0" t="n">
        <v>858675</v>
      </c>
      <c r="P7" s="0" t="n">
        <v>11137168</v>
      </c>
      <c r="Q7" s="0" t="n">
        <v>9961870</v>
      </c>
      <c r="S7" s="0" t="n">
        <v>442891</v>
      </c>
      <c r="T7" s="0" t="n">
        <v>17454</v>
      </c>
      <c r="AA7" s="0" t="s">
        <v>18</v>
      </c>
      <c r="AB7" s="0" t="s">
        <v>14</v>
      </c>
      <c r="AC7" s="0" t="n">
        <v>28209</v>
      </c>
    </row>
    <row r="8" customFormat="false" ht="15" hidden="false" customHeight="false" outlineLevel="0" collapsed="false">
      <c r="A8" s="0" t="s">
        <v>71</v>
      </c>
      <c r="B8" s="0" t="n">
        <v>1031863</v>
      </c>
      <c r="I8" s="0" t="n">
        <v>85665</v>
      </c>
      <c r="J8" s="0" t="n">
        <v>8.3</v>
      </c>
      <c r="K8" s="0" t="n">
        <v>4.84</v>
      </c>
      <c r="L8" s="0" t="n">
        <v>360403</v>
      </c>
      <c r="M8" s="0" t="n">
        <v>7810</v>
      </c>
      <c r="N8" s="0" t="n">
        <v>352593</v>
      </c>
      <c r="O8" s="0" t="n">
        <v>899011</v>
      </c>
      <c r="P8" s="0" t="n">
        <v>11583417</v>
      </c>
      <c r="Q8" s="0" t="n">
        <v>10354453</v>
      </c>
      <c r="S8" s="0" t="n">
        <v>480472</v>
      </c>
      <c r="T8" s="0" t="n">
        <v>17717</v>
      </c>
      <c r="AA8" s="0" t="s">
        <v>18</v>
      </c>
      <c r="AB8" s="0" t="s">
        <v>14</v>
      </c>
      <c r="AC8" s="0" t="n">
        <v>22380</v>
      </c>
    </row>
    <row r="9" customFormat="false" ht="15" hidden="false" customHeight="false" outlineLevel="0" collapsed="false">
      <c r="A9" s="0" t="s">
        <v>72</v>
      </c>
      <c r="B9" s="0" t="n">
        <v>1141346</v>
      </c>
      <c r="I9" s="0" t="n">
        <v>126607</v>
      </c>
      <c r="J9" s="0" t="n">
        <v>11.1</v>
      </c>
      <c r="K9" s="0" t="n">
        <v>7.16</v>
      </c>
      <c r="L9" s="0" t="n">
        <v>382474</v>
      </c>
      <c r="M9" s="0" t="n">
        <v>6678</v>
      </c>
      <c r="N9" s="0" t="n">
        <v>375796</v>
      </c>
      <c r="O9" s="0" t="n">
        <v>928600</v>
      </c>
      <c r="P9" s="0" t="n">
        <v>12957827</v>
      </c>
      <c r="Q9" s="0" t="n">
        <v>11653115</v>
      </c>
      <c r="S9" s="0" t="n">
        <v>479045</v>
      </c>
      <c r="T9" s="0" t="n">
        <v>17693</v>
      </c>
      <c r="AA9" s="0" t="s">
        <v>18</v>
      </c>
      <c r="AB9" s="0" t="s">
        <v>14</v>
      </c>
      <c r="AC9" s="0" t="n">
        <v>17762</v>
      </c>
    </row>
    <row r="10" customFormat="false" ht="15" hidden="false" customHeight="false" outlineLevel="0" collapsed="false">
      <c r="A10" s="0" t="s">
        <v>73</v>
      </c>
      <c r="B10" s="0" t="n">
        <v>1140324</v>
      </c>
      <c r="I10" s="0" t="n">
        <v>134778</v>
      </c>
      <c r="J10" s="0" t="n">
        <v>11.8</v>
      </c>
      <c r="K10" s="0" t="n">
        <v>7.68</v>
      </c>
      <c r="L10" s="0" t="n">
        <v>658632</v>
      </c>
      <c r="M10" s="0" t="n">
        <v>8355</v>
      </c>
      <c r="N10" s="0" t="n">
        <v>650277</v>
      </c>
      <c r="O10" s="0" t="n">
        <v>1000419</v>
      </c>
      <c r="P10" s="0" t="n">
        <v>13898471</v>
      </c>
      <c r="Q10" s="0" t="n">
        <v>12482483</v>
      </c>
      <c r="S10" s="0" t="n">
        <v>650224</v>
      </c>
      <c r="T10" s="0" t="n">
        <v>17556</v>
      </c>
      <c r="AA10" s="0" t="s">
        <v>18</v>
      </c>
      <c r="AB10" s="0" t="s">
        <v>14</v>
      </c>
      <c r="AC10" s="0" t="n">
        <v>21094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50.05</v>
      </c>
    </row>
    <row r="3" customFormat="false" ht="15" hidden="false" customHeight="false" outlineLevel="0" collapsed="false">
      <c r="A3" s="0" t="s">
        <v>77</v>
      </c>
      <c r="B3" s="3" t="n">
        <v>19028.1</v>
      </c>
    </row>
    <row r="4" customFormat="false" ht="15" hidden="false" customHeight="false" outlineLevel="0" collapsed="false">
      <c r="A4" s="0" t="s">
        <v>78</v>
      </c>
      <c r="B4" s="3" t="n">
        <v>0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1140324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1.1758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3</v>
      </c>
      <c r="D13" s="3" t="n">
        <v>1</v>
      </c>
      <c r="E13" s="3" t="n">
        <v>1</v>
      </c>
      <c r="F13" s="3" t="n">
        <v>2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98</v>
      </c>
      <c r="C14" s="3" t="n">
        <v>11.2</v>
      </c>
      <c r="D14" s="3" t="n">
        <v>10.6</v>
      </c>
      <c r="E14" s="3" t="n">
        <v>10.2</v>
      </c>
      <c r="F14" s="3" t="n">
        <v>10</v>
      </c>
      <c r="G14" s="3" t="n">
        <v>10</v>
      </c>
      <c r="H14" s="3" t="n">
        <v>10</v>
      </c>
      <c r="I14" s="3" t="n">
        <v>10</v>
      </c>
      <c r="J14" s="3" t="n">
        <v>10</v>
      </c>
      <c r="K14" s="3" t="n">
        <v>10</v>
      </c>
      <c r="L14" s="3" t="n">
        <v>10</v>
      </c>
    </row>
    <row r="15" customFormat="false" ht="15" hidden="false" customHeight="false" outlineLevel="0" collapsed="false">
      <c r="A15" s="0" t="s">
        <v>99</v>
      </c>
      <c r="C15" s="3" t="n">
        <v>0.28</v>
      </c>
      <c r="D15" s="3" t="n">
        <v>0.28</v>
      </c>
      <c r="E15" s="3" t="n">
        <v>0.28</v>
      </c>
      <c r="F15" s="3" t="n">
        <v>0.28</v>
      </c>
      <c r="G15" s="3" t="n">
        <v>0.28</v>
      </c>
      <c r="H15" s="3" t="n">
        <v>0.28</v>
      </c>
      <c r="I15" s="3" t="n">
        <v>0.28</v>
      </c>
      <c r="J15" s="3" t="n">
        <v>0.28</v>
      </c>
      <c r="K15" s="3" t="n">
        <v>0.28</v>
      </c>
      <c r="L15" s="3" t="n">
        <v>0.28</v>
      </c>
    </row>
    <row r="16" customFormat="false" ht="15" hidden="false" customHeight="false" outlineLevel="0" collapsed="false">
      <c r="A16" s="0" t="s">
        <v>100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101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 customFormat="false" ht="15" hidden="false" customHeight="false" outlineLevel="0" collapsed="false">
      <c r="A18" s="0" t="s">
        <v>102</v>
      </c>
      <c r="C18" s="3" t="n">
        <v>7.168</v>
      </c>
      <c r="D18" s="3" t="n">
        <v>6.678</v>
      </c>
      <c r="E18" s="3" t="n">
        <v>6.324</v>
      </c>
      <c r="F18" s="3" t="n">
        <v>6</v>
      </c>
      <c r="G18" s="3" t="n">
        <v>5.8</v>
      </c>
      <c r="H18" s="3" t="n">
        <v>5.5</v>
      </c>
      <c r="I18" s="3" t="n">
        <v>5.2</v>
      </c>
      <c r="J18" s="3" t="n">
        <v>4.9</v>
      </c>
      <c r="K18" s="3" t="n">
        <v>4.6</v>
      </c>
      <c r="L18" s="3" t="n">
        <v>4.3</v>
      </c>
    </row>
    <row r="19" customFormat="false" ht="15" hidden="false" customHeight="false" outlineLevel="0" collapsed="false">
      <c r="A19" s="0" t="s">
        <v>103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 customFormat="false" ht="15" hidden="false" customHeight="false" outlineLevel="0" collapsed="false">
      <c r="A20" s="0" t="s">
        <v>104</v>
      </c>
      <c r="B20" s="3" t="n">
        <v>10.5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12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0.3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7</v>
      </c>
      <c r="D27" s="3" t="n">
        <v>6</v>
      </c>
      <c r="E27" s="3" t="n">
        <v>5.5</v>
      </c>
      <c r="F27" s="3" t="n">
        <v>5</v>
      </c>
      <c r="G27" s="3" t="n">
        <v>4.5</v>
      </c>
      <c r="H27" s="3" t="n">
        <v>4.5</v>
      </c>
      <c r="I27" s="3" t="n">
        <v>4</v>
      </c>
      <c r="J27" s="3" t="n">
        <v>4</v>
      </c>
      <c r="K27" s="3" t="n">
        <v>3.5</v>
      </c>
      <c r="L27" s="3" t="n">
        <v>3.5</v>
      </c>
    </row>
    <row r="28" customFormat="false" ht="15" hidden="false" customHeight="false" outlineLevel="0" collapsed="false">
      <c r="A28" s="0" t="s">
        <v>98</v>
      </c>
      <c r="C28" s="3" t="n">
        <v>11.9</v>
      </c>
      <c r="D28" s="3" t="n">
        <v>12</v>
      </c>
      <c r="E28" s="3" t="n">
        <v>12</v>
      </c>
      <c r="F28" s="3" t="n">
        <v>12</v>
      </c>
      <c r="G28" s="3" t="n">
        <v>12</v>
      </c>
      <c r="H28" s="3" t="n">
        <v>12</v>
      </c>
      <c r="I28" s="3" t="n">
        <v>12</v>
      </c>
      <c r="J28" s="3" t="n">
        <v>12</v>
      </c>
      <c r="K28" s="3" t="n">
        <v>12</v>
      </c>
      <c r="L28" s="3" t="n">
        <v>12</v>
      </c>
    </row>
    <row r="29" customFormat="false" ht="15" hidden="false" customHeight="false" outlineLevel="0" collapsed="false">
      <c r="A29" s="0" t="s">
        <v>99</v>
      </c>
      <c r="C29" s="3" t="n">
        <v>0.28</v>
      </c>
      <c r="D29" s="3" t="n">
        <v>0.28</v>
      </c>
      <c r="E29" s="3" t="n">
        <v>0.28</v>
      </c>
      <c r="F29" s="3" t="n">
        <v>0.28</v>
      </c>
      <c r="G29" s="3" t="n">
        <v>0.28</v>
      </c>
      <c r="H29" s="3" t="n">
        <v>0.28</v>
      </c>
      <c r="I29" s="3" t="n">
        <v>0.28</v>
      </c>
      <c r="J29" s="3" t="n">
        <v>0.28</v>
      </c>
      <c r="K29" s="3" t="n">
        <v>0.28</v>
      </c>
      <c r="L29" s="3" t="n">
        <v>0.28</v>
      </c>
    </row>
    <row r="30" customFormat="false" ht="15" hidden="false" customHeight="false" outlineLevel="0" collapsed="false">
      <c r="A30" s="0" t="s">
        <v>100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101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 customFormat="false" ht="15" hidden="false" customHeight="false" outlineLevel="0" collapsed="false">
      <c r="A32" s="0" t="s">
        <v>102</v>
      </c>
      <c r="C32" s="3" t="n">
        <v>7.497</v>
      </c>
      <c r="D32" s="3" t="n">
        <v>7.32</v>
      </c>
      <c r="E32" s="3" t="n">
        <v>6.96</v>
      </c>
      <c r="F32" s="3" t="n">
        <v>6.48</v>
      </c>
      <c r="G32" s="3" t="n">
        <v>6</v>
      </c>
      <c r="H32" s="3" t="n">
        <v>5.52</v>
      </c>
      <c r="I32" s="3" t="n">
        <v>5.04</v>
      </c>
      <c r="J32" s="3" t="n">
        <v>4.56</v>
      </c>
      <c r="K32" s="3" t="n">
        <v>4.08</v>
      </c>
      <c r="L32" s="3" t="n">
        <v>3.6</v>
      </c>
    </row>
    <row r="33" customFormat="false" ht="15" hidden="false" customHeight="false" outlineLevel="0" collapsed="false">
      <c r="A33" s="0" t="s">
        <v>103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 customFormat="false" ht="15" hidden="false" customHeight="false" outlineLevel="0" collapsed="false">
      <c r="A34" s="0" t="s">
        <v>104</v>
      </c>
      <c r="B34" s="3" t="n">
        <v>10.5</v>
      </c>
    </row>
    <row r="35" customFormat="false" ht="15" hidden="false" customHeight="false" outlineLevel="0" collapsed="false">
      <c r="A35" s="0" t="s">
        <v>105</v>
      </c>
      <c r="B35" s="3" t="n">
        <v>3</v>
      </c>
    </row>
    <row r="36" customFormat="false" ht="15" hidden="false" customHeight="false" outlineLevel="0" collapsed="false">
      <c r="A36" s="0" t="s">
        <v>106</v>
      </c>
      <c r="B36" s="3" t="n">
        <v>15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9</v>
      </c>
      <c r="D41" s="3" t="n">
        <v>8</v>
      </c>
      <c r="E41" s="3" t="n">
        <v>7.5</v>
      </c>
      <c r="F41" s="3" t="n">
        <v>7</v>
      </c>
      <c r="G41" s="3" t="n">
        <v>6.5</v>
      </c>
      <c r="H41" s="3" t="n">
        <v>6</v>
      </c>
      <c r="I41" s="3" t="n">
        <v>5.5</v>
      </c>
      <c r="J41" s="3" t="n">
        <v>5</v>
      </c>
      <c r="K41" s="3" t="n">
        <v>4.5</v>
      </c>
      <c r="L41" s="3" t="n">
        <v>4</v>
      </c>
    </row>
    <row r="42" customFormat="false" ht="15" hidden="false" customHeight="false" outlineLevel="0" collapsed="false">
      <c r="A42" s="0" t="s">
        <v>98</v>
      </c>
      <c r="C42" s="3" t="n">
        <v>12</v>
      </c>
      <c r="D42" s="3" t="n">
        <v>12.3</v>
      </c>
      <c r="E42" s="3" t="n">
        <v>12.5</v>
      </c>
      <c r="F42" s="3" t="n">
        <v>12.7</v>
      </c>
      <c r="G42" s="3" t="n">
        <v>12.8</v>
      </c>
      <c r="H42" s="3" t="n">
        <v>12.8</v>
      </c>
      <c r="I42" s="3" t="n">
        <v>12.8</v>
      </c>
      <c r="J42" s="3" t="n">
        <v>12.8</v>
      </c>
      <c r="K42" s="3" t="n">
        <v>12.8</v>
      </c>
      <c r="L42" s="3" t="n">
        <v>12.8</v>
      </c>
    </row>
    <row r="43" customFormat="false" ht="15" hidden="false" customHeight="false" outlineLevel="0" collapsed="false">
      <c r="A43" s="0" t="s">
        <v>99</v>
      </c>
      <c r="C43" s="3" t="n">
        <v>0.28</v>
      </c>
      <c r="D43" s="3" t="n">
        <v>0.28</v>
      </c>
      <c r="E43" s="3" t="n">
        <v>0.28</v>
      </c>
      <c r="F43" s="3" t="n">
        <v>0.28</v>
      </c>
      <c r="G43" s="3" t="n">
        <v>0.28</v>
      </c>
      <c r="H43" s="3" t="n">
        <v>0.28</v>
      </c>
      <c r="I43" s="3" t="n">
        <v>0.28</v>
      </c>
      <c r="J43" s="3" t="n">
        <v>0.28</v>
      </c>
      <c r="K43" s="3" t="n">
        <v>0.28</v>
      </c>
      <c r="L43" s="3" t="n">
        <v>0.28</v>
      </c>
    </row>
    <row r="44" customFormat="false" ht="15" hidden="false" customHeight="false" outlineLevel="0" collapsed="false">
      <c r="A44" s="0" t="s">
        <v>100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101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</row>
    <row r="46" customFormat="false" ht="15" hidden="false" customHeight="false" outlineLevel="0" collapsed="false">
      <c r="A46" s="0" t="s">
        <v>102</v>
      </c>
      <c r="C46" s="3" t="n">
        <v>7.44</v>
      </c>
      <c r="D46" s="3" t="n">
        <v>7.257</v>
      </c>
      <c r="E46" s="3" t="n">
        <v>7</v>
      </c>
      <c r="F46" s="3" t="n">
        <v>6.604</v>
      </c>
      <c r="G46" s="3" t="n">
        <v>6.144</v>
      </c>
      <c r="H46" s="3" t="n">
        <v>5.632</v>
      </c>
      <c r="I46" s="3" t="n">
        <v>5.12</v>
      </c>
      <c r="J46" s="3" t="n">
        <v>4.608</v>
      </c>
      <c r="K46" s="3" t="n">
        <v>4.096</v>
      </c>
      <c r="L46" s="3" t="n">
        <v>3.584</v>
      </c>
    </row>
    <row r="47" customFormat="false" ht="15" hidden="false" customHeight="false" outlineLevel="0" collapsed="false">
      <c r="A47" s="0" t="s">
        <v>103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</row>
    <row r="48" customFormat="false" ht="15" hidden="false" customHeight="false" outlineLevel="0" collapsed="false">
      <c r="A48" s="0" t="s">
        <v>104</v>
      </c>
      <c r="B48" s="3" t="n">
        <v>10.5</v>
      </c>
    </row>
    <row r="49" customFormat="false" ht="15" hidden="false" customHeight="false" outlineLevel="0" collapsed="false">
      <c r="A49" s="0" t="s">
        <v>105</v>
      </c>
      <c r="B49" s="3" t="n">
        <v>3.5</v>
      </c>
    </row>
    <row r="50" customFormat="false" ht="15" hidden="false" customHeight="false" outlineLevel="0" collapsed="false">
      <c r="A50" s="0" t="s">
        <v>106</v>
      </c>
      <c r="B50" s="3" t="n">
        <v>16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3</v>
      </c>
      <c r="D5" s="4" t="n">
        <f aca="false">Assumptions!D13</f>
        <v>1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1140324</v>
      </c>
      <c r="C6" s="0" t="n">
        <f aca="false">B6*(1+C5/100)</f>
        <v>1174533.72</v>
      </c>
      <c r="D6" s="0" t="n">
        <f aca="false">C6*(1+D5/100)</f>
        <v>1186279.0572</v>
      </c>
      <c r="E6" s="0" t="n">
        <f aca="false">D6*(1+E5/100)</f>
        <v>1198141.847772</v>
      </c>
      <c r="F6" s="0" t="n">
        <f aca="false">E6*(1+F5/100)</f>
        <v>1222104.68472744</v>
      </c>
      <c r="G6" s="0" t="n">
        <f aca="false">F6*(1+G5/100)</f>
        <v>1252657.30184563</v>
      </c>
      <c r="H6" s="0" t="n">
        <f aca="false">G6*(1+H5/100)</f>
        <v>1283973.73439177</v>
      </c>
      <c r="I6" s="0" t="n">
        <f aca="false">H6*(1+I5/100)</f>
        <v>1316073.07775156</v>
      </c>
      <c r="J6" s="0" t="n">
        <f aca="false">I6*(1+J5/100)</f>
        <v>1348974.90469535</v>
      </c>
      <c r="K6" s="0" t="n">
        <f aca="false">J6*(1+K5/100)</f>
        <v>1382699.27731273</v>
      </c>
      <c r="L6" s="0" t="n">
        <f aca="false">K6*(1+L5/100)</f>
        <v>1417266.75924555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11.2</v>
      </c>
      <c r="D7" s="4" t="n">
        <f aca="false">Assumptions!D14</f>
        <v>10.6</v>
      </c>
      <c r="E7" s="4" t="n">
        <f aca="false">Assumptions!E14</f>
        <v>10.2</v>
      </c>
      <c r="F7" s="4" t="n">
        <f aca="false">Assumptions!F14</f>
        <v>10</v>
      </c>
      <c r="G7" s="4" t="n">
        <f aca="false">Assumptions!G14</f>
        <v>10</v>
      </c>
      <c r="H7" s="4" t="n">
        <f aca="false">Assumptions!H14</f>
        <v>10</v>
      </c>
      <c r="I7" s="4" t="n">
        <f aca="false">Assumptions!I14</f>
        <v>10</v>
      </c>
      <c r="J7" s="4" t="n">
        <f aca="false">Assumptions!J14</f>
        <v>10</v>
      </c>
      <c r="K7" s="4" t="n">
        <f aca="false">Assumptions!K14</f>
        <v>10</v>
      </c>
      <c r="L7" s="4" t="n">
        <f aca="false">Assumptions!L14</f>
        <v>10</v>
      </c>
    </row>
    <row r="8" customFormat="false" ht="15" hidden="false" customHeight="false" outlineLevel="0" collapsed="false">
      <c r="A8" s="0" t="s">
        <v>44</v>
      </c>
      <c r="C8" s="0" t="n">
        <f aca="false">C6*C7/100</f>
        <v>131547.77664</v>
      </c>
      <c r="D8" s="0" t="n">
        <f aca="false">D6*D7/100</f>
        <v>125745.5800632</v>
      </c>
      <c r="E8" s="0" t="n">
        <f aca="false">E6*E7/100</f>
        <v>122210.468472744</v>
      </c>
      <c r="F8" s="0" t="n">
        <f aca="false">F6*F7/100</f>
        <v>122210.468472744</v>
      </c>
      <c r="G8" s="0" t="n">
        <f aca="false">G6*G7/100</f>
        <v>125265.730184563</v>
      </c>
      <c r="H8" s="0" t="n">
        <f aca="false">H6*H7/100</f>
        <v>128397.373439177</v>
      </c>
      <c r="I8" s="0" t="n">
        <f aca="false">I6*I7/100</f>
        <v>131607.307775156</v>
      </c>
      <c r="J8" s="0" t="n">
        <f aca="false">J6*J7/100</f>
        <v>134897.490469535</v>
      </c>
      <c r="K8" s="0" t="n">
        <f aca="false">K6*K7/100</f>
        <v>138269.927731273</v>
      </c>
      <c r="L8" s="0" t="n">
        <f aca="false">L6*L7/100</f>
        <v>141726.675924555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0.28</v>
      </c>
      <c r="D9" s="4" t="n">
        <f aca="false">Assumptions!D15</f>
        <v>0.28</v>
      </c>
      <c r="E9" s="4" t="n">
        <f aca="false">Assumptions!E15</f>
        <v>0.28</v>
      </c>
      <c r="F9" s="4" t="n">
        <f aca="false">Assumptions!F15</f>
        <v>0.28</v>
      </c>
      <c r="G9" s="4" t="n">
        <f aca="false">Assumptions!G15</f>
        <v>0.28</v>
      </c>
      <c r="H9" s="4" t="n">
        <f aca="false">Assumptions!H15</f>
        <v>0.28</v>
      </c>
      <c r="I9" s="4" t="n">
        <f aca="false">Assumptions!I15</f>
        <v>0.28</v>
      </c>
      <c r="J9" s="4" t="n">
        <f aca="false">Assumptions!J15</f>
        <v>0.28</v>
      </c>
      <c r="K9" s="4" t="n">
        <f aca="false">Assumptions!K15</f>
        <v>0.28</v>
      </c>
      <c r="L9" s="4" t="n">
        <f aca="false">Assumptions!L15</f>
        <v>0.28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-3288.694416</v>
      </c>
      <c r="D10" s="0" t="n">
        <f aca="false">-D6*D9/100</f>
        <v>-3321.58136016</v>
      </c>
      <c r="E10" s="0" t="n">
        <f aca="false">-E6*E9/100</f>
        <v>-3354.7971737616</v>
      </c>
      <c r="F10" s="0" t="n">
        <f aca="false">-F6*F9/100</f>
        <v>-3421.89311723683</v>
      </c>
      <c r="G10" s="0" t="n">
        <f aca="false">-G6*G9/100</f>
        <v>-3507.44044516775</v>
      </c>
      <c r="H10" s="0" t="n">
        <f aca="false">-H6*H9/100</f>
        <v>-3595.12645629695</v>
      </c>
      <c r="I10" s="0" t="n">
        <f aca="false">-I6*I9/100</f>
        <v>-3685.00461770437</v>
      </c>
      <c r="J10" s="0" t="n">
        <f aca="false">-J6*J9/100</f>
        <v>-3777.12973314698</v>
      </c>
      <c r="K10" s="0" t="n">
        <f aca="false">-K6*K9/100</f>
        <v>-3871.55797647565</v>
      </c>
      <c r="L10" s="0" t="n">
        <f aca="false">-L6*L9/100</f>
        <v>-3968.34692588754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128259.082224</v>
      </c>
      <c r="D11" s="0" t="n">
        <f aca="false">D8+D10+D24</f>
        <v>122423.99870304</v>
      </c>
      <c r="E11" s="0" t="n">
        <f aca="false">E8+E10+E24</f>
        <v>118855.671298982</v>
      </c>
      <c r="F11" s="0" t="n">
        <f aca="false">F8+F10+F24</f>
        <v>118788.575355507</v>
      </c>
      <c r="G11" s="0" t="n">
        <f aca="false">G8+G10+G24</f>
        <v>121758.289739395</v>
      </c>
      <c r="H11" s="0" t="n">
        <f aca="false">H8+H10+H24</f>
        <v>124802.24698288</v>
      </c>
      <c r="I11" s="0" t="n">
        <f aca="false">I8+I10+I24</f>
        <v>127922.303157452</v>
      </c>
      <c r="J11" s="0" t="n">
        <f aca="false">J8+J10+J24</f>
        <v>131120.360736388</v>
      </c>
      <c r="K11" s="0" t="n">
        <f aca="false">K8+K10+K24</f>
        <v>134398.369754798</v>
      </c>
      <c r="L11" s="0" t="n">
        <f aca="false">L8+L10+L24</f>
        <v>137758.328998668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-0</v>
      </c>
      <c r="D12" s="4" t="n">
        <f aca="false">-D6*Assumptions!D17/100</f>
        <v>-0</v>
      </c>
      <c r="E12" s="4" t="n">
        <f aca="false">-E6*Assumptions!E17/100</f>
        <v>-0</v>
      </c>
      <c r="F12" s="4" t="n">
        <f aca="false">-F6*Assumptions!F17/100</f>
        <v>-0</v>
      </c>
      <c r="G12" s="4" t="n">
        <f aca="false">-G6*Assumptions!G17/100</f>
        <v>-0</v>
      </c>
      <c r="H12" s="4" t="n">
        <f aca="false">-H6*Assumptions!H17/100</f>
        <v>-0</v>
      </c>
      <c r="I12" s="4" t="n">
        <f aca="false">-I6*Assumptions!I17/100</f>
        <v>-0</v>
      </c>
      <c r="J12" s="4" t="n">
        <f aca="false">-J6*Assumptions!J17/100</f>
        <v>-0</v>
      </c>
      <c r="K12" s="4" t="n">
        <f aca="false">-K6*Assumptions!K17/100</f>
        <v>-0</v>
      </c>
      <c r="L12" s="4" t="n">
        <f aca="false">-L6*Assumptions!L17/100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128259.082224</v>
      </c>
      <c r="D13" s="0" t="n">
        <f aca="false">D11+D12</f>
        <v>122423.99870304</v>
      </c>
      <c r="E13" s="0" t="n">
        <f aca="false">E11+E12</f>
        <v>118855.671298982</v>
      </c>
      <c r="F13" s="0" t="n">
        <f aca="false">F11+F12</f>
        <v>118788.575355507</v>
      </c>
      <c r="G13" s="0" t="n">
        <f aca="false">G11+G12</f>
        <v>121758.289739395</v>
      </c>
      <c r="H13" s="0" t="n">
        <f aca="false">H11+H12</f>
        <v>124802.24698288</v>
      </c>
      <c r="I13" s="0" t="n">
        <f aca="false">I11+I12</f>
        <v>127922.303157452</v>
      </c>
      <c r="J13" s="0" t="n">
        <f aca="false">J11+J12</f>
        <v>131120.360736388</v>
      </c>
      <c r="K13" s="0" t="n">
        <f aca="false">K11+K12</f>
        <v>134398.369754798</v>
      </c>
      <c r="L13" s="0" t="n">
        <f aca="false">L11+L12</f>
        <v>137758.328998668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0</v>
      </c>
      <c r="D14" s="4" t="n">
        <f aca="false">Assumptions!D19</f>
        <v>0</v>
      </c>
      <c r="E14" s="4" t="n">
        <f aca="false">Assumptions!E19</f>
        <v>0</v>
      </c>
      <c r="F14" s="4" t="n">
        <f aca="false">Assumptions!F19</f>
        <v>0</v>
      </c>
      <c r="G14" s="4" t="n">
        <f aca="false">Assumptions!G19</f>
        <v>0</v>
      </c>
      <c r="H14" s="4" t="n">
        <f aca="false">Assumptions!H19</f>
        <v>0</v>
      </c>
      <c r="I14" s="4" t="n">
        <f aca="false">Assumptions!I19</f>
        <v>0</v>
      </c>
      <c r="J14" s="4" t="n">
        <f aca="false">Assumptions!J19</f>
        <v>0</v>
      </c>
      <c r="K14" s="4" t="n">
        <f aca="false">Assumptions!K19</f>
        <v>0</v>
      </c>
      <c r="L14" s="4" t="n">
        <f aca="false">Assumptions!L19</f>
        <v>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128259.082224</v>
      </c>
      <c r="D15" s="0" t="n">
        <f aca="false">D13-MAX(0,D13)*D14/100</f>
        <v>122423.99870304</v>
      </c>
      <c r="E15" s="0" t="n">
        <f aca="false">E13-MAX(0,E13)*E14/100</f>
        <v>118855.671298982</v>
      </c>
      <c r="F15" s="0" t="n">
        <f aca="false">F13-MAX(0,F13)*F14/100</f>
        <v>118788.575355507</v>
      </c>
      <c r="G15" s="0" t="n">
        <f aca="false">G13-MAX(0,G13)*G14/100</f>
        <v>121758.289739395</v>
      </c>
      <c r="H15" s="0" t="n">
        <f aca="false">H13-MAX(0,H13)*H14/100</f>
        <v>124802.24698288</v>
      </c>
      <c r="I15" s="0" t="n">
        <f aca="false">I13-MAX(0,I13)*I14/100</f>
        <v>127922.303157452</v>
      </c>
      <c r="J15" s="0" t="n">
        <f aca="false">J13-MAX(0,J13)*J14/100</f>
        <v>131120.360736388</v>
      </c>
      <c r="K15" s="0" t="n">
        <f aca="false">K13-MAX(0,K13)*K14/100</f>
        <v>134398.369754798</v>
      </c>
      <c r="L15" s="0" t="n">
        <f aca="false">L13-MAX(0,L13)*L14/100</f>
        <v>137758.328998668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-84190.5770496</v>
      </c>
      <c r="D17" s="4" t="n">
        <f aca="false">-D6*Assumptions!D18/100</f>
        <v>-79219.715439816</v>
      </c>
      <c r="E17" s="4" t="n">
        <f aca="false">-E6*Assumptions!E18/100</f>
        <v>-75770.4904531013</v>
      </c>
      <c r="F17" s="4" t="n">
        <f aca="false">-F6*Assumptions!F18/100</f>
        <v>-73326.2810836464</v>
      </c>
      <c r="G17" s="4" t="n">
        <f aca="false">-G6*Assumptions!G18/100</f>
        <v>-72654.1235070463</v>
      </c>
      <c r="H17" s="4" t="n">
        <f aca="false">-H6*Assumptions!H18/100</f>
        <v>-70618.5553915472</v>
      </c>
      <c r="I17" s="4" t="n">
        <f aca="false">-I6*Assumptions!I18/100</f>
        <v>-68435.8000430811</v>
      </c>
      <c r="J17" s="4" t="n">
        <f aca="false">-J6*Assumptions!J18/100</f>
        <v>-66099.7703300721</v>
      </c>
      <c r="K17" s="4" t="n">
        <f aca="false">-K6*Assumptions!K18/100</f>
        <v>-63604.1667563857</v>
      </c>
      <c r="L17" s="4" t="n">
        <f aca="false">-L6*Assumptions!L18/100</f>
        <v>-60942.4706475587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44068.5051744</v>
      </c>
      <c r="D19" s="0" t="n">
        <f aca="false">D15+D16+D17+D18</f>
        <v>43204.283263224</v>
      </c>
      <c r="E19" s="0" t="n">
        <f aca="false">E15+E16+E17+E18</f>
        <v>43085.1808458811</v>
      </c>
      <c r="F19" s="0" t="n">
        <f aca="false">F15+F16+F17+F18</f>
        <v>45462.2942718608</v>
      </c>
      <c r="G19" s="0" t="n">
        <f aca="false">G15+G16+G17+G18</f>
        <v>49104.1662323485</v>
      </c>
      <c r="H19" s="0" t="n">
        <f aca="false">H15+H16+H17+H18</f>
        <v>54183.6915913326</v>
      </c>
      <c r="I19" s="0" t="n">
        <f aca="false">I15+I16+I17+I18</f>
        <v>59486.5031143705</v>
      </c>
      <c r="J19" s="0" t="n">
        <f aca="false">J15+J16+J17+J18</f>
        <v>65020.5904063158</v>
      </c>
      <c r="K19" s="0" t="n">
        <f aca="false">K15+K16+K17+K18</f>
        <v>70794.202998412</v>
      </c>
      <c r="L19" s="0" t="n">
        <f aca="false">L15+L16+L17+L18</f>
        <v>76815.8583511089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39881.0001578281</v>
      </c>
      <c r="D21" s="0" t="n">
        <f aca="false">D19*D20</f>
        <v>35383.6188966024</v>
      </c>
      <c r="E21" s="0" t="n">
        <f aca="false">E19*E20</f>
        <v>31933.1003768762</v>
      </c>
      <c r="F21" s="0" t="n">
        <f aca="false">F19*F20</f>
        <v>30493.1462484759</v>
      </c>
      <c r="G21" s="0" t="n">
        <f aca="false">G19*G20</f>
        <v>29806.2233314787</v>
      </c>
      <c r="H21" s="0" t="n">
        <f aca="false">H19*H20</f>
        <v>29764.2485502611</v>
      </c>
      <c r="I21" s="0" t="n">
        <f aca="false">I19*I20</f>
        <v>29572.1223077694</v>
      </c>
      <c r="J21" s="0" t="n">
        <f aca="false">J19*J20</f>
        <v>29251.80600279</v>
      </c>
      <c r="K21" s="0" t="n">
        <f aca="false">K19*K20</f>
        <v>28822.8681216353</v>
      </c>
      <c r="L21" s="0" t="n">
        <f aca="false">L19*L20</f>
        <v>28302.7156125822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10.5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313210.849606299</v>
      </c>
    </row>
    <row r="31" customFormat="false" ht="15" hidden="false" customHeight="false" outlineLevel="0" collapsed="false">
      <c r="A31" s="0" t="s">
        <v>128</v>
      </c>
      <c r="B31" s="0" t="n">
        <f aca="false">L19</f>
        <v>76815.8583511089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921790.300213306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921790.300213306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921790.300213306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339632.587350986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652843.436957286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652843.436957286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40.3410384207765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-0.193985246338133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21151.6024861513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17545.5949185011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42.7322474594293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602709.042447162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25.0174962961663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7</v>
      </c>
      <c r="D5" s="4" t="n">
        <f aca="false">Assumptions!D27</f>
        <v>6</v>
      </c>
      <c r="E5" s="4" t="n">
        <f aca="false">Assumptions!E27</f>
        <v>5.5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3.5</v>
      </c>
    </row>
    <row r="6" customFormat="false" ht="15" hidden="false" customHeight="false" outlineLevel="0" collapsed="false">
      <c r="A6" s="0" t="s">
        <v>38</v>
      </c>
      <c r="B6" s="3" t="n">
        <v>1140324</v>
      </c>
      <c r="C6" s="0" t="n">
        <f aca="false">B6*(1+C5/100)</f>
        <v>1220146.68</v>
      </c>
      <c r="D6" s="0" t="n">
        <f aca="false">C6*(1+D5/100)</f>
        <v>1293355.4808</v>
      </c>
      <c r="E6" s="0" t="n">
        <f aca="false">D6*(1+E5/100)</f>
        <v>1364490.032244</v>
      </c>
      <c r="F6" s="0" t="n">
        <f aca="false">E6*(1+F5/100)</f>
        <v>1432714.5338562</v>
      </c>
      <c r="G6" s="0" t="n">
        <f aca="false">F6*(1+G5/100)</f>
        <v>1497186.68787973</v>
      </c>
      <c r="H6" s="0" t="n">
        <f aca="false">G6*(1+H5/100)</f>
        <v>1564560.08883432</v>
      </c>
      <c r="I6" s="0" t="n">
        <f aca="false">H6*(1+I5/100)</f>
        <v>1627142.49238769</v>
      </c>
      <c r="J6" s="0" t="n">
        <f aca="false">I6*(1+J5/100)</f>
        <v>1692228.1920832</v>
      </c>
      <c r="K6" s="0" t="n">
        <f aca="false">J6*(1+K5/100)</f>
        <v>1751456.17880611</v>
      </c>
      <c r="L6" s="0" t="n">
        <f aca="false">K6*(1+L5/100)</f>
        <v>1812757.14506432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11.9</v>
      </c>
      <c r="D7" s="4" t="n">
        <f aca="false">Assumptions!D28</f>
        <v>12</v>
      </c>
      <c r="E7" s="4" t="n">
        <f aca="false">Assumptions!E28</f>
        <v>12</v>
      </c>
      <c r="F7" s="4" t="n">
        <f aca="false">Assumptions!F28</f>
        <v>12</v>
      </c>
      <c r="G7" s="4" t="n">
        <f aca="false">Assumptions!G28</f>
        <v>12</v>
      </c>
      <c r="H7" s="4" t="n">
        <f aca="false">Assumptions!H28</f>
        <v>12</v>
      </c>
      <c r="I7" s="4" t="n">
        <f aca="false">Assumptions!I28</f>
        <v>12</v>
      </c>
      <c r="J7" s="4" t="n">
        <f aca="false">Assumptions!J28</f>
        <v>12</v>
      </c>
      <c r="K7" s="4" t="n">
        <f aca="false">Assumptions!K28</f>
        <v>12</v>
      </c>
      <c r="L7" s="4" t="n">
        <f aca="false">Assumptions!L28</f>
        <v>12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145197.45492</v>
      </c>
      <c r="D8" s="0" t="n">
        <f aca="false">D6*D7/100</f>
        <v>155202.657696</v>
      </c>
      <c r="E8" s="0" t="n">
        <f aca="false">E6*E7/100</f>
        <v>163738.80386928</v>
      </c>
      <c r="F8" s="0" t="n">
        <f aca="false">F6*F7/100</f>
        <v>171925.744062744</v>
      </c>
      <c r="G8" s="0" t="n">
        <f aca="false">G6*G7/100</f>
        <v>179662.402545568</v>
      </c>
      <c r="H8" s="0" t="n">
        <f aca="false">H6*H7/100</f>
        <v>187747.210660118</v>
      </c>
      <c r="I8" s="0" t="n">
        <f aca="false">I6*I7/100</f>
        <v>195257.099086523</v>
      </c>
      <c r="J8" s="0" t="n">
        <f aca="false">J6*J7/100</f>
        <v>203067.383049984</v>
      </c>
      <c r="K8" s="0" t="n">
        <f aca="false">K6*K7/100</f>
        <v>210174.741456733</v>
      </c>
      <c r="L8" s="0" t="n">
        <f aca="false">L6*L7/100</f>
        <v>217530.857407719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0.28</v>
      </c>
      <c r="D9" s="4" t="n">
        <f aca="false">Assumptions!D29</f>
        <v>0.28</v>
      </c>
      <c r="E9" s="4" t="n">
        <f aca="false">Assumptions!E29</f>
        <v>0.28</v>
      </c>
      <c r="F9" s="4" t="n">
        <f aca="false">Assumptions!F29</f>
        <v>0.28</v>
      </c>
      <c r="G9" s="4" t="n">
        <f aca="false">Assumptions!G29</f>
        <v>0.28</v>
      </c>
      <c r="H9" s="4" t="n">
        <f aca="false">Assumptions!H29</f>
        <v>0.28</v>
      </c>
      <c r="I9" s="4" t="n">
        <f aca="false">Assumptions!I29</f>
        <v>0.28</v>
      </c>
      <c r="J9" s="4" t="n">
        <f aca="false">Assumptions!J29</f>
        <v>0.28</v>
      </c>
      <c r="K9" s="4" t="n">
        <f aca="false">Assumptions!K29</f>
        <v>0.28</v>
      </c>
      <c r="L9" s="4" t="n">
        <f aca="false">Assumptions!L29</f>
        <v>0.28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-3416.410704</v>
      </c>
      <c r="D10" s="0" t="n">
        <f aca="false">-D6*D9/100</f>
        <v>-3621.39534624</v>
      </c>
      <c r="E10" s="0" t="n">
        <f aca="false">-E6*E9/100</f>
        <v>-3820.5720902832</v>
      </c>
      <c r="F10" s="0" t="n">
        <f aca="false">-F6*F9/100</f>
        <v>-4011.60069479736</v>
      </c>
      <c r="G10" s="0" t="n">
        <f aca="false">-G6*G9/100</f>
        <v>-4192.12272606324</v>
      </c>
      <c r="H10" s="0" t="n">
        <f aca="false">-H6*H9/100</f>
        <v>-4380.76824873609</v>
      </c>
      <c r="I10" s="0" t="n">
        <f aca="false">-I6*I9/100</f>
        <v>-4555.99897868553</v>
      </c>
      <c r="J10" s="0" t="n">
        <f aca="false">-J6*J9/100</f>
        <v>-4738.23893783295</v>
      </c>
      <c r="K10" s="0" t="n">
        <f aca="false">-K6*K9/100</f>
        <v>-4904.07730065711</v>
      </c>
      <c r="L10" s="0" t="n">
        <f aca="false">-L6*L9/100</f>
        <v>-5075.7200061801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141781.044216</v>
      </c>
      <c r="D11" s="0" t="n">
        <f aca="false">D8+D10+D24</f>
        <v>151581.26234976</v>
      </c>
      <c r="E11" s="0" t="n">
        <f aca="false">E8+E10+E24</f>
        <v>159918.231778997</v>
      </c>
      <c r="F11" s="0" t="n">
        <f aca="false">F8+F10+F24</f>
        <v>167914.143367947</v>
      </c>
      <c r="G11" s="0" t="n">
        <f aca="false">G8+G10+G24</f>
        <v>175470.279819504</v>
      </c>
      <c r="H11" s="0" t="n">
        <f aca="false">H8+H10+H24</f>
        <v>183366.442411382</v>
      </c>
      <c r="I11" s="0" t="n">
        <f aca="false">I8+I10+I24</f>
        <v>190701.100107837</v>
      </c>
      <c r="J11" s="0" t="n">
        <f aca="false">J8+J10+J24</f>
        <v>198329.144112151</v>
      </c>
      <c r="K11" s="0" t="n">
        <f aca="false">K8+K10+K24</f>
        <v>205270.664156076</v>
      </c>
      <c r="L11" s="0" t="n">
        <f aca="false">L8+L10+L24</f>
        <v>212455.137401539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-0</v>
      </c>
      <c r="D12" s="4" t="n">
        <f aca="false">-D6*Assumptions!D31/100</f>
        <v>-0</v>
      </c>
      <c r="E12" s="4" t="n">
        <f aca="false">-E6*Assumptions!E31/100</f>
        <v>-0</v>
      </c>
      <c r="F12" s="4" t="n">
        <f aca="false">-F6*Assumptions!F31/100</f>
        <v>-0</v>
      </c>
      <c r="G12" s="4" t="n">
        <f aca="false">-G6*Assumptions!G31/100</f>
        <v>-0</v>
      </c>
      <c r="H12" s="4" t="n">
        <f aca="false">-H6*Assumptions!H31/100</f>
        <v>-0</v>
      </c>
      <c r="I12" s="4" t="n">
        <f aca="false">-I6*Assumptions!I31/100</f>
        <v>-0</v>
      </c>
      <c r="J12" s="4" t="n">
        <f aca="false">-J6*Assumptions!J31/100</f>
        <v>-0</v>
      </c>
      <c r="K12" s="4" t="n">
        <f aca="false">-K6*Assumptions!K31/100</f>
        <v>-0</v>
      </c>
      <c r="L12" s="4" t="n">
        <f aca="false">-L6*Assumptions!L31/100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141781.044216</v>
      </c>
      <c r="D13" s="0" t="n">
        <f aca="false">D11+D12</f>
        <v>151581.26234976</v>
      </c>
      <c r="E13" s="0" t="n">
        <f aca="false">E11+E12</f>
        <v>159918.231778997</v>
      </c>
      <c r="F13" s="0" t="n">
        <f aca="false">F11+F12</f>
        <v>167914.143367947</v>
      </c>
      <c r="G13" s="0" t="n">
        <f aca="false">G11+G12</f>
        <v>175470.279819504</v>
      </c>
      <c r="H13" s="0" t="n">
        <f aca="false">H11+H12</f>
        <v>183366.442411382</v>
      </c>
      <c r="I13" s="0" t="n">
        <f aca="false">I11+I12</f>
        <v>190701.100107837</v>
      </c>
      <c r="J13" s="0" t="n">
        <f aca="false">J11+J12</f>
        <v>198329.144112151</v>
      </c>
      <c r="K13" s="0" t="n">
        <f aca="false">K11+K12</f>
        <v>205270.664156076</v>
      </c>
      <c r="L13" s="0" t="n">
        <f aca="false">L11+L12</f>
        <v>212455.137401539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0</v>
      </c>
      <c r="D14" s="4" t="n">
        <f aca="false">Assumptions!D33</f>
        <v>0</v>
      </c>
      <c r="E14" s="4" t="n">
        <f aca="false">Assumptions!E33</f>
        <v>0</v>
      </c>
      <c r="F14" s="4" t="n">
        <f aca="false">Assumptions!F33</f>
        <v>0</v>
      </c>
      <c r="G14" s="4" t="n">
        <f aca="false">Assumptions!G33</f>
        <v>0</v>
      </c>
      <c r="H14" s="4" t="n">
        <f aca="false">Assumptions!H33</f>
        <v>0</v>
      </c>
      <c r="I14" s="4" t="n">
        <f aca="false">Assumptions!I33</f>
        <v>0</v>
      </c>
      <c r="J14" s="4" t="n">
        <f aca="false">Assumptions!J33</f>
        <v>0</v>
      </c>
      <c r="K14" s="4" t="n">
        <f aca="false">Assumptions!K33</f>
        <v>0</v>
      </c>
      <c r="L14" s="4" t="n">
        <f aca="false">Assumptions!L33</f>
        <v>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141781.044216</v>
      </c>
      <c r="D15" s="0" t="n">
        <f aca="false">D13-MAX(0,D13)*D14/100</f>
        <v>151581.26234976</v>
      </c>
      <c r="E15" s="0" t="n">
        <f aca="false">E13-MAX(0,E13)*E14/100</f>
        <v>159918.231778997</v>
      </c>
      <c r="F15" s="0" t="n">
        <f aca="false">F13-MAX(0,F13)*F14/100</f>
        <v>167914.143367947</v>
      </c>
      <c r="G15" s="0" t="n">
        <f aca="false">G13-MAX(0,G13)*G14/100</f>
        <v>175470.279819504</v>
      </c>
      <c r="H15" s="0" t="n">
        <f aca="false">H13-MAX(0,H13)*H14/100</f>
        <v>183366.442411382</v>
      </c>
      <c r="I15" s="0" t="n">
        <f aca="false">I13-MAX(0,I13)*I14/100</f>
        <v>190701.100107837</v>
      </c>
      <c r="J15" s="0" t="n">
        <f aca="false">J13-MAX(0,J13)*J14/100</f>
        <v>198329.144112151</v>
      </c>
      <c r="K15" s="0" t="n">
        <f aca="false">K13-MAX(0,K13)*K14/100</f>
        <v>205270.664156076</v>
      </c>
      <c r="L15" s="0" t="n">
        <f aca="false">L13-MAX(0,L13)*L14/100</f>
        <v>212455.137401539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-91474.3965996</v>
      </c>
      <c r="D17" s="4" t="n">
        <f aca="false">-D6*Assumptions!D32/100</f>
        <v>-94673.62119456</v>
      </c>
      <c r="E17" s="4" t="n">
        <f aca="false">-E6*Assumptions!E32/100</f>
        <v>-94968.5062441824</v>
      </c>
      <c r="F17" s="4" t="n">
        <f aca="false">-F6*Assumptions!F32/100</f>
        <v>-92839.9017938818</v>
      </c>
      <c r="G17" s="4" t="n">
        <f aca="false">-G6*Assumptions!G32/100</f>
        <v>-89831.2012727837</v>
      </c>
      <c r="H17" s="4" t="n">
        <f aca="false">-H6*Assumptions!H32/100</f>
        <v>-86363.7169036543</v>
      </c>
      <c r="I17" s="4" t="n">
        <f aca="false">-I6*Assumptions!I32/100</f>
        <v>-82007.9816163395</v>
      </c>
      <c r="J17" s="4" t="n">
        <f aca="false">-J6*Assumptions!J32/100</f>
        <v>-77165.6055589938</v>
      </c>
      <c r="K17" s="4" t="n">
        <f aca="false">-K6*Assumptions!K32/100</f>
        <v>-71459.4120952892</v>
      </c>
      <c r="L17" s="4" t="n">
        <f aca="false">-L6*Assumptions!L32/100</f>
        <v>-65259.2572223156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50306.6476164</v>
      </c>
      <c r="D19" s="0" t="n">
        <f aca="false">D15+D16+D17+D18</f>
        <v>56907.6411552</v>
      </c>
      <c r="E19" s="0" t="n">
        <f aca="false">E15+E16+E17+E18</f>
        <v>64949.7255348144</v>
      </c>
      <c r="F19" s="0" t="n">
        <f aca="false">F15+F16+F17+F18</f>
        <v>75074.2415740649</v>
      </c>
      <c r="G19" s="0" t="n">
        <f aca="false">G15+G16+G17+G18</f>
        <v>85639.0785467205</v>
      </c>
      <c r="H19" s="0" t="n">
        <f aca="false">H15+H16+H17+H18</f>
        <v>97002.7255077277</v>
      </c>
      <c r="I19" s="0" t="n">
        <f aca="false">I15+I16+I17+I18</f>
        <v>108693.118491498</v>
      </c>
      <c r="J19" s="0" t="n">
        <f aca="false">J15+J16+J17+J18</f>
        <v>121163.538553157</v>
      </c>
      <c r="K19" s="0" t="n">
        <f aca="false">K15+K16+K17+K18</f>
        <v>133811.252060787</v>
      </c>
      <c r="L19" s="0" t="n">
        <f aca="false">L15+L16+L17+L18</f>
        <v>147195.880179223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45526.3779333937</v>
      </c>
      <c r="D21" s="0" t="n">
        <f aca="false">D19*D20</f>
        <v>46606.4504454864</v>
      </c>
      <c r="E21" s="0" t="n">
        <f aca="false">E19*E20</f>
        <v>48138.2708447436</v>
      </c>
      <c r="F21" s="0" t="n">
        <f aca="false">F19*F20</f>
        <v>50354.9120095402</v>
      </c>
      <c r="G21" s="0" t="n">
        <f aca="false">G19*G20</f>
        <v>51982.9109609038</v>
      </c>
      <c r="H21" s="0" t="n">
        <f aca="false">H19*H20</f>
        <v>53285.6501148144</v>
      </c>
      <c r="I21" s="0" t="n">
        <f aca="false">I19*I20</f>
        <v>54033.8736648137</v>
      </c>
      <c r="J21" s="0" t="n">
        <f aca="false">J19*J20</f>
        <v>54509.6915026511</v>
      </c>
      <c r="K21" s="0" t="n">
        <f aca="false">K19*K20</f>
        <v>54479.3769544305</v>
      </c>
      <c r="L21" s="0" t="n">
        <f aca="false">L19*L20</f>
        <v>54234.1545806099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10.5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513151.669011387</v>
      </c>
    </row>
    <row r="31" customFormat="false" ht="15" hidden="false" customHeight="false" outlineLevel="0" collapsed="false">
      <c r="A31" s="0" t="s">
        <v>128</v>
      </c>
      <c r="B31" s="0" t="n">
        <f aca="false">L19</f>
        <v>147195.880179223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2021490.08779466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2207938.20268834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2021490.08779466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744815.722907042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1257967.39191843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1257967.39191843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77.7333553753496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0.553113993513479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24794.4160985105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25683.300789898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80.8525159598216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1263431.30487166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44.7449695766783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9</v>
      </c>
      <c r="D5" s="4" t="n">
        <f aca="false">Assumptions!D41</f>
        <v>8</v>
      </c>
      <c r="E5" s="4" t="n">
        <f aca="false">Assumptions!E41</f>
        <v>7.5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5.5</v>
      </c>
      <c r="J5" s="4" t="n">
        <f aca="false">Assumptions!J41</f>
        <v>5</v>
      </c>
      <c r="K5" s="4" t="n">
        <f aca="false">Assumptions!K41</f>
        <v>4.5</v>
      </c>
      <c r="L5" s="4" t="n">
        <f aca="false">Assumptions!L41</f>
        <v>4</v>
      </c>
    </row>
    <row r="6" customFormat="false" ht="15" hidden="false" customHeight="false" outlineLevel="0" collapsed="false">
      <c r="A6" s="0" t="s">
        <v>38</v>
      </c>
      <c r="B6" s="3" t="n">
        <v>1140324</v>
      </c>
      <c r="C6" s="0" t="n">
        <f aca="false">B6*(1+C5/100)</f>
        <v>1242953.16</v>
      </c>
      <c r="D6" s="0" t="n">
        <f aca="false">C6*(1+D5/100)</f>
        <v>1342389.4128</v>
      </c>
      <c r="E6" s="0" t="n">
        <f aca="false">D6*(1+E5/100)</f>
        <v>1443068.61876</v>
      </c>
      <c r="F6" s="0" t="n">
        <f aca="false">E6*(1+F5/100)</f>
        <v>1544083.4220732</v>
      </c>
      <c r="G6" s="0" t="n">
        <f aca="false">F6*(1+G5/100)</f>
        <v>1644448.84450796</v>
      </c>
      <c r="H6" s="0" t="n">
        <f aca="false">G6*(1+H5/100)</f>
        <v>1743115.77517844</v>
      </c>
      <c r="I6" s="0" t="n">
        <f aca="false">H6*(1+I5/100)</f>
        <v>1838987.14281325</v>
      </c>
      <c r="J6" s="0" t="n">
        <f aca="false">I6*(1+J5/100)</f>
        <v>1930936.49995391</v>
      </c>
      <c r="K6" s="0" t="n">
        <f aca="false">J6*(1+K5/100)</f>
        <v>2017828.64245184</v>
      </c>
      <c r="L6" s="0" t="n">
        <f aca="false">K6*(1+L5/100)</f>
        <v>2098541.78814991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12</v>
      </c>
      <c r="D7" s="4" t="n">
        <f aca="false">Assumptions!D42</f>
        <v>12.3</v>
      </c>
      <c r="E7" s="4" t="n">
        <f aca="false">Assumptions!E42</f>
        <v>12.5</v>
      </c>
      <c r="F7" s="4" t="n">
        <f aca="false">Assumptions!F42</f>
        <v>12.7</v>
      </c>
      <c r="G7" s="4" t="n">
        <f aca="false">Assumptions!G42</f>
        <v>12.8</v>
      </c>
      <c r="H7" s="4" t="n">
        <f aca="false">Assumptions!H42</f>
        <v>12.8</v>
      </c>
      <c r="I7" s="4" t="n">
        <f aca="false">Assumptions!I42</f>
        <v>12.8</v>
      </c>
      <c r="J7" s="4" t="n">
        <f aca="false">Assumptions!J42</f>
        <v>12.8</v>
      </c>
      <c r="K7" s="4" t="n">
        <f aca="false">Assumptions!K42</f>
        <v>12.8</v>
      </c>
      <c r="L7" s="4" t="n">
        <f aca="false">Assumptions!L42</f>
        <v>12.8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149154.3792</v>
      </c>
      <c r="D8" s="0" t="n">
        <f aca="false">D6*D7/100</f>
        <v>165113.8977744</v>
      </c>
      <c r="E8" s="0" t="n">
        <f aca="false">E6*E7/100</f>
        <v>180383.577345</v>
      </c>
      <c r="F8" s="0" t="n">
        <f aca="false">F6*F7/100</f>
        <v>196098.594603296</v>
      </c>
      <c r="G8" s="0" t="n">
        <f aca="false">G6*G7/100</f>
        <v>210489.452097019</v>
      </c>
      <c r="H8" s="0" t="n">
        <f aca="false">H6*H7/100</f>
        <v>223118.81922284</v>
      </c>
      <c r="I8" s="0" t="n">
        <f aca="false">I6*I7/100</f>
        <v>235390.354280096</v>
      </c>
      <c r="J8" s="0" t="n">
        <f aca="false">J6*J7/100</f>
        <v>247159.871994101</v>
      </c>
      <c r="K8" s="0" t="n">
        <f aca="false">K6*K7/100</f>
        <v>258282.066233835</v>
      </c>
      <c r="L8" s="0" t="n">
        <f aca="false">L6*L7/100</f>
        <v>268613.348883189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0.28</v>
      </c>
      <c r="D9" s="4" t="n">
        <f aca="false">Assumptions!D43</f>
        <v>0.28</v>
      </c>
      <c r="E9" s="4" t="n">
        <f aca="false">Assumptions!E43</f>
        <v>0.28</v>
      </c>
      <c r="F9" s="4" t="n">
        <f aca="false">Assumptions!F43</f>
        <v>0.28</v>
      </c>
      <c r="G9" s="4" t="n">
        <f aca="false">Assumptions!G43</f>
        <v>0.28</v>
      </c>
      <c r="H9" s="4" t="n">
        <f aca="false">Assumptions!H43</f>
        <v>0.28</v>
      </c>
      <c r="I9" s="4" t="n">
        <f aca="false">Assumptions!I43</f>
        <v>0.28</v>
      </c>
      <c r="J9" s="4" t="n">
        <f aca="false">Assumptions!J43</f>
        <v>0.28</v>
      </c>
      <c r="K9" s="4" t="n">
        <f aca="false">Assumptions!K43</f>
        <v>0.28</v>
      </c>
      <c r="L9" s="4" t="n">
        <f aca="false">Assumptions!L43</f>
        <v>0.28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-3480.268848</v>
      </c>
      <c r="D10" s="0" t="n">
        <f aca="false">-D6*D9/100</f>
        <v>-3758.69035584</v>
      </c>
      <c r="E10" s="0" t="n">
        <f aca="false">-E6*E9/100</f>
        <v>-4040.592132528</v>
      </c>
      <c r="F10" s="0" t="n">
        <f aca="false">-F6*F9/100</f>
        <v>-4323.43358180496</v>
      </c>
      <c r="G10" s="0" t="n">
        <f aca="false">-G6*G9/100</f>
        <v>-4604.45676462228</v>
      </c>
      <c r="H10" s="0" t="n">
        <f aca="false">-H6*H9/100</f>
        <v>-4880.72417049962</v>
      </c>
      <c r="I10" s="0" t="n">
        <f aca="false">-I6*I9/100</f>
        <v>-5149.1639998771</v>
      </c>
      <c r="J10" s="0" t="n">
        <f aca="false">-J6*J9/100</f>
        <v>-5406.62219987095</v>
      </c>
      <c r="K10" s="0" t="n">
        <f aca="false">-K6*K9/100</f>
        <v>-5649.92019886515</v>
      </c>
      <c r="L10" s="0" t="n">
        <f aca="false">-L6*L9/100</f>
        <v>-5875.91700681975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145674.110352</v>
      </c>
      <c r="D11" s="0" t="n">
        <f aca="false">D8+D10+D24</f>
        <v>161355.20741856</v>
      </c>
      <c r="E11" s="0" t="n">
        <f aca="false">E8+E10+E24</f>
        <v>176342.985212472</v>
      </c>
      <c r="F11" s="0" t="n">
        <f aca="false">F8+F10+F24</f>
        <v>191775.161021491</v>
      </c>
      <c r="G11" s="0" t="n">
        <f aca="false">G8+G10+G24</f>
        <v>205884.995332396</v>
      </c>
      <c r="H11" s="0" t="n">
        <f aca="false">H8+H10+H24</f>
        <v>218238.09505234</v>
      </c>
      <c r="I11" s="0" t="n">
        <f aca="false">I8+I10+I24</f>
        <v>230241.190280219</v>
      </c>
      <c r="J11" s="0" t="n">
        <f aca="false">J8+J10+J24</f>
        <v>241753.24979423</v>
      </c>
      <c r="K11" s="0" t="n">
        <f aca="false">K8+K10+K24</f>
        <v>252632.14603497</v>
      </c>
      <c r="L11" s="0" t="n">
        <f aca="false">L8+L10+L24</f>
        <v>262737.431876369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-0</v>
      </c>
      <c r="D12" s="4" t="n">
        <f aca="false">-D6*Assumptions!D45/100</f>
        <v>-0</v>
      </c>
      <c r="E12" s="4" t="n">
        <f aca="false">-E6*Assumptions!E45/100</f>
        <v>-0</v>
      </c>
      <c r="F12" s="4" t="n">
        <f aca="false">-F6*Assumptions!F45/100</f>
        <v>-0</v>
      </c>
      <c r="G12" s="4" t="n">
        <f aca="false">-G6*Assumptions!G45/100</f>
        <v>-0</v>
      </c>
      <c r="H12" s="4" t="n">
        <f aca="false">-H6*Assumptions!H45/100</f>
        <v>-0</v>
      </c>
      <c r="I12" s="4" t="n">
        <f aca="false">-I6*Assumptions!I45/100</f>
        <v>-0</v>
      </c>
      <c r="J12" s="4" t="n">
        <f aca="false">-J6*Assumptions!J45/100</f>
        <v>-0</v>
      </c>
      <c r="K12" s="4" t="n">
        <f aca="false">-K6*Assumptions!K45/100</f>
        <v>-0</v>
      </c>
      <c r="L12" s="4" t="n">
        <f aca="false">-L6*Assumptions!L45/100</f>
        <v>-0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145674.110352</v>
      </c>
      <c r="D13" s="0" t="n">
        <f aca="false">D11+D12</f>
        <v>161355.20741856</v>
      </c>
      <c r="E13" s="0" t="n">
        <f aca="false">E11+E12</f>
        <v>176342.985212472</v>
      </c>
      <c r="F13" s="0" t="n">
        <f aca="false">F11+F12</f>
        <v>191775.161021491</v>
      </c>
      <c r="G13" s="0" t="n">
        <f aca="false">G11+G12</f>
        <v>205884.995332396</v>
      </c>
      <c r="H13" s="0" t="n">
        <f aca="false">H11+H12</f>
        <v>218238.09505234</v>
      </c>
      <c r="I13" s="0" t="n">
        <f aca="false">I11+I12</f>
        <v>230241.190280219</v>
      </c>
      <c r="J13" s="0" t="n">
        <f aca="false">J11+J12</f>
        <v>241753.24979423</v>
      </c>
      <c r="K13" s="0" t="n">
        <f aca="false">K11+K12</f>
        <v>252632.14603497</v>
      </c>
      <c r="L13" s="0" t="n">
        <f aca="false">L11+L12</f>
        <v>262737.431876369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0</v>
      </c>
      <c r="D14" s="4" t="n">
        <f aca="false">Assumptions!D47</f>
        <v>0</v>
      </c>
      <c r="E14" s="4" t="n">
        <f aca="false">Assumptions!E47</f>
        <v>0</v>
      </c>
      <c r="F14" s="4" t="n">
        <f aca="false">Assumptions!F47</f>
        <v>0</v>
      </c>
      <c r="G14" s="4" t="n">
        <f aca="false">Assumptions!G47</f>
        <v>0</v>
      </c>
      <c r="H14" s="4" t="n">
        <f aca="false">Assumptions!H47</f>
        <v>0</v>
      </c>
      <c r="I14" s="4" t="n">
        <f aca="false">Assumptions!I47</f>
        <v>0</v>
      </c>
      <c r="J14" s="4" t="n">
        <f aca="false">Assumptions!J47</f>
        <v>0</v>
      </c>
      <c r="K14" s="4" t="n">
        <f aca="false">Assumptions!K47</f>
        <v>0</v>
      </c>
      <c r="L14" s="4" t="n">
        <f aca="false">Assumptions!L47</f>
        <v>0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145674.110352</v>
      </c>
      <c r="D15" s="0" t="n">
        <f aca="false">D13-MAX(0,D13)*D14/100</f>
        <v>161355.20741856</v>
      </c>
      <c r="E15" s="0" t="n">
        <f aca="false">E13-MAX(0,E13)*E14/100</f>
        <v>176342.985212472</v>
      </c>
      <c r="F15" s="0" t="n">
        <f aca="false">F13-MAX(0,F13)*F14/100</f>
        <v>191775.161021491</v>
      </c>
      <c r="G15" s="0" t="n">
        <f aca="false">G13-MAX(0,G13)*G14/100</f>
        <v>205884.995332396</v>
      </c>
      <c r="H15" s="0" t="n">
        <f aca="false">H13-MAX(0,H13)*H14/100</f>
        <v>218238.09505234</v>
      </c>
      <c r="I15" s="0" t="n">
        <f aca="false">I13-MAX(0,I13)*I14/100</f>
        <v>230241.190280219</v>
      </c>
      <c r="J15" s="0" t="n">
        <f aca="false">J13-MAX(0,J13)*J14/100</f>
        <v>241753.24979423</v>
      </c>
      <c r="K15" s="0" t="n">
        <f aca="false">K13-MAX(0,K13)*K14/100</f>
        <v>252632.14603497</v>
      </c>
      <c r="L15" s="0" t="n">
        <f aca="false">L13-MAX(0,L13)*L14/100</f>
        <v>262737.431876369</v>
      </c>
    </row>
    <row r="16" customFormat="false" ht="15" hidden="false" customHeight="false" outlineLevel="0" collapsed="false">
      <c r="A16" s="0" t="s">
        <v>119</v>
      </c>
      <c r="C16" s="0" t="n">
        <f aca="false">-C12</f>
        <v>0</v>
      </c>
      <c r="D16" s="0" t="n">
        <f aca="false">-D12</f>
        <v>0</v>
      </c>
      <c r="E16" s="0" t="n">
        <f aca="false">-E12</f>
        <v>0</v>
      </c>
      <c r="F16" s="0" t="n">
        <f aca="false">-F12</f>
        <v>0</v>
      </c>
      <c r="G16" s="0" t="n">
        <f aca="false">-G12</f>
        <v>0</v>
      </c>
      <c r="H16" s="0" t="n">
        <f aca="false">-H12</f>
        <v>0</v>
      </c>
      <c r="I16" s="0" t="n">
        <f aca="false">-I12</f>
        <v>0</v>
      </c>
      <c r="J16" s="0" t="n">
        <f aca="false">-J12</f>
        <v>0</v>
      </c>
      <c r="K16" s="0" t="n">
        <f aca="false">-K12</f>
        <v>0</v>
      </c>
      <c r="L16" s="0" t="n">
        <f aca="false">-L12</f>
        <v>0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-92475.715104</v>
      </c>
      <c r="D17" s="4" t="n">
        <f aca="false">-D6*Assumptions!D46/100</f>
        <v>-97417.199686896</v>
      </c>
      <c r="E17" s="4" t="n">
        <f aca="false">-E6*Assumptions!E46/100</f>
        <v>-101014.8033132</v>
      </c>
      <c r="F17" s="4" t="n">
        <f aca="false">-F6*Assumptions!F46/100</f>
        <v>-101971.269193714</v>
      </c>
      <c r="G17" s="4" t="n">
        <f aca="false">-G6*Assumptions!G46/100</f>
        <v>-101034.937006569</v>
      </c>
      <c r="H17" s="4" t="n">
        <f aca="false">-H6*Assumptions!H46/100</f>
        <v>-98172.2804580495</v>
      </c>
      <c r="I17" s="4" t="n">
        <f aca="false">-I6*Assumptions!I46/100</f>
        <v>-94156.1417120384</v>
      </c>
      <c r="J17" s="4" t="n">
        <f aca="false">-J6*Assumptions!J46/100</f>
        <v>-88977.5539178763</v>
      </c>
      <c r="K17" s="4" t="n">
        <f aca="false">-K6*Assumptions!K46/100</f>
        <v>-82650.2611948273</v>
      </c>
      <c r="L17" s="4" t="n">
        <f aca="false">-L6*Assumptions!L46/100</f>
        <v>-75211.7376872928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53198.395248</v>
      </c>
      <c r="D19" s="0" t="n">
        <f aca="false">D15+D16+D17+D18</f>
        <v>63938.007731664</v>
      </c>
      <c r="E19" s="0" t="n">
        <f aca="false">E15+E16+E17+E18</f>
        <v>75328.181899272</v>
      </c>
      <c r="F19" s="0" t="n">
        <f aca="false">F15+F16+F17+F18</f>
        <v>89803.8918277773</v>
      </c>
      <c r="G19" s="0" t="n">
        <f aca="false">G15+G16+G17+G18</f>
        <v>104850.058325827</v>
      </c>
      <c r="H19" s="0" t="n">
        <f aca="false">H15+H16+H17+H18</f>
        <v>120065.814594291</v>
      </c>
      <c r="I19" s="0" t="n">
        <f aca="false">I15+I16+I17+I18</f>
        <v>136085.04856818</v>
      </c>
      <c r="J19" s="0" t="n">
        <f aca="false">J15+J16+J17+J18</f>
        <v>152775.695876354</v>
      </c>
      <c r="K19" s="0" t="n">
        <f aca="false">K15+K16+K17+K18</f>
        <v>169981.884840143</v>
      </c>
      <c r="L19" s="0" t="n">
        <f aca="false">L15+L16+L17+L18</f>
        <v>187525.694189076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0.904977375565611</v>
      </c>
      <c r="D20" s="0" t="n">
        <f aca="false">1/(1+$B$27/100)^D4</f>
        <v>0.818984050285621</v>
      </c>
      <c r="E20" s="0" t="n">
        <f aca="false">1/(1+$B$27/100)^E4</f>
        <v>0.741162036457575</v>
      </c>
      <c r="F20" s="0" t="n">
        <f aca="false">1/(1+$B$27/100)^F4</f>
        <v>0.67073487462224</v>
      </c>
      <c r="G20" s="0" t="n">
        <f aca="false">1/(1+$B$27/100)^G4</f>
        <v>0.606999886535964</v>
      </c>
      <c r="H20" s="0" t="n">
        <f aca="false">1/(1+$B$27/100)^H4</f>
        <v>0.54932116428594</v>
      </c>
      <c r="I20" s="0" t="n">
        <f aca="false">1/(1+$B$27/100)^I4</f>
        <v>0.497123225598136</v>
      </c>
      <c r="J20" s="0" t="n">
        <f aca="false">1/(1+$B$27/100)^J4</f>
        <v>0.449885272034512</v>
      </c>
      <c r="K20" s="0" t="n">
        <f aca="false">1/(1+$B$27/100)^K4</f>
        <v>0.407135992791414</v>
      </c>
      <c r="L20" s="0" t="n">
        <f aca="false">1/(1+$B$27/100)^L4</f>
        <v>0.368448862254673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48143.3441158371</v>
      </c>
      <c r="D21" s="0" t="n">
        <f aca="false">D19*D20</f>
        <v>52364.2085392715</v>
      </c>
      <c r="E21" s="0" t="n">
        <f aca="false">E19*E20</f>
        <v>55830.3886991111</v>
      </c>
      <c r="F21" s="0" t="n">
        <f aca="false">F19*F20</f>
        <v>60234.6021256935</v>
      </c>
      <c r="G21" s="0" t="n">
        <f aca="false">G19*G20</f>
        <v>63643.9735070665</v>
      </c>
      <c r="H21" s="0" t="n">
        <f aca="false">H19*H20</f>
        <v>65954.6930638756</v>
      </c>
      <c r="I21" s="0" t="n">
        <f aca="false">I19*I20</f>
        <v>67651.0382998929</v>
      </c>
      <c r="J21" s="0" t="n">
        <f aca="false">J19*J20</f>
        <v>68731.5354995952</v>
      </c>
      <c r="K21" s="0" t="n">
        <f aca="false">K19*K20</f>
        <v>69205.7434409473</v>
      </c>
      <c r="L21" s="0" t="n">
        <f aca="false">L19*L20</f>
        <v>69093.6286674829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10.5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3.5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620853.155958774</v>
      </c>
    </row>
    <row r="31" customFormat="false" ht="15" hidden="false" customHeight="false" outlineLevel="0" collapsed="false">
      <c r="A31" s="0" t="s">
        <v>128</v>
      </c>
      <c r="B31" s="0" t="n">
        <f aca="false">L19</f>
        <v>187525.694189076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2772701.33550991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3000411.10702522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2772701.33550991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1021598.65244064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1642451.80839941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1642451.80839941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101.491732559532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1.02780684434629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27055.8625333248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32010.7008374417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105.141622207544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1687731.24770169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56.3843492259845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40.3410384207765</v>
      </c>
      <c r="C4" s="0" t="n">
        <f aca="false">B4/Assumptions!$B$2-1</f>
        <v>-0.193985246338133</v>
      </c>
      <c r="D4" s="4" t="n">
        <f aca="false">Assumptions!$B$24</f>
        <v>0.3</v>
      </c>
      <c r="E4" s="4" t="n">
        <f aca="false">DCF_Bear!$B$43</f>
        <v>42.7322474594293</v>
      </c>
      <c r="F4" s="4" t="n">
        <f aca="false">DCF_Bear!$B$47</f>
        <v>25.0174962961663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77.7333553753496</v>
      </c>
      <c r="C5" s="0" t="n">
        <f aca="false">B5/Assumptions!$B$2-1</f>
        <v>0.553113993513479</v>
      </c>
      <c r="D5" s="4" t="n">
        <f aca="false">Assumptions!$B$38</f>
        <v>0.5</v>
      </c>
      <c r="E5" s="4" t="n">
        <f aca="false">DCF_Base!$B$43</f>
        <v>80.8525159598216</v>
      </c>
      <c r="F5" s="4" t="n">
        <f aca="false">DCF_Base!$B$47</f>
        <v>44.7449695766783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101.491732559532</v>
      </c>
      <c r="C6" s="0" t="n">
        <f aca="false">B6/Assumptions!$B$2-1</f>
        <v>1.02780684434629</v>
      </c>
      <c r="D6" s="4" t="n">
        <f aca="false">Assumptions!$B$52</f>
        <v>0.2</v>
      </c>
      <c r="E6" s="4" t="n">
        <f aca="false">DCF_Bull!$B$43</f>
        <v>105.141622207544</v>
      </c>
      <c r="F6" s="4" t="n">
        <f aca="false">DCF_Bull!$B$47</f>
        <v>56.3843492259845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71.2673357258141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74.2742566592485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0.297714731576936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-705.616682164663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41.1546035223859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91.9229306430193</v>
      </c>
      <c r="C15" s="3" t="n">
        <v>9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84.1377673701263</v>
      </c>
      <c r="C16" s="3" t="n">
        <v>10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77.7333553753496</v>
      </c>
      <c r="C17" s="3" t="n">
        <v>10.5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72.1528880374893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62.9113108544135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44.7449695766783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2</v>
      </c>
      <c r="C23" s="3" t="n">
        <v>2.5</v>
      </c>
      <c r="D23" s="3" t="n">
        <v>3</v>
      </c>
      <c r="E23" s="3" t="n">
        <v>3.5</v>
      </c>
      <c r="F23" s="3" t="n">
        <v>4</v>
      </c>
    </row>
    <row r="24" customFormat="false" ht="15" hidden="false" customHeight="false" outlineLevel="0" collapsed="false">
      <c r="A24" s="3" t="n">
        <v>8.5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95.5615561720501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95.5615561720501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95.5615561720501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95.5615561720501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95.5615561720501</v>
      </c>
    </row>
    <row r="25" customFormat="false" ht="15" hidden="false" customHeight="false" outlineLevel="0" collapsed="false">
      <c r="A25" s="3" t="n">
        <v>9.5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83.313544545508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87.1410631811595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88.4518572344648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88.4518572344648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88.4518572344648</v>
      </c>
    </row>
    <row r="26" customFormat="false" ht="15" hidden="false" customHeight="false" outlineLevel="0" collapsed="false">
      <c r="A26" s="3" t="n">
        <v>10.5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71.9244674925065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74.6473836875892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77.7333553753496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81.2601801613615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81.9783119051196</v>
      </c>
    </row>
    <row r="27" customFormat="false" ht="15" hidden="false" customHeight="false" outlineLevel="0" collapsed="false">
      <c r="A27" s="3" t="n">
        <v>11.5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63.0213100838258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65.0182443473621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67.2501120536674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69.7609632232609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72.6065945488001</v>
      </c>
    </row>
    <row r="28" customFormat="false" ht="15" hidden="false" customHeight="false" outlineLevel="0" collapsed="false">
      <c r="A28" s="3" t="n">
        <v>12.5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55.8877518429093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57.3882714987956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59.0467405921435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60.8894840291967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62.9490208117856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2026-10-18T00:54:30Z</dcterms:created>
  <dc:creator>openpyxl</dc:creator>
  <dc:description/>
  <dc:language>en-NZ</dc:language>
  <cp:lastModifiedBy/>
  <dcterms:modified xsi:type="dcterms:W3CDTF">2026-10-18T00:54:30Z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