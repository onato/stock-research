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<sst xmlns="http://schemas.openxmlformats.org/spreadsheetml/2006/main" count="386" uniqueCount="173">
  <si>
    <t xml:space="preserve">Ticker</t>
  </si>
  <si>
    <t xml:space="preserve">ROST</t>
  </si>
  <si>
    <t xml:space="preserve">Company</t>
  </si>
  <si>
    <t xml:space="preserve">Ross Stores, Inc.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</si>
  <si>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</si>
  <si>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</si>
  <si>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</si>
  <si>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</si>
  <si>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2026-10-01T20:00:00Z regular close</t>
  </si>
  <si>
    <t xml:space="preserve">Balance sheet date</t>
  </si>
  <si>
    <t xml:space="preserve">2026-08-01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</si>
  <si>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</si>
  <si>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</si>
  <si>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</si>
  <si>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</si>
  <si>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</si>
  <si>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</si>
  <si>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</si>
  <si>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</si>
  <si>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</si>
  <si>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</si>
  <si>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2026-10-02T08:35:04Z</t>
  </si>
  <si>
    <t xml:space="preserve">Drivers file</t>
  </si>
  <si>
    <t xml:space="preserve">ROST_Drivers.json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</si>
  <si>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</si>
  <si>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</si>
  <si>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</si>
  <si>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Ross is a mature, net-cash, store-growth compounder: value is a steady owner-FCF stream with modest unit growth, so a 10-year component build at a 9% USD cost of capital with an 18x (base) terminal cap is appropriate. SBC is small (&lt;1% of revenue) so the house/street band is narrow; the valuation turns on the durable operating margin (11.5% vs 13.5% vs 14.5%) and on how much of FY2026's comp surge persists.
key_risks_to_valuation: FY2026 is flattered by a ~$253M one-time IEEPA tariff refund and a +10% traffic-led comp that may be a trade-down spike; High China-sourcing exposure: renewed tariff escalation would hit margin before mitigation; Close-out supply depends on full-price retail overproducing; tighter vendor inventory discipline starves the model; TJX and Burlington store expansion competing for real estate and goods; New CEO (Feb 2025) after a 40-year incumbent; strategy changes untested through a downturn; US-only, no e-commerce: no hedge against US consumer or policy shocks</t>
  </si>
  <si>
    <t xml:space="preserve">Data sources</t>
  </si>
  <si>
    <t xml:space="preserve">price: Yahoo Finance chart API at inputs.price_as_of (regular close); 52-week range 147.49-257.00
financials: SEC XBRL companyfacts (CIK 745732): 10-K FY ended 2026-01-31 and 10-Q Q2 FY2026 (period ended 2026-08-01, shares on cover 2026-08-14); ROST_Metrics.csv for history
qualitative: ROST_Analysis.json (Q2 FY2026 results, raised FY2026 guidance EPS $8.61-$8.77 incl ~$0.60 tariff refund, ~115 new stores, ~$1.1B capex, ~$1.275B buybacks)</t>
  </si>
  <si>
    <t xml:space="preserve">Scenario narrative: bear</t>
  </si>
  <si>
    <t xml:space="preserve">FY2026 proves the peak: once the tariff refund and the trade-down traffic wave pass, comps go flat in FY2027 (lapping +10%), China-heavy sourcing leaves Ross exposed to renewed tariff escalation, and TJX and Burlington's aggressive store openings compete away prime off-price real estate and close-out supply. Operating margin falls back to the 11.5% of FY2024-25; a US-only, store-only model has no international or online hedge, and the leadership transition after a 40-year incumbent adds execution risk.</t>
  </si>
  <si>
    <t xml:space="preserve">Scenario narrative: base</t>
  </si>
  <si>
    <t xml:space="preserve">The FY2026 surge (+10% traffic-led comps in Q2, op margin +205bp ex the tariff refund) is real but partly a trade-down spike; comps normalise to 2-3% against tough compares from FY2027 and Ross compounds on ~3% annual unit growth toward 2,900 Ross / 700 dd's stores. Tariffs turn roughly neutral entering FY2027 as China-plus-one sourcing (Vietnam, India, Malaysia) matures, and operating margin settles at ~13.5% - the pre-COVID band - with no e-commerce cost drag. Capex peaks at ~$1.1B this year and fades. Capital return continues (~$1.3B buybacks/yr) but is value-neutral in this model.</t>
  </si>
  <si>
    <t xml:space="preserve">Scenario narrative: bull</t>
  </si>
  <si>
    <t xml:space="preserve">Conroy's merchandising reset and a structurally richer close-out supply (department-store and specialty retail distress) keep comps at 3-4% for several years while dd's DISCOUNTS reaccelerates unit growth; Ross closes part of its margin gap to TJX's Marmaxx (~14.5% mature) as freight, packaway and DC efficiencies compound and tariff mitigation leaves AUR increases sticking. Revenue grows 7-8%/yr mid-decade and the store runway lasts longer.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</si>
  <si>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</si>
  <si>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</si>
  <si>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</si>
  <si>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</si>
  <si>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</si>
  <si>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</si>
  <si>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</si>
  <si>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</si>
  <si>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</si>
  <si>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</si>
  <si>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</si>
  <si>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</si>
  <si>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</si>
  <si>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</si>
  <si>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</si>
  <si>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</si>
  <si>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</si>
  <si>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</si>
  <si>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</si>
  <si>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</si>
  <si>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</si>
  <si>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</si>
  <si>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</si>
  <si>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</si>
  <si>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</si>
  <si>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</si>
  <si>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</si>
  <si>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</si>
  <si>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</si>
  <si>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</si>
  <si>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</si>
  <si>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</si>
  <si>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</si>
  <si>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</si>
  <si>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</si>
  <si>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</si>
  <si>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</si>
  <si>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</si>
  <si>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</si>
  <si>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</si>
  <si>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</si>
  <si>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</si>
  <si>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</si>
  <si>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</si>
  <si>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</si>
  <si>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</si>
  <si>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</si>
  <si>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</si>
  <si>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</si>
  <si>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</si>
  <si>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</si>
  <si>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</si>
  <si>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</si>
  <si>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</si>
  <si>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</si>
  <si>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</si>
  <si>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</si>
  <si>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</si>
  <si>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</si>
  <si>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</si>
  <si>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</si>
  <si>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</si>
  <si>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</si>
  <si>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</si>
  <si>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</si>
  <si>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</si>
  <si>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</si>
  <si>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</si>
  <si>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</si>
  <si>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</si>
  <si>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</si>
  <si>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</si>
  <si>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</si>
  <si>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</si>
  <si>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</si>
  <si>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</si>
  <si>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</si>
  <si>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</si>
  <si>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</si>
  <si>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</si>
  <si>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</si>
  <si>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</si>
  <si>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</si>
  <si>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ROST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</si>
  <si>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</si>
  <si>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</si>
  <si>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</si>
  <si>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</si>
  <si>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</si>
  <si>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</si>
  <si>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</si>
  <si>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</si>
  <si>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</si>
  <si>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</si>
  <si>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</si>
  <si>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</si>
  <si>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</si>
  <si>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</si>
  <si>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</si>
  <si>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</si>
  <si>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</si>
  <si>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</si>
  <si>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</si>
  <si>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</si>
  <si>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</si>
  <si>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</si>
  <si>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</si>
  <si>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</si>
  <si>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</si>
  <si>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</si>
  <si>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</si>
  <si>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</si>
  <si>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</si>
  <si>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</si>
  <si>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ROST owner-FCF component DCF: base case (millions, USD)</t>
  </si>
  <si>
    <t xml:space="preserve">ROST owner-FCF component DCF: bull case (millions, USD)</t>
  </si>
  <si>
    <t xml:space="preserve">ROST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</si>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</sst>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234.1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970.649</v>
      </c>
      <c r="S2" s="0" t="n">
        <v>257.58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6486.139</v>
      </c>
      <c r="I3" s="0" t="n">
        <v>305.441</v>
      </c>
      <c r="J3" s="0" t="n">
        <v>4.70913435558504</v>
      </c>
      <c r="K3" s="0" t="n">
        <v>2.36</v>
      </c>
      <c r="L3" s="0" t="n">
        <v>583.439</v>
      </c>
      <c r="M3" s="0" t="n">
        <v>224.418</v>
      </c>
      <c r="N3" s="0" t="n">
        <v>359.021</v>
      </c>
      <c r="O3" s="0" t="n">
        <v>996.369</v>
      </c>
      <c r="S3" s="0" t="n">
        <v>321.355</v>
      </c>
      <c r="T3" s="0" t="n">
        <v>131.315</v>
      </c>
      <c r="U3" s="0" t="n">
        <v>22.575</v>
      </c>
      <c r="V3" s="0" t="n">
        <v>0.395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7184.213</v>
      </c>
      <c r="I4" s="0" t="n">
        <v>442.757</v>
      </c>
      <c r="J4" s="0" t="n">
        <v>6.16291582668832</v>
      </c>
      <c r="K4" s="0" t="n">
        <v>1.8</v>
      </c>
      <c r="L4" s="0" t="n">
        <v>888.384</v>
      </c>
      <c r="M4" s="0" t="n">
        <v>158.487</v>
      </c>
      <c r="N4" s="0" t="n">
        <v>729.897</v>
      </c>
      <c r="O4" s="0" t="n">
        <v>1157.293</v>
      </c>
      <c r="P4" s="0" t="n">
        <v>2768.633</v>
      </c>
      <c r="R4" s="0" t="n">
        <v>150</v>
      </c>
      <c r="S4" s="0" t="n">
        <v>768.343</v>
      </c>
      <c r="T4" s="0" t="n">
        <v>250.028</v>
      </c>
      <c r="U4" s="0" t="n">
        <v>25.746</v>
      </c>
      <c r="V4" s="0" t="n">
        <v>0.245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7866.1</v>
      </c>
      <c r="I5" s="0" t="n">
        <v>554.797</v>
      </c>
      <c r="J5" s="0" t="n">
        <v>7.05301229325841</v>
      </c>
      <c r="K5" s="0" t="n">
        <v>2.35</v>
      </c>
      <c r="L5" s="0" t="n">
        <v>673.066</v>
      </c>
      <c r="M5" s="0" t="n">
        <v>198.651</v>
      </c>
      <c r="N5" s="0" t="n">
        <v>474.415</v>
      </c>
      <c r="O5" s="0" t="n">
        <v>1332.692</v>
      </c>
      <c r="P5" s="0" t="n">
        <v>3116.204</v>
      </c>
      <c r="R5" s="0" t="n">
        <v>150</v>
      </c>
      <c r="S5" s="0" t="n">
        <v>833.924</v>
      </c>
      <c r="T5" s="0" t="n">
        <v>239.805</v>
      </c>
      <c r="U5" s="0" t="n">
        <v>36.551</v>
      </c>
      <c r="V5" s="0" t="n">
        <v>0.35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8608.291</v>
      </c>
      <c r="I6" s="0" t="n">
        <v>657.17</v>
      </c>
      <c r="J6" s="0" t="n">
        <v>7.63415177298258</v>
      </c>
      <c r="K6" s="0" t="n">
        <v>2.91</v>
      </c>
      <c r="L6" s="0" t="n">
        <v>820.105</v>
      </c>
      <c r="M6" s="0" t="n">
        <v>416.271</v>
      </c>
      <c r="N6" s="0" t="n">
        <v>403.834</v>
      </c>
      <c r="O6" s="0" t="n">
        <v>1493.012</v>
      </c>
      <c r="P6" s="0" t="n">
        <v>3301.209</v>
      </c>
      <c r="R6" s="0" t="n">
        <v>150</v>
      </c>
      <c r="S6" s="0" t="n">
        <v>649.835</v>
      </c>
      <c r="T6" s="0" t="n">
        <v>229.982</v>
      </c>
      <c r="U6" s="0" t="n">
        <v>40.404</v>
      </c>
      <c r="V6" s="0" t="n">
        <v>0.47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9721.065</v>
      </c>
      <c r="I7" s="0" t="n">
        <v>786.763</v>
      </c>
      <c r="J7" s="0" t="n">
        <v>8.09338277236085</v>
      </c>
      <c r="K7" s="0" t="n">
        <v>3.59</v>
      </c>
      <c r="L7" s="0" t="n">
        <v>979.644</v>
      </c>
      <c r="M7" s="0" t="n">
        <v>424.434</v>
      </c>
      <c r="N7" s="0" t="n">
        <v>555.21</v>
      </c>
      <c r="O7" s="0" t="n">
        <v>1766.863</v>
      </c>
      <c r="P7" s="0" t="n">
        <v>3670.561</v>
      </c>
      <c r="R7" s="0" t="n">
        <v>150</v>
      </c>
      <c r="S7" s="0" t="n">
        <v>646.761</v>
      </c>
      <c r="T7" s="0" t="n">
        <v>222.784</v>
      </c>
      <c r="U7" s="0" t="n">
        <v>48.952</v>
      </c>
      <c r="V7" s="0" t="n">
        <v>0.59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10230.353</v>
      </c>
      <c r="I8" s="0" t="n">
        <v>837.304</v>
      </c>
      <c r="J8" s="0" t="n">
        <v>8.18450741631301</v>
      </c>
      <c r="K8" s="0" t="n">
        <v>1.97</v>
      </c>
      <c r="L8" s="0" t="n">
        <v>1022.003</v>
      </c>
      <c r="M8" s="0" t="n">
        <v>550.515</v>
      </c>
      <c r="N8" s="0" t="n">
        <v>471.488</v>
      </c>
      <c r="O8" s="0" t="n">
        <v>2007.302</v>
      </c>
      <c r="P8" s="0" t="n">
        <v>3896.797</v>
      </c>
      <c r="R8" s="0" t="n">
        <v>150</v>
      </c>
      <c r="S8" s="0" t="n">
        <v>423.168</v>
      </c>
      <c r="T8" s="0" t="n">
        <v>431.61</v>
      </c>
      <c r="U8" s="0" t="n">
        <v>46.847</v>
      </c>
      <c r="V8" s="0" t="n">
        <v>0.255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11041.677</v>
      </c>
      <c r="I9" s="0" t="n">
        <v>924.724</v>
      </c>
      <c r="J9" s="0" t="n">
        <v>8.37485103032809</v>
      </c>
      <c r="K9" s="0" t="n">
        <v>2.24</v>
      </c>
      <c r="L9" s="0" t="n">
        <v>1372.865</v>
      </c>
      <c r="M9" s="0" t="n">
        <v>646.691</v>
      </c>
      <c r="N9" s="0" t="n">
        <v>726.174</v>
      </c>
      <c r="O9" s="0" t="n">
        <v>2279.21</v>
      </c>
      <c r="P9" s="0" t="n">
        <v>4687.37</v>
      </c>
      <c r="R9" s="0" t="n">
        <v>395.562</v>
      </c>
      <c r="S9" s="0" t="n">
        <v>696.608</v>
      </c>
      <c r="T9" s="0" t="n">
        <v>418.077</v>
      </c>
      <c r="U9" s="0" t="n">
        <v>53.001</v>
      </c>
      <c r="V9" s="0" t="n">
        <v>0.4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11939.999</v>
      </c>
      <c r="I10" s="0" t="n">
        <v>1020.661</v>
      </c>
      <c r="J10" s="0" t="n">
        <v>8.54825029717339</v>
      </c>
      <c r="K10" s="0" t="n">
        <v>2.53</v>
      </c>
      <c r="L10" s="0" t="n">
        <v>1326.252</v>
      </c>
      <c r="M10" s="0" t="n">
        <v>366.96</v>
      </c>
      <c r="N10" s="0" t="n">
        <v>959.292</v>
      </c>
      <c r="O10" s="0" t="n">
        <v>2471.991</v>
      </c>
      <c r="P10" s="0" t="n">
        <v>4869.119</v>
      </c>
      <c r="R10" s="0" t="n">
        <v>396.025</v>
      </c>
      <c r="S10" s="0" t="n">
        <v>761.602</v>
      </c>
      <c r="T10" s="0" t="n">
        <v>406.405</v>
      </c>
      <c r="U10" s="0" t="n">
        <v>70.937</v>
      </c>
      <c r="V10" s="0" t="n">
        <v>0.47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12866.757</v>
      </c>
      <c r="C11" s="0" t="n">
        <v>9173.705</v>
      </c>
      <c r="I11" s="0" t="n">
        <v>1117.654</v>
      </c>
      <c r="J11" s="0" t="n">
        <v>8.68636906720163</v>
      </c>
      <c r="K11" s="0" t="n">
        <v>2.85</v>
      </c>
      <c r="L11" s="0" t="n">
        <v>1558.901</v>
      </c>
      <c r="M11" s="0" t="n">
        <v>297.88</v>
      </c>
      <c r="N11" s="0" t="n">
        <v>1261.021</v>
      </c>
      <c r="O11" s="0" t="n">
        <v>2748.017</v>
      </c>
      <c r="P11" s="0" t="n">
        <v>5309.351</v>
      </c>
      <c r="R11" s="0" t="n">
        <v>396.493</v>
      </c>
      <c r="S11" s="0" t="n">
        <v>1111.599</v>
      </c>
      <c r="T11" s="0" t="n">
        <v>394.958</v>
      </c>
      <c r="U11" s="0" t="n">
        <v>74.554</v>
      </c>
      <c r="V11" s="0" t="n">
        <v>0.54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14134.732</v>
      </c>
      <c r="C12" s="0" t="n">
        <v>10042.638</v>
      </c>
      <c r="I12" s="0" t="n">
        <v>1362.753</v>
      </c>
      <c r="J12" s="0" t="n">
        <v>9.64116617138549</v>
      </c>
      <c r="K12" s="0" t="n">
        <v>3.58</v>
      </c>
      <c r="L12" s="0" t="n">
        <v>1681.338</v>
      </c>
      <c r="M12" s="0" t="n">
        <v>371.423</v>
      </c>
      <c r="N12" s="0" t="n">
        <v>1309.915</v>
      </c>
      <c r="O12" s="0" t="n">
        <v>3049.308</v>
      </c>
      <c r="P12" s="0" t="n">
        <v>5722.051</v>
      </c>
      <c r="R12" s="0" t="n">
        <v>481.94</v>
      </c>
      <c r="S12" s="0" t="n">
        <v>1290.294</v>
      </c>
      <c r="T12" s="0" t="n">
        <v>384.329</v>
      </c>
      <c r="U12" s="0" t="n">
        <v>87.417</v>
      </c>
      <c r="V12" s="0" t="n">
        <v>0.64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14983.541</v>
      </c>
      <c r="C13" s="0" t="n">
        <v>10726.277</v>
      </c>
      <c r="I13" s="0" t="n">
        <v>1587.457</v>
      </c>
      <c r="J13" s="0" t="n">
        <v>10.5946718469286</v>
      </c>
      <c r="K13" s="0" t="n">
        <v>4.3</v>
      </c>
      <c r="L13" s="0" t="n">
        <v>2066.677</v>
      </c>
      <c r="M13" s="0" t="n">
        <v>413.898</v>
      </c>
      <c r="N13" s="0" t="n">
        <v>1652.779</v>
      </c>
      <c r="O13" s="0" t="n">
        <v>3305.746</v>
      </c>
      <c r="P13" s="0" t="n">
        <v>6073.691</v>
      </c>
      <c r="R13" s="0" t="n">
        <v>312.44</v>
      </c>
      <c r="S13" s="0" t="n">
        <v>1412.912</v>
      </c>
      <c r="T13" s="0" t="n">
        <v>372.678</v>
      </c>
      <c r="U13" s="0" t="n">
        <v>95.585</v>
      </c>
      <c r="V13" s="0" t="n">
        <v>0.9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16039.073</v>
      </c>
      <c r="C14" s="0" t="n">
        <v>11536.187</v>
      </c>
      <c r="I14" s="0" t="n">
        <v>1660.928</v>
      </c>
      <c r="J14" s="0" t="n">
        <v>10.3555111944437</v>
      </c>
      <c r="K14" s="0" t="n">
        <v>4.63</v>
      </c>
      <c r="L14" s="0" t="n">
        <v>2171.546</v>
      </c>
      <c r="M14" s="0" t="n">
        <v>555.483</v>
      </c>
      <c r="N14" s="0" t="n">
        <v>1616.063</v>
      </c>
      <c r="O14" s="0" t="n">
        <v>3359.249</v>
      </c>
      <c r="P14" s="0" t="n">
        <v>9348.367</v>
      </c>
      <c r="R14" s="0" t="n">
        <v>312.891</v>
      </c>
      <c r="S14" s="0" t="n">
        <v>1351.205</v>
      </c>
      <c r="T14" s="0" t="n">
        <v>361.182</v>
      </c>
      <c r="U14" s="0" t="n">
        <v>95.438</v>
      </c>
      <c r="V14" s="0" t="n">
        <v>1.02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12531.565</v>
      </c>
      <c r="C15" s="0" t="n">
        <v>9838.574</v>
      </c>
      <c r="I15" s="0" t="n">
        <v>85.382</v>
      </c>
      <c r="J15" s="0" t="n">
        <v>0.68133549161657</v>
      </c>
      <c r="K15" s="0" t="n">
        <v>0.24</v>
      </c>
      <c r="L15" s="0" t="n">
        <v>2245.933</v>
      </c>
      <c r="M15" s="0" t="n">
        <v>405.433</v>
      </c>
      <c r="N15" s="0" t="n">
        <v>1840.5</v>
      </c>
      <c r="O15" s="0" t="n">
        <v>3290.64</v>
      </c>
      <c r="P15" s="0" t="n">
        <v>12717.867</v>
      </c>
      <c r="R15" s="0" t="n">
        <v>2577.995</v>
      </c>
      <c r="S15" s="0" t="n">
        <v>4819.293</v>
      </c>
      <c r="T15" s="0" t="n">
        <v>356.503</v>
      </c>
      <c r="U15" s="0" t="n">
        <v>101.568</v>
      </c>
      <c r="V15" s="0" t="n">
        <v>0.285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18916.244</v>
      </c>
      <c r="C16" s="0" t="n">
        <v>13708.907</v>
      </c>
      <c r="I16" s="0" t="n">
        <v>1722.589</v>
      </c>
      <c r="J16" s="0" t="n">
        <v>9.10640082671803</v>
      </c>
      <c r="K16" s="0" t="n">
        <v>4.9</v>
      </c>
      <c r="L16" s="0" t="n">
        <v>1738.849</v>
      </c>
      <c r="M16" s="0" t="n">
        <v>557.84</v>
      </c>
      <c r="N16" s="0" t="n">
        <v>1181.009</v>
      </c>
      <c r="O16" s="0" t="n">
        <v>4060.05</v>
      </c>
      <c r="P16" s="0" t="n">
        <v>13640.256</v>
      </c>
      <c r="R16" s="0" t="n">
        <v>2452.325</v>
      </c>
      <c r="S16" s="0" t="n">
        <v>4922.365</v>
      </c>
      <c r="T16" s="0" t="n">
        <v>353.734</v>
      </c>
      <c r="U16" s="0" t="n">
        <v>134.217</v>
      </c>
      <c r="V16" s="0" t="n">
        <v>1.14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18695.829</v>
      </c>
      <c r="C17" s="0" t="n">
        <v>13946.23</v>
      </c>
      <c r="F17" s="0" t="n">
        <v>1990.331</v>
      </c>
      <c r="G17" s="0" t="n">
        <v>10.6458558216381</v>
      </c>
      <c r="H17" s="0" t="n">
        <v>2384.986</v>
      </c>
      <c r="I17" s="0" t="n">
        <v>1512.041</v>
      </c>
      <c r="J17" s="0" t="n">
        <v>8.0875846692864</v>
      </c>
      <c r="K17" s="0" t="n">
        <v>4.4</v>
      </c>
      <c r="L17" s="0" t="n">
        <v>1689.373</v>
      </c>
      <c r="M17" s="0" t="n">
        <v>654.07</v>
      </c>
      <c r="N17" s="0" t="n">
        <v>1035.303</v>
      </c>
      <c r="O17" s="0" t="n">
        <v>4288.583</v>
      </c>
      <c r="P17" s="0" t="n">
        <v>13416.463</v>
      </c>
      <c r="R17" s="0" t="n">
        <v>2456.51</v>
      </c>
      <c r="S17" s="0" t="n">
        <v>4551.876</v>
      </c>
      <c r="T17" s="0" t="n">
        <v>345.222</v>
      </c>
      <c r="U17" s="0" t="n">
        <v>121.936</v>
      </c>
      <c r="V17" s="0" t="n">
        <v>1.24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20376.941</v>
      </c>
      <c r="C18" s="0" t="n">
        <v>14801.601</v>
      </c>
      <c r="F18" s="0" t="n">
        <v>2307.663</v>
      </c>
      <c r="G18" s="0" t="n">
        <v>11.3248745236098</v>
      </c>
      <c r="H18" s="0" t="n">
        <v>2727.095</v>
      </c>
      <c r="I18" s="0" t="n">
        <v>1874.52</v>
      </c>
      <c r="J18" s="0" t="n">
        <v>9.199221806649</v>
      </c>
      <c r="K18" s="0" t="n">
        <v>5.59</v>
      </c>
      <c r="L18" s="0" t="n">
        <v>2514.49</v>
      </c>
      <c r="M18" s="0" t="n">
        <v>762.812</v>
      </c>
      <c r="N18" s="0" t="n">
        <v>1751.678</v>
      </c>
      <c r="O18" s="0" t="n">
        <v>4871.326</v>
      </c>
      <c r="P18" s="0" t="n">
        <v>14300.109</v>
      </c>
      <c r="R18" s="0" t="n">
        <v>2710.443</v>
      </c>
      <c r="S18" s="0" t="n">
        <v>4872.446</v>
      </c>
      <c r="T18" s="0" t="n">
        <v>337.433</v>
      </c>
      <c r="U18" s="0" t="n">
        <v>145.49</v>
      </c>
      <c r="V18" s="0" t="n">
        <v>1.34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21129.219</v>
      </c>
      <c r="C19" s="0" t="n">
        <v>15260.506</v>
      </c>
      <c r="F19" s="0" t="n">
        <v>2585.586</v>
      </c>
      <c r="G19" s="0" t="n">
        <v>12.2370164273464</v>
      </c>
      <c r="H19" s="0" t="n">
        <v>3032.374</v>
      </c>
      <c r="I19" s="0" t="n">
        <v>2090.73</v>
      </c>
      <c r="J19" s="0" t="n">
        <v>9.8949705618556</v>
      </c>
      <c r="K19" s="0" t="n">
        <v>6.36</v>
      </c>
      <c r="L19" s="0" t="n">
        <v>2356.988</v>
      </c>
      <c r="M19" s="0" t="n">
        <v>720.104</v>
      </c>
      <c r="N19" s="0" t="n">
        <v>1636.884</v>
      </c>
      <c r="O19" s="0" t="n">
        <v>5509.195</v>
      </c>
      <c r="P19" s="0" t="n">
        <v>14905.332</v>
      </c>
      <c r="R19" s="0" t="n">
        <v>2914.542</v>
      </c>
      <c r="S19" s="0" t="n">
        <v>4730.744</v>
      </c>
      <c r="T19" s="0" t="n">
        <v>330.984</v>
      </c>
      <c r="U19" s="0" t="n">
        <v>156.298</v>
      </c>
      <c r="V19" s="0" t="n">
        <v>1.47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22750.559</v>
      </c>
      <c r="C20" s="0" t="n">
        <v>16447.256</v>
      </c>
      <c r="F20" s="0" t="n">
        <v>2707.357</v>
      </c>
      <c r="G20" s="0" t="n">
        <v>11.9001779252985</v>
      </c>
      <c r="H20" s="0" t="n">
        <v>3216.748</v>
      </c>
      <c r="I20" s="0" t="n">
        <v>2145.044</v>
      </c>
      <c r="J20" s="0" t="n">
        <v>9.4285331626357</v>
      </c>
      <c r="K20" s="0" t="n">
        <v>6.66</v>
      </c>
      <c r="L20" s="0" t="n">
        <v>3026.883</v>
      </c>
      <c r="M20" s="0" t="n">
        <v>819.275</v>
      </c>
      <c r="N20" s="0" t="n">
        <v>2207.608</v>
      </c>
      <c r="O20" s="0" t="n">
        <v>6187.443</v>
      </c>
      <c r="P20" s="0" t="n">
        <v>15548.737</v>
      </c>
      <c r="R20" s="0" t="n">
        <v>2017.349</v>
      </c>
      <c r="S20" s="0" t="n">
        <v>4594.392</v>
      </c>
      <c r="T20" s="0" t="n">
        <v>324.416</v>
      </c>
      <c r="U20" s="0" t="n">
        <v>175.354</v>
      </c>
      <c r="V20" s="0" t="n">
        <v>1.62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234.1</v>
      </c>
    </row>
    <row r="3" customFormat="false" ht="15" hidden="false" customHeight="false" outlineLevel="0" collapsed="false">
      <c r="A3" s="0" t="s">
        <v>85</v>
      </c>
      <c r="B3" s="3" t="n">
        <v>320.5</v>
      </c>
    </row>
    <row r="4" customFormat="false" ht="15" hidden="false" customHeight="false" outlineLevel="0" collapsed="false">
      <c r="A4" s="0" t="s">
        <v>86</v>
      </c>
      <c r="B4" s="3" t="n">
        <v>-3269.6</v>
      </c>
    </row>
    <row r="5" customFormat="false" ht="15" hidden="false" customHeight="false" outlineLevel="0" collapsed="false">
      <c r="A5" s="0" t="s">
        <v>87</v>
      </c>
      <c r="B5" s="3" t="n">
        <v>0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22750.559</v>
      </c>
    </row>
    <row r="8" customFormat="false" ht="15" hidden="false" customHeight="false" outlineLevel="0" collapsed="false">
      <c r="A8" s="0" t="s">
        <v>90</v>
      </c>
      <c r="B8" s="3" t="s">
        <v>81</v>
      </c>
    </row>
    <row r="9" customFormat="false" ht="15" hidden="false" customHeight="false" outlineLevel="0" collapsed="false">
      <c r="A9" s="0" t="s">
        <v>91</v>
      </c>
      <c r="B9" s="3" t="s">
        <v>92</v>
      </c>
    </row>
    <row r="10" customFormat="false" ht="15" hidden="false" customHeight="false" outlineLevel="0" collapsed="false">
      <c r="A10" s="0" t="s">
        <v>93</v>
      </c>
      <c r="B10" s="3" t="n">
        <v>1</v>
      </c>
    </row>
    <row r="12" customFormat="false" ht="15" hidden="false" customHeight="false" outlineLevel="0" collapsed="false">
      <c r="A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customFormat="false" ht="15" hidden="false" customHeight="false" outlineLevel="0" collapsed="false">
      <c r="A13" s="0" t="s">
        <v>105</v>
      </c>
      <c r="C13" s="3" t="n">
        <v>11.5</v>
      </c>
      <c r="D13" s="3" t="n">
        <v>1</v>
      </c>
      <c r="E13" s="3" t="n">
        <v>3</v>
      </c>
      <c r="F13" s="3" t="n">
        <v>3.5</v>
      </c>
      <c r="G13" s="3" t="n">
        <v>3.5</v>
      </c>
      <c r="H13" s="3" t="n">
        <v>3.5</v>
      </c>
      <c r="I13" s="3" t="n">
        <v>3</v>
      </c>
      <c r="J13" s="3" t="n">
        <v>3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106</v>
      </c>
      <c r="C14" s="3" t="n">
        <v>16.4</v>
      </c>
      <c r="D14" s="3" t="n">
        <v>14.95</v>
      </c>
      <c r="E14" s="3" t="n">
        <v>14.8</v>
      </c>
      <c r="F14" s="3" t="n">
        <v>14.75</v>
      </c>
      <c r="G14" s="3" t="n">
        <v>14.8</v>
      </c>
      <c r="H14" s="3" t="n">
        <v>14.85</v>
      </c>
      <c r="I14" s="3" t="n">
        <v>14.85</v>
      </c>
      <c r="J14" s="3" t="n">
        <v>14.85</v>
      </c>
      <c r="K14" s="3" t="n">
        <v>14.85</v>
      </c>
      <c r="L14" s="3" t="n">
        <v>14.85</v>
      </c>
    </row>
    <row r="15" customFormat="false" ht="15" hidden="false" customHeight="false" outlineLevel="0" collapsed="false">
      <c r="A15" s="0" t="s">
        <v>107</v>
      </c>
      <c r="C15" s="3" t="n">
        <v>0.85</v>
      </c>
      <c r="D15" s="3" t="n">
        <v>0.85</v>
      </c>
      <c r="E15" s="3" t="n">
        <v>0.85</v>
      </c>
      <c r="F15" s="3" t="n">
        <v>0.85</v>
      </c>
      <c r="G15" s="3" t="n">
        <v>0.85</v>
      </c>
      <c r="H15" s="3" t="n">
        <v>0.85</v>
      </c>
      <c r="I15" s="3" t="n">
        <v>0.85</v>
      </c>
      <c r="J15" s="3" t="n">
        <v>0.85</v>
      </c>
      <c r="K15" s="3" t="n">
        <v>0.85</v>
      </c>
      <c r="L15" s="3" t="n">
        <v>0.85</v>
      </c>
    </row>
    <row r="16" customFormat="false" ht="15" hidden="false" customHeight="false" outlineLevel="0" collapsed="false">
      <c r="A16" s="0" t="s">
        <v>108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109</v>
      </c>
      <c r="C17" s="3" t="n">
        <v>2.25</v>
      </c>
      <c r="D17" s="3" t="n">
        <v>2.3</v>
      </c>
      <c r="E17" s="3" t="n">
        <v>2.35</v>
      </c>
      <c r="F17" s="3" t="n">
        <v>2.4</v>
      </c>
      <c r="G17" s="3" t="n">
        <v>2.45</v>
      </c>
      <c r="H17" s="3" t="n">
        <v>2.5</v>
      </c>
      <c r="I17" s="3" t="n">
        <v>2.5</v>
      </c>
      <c r="J17" s="3" t="n">
        <v>2.5</v>
      </c>
      <c r="K17" s="3" t="n">
        <v>2.5</v>
      </c>
      <c r="L17" s="3" t="n">
        <v>2.5</v>
      </c>
    </row>
    <row r="18" customFormat="false" ht="15" hidden="false" customHeight="false" outlineLevel="0" collapsed="false">
      <c r="A18" s="0" t="s">
        <v>110</v>
      </c>
      <c r="C18" s="3" t="n">
        <v>4.3</v>
      </c>
      <c r="D18" s="3" t="n">
        <v>3.8</v>
      </c>
      <c r="E18" s="3" t="n">
        <v>3.5</v>
      </c>
      <c r="F18" s="3" t="n">
        <v>3.3</v>
      </c>
      <c r="G18" s="3" t="n">
        <v>3.2</v>
      </c>
      <c r="H18" s="3" t="n">
        <v>3.1</v>
      </c>
      <c r="I18" s="3" t="n">
        <v>3</v>
      </c>
      <c r="J18" s="3" t="n">
        <v>3</v>
      </c>
      <c r="K18" s="3" t="n">
        <v>3</v>
      </c>
      <c r="L18" s="3" t="n">
        <v>3</v>
      </c>
    </row>
    <row r="19" customFormat="false" ht="15" hidden="false" customHeight="false" outlineLevel="0" collapsed="false">
      <c r="A19" s="0" t="s">
        <v>111</v>
      </c>
      <c r="C19" s="3" t="n">
        <v>24.5</v>
      </c>
      <c r="D19" s="3" t="n">
        <v>24.5</v>
      </c>
      <c r="E19" s="3" t="n">
        <v>24.5</v>
      </c>
      <c r="F19" s="3" t="n">
        <v>24.5</v>
      </c>
      <c r="G19" s="3" t="n">
        <v>24.5</v>
      </c>
      <c r="H19" s="3" t="n">
        <v>24.5</v>
      </c>
      <c r="I19" s="3" t="n">
        <v>24.5</v>
      </c>
      <c r="J19" s="3" t="n">
        <v>24.5</v>
      </c>
      <c r="K19" s="3" t="n">
        <v>24.5</v>
      </c>
      <c r="L19" s="3" t="n">
        <v>24.5</v>
      </c>
    </row>
    <row r="20" customFormat="false" ht="15" hidden="false" customHeight="false" outlineLevel="0" collapsed="false">
      <c r="A20" s="0" t="s">
        <v>112</v>
      </c>
      <c r="B20" s="3" t="n">
        <v>9</v>
      </c>
    </row>
    <row r="21" customFormat="false" ht="15" hidden="false" customHeight="false" outlineLevel="0" collapsed="false">
      <c r="A21" s="0" t="s">
        <v>113</v>
      </c>
      <c r="B21" s="3" t="n">
        <v>2.5</v>
      </c>
    </row>
    <row r="22" customFormat="false" ht="15" hidden="false" customHeight="false" outlineLevel="0" collapsed="false">
      <c r="A22" s="0" t="s">
        <v>114</v>
      </c>
      <c r="B22" s="3" t="n">
        <v>15</v>
      </c>
    </row>
    <row r="23" customFormat="false" ht="15" hidden="false" customHeight="false" outlineLevel="0" collapsed="false">
      <c r="A23" s="0" t="s">
        <v>115</v>
      </c>
      <c r="B23" s="3" t="n">
        <v>-5</v>
      </c>
    </row>
    <row r="24" customFormat="false" ht="15" hidden="false" customHeight="false" outlineLevel="0" collapsed="false">
      <c r="A24" s="0" t="s">
        <v>116</v>
      </c>
      <c r="B24" s="3" t="n">
        <v>0.2</v>
      </c>
    </row>
    <row r="26" customFormat="false" ht="15" hidden="false" customHeight="false" outlineLevel="0" collapsed="false">
      <c r="A26" s="2" t="s">
        <v>117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104</v>
      </c>
    </row>
    <row r="27" customFormat="false" ht="15" hidden="false" customHeight="false" outlineLevel="0" collapsed="false">
      <c r="A27" s="0" t="s">
        <v>105</v>
      </c>
      <c r="C27" s="3" t="n">
        <v>12.5</v>
      </c>
      <c r="D27" s="3" t="n">
        <v>6.5</v>
      </c>
      <c r="E27" s="3" t="n">
        <v>6</v>
      </c>
      <c r="F27" s="3" t="n">
        <v>5.5</v>
      </c>
      <c r="G27" s="3" t="n">
        <v>5</v>
      </c>
      <c r="H27" s="3" t="n">
        <v>5</v>
      </c>
      <c r="I27" s="3" t="n">
        <v>4.5</v>
      </c>
      <c r="J27" s="3" t="n">
        <v>4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106</v>
      </c>
      <c r="C28" s="3" t="n">
        <v>16.8</v>
      </c>
      <c r="D28" s="3" t="n">
        <v>16.15</v>
      </c>
      <c r="E28" s="3" t="n">
        <v>16.4</v>
      </c>
      <c r="F28" s="3" t="n">
        <v>16.55</v>
      </c>
      <c r="G28" s="3" t="n">
        <v>16.7</v>
      </c>
      <c r="H28" s="3" t="n">
        <v>16.85</v>
      </c>
      <c r="I28" s="3" t="n">
        <v>16.85</v>
      </c>
      <c r="J28" s="3" t="n">
        <v>16.85</v>
      </c>
      <c r="K28" s="3" t="n">
        <v>16.85</v>
      </c>
      <c r="L28" s="3" t="n">
        <v>16.85</v>
      </c>
    </row>
    <row r="29" customFormat="false" ht="15" hidden="false" customHeight="false" outlineLevel="0" collapsed="false">
      <c r="A29" s="0" t="s">
        <v>107</v>
      </c>
      <c r="C29" s="3" t="n">
        <v>0.85</v>
      </c>
      <c r="D29" s="3" t="n">
        <v>0.85</v>
      </c>
      <c r="E29" s="3" t="n">
        <v>0.85</v>
      </c>
      <c r="F29" s="3" t="n">
        <v>0.85</v>
      </c>
      <c r="G29" s="3" t="n">
        <v>0.85</v>
      </c>
      <c r="H29" s="3" t="n">
        <v>0.85</v>
      </c>
      <c r="I29" s="3" t="n">
        <v>0.85</v>
      </c>
      <c r="J29" s="3" t="n">
        <v>0.85</v>
      </c>
      <c r="K29" s="3" t="n">
        <v>0.85</v>
      </c>
      <c r="L29" s="3" t="n">
        <v>0.85</v>
      </c>
    </row>
    <row r="30" customFormat="false" ht="15" hidden="false" customHeight="false" outlineLevel="0" collapsed="false">
      <c r="A30" s="0" t="s">
        <v>108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109</v>
      </c>
      <c r="C31" s="3" t="n">
        <v>2.25</v>
      </c>
      <c r="D31" s="3" t="n">
        <v>2.3</v>
      </c>
      <c r="E31" s="3" t="n">
        <v>2.35</v>
      </c>
      <c r="F31" s="3" t="n">
        <v>2.4</v>
      </c>
      <c r="G31" s="3" t="n">
        <v>2.45</v>
      </c>
      <c r="H31" s="3" t="n">
        <v>2.5</v>
      </c>
      <c r="I31" s="3" t="n">
        <v>2.5</v>
      </c>
      <c r="J31" s="3" t="n">
        <v>2.5</v>
      </c>
      <c r="K31" s="3" t="n">
        <v>2.5</v>
      </c>
      <c r="L31" s="3" t="n">
        <v>2.5</v>
      </c>
    </row>
    <row r="32" customFormat="false" ht="15" hidden="false" customHeight="false" outlineLevel="0" collapsed="false">
      <c r="A32" s="0" t="s">
        <v>110</v>
      </c>
      <c r="C32" s="3" t="n">
        <v>4.3</v>
      </c>
      <c r="D32" s="3" t="n">
        <v>4</v>
      </c>
      <c r="E32" s="3" t="n">
        <v>3.8</v>
      </c>
      <c r="F32" s="3" t="n">
        <v>3.7</v>
      </c>
      <c r="G32" s="3" t="n">
        <v>3.6</v>
      </c>
      <c r="H32" s="3" t="n">
        <v>3.5</v>
      </c>
      <c r="I32" s="3" t="n">
        <v>3.4</v>
      </c>
      <c r="J32" s="3" t="n">
        <v>3.3</v>
      </c>
      <c r="K32" s="3" t="n">
        <v>3.2</v>
      </c>
      <c r="L32" s="3" t="n">
        <v>3.1</v>
      </c>
    </row>
    <row r="33" customFormat="false" ht="15" hidden="false" customHeight="false" outlineLevel="0" collapsed="false">
      <c r="A33" s="0" t="s">
        <v>111</v>
      </c>
      <c r="C33" s="3" t="n">
        <v>24.5</v>
      </c>
      <c r="D33" s="3" t="n">
        <v>24.5</v>
      </c>
      <c r="E33" s="3" t="n">
        <v>24.5</v>
      </c>
      <c r="F33" s="3" t="n">
        <v>24.5</v>
      </c>
      <c r="G33" s="3" t="n">
        <v>24.5</v>
      </c>
      <c r="H33" s="3" t="n">
        <v>24.5</v>
      </c>
      <c r="I33" s="3" t="n">
        <v>24.5</v>
      </c>
      <c r="J33" s="3" t="n">
        <v>24.5</v>
      </c>
      <c r="K33" s="3" t="n">
        <v>24.5</v>
      </c>
      <c r="L33" s="3" t="n">
        <v>24.5</v>
      </c>
    </row>
    <row r="34" customFormat="false" ht="15" hidden="false" customHeight="false" outlineLevel="0" collapsed="false">
      <c r="A34" s="0" t="s">
        <v>112</v>
      </c>
      <c r="B34" s="3" t="n">
        <v>9</v>
      </c>
    </row>
    <row r="35" customFormat="false" ht="15" hidden="false" customHeight="false" outlineLevel="0" collapsed="false">
      <c r="A35" s="0" t="s">
        <v>113</v>
      </c>
      <c r="B35" s="3" t="n">
        <v>3</v>
      </c>
    </row>
    <row r="36" customFormat="false" ht="15" hidden="false" customHeight="false" outlineLevel="0" collapsed="false">
      <c r="A36" s="0" t="s">
        <v>114</v>
      </c>
      <c r="B36" s="3" t="n">
        <v>18</v>
      </c>
    </row>
    <row r="37" customFormat="false" ht="15" hidden="false" customHeight="false" outlineLevel="0" collapsed="false">
      <c r="A37" s="0" t="s">
        <v>115</v>
      </c>
      <c r="B37" s="3" t="n">
        <v>-5</v>
      </c>
    </row>
    <row r="38" customFormat="false" ht="15" hidden="false" customHeight="false" outlineLevel="0" collapsed="false">
      <c r="A38" s="0" t="s">
        <v>116</v>
      </c>
      <c r="B38" s="3" t="n">
        <v>0.55</v>
      </c>
    </row>
    <row r="40" customFormat="false" ht="15" hidden="false" customHeight="false" outlineLevel="0" collapsed="false">
      <c r="A40" s="2" t="s">
        <v>118</v>
      </c>
      <c r="C40" s="2" t="s">
        <v>95</v>
      </c>
      <c r="D40" s="2" t="s">
        <v>96</v>
      </c>
      <c r="E40" s="2" t="s">
        <v>97</v>
      </c>
      <c r="F40" s="2" t="s">
        <v>98</v>
      </c>
      <c r="G40" s="2" t="s">
        <v>99</v>
      </c>
      <c r="H40" s="2" t="s">
        <v>100</v>
      </c>
      <c r="I40" s="2" t="s">
        <v>101</v>
      </c>
      <c r="J40" s="2" t="s">
        <v>102</v>
      </c>
      <c r="K40" s="2" t="s">
        <v>103</v>
      </c>
      <c r="L40" s="2" t="s">
        <v>104</v>
      </c>
    </row>
    <row r="41" customFormat="false" ht="15" hidden="false" customHeight="false" outlineLevel="0" collapsed="false">
      <c r="A41" s="0" t="s">
        <v>105</v>
      </c>
      <c r="C41" s="3" t="n">
        <v>13</v>
      </c>
      <c r="D41" s="3" t="n">
        <v>8.5</v>
      </c>
      <c r="E41" s="3" t="n">
        <v>8</v>
      </c>
      <c r="F41" s="3" t="n">
        <v>7.5</v>
      </c>
      <c r="G41" s="3" t="n">
        <v>7</v>
      </c>
      <c r="H41" s="3" t="n">
        <v>6.5</v>
      </c>
      <c r="I41" s="3" t="n">
        <v>6</v>
      </c>
      <c r="J41" s="3" t="n">
        <v>5</v>
      </c>
      <c r="K41" s="3" t="n">
        <v>4.5</v>
      </c>
      <c r="L41" s="3" t="n">
        <v>4</v>
      </c>
    </row>
    <row r="42" customFormat="false" ht="15" hidden="false" customHeight="false" outlineLevel="0" collapsed="false">
      <c r="A42" s="0" t="s">
        <v>106</v>
      </c>
      <c r="C42" s="3" t="n">
        <v>17.1</v>
      </c>
      <c r="D42" s="3" t="n">
        <v>16.75</v>
      </c>
      <c r="E42" s="3" t="n">
        <v>17.2</v>
      </c>
      <c r="F42" s="3" t="n">
        <v>17.55</v>
      </c>
      <c r="G42" s="3" t="n">
        <v>17.8</v>
      </c>
      <c r="H42" s="3" t="n">
        <v>17.85</v>
      </c>
      <c r="I42" s="3" t="n">
        <v>17.85</v>
      </c>
      <c r="J42" s="3" t="n">
        <v>17.85</v>
      </c>
      <c r="K42" s="3" t="n">
        <v>17.85</v>
      </c>
      <c r="L42" s="3" t="n">
        <v>17.85</v>
      </c>
    </row>
    <row r="43" customFormat="false" ht="15" hidden="false" customHeight="false" outlineLevel="0" collapsed="false">
      <c r="A43" s="0" t="s">
        <v>107</v>
      </c>
      <c r="C43" s="3" t="n">
        <v>0.85</v>
      </c>
      <c r="D43" s="3" t="n">
        <v>0.85</v>
      </c>
      <c r="E43" s="3" t="n">
        <v>0.85</v>
      </c>
      <c r="F43" s="3" t="n">
        <v>0.85</v>
      </c>
      <c r="G43" s="3" t="n">
        <v>0.85</v>
      </c>
      <c r="H43" s="3" t="n">
        <v>0.85</v>
      </c>
      <c r="I43" s="3" t="n">
        <v>0.85</v>
      </c>
      <c r="J43" s="3" t="n">
        <v>0.85</v>
      </c>
      <c r="K43" s="3" t="n">
        <v>0.85</v>
      </c>
      <c r="L43" s="3" t="n">
        <v>0.85</v>
      </c>
    </row>
    <row r="44" customFormat="false" ht="15" hidden="false" customHeight="false" outlineLevel="0" collapsed="false">
      <c r="A44" s="0" t="s">
        <v>108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109</v>
      </c>
      <c r="C45" s="3" t="n">
        <v>2.25</v>
      </c>
      <c r="D45" s="3" t="n">
        <v>2.3</v>
      </c>
      <c r="E45" s="3" t="n">
        <v>2.35</v>
      </c>
      <c r="F45" s="3" t="n">
        <v>2.4</v>
      </c>
      <c r="G45" s="3" t="n">
        <v>2.45</v>
      </c>
      <c r="H45" s="3" t="n">
        <v>2.5</v>
      </c>
      <c r="I45" s="3" t="n">
        <v>2.5</v>
      </c>
      <c r="J45" s="3" t="n">
        <v>2.5</v>
      </c>
      <c r="K45" s="3" t="n">
        <v>2.5</v>
      </c>
      <c r="L45" s="3" t="n">
        <v>2.5</v>
      </c>
    </row>
    <row r="46" customFormat="false" ht="15" hidden="false" customHeight="false" outlineLevel="0" collapsed="false">
      <c r="A46" s="0" t="s">
        <v>110</v>
      </c>
      <c r="C46" s="3" t="n">
        <v>4.3</v>
      </c>
      <c r="D46" s="3" t="n">
        <v>4.2</v>
      </c>
      <c r="E46" s="3" t="n">
        <v>4</v>
      </c>
      <c r="F46" s="3" t="n">
        <v>3.9</v>
      </c>
      <c r="G46" s="3" t="n">
        <v>3.8</v>
      </c>
      <c r="H46" s="3" t="n">
        <v>3.7</v>
      </c>
      <c r="I46" s="3" t="n">
        <v>3.6</v>
      </c>
      <c r="J46" s="3" t="n">
        <v>3.5</v>
      </c>
      <c r="K46" s="3" t="n">
        <v>3.4</v>
      </c>
      <c r="L46" s="3" t="n">
        <v>3.3</v>
      </c>
    </row>
    <row r="47" customFormat="false" ht="15" hidden="false" customHeight="false" outlineLevel="0" collapsed="false">
      <c r="A47" s="0" t="s">
        <v>111</v>
      </c>
      <c r="C47" s="3" t="n">
        <v>24.5</v>
      </c>
      <c r="D47" s="3" t="n">
        <v>24.5</v>
      </c>
      <c r="E47" s="3" t="n">
        <v>24.5</v>
      </c>
      <c r="F47" s="3" t="n">
        <v>24.5</v>
      </c>
      <c r="G47" s="3" t="n">
        <v>24.5</v>
      </c>
      <c r="H47" s="3" t="n">
        <v>24.5</v>
      </c>
      <c r="I47" s="3" t="n">
        <v>24.5</v>
      </c>
      <c r="J47" s="3" t="n">
        <v>24.5</v>
      </c>
      <c r="K47" s="3" t="n">
        <v>24.5</v>
      </c>
      <c r="L47" s="3" t="n">
        <v>24.5</v>
      </c>
    </row>
    <row r="48" customFormat="false" ht="15" hidden="false" customHeight="false" outlineLevel="0" collapsed="false">
      <c r="A48" s="0" t="s">
        <v>112</v>
      </c>
      <c r="B48" s="3" t="n">
        <v>9</v>
      </c>
    </row>
    <row r="49" customFormat="false" ht="15" hidden="false" customHeight="false" outlineLevel="0" collapsed="false">
      <c r="A49" s="0" t="s">
        <v>113</v>
      </c>
      <c r="B49" s="3" t="n">
        <v>3</v>
      </c>
    </row>
    <row r="50" customFormat="false" ht="15" hidden="false" customHeight="false" outlineLevel="0" collapsed="false">
      <c r="A50" s="0" t="s">
        <v>114</v>
      </c>
      <c r="B50" s="3" t="n">
        <v>20</v>
      </c>
    </row>
    <row r="51" customFormat="false" ht="15" hidden="false" customHeight="false" outlineLevel="0" collapsed="false">
      <c r="A51" s="0" t="s">
        <v>115</v>
      </c>
      <c r="B51" s="3" t="n">
        <v>-5</v>
      </c>
    </row>
    <row r="52" customFormat="false" ht="15" hidden="false" customHeight="false" outlineLevel="0" collapsed="false">
      <c r="A52" s="0" t="s">
        <v>116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Assumptions!C13</f>
        <v>11.5</v>
      </c>
      <c r="D5" s="4" t="n">
        <f aca="false">Assumptions!D13</f>
        <v>1</v>
      </c>
      <c r="E5" s="4" t="n">
        <f aca="false">Assumptions!E13</f>
        <v>3</v>
      </c>
      <c r="F5" s="4" t="n">
        <f aca="false">Assumptions!F13</f>
        <v>3.5</v>
      </c>
      <c r="G5" s="4" t="n">
        <f aca="false">Assumptions!G13</f>
        <v>3.5</v>
      </c>
      <c r="H5" s="4" t="n">
        <f aca="false">Assumptions!H13</f>
        <v>3.5</v>
      </c>
      <c r="I5" s="4" t="n">
        <f aca="false">Assumptions!I13</f>
        <v>3</v>
      </c>
      <c r="J5" s="4" t="n">
        <f aca="false">Assumptions!J13</f>
        <v>3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22750.559</v>
      </c>
      <c r="C6" s="0" t="n">
        <f aca="false">B6*(1+C5/100)</f>
        <v>25366.873285</v>
      </c>
      <c r="D6" s="0" t="n">
        <f aca="false">C6*(1+D5/100)</f>
        <v>25620.54201785</v>
      </c>
      <c r="E6" s="0" t="n">
        <f aca="false">D6*(1+E5/100)</f>
        <v>26389.1582783855</v>
      </c>
      <c r="F6" s="0" t="n">
        <f aca="false">E6*(1+F5/100)</f>
        <v>27312.778818129</v>
      </c>
      <c r="G6" s="0" t="n">
        <f aca="false">F6*(1+G5/100)</f>
        <v>28268.7260767635</v>
      </c>
      <c r="H6" s="0" t="n">
        <f aca="false">G6*(1+H5/100)</f>
        <v>29258.1314894502</v>
      </c>
      <c r="I6" s="0" t="n">
        <f aca="false">H6*(1+I5/100)</f>
        <v>30135.8754341337</v>
      </c>
      <c r="J6" s="0" t="n">
        <f aca="false">I6*(1+J5/100)</f>
        <v>31039.9516971577</v>
      </c>
      <c r="K6" s="0" t="n">
        <f aca="false">J6*(1+K5/100)</f>
        <v>31815.9504895867</v>
      </c>
      <c r="L6" s="0" t="n">
        <f aca="false">K6*(1+L5/100)</f>
        <v>32611.3492518264</v>
      </c>
    </row>
    <row r="7" customFormat="false" ht="15" hidden="false" customHeight="false" outlineLevel="0" collapsed="false">
      <c r="A7" s="0" t="s">
        <v>106</v>
      </c>
      <c r="C7" s="4" t="n">
        <f aca="false">Assumptions!C14</f>
        <v>16.4</v>
      </c>
      <c r="D7" s="4" t="n">
        <f aca="false">Assumptions!D14</f>
        <v>14.95</v>
      </c>
      <c r="E7" s="4" t="n">
        <f aca="false">Assumptions!E14</f>
        <v>14.8</v>
      </c>
      <c r="F7" s="4" t="n">
        <f aca="false">Assumptions!F14</f>
        <v>14.75</v>
      </c>
      <c r="G7" s="4" t="n">
        <f aca="false">Assumptions!G14</f>
        <v>14.8</v>
      </c>
      <c r="H7" s="4" t="n">
        <f aca="false">Assumptions!H14</f>
        <v>14.85</v>
      </c>
      <c r="I7" s="4" t="n">
        <f aca="false">Assumptions!I14</f>
        <v>14.85</v>
      </c>
      <c r="J7" s="4" t="n">
        <f aca="false">Assumptions!J14</f>
        <v>14.85</v>
      </c>
      <c r="K7" s="4" t="n">
        <f aca="false">Assumptions!K14</f>
        <v>14.85</v>
      </c>
      <c r="L7" s="4" t="n">
        <f aca="false">Assumptions!L14</f>
        <v>14.85</v>
      </c>
    </row>
    <row r="8" customFormat="false" ht="15" hidden="false" customHeight="false" outlineLevel="0" collapsed="false">
      <c r="A8" s="0" t="s">
        <v>43</v>
      </c>
      <c r="C8" s="0" t="n">
        <f aca="false">C6*C7/100</f>
        <v>4160.16721874</v>
      </c>
      <c r="D8" s="0" t="n">
        <f aca="false">D6*D7/100</f>
        <v>3830.27103166858</v>
      </c>
      <c r="E8" s="0" t="n">
        <f aca="false">E6*E7/100</f>
        <v>3905.59542520105</v>
      </c>
      <c r="F8" s="0" t="n">
        <f aca="false">F6*F7/100</f>
        <v>4028.63487567403</v>
      </c>
      <c r="G8" s="0" t="n">
        <f aca="false">G6*G7/100</f>
        <v>4183.771459361</v>
      </c>
      <c r="H8" s="0" t="n">
        <f aca="false">H6*H7/100</f>
        <v>4344.83252618336</v>
      </c>
      <c r="I8" s="0" t="n">
        <f aca="false">I6*I7/100</f>
        <v>4475.17750196886</v>
      </c>
      <c r="J8" s="0" t="n">
        <f aca="false">J6*J7/100</f>
        <v>4609.43282702793</v>
      </c>
      <c r="K8" s="0" t="n">
        <f aca="false">K6*K7/100</f>
        <v>4724.66864770362</v>
      </c>
      <c r="L8" s="0" t="n">
        <f aca="false">L6*L7/100</f>
        <v>4842.78536389621</v>
      </c>
    </row>
    <row r="9" customFormat="false" ht="15" hidden="false" customHeight="false" outlineLevel="0" collapsed="false">
      <c r="A9" s="0" t="s">
        <v>107</v>
      </c>
      <c r="C9" s="4" t="n">
        <f aca="false">Assumptions!C15</f>
        <v>0.85</v>
      </c>
      <c r="D9" s="4" t="n">
        <f aca="false">Assumptions!D15</f>
        <v>0.85</v>
      </c>
      <c r="E9" s="4" t="n">
        <f aca="false">Assumptions!E15</f>
        <v>0.85</v>
      </c>
      <c r="F9" s="4" t="n">
        <f aca="false">Assumptions!F15</f>
        <v>0.85</v>
      </c>
      <c r="G9" s="4" t="n">
        <f aca="false">Assumptions!G15</f>
        <v>0.85</v>
      </c>
      <c r="H9" s="4" t="n">
        <f aca="false">Assumptions!H15</f>
        <v>0.85</v>
      </c>
      <c r="I9" s="4" t="n">
        <f aca="false">Assumptions!I15</f>
        <v>0.85</v>
      </c>
      <c r="J9" s="4" t="n">
        <f aca="false">Assumptions!J15</f>
        <v>0.85</v>
      </c>
      <c r="K9" s="4" t="n">
        <f aca="false">Assumptions!K15</f>
        <v>0.85</v>
      </c>
      <c r="L9" s="4" t="n">
        <f aca="false">Assumptions!L15</f>
        <v>0.85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-215.6184229225</v>
      </c>
      <c r="D10" s="0" t="n">
        <f aca="false">-D6*D9/100</f>
        <v>-217.774607151725</v>
      </c>
      <c r="E10" s="0" t="n">
        <f aca="false">-E6*E9/100</f>
        <v>-224.307845366277</v>
      </c>
      <c r="F10" s="0" t="n">
        <f aca="false">-F6*F9/100</f>
        <v>-232.158619954096</v>
      </c>
      <c r="G10" s="0" t="n">
        <f aca="false">-G6*G9/100</f>
        <v>-240.28417165249</v>
      </c>
      <c r="H10" s="0" t="n">
        <f aca="false">-H6*H9/100</f>
        <v>-248.694117660327</v>
      </c>
      <c r="I10" s="0" t="n">
        <f aca="false">-I6*I9/100</f>
        <v>-256.154941190137</v>
      </c>
      <c r="J10" s="0" t="n">
        <f aca="false">-J6*J9/100</f>
        <v>-263.839589425841</v>
      </c>
      <c r="K10" s="0" t="n">
        <f aca="false">-K6*K9/100</f>
        <v>-270.435579161487</v>
      </c>
      <c r="L10" s="0" t="n">
        <f aca="false">-L6*L9/100</f>
        <v>-277.196468640524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3944.5487958175</v>
      </c>
      <c r="D11" s="0" t="n">
        <f aca="false">D8+D10+D24</f>
        <v>3612.49642451685</v>
      </c>
      <c r="E11" s="0" t="n">
        <f aca="false">E8+E10+E24</f>
        <v>3681.28757983478</v>
      </c>
      <c r="F11" s="0" t="n">
        <f aca="false">F8+F10+F24</f>
        <v>3796.47625571993</v>
      </c>
      <c r="G11" s="0" t="n">
        <f aca="false">G8+G10+G24</f>
        <v>3943.48728770851</v>
      </c>
      <c r="H11" s="0" t="n">
        <f aca="false">H8+H10+H24</f>
        <v>4096.13840852303</v>
      </c>
      <c r="I11" s="0" t="n">
        <f aca="false">I8+I10+I24</f>
        <v>4219.02256077872</v>
      </c>
      <c r="J11" s="0" t="n">
        <f aca="false">J8+J10+J24</f>
        <v>4345.59323760209</v>
      </c>
      <c r="K11" s="0" t="n">
        <f aca="false">K8+K10+K24</f>
        <v>4454.23306854214</v>
      </c>
      <c r="L11" s="0" t="n">
        <f aca="false">L8+L10+L24</f>
        <v>4565.58889525569</v>
      </c>
    </row>
    <row r="12" customFormat="false" ht="15" hidden="false" customHeight="false" outlineLevel="0" collapsed="false">
      <c r="A12" s="0" t="s">
        <v>124</v>
      </c>
      <c r="C12" s="4" t="n">
        <f aca="false">-C6*Assumptions!C17/100</f>
        <v>-570.7546489125</v>
      </c>
      <c r="D12" s="4" t="n">
        <f aca="false">-D6*Assumptions!D17/100</f>
        <v>-589.27246641055</v>
      </c>
      <c r="E12" s="4" t="n">
        <f aca="false">-E6*Assumptions!E17/100</f>
        <v>-620.145219542059</v>
      </c>
      <c r="F12" s="4" t="n">
        <f aca="false">-F6*Assumptions!F17/100</f>
        <v>-655.506691635096</v>
      </c>
      <c r="G12" s="4" t="n">
        <f aca="false">-G6*Assumptions!G17/100</f>
        <v>-692.583788880706</v>
      </c>
      <c r="H12" s="4" t="n">
        <f aca="false">-H6*Assumptions!H17/100</f>
        <v>-731.453287236256</v>
      </c>
      <c r="I12" s="4" t="n">
        <f aca="false">-I6*Assumptions!I17/100</f>
        <v>-753.396885853343</v>
      </c>
      <c r="J12" s="4" t="n">
        <f aca="false">-J6*Assumptions!J17/100</f>
        <v>-775.998792428944</v>
      </c>
      <c r="K12" s="4" t="n">
        <f aca="false">-K6*Assumptions!K17/100</f>
        <v>-795.398762239667</v>
      </c>
      <c r="L12" s="4" t="n">
        <f aca="false">-L6*Assumptions!L17/100</f>
        <v>-815.283731295659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3373.794146905</v>
      </c>
      <c r="D13" s="0" t="n">
        <f aca="false">D11+D12</f>
        <v>3023.2239581063</v>
      </c>
      <c r="E13" s="0" t="n">
        <f aca="false">E11+E12</f>
        <v>3061.14236029272</v>
      </c>
      <c r="F13" s="0" t="n">
        <f aca="false">F11+F12</f>
        <v>3140.96956408483</v>
      </c>
      <c r="G13" s="0" t="n">
        <f aca="false">G11+G12</f>
        <v>3250.9034988278</v>
      </c>
      <c r="H13" s="0" t="n">
        <f aca="false">H11+H12</f>
        <v>3364.68512128678</v>
      </c>
      <c r="I13" s="0" t="n">
        <f aca="false">I11+I12</f>
        <v>3465.62567492538</v>
      </c>
      <c r="J13" s="0" t="n">
        <f aca="false">J11+J12</f>
        <v>3569.59444517314</v>
      </c>
      <c r="K13" s="0" t="n">
        <f aca="false">K11+K12</f>
        <v>3658.83430630247</v>
      </c>
      <c r="L13" s="0" t="n">
        <f aca="false">L11+L12</f>
        <v>3750.30516396003</v>
      </c>
    </row>
    <row r="14" customFormat="false" ht="15" hidden="false" customHeight="false" outlineLevel="0" collapsed="false">
      <c r="A14" s="0" t="s">
        <v>111</v>
      </c>
      <c r="C14" s="4" t="n">
        <f aca="false">Assumptions!C19</f>
        <v>24.5</v>
      </c>
      <c r="D14" s="4" t="n">
        <f aca="false">Assumptions!D19</f>
        <v>24.5</v>
      </c>
      <c r="E14" s="4" t="n">
        <f aca="false">Assumptions!E19</f>
        <v>24.5</v>
      </c>
      <c r="F14" s="4" t="n">
        <f aca="false">Assumptions!F19</f>
        <v>24.5</v>
      </c>
      <c r="G14" s="4" t="n">
        <f aca="false">Assumptions!G19</f>
        <v>24.5</v>
      </c>
      <c r="H14" s="4" t="n">
        <f aca="false">Assumptions!H19</f>
        <v>24.5</v>
      </c>
      <c r="I14" s="4" t="n">
        <f aca="false">Assumptions!I19</f>
        <v>24.5</v>
      </c>
      <c r="J14" s="4" t="n">
        <f aca="false">Assumptions!J19</f>
        <v>24.5</v>
      </c>
      <c r="K14" s="4" t="n">
        <f aca="false">Assumptions!K19</f>
        <v>24.5</v>
      </c>
      <c r="L14" s="4" t="n">
        <f aca="false">Assumptions!L19</f>
        <v>24.5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2547.21458091328</v>
      </c>
      <c r="D15" s="0" t="n">
        <f aca="false">D13-MAX(0,D13)*D14/100</f>
        <v>2282.53408837026</v>
      </c>
      <c r="E15" s="0" t="n">
        <f aca="false">E13-MAX(0,E13)*E14/100</f>
        <v>2311.162482021</v>
      </c>
      <c r="F15" s="0" t="n">
        <f aca="false">F13-MAX(0,F13)*F14/100</f>
        <v>2371.43202088405</v>
      </c>
      <c r="G15" s="0" t="n">
        <f aca="false">G13-MAX(0,G13)*G14/100</f>
        <v>2454.43214161499</v>
      </c>
      <c r="H15" s="0" t="n">
        <f aca="false">H13-MAX(0,H13)*H14/100</f>
        <v>2540.33726657152</v>
      </c>
      <c r="I15" s="0" t="n">
        <f aca="false">I13-MAX(0,I13)*I14/100</f>
        <v>2616.54738456866</v>
      </c>
      <c r="J15" s="0" t="n">
        <f aca="false">J13-MAX(0,J13)*J14/100</f>
        <v>2695.04380610572</v>
      </c>
      <c r="K15" s="0" t="n">
        <f aca="false">K13-MAX(0,K13)*K14/100</f>
        <v>2762.41990125836</v>
      </c>
      <c r="L15" s="0" t="n">
        <f aca="false">L13-MAX(0,L13)*L14/100</f>
        <v>2831.48039878982</v>
      </c>
    </row>
    <row r="16" customFormat="false" ht="15" hidden="false" customHeight="false" outlineLevel="0" collapsed="false">
      <c r="A16" s="0" t="s">
        <v>127</v>
      </c>
      <c r="C16" s="0" t="n">
        <f aca="false">-C12</f>
        <v>570.7546489125</v>
      </c>
      <c r="D16" s="0" t="n">
        <f aca="false">-D12</f>
        <v>589.27246641055</v>
      </c>
      <c r="E16" s="0" t="n">
        <f aca="false">-E12</f>
        <v>620.145219542059</v>
      </c>
      <c r="F16" s="0" t="n">
        <f aca="false">-F12</f>
        <v>655.506691635096</v>
      </c>
      <c r="G16" s="0" t="n">
        <f aca="false">-G12</f>
        <v>692.583788880706</v>
      </c>
      <c r="H16" s="0" t="n">
        <f aca="false">-H12</f>
        <v>731.453287236256</v>
      </c>
      <c r="I16" s="0" t="n">
        <f aca="false">-I12</f>
        <v>753.396885853343</v>
      </c>
      <c r="J16" s="0" t="n">
        <f aca="false">-J12</f>
        <v>775.998792428944</v>
      </c>
      <c r="K16" s="0" t="n">
        <f aca="false">-K12</f>
        <v>795.398762239667</v>
      </c>
      <c r="L16" s="0" t="n">
        <f aca="false">-L12</f>
        <v>815.283731295659</v>
      </c>
    </row>
    <row r="17" customFormat="false" ht="15" hidden="false" customHeight="false" outlineLevel="0" collapsed="false">
      <c r="A17" s="0" t="s">
        <v>128</v>
      </c>
      <c r="C17" s="4" t="n">
        <f aca="false">-C6*Assumptions!C18/100</f>
        <v>-1090.775551255</v>
      </c>
      <c r="D17" s="4" t="n">
        <f aca="false">-D6*Assumptions!D18/100</f>
        <v>-973.5805966783</v>
      </c>
      <c r="E17" s="4" t="n">
        <f aca="false">-E6*Assumptions!E18/100</f>
        <v>-923.620539743493</v>
      </c>
      <c r="F17" s="4" t="n">
        <f aca="false">-F6*Assumptions!F18/100</f>
        <v>-901.321700998257</v>
      </c>
      <c r="G17" s="4" t="n">
        <f aca="false">-G6*Assumptions!G18/100</f>
        <v>-904.599234456432</v>
      </c>
      <c r="H17" s="4" t="n">
        <f aca="false">-H6*Assumptions!H18/100</f>
        <v>-907.002076172957</v>
      </c>
      <c r="I17" s="4" t="n">
        <f aca="false">-I6*Assumptions!I18/100</f>
        <v>-904.076263024012</v>
      </c>
      <c r="J17" s="4" t="n">
        <f aca="false">-J6*Assumptions!J18/100</f>
        <v>-931.198550914732</v>
      </c>
      <c r="K17" s="4" t="n">
        <f aca="false">-K6*Assumptions!K18/100</f>
        <v>-954.478514687601</v>
      </c>
      <c r="L17" s="4" t="n">
        <f aca="false">-L6*Assumptions!L18/100</f>
        <v>-978.340477554791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(C6-B6)*Assumptions!$B$23/100</f>
        <v>-130.81571425</v>
      </c>
      <c r="D18" s="4" t="n">
        <f aca="false">(D6-C6)*Assumptions!$B$23/100</f>
        <v>-12.6834366425001</v>
      </c>
      <c r="E18" s="4" t="n">
        <f aca="false">(E6-D6)*Assumptions!$B$23/100</f>
        <v>-38.4308130267751</v>
      </c>
      <c r="F18" s="4" t="n">
        <f aca="false">(F6-E6)*Assumptions!$B$23/100</f>
        <v>-46.1810269871745</v>
      </c>
      <c r="G18" s="4" t="n">
        <f aca="false">(G6-F6)*Assumptions!$B$23/100</f>
        <v>-47.7973629317255</v>
      </c>
      <c r="H18" s="4" t="n">
        <f aca="false">(H6-G6)*Assumptions!$B$23/100</f>
        <v>-49.470270634336</v>
      </c>
      <c r="I18" s="4" t="n">
        <f aca="false">(I6-H6)*Assumptions!$B$23/100</f>
        <v>-43.8871972341754</v>
      </c>
      <c r="J18" s="4" t="n">
        <f aca="false">(J6-I6)*Assumptions!$B$23/100</f>
        <v>-45.2038131512007</v>
      </c>
      <c r="K18" s="4" t="n">
        <f aca="false">(K6-J6)*Assumptions!$B$23/100</f>
        <v>-38.7999396214471</v>
      </c>
      <c r="L18" s="4" t="n">
        <f aca="false">(L6-K6)*Assumptions!$B$23/100</f>
        <v>-39.7699381119832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1896.37796432078</v>
      </c>
      <c r="D19" s="0" t="n">
        <f aca="false">D15+D16+D17+D18</f>
        <v>1885.54252146001</v>
      </c>
      <c r="E19" s="0" t="n">
        <f aca="false">E15+E16+E17+E18</f>
        <v>1969.25634879279</v>
      </c>
      <c r="F19" s="0" t="n">
        <f aca="false">F15+F16+F17+F18</f>
        <v>2079.43598453371</v>
      </c>
      <c r="G19" s="0" t="n">
        <f aca="false">G15+G16+G17+G18</f>
        <v>2194.61933310754</v>
      </c>
      <c r="H19" s="0" t="n">
        <f aca="false">H15+H16+H17+H18</f>
        <v>2315.31820700048</v>
      </c>
      <c r="I19" s="0" t="n">
        <f aca="false">I15+I16+I17+I18</f>
        <v>2421.98081016382</v>
      </c>
      <c r="J19" s="0" t="n">
        <f aca="false">J15+J16+J17+J18</f>
        <v>2494.64023446873</v>
      </c>
      <c r="K19" s="0" t="n">
        <f aca="false">K15+K16+K17+K18</f>
        <v>2564.54020918898</v>
      </c>
      <c r="L19" s="0" t="n">
        <f aca="false">L15+L16+L17+L18</f>
        <v>2628.65371441871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1739.796297542</v>
      </c>
      <c r="D21" s="0" t="n">
        <f aca="false">D19*D20</f>
        <v>1587.02341676627</v>
      </c>
      <c r="E21" s="0" t="n">
        <f aca="false">E19*E20</f>
        <v>1520.62722054316</v>
      </c>
      <c r="F21" s="0" t="n">
        <f aca="false">F19*F20</f>
        <v>1473.12487623986</v>
      </c>
      <c r="G21" s="0" t="n">
        <f aca="false">G19*G20</f>
        <v>1426.35198556373</v>
      </c>
      <c r="H21" s="0" t="n">
        <f aca="false">H19*H20</f>
        <v>1380.54859816295</v>
      </c>
      <c r="I21" s="0" t="n">
        <f aca="false">I19*I20</f>
        <v>1324.90644351297</v>
      </c>
      <c r="J21" s="0" t="n">
        <f aca="false">J19*J20</f>
        <v>1251.97581359482</v>
      </c>
      <c r="K21" s="0" t="n">
        <f aca="false">K19*K20</f>
        <v>1180.78555399715</v>
      </c>
      <c r="L21" s="0" t="n">
        <f aca="false">L19*L20</f>
        <v>1110.37173655696</v>
      </c>
    </row>
    <row r="23" customFormat="false" ht="15" hidden="false" customHeight="false" outlineLevel="0" collapsed="false">
      <c r="A23" s="0" t="s">
        <v>108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113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13995.5119424799</v>
      </c>
    </row>
    <row r="31" customFormat="false" ht="15" hidden="false" customHeight="false" outlineLevel="0" collapsed="false">
      <c r="A31" s="0" t="s">
        <v>136</v>
      </c>
      <c r="B31" s="0" t="n">
        <f aca="false">L19</f>
        <v>2628.65371441871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41451.8470350642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39429.8057162806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39429.8057162806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16655.5760483543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30651.0879908342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33920.6879908342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105.836780002603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-0.547899273803491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1537.38638549452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1846.4315936424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116.394714414887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21554.9604582334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60.3838809165093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Assumptions!C27</f>
        <v>12.5</v>
      </c>
      <c r="D5" s="4" t="n">
        <f aca="false">Assumptions!D27</f>
        <v>6.5</v>
      </c>
      <c r="E5" s="4" t="n">
        <f aca="false">Assumptions!E27</f>
        <v>6</v>
      </c>
      <c r="F5" s="4" t="n">
        <f aca="false">Assumptions!F27</f>
        <v>5.5</v>
      </c>
      <c r="G5" s="4" t="n">
        <f aca="false">Assumptions!G27</f>
        <v>5</v>
      </c>
      <c r="H5" s="4" t="n">
        <f aca="false">Assumptions!H27</f>
        <v>5</v>
      </c>
      <c r="I5" s="4" t="n">
        <f aca="false">Assumptions!I27</f>
        <v>4.5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22750.559</v>
      </c>
      <c r="C6" s="0" t="n">
        <f aca="false">B6*(1+C5/100)</f>
        <v>25594.378875</v>
      </c>
      <c r="D6" s="0" t="n">
        <f aca="false">C6*(1+D5/100)</f>
        <v>27258.013501875</v>
      </c>
      <c r="E6" s="0" t="n">
        <f aca="false">D6*(1+E5/100)</f>
        <v>28893.4943119875</v>
      </c>
      <c r="F6" s="0" t="n">
        <f aca="false">E6*(1+F5/100)</f>
        <v>30482.6364991468</v>
      </c>
      <c r="G6" s="0" t="n">
        <f aca="false">F6*(1+G5/100)</f>
        <v>32006.7683241042</v>
      </c>
      <c r="H6" s="0" t="n">
        <f aca="false">G6*(1+H5/100)</f>
        <v>33607.1067403094</v>
      </c>
      <c r="I6" s="0" t="n">
        <f aca="false">H6*(1+I5/100)</f>
        <v>35119.4265436233</v>
      </c>
      <c r="J6" s="0" t="n">
        <f aca="false">I6*(1+J5/100)</f>
        <v>36524.2036053682</v>
      </c>
      <c r="K6" s="0" t="n">
        <f aca="false">J6*(1+K5/100)</f>
        <v>37802.5507315561</v>
      </c>
      <c r="L6" s="0" t="n">
        <f aca="false">K6*(1+L5/100)</f>
        <v>38936.6272535028</v>
      </c>
    </row>
    <row r="7" customFormat="false" ht="15" hidden="false" customHeight="false" outlineLevel="0" collapsed="false">
      <c r="A7" s="0" t="s">
        <v>106</v>
      </c>
      <c r="C7" s="4" t="n">
        <f aca="false">Assumptions!C28</f>
        <v>16.8</v>
      </c>
      <c r="D7" s="4" t="n">
        <f aca="false">Assumptions!D28</f>
        <v>16.15</v>
      </c>
      <c r="E7" s="4" t="n">
        <f aca="false">Assumptions!E28</f>
        <v>16.4</v>
      </c>
      <c r="F7" s="4" t="n">
        <f aca="false">Assumptions!F28</f>
        <v>16.55</v>
      </c>
      <c r="G7" s="4" t="n">
        <f aca="false">Assumptions!G28</f>
        <v>16.7</v>
      </c>
      <c r="H7" s="4" t="n">
        <f aca="false">Assumptions!H28</f>
        <v>16.85</v>
      </c>
      <c r="I7" s="4" t="n">
        <f aca="false">Assumptions!I28</f>
        <v>16.85</v>
      </c>
      <c r="J7" s="4" t="n">
        <f aca="false">Assumptions!J28</f>
        <v>16.85</v>
      </c>
      <c r="K7" s="4" t="n">
        <f aca="false">Assumptions!K28</f>
        <v>16.85</v>
      </c>
      <c r="L7" s="4" t="n">
        <f aca="false">Assumptions!L28</f>
        <v>16.85</v>
      </c>
    </row>
    <row r="8" customFormat="false" ht="15" hidden="false" customHeight="false" outlineLevel="0" collapsed="false">
      <c r="A8" s="0" t="s">
        <v>43</v>
      </c>
      <c r="C8" s="0" t="n">
        <f aca="false">C6*C7/100</f>
        <v>4299.855651</v>
      </c>
      <c r="D8" s="0" t="n">
        <f aca="false">D6*D7/100</f>
        <v>4402.16918055281</v>
      </c>
      <c r="E8" s="0" t="n">
        <f aca="false">E6*E7/100</f>
        <v>4738.53306716595</v>
      </c>
      <c r="F8" s="0" t="n">
        <f aca="false">F6*F7/100</f>
        <v>5044.8763406088</v>
      </c>
      <c r="G8" s="0" t="n">
        <f aca="false">G6*G7/100</f>
        <v>5345.13031012539</v>
      </c>
      <c r="H8" s="0" t="n">
        <f aca="false">H6*H7/100</f>
        <v>5662.79748574213</v>
      </c>
      <c r="I8" s="0" t="n">
        <f aca="false">I6*I7/100</f>
        <v>5917.62337260052</v>
      </c>
      <c r="J8" s="0" t="n">
        <f aca="false">J6*J7/100</f>
        <v>6154.32830750455</v>
      </c>
      <c r="K8" s="0" t="n">
        <f aca="false">K6*K7/100</f>
        <v>6369.7297982672</v>
      </c>
      <c r="L8" s="0" t="n">
        <f aca="false">L6*L7/100</f>
        <v>6560.82169221522</v>
      </c>
    </row>
    <row r="9" customFormat="false" ht="15" hidden="false" customHeight="false" outlineLevel="0" collapsed="false">
      <c r="A9" s="0" t="s">
        <v>107</v>
      </c>
      <c r="C9" s="4" t="n">
        <f aca="false">Assumptions!C29</f>
        <v>0.85</v>
      </c>
      <c r="D9" s="4" t="n">
        <f aca="false">Assumptions!D29</f>
        <v>0.85</v>
      </c>
      <c r="E9" s="4" t="n">
        <f aca="false">Assumptions!E29</f>
        <v>0.85</v>
      </c>
      <c r="F9" s="4" t="n">
        <f aca="false">Assumptions!F29</f>
        <v>0.85</v>
      </c>
      <c r="G9" s="4" t="n">
        <f aca="false">Assumptions!G29</f>
        <v>0.85</v>
      </c>
      <c r="H9" s="4" t="n">
        <f aca="false">Assumptions!H29</f>
        <v>0.85</v>
      </c>
      <c r="I9" s="4" t="n">
        <f aca="false">Assumptions!I29</f>
        <v>0.85</v>
      </c>
      <c r="J9" s="4" t="n">
        <f aca="false">Assumptions!J29</f>
        <v>0.85</v>
      </c>
      <c r="K9" s="4" t="n">
        <f aca="false">Assumptions!K29</f>
        <v>0.85</v>
      </c>
      <c r="L9" s="4" t="n">
        <f aca="false">Assumptions!L29</f>
        <v>0.85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-217.5522204375</v>
      </c>
      <c r="D10" s="0" t="n">
        <f aca="false">-D6*D9/100</f>
        <v>-231.693114765938</v>
      </c>
      <c r="E10" s="0" t="n">
        <f aca="false">-E6*E9/100</f>
        <v>-245.594701651894</v>
      </c>
      <c r="F10" s="0" t="n">
        <f aca="false">-F6*F9/100</f>
        <v>-259.102410242748</v>
      </c>
      <c r="G10" s="0" t="n">
        <f aca="false">-G6*G9/100</f>
        <v>-272.057530754885</v>
      </c>
      <c r="H10" s="0" t="n">
        <f aca="false">-H6*H9/100</f>
        <v>-285.66040729263</v>
      </c>
      <c r="I10" s="0" t="n">
        <f aca="false">-I6*I9/100</f>
        <v>-298.515125620798</v>
      </c>
      <c r="J10" s="0" t="n">
        <f aca="false">-J6*J9/100</f>
        <v>-310.45573064563</v>
      </c>
      <c r="K10" s="0" t="n">
        <f aca="false">-K6*K9/100</f>
        <v>-321.321681218227</v>
      </c>
      <c r="L10" s="0" t="n">
        <f aca="false">-L6*L9/100</f>
        <v>-330.961331654774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4082.3034305625</v>
      </c>
      <c r="D11" s="0" t="n">
        <f aca="false">D8+D10+D24</f>
        <v>4170.47606578688</v>
      </c>
      <c r="E11" s="0" t="n">
        <f aca="false">E8+E10+E24</f>
        <v>4492.93836551406</v>
      </c>
      <c r="F11" s="0" t="n">
        <f aca="false">F8+F10+F24</f>
        <v>4785.77393036605</v>
      </c>
      <c r="G11" s="0" t="n">
        <f aca="false">G8+G10+G24</f>
        <v>5073.07277937051</v>
      </c>
      <c r="H11" s="0" t="n">
        <f aca="false">H8+H10+H24</f>
        <v>5377.1370784495</v>
      </c>
      <c r="I11" s="0" t="n">
        <f aca="false">I8+I10+I24</f>
        <v>5619.10824697973</v>
      </c>
      <c r="J11" s="0" t="n">
        <f aca="false">J8+J10+J24</f>
        <v>5843.87257685892</v>
      </c>
      <c r="K11" s="0" t="n">
        <f aca="false">K8+K10+K24</f>
        <v>6048.40811704898</v>
      </c>
      <c r="L11" s="0" t="n">
        <f aca="false">L8+L10+L24</f>
        <v>6229.86036056045</v>
      </c>
    </row>
    <row r="12" customFormat="false" ht="15" hidden="false" customHeight="false" outlineLevel="0" collapsed="false">
      <c r="A12" s="0" t="s">
        <v>124</v>
      </c>
      <c r="C12" s="4" t="n">
        <f aca="false">-C6*Assumptions!C31/100</f>
        <v>-575.8735246875</v>
      </c>
      <c r="D12" s="4" t="n">
        <f aca="false">-D6*Assumptions!D31/100</f>
        <v>-626.934310543125</v>
      </c>
      <c r="E12" s="4" t="n">
        <f aca="false">-E6*Assumptions!E31/100</f>
        <v>-678.997116331706</v>
      </c>
      <c r="F12" s="4" t="n">
        <f aca="false">-F6*Assumptions!F31/100</f>
        <v>-731.583275979524</v>
      </c>
      <c r="G12" s="4" t="n">
        <f aca="false">-G6*Assumptions!G31/100</f>
        <v>-784.165823940552</v>
      </c>
      <c r="H12" s="4" t="n">
        <f aca="false">-H6*Assumptions!H31/100</f>
        <v>-840.177668507734</v>
      </c>
      <c r="I12" s="4" t="n">
        <f aca="false">-I6*Assumptions!I31/100</f>
        <v>-877.985663590582</v>
      </c>
      <c r="J12" s="4" t="n">
        <f aca="false">-J6*Assumptions!J31/100</f>
        <v>-913.105090134205</v>
      </c>
      <c r="K12" s="4" t="n">
        <f aca="false">-K6*Assumptions!K31/100</f>
        <v>-945.063768288903</v>
      </c>
      <c r="L12" s="4" t="n">
        <f aca="false">-L6*Assumptions!L31/100</f>
        <v>-973.41568133757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3506.429905875</v>
      </c>
      <c r="D13" s="0" t="n">
        <f aca="false">D11+D12</f>
        <v>3543.54175524375</v>
      </c>
      <c r="E13" s="0" t="n">
        <f aca="false">E11+E12</f>
        <v>3813.94124918235</v>
      </c>
      <c r="F13" s="0" t="n">
        <f aca="false">F11+F12</f>
        <v>4054.19065438653</v>
      </c>
      <c r="G13" s="0" t="n">
        <f aca="false">G11+G12</f>
        <v>4288.90695542996</v>
      </c>
      <c r="H13" s="0" t="n">
        <f aca="false">H11+H12</f>
        <v>4536.95940994176</v>
      </c>
      <c r="I13" s="0" t="n">
        <f aca="false">I11+I12</f>
        <v>4741.12258338914</v>
      </c>
      <c r="J13" s="0" t="n">
        <f aca="false">J11+J12</f>
        <v>4930.76748672471</v>
      </c>
      <c r="K13" s="0" t="n">
        <f aca="false">K11+K12</f>
        <v>5103.34434876007</v>
      </c>
      <c r="L13" s="0" t="n">
        <f aca="false">L11+L12</f>
        <v>5256.44467922288</v>
      </c>
    </row>
    <row r="14" customFormat="false" ht="15" hidden="false" customHeight="false" outlineLevel="0" collapsed="false">
      <c r="A14" s="0" t="s">
        <v>111</v>
      </c>
      <c r="C14" s="4" t="n">
        <f aca="false">Assumptions!C33</f>
        <v>24.5</v>
      </c>
      <c r="D14" s="4" t="n">
        <f aca="false">Assumptions!D33</f>
        <v>24.5</v>
      </c>
      <c r="E14" s="4" t="n">
        <f aca="false">Assumptions!E33</f>
        <v>24.5</v>
      </c>
      <c r="F14" s="4" t="n">
        <f aca="false">Assumptions!F33</f>
        <v>24.5</v>
      </c>
      <c r="G14" s="4" t="n">
        <f aca="false">Assumptions!G33</f>
        <v>24.5</v>
      </c>
      <c r="H14" s="4" t="n">
        <f aca="false">Assumptions!H33</f>
        <v>24.5</v>
      </c>
      <c r="I14" s="4" t="n">
        <f aca="false">Assumptions!I33</f>
        <v>24.5</v>
      </c>
      <c r="J14" s="4" t="n">
        <f aca="false">Assumptions!J33</f>
        <v>24.5</v>
      </c>
      <c r="K14" s="4" t="n">
        <f aca="false">Assumptions!K33</f>
        <v>24.5</v>
      </c>
      <c r="L14" s="4" t="n">
        <f aca="false">Assumptions!L33</f>
        <v>24.5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2647.35457893563</v>
      </c>
      <c r="D15" s="0" t="n">
        <f aca="false">D13-MAX(0,D13)*D14/100</f>
        <v>2675.37402520903</v>
      </c>
      <c r="E15" s="0" t="n">
        <f aca="false">E13-MAX(0,E13)*E14/100</f>
        <v>2879.52564313267</v>
      </c>
      <c r="F15" s="0" t="n">
        <f aca="false">F13-MAX(0,F13)*F14/100</f>
        <v>3060.91394406183</v>
      </c>
      <c r="G15" s="0" t="n">
        <f aca="false">G13-MAX(0,G13)*G14/100</f>
        <v>3238.12475134962</v>
      </c>
      <c r="H15" s="0" t="n">
        <f aca="false">H13-MAX(0,H13)*H14/100</f>
        <v>3425.40435450603</v>
      </c>
      <c r="I15" s="0" t="n">
        <f aca="false">I13-MAX(0,I13)*I14/100</f>
        <v>3579.5475504588</v>
      </c>
      <c r="J15" s="0" t="n">
        <f aca="false">J13-MAX(0,J13)*J14/100</f>
        <v>3722.72945247716</v>
      </c>
      <c r="K15" s="0" t="n">
        <f aca="false">K13-MAX(0,K13)*K14/100</f>
        <v>3853.02498331386</v>
      </c>
      <c r="L15" s="0" t="n">
        <f aca="false">L13-MAX(0,L13)*L14/100</f>
        <v>3968.61573281327</v>
      </c>
    </row>
    <row r="16" customFormat="false" ht="15" hidden="false" customHeight="false" outlineLevel="0" collapsed="false">
      <c r="A16" s="0" t="s">
        <v>127</v>
      </c>
      <c r="C16" s="0" t="n">
        <f aca="false">-C12</f>
        <v>575.8735246875</v>
      </c>
      <c r="D16" s="0" t="n">
        <f aca="false">-D12</f>
        <v>626.934310543125</v>
      </c>
      <c r="E16" s="0" t="n">
        <f aca="false">-E12</f>
        <v>678.997116331706</v>
      </c>
      <c r="F16" s="0" t="n">
        <f aca="false">-F12</f>
        <v>731.583275979524</v>
      </c>
      <c r="G16" s="0" t="n">
        <f aca="false">-G12</f>
        <v>784.165823940552</v>
      </c>
      <c r="H16" s="0" t="n">
        <f aca="false">-H12</f>
        <v>840.177668507734</v>
      </c>
      <c r="I16" s="0" t="n">
        <f aca="false">-I12</f>
        <v>877.985663590582</v>
      </c>
      <c r="J16" s="0" t="n">
        <f aca="false">-J12</f>
        <v>913.105090134205</v>
      </c>
      <c r="K16" s="0" t="n">
        <f aca="false">-K12</f>
        <v>945.063768288903</v>
      </c>
      <c r="L16" s="0" t="n">
        <f aca="false">-L12</f>
        <v>973.41568133757</v>
      </c>
    </row>
    <row r="17" customFormat="false" ht="15" hidden="false" customHeight="false" outlineLevel="0" collapsed="false">
      <c r="A17" s="0" t="s">
        <v>128</v>
      </c>
      <c r="C17" s="4" t="n">
        <f aca="false">-C6*Assumptions!C32/100</f>
        <v>-1100.558291625</v>
      </c>
      <c r="D17" s="4" t="n">
        <f aca="false">-D6*Assumptions!D32/100</f>
        <v>-1090.320540075</v>
      </c>
      <c r="E17" s="4" t="n">
        <f aca="false">-E6*Assumptions!E32/100</f>
        <v>-1097.95278385553</v>
      </c>
      <c r="F17" s="4" t="n">
        <f aca="false">-F6*Assumptions!F32/100</f>
        <v>-1127.85755046843</v>
      </c>
      <c r="G17" s="4" t="n">
        <f aca="false">-G6*Assumptions!G32/100</f>
        <v>-1152.24365966775</v>
      </c>
      <c r="H17" s="4" t="n">
        <f aca="false">-H6*Assumptions!H32/100</f>
        <v>-1176.24873591083</v>
      </c>
      <c r="I17" s="4" t="n">
        <f aca="false">-I6*Assumptions!I32/100</f>
        <v>-1194.06050248319</v>
      </c>
      <c r="J17" s="4" t="n">
        <f aca="false">-J6*Assumptions!J32/100</f>
        <v>-1205.29871897715</v>
      </c>
      <c r="K17" s="4" t="n">
        <f aca="false">-K6*Assumptions!K32/100</f>
        <v>-1209.6816234098</v>
      </c>
      <c r="L17" s="4" t="n">
        <f aca="false">-L6*Assumptions!L32/100</f>
        <v>-1207.03544485859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(C6-B6)*Assumptions!$B$37/100</f>
        <v>-142.19099375</v>
      </c>
      <c r="D18" s="4" t="n">
        <f aca="false">(D6-C6)*Assumptions!$B$37/100</f>
        <v>-83.1817313437499</v>
      </c>
      <c r="E18" s="4" t="n">
        <f aca="false">(E6-D6)*Assumptions!$B$37/100</f>
        <v>-81.7740405056251</v>
      </c>
      <c r="F18" s="4" t="n">
        <f aca="false">(F6-E6)*Assumptions!$B$37/100</f>
        <v>-79.4571093579656</v>
      </c>
      <c r="G18" s="4" t="n">
        <f aca="false">(G6-F6)*Assumptions!$B$37/100</f>
        <v>-76.2065912478671</v>
      </c>
      <c r="H18" s="4" t="n">
        <f aca="false">(H6-G6)*Assumptions!$B$37/100</f>
        <v>-80.0169208102603</v>
      </c>
      <c r="I18" s="4" t="n">
        <f aca="false">(I6-H6)*Assumptions!$B$37/100</f>
        <v>-75.615990165696</v>
      </c>
      <c r="J18" s="4" t="n">
        <f aca="false">(J6-I6)*Assumptions!$B$37/100</f>
        <v>-70.2388530872468</v>
      </c>
      <c r="K18" s="4" t="n">
        <f aca="false">(K6-J6)*Assumptions!$B$37/100</f>
        <v>-63.9173563093944</v>
      </c>
      <c r="L18" s="4" t="n">
        <f aca="false">(L6-K6)*Assumptions!$B$37/100</f>
        <v>-56.7038260973342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1980.47881824813</v>
      </c>
      <c r="D19" s="0" t="n">
        <f aca="false">D15+D16+D17+D18</f>
        <v>2128.80606433341</v>
      </c>
      <c r="E19" s="0" t="n">
        <f aca="false">E15+E16+E17+E18</f>
        <v>2378.79593510323</v>
      </c>
      <c r="F19" s="0" t="n">
        <f aca="false">F15+F16+F17+F18</f>
        <v>2585.18256021495</v>
      </c>
      <c r="G19" s="0" t="n">
        <f aca="false">G15+G16+G17+G18</f>
        <v>2793.84032437455</v>
      </c>
      <c r="H19" s="0" t="n">
        <f aca="false">H15+H16+H17+H18</f>
        <v>3009.31636629268</v>
      </c>
      <c r="I19" s="0" t="n">
        <f aca="false">I15+I16+I17+I18</f>
        <v>3187.8567214005</v>
      </c>
      <c r="J19" s="0" t="n">
        <f aca="false">J15+J16+J17+J18</f>
        <v>3360.29697054696</v>
      </c>
      <c r="K19" s="0" t="n">
        <f aca="false">K15+K16+K17+K18</f>
        <v>3524.48977188357</v>
      </c>
      <c r="L19" s="0" t="n">
        <f aca="false">L15+L16+L17+L18</f>
        <v>3678.29214319492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1816.95304426434</v>
      </c>
      <c r="D21" s="0" t="n">
        <f aca="false">D19*D20</f>
        <v>1791.77347389395</v>
      </c>
      <c r="E21" s="0" t="n">
        <f aca="false">E19*E20</f>
        <v>1836.86692352313</v>
      </c>
      <c r="F21" s="0" t="n">
        <f aca="false">F19*F20</f>
        <v>1831.40850086234</v>
      </c>
      <c r="G21" s="0" t="n">
        <f aca="false">G19*G20</f>
        <v>1815.80451511697</v>
      </c>
      <c r="H21" s="0" t="n">
        <f aca="false">H19*H20</f>
        <v>1794.35702546321</v>
      </c>
      <c r="I21" s="0" t="n">
        <f aca="false">I19*I20</f>
        <v>1743.86679426001</v>
      </c>
      <c r="J21" s="0" t="n">
        <f aca="false">J19*J20</f>
        <v>1686.41973920408</v>
      </c>
      <c r="K21" s="0" t="n">
        <f aca="false">K19*K20</f>
        <v>1622.77299959627</v>
      </c>
      <c r="L21" s="0" t="n">
        <f aca="false">L19*L20</f>
        <v>1553.75035220504</v>
      </c>
    </row>
    <row r="23" customFormat="false" ht="15" hidden="false" customHeight="false" outlineLevel="0" collapsed="false">
      <c r="A23" s="0" t="s">
        <v>108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113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114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17493.9733683893</v>
      </c>
    </row>
    <row r="31" customFormat="false" ht="15" hidden="false" customHeight="false" outlineLevel="0" collapsed="false">
      <c r="A31" s="0" t="s">
        <v>136</v>
      </c>
      <c r="B31" s="0" t="n">
        <f aca="false">L19</f>
        <v>3678.29214319492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63144.0151248461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66209.2585775086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63144.0151248461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26672.7143795198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44166.6877479092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47436.2877479092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148.007138058999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-0.367761050580953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1721.80052918571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2399.92820750386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160.867446129793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31572.0075624231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75.9619360289225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Assumptions!C41</f>
        <v>13</v>
      </c>
      <c r="D5" s="4" t="n">
        <f aca="false">Assumptions!D41</f>
        <v>8.5</v>
      </c>
      <c r="E5" s="4" t="n">
        <f aca="false">Assumptions!E41</f>
        <v>8</v>
      </c>
      <c r="F5" s="4" t="n">
        <f aca="false">Assumptions!F41</f>
        <v>7.5</v>
      </c>
      <c r="G5" s="4" t="n">
        <f aca="false">Assumptions!G41</f>
        <v>7</v>
      </c>
      <c r="H5" s="4" t="n">
        <f aca="false">Assumptions!H41</f>
        <v>6.5</v>
      </c>
      <c r="I5" s="4" t="n">
        <f aca="false">Assumptions!I41</f>
        <v>6</v>
      </c>
      <c r="J5" s="4" t="n">
        <f aca="false">Assumptions!J41</f>
        <v>5</v>
      </c>
      <c r="K5" s="4" t="n">
        <f aca="false">Assumptions!K41</f>
        <v>4.5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37</v>
      </c>
      <c r="B6" s="3" t="n">
        <v>22750.559</v>
      </c>
      <c r="C6" s="0" t="n">
        <f aca="false">B6*(1+C5/100)</f>
        <v>25708.13167</v>
      </c>
      <c r="D6" s="0" t="n">
        <f aca="false">C6*(1+D5/100)</f>
        <v>27893.32286195</v>
      </c>
      <c r="E6" s="0" t="n">
        <f aca="false">D6*(1+E5/100)</f>
        <v>30124.788690906</v>
      </c>
      <c r="F6" s="0" t="n">
        <f aca="false">E6*(1+F5/100)</f>
        <v>32384.147842724</v>
      </c>
      <c r="G6" s="0" t="n">
        <f aca="false">F6*(1+G5/100)</f>
        <v>34651.0381917146</v>
      </c>
      <c r="H6" s="0" t="n">
        <f aca="false">G6*(1+H5/100)</f>
        <v>36903.3556741761</v>
      </c>
      <c r="I6" s="0" t="n">
        <f aca="false">H6*(1+I5/100)</f>
        <v>39117.5570146266</v>
      </c>
      <c r="J6" s="0" t="n">
        <f aca="false">I6*(1+J5/100)</f>
        <v>41073.434865358</v>
      </c>
      <c r="K6" s="0" t="n">
        <f aca="false">J6*(1+K5/100)</f>
        <v>42921.7394342991</v>
      </c>
      <c r="L6" s="0" t="n">
        <f aca="false">K6*(1+L5/100)</f>
        <v>44638.6090116711</v>
      </c>
    </row>
    <row r="7" customFormat="false" ht="15" hidden="false" customHeight="false" outlineLevel="0" collapsed="false">
      <c r="A7" s="0" t="s">
        <v>106</v>
      </c>
      <c r="C7" s="4" t="n">
        <f aca="false">Assumptions!C42</f>
        <v>17.1</v>
      </c>
      <c r="D7" s="4" t="n">
        <f aca="false">Assumptions!D42</f>
        <v>16.75</v>
      </c>
      <c r="E7" s="4" t="n">
        <f aca="false">Assumptions!E42</f>
        <v>17.2</v>
      </c>
      <c r="F7" s="4" t="n">
        <f aca="false">Assumptions!F42</f>
        <v>17.55</v>
      </c>
      <c r="G7" s="4" t="n">
        <f aca="false">Assumptions!G42</f>
        <v>17.8</v>
      </c>
      <c r="H7" s="4" t="n">
        <f aca="false">Assumptions!H42</f>
        <v>17.85</v>
      </c>
      <c r="I7" s="4" t="n">
        <f aca="false">Assumptions!I42</f>
        <v>17.85</v>
      </c>
      <c r="J7" s="4" t="n">
        <f aca="false">Assumptions!J42</f>
        <v>17.85</v>
      </c>
      <c r="K7" s="4" t="n">
        <f aca="false">Assumptions!K42</f>
        <v>17.85</v>
      </c>
      <c r="L7" s="4" t="n">
        <f aca="false">Assumptions!L42</f>
        <v>17.85</v>
      </c>
    </row>
    <row r="8" customFormat="false" ht="15" hidden="false" customHeight="false" outlineLevel="0" collapsed="false">
      <c r="A8" s="0" t="s">
        <v>43</v>
      </c>
      <c r="C8" s="0" t="n">
        <f aca="false">C6*C7/100</f>
        <v>4396.09051557</v>
      </c>
      <c r="D8" s="0" t="n">
        <f aca="false">D6*D7/100</f>
        <v>4672.13157937662</v>
      </c>
      <c r="E8" s="0" t="n">
        <f aca="false">E6*E7/100</f>
        <v>5181.46365483583</v>
      </c>
      <c r="F8" s="0" t="n">
        <f aca="false">F6*F7/100</f>
        <v>5683.41794639805</v>
      </c>
      <c r="G8" s="0" t="n">
        <f aca="false">G6*G7/100</f>
        <v>6167.88479812521</v>
      </c>
      <c r="H8" s="0" t="n">
        <f aca="false">H6*H7/100</f>
        <v>6587.24898784043</v>
      </c>
      <c r="I8" s="0" t="n">
        <f aca="false">I6*I7/100</f>
        <v>6982.48392711086</v>
      </c>
      <c r="J8" s="0" t="n">
        <f aca="false">J6*J7/100</f>
        <v>7331.6081234664</v>
      </c>
      <c r="K8" s="0" t="n">
        <f aca="false">K6*K7/100</f>
        <v>7661.53048902239</v>
      </c>
      <c r="L8" s="0" t="n">
        <f aca="false">L6*L7/100</f>
        <v>7967.99170858328</v>
      </c>
    </row>
    <row r="9" customFormat="false" ht="15" hidden="false" customHeight="false" outlineLevel="0" collapsed="false">
      <c r="A9" s="0" t="s">
        <v>107</v>
      </c>
      <c r="C9" s="4" t="n">
        <f aca="false">Assumptions!C43</f>
        <v>0.85</v>
      </c>
      <c r="D9" s="4" t="n">
        <f aca="false">Assumptions!D43</f>
        <v>0.85</v>
      </c>
      <c r="E9" s="4" t="n">
        <f aca="false">Assumptions!E43</f>
        <v>0.85</v>
      </c>
      <c r="F9" s="4" t="n">
        <f aca="false">Assumptions!F43</f>
        <v>0.85</v>
      </c>
      <c r="G9" s="4" t="n">
        <f aca="false">Assumptions!G43</f>
        <v>0.85</v>
      </c>
      <c r="H9" s="4" t="n">
        <f aca="false">Assumptions!H43</f>
        <v>0.85</v>
      </c>
      <c r="I9" s="4" t="n">
        <f aca="false">Assumptions!I43</f>
        <v>0.85</v>
      </c>
      <c r="J9" s="4" t="n">
        <f aca="false">Assumptions!J43</f>
        <v>0.85</v>
      </c>
      <c r="K9" s="4" t="n">
        <f aca="false">Assumptions!K43</f>
        <v>0.85</v>
      </c>
      <c r="L9" s="4" t="n">
        <f aca="false">Assumptions!L43</f>
        <v>0.85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-218.519119195</v>
      </c>
      <c r="D10" s="0" t="n">
        <f aca="false">-D6*D9/100</f>
        <v>-237.093244326575</v>
      </c>
      <c r="E10" s="0" t="n">
        <f aca="false">-E6*E9/100</f>
        <v>-256.060703872701</v>
      </c>
      <c r="F10" s="0" t="n">
        <f aca="false">-F6*F9/100</f>
        <v>-275.265256663154</v>
      </c>
      <c r="G10" s="0" t="n">
        <f aca="false">-G6*G9/100</f>
        <v>-294.533824629574</v>
      </c>
      <c r="H10" s="0" t="n">
        <f aca="false">-H6*H9/100</f>
        <v>-313.678523230497</v>
      </c>
      <c r="I10" s="0" t="n">
        <f aca="false">-I6*I9/100</f>
        <v>-332.499234624326</v>
      </c>
      <c r="J10" s="0" t="n">
        <f aca="false">-J6*J9/100</f>
        <v>-349.124196355543</v>
      </c>
      <c r="K10" s="0" t="n">
        <f aca="false">-K6*K9/100</f>
        <v>-364.834785191542</v>
      </c>
      <c r="L10" s="0" t="n">
        <f aca="false">-L6*L9/100</f>
        <v>-379.428176599204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4177.571396375</v>
      </c>
      <c r="D11" s="0" t="n">
        <f aca="false">D8+D10+D24</f>
        <v>4435.03833505005</v>
      </c>
      <c r="E11" s="0" t="n">
        <f aca="false">E8+E10+E24</f>
        <v>4925.40295096313</v>
      </c>
      <c r="F11" s="0" t="n">
        <f aca="false">F8+F10+F24</f>
        <v>5408.1526897349</v>
      </c>
      <c r="G11" s="0" t="n">
        <f aca="false">G8+G10+G24</f>
        <v>5873.35097349563</v>
      </c>
      <c r="H11" s="0" t="n">
        <f aca="false">H8+H10+H24</f>
        <v>6273.57046460993</v>
      </c>
      <c r="I11" s="0" t="n">
        <f aca="false">I8+I10+I24</f>
        <v>6649.98469248653</v>
      </c>
      <c r="J11" s="0" t="n">
        <f aca="false">J8+J10+J24</f>
        <v>6982.48392711086</v>
      </c>
      <c r="K11" s="0" t="n">
        <f aca="false">K8+K10+K24</f>
        <v>7296.69570383084</v>
      </c>
      <c r="L11" s="0" t="n">
        <f aca="false">L8+L10+L24</f>
        <v>7588.56353198408</v>
      </c>
    </row>
    <row r="12" customFormat="false" ht="15" hidden="false" customHeight="false" outlineLevel="0" collapsed="false">
      <c r="A12" s="0" t="s">
        <v>124</v>
      </c>
      <c r="C12" s="4" t="n">
        <f aca="false">-C6*Assumptions!C45/100</f>
        <v>-578.432962575</v>
      </c>
      <c r="D12" s="4" t="n">
        <f aca="false">-D6*Assumptions!D45/100</f>
        <v>-641.54642582485</v>
      </c>
      <c r="E12" s="4" t="n">
        <f aca="false">-E6*Assumptions!E45/100</f>
        <v>-707.932534236291</v>
      </c>
      <c r="F12" s="4" t="n">
        <f aca="false">-F6*Assumptions!F45/100</f>
        <v>-777.219548225375</v>
      </c>
      <c r="G12" s="4" t="n">
        <f aca="false">-G6*Assumptions!G45/100</f>
        <v>-848.950435697009</v>
      </c>
      <c r="H12" s="4" t="n">
        <f aca="false">-H6*Assumptions!H45/100</f>
        <v>-922.583891854402</v>
      </c>
      <c r="I12" s="4" t="n">
        <f aca="false">-I6*Assumptions!I45/100</f>
        <v>-977.938925365666</v>
      </c>
      <c r="J12" s="4" t="n">
        <f aca="false">-J6*Assumptions!J45/100</f>
        <v>-1026.83587163395</v>
      </c>
      <c r="K12" s="4" t="n">
        <f aca="false">-K6*Assumptions!K45/100</f>
        <v>-1073.04348585748</v>
      </c>
      <c r="L12" s="4" t="n">
        <f aca="false">-L6*Assumptions!L45/100</f>
        <v>-1115.96522529178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3599.1384338</v>
      </c>
      <c r="D13" s="0" t="n">
        <f aca="false">D11+D12</f>
        <v>3793.4919092252</v>
      </c>
      <c r="E13" s="0" t="n">
        <f aca="false">E11+E12</f>
        <v>4217.47041672684</v>
      </c>
      <c r="F13" s="0" t="n">
        <f aca="false">F11+F12</f>
        <v>4630.93314150953</v>
      </c>
      <c r="G13" s="0" t="n">
        <f aca="false">G11+G12</f>
        <v>5024.40053779862</v>
      </c>
      <c r="H13" s="0" t="n">
        <f aca="false">H11+H12</f>
        <v>5350.98657275553</v>
      </c>
      <c r="I13" s="0" t="n">
        <f aca="false">I11+I12</f>
        <v>5672.04576712086</v>
      </c>
      <c r="J13" s="0" t="n">
        <f aca="false">J11+J12</f>
        <v>5955.64805547691</v>
      </c>
      <c r="K13" s="0" t="n">
        <f aca="false">K11+K12</f>
        <v>6223.65221797337</v>
      </c>
      <c r="L13" s="0" t="n">
        <f aca="false">L11+L12</f>
        <v>6472.5983066923</v>
      </c>
    </row>
    <row r="14" customFormat="false" ht="15" hidden="false" customHeight="false" outlineLevel="0" collapsed="false">
      <c r="A14" s="0" t="s">
        <v>111</v>
      </c>
      <c r="C14" s="4" t="n">
        <f aca="false">Assumptions!C47</f>
        <v>24.5</v>
      </c>
      <c r="D14" s="4" t="n">
        <f aca="false">Assumptions!D47</f>
        <v>24.5</v>
      </c>
      <c r="E14" s="4" t="n">
        <f aca="false">Assumptions!E47</f>
        <v>24.5</v>
      </c>
      <c r="F14" s="4" t="n">
        <f aca="false">Assumptions!F47</f>
        <v>24.5</v>
      </c>
      <c r="G14" s="4" t="n">
        <f aca="false">Assumptions!G47</f>
        <v>24.5</v>
      </c>
      <c r="H14" s="4" t="n">
        <f aca="false">Assumptions!H47</f>
        <v>24.5</v>
      </c>
      <c r="I14" s="4" t="n">
        <f aca="false">Assumptions!I47</f>
        <v>24.5</v>
      </c>
      <c r="J14" s="4" t="n">
        <f aca="false">Assumptions!J47</f>
        <v>24.5</v>
      </c>
      <c r="K14" s="4" t="n">
        <f aca="false">Assumptions!K47</f>
        <v>24.5</v>
      </c>
      <c r="L14" s="4" t="n">
        <f aca="false">Assumptions!L47</f>
        <v>24.5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2717.349517519</v>
      </c>
      <c r="D15" s="0" t="n">
        <f aca="false">D13-MAX(0,D13)*D14/100</f>
        <v>2864.08639146503</v>
      </c>
      <c r="E15" s="0" t="n">
        <f aca="false">E13-MAX(0,E13)*E14/100</f>
        <v>3184.19016462876</v>
      </c>
      <c r="F15" s="0" t="n">
        <f aca="false">F13-MAX(0,F13)*F14/100</f>
        <v>3496.35452183969</v>
      </c>
      <c r="G15" s="0" t="n">
        <f aca="false">G13-MAX(0,G13)*G14/100</f>
        <v>3793.42240603796</v>
      </c>
      <c r="H15" s="0" t="n">
        <f aca="false">H13-MAX(0,H13)*H14/100</f>
        <v>4039.99486243043</v>
      </c>
      <c r="I15" s="0" t="n">
        <f aca="false">I13-MAX(0,I13)*I14/100</f>
        <v>4282.39455417625</v>
      </c>
      <c r="J15" s="0" t="n">
        <f aca="false">J13-MAX(0,J13)*J14/100</f>
        <v>4496.51428188506</v>
      </c>
      <c r="K15" s="0" t="n">
        <f aca="false">K13-MAX(0,K13)*K14/100</f>
        <v>4698.85742456989</v>
      </c>
      <c r="L15" s="0" t="n">
        <f aca="false">L13-MAX(0,L13)*L14/100</f>
        <v>4886.81172155269</v>
      </c>
    </row>
    <row r="16" customFormat="false" ht="15" hidden="false" customHeight="false" outlineLevel="0" collapsed="false">
      <c r="A16" s="0" t="s">
        <v>127</v>
      </c>
      <c r="C16" s="0" t="n">
        <f aca="false">-C12</f>
        <v>578.432962575</v>
      </c>
      <c r="D16" s="0" t="n">
        <f aca="false">-D12</f>
        <v>641.54642582485</v>
      </c>
      <c r="E16" s="0" t="n">
        <f aca="false">-E12</f>
        <v>707.932534236291</v>
      </c>
      <c r="F16" s="0" t="n">
        <f aca="false">-F12</f>
        <v>777.219548225375</v>
      </c>
      <c r="G16" s="0" t="n">
        <f aca="false">-G12</f>
        <v>848.950435697009</v>
      </c>
      <c r="H16" s="0" t="n">
        <f aca="false">-H12</f>
        <v>922.583891854402</v>
      </c>
      <c r="I16" s="0" t="n">
        <f aca="false">-I12</f>
        <v>977.938925365666</v>
      </c>
      <c r="J16" s="0" t="n">
        <f aca="false">-J12</f>
        <v>1026.83587163395</v>
      </c>
      <c r="K16" s="0" t="n">
        <f aca="false">-K12</f>
        <v>1073.04348585748</v>
      </c>
      <c r="L16" s="0" t="n">
        <f aca="false">-L12</f>
        <v>1115.96522529178</v>
      </c>
    </row>
    <row r="17" customFormat="false" ht="15" hidden="false" customHeight="false" outlineLevel="0" collapsed="false">
      <c r="A17" s="0" t="s">
        <v>128</v>
      </c>
      <c r="C17" s="4" t="n">
        <f aca="false">-C6*Assumptions!C46/100</f>
        <v>-1105.44966181</v>
      </c>
      <c r="D17" s="4" t="n">
        <f aca="false">-D6*Assumptions!D46/100</f>
        <v>-1171.5195602019</v>
      </c>
      <c r="E17" s="4" t="n">
        <f aca="false">-E6*Assumptions!E46/100</f>
        <v>-1204.99154763624</v>
      </c>
      <c r="F17" s="4" t="n">
        <f aca="false">-F6*Assumptions!F46/100</f>
        <v>-1262.98176586623</v>
      </c>
      <c r="G17" s="4" t="n">
        <f aca="false">-G6*Assumptions!G46/100</f>
        <v>-1316.73945128516</v>
      </c>
      <c r="H17" s="4" t="n">
        <f aca="false">-H6*Assumptions!H46/100</f>
        <v>-1365.42415994452</v>
      </c>
      <c r="I17" s="4" t="n">
        <f aca="false">-I6*Assumptions!I46/100</f>
        <v>-1408.23205252656</v>
      </c>
      <c r="J17" s="4" t="n">
        <f aca="false">-J6*Assumptions!J46/100</f>
        <v>-1437.57022028753</v>
      </c>
      <c r="K17" s="4" t="n">
        <f aca="false">-K6*Assumptions!K46/100</f>
        <v>-1459.33914076617</v>
      </c>
      <c r="L17" s="4" t="n">
        <f aca="false">-L6*Assumptions!L46/100</f>
        <v>-1473.07409738514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(C6-B6)*Assumptions!$B$51/100</f>
        <v>-147.8786335</v>
      </c>
      <c r="D18" s="4" t="n">
        <f aca="false">(D6-C6)*Assumptions!$B$51/100</f>
        <v>-109.2595595975</v>
      </c>
      <c r="E18" s="4" t="n">
        <f aca="false">(E6-D6)*Assumptions!$B$51/100</f>
        <v>-111.5732914478</v>
      </c>
      <c r="F18" s="4" t="n">
        <f aca="false">(F6-E6)*Assumptions!$B$51/100</f>
        <v>-112.967957590897</v>
      </c>
      <c r="G18" s="4" t="n">
        <f aca="false">(G6-F6)*Assumptions!$B$51/100</f>
        <v>-113.344517449534</v>
      </c>
      <c r="H18" s="4" t="n">
        <f aca="false">(H6-G6)*Assumptions!$B$51/100</f>
        <v>-112.615874123072</v>
      </c>
      <c r="I18" s="4" t="n">
        <f aca="false">(I6-H6)*Assumptions!$B$51/100</f>
        <v>-110.710067022528</v>
      </c>
      <c r="J18" s="4" t="n">
        <f aca="false">(J6-I6)*Assumptions!$B$51/100</f>
        <v>-97.7938925365666</v>
      </c>
      <c r="K18" s="4" t="n">
        <f aca="false">(K6-J6)*Assumptions!$B$51/100</f>
        <v>-92.4152284470554</v>
      </c>
      <c r="L18" s="4" t="n">
        <f aca="false">(L6-K6)*Assumptions!$B$51/100</f>
        <v>-85.8434788685983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2042.454184784</v>
      </c>
      <c r="D19" s="0" t="n">
        <f aca="false">D15+D16+D17+D18</f>
        <v>2224.85369749048</v>
      </c>
      <c r="E19" s="0" t="n">
        <f aca="false">E15+E16+E17+E18</f>
        <v>2575.55785978101</v>
      </c>
      <c r="F19" s="0" t="n">
        <f aca="false">F15+F16+F17+F18</f>
        <v>2897.62434660794</v>
      </c>
      <c r="G19" s="0" t="n">
        <f aca="false">G15+G16+G17+G18</f>
        <v>3212.28887300028</v>
      </c>
      <c r="H19" s="0" t="n">
        <f aca="false">H15+H16+H17+H18</f>
        <v>3484.53872021724</v>
      </c>
      <c r="I19" s="0" t="n">
        <f aca="false">I15+I16+I17+I18</f>
        <v>3741.39135999283</v>
      </c>
      <c r="J19" s="0" t="n">
        <f aca="false">J15+J16+J17+J18</f>
        <v>3987.98604069492</v>
      </c>
      <c r="K19" s="0" t="n">
        <f aca="false">K15+K16+K17+K18</f>
        <v>4220.14654121415</v>
      </c>
      <c r="L19" s="0" t="n">
        <f aca="false">L15+L16+L17+L18</f>
        <v>4443.85937059072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1873.81117870092</v>
      </c>
      <c r="D21" s="0" t="n">
        <f aca="false">D19*D20</f>
        <v>1872.61484512286</v>
      </c>
      <c r="E21" s="0" t="n">
        <f aca="false">E19*E20</f>
        <v>1988.80323126433</v>
      </c>
      <c r="F21" s="0" t="n">
        <f aca="false">F19*F20</f>
        <v>2052.75013933338</v>
      </c>
      <c r="G21" s="0" t="n">
        <f aca="false">G19*G20</f>
        <v>2087.76736041982</v>
      </c>
      <c r="H21" s="0" t="n">
        <f aca="false">H19*H20</f>
        <v>2077.71658811106</v>
      </c>
      <c r="I21" s="0" t="n">
        <f aca="false">I19*I20</f>
        <v>2046.66919727699</v>
      </c>
      <c r="J21" s="0" t="n">
        <f aca="false">J19*J20</f>
        <v>2001.43571763049</v>
      </c>
      <c r="K21" s="0" t="n">
        <f aca="false">K19*K20</f>
        <v>1943.07270120463</v>
      </c>
      <c r="L21" s="0" t="n">
        <f aca="false">L19*L20</f>
        <v>1877.13422246219</v>
      </c>
    </row>
    <row r="23" customFormat="false" ht="15" hidden="false" customHeight="false" outlineLevel="0" collapsed="false">
      <c r="A23" s="0" t="s">
        <v>108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113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114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19821.7751815267</v>
      </c>
    </row>
    <row r="31" customFormat="false" ht="15" hidden="false" customHeight="false" outlineLevel="0" collapsed="false">
      <c r="A31" s="0" t="s">
        <v>136</v>
      </c>
      <c r="B31" s="0" t="n">
        <f aca="false">L19</f>
        <v>4443.85937059072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76286.2525284741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88877.1874118145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76286.2525284741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32224.137485601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52045.9126671277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55315.5126671277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172.591303173565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-0.262745394388871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1856.58338246836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2751.37998505528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186.968723977071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38143.126264237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86.1727887249313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2" t="s">
        <v>153</v>
      </c>
      <c r="B3" s="2" t="s">
        <v>154</v>
      </c>
      <c r="C3" s="2" t="s">
        <v>144</v>
      </c>
      <c r="D3" s="2" t="s">
        <v>155</v>
      </c>
      <c r="E3" s="2" t="s">
        <v>147</v>
      </c>
      <c r="F3" s="2" t="s">
        <v>156</v>
      </c>
    </row>
    <row r="4" customFormat="false" ht="15" hidden="false" customHeight="false" outlineLevel="0" collapsed="false">
      <c r="A4" s="0" t="s">
        <v>157</v>
      </c>
      <c r="B4" s="4" t="n">
        <f aca="false">DCF_Bear!$B$38</f>
        <v>105.836780002603</v>
      </c>
      <c r="C4" s="0" t="n">
        <f aca="false">B4/Assumptions!$B$2-1</f>
        <v>-0.547899273803491</v>
      </c>
      <c r="D4" s="4" t="n">
        <f aca="false">Assumptions!$B$24</f>
        <v>0.2</v>
      </c>
      <c r="E4" s="4" t="n">
        <f aca="false">DCF_Bear!$B$43</f>
        <v>116.394714414887</v>
      </c>
      <c r="F4" s="4" t="n">
        <f aca="false">DCF_Bear!$B$47</f>
        <v>60.3838809165093</v>
      </c>
    </row>
    <row r="5" customFormat="false" ht="15" hidden="false" customHeight="false" outlineLevel="0" collapsed="false">
      <c r="A5" s="0" t="s">
        <v>158</v>
      </c>
      <c r="B5" s="4" t="n">
        <f aca="false">DCF_Base!$B$38</f>
        <v>148.007138058999</v>
      </c>
      <c r="C5" s="0" t="n">
        <f aca="false">B5/Assumptions!$B$2-1</f>
        <v>-0.367761050580953</v>
      </c>
      <c r="D5" s="4" t="n">
        <f aca="false">Assumptions!$B$38</f>
        <v>0.55</v>
      </c>
      <c r="E5" s="4" t="n">
        <f aca="false">DCF_Base!$B$43</f>
        <v>160.867446129793</v>
      </c>
      <c r="F5" s="4" t="n">
        <f aca="false">DCF_Base!$B$47</f>
        <v>75.9619360289225</v>
      </c>
    </row>
    <row r="6" customFormat="false" ht="15" hidden="false" customHeight="false" outlineLevel="0" collapsed="false">
      <c r="A6" s="0" t="s">
        <v>159</v>
      </c>
      <c r="B6" s="4" t="n">
        <f aca="false">DCF_Bull!$B$38</f>
        <v>172.591303173565</v>
      </c>
      <c r="C6" s="0" t="n">
        <f aca="false">B6/Assumptions!$B$2-1</f>
        <v>-0.262745394388871</v>
      </c>
      <c r="D6" s="4" t="n">
        <f aca="false">Assumptions!$B$52</f>
        <v>0.25</v>
      </c>
      <c r="E6" s="4" t="n">
        <f aca="false">DCF_Bull!$B$43</f>
        <v>186.968723977071</v>
      </c>
      <c r="F6" s="4" t="n">
        <f aca="false">DCF_Bull!$B$47</f>
        <v>86.1727887249313</v>
      </c>
    </row>
    <row r="8" customFormat="false" ht="15" hidden="false" customHeight="false" outlineLevel="0" collapsed="false">
      <c r="A8" s="0" t="s">
        <v>160</v>
      </c>
      <c r="B8" s="0" t="n">
        <f aca="false">SUMPRODUCT(B4:B6,D4:D6)</f>
        <v>145.719107726361</v>
      </c>
    </row>
    <row r="9" customFormat="false" ht="15" hidden="false" customHeight="false" outlineLevel="0" collapsed="false">
      <c r="A9" s="0" t="s">
        <v>161</v>
      </c>
      <c r="B9" s="0" t="n">
        <f aca="false">SUMPRODUCT(E4:E6,D4:D6)</f>
        <v>158.498219248631</v>
      </c>
    </row>
    <row r="10" customFormat="false" ht="15" hidden="false" customHeight="false" outlineLevel="0" collapsed="false">
      <c r="A10" s="0" t="s">
        <v>162</v>
      </c>
      <c r="B10" s="0" t="n">
        <f aca="false">1-Assumptions!$B$2/B8</f>
        <v>-0.6065154642561</v>
      </c>
    </row>
    <row r="11" customFormat="false" ht="15" hidden="false" customHeight="false" outlineLevel="0" collapsed="false">
      <c r="A11" s="0" t="s">
        <v>163</v>
      </c>
      <c r="B11" s="0" t="n">
        <f aca="false">IF(ABS(B9-B8)&gt;0.01*ABS(B8),(Assumptions!$B$2-B8)/(B9-B8)*100,"n/a")</f>
        <v>691.60435856294</v>
      </c>
    </row>
    <row r="12" customFormat="false" ht="15" hidden="false" customHeight="false" outlineLevel="0" collapsed="false">
      <c r="A12" s="0" t="s">
        <v>164</v>
      </c>
      <c r="B12" s="0" t="n">
        <f aca="false">SUMPRODUCT(F4:F6,D4:D6)</f>
        <v>75.3990381804421</v>
      </c>
    </row>
    <row r="14" customFormat="false" ht="15" hidden="false" customHeight="false" outlineLevel="0" collapsed="false">
      <c r="A14" s="2" t="s">
        <v>165</v>
      </c>
      <c r="C14" s="0" t="s">
        <v>166</v>
      </c>
    </row>
    <row r="15" customFormat="false" ht="15" hidden="false" customHeight="false" outlineLevel="0" collapsed="false">
      <c r="A15" s="0" t="s">
        <v>167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148.007138058999</v>
      </c>
      <c r="C15" s="3" t="n">
        <v>9</v>
      </c>
    </row>
    <row r="16" customFormat="false" ht="15" hidden="false" customHeight="false" outlineLevel="0" collapsed="false">
      <c r="A16" s="0" t="s">
        <v>168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127.298065605832</v>
      </c>
      <c r="C16" s="3" t="n">
        <v>10</v>
      </c>
    </row>
    <row r="17" customFormat="false" ht="15" hidden="false" customHeight="false" outlineLevel="0" collapsed="false">
      <c r="A17" s="0" t="s">
        <v>169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111.814017736067</v>
      </c>
      <c r="C17" s="3" t="n">
        <v>11</v>
      </c>
    </row>
    <row r="18" customFormat="false" ht="15" hidden="false" customHeight="false" outlineLevel="0" collapsed="false">
      <c r="A18" s="0" t="s">
        <v>170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99.810415125603</v>
      </c>
      <c r="C18" s="3" t="n">
        <v>12</v>
      </c>
    </row>
    <row r="19" customFormat="false" ht="15" hidden="false" customHeight="false" outlineLevel="0" collapsed="false">
      <c r="A19" s="0" t="s">
        <v>171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75.9619360289225</v>
      </c>
      <c r="C19" s="3" t="n">
        <v>15</v>
      </c>
    </row>
    <row r="21" customFormat="false" ht="15" hidden="false" customHeight="false" outlineLevel="0" collapsed="false">
      <c r="A21" s="2" t="s">
        <v>172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175.589598265217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175.589598265217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175.589598265217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175.589598265217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175.589598265217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157.944536805688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163.260483663725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163.260483663725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163.260483663725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163.260483663725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135.425696235186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141.232515538484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148.007138058999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152.047050571233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152.047050571233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118.606540435299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122.662585514881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127.298065605832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132.646696480006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138.886765833209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105.582714584018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108.515092537923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111.814017736067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115.552799627296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119.825693217272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2026-10-02T08:35:04Z</dcterms:created>
  <dc:creator>openpyxl</dc:creator>
  <dc:description/>
  <dc:language>en-NZ</dc:language>
  <cp:lastModifiedBy/>
  <dcterms:modified xsi:type="dcterms:W3CDTF">2026-10-02T08:35:04Z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