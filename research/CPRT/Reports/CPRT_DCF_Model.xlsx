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<sst xmlns="http://schemas.openxmlformats.org/spreadsheetml/2006/main" count="383" uniqueCount="173">
  <si>
    <t xml:space="preserve">Ticker</t>
  </si>
  <si>
    <t xml:space="preserve">CPRT</t>
  </si>
  <si>
    <t xml:space="preserve">Company</t>
  </si>
  <si>
    <t xml:space="preserve">Copart,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</si>
  <si>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</si>
  <si>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</si>
  <si>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</si>
  <si>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</si>
  <si>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Finance chart API)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</si>
  <si>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</si>
  <si>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</si>
  <si>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</si>
  <si>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</si>
  <si>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</si>
  <si>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</si>
  <si>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</si>
  <si>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</si>
  <si>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</si>
  <si>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</si>
  <si>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</si>
  <si>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</si>
  <si>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2026-09-26T01:04:38Z</t>
  </si>
  <si>
    <t xml:space="preserve">Drivers file</t>
  </si>
  <si>
    <t xml:space="preserve">CPRT_Drivers.json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</si>
  <si>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</si>
  <si>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</si>
  <si>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</si>
  <si>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strict owner basis: SBC and withholding taxes expensed, share count flat, interest income stripped with the 4.5bn cash and HTM portfolio added in the bridge, and the pending all-cash ACV purchase charged at its premium over ACV's unaffected value. The key judgment is margin: whether the Q4 FY26 compression (pre-SBC EBITDA 38% vs 42-44% historically) is the new competitive equilibrium with a resurgent IAA or a transitory mix and G&amp;A effect.
key_risks_to_valuation: National-carrier concentration: further reallocations like Progressive's to IAA would push results toward the bear path; Margin: the 41% base recovery assumes the Q4 FY26 compression partly reverses; if 38% is the new level, base value falls materially; ACV: valued at unaffected market value with no synergies; losses beyond management's 'breakeven year one' guidance are not modelled; Capex normalisation: FY26's 7.2% capex flatters reported FCF; a return to FY22-FY25's 12-14% land-bank spend would cut owner FCF by ~200-300m/yr; Used-vehicle price cycle: ASP-linked fees and purchased-vehicle margins are cyclical; Interest income on the cash pile (~182m/yr) is excluded from flows; the value is carried as cash, so deploying it below the 9% WACC (as ACV's premium suggests) destroys value relative to this model</t>
  </si>
  <si>
    <t xml:space="preserve">Data sources</t>
  </si>
  <si>
    <t xml:space="preserve">price: Yahoo Finance chart API at inputs.price_as_of; 52-week range 26.81-45.89
financials: FY2026 (year ended 2026-07-31): Q4 FY2026 earnings release, 8-K Ex 99.1 filed 2026-09-10 (statements in thousands). FY2009-Q3 FY2026: CPRT_Metrics.csv / core_metrics (SEC XBRL). Interest income, withholding taxes and cash history: SEC XBRL companyfacts (CIK 900075). Share count cross-check: Q3 FY2026 10-Q cover (925.8m at 2026-05-27).
qualitative: CPRT_Analysis.json (2026-09-26); ACV merger agreement 8-K and SC TO-T tender offer (2026-09-10 / 2026-09-17).</t>
  </si>
  <si>
    <t xml:space="preserve">Scenario narrative: bear</t>
  </si>
  <si>
    <t xml:space="preserve">The moat erodes into a price-competitive duopoly: IAA's turnaround (cycle times ~7 days shorter, backlog -20%) keeps winning national-carrier assignments, Copart cuts fees to hold volume, revenue shrinks in FY27 and grows ~3% thereafter, and margin settles at 36.5%. Used-car price normalisation cuts ASP-linked fees. ACV turns into a multi-year drag (not in the flows). 15x exit.</t>
  </si>
  <si>
    <t xml:space="preserve">Scenario narrative: base</t>
  </si>
  <si>
    <t xml:space="preserve">Copart standalone stabilises: US insurance units flatten after FY26's ~-2.8% as the Progressive reallocation to IAA annualises, while ASP gains and the international segment (units +10%, revenue +11.7% in Q4 FY26) bring revenue growth back to ~5% before fading to 3%. Margin recovers only partially (41% pre-SBC EBITDA vs 42-44% in FY22-24) because IAA has closed the cycle-time gap. Capex normalises to ~10% of revenue then tapers. ACV is valued at its unaffected market price in the bridge, so the ~0.59bn premium is charged as value paid away.</t>
  </si>
  <si>
    <t xml:space="preserve">Scenario narrative: bull</t>
  </si>
  <si>
    <t xml:space="preserve">The secular total-loss-frequency tailwind (repair-cost inflation from ADAS/electronics outrunning used-vehicle values) reasserts itself, Copart's land bank and catastrophe surge capacity win back insurer share, and international becomes a second engine. Automation takes pre-SBC EBITDA margin back to ~43.5%. Growth peaks at 7.5% and fades to 3.5%, 20x exit.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</si>
  <si>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</si>
  <si>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</si>
  <si>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</si>
  <si>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</si>
  <si>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</si>
  <si>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</si>
  <si>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</si>
  <si>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</si>
  <si>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</si>
  <si>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</si>
  <si>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</si>
  <si>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</si>
  <si>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</si>
  <si>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</si>
  <si>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</si>
  <si>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</si>
  <si>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</si>
  <si>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</si>
  <si>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</si>
  <si>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</si>
  <si>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</si>
  <si>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</si>
  <si>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</si>
  <si>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</si>
  <si>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</si>
  <si>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</si>
  <si>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</si>
  <si>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</si>
  <si>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</si>
  <si>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</si>
  <si>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</si>
  <si>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</si>
  <si>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</si>
  <si>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</si>
  <si>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</si>
  <si>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</si>
  <si>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</si>
  <si>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</si>
  <si>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</si>
  <si>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</si>
  <si>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</si>
  <si>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</si>
  <si>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</si>
  <si>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</si>
  <si>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</si>
  <si>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</si>
  <si>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</si>
  <si>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</si>
  <si>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</si>
  <si>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</si>
  <si>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</si>
  <si>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</si>
  <si>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</si>
  <si>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</si>
  <si>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</si>
  <si>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</si>
  <si>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</si>
  <si>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</si>
  <si>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</si>
  <si>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</si>
  <si>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</si>
  <si>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</si>
  <si>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</si>
  <si>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</si>
  <si>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</si>
  <si>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</si>
  <si>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</si>
  <si>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</si>
  <si>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</si>
  <si>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</si>
  <si>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</si>
  <si>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</si>
  <si>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</si>
  <si>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</si>
  <si>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</si>
  <si>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</si>
  <si>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</si>
  <si>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</si>
  <si>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</si>
  <si>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</si>
  <si>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</si>
  <si>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</si>
  <si>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</si>
  <si>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CPRT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</si>
  <si>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</si>
  <si>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</si>
  <si>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</si>
  <si>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</si>
  <si>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</si>
  <si>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</si>
  <si>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</si>
  <si>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</si>
  <si>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</si>
  <si>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</si>
  <si>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</si>
  <si>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</si>
  <si>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</si>
  <si>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</si>
  <si>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</si>
  <si>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</si>
  <si>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</si>
  <si>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</si>
  <si>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</si>
  <si>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</si>
  <si>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</si>
  <si>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</si>
  <si>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</si>
  <si>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</si>
  <si>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</si>
  <si>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</si>
  <si>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</si>
  <si>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</si>
  <si>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</si>
  <si>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</si>
  <si>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CPRT owner-FCF component DCF: base case (millions, USD)</t>
  </si>
  <si>
    <t xml:space="preserve">CPRT owner-FCF component DCF: bull case (millions, USD)</t>
  </si>
  <si>
    <t xml:space="preserve">CPRT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</si>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</sst>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27.59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798.996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743.082</v>
      </c>
      <c r="F3" s="0" t="n">
        <v>225.325</v>
      </c>
      <c r="G3" s="0" t="n">
        <v>30.3230329896297</v>
      </c>
      <c r="H3" s="0" t="n">
        <v>266.679</v>
      </c>
      <c r="I3" s="0" t="n">
        <v>141.103</v>
      </c>
      <c r="J3" s="0" t="n">
        <v>18.9888868254109</v>
      </c>
      <c r="K3" s="0" t="n">
        <v>1.69</v>
      </c>
      <c r="L3" s="0" t="n">
        <v>203.339</v>
      </c>
      <c r="M3" s="0" t="n">
        <v>78.912</v>
      </c>
      <c r="N3" s="0" t="n">
        <v>124.427</v>
      </c>
      <c r="O3" s="0" t="n">
        <v>921.459</v>
      </c>
      <c r="S3" s="0" t="n">
        <v>162.691</v>
      </c>
      <c r="T3" s="0" t="n">
        <v>84.93</v>
      </c>
      <c r="U3" s="0" t="n">
        <v>9.413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772.879</v>
      </c>
      <c r="F4" s="0" t="n">
        <v>239.07</v>
      </c>
      <c r="G4" s="0" t="n">
        <v>30.9323969211222</v>
      </c>
      <c r="H4" s="0" t="n">
        <v>282.312</v>
      </c>
      <c r="I4" s="0" t="n">
        <v>151.627</v>
      </c>
      <c r="J4" s="0" t="n">
        <v>19.6184655036558</v>
      </c>
      <c r="K4" s="0" t="n">
        <v>0.9</v>
      </c>
      <c r="L4" s="0" t="n">
        <v>199.407</v>
      </c>
      <c r="M4" s="0" t="n">
        <v>75.84</v>
      </c>
      <c r="N4" s="0" t="n">
        <v>123.567</v>
      </c>
      <c r="O4" s="0" t="n">
        <v>1087.234</v>
      </c>
      <c r="P4" s="0" t="n">
        <v>1228.812</v>
      </c>
      <c r="Q4" s="0" t="n">
        <v>141.578</v>
      </c>
      <c r="R4" s="0" t="n">
        <v>0.601</v>
      </c>
      <c r="S4" s="0" t="n">
        <v>268.188</v>
      </c>
      <c r="T4" s="0" t="n">
        <v>170.054</v>
      </c>
      <c r="U4" s="0" t="n">
        <v>17.955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872.246</v>
      </c>
      <c r="F5" s="0" t="n">
        <v>265.29</v>
      </c>
      <c r="G5" s="0" t="n">
        <v>30.4145848762849</v>
      </c>
      <c r="H5" s="0" t="n">
        <v>310.984</v>
      </c>
      <c r="I5" s="0" t="n">
        <v>166.375</v>
      </c>
      <c r="J5" s="0" t="n">
        <v>19.0743207764782</v>
      </c>
      <c r="K5" s="0" t="n">
        <v>1.1</v>
      </c>
      <c r="L5" s="0" t="n">
        <v>242.932</v>
      </c>
      <c r="M5" s="0" t="n">
        <v>70.17</v>
      </c>
      <c r="N5" s="0" t="n">
        <v>172.762</v>
      </c>
      <c r="O5" s="0" t="n">
        <v>555.172</v>
      </c>
      <c r="P5" s="0" t="n">
        <v>1084.436</v>
      </c>
      <c r="Q5" s="0" t="n">
        <v>529.264</v>
      </c>
      <c r="R5" s="0" t="n">
        <v>375.756</v>
      </c>
      <c r="S5" s="0" t="n">
        <v>74.009</v>
      </c>
      <c r="T5" s="0" t="n">
        <v>153.352</v>
      </c>
      <c r="U5" s="0" t="n">
        <v>19.007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924.191</v>
      </c>
      <c r="F6" s="0" t="n">
        <v>286.353</v>
      </c>
      <c r="G6" s="0" t="n">
        <v>30.9841796771447</v>
      </c>
      <c r="H6" s="0" t="n">
        <v>334.52</v>
      </c>
      <c r="I6" s="0" t="n">
        <v>182.119</v>
      </c>
      <c r="J6" s="0" t="n">
        <v>19.7057751049296</v>
      </c>
      <c r="K6" s="0" t="n">
        <v>1.42</v>
      </c>
      <c r="M6" s="0" t="n">
        <v>54.832</v>
      </c>
      <c r="O6" s="0" t="n">
        <v>561.117</v>
      </c>
      <c r="P6" s="0" t="n">
        <v>1154</v>
      </c>
      <c r="Q6" s="0" t="n">
        <v>592.883</v>
      </c>
      <c r="R6" s="0" t="n">
        <v>444.12</v>
      </c>
      <c r="S6" s="0" t="n">
        <v>140.112</v>
      </c>
      <c r="T6" s="0" t="n">
        <v>131.428</v>
      </c>
      <c r="U6" s="0" t="n">
        <v>21.791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1046.386</v>
      </c>
      <c r="F7" s="0" t="n">
        <v>282.992</v>
      </c>
      <c r="G7" s="0" t="n">
        <v>27.044704344286</v>
      </c>
      <c r="H7" s="0" t="n">
        <v>339.72</v>
      </c>
      <c r="I7" s="0" t="n">
        <v>180.025</v>
      </c>
      <c r="J7" s="0" t="n">
        <v>17.2044541880339</v>
      </c>
      <c r="K7" s="0" t="n">
        <v>1.44</v>
      </c>
      <c r="M7" s="0" t="n">
        <v>130.265</v>
      </c>
      <c r="O7" s="0" t="n">
        <v>762.401</v>
      </c>
      <c r="P7" s="0" t="n">
        <v>1334.481</v>
      </c>
      <c r="Q7" s="0" t="n">
        <v>572.08</v>
      </c>
      <c r="R7" s="0" t="n">
        <v>372.457</v>
      </c>
      <c r="S7" s="0" t="n">
        <v>63.631</v>
      </c>
      <c r="T7" s="0" t="n">
        <v>129.781</v>
      </c>
      <c r="U7" s="0" t="n">
        <v>19.557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1163.489</v>
      </c>
      <c r="F8" s="0" t="n">
        <v>274.934</v>
      </c>
      <c r="G8" s="0" t="n">
        <v>23.6301331598322</v>
      </c>
      <c r="H8" s="0" t="n">
        <v>328.66</v>
      </c>
      <c r="I8" s="0" t="n">
        <v>178.687</v>
      </c>
      <c r="J8" s="0" t="n">
        <v>15.3578589913613</v>
      </c>
      <c r="K8" s="0" t="n">
        <v>1.42</v>
      </c>
      <c r="M8" s="0" t="n">
        <v>95.81</v>
      </c>
      <c r="O8" s="0" t="n">
        <v>1003.499</v>
      </c>
      <c r="P8" s="0" t="n">
        <v>1506.121</v>
      </c>
      <c r="Q8" s="0" t="n">
        <v>503.305</v>
      </c>
      <c r="R8" s="0" t="n">
        <v>302.901</v>
      </c>
      <c r="S8" s="0" t="n">
        <v>158.668</v>
      </c>
      <c r="T8" s="0" t="n">
        <v>131.23</v>
      </c>
      <c r="U8" s="0" t="n">
        <v>22.099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1146.079</v>
      </c>
      <c r="F9" s="0" t="n">
        <v>344.401</v>
      </c>
      <c r="G9" s="0" t="n">
        <v>30.0503717457523</v>
      </c>
      <c r="H9" s="0" t="n">
        <v>390.974</v>
      </c>
      <c r="I9" s="0" t="n">
        <v>219.783</v>
      </c>
      <c r="J9" s="0" t="n">
        <v>19.1769502800418</v>
      </c>
      <c r="K9" s="0" t="n">
        <v>0.87</v>
      </c>
      <c r="M9" s="0" t="n">
        <v>79.153</v>
      </c>
      <c r="O9" s="0" t="n">
        <v>964.464</v>
      </c>
      <c r="P9" s="0" t="n">
        <v>1798.66</v>
      </c>
      <c r="Q9" s="0" t="n">
        <v>834.196</v>
      </c>
      <c r="R9" s="0" t="n">
        <v>644.514</v>
      </c>
      <c r="S9" s="0" t="n">
        <v>456.012</v>
      </c>
      <c r="T9" s="0" t="n">
        <v>262.851</v>
      </c>
      <c r="U9" s="0" t="n">
        <v>18.154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1268.449</v>
      </c>
      <c r="C10" s="0" t="n">
        <v>140.959</v>
      </c>
      <c r="F10" s="0" t="n">
        <v>406.47</v>
      </c>
      <c r="G10" s="0" t="n">
        <v>32.0446466511464</v>
      </c>
      <c r="H10" s="0" t="n">
        <v>455.045</v>
      </c>
      <c r="I10" s="0" t="n">
        <v>270.36</v>
      </c>
      <c r="J10" s="0" t="n">
        <v>21.3142191763327</v>
      </c>
      <c r="K10" s="0" t="n">
        <v>1.18</v>
      </c>
      <c r="M10" s="0" t="n">
        <v>173.917</v>
      </c>
      <c r="O10" s="0" t="n">
        <v>774.456</v>
      </c>
      <c r="P10" s="0" t="n">
        <v>1649.82</v>
      </c>
      <c r="Q10" s="0" t="n">
        <v>875.364</v>
      </c>
      <c r="R10" s="0" t="n">
        <v>640.492</v>
      </c>
      <c r="S10" s="0" t="n">
        <v>155.849</v>
      </c>
      <c r="T10" s="0" t="n">
        <v>244.295</v>
      </c>
      <c r="U10" s="0" t="n">
        <v>20.864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1447.981</v>
      </c>
      <c r="C11" s="0" t="n">
        <v>137.552</v>
      </c>
      <c r="F11" s="0" t="n">
        <v>461.299</v>
      </c>
      <c r="G11" s="0" t="n">
        <v>31.8580837731987</v>
      </c>
      <c r="H11" s="0" t="n">
        <v>518.299</v>
      </c>
      <c r="I11" s="0" t="n">
        <v>394.261</v>
      </c>
      <c r="J11" s="0" t="n">
        <v>27.2283268910297</v>
      </c>
      <c r="K11" s="0" t="n">
        <v>1.72</v>
      </c>
      <c r="L11" s="0" t="n">
        <v>492.058</v>
      </c>
      <c r="M11" s="0" t="n">
        <v>332.99</v>
      </c>
      <c r="N11" s="0" t="n">
        <v>159.068</v>
      </c>
      <c r="O11" s="0" t="n">
        <v>1098.6</v>
      </c>
      <c r="P11" s="0" t="n">
        <v>1982.501</v>
      </c>
      <c r="Q11" s="0" t="n">
        <v>883.901</v>
      </c>
      <c r="R11" s="0" t="n">
        <v>633.038</v>
      </c>
      <c r="S11" s="0" t="n">
        <v>210.1</v>
      </c>
      <c r="T11" s="0" t="n">
        <v>237.019</v>
      </c>
      <c r="U11" s="0" t="n">
        <v>20.908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1805.695</v>
      </c>
      <c r="C12" s="0" t="n">
        <v>196.461</v>
      </c>
      <c r="F12" s="0" t="n">
        <v>584.345</v>
      </c>
      <c r="G12" s="0" t="n">
        <v>32.3612237947162</v>
      </c>
      <c r="H12" s="0" t="n">
        <v>662.943</v>
      </c>
      <c r="I12" s="0" t="n">
        <v>418.007</v>
      </c>
      <c r="J12" s="0" t="n">
        <v>23.1493690794957</v>
      </c>
      <c r="K12" s="0" t="n">
        <v>1.8</v>
      </c>
      <c r="L12" s="0" t="n">
        <v>535.069</v>
      </c>
      <c r="M12" s="0" t="n">
        <v>296.697</v>
      </c>
      <c r="N12" s="0" t="n">
        <v>238.372</v>
      </c>
      <c r="O12" s="0" t="n">
        <v>1581.099</v>
      </c>
      <c r="P12" s="0" t="n">
        <v>2307.698</v>
      </c>
      <c r="Q12" s="0" t="n">
        <v>726.599</v>
      </c>
      <c r="R12" s="0" t="n">
        <v>399.898</v>
      </c>
      <c r="S12" s="0" t="n">
        <v>274.52</v>
      </c>
      <c r="T12" s="0" t="n">
        <v>241.877</v>
      </c>
      <c r="U12" s="0" t="n">
        <v>23.221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2041.957</v>
      </c>
      <c r="C13" s="0" t="n">
        <v>255.504</v>
      </c>
      <c r="F13" s="0" t="n">
        <v>716.475</v>
      </c>
      <c r="G13" s="0" t="n">
        <v>35.0876634522666</v>
      </c>
      <c r="H13" s="0" t="n">
        <v>801.37</v>
      </c>
      <c r="I13" s="0" t="n">
        <v>591.693</v>
      </c>
      <c r="J13" s="0" t="n">
        <v>28.9767610189637</v>
      </c>
      <c r="K13" s="0" t="n">
        <v>2.57</v>
      </c>
      <c r="L13" s="0" t="n">
        <v>646.646</v>
      </c>
      <c r="M13" s="0" t="n">
        <v>374.628</v>
      </c>
      <c r="N13" s="0" t="n">
        <v>272.018</v>
      </c>
      <c r="O13" s="0" t="n">
        <v>1778.381</v>
      </c>
      <c r="P13" s="0" t="n">
        <v>2547.617</v>
      </c>
      <c r="Q13" s="0" t="n">
        <v>769.236</v>
      </c>
      <c r="R13" s="0" t="n">
        <v>401.229</v>
      </c>
      <c r="S13" s="0" t="n">
        <v>186.319</v>
      </c>
      <c r="T13" s="0" t="n">
        <v>240.453</v>
      </c>
      <c r="U13" s="0" t="n">
        <v>23.445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2205.583</v>
      </c>
      <c r="F14" s="0" t="n">
        <v>816.099</v>
      </c>
      <c r="G14" s="0" t="n">
        <v>37.0015093514957</v>
      </c>
      <c r="H14" s="0" t="n">
        <v>917.489</v>
      </c>
      <c r="I14" s="0" t="n">
        <v>699.907</v>
      </c>
      <c r="J14" s="0" t="n">
        <v>31.7334237704952</v>
      </c>
      <c r="K14" s="0" t="n">
        <v>3</v>
      </c>
      <c r="L14" s="0" t="n">
        <v>917.885</v>
      </c>
      <c r="M14" s="0" t="n">
        <v>603.674</v>
      </c>
      <c r="N14" s="0" t="n">
        <v>314.211</v>
      </c>
      <c r="O14" s="0" t="n">
        <v>2489.516</v>
      </c>
      <c r="P14" s="0" t="n">
        <v>3455.261</v>
      </c>
      <c r="Q14" s="0" t="n">
        <v>965.745</v>
      </c>
      <c r="R14" s="0" t="n">
        <v>397.651</v>
      </c>
      <c r="S14" s="0" t="n">
        <v>477.718</v>
      </c>
      <c r="T14" s="0" t="n">
        <v>238.656</v>
      </c>
      <c r="U14" s="0" t="n">
        <v>23.322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2692.511</v>
      </c>
      <c r="F15" s="0" t="n">
        <v>1136.426</v>
      </c>
      <c r="G15" s="0" t="n">
        <v>42.2069213459109</v>
      </c>
      <c r="H15" s="0" t="n">
        <v>1258.397</v>
      </c>
      <c r="I15" s="0" t="n">
        <v>936.495</v>
      </c>
      <c r="J15" s="0" t="n">
        <v>34.7814735018724</v>
      </c>
      <c r="K15" s="0" t="n">
        <v>0.99</v>
      </c>
      <c r="L15" s="0" t="n">
        <v>990.891</v>
      </c>
      <c r="M15" s="0" t="n">
        <v>467.996</v>
      </c>
      <c r="N15" s="0" t="n">
        <v>522.895</v>
      </c>
      <c r="O15" s="0" t="n">
        <v>3529.201</v>
      </c>
      <c r="P15" s="0" t="n">
        <v>4562.143</v>
      </c>
      <c r="Q15" s="0" t="n">
        <v>1032.942</v>
      </c>
      <c r="R15" s="0" t="n">
        <v>397.636</v>
      </c>
      <c r="S15" s="0" t="n">
        <v>1048.26</v>
      </c>
      <c r="T15" s="0" t="n">
        <v>961.16</v>
      </c>
      <c r="U15" s="0" t="n">
        <v>40.922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3500.921</v>
      </c>
      <c r="F16" s="0" t="n">
        <v>1374.997</v>
      </c>
      <c r="G16" s="0" t="n">
        <v>39.2752935584665</v>
      </c>
      <c r="H16" s="0" t="n">
        <v>1512.982</v>
      </c>
      <c r="I16" s="0" t="n">
        <v>1090.13</v>
      </c>
      <c r="J16" s="0" t="n">
        <v>31.1383775869264</v>
      </c>
      <c r="K16" s="0" t="n">
        <v>1.15</v>
      </c>
      <c r="L16" s="0" t="n">
        <v>1176.683</v>
      </c>
      <c r="M16" s="0" t="n">
        <v>444.052</v>
      </c>
      <c r="N16" s="0" t="n">
        <v>732.631</v>
      </c>
      <c r="O16" s="0" t="n">
        <v>4625.599</v>
      </c>
      <c r="P16" s="0" t="n">
        <v>5308.864</v>
      </c>
      <c r="Q16" s="0" t="n">
        <v>683.265</v>
      </c>
      <c r="R16" s="0" t="n">
        <v>1.996</v>
      </c>
      <c r="S16" s="0" t="n">
        <v>1384.236</v>
      </c>
      <c r="T16" s="0" t="n">
        <v>964.604</v>
      </c>
      <c r="U16" s="0" t="n">
        <v>38.965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3869.518</v>
      </c>
      <c r="F17" s="0" t="n">
        <v>1486.569</v>
      </c>
      <c r="G17" s="0" t="n">
        <v>38.4174204642542</v>
      </c>
      <c r="H17" s="0" t="n">
        <v>1646.047</v>
      </c>
      <c r="I17" s="0" t="n">
        <v>1237.741</v>
      </c>
      <c r="J17" s="0" t="n">
        <v>31.986955481277</v>
      </c>
      <c r="K17" s="0" t="n">
        <v>1.3</v>
      </c>
      <c r="L17" s="0" t="n">
        <v>1364.21</v>
      </c>
      <c r="M17" s="0" t="n">
        <v>516.636</v>
      </c>
      <c r="N17" s="0" t="n">
        <v>847.574</v>
      </c>
      <c r="O17" s="0" t="n">
        <v>5987.44</v>
      </c>
      <c r="P17" s="0" t="n">
        <v>6737.879</v>
      </c>
      <c r="Q17" s="0" t="n">
        <v>750.439</v>
      </c>
      <c r="R17" s="0" t="n">
        <v>10.903</v>
      </c>
      <c r="T17" s="0" t="n">
        <v>966.647</v>
      </c>
      <c r="U17" s="0" t="n">
        <v>39.673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4236.823</v>
      </c>
      <c r="F18" s="0" t="n">
        <v>1572.023</v>
      </c>
      <c r="G18" s="0" t="n">
        <v>37.1038157600636</v>
      </c>
      <c r="H18" s="0" t="n">
        <v>1761.784</v>
      </c>
      <c r="I18" s="0" t="n">
        <v>1363.02</v>
      </c>
      <c r="J18" s="0" t="n">
        <v>32.1708034534367</v>
      </c>
      <c r="K18" s="0" t="n">
        <v>1.42</v>
      </c>
      <c r="L18" s="0" t="n">
        <v>1472.564</v>
      </c>
      <c r="M18" s="0" t="n">
        <v>605.403</v>
      </c>
      <c r="N18" s="0" t="n">
        <v>867.161</v>
      </c>
      <c r="O18" s="0" t="n">
        <v>7524.011</v>
      </c>
      <c r="P18" s="0" t="n">
        <v>8427.764</v>
      </c>
      <c r="Q18" s="0" t="n">
        <v>879.209</v>
      </c>
      <c r="R18" s="0" t="n">
        <v>0</v>
      </c>
      <c r="T18" s="0" t="n">
        <v>974.798</v>
      </c>
      <c r="U18" s="0" t="n">
        <v>35.234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4646.958</v>
      </c>
      <c r="F19" s="0" t="n">
        <v>1696.714</v>
      </c>
      <c r="G19" s="0" t="n">
        <v>36.5123592681492</v>
      </c>
      <c r="H19" s="0" t="n">
        <v>1912.563</v>
      </c>
      <c r="I19" s="0" t="n">
        <v>1552.449</v>
      </c>
      <c r="J19" s="0" t="n">
        <v>33.4078552033395</v>
      </c>
      <c r="K19" s="0" t="n">
        <v>1.61</v>
      </c>
      <c r="L19" s="0" t="n">
        <v>1799.75</v>
      </c>
      <c r="M19" s="0" t="n">
        <v>570.213</v>
      </c>
      <c r="N19" s="0" t="n">
        <v>1229.537</v>
      </c>
      <c r="O19" s="0" t="n">
        <v>9187.033</v>
      </c>
      <c r="P19" s="0" t="n">
        <v>10090.902</v>
      </c>
      <c r="Q19" s="0" t="n">
        <v>883.411</v>
      </c>
      <c r="T19" s="0" t="n">
        <v>977.563</v>
      </c>
      <c r="U19" s="0" t="n">
        <v>38.004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27.59</v>
      </c>
    </row>
    <row r="3" customFormat="false" ht="15" hidden="false" customHeight="false" outlineLevel="0" collapsed="false">
      <c r="A3" s="0" t="s">
        <v>84</v>
      </c>
      <c r="B3" s="3" t="n">
        <v>932.14</v>
      </c>
    </row>
    <row r="4" customFormat="false" ht="15" hidden="false" customHeight="false" outlineLevel="0" collapsed="false">
      <c r="A4" s="0" t="s">
        <v>85</v>
      </c>
      <c r="B4" s="3" t="n">
        <v>-4489.802</v>
      </c>
    </row>
    <row r="5" customFormat="false" ht="15" hidden="false" customHeight="false" outlineLevel="0" collapsed="false">
      <c r="A5" s="0" t="s">
        <v>86</v>
      </c>
      <c r="B5" s="3" t="n">
        <v>-606.585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4666.209</v>
      </c>
    </row>
    <row r="8" customFormat="false" ht="15" hidden="false" customHeight="false" outlineLevel="0" collapsed="false">
      <c r="A8" s="0" t="s">
        <v>89</v>
      </c>
      <c r="B8" s="3" t="s">
        <v>90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-1.5</v>
      </c>
      <c r="D13" s="3" t="n">
        <v>0.5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37.5</v>
      </c>
      <c r="D14" s="3" t="n">
        <v>37</v>
      </c>
      <c r="E14" s="3" t="n">
        <v>36.5</v>
      </c>
      <c r="F14" s="3" t="n">
        <v>36.5</v>
      </c>
      <c r="G14" s="3" t="n">
        <v>36.5</v>
      </c>
      <c r="H14" s="3" t="n">
        <v>36.5</v>
      </c>
      <c r="I14" s="3" t="n">
        <v>36.5</v>
      </c>
      <c r="J14" s="3" t="n">
        <v>36.5</v>
      </c>
      <c r="K14" s="3" t="n">
        <v>36.5</v>
      </c>
      <c r="L14" s="3" t="n">
        <v>36.5</v>
      </c>
    </row>
    <row r="15" customFormat="false" ht="15" hidden="false" customHeight="false" outlineLevel="0" collapsed="false">
      <c r="A15" s="0" t="s">
        <v>107</v>
      </c>
      <c r="C15" s="3" t="n">
        <v>0.85</v>
      </c>
      <c r="D15" s="3" t="n">
        <v>0.85</v>
      </c>
      <c r="E15" s="3" t="n">
        <v>0.85</v>
      </c>
      <c r="F15" s="3" t="n">
        <v>0.85</v>
      </c>
      <c r="G15" s="3" t="n">
        <v>0.85</v>
      </c>
      <c r="H15" s="3" t="n">
        <v>0.85</v>
      </c>
      <c r="I15" s="3" t="n">
        <v>0.85</v>
      </c>
      <c r="J15" s="3" t="n">
        <v>0.85</v>
      </c>
      <c r="K15" s="3" t="n">
        <v>0.85</v>
      </c>
      <c r="L15" s="3" t="n">
        <v>0.85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5.2</v>
      </c>
      <c r="D17" s="3" t="n">
        <v>5.2</v>
      </c>
      <c r="E17" s="3" t="n">
        <v>5.2</v>
      </c>
      <c r="F17" s="3" t="n">
        <v>5.2</v>
      </c>
      <c r="G17" s="3" t="n">
        <v>5.2</v>
      </c>
      <c r="H17" s="3" t="n">
        <v>5.2</v>
      </c>
      <c r="I17" s="3" t="n">
        <v>5.2</v>
      </c>
      <c r="J17" s="3" t="n">
        <v>5.2</v>
      </c>
      <c r="K17" s="3" t="n">
        <v>5.2</v>
      </c>
      <c r="L17" s="3" t="n">
        <v>5.2</v>
      </c>
    </row>
    <row r="18" customFormat="false" ht="15" hidden="false" customHeight="false" outlineLevel="0" collapsed="false">
      <c r="A18" s="0" t="s">
        <v>110</v>
      </c>
      <c r="C18" s="3" t="n">
        <v>9.5</v>
      </c>
      <c r="D18" s="3" t="n">
        <v>9</v>
      </c>
      <c r="E18" s="3" t="n">
        <v>8.5</v>
      </c>
      <c r="F18" s="3" t="n">
        <v>8</v>
      </c>
      <c r="G18" s="3" t="n">
        <v>8</v>
      </c>
      <c r="H18" s="3" t="n">
        <v>7.5</v>
      </c>
      <c r="I18" s="3" t="n">
        <v>7.5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111</v>
      </c>
      <c r="C19" s="3" t="n">
        <v>21.5</v>
      </c>
      <c r="D19" s="3" t="n">
        <v>21.5</v>
      </c>
      <c r="E19" s="3" t="n">
        <v>21.5</v>
      </c>
      <c r="F19" s="3" t="n">
        <v>21.5</v>
      </c>
      <c r="G19" s="3" t="n">
        <v>21.5</v>
      </c>
      <c r="H19" s="3" t="n">
        <v>21.5</v>
      </c>
      <c r="I19" s="3" t="n">
        <v>21.5</v>
      </c>
      <c r="J19" s="3" t="n">
        <v>21.5</v>
      </c>
      <c r="K19" s="3" t="n">
        <v>21.5</v>
      </c>
      <c r="L19" s="3" t="n">
        <v>21.5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-5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2.5</v>
      </c>
      <c r="D27" s="3" t="n">
        <v>4</v>
      </c>
      <c r="E27" s="3" t="n">
        <v>5</v>
      </c>
      <c r="F27" s="3" t="n">
        <v>5.5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39.5</v>
      </c>
      <c r="D28" s="3" t="n">
        <v>40</v>
      </c>
      <c r="E28" s="3" t="n">
        <v>40.5</v>
      </c>
      <c r="F28" s="3" t="n">
        <v>41</v>
      </c>
      <c r="G28" s="3" t="n">
        <v>41</v>
      </c>
      <c r="H28" s="3" t="n">
        <v>41</v>
      </c>
      <c r="I28" s="3" t="n">
        <v>41</v>
      </c>
      <c r="J28" s="3" t="n">
        <v>41</v>
      </c>
      <c r="K28" s="3" t="n">
        <v>41</v>
      </c>
      <c r="L28" s="3" t="n">
        <v>41</v>
      </c>
    </row>
    <row r="29" customFormat="false" ht="15" hidden="false" customHeight="false" outlineLevel="0" collapsed="false">
      <c r="A29" s="0" t="s">
        <v>107</v>
      </c>
      <c r="C29" s="3" t="n">
        <v>0.85</v>
      </c>
      <c r="D29" s="3" t="n">
        <v>0.85</v>
      </c>
      <c r="E29" s="3" t="n">
        <v>0.85</v>
      </c>
      <c r="F29" s="3" t="n">
        <v>0.85</v>
      </c>
      <c r="G29" s="3" t="n">
        <v>0.85</v>
      </c>
      <c r="H29" s="3" t="n">
        <v>0.85</v>
      </c>
      <c r="I29" s="3" t="n">
        <v>0.85</v>
      </c>
      <c r="J29" s="3" t="n">
        <v>0.85</v>
      </c>
      <c r="K29" s="3" t="n">
        <v>0.85</v>
      </c>
      <c r="L29" s="3" t="n">
        <v>0.85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5</v>
      </c>
      <c r="D31" s="3" t="n">
        <v>5</v>
      </c>
      <c r="E31" s="3" t="n">
        <v>5</v>
      </c>
      <c r="F31" s="3" t="n">
        <v>5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110</v>
      </c>
      <c r="C32" s="3" t="n">
        <v>10</v>
      </c>
      <c r="D32" s="3" t="n">
        <v>10</v>
      </c>
      <c r="E32" s="3" t="n">
        <v>9.5</v>
      </c>
      <c r="F32" s="3" t="n">
        <v>9</v>
      </c>
      <c r="G32" s="3" t="n">
        <v>9</v>
      </c>
      <c r="H32" s="3" t="n">
        <v>8.5</v>
      </c>
      <c r="I32" s="3" t="n">
        <v>8.5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111</v>
      </c>
      <c r="C33" s="3" t="n">
        <v>21.5</v>
      </c>
      <c r="D33" s="3" t="n">
        <v>21.5</v>
      </c>
      <c r="E33" s="3" t="n">
        <v>21.5</v>
      </c>
      <c r="F33" s="3" t="n">
        <v>21.5</v>
      </c>
      <c r="G33" s="3" t="n">
        <v>21.5</v>
      </c>
      <c r="H33" s="3" t="n">
        <v>21.5</v>
      </c>
      <c r="I33" s="3" t="n">
        <v>21.5</v>
      </c>
      <c r="J33" s="3" t="n">
        <v>21.5</v>
      </c>
      <c r="K33" s="3" t="n">
        <v>21.5</v>
      </c>
      <c r="L33" s="3" t="n">
        <v>21.5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-5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4.5</v>
      </c>
      <c r="D41" s="3" t="n">
        <v>6.5</v>
      </c>
      <c r="E41" s="3" t="n">
        <v>7.5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40.5</v>
      </c>
      <c r="D42" s="3" t="n">
        <v>41.5</v>
      </c>
      <c r="E42" s="3" t="n">
        <v>42.5</v>
      </c>
      <c r="F42" s="3" t="n">
        <v>43</v>
      </c>
      <c r="G42" s="3" t="n">
        <v>43.5</v>
      </c>
      <c r="H42" s="3" t="n">
        <v>43.5</v>
      </c>
      <c r="I42" s="3" t="n">
        <v>43.5</v>
      </c>
      <c r="J42" s="3" t="n">
        <v>43.5</v>
      </c>
      <c r="K42" s="3" t="n">
        <v>43.5</v>
      </c>
      <c r="L42" s="3" t="n">
        <v>43.5</v>
      </c>
    </row>
    <row r="43" customFormat="false" ht="15" hidden="false" customHeight="false" outlineLevel="0" collapsed="false">
      <c r="A43" s="0" t="s">
        <v>107</v>
      </c>
      <c r="C43" s="3" t="n">
        <v>0.85</v>
      </c>
      <c r="D43" s="3" t="n">
        <v>0.85</v>
      </c>
      <c r="E43" s="3" t="n">
        <v>0.85</v>
      </c>
      <c r="F43" s="3" t="n">
        <v>0.85</v>
      </c>
      <c r="G43" s="3" t="n">
        <v>0.85</v>
      </c>
      <c r="H43" s="3" t="n">
        <v>0.85</v>
      </c>
      <c r="I43" s="3" t="n">
        <v>0.85</v>
      </c>
      <c r="J43" s="3" t="n">
        <v>0.85</v>
      </c>
      <c r="K43" s="3" t="n">
        <v>0.85</v>
      </c>
      <c r="L43" s="3" t="n">
        <v>0.85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5</v>
      </c>
      <c r="D45" s="3" t="n">
        <v>5</v>
      </c>
      <c r="E45" s="3" t="n">
        <v>5</v>
      </c>
      <c r="F45" s="3" t="n">
        <v>5</v>
      </c>
      <c r="G45" s="3" t="n">
        <v>5</v>
      </c>
      <c r="H45" s="3" t="n">
        <v>5</v>
      </c>
      <c r="I45" s="3" t="n">
        <v>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110</v>
      </c>
      <c r="C46" s="3" t="n">
        <v>10</v>
      </c>
      <c r="D46" s="3" t="n">
        <v>10.5</v>
      </c>
      <c r="E46" s="3" t="n">
        <v>10</v>
      </c>
      <c r="F46" s="3" t="n">
        <v>10</v>
      </c>
      <c r="G46" s="3" t="n">
        <v>9.5</v>
      </c>
      <c r="H46" s="3" t="n">
        <v>9</v>
      </c>
      <c r="I46" s="3" t="n">
        <v>9</v>
      </c>
      <c r="J46" s="3" t="n">
        <v>8.5</v>
      </c>
      <c r="K46" s="3" t="n">
        <v>8.5</v>
      </c>
      <c r="L46" s="3" t="n">
        <v>8.5</v>
      </c>
    </row>
    <row r="47" customFormat="false" ht="15" hidden="false" customHeight="false" outlineLevel="0" collapsed="false">
      <c r="A47" s="0" t="s">
        <v>111</v>
      </c>
      <c r="C47" s="3" t="n">
        <v>21.5</v>
      </c>
      <c r="D47" s="3" t="n">
        <v>21.5</v>
      </c>
      <c r="E47" s="3" t="n">
        <v>21.5</v>
      </c>
      <c r="F47" s="3" t="n">
        <v>21.5</v>
      </c>
      <c r="G47" s="3" t="n">
        <v>21.5</v>
      </c>
      <c r="H47" s="3" t="n">
        <v>21.5</v>
      </c>
      <c r="I47" s="3" t="n">
        <v>21.5</v>
      </c>
      <c r="J47" s="3" t="n">
        <v>21.5</v>
      </c>
      <c r="K47" s="3" t="n">
        <v>21.5</v>
      </c>
      <c r="L47" s="3" t="n">
        <v>21.5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3.5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-5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-1.5</v>
      </c>
      <c r="D5" s="4" t="n">
        <f aca="false">Assumptions!D13</f>
        <v>0.5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4666.209</v>
      </c>
      <c r="C6" s="0" t="n">
        <f aca="false">B6*(1+C5/100)</f>
        <v>4596.215865</v>
      </c>
      <c r="D6" s="0" t="n">
        <f aca="false">C6*(1+D5/100)</f>
        <v>4619.196944325</v>
      </c>
      <c r="E6" s="0" t="n">
        <f aca="false">D6*(1+E5/100)</f>
        <v>4711.5808832115</v>
      </c>
      <c r="F6" s="0" t="n">
        <f aca="false">E6*(1+F5/100)</f>
        <v>4852.92830970785</v>
      </c>
      <c r="G6" s="0" t="n">
        <f aca="false">F6*(1+G5/100)</f>
        <v>4998.51615899908</v>
      </c>
      <c r="H6" s="0" t="n">
        <f aca="false">G6*(1+H5/100)</f>
        <v>5148.47164376905</v>
      </c>
      <c r="I6" s="0" t="n">
        <f aca="false">H6*(1+I5/100)</f>
        <v>5302.92579308213</v>
      </c>
      <c r="J6" s="0" t="n">
        <f aca="false">I6*(1+J5/100)</f>
        <v>5435.49893790918</v>
      </c>
      <c r="K6" s="0" t="n">
        <f aca="false">J6*(1+K5/100)</f>
        <v>5571.38641135691</v>
      </c>
      <c r="L6" s="0" t="n">
        <f aca="false">K6*(1+L5/100)</f>
        <v>5710.67107164083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37.5</v>
      </c>
      <c r="D7" s="4" t="n">
        <f aca="false">Assumptions!D14</f>
        <v>37</v>
      </c>
      <c r="E7" s="4" t="n">
        <f aca="false">Assumptions!E14</f>
        <v>36.5</v>
      </c>
      <c r="F7" s="4" t="n">
        <f aca="false">Assumptions!F14</f>
        <v>36.5</v>
      </c>
      <c r="G7" s="4" t="n">
        <f aca="false">Assumptions!G14</f>
        <v>36.5</v>
      </c>
      <c r="H7" s="4" t="n">
        <f aca="false">Assumptions!H14</f>
        <v>36.5</v>
      </c>
      <c r="I7" s="4" t="n">
        <f aca="false">Assumptions!I14</f>
        <v>36.5</v>
      </c>
      <c r="J7" s="4" t="n">
        <f aca="false">Assumptions!J14</f>
        <v>36.5</v>
      </c>
      <c r="K7" s="4" t="n">
        <f aca="false">Assumptions!K14</f>
        <v>36.5</v>
      </c>
      <c r="L7" s="4" t="n">
        <f aca="false">Assumptions!L14</f>
        <v>36.5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1723.580949375</v>
      </c>
      <c r="D8" s="0" t="n">
        <f aca="false">D6*D7/100</f>
        <v>1709.10286940025</v>
      </c>
      <c r="E8" s="0" t="n">
        <f aca="false">E6*E7/100</f>
        <v>1719.7270223722</v>
      </c>
      <c r="F8" s="0" t="n">
        <f aca="false">F6*F7/100</f>
        <v>1771.31883304336</v>
      </c>
      <c r="G8" s="0" t="n">
        <f aca="false">G6*G7/100</f>
        <v>1824.45839803466</v>
      </c>
      <c r="H8" s="0" t="n">
        <f aca="false">H6*H7/100</f>
        <v>1879.1921499757</v>
      </c>
      <c r="I8" s="0" t="n">
        <f aca="false">I6*I7/100</f>
        <v>1935.56791447498</v>
      </c>
      <c r="J8" s="0" t="n">
        <f aca="false">J6*J7/100</f>
        <v>1983.95711233685</v>
      </c>
      <c r="K8" s="0" t="n">
        <f aca="false">K6*K7/100</f>
        <v>2033.55604014527</v>
      </c>
      <c r="L8" s="0" t="n">
        <f aca="false">L6*L7/100</f>
        <v>2084.3949411489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0.85</v>
      </c>
      <c r="D9" s="4" t="n">
        <f aca="false">Assumptions!D15</f>
        <v>0.85</v>
      </c>
      <c r="E9" s="4" t="n">
        <f aca="false">Assumptions!E15</f>
        <v>0.85</v>
      </c>
      <c r="F9" s="4" t="n">
        <f aca="false">Assumptions!F15</f>
        <v>0.85</v>
      </c>
      <c r="G9" s="4" t="n">
        <f aca="false">Assumptions!G15</f>
        <v>0.85</v>
      </c>
      <c r="H9" s="4" t="n">
        <f aca="false">Assumptions!H15</f>
        <v>0.85</v>
      </c>
      <c r="I9" s="4" t="n">
        <f aca="false">Assumptions!I15</f>
        <v>0.85</v>
      </c>
      <c r="J9" s="4" t="n">
        <f aca="false">Assumptions!J15</f>
        <v>0.85</v>
      </c>
      <c r="K9" s="4" t="n">
        <f aca="false">Assumptions!K15</f>
        <v>0.85</v>
      </c>
      <c r="L9" s="4" t="n">
        <f aca="false">Assumptions!L15</f>
        <v>0.85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-39.0678348525</v>
      </c>
      <c r="D10" s="0" t="n">
        <f aca="false">-D6*D9/100</f>
        <v>-39.2631740267625</v>
      </c>
      <c r="E10" s="0" t="n">
        <f aca="false">-E6*E9/100</f>
        <v>-40.0484375072978</v>
      </c>
      <c r="F10" s="0" t="n">
        <f aca="false">-F6*F9/100</f>
        <v>-41.2498906325167</v>
      </c>
      <c r="G10" s="0" t="n">
        <f aca="false">-G6*G9/100</f>
        <v>-42.4873873514922</v>
      </c>
      <c r="H10" s="0" t="n">
        <f aca="false">-H6*H9/100</f>
        <v>-43.7620089720369</v>
      </c>
      <c r="I10" s="0" t="n">
        <f aca="false">-I6*I9/100</f>
        <v>-45.0748692411981</v>
      </c>
      <c r="J10" s="0" t="n">
        <f aca="false">-J6*J9/100</f>
        <v>-46.201740972228</v>
      </c>
      <c r="K10" s="0" t="n">
        <f aca="false">-K6*K9/100</f>
        <v>-47.3567844965337</v>
      </c>
      <c r="L10" s="0" t="n">
        <f aca="false">-L6*L9/100</f>
        <v>-48.540704108947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1684.5131145225</v>
      </c>
      <c r="D11" s="0" t="n">
        <f aca="false">D8+D10+D24</f>
        <v>1669.83969537349</v>
      </c>
      <c r="E11" s="0" t="n">
        <f aca="false">E8+E10+E24</f>
        <v>1679.6785848649</v>
      </c>
      <c r="F11" s="0" t="n">
        <f aca="false">F8+F10+F24</f>
        <v>1730.06894241085</v>
      </c>
      <c r="G11" s="0" t="n">
        <f aca="false">G8+G10+G24</f>
        <v>1781.97101068317</v>
      </c>
      <c r="H11" s="0" t="n">
        <f aca="false">H8+H10+H24</f>
        <v>1835.43014100367</v>
      </c>
      <c r="I11" s="0" t="n">
        <f aca="false">I8+I10+I24</f>
        <v>1890.49304523378</v>
      </c>
      <c r="J11" s="0" t="n">
        <f aca="false">J8+J10+J24</f>
        <v>1937.75537136462</v>
      </c>
      <c r="K11" s="0" t="n">
        <f aca="false">K8+K10+K24</f>
        <v>1986.19925564874</v>
      </c>
      <c r="L11" s="0" t="n">
        <f aca="false">L8+L10+L24</f>
        <v>2035.85423703996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-239.00322498</v>
      </c>
      <c r="D12" s="4" t="n">
        <f aca="false">-D6*Assumptions!D17/100</f>
        <v>-240.1982411049</v>
      </c>
      <c r="E12" s="4" t="n">
        <f aca="false">-E6*Assumptions!E17/100</f>
        <v>-245.002205926998</v>
      </c>
      <c r="F12" s="4" t="n">
        <f aca="false">-F6*Assumptions!F17/100</f>
        <v>-252.352272104808</v>
      </c>
      <c r="G12" s="4" t="n">
        <f aca="false">-G6*Assumptions!G17/100</f>
        <v>-259.922840267952</v>
      </c>
      <c r="H12" s="4" t="n">
        <f aca="false">-H6*Assumptions!H17/100</f>
        <v>-267.720525475991</v>
      </c>
      <c r="I12" s="4" t="n">
        <f aca="false">-I6*Assumptions!I17/100</f>
        <v>-275.752141240271</v>
      </c>
      <c r="J12" s="4" t="n">
        <f aca="false">-J6*Assumptions!J17/100</f>
        <v>-282.645944771277</v>
      </c>
      <c r="K12" s="4" t="n">
        <f aca="false">-K6*Assumptions!K17/100</f>
        <v>-289.712093390559</v>
      </c>
      <c r="L12" s="4" t="n">
        <f aca="false">-L6*Assumptions!L17/100</f>
        <v>-296.954895725323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1445.5098895425</v>
      </c>
      <c r="D13" s="0" t="n">
        <f aca="false">D11+D12</f>
        <v>1429.64145426859</v>
      </c>
      <c r="E13" s="0" t="n">
        <f aca="false">E11+E12</f>
        <v>1434.6763789379</v>
      </c>
      <c r="F13" s="0" t="n">
        <f aca="false">F11+F12</f>
        <v>1477.71667030604</v>
      </c>
      <c r="G13" s="0" t="n">
        <f aca="false">G11+G12</f>
        <v>1522.04817041522</v>
      </c>
      <c r="H13" s="0" t="n">
        <f aca="false">H11+H12</f>
        <v>1567.70961552768</v>
      </c>
      <c r="I13" s="0" t="n">
        <f aca="false">I11+I12</f>
        <v>1614.74090399351</v>
      </c>
      <c r="J13" s="0" t="n">
        <f aca="false">J11+J12</f>
        <v>1655.10942659334</v>
      </c>
      <c r="K13" s="0" t="n">
        <f aca="false">K11+K12</f>
        <v>1696.48716225818</v>
      </c>
      <c r="L13" s="0" t="n">
        <f aca="false">L11+L12</f>
        <v>1738.89934131463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21.5</v>
      </c>
      <c r="D14" s="4" t="n">
        <f aca="false">Assumptions!D19</f>
        <v>21.5</v>
      </c>
      <c r="E14" s="4" t="n">
        <f aca="false">Assumptions!E19</f>
        <v>21.5</v>
      </c>
      <c r="F14" s="4" t="n">
        <f aca="false">Assumptions!F19</f>
        <v>21.5</v>
      </c>
      <c r="G14" s="4" t="n">
        <f aca="false">Assumptions!G19</f>
        <v>21.5</v>
      </c>
      <c r="H14" s="4" t="n">
        <f aca="false">Assumptions!H19</f>
        <v>21.5</v>
      </c>
      <c r="I14" s="4" t="n">
        <f aca="false">Assumptions!I19</f>
        <v>21.5</v>
      </c>
      <c r="J14" s="4" t="n">
        <f aca="false">Assumptions!J19</f>
        <v>21.5</v>
      </c>
      <c r="K14" s="4" t="n">
        <f aca="false">Assumptions!K19</f>
        <v>21.5</v>
      </c>
      <c r="L14" s="4" t="n">
        <f aca="false">Assumptions!L19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1134.72526329086</v>
      </c>
      <c r="D15" s="0" t="n">
        <f aca="false">D13-MAX(0,D13)*D14/100</f>
        <v>1122.26854160084</v>
      </c>
      <c r="E15" s="0" t="n">
        <f aca="false">E13-MAX(0,E13)*E14/100</f>
        <v>1126.22095746625</v>
      </c>
      <c r="F15" s="0" t="n">
        <f aca="false">F13-MAX(0,F13)*F14/100</f>
        <v>1160.00758619024</v>
      </c>
      <c r="G15" s="0" t="n">
        <f aca="false">G13-MAX(0,G13)*G14/100</f>
        <v>1194.80781377595</v>
      </c>
      <c r="H15" s="0" t="n">
        <f aca="false">H13-MAX(0,H13)*H14/100</f>
        <v>1230.65204818923</v>
      </c>
      <c r="I15" s="0" t="n">
        <f aca="false">I13-MAX(0,I13)*I14/100</f>
        <v>1267.5716096349</v>
      </c>
      <c r="J15" s="0" t="n">
        <f aca="false">J13-MAX(0,J13)*J14/100</f>
        <v>1299.26089987578</v>
      </c>
      <c r="K15" s="0" t="n">
        <f aca="false">K13-MAX(0,K13)*K14/100</f>
        <v>1331.74242237267</v>
      </c>
      <c r="L15" s="0" t="n">
        <f aca="false">L13-MAX(0,L13)*L14/100</f>
        <v>1365.03598293199</v>
      </c>
    </row>
    <row r="16" customFormat="false" ht="15" hidden="false" customHeight="false" outlineLevel="0" collapsed="false">
      <c r="A16" s="0" t="s">
        <v>127</v>
      </c>
      <c r="C16" s="0" t="n">
        <f aca="false">-C12</f>
        <v>239.00322498</v>
      </c>
      <c r="D16" s="0" t="n">
        <f aca="false">-D12</f>
        <v>240.1982411049</v>
      </c>
      <c r="E16" s="0" t="n">
        <f aca="false">-E12</f>
        <v>245.002205926998</v>
      </c>
      <c r="F16" s="0" t="n">
        <f aca="false">-F12</f>
        <v>252.352272104808</v>
      </c>
      <c r="G16" s="0" t="n">
        <f aca="false">-G12</f>
        <v>259.922840267952</v>
      </c>
      <c r="H16" s="0" t="n">
        <f aca="false">-H12</f>
        <v>267.720525475991</v>
      </c>
      <c r="I16" s="0" t="n">
        <f aca="false">-I12</f>
        <v>275.752141240271</v>
      </c>
      <c r="J16" s="0" t="n">
        <f aca="false">-J12</f>
        <v>282.645944771277</v>
      </c>
      <c r="K16" s="0" t="n">
        <f aca="false">-K12</f>
        <v>289.712093390559</v>
      </c>
      <c r="L16" s="0" t="n">
        <f aca="false">-L12</f>
        <v>296.954895725323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-436.640507175</v>
      </c>
      <c r="D17" s="4" t="n">
        <f aca="false">-D6*Assumptions!D18/100</f>
        <v>-415.72772498925</v>
      </c>
      <c r="E17" s="4" t="n">
        <f aca="false">-E6*Assumptions!E18/100</f>
        <v>-400.484375072978</v>
      </c>
      <c r="F17" s="4" t="n">
        <f aca="false">-F6*Assumptions!F18/100</f>
        <v>-388.234264776628</v>
      </c>
      <c r="G17" s="4" t="n">
        <f aca="false">-G6*Assumptions!G18/100</f>
        <v>-399.881292719926</v>
      </c>
      <c r="H17" s="4" t="n">
        <f aca="false">-H6*Assumptions!H18/100</f>
        <v>-386.135373282679</v>
      </c>
      <c r="I17" s="4" t="n">
        <f aca="false">-I6*Assumptions!I18/100</f>
        <v>-397.719434481159</v>
      </c>
      <c r="J17" s="4" t="n">
        <f aca="false">-J6*Assumptions!J18/100</f>
        <v>-407.662420343188</v>
      </c>
      <c r="K17" s="4" t="n">
        <f aca="false">-K6*Assumptions!K18/100</f>
        <v>-417.853980851768</v>
      </c>
      <c r="L17" s="4" t="n">
        <f aca="false">-L6*Assumptions!L18/100</f>
        <v>-428.300330373062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3.49965674999999</v>
      </c>
      <c r="D18" s="4" t="n">
        <f aca="false">(D6-C6)*Assumptions!$B$23/100</f>
        <v>-1.14905396624999</v>
      </c>
      <c r="E18" s="4" t="n">
        <f aca="false">(E6-D6)*Assumptions!$B$23/100</f>
        <v>-4.619196944325</v>
      </c>
      <c r="F18" s="4" t="n">
        <f aca="false">(F6-E6)*Assumptions!$B$23/100</f>
        <v>-7.06737132481726</v>
      </c>
      <c r="G18" s="4" t="n">
        <f aca="false">(G6-F6)*Assumptions!$B$23/100</f>
        <v>-7.27939246456176</v>
      </c>
      <c r="H18" s="4" t="n">
        <f aca="false">(H6-G6)*Assumptions!$B$23/100</f>
        <v>-7.49777423849864</v>
      </c>
      <c r="I18" s="4" t="n">
        <f aca="false">(I6-H6)*Assumptions!$B$23/100</f>
        <v>-7.72270746565359</v>
      </c>
      <c r="J18" s="4" t="n">
        <f aca="false">(J6-I6)*Assumptions!$B$23/100</f>
        <v>-6.62865724135263</v>
      </c>
      <c r="K18" s="4" t="n">
        <f aca="false">(K6-J6)*Assumptions!$B$23/100</f>
        <v>-6.79437367238643</v>
      </c>
      <c r="L18" s="4" t="n">
        <f aca="false">(L6-K6)*Assumptions!$B$23/100</f>
        <v>-6.96423301419609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940.587637845862</v>
      </c>
      <c r="D19" s="0" t="n">
        <f aca="false">D15+D16+D17+D18</f>
        <v>945.590003750241</v>
      </c>
      <c r="E19" s="0" t="n">
        <f aca="false">E15+E16+E17+E18</f>
        <v>966.119591375949</v>
      </c>
      <c r="F19" s="0" t="n">
        <f aca="false">F15+F16+F17+F18</f>
        <v>1017.0582221936</v>
      </c>
      <c r="G19" s="0" t="n">
        <f aca="false">G15+G16+G17+G18</f>
        <v>1047.56996885941</v>
      </c>
      <c r="H19" s="0" t="n">
        <f aca="false">H15+H16+H17+H18</f>
        <v>1104.73942614404</v>
      </c>
      <c r="I19" s="0" t="n">
        <f aca="false">I15+I16+I17+I18</f>
        <v>1137.88160892836</v>
      </c>
      <c r="J19" s="0" t="n">
        <f aca="false">J15+J16+J17+J18</f>
        <v>1167.61576706251</v>
      </c>
      <c r="K19" s="0" t="n">
        <f aca="false">K15+K16+K17+K18</f>
        <v>1196.80616123907</v>
      </c>
      <c r="L19" s="0" t="n">
        <f aca="false">L15+L16+L17+L18</f>
        <v>1226.72631527005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862.924438390699</v>
      </c>
      <c r="D21" s="0" t="n">
        <f aca="false">D19*D20</f>
        <v>795.884187989429</v>
      </c>
      <c r="E21" s="0" t="n">
        <f aca="false">E19*E20</f>
        <v>746.021588223853</v>
      </c>
      <c r="F21" s="0" t="n">
        <f aca="false">F19*F20</f>
        <v>720.509685723097</v>
      </c>
      <c r="G21" s="0" t="n">
        <f aca="false">G19*G20</f>
        <v>680.848602105312</v>
      </c>
      <c r="H21" s="0" t="n">
        <f aca="false">H19*H20</f>
        <v>658.720024524985</v>
      </c>
      <c r="I21" s="0" t="n">
        <f aca="false">I19*I20</f>
        <v>622.460206661224</v>
      </c>
      <c r="J21" s="0" t="n">
        <f aca="false">J19*J20</f>
        <v>585.986981102928</v>
      </c>
      <c r="K21" s="0" t="n">
        <f aca="false">K19*K20</f>
        <v>551.042803330735</v>
      </c>
      <c r="L21" s="0" t="n">
        <f aca="false">L19*L20</f>
        <v>518.182452673398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6742.58097072566</v>
      </c>
    </row>
    <row r="31" customFormat="false" ht="15" hidden="false" customHeight="false" outlineLevel="0" collapsed="false">
      <c r="A31" s="0" t="s">
        <v>136</v>
      </c>
      <c r="B31" s="0" t="n">
        <f aca="false">L19</f>
        <v>1226.72631527005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19344.5303561816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18400.8947290508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18400.8947290508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7772.73679010096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14515.3177608266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18398.5347608266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19.7379521969089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-0.284597600691959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272.897115400808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323.334168302982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20.3775892511108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10059.1557852144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12.4130233262574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2.5</v>
      </c>
      <c r="D5" s="4" t="n">
        <f aca="false">Assumptions!D27</f>
        <v>4</v>
      </c>
      <c r="E5" s="4" t="n">
        <f aca="false">Assumptions!E27</f>
        <v>5</v>
      </c>
      <c r="F5" s="4" t="n">
        <f aca="false">Assumptions!F27</f>
        <v>5.5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4666.209</v>
      </c>
      <c r="C6" s="0" t="n">
        <f aca="false">B6*(1+C5/100)</f>
        <v>4782.864225</v>
      </c>
      <c r="D6" s="0" t="n">
        <f aca="false">C6*(1+D5/100)</f>
        <v>4974.178794</v>
      </c>
      <c r="E6" s="0" t="n">
        <f aca="false">D6*(1+E5/100)</f>
        <v>5222.8877337</v>
      </c>
      <c r="F6" s="0" t="n">
        <f aca="false">E6*(1+F5/100)</f>
        <v>5510.1465590535</v>
      </c>
      <c r="G6" s="0" t="n">
        <f aca="false">F6*(1+G5/100)</f>
        <v>5813.20461980144</v>
      </c>
      <c r="H6" s="0" t="n">
        <f aca="false">G6*(1+H5/100)</f>
        <v>6103.86485079151</v>
      </c>
      <c r="I6" s="0" t="n">
        <f aca="false">H6*(1+I5/100)</f>
        <v>6378.53876907713</v>
      </c>
      <c r="J6" s="0" t="n">
        <f aca="false">I6*(1+J5/100)</f>
        <v>6633.68031984022</v>
      </c>
      <c r="K6" s="0" t="n">
        <f aca="false">J6*(1+K5/100)</f>
        <v>6865.85913103463</v>
      </c>
      <c r="L6" s="0" t="n">
        <f aca="false">K6*(1+L5/100)</f>
        <v>7071.83490496566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39.5</v>
      </c>
      <c r="D7" s="4" t="n">
        <f aca="false">Assumptions!D28</f>
        <v>40</v>
      </c>
      <c r="E7" s="4" t="n">
        <f aca="false">Assumptions!E28</f>
        <v>40.5</v>
      </c>
      <c r="F7" s="4" t="n">
        <f aca="false">Assumptions!F28</f>
        <v>41</v>
      </c>
      <c r="G7" s="4" t="n">
        <f aca="false">Assumptions!G28</f>
        <v>41</v>
      </c>
      <c r="H7" s="4" t="n">
        <f aca="false">Assumptions!H28</f>
        <v>41</v>
      </c>
      <c r="I7" s="4" t="n">
        <f aca="false">Assumptions!I28</f>
        <v>41</v>
      </c>
      <c r="J7" s="4" t="n">
        <f aca="false">Assumptions!J28</f>
        <v>41</v>
      </c>
      <c r="K7" s="4" t="n">
        <f aca="false">Assumptions!K28</f>
        <v>41</v>
      </c>
      <c r="L7" s="4" t="n">
        <f aca="false">Assumptions!L28</f>
        <v>41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1889.231368875</v>
      </c>
      <c r="D8" s="0" t="n">
        <f aca="false">D6*D7/100</f>
        <v>1989.6715176</v>
      </c>
      <c r="E8" s="0" t="n">
        <f aca="false">E6*E7/100</f>
        <v>2115.2695321485</v>
      </c>
      <c r="F8" s="0" t="n">
        <f aca="false">F6*F7/100</f>
        <v>2259.16008921193</v>
      </c>
      <c r="G8" s="0" t="n">
        <f aca="false">G6*G7/100</f>
        <v>2383.41389411859</v>
      </c>
      <c r="H8" s="0" t="n">
        <f aca="false">H6*H7/100</f>
        <v>2502.58458882452</v>
      </c>
      <c r="I8" s="0" t="n">
        <f aca="false">I6*I7/100</f>
        <v>2615.20089532162</v>
      </c>
      <c r="J8" s="0" t="n">
        <f aca="false">J6*J7/100</f>
        <v>2719.80893113449</v>
      </c>
      <c r="K8" s="0" t="n">
        <f aca="false">K6*K7/100</f>
        <v>2815.0022437242</v>
      </c>
      <c r="L8" s="0" t="n">
        <f aca="false">L6*L7/100</f>
        <v>2899.45231103592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0.85</v>
      </c>
      <c r="D9" s="4" t="n">
        <f aca="false">Assumptions!D29</f>
        <v>0.85</v>
      </c>
      <c r="E9" s="4" t="n">
        <f aca="false">Assumptions!E29</f>
        <v>0.85</v>
      </c>
      <c r="F9" s="4" t="n">
        <f aca="false">Assumptions!F29</f>
        <v>0.85</v>
      </c>
      <c r="G9" s="4" t="n">
        <f aca="false">Assumptions!G29</f>
        <v>0.85</v>
      </c>
      <c r="H9" s="4" t="n">
        <f aca="false">Assumptions!H29</f>
        <v>0.85</v>
      </c>
      <c r="I9" s="4" t="n">
        <f aca="false">Assumptions!I29</f>
        <v>0.85</v>
      </c>
      <c r="J9" s="4" t="n">
        <f aca="false">Assumptions!J29</f>
        <v>0.85</v>
      </c>
      <c r="K9" s="4" t="n">
        <f aca="false">Assumptions!K29</f>
        <v>0.85</v>
      </c>
      <c r="L9" s="4" t="n">
        <f aca="false">Assumptions!L29</f>
        <v>0.85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-40.6543459125</v>
      </c>
      <c r="D10" s="0" t="n">
        <f aca="false">-D6*D9/100</f>
        <v>-42.280519749</v>
      </c>
      <c r="E10" s="0" t="n">
        <f aca="false">-E6*E9/100</f>
        <v>-44.39454573645</v>
      </c>
      <c r="F10" s="0" t="n">
        <f aca="false">-F6*F9/100</f>
        <v>-46.8362457519547</v>
      </c>
      <c r="G10" s="0" t="n">
        <f aca="false">-G6*G9/100</f>
        <v>-49.4122392683123</v>
      </c>
      <c r="H10" s="0" t="n">
        <f aca="false">-H6*H9/100</f>
        <v>-51.8828512317279</v>
      </c>
      <c r="I10" s="0" t="n">
        <f aca="false">-I6*I9/100</f>
        <v>-54.2175795371556</v>
      </c>
      <c r="J10" s="0" t="n">
        <f aca="false">-J6*J9/100</f>
        <v>-56.3862827186419</v>
      </c>
      <c r="K10" s="0" t="n">
        <f aca="false">-K6*K9/100</f>
        <v>-58.3598026137943</v>
      </c>
      <c r="L10" s="0" t="n">
        <f aca="false">-L6*L9/100</f>
        <v>-60.1105966922081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1848.5770229625</v>
      </c>
      <c r="D11" s="0" t="n">
        <f aca="false">D8+D10+D24</f>
        <v>1947.390997851</v>
      </c>
      <c r="E11" s="0" t="n">
        <f aca="false">E8+E10+E24</f>
        <v>2070.87498641205</v>
      </c>
      <c r="F11" s="0" t="n">
        <f aca="false">F8+F10+F24</f>
        <v>2212.32384345998</v>
      </c>
      <c r="G11" s="0" t="n">
        <f aca="false">G8+G10+G24</f>
        <v>2334.00165485028</v>
      </c>
      <c r="H11" s="0" t="n">
        <f aca="false">H8+H10+H24</f>
        <v>2450.70173759279</v>
      </c>
      <c r="I11" s="0" t="n">
        <f aca="false">I8+I10+I24</f>
        <v>2560.98331578447</v>
      </c>
      <c r="J11" s="0" t="n">
        <f aca="false">J8+J10+J24</f>
        <v>2663.42264841585</v>
      </c>
      <c r="K11" s="0" t="n">
        <f aca="false">K8+K10+K24</f>
        <v>2756.6424411104</v>
      </c>
      <c r="L11" s="0" t="n">
        <f aca="false">L8+L10+L24</f>
        <v>2839.34171434371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-239.14321125</v>
      </c>
      <c r="D12" s="4" t="n">
        <f aca="false">-D6*Assumptions!D31/100</f>
        <v>-248.7089397</v>
      </c>
      <c r="E12" s="4" t="n">
        <f aca="false">-E6*Assumptions!E31/100</f>
        <v>-261.144386685</v>
      </c>
      <c r="F12" s="4" t="n">
        <f aca="false">-F6*Assumptions!F31/100</f>
        <v>-275.507327952675</v>
      </c>
      <c r="G12" s="4" t="n">
        <f aca="false">-G6*Assumptions!G31/100</f>
        <v>-290.660230990072</v>
      </c>
      <c r="H12" s="4" t="n">
        <f aca="false">-H6*Assumptions!H31/100</f>
        <v>-305.193242539576</v>
      </c>
      <c r="I12" s="4" t="n">
        <f aca="false">-I6*Assumptions!I31/100</f>
        <v>-318.926938453857</v>
      </c>
      <c r="J12" s="4" t="n">
        <f aca="false">-J6*Assumptions!J31/100</f>
        <v>-331.684015992011</v>
      </c>
      <c r="K12" s="4" t="n">
        <f aca="false">-K6*Assumptions!K31/100</f>
        <v>-343.292956551731</v>
      </c>
      <c r="L12" s="4" t="n">
        <f aca="false">-L6*Assumptions!L31/100</f>
        <v>-353.591745248283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1609.4338117125</v>
      </c>
      <c r="D13" s="0" t="n">
        <f aca="false">D11+D12</f>
        <v>1698.682058151</v>
      </c>
      <c r="E13" s="0" t="n">
        <f aca="false">E11+E12</f>
        <v>1809.73059972705</v>
      </c>
      <c r="F13" s="0" t="n">
        <f aca="false">F11+F12</f>
        <v>1936.8165155073</v>
      </c>
      <c r="G13" s="0" t="n">
        <f aca="false">G11+G12</f>
        <v>2043.34142386021</v>
      </c>
      <c r="H13" s="0" t="n">
        <f aca="false">H11+H12</f>
        <v>2145.50849505322</v>
      </c>
      <c r="I13" s="0" t="n">
        <f aca="false">I11+I12</f>
        <v>2242.05637733061</v>
      </c>
      <c r="J13" s="0" t="n">
        <f aca="false">J11+J12</f>
        <v>2331.73863242384</v>
      </c>
      <c r="K13" s="0" t="n">
        <f aca="false">K11+K12</f>
        <v>2413.34948455867</v>
      </c>
      <c r="L13" s="0" t="n">
        <f aca="false">L11+L12</f>
        <v>2485.74996909543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21.5</v>
      </c>
      <c r="D14" s="4" t="n">
        <f aca="false">Assumptions!D33</f>
        <v>21.5</v>
      </c>
      <c r="E14" s="4" t="n">
        <f aca="false">Assumptions!E33</f>
        <v>21.5</v>
      </c>
      <c r="F14" s="4" t="n">
        <f aca="false">Assumptions!F33</f>
        <v>21.5</v>
      </c>
      <c r="G14" s="4" t="n">
        <f aca="false">Assumptions!G33</f>
        <v>21.5</v>
      </c>
      <c r="H14" s="4" t="n">
        <f aca="false">Assumptions!H33</f>
        <v>21.5</v>
      </c>
      <c r="I14" s="4" t="n">
        <f aca="false">Assumptions!I33</f>
        <v>21.5</v>
      </c>
      <c r="J14" s="4" t="n">
        <f aca="false">Assumptions!J33</f>
        <v>21.5</v>
      </c>
      <c r="K14" s="4" t="n">
        <f aca="false">Assumptions!K33</f>
        <v>21.5</v>
      </c>
      <c r="L14" s="4" t="n">
        <f aca="false">Assumptions!L33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1263.40554219431</v>
      </c>
      <c r="D15" s="0" t="n">
        <f aca="false">D13-MAX(0,D13)*D14/100</f>
        <v>1333.46541564853</v>
      </c>
      <c r="E15" s="0" t="n">
        <f aca="false">E13-MAX(0,E13)*E14/100</f>
        <v>1420.63852078573</v>
      </c>
      <c r="F15" s="0" t="n">
        <f aca="false">F13-MAX(0,F13)*F14/100</f>
        <v>1520.40096467323</v>
      </c>
      <c r="G15" s="0" t="n">
        <f aca="false">G13-MAX(0,G13)*G14/100</f>
        <v>1604.02301773026</v>
      </c>
      <c r="H15" s="0" t="n">
        <f aca="false">H13-MAX(0,H13)*H14/100</f>
        <v>1684.22416861678</v>
      </c>
      <c r="I15" s="0" t="n">
        <f aca="false">I13-MAX(0,I13)*I14/100</f>
        <v>1760.01425620453</v>
      </c>
      <c r="J15" s="0" t="n">
        <f aca="false">J13-MAX(0,J13)*J14/100</f>
        <v>1830.41482645271</v>
      </c>
      <c r="K15" s="0" t="n">
        <f aca="false">K13-MAX(0,K13)*K14/100</f>
        <v>1894.47934537856</v>
      </c>
      <c r="L15" s="0" t="n">
        <f aca="false">L13-MAX(0,L13)*L14/100</f>
        <v>1951.31372573991</v>
      </c>
    </row>
    <row r="16" customFormat="false" ht="15" hidden="false" customHeight="false" outlineLevel="0" collapsed="false">
      <c r="A16" s="0" t="s">
        <v>127</v>
      </c>
      <c r="C16" s="0" t="n">
        <f aca="false">-C12</f>
        <v>239.14321125</v>
      </c>
      <c r="D16" s="0" t="n">
        <f aca="false">-D12</f>
        <v>248.7089397</v>
      </c>
      <c r="E16" s="0" t="n">
        <f aca="false">-E12</f>
        <v>261.144386685</v>
      </c>
      <c r="F16" s="0" t="n">
        <f aca="false">-F12</f>
        <v>275.507327952675</v>
      </c>
      <c r="G16" s="0" t="n">
        <f aca="false">-G12</f>
        <v>290.660230990072</v>
      </c>
      <c r="H16" s="0" t="n">
        <f aca="false">-H12</f>
        <v>305.193242539576</v>
      </c>
      <c r="I16" s="0" t="n">
        <f aca="false">-I12</f>
        <v>318.926938453857</v>
      </c>
      <c r="J16" s="0" t="n">
        <f aca="false">-J12</f>
        <v>331.684015992011</v>
      </c>
      <c r="K16" s="0" t="n">
        <f aca="false">-K12</f>
        <v>343.292956551731</v>
      </c>
      <c r="L16" s="0" t="n">
        <f aca="false">-L12</f>
        <v>353.591745248283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-478.2864225</v>
      </c>
      <c r="D17" s="4" t="n">
        <f aca="false">-D6*Assumptions!D32/100</f>
        <v>-497.4178794</v>
      </c>
      <c r="E17" s="4" t="n">
        <f aca="false">-E6*Assumptions!E32/100</f>
        <v>-496.1743347015</v>
      </c>
      <c r="F17" s="4" t="n">
        <f aca="false">-F6*Assumptions!F32/100</f>
        <v>-495.913190314815</v>
      </c>
      <c r="G17" s="4" t="n">
        <f aca="false">-G6*Assumptions!G32/100</f>
        <v>-523.18841578213</v>
      </c>
      <c r="H17" s="4" t="n">
        <f aca="false">-H6*Assumptions!H32/100</f>
        <v>-518.828512317279</v>
      </c>
      <c r="I17" s="4" t="n">
        <f aca="false">-I6*Assumptions!I32/100</f>
        <v>-542.175795371556</v>
      </c>
      <c r="J17" s="4" t="n">
        <f aca="false">-J6*Assumptions!J32/100</f>
        <v>-530.694425587217</v>
      </c>
      <c r="K17" s="4" t="n">
        <f aca="false">-K6*Assumptions!K32/100</f>
        <v>-549.26873048277</v>
      </c>
      <c r="L17" s="4" t="n">
        <f aca="false">-L6*Assumptions!L32/100</f>
        <v>-565.746792397253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-5.83276124999998</v>
      </c>
      <c r="D18" s="4" t="n">
        <f aca="false">(D6-C6)*Assumptions!$B$37/100</f>
        <v>-9.56572845000001</v>
      </c>
      <c r="E18" s="4" t="n">
        <f aca="false">(E6-D6)*Assumptions!$B$37/100</f>
        <v>-12.435446985</v>
      </c>
      <c r="F18" s="4" t="n">
        <f aca="false">(F6-E6)*Assumptions!$B$37/100</f>
        <v>-14.362941267675</v>
      </c>
      <c r="G18" s="4" t="n">
        <f aca="false">(G6-F6)*Assumptions!$B$37/100</f>
        <v>-15.1529030373971</v>
      </c>
      <c r="H18" s="4" t="n">
        <f aca="false">(H6-G6)*Assumptions!$B$37/100</f>
        <v>-14.5330115495036</v>
      </c>
      <c r="I18" s="4" t="n">
        <f aca="false">(I6-H6)*Assumptions!$B$37/100</f>
        <v>-13.7336959142809</v>
      </c>
      <c r="J18" s="4" t="n">
        <f aca="false">(J6-I6)*Assumptions!$B$37/100</f>
        <v>-12.7570775381543</v>
      </c>
      <c r="K18" s="4" t="n">
        <f aca="false">(K6-J6)*Assumptions!$B$37/100</f>
        <v>-11.6089405597203</v>
      </c>
      <c r="L18" s="4" t="n">
        <f aca="false">(L6-K6)*Assumptions!$B$37/100</f>
        <v>-10.2987886965519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1018.42956969431</v>
      </c>
      <c r="D19" s="0" t="n">
        <f aca="false">D15+D16+D17+D18</f>
        <v>1075.19074749853</v>
      </c>
      <c r="E19" s="0" t="n">
        <f aca="false">E15+E16+E17+E18</f>
        <v>1173.17312578423</v>
      </c>
      <c r="F19" s="0" t="n">
        <f aca="false">F15+F16+F17+F18</f>
        <v>1285.63216104342</v>
      </c>
      <c r="G19" s="0" t="n">
        <f aca="false">G15+G16+G17+G18</f>
        <v>1356.34192990081</v>
      </c>
      <c r="H19" s="0" t="n">
        <f aca="false">H15+H16+H17+H18</f>
        <v>1456.05588728957</v>
      </c>
      <c r="I19" s="0" t="n">
        <f aca="false">I15+I16+I17+I18</f>
        <v>1523.03170337255</v>
      </c>
      <c r="J19" s="0" t="n">
        <f aca="false">J15+J16+J17+J18</f>
        <v>1618.64733931935</v>
      </c>
      <c r="K19" s="0" t="n">
        <f aca="false">K15+K16+K17+K18</f>
        <v>1676.8946308878</v>
      </c>
      <c r="L19" s="0" t="n">
        <f aca="false">L15+L16+L17+L18</f>
        <v>1728.85988989439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934.339054765424</v>
      </c>
      <c r="D21" s="0" t="n">
        <f aca="false">D19*D20</f>
        <v>904.966541114834</v>
      </c>
      <c r="E21" s="0" t="n">
        <f aca="false">E19*E20</f>
        <v>905.904906982187</v>
      </c>
      <c r="F21" s="0" t="n">
        <f aca="false">F19*F20</f>
        <v>910.774235039389</v>
      </c>
      <c r="G21" s="0" t="n">
        <f aca="false">G19*G20</f>
        <v>881.529190795005</v>
      </c>
      <c r="H21" s="0" t="n">
        <f aca="false">H19*H20</f>
        <v>868.198551700896</v>
      </c>
      <c r="I21" s="0" t="n">
        <f aca="false">I19*I20</f>
        <v>833.150497726834</v>
      </c>
      <c r="J21" s="0" t="n">
        <f aca="false">J19*J20</f>
        <v>812.344518286427</v>
      </c>
      <c r="K21" s="0" t="n">
        <f aca="false">K19*K20</f>
        <v>772.088871382475</v>
      </c>
      <c r="L21" s="0" t="n">
        <f aca="false">L19*L20</f>
        <v>730.289101099882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8553.58546889335</v>
      </c>
    </row>
    <row r="31" customFormat="false" ht="15" hidden="false" customHeight="false" outlineLevel="0" collapsed="false">
      <c r="A31" s="0" t="s">
        <v>136</v>
      </c>
      <c r="B31" s="0" t="n">
        <f aca="false">L19</f>
        <v>1728.85988989439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29678.761443187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31119.478018099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29678.761443187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12536.6295688813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21090.2150377747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24973.4320377747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26.7915034627574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-0.0289415200160433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313.614645516528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435.885110354818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27.5955669681014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14839.3807215935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15.0898820446164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4.5</v>
      </c>
      <c r="D5" s="4" t="n">
        <f aca="false">Assumptions!D41</f>
        <v>6.5</v>
      </c>
      <c r="E5" s="4" t="n">
        <f aca="false">Assumptions!E41</f>
        <v>7.5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4666.209</v>
      </c>
      <c r="C6" s="0" t="n">
        <f aca="false">B6*(1+C5/100)</f>
        <v>4876.188405</v>
      </c>
      <c r="D6" s="0" t="n">
        <f aca="false">C6*(1+D5/100)</f>
        <v>5193.140651325</v>
      </c>
      <c r="E6" s="0" t="n">
        <f aca="false">D6*(1+E5/100)</f>
        <v>5582.62620017437</v>
      </c>
      <c r="F6" s="0" t="n">
        <f aca="false">E6*(1+F5/100)</f>
        <v>6001.32316518745</v>
      </c>
      <c r="G6" s="0" t="n">
        <f aca="false">F6*(1+G5/100)</f>
        <v>6421.41578675057</v>
      </c>
      <c r="H6" s="0" t="n">
        <f aca="false">G6*(1+H5/100)</f>
        <v>6838.80781288936</v>
      </c>
      <c r="I6" s="0" t="n">
        <f aca="false">H6*(1+I5/100)</f>
        <v>7249.13628166272</v>
      </c>
      <c r="J6" s="0" t="n">
        <f aca="false">I6*(1+J5/100)</f>
        <v>7611.59309574586</v>
      </c>
      <c r="K6" s="0" t="n">
        <f aca="false">J6*(1+K5/100)</f>
        <v>7916.05681957569</v>
      </c>
      <c r="L6" s="0" t="n">
        <f aca="false">K6*(1+L5/100)</f>
        <v>8193.11880826084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40.5</v>
      </c>
      <c r="D7" s="4" t="n">
        <f aca="false">Assumptions!D42</f>
        <v>41.5</v>
      </c>
      <c r="E7" s="4" t="n">
        <f aca="false">Assumptions!E42</f>
        <v>42.5</v>
      </c>
      <c r="F7" s="4" t="n">
        <f aca="false">Assumptions!F42</f>
        <v>43</v>
      </c>
      <c r="G7" s="4" t="n">
        <f aca="false">Assumptions!G42</f>
        <v>43.5</v>
      </c>
      <c r="H7" s="4" t="n">
        <f aca="false">Assumptions!H42</f>
        <v>43.5</v>
      </c>
      <c r="I7" s="4" t="n">
        <f aca="false">Assumptions!I42</f>
        <v>43.5</v>
      </c>
      <c r="J7" s="4" t="n">
        <f aca="false">Assumptions!J42</f>
        <v>43.5</v>
      </c>
      <c r="K7" s="4" t="n">
        <f aca="false">Assumptions!K42</f>
        <v>43.5</v>
      </c>
      <c r="L7" s="4" t="n">
        <f aca="false">Assumptions!L42</f>
        <v>43.5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1974.856304025</v>
      </c>
      <c r="D8" s="0" t="n">
        <f aca="false">D6*D7/100</f>
        <v>2155.15337029988</v>
      </c>
      <c r="E8" s="0" t="n">
        <f aca="false">E6*E7/100</f>
        <v>2372.61613507411</v>
      </c>
      <c r="F8" s="0" t="n">
        <f aca="false">F6*F7/100</f>
        <v>2580.5689610306</v>
      </c>
      <c r="G8" s="0" t="n">
        <f aca="false">G6*G7/100</f>
        <v>2793.3158672365</v>
      </c>
      <c r="H8" s="0" t="n">
        <f aca="false">H6*H7/100</f>
        <v>2974.88139860687</v>
      </c>
      <c r="I8" s="0" t="n">
        <f aca="false">I6*I7/100</f>
        <v>3153.37428252328</v>
      </c>
      <c r="J8" s="0" t="n">
        <f aca="false">J6*J7/100</f>
        <v>3311.04299664945</v>
      </c>
      <c r="K8" s="0" t="n">
        <f aca="false">K6*K7/100</f>
        <v>3443.48471651543</v>
      </c>
      <c r="L8" s="0" t="n">
        <f aca="false">L6*L7/100</f>
        <v>3564.00668159347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0.85</v>
      </c>
      <c r="D9" s="4" t="n">
        <f aca="false">Assumptions!D43</f>
        <v>0.85</v>
      </c>
      <c r="E9" s="4" t="n">
        <f aca="false">Assumptions!E43</f>
        <v>0.85</v>
      </c>
      <c r="F9" s="4" t="n">
        <f aca="false">Assumptions!F43</f>
        <v>0.85</v>
      </c>
      <c r="G9" s="4" t="n">
        <f aca="false">Assumptions!G43</f>
        <v>0.85</v>
      </c>
      <c r="H9" s="4" t="n">
        <f aca="false">Assumptions!H43</f>
        <v>0.85</v>
      </c>
      <c r="I9" s="4" t="n">
        <f aca="false">Assumptions!I43</f>
        <v>0.85</v>
      </c>
      <c r="J9" s="4" t="n">
        <f aca="false">Assumptions!J43</f>
        <v>0.85</v>
      </c>
      <c r="K9" s="4" t="n">
        <f aca="false">Assumptions!K43</f>
        <v>0.85</v>
      </c>
      <c r="L9" s="4" t="n">
        <f aca="false">Assumptions!L43</f>
        <v>0.85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-41.4476014425</v>
      </c>
      <c r="D10" s="0" t="n">
        <f aca="false">-D6*D9/100</f>
        <v>-44.1416955362625</v>
      </c>
      <c r="E10" s="0" t="n">
        <f aca="false">-E6*E9/100</f>
        <v>-47.4523227014822</v>
      </c>
      <c r="F10" s="0" t="n">
        <f aca="false">-F6*F9/100</f>
        <v>-51.0112469040933</v>
      </c>
      <c r="G10" s="0" t="n">
        <f aca="false">-G6*G9/100</f>
        <v>-54.5820341873799</v>
      </c>
      <c r="H10" s="0" t="n">
        <f aca="false">-H6*H9/100</f>
        <v>-58.1298664095596</v>
      </c>
      <c r="I10" s="0" t="n">
        <f aca="false">-I6*I9/100</f>
        <v>-61.6176583941331</v>
      </c>
      <c r="J10" s="0" t="n">
        <f aca="false">-J6*J9/100</f>
        <v>-64.6985413138398</v>
      </c>
      <c r="K10" s="0" t="n">
        <f aca="false">-K6*K9/100</f>
        <v>-67.2864829663934</v>
      </c>
      <c r="L10" s="0" t="n">
        <f aca="false">-L6*L9/100</f>
        <v>-69.6415098702172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1933.4087025825</v>
      </c>
      <c r="D11" s="0" t="n">
        <f aca="false">D8+D10+D24</f>
        <v>2111.01167476361</v>
      </c>
      <c r="E11" s="0" t="n">
        <f aca="false">E8+E10+E24</f>
        <v>2325.16381237263</v>
      </c>
      <c r="F11" s="0" t="n">
        <f aca="false">F8+F10+F24</f>
        <v>2529.55771412651</v>
      </c>
      <c r="G11" s="0" t="n">
        <f aca="false">G8+G10+G24</f>
        <v>2738.73383304912</v>
      </c>
      <c r="H11" s="0" t="n">
        <f aca="false">H8+H10+H24</f>
        <v>2916.75153219731</v>
      </c>
      <c r="I11" s="0" t="n">
        <f aca="false">I8+I10+I24</f>
        <v>3091.75662412915</v>
      </c>
      <c r="J11" s="0" t="n">
        <f aca="false">J8+J10+J24</f>
        <v>3246.34445533561</v>
      </c>
      <c r="K11" s="0" t="n">
        <f aca="false">K8+K10+K24</f>
        <v>3376.19823354903</v>
      </c>
      <c r="L11" s="0" t="n">
        <f aca="false">L8+L10+L24</f>
        <v>3494.36517172325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-243.80942025</v>
      </c>
      <c r="D12" s="4" t="n">
        <f aca="false">-D6*Assumptions!D45/100</f>
        <v>-259.65703256625</v>
      </c>
      <c r="E12" s="4" t="n">
        <f aca="false">-E6*Assumptions!E45/100</f>
        <v>-279.131310008719</v>
      </c>
      <c r="F12" s="4" t="n">
        <f aca="false">-F6*Assumptions!F45/100</f>
        <v>-300.066158259373</v>
      </c>
      <c r="G12" s="4" t="n">
        <f aca="false">-G6*Assumptions!G45/100</f>
        <v>-321.070789337529</v>
      </c>
      <c r="H12" s="4" t="n">
        <f aca="false">-H6*Assumptions!H45/100</f>
        <v>-341.940390644468</v>
      </c>
      <c r="I12" s="4" t="n">
        <f aca="false">-I6*Assumptions!I45/100</f>
        <v>-362.456814083136</v>
      </c>
      <c r="J12" s="4" t="n">
        <f aca="false">-J6*Assumptions!J45/100</f>
        <v>-380.579654787293</v>
      </c>
      <c r="K12" s="4" t="n">
        <f aca="false">-K6*Assumptions!K45/100</f>
        <v>-395.802840978785</v>
      </c>
      <c r="L12" s="4" t="n">
        <f aca="false">-L6*Assumptions!L45/100</f>
        <v>-409.655940413042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1689.5992823325</v>
      </c>
      <c r="D13" s="0" t="n">
        <f aca="false">D11+D12</f>
        <v>1851.35464219736</v>
      </c>
      <c r="E13" s="0" t="n">
        <f aca="false">E11+E12</f>
        <v>2046.03250236391</v>
      </c>
      <c r="F13" s="0" t="n">
        <f aca="false">F11+F12</f>
        <v>2229.49155586714</v>
      </c>
      <c r="G13" s="0" t="n">
        <f aca="false">G11+G12</f>
        <v>2417.66304371159</v>
      </c>
      <c r="H13" s="0" t="n">
        <f aca="false">H11+H12</f>
        <v>2574.81114155284</v>
      </c>
      <c r="I13" s="0" t="n">
        <f aca="false">I11+I12</f>
        <v>2729.29981004602</v>
      </c>
      <c r="J13" s="0" t="n">
        <f aca="false">J11+J12</f>
        <v>2865.76480054832</v>
      </c>
      <c r="K13" s="0" t="n">
        <f aca="false">K11+K12</f>
        <v>2980.39539257025</v>
      </c>
      <c r="L13" s="0" t="n">
        <f aca="false">L11+L12</f>
        <v>3084.70923131021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21.5</v>
      </c>
      <c r="D14" s="4" t="n">
        <f aca="false">Assumptions!D47</f>
        <v>21.5</v>
      </c>
      <c r="E14" s="4" t="n">
        <f aca="false">Assumptions!E47</f>
        <v>21.5</v>
      </c>
      <c r="F14" s="4" t="n">
        <f aca="false">Assumptions!F47</f>
        <v>21.5</v>
      </c>
      <c r="G14" s="4" t="n">
        <f aca="false">Assumptions!G47</f>
        <v>21.5</v>
      </c>
      <c r="H14" s="4" t="n">
        <f aca="false">Assumptions!H47</f>
        <v>21.5</v>
      </c>
      <c r="I14" s="4" t="n">
        <f aca="false">Assumptions!I47</f>
        <v>21.5</v>
      </c>
      <c r="J14" s="4" t="n">
        <f aca="false">Assumptions!J47</f>
        <v>21.5</v>
      </c>
      <c r="K14" s="4" t="n">
        <f aca="false">Assumptions!K47</f>
        <v>21.5</v>
      </c>
      <c r="L14" s="4" t="n">
        <f aca="false">Assumptions!L47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1326.33543663101</v>
      </c>
      <c r="D15" s="0" t="n">
        <f aca="false">D13-MAX(0,D13)*D14/100</f>
        <v>1453.31339412493</v>
      </c>
      <c r="E15" s="0" t="n">
        <f aca="false">E13-MAX(0,E13)*E14/100</f>
        <v>1606.13551435567</v>
      </c>
      <c r="F15" s="0" t="n">
        <f aca="false">F13-MAX(0,F13)*F14/100</f>
        <v>1750.1508713557</v>
      </c>
      <c r="G15" s="0" t="n">
        <f aca="false">G13-MAX(0,G13)*G14/100</f>
        <v>1897.8654893136</v>
      </c>
      <c r="H15" s="0" t="n">
        <f aca="false">H13-MAX(0,H13)*H14/100</f>
        <v>2021.22674611898</v>
      </c>
      <c r="I15" s="0" t="n">
        <f aca="false">I13-MAX(0,I13)*I14/100</f>
        <v>2142.50035088612</v>
      </c>
      <c r="J15" s="0" t="n">
        <f aca="false">J13-MAX(0,J13)*J14/100</f>
        <v>2249.62536843043</v>
      </c>
      <c r="K15" s="0" t="n">
        <f aca="false">K13-MAX(0,K13)*K14/100</f>
        <v>2339.61038316764</v>
      </c>
      <c r="L15" s="0" t="n">
        <f aca="false">L13-MAX(0,L13)*L14/100</f>
        <v>2421.49674657851</v>
      </c>
    </row>
    <row r="16" customFormat="false" ht="15" hidden="false" customHeight="false" outlineLevel="0" collapsed="false">
      <c r="A16" s="0" t="s">
        <v>127</v>
      </c>
      <c r="C16" s="0" t="n">
        <f aca="false">-C12</f>
        <v>243.80942025</v>
      </c>
      <c r="D16" s="0" t="n">
        <f aca="false">-D12</f>
        <v>259.65703256625</v>
      </c>
      <c r="E16" s="0" t="n">
        <f aca="false">-E12</f>
        <v>279.131310008719</v>
      </c>
      <c r="F16" s="0" t="n">
        <f aca="false">-F12</f>
        <v>300.066158259373</v>
      </c>
      <c r="G16" s="0" t="n">
        <f aca="false">-G12</f>
        <v>321.070789337529</v>
      </c>
      <c r="H16" s="0" t="n">
        <f aca="false">-H12</f>
        <v>341.940390644468</v>
      </c>
      <c r="I16" s="0" t="n">
        <f aca="false">-I12</f>
        <v>362.456814083136</v>
      </c>
      <c r="J16" s="0" t="n">
        <f aca="false">-J12</f>
        <v>380.579654787293</v>
      </c>
      <c r="K16" s="0" t="n">
        <f aca="false">-K12</f>
        <v>395.802840978785</v>
      </c>
      <c r="L16" s="0" t="n">
        <f aca="false">-L12</f>
        <v>409.655940413042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-487.6188405</v>
      </c>
      <c r="D17" s="4" t="n">
        <f aca="false">-D6*Assumptions!D46/100</f>
        <v>-545.279768389125</v>
      </c>
      <c r="E17" s="4" t="n">
        <f aca="false">-E6*Assumptions!E46/100</f>
        <v>-558.262620017438</v>
      </c>
      <c r="F17" s="4" t="n">
        <f aca="false">-F6*Assumptions!F46/100</f>
        <v>-600.132316518745</v>
      </c>
      <c r="G17" s="4" t="n">
        <f aca="false">-G6*Assumptions!G46/100</f>
        <v>-610.034499741305</v>
      </c>
      <c r="H17" s="4" t="n">
        <f aca="false">-H6*Assumptions!H46/100</f>
        <v>-615.492703160042</v>
      </c>
      <c r="I17" s="4" t="n">
        <f aca="false">-I6*Assumptions!I46/100</f>
        <v>-652.422265349645</v>
      </c>
      <c r="J17" s="4" t="n">
        <f aca="false">-J6*Assumptions!J46/100</f>
        <v>-646.985413138398</v>
      </c>
      <c r="K17" s="4" t="n">
        <f aca="false">-K6*Assumptions!K46/100</f>
        <v>-672.864829663934</v>
      </c>
      <c r="L17" s="4" t="n">
        <f aca="false">-L6*Assumptions!L46/100</f>
        <v>-696.415098702172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-10.49897025</v>
      </c>
      <c r="D18" s="4" t="n">
        <f aca="false">(D6-C6)*Assumptions!$B$51/100</f>
        <v>-15.84761231625</v>
      </c>
      <c r="E18" s="4" t="n">
        <f aca="false">(E6-D6)*Assumptions!$B$51/100</f>
        <v>-19.4742774424687</v>
      </c>
      <c r="F18" s="4" t="n">
        <f aca="false">(F6-E6)*Assumptions!$B$51/100</f>
        <v>-20.9348482506539</v>
      </c>
      <c r="G18" s="4" t="n">
        <f aca="false">(G6-F6)*Assumptions!$B$51/100</f>
        <v>-21.0046310781561</v>
      </c>
      <c r="H18" s="4" t="n">
        <f aca="false">(H6-G6)*Assumptions!$B$51/100</f>
        <v>-20.8696013069393</v>
      </c>
      <c r="I18" s="4" t="n">
        <f aca="false">(I6-H6)*Assumptions!$B$51/100</f>
        <v>-20.5164234386681</v>
      </c>
      <c r="J18" s="4" t="n">
        <f aca="false">(J6-I6)*Assumptions!$B$51/100</f>
        <v>-18.1228407041568</v>
      </c>
      <c r="K18" s="4" t="n">
        <f aca="false">(K6-J6)*Assumptions!$B$51/100</f>
        <v>-15.2231861914917</v>
      </c>
      <c r="L18" s="4" t="n">
        <f aca="false">(L6-K6)*Assumptions!$B$51/100</f>
        <v>-13.8530994342575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1072.02704613101</v>
      </c>
      <c r="D19" s="0" t="n">
        <f aca="false">D15+D16+D17+D18</f>
        <v>1151.8430459858</v>
      </c>
      <c r="E19" s="0" t="n">
        <f aca="false">E15+E16+E17+E18</f>
        <v>1307.52992690448</v>
      </c>
      <c r="F19" s="0" t="n">
        <f aca="false">F15+F16+F17+F18</f>
        <v>1429.14986484568</v>
      </c>
      <c r="G19" s="0" t="n">
        <f aca="false">G15+G16+G17+G18</f>
        <v>1587.89714783167</v>
      </c>
      <c r="H19" s="0" t="n">
        <f aca="false">H15+H16+H17+H18</f>
        <v>1726.80483229647</v>
      </c>
      <c r="I19" s="0" t="n">
        <f aca="false">I15+I16+I17+I18</f>
        <v>1832.01847618094</v>
      </c>
      <c r="J19" s="0" t="n">
        <f aca="false">J15+J16+J17+J18</f>
        <v>1965.09676937517</v>
      </c>
      <c r="K19" s="0" t="n">
        <f aca="false">K15+K16+K17+K18</f>
        <v>2047.325208291</v>
      </c>
      <c r="L19" s="0" t="n">
        <f aca="false">L15+L16+L17+L18</f>
        <v>2120.88448885513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983.511051496342</v>
      </c>
      <c r="D21" s="0" t="n">
        <f aca="false">D19*D20</f>
        <v>969.483247189466</v>
      </c>
      <c r="E21" s="0" t="n">
        <f aca="false">E19*E20</f>
        <v>1009.65300924109</v>
      </c>
      <c r="F21" s="0" t="n">
        <f aca="false">F19*F20</f>
        <v>1012.4457946471</v>
      </c>
      <c r="G21" s="0" t="n">
        <f aca="false">G19*G20</f>
        <v>1032.02419458942</v>
      </c>
      <c r="H21" s="0" t="n">
        <f aca="false">H19*H20</f>
        <v>1029.63730139553</v>
      </c>
      <c r="I21" s="0" t="n">
        <f aca="false">I19*I20</f>
        <v>1002.17684365665</v>
      </c>
      <c r="J21" s="0" t="n">
        <f aca="false">J19*J20</f>
        <v>986.21580484329</v>
      </c>
      <c r="K21" s="0" t="n">
        <f aca="false">K19*K20</f>
        <v>942.645399601175</v>
      </c>
      <c r="L21" s="0" t="n">
        <f aca="false">L19*L20</f>
        <v>895.884528269844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9863.6771749299</v>
      </c>
    </row>
    <row r="31" customFormat="false" ht="15" hidden="false" customHeight="false" outlineLevel="0" collapsed="false">
      <c r="A31" s="0" t="s">
        <v>136</v>
      </c>
      <c r="B31" s="0" t="n">
        <f aca="false">L19</f>
        <v>2120.88448885513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39911.1899266374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42417.6897771025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39911.1899266374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16858.917941078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26722.5951160079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30605.8121160079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32.833922067509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0.190066040866584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344.668452443122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553.58059638059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33.7975638475246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19087.9603996961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17.2236190901224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19.7379521969089</v>
      </c>
      <c r="C4" s="0" t="n">
        <f aca="false">B4/Assumptions!$B$2-1</f>
        <v>-0.284597600691959</v>
      </c>
      <c r="D4" s="4" t="n">
        <f aca="false">Assumptions!$B$24</f>
        <v>0.25</v>
      </c>
      <c r="E4" s="4" t="n">
        <f aca="false">DCF_Bear!$B$43</f>
        <v>20.3775892511108</v>
      </c>
      <c r="F4" s="4" t="n">
        <f aca="false">DCF_Bear!$B$47</f>
        <v>12.4130233262574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26.7915034627574</v>
      </c>
      <c r="C5" s="0" t="n">
        <f aca="false">B5/Assumptions!$B$2-1</f>
        <v>-0.0289415200160433</v>
      </c>
      <c r="D5" s="4" t="n">
        <f aca="false">Assumptions!$B$38</f>
        <v>0.5</v>
      </c>
      <c r="E5" s="4" t="n">
        <f aca="false">DCF_Base!$B$43</f>
        <v>27.5955669681014</v>
      </c>
      <c r="F5" s="4" t="n">
        <f aca="false">DCF_Base!$B$47</f>
        <v>15.0898820446164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32.833922067509</v>
      </c>
      <c r="C6" s="0" t="n">
        <f aca="false">B6/Assumptions!$B$2-1</f>
        <v>0.190066040866584</v>
      </c>
      <c r="D6" s="4" t="n">
        <f aca="false">Assumptions!$B$52</f>
        <v>0.25</v>
      </c>
      <c r="E6" s="4" t="n">
        <f aca="false">DCF_Bull!$B$43</f>
        <v>33.7975638475246</v>
      </c>
      <c r="F6" s="4" t="n">
        <f aca="false">DCF_Bull!$B$47</f>
        <v>17.2236190901224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26.5387202974832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27.3415717587095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-0.0396130518251303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130.943238355822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14.9541016264031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26.7915034627574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23.4336681336753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20.9208180355109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18.9709766660813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15.0898820446164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31.2731601265769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31.2731601265769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31.2731601265769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31.2731601265769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31.2731601265769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28.4091875059713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29.2682823230694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29.2682823230694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29.2682823230694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29.2682823230694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24.7582529899619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25.6966762850983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26.7915034627574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27.4443820549394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27.4443820549394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22.0290558555459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22.6845415853396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23.4336681336753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24.2980449202165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25.3064845045146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19.9137951316609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20.3876882628844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20.9208180355109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21.5250317778208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22.2155617690322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2026-09-26T01:04:38Z</dcterms:created>
  <dc:creator>openpyxl</dc:creator>
  <dc:description/>
  <dc:language>en-NZ</dc:language>
  <cp:lastModifiedBy/>
  <dcterms:modified xsi:type="dcterms:W3CDTF">2026-09-26T01:04:38Z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