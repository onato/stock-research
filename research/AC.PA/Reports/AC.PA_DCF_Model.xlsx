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<sst xmlns="http://schemas.openxmlformats.org/spreadsheetml/2006/main" count="397" uniqueCount="195">
  <si>
    <t xml:space="preserve">Ticker</t>
  </si>
  <si>
    <t xml:space="preserve">AC.PA</t>
  </si>
  <si>
    <t xml:space="preserve">Company</t>
  </si>
  <si>
    <t xml:space="preserve">Accor SA</t>
  </si>
  <si>
    <t xml:space="preserve">Valuation date</t>
  </si>
  <si>
    <t xml:space="preserve">2026-10-25</t>
  </si>
  <si>
    <t xml:space="preserve">Current price</t>
  </si>
  <si>
    <t xml:space="preserve">Price as of</t>
  </si>
  <si>
    <t xml:space="preserve">2026-10-23T15:36:40Z regular close (Euronext Paris)</t>
  </si>
  <si>
    <t xml:space="preserve">Balance sheet date</t>
  </si>
  <si>
    <t xml:space="preserve">2025-12-31 for every anchor (FY2025 URD consolidated balance sheet and notes 7, 9, 11, 13): gross debt, cash, derivative assets, lease liabilities, hybrids, NCI, equity-accounted investments, share count. Supersedes the prior mix of Dec-2025 presentation net debt and Jun-2025 interim balance-sheet items.</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</si>
  <si>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</si>
  <si>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</si>
  <si>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</si>
  <si>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</si>
  <si>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</si>
  <si>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</si>
  <si>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</si>
  <si>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</si>
  <si>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</si>
  <si>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</si>
  <si>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2026-10-25T07:03:42Z</t>
  </si>
  <si>
    <t xml:space="preserve">Drivers file</t>
  </si>
  <si>
    <t xml:space="preserve">AC.PA_Drivers.json</t>
  </si>
  <si>
    <t xml:space="preserve">Convention</t>
  </si>
  <si>
    <t xml:space="preserve">Percents stored as percents; formulas divide by 100. Blue = input, green = link, black = formula.</t>
  </si>
  <si>
    <t xml:space="preserve">Methodology</t>
  </si>
  <si>
    <t xml:space="preserve">summary: Value Accor as the fee stream it has become since the AccorInvest disposal: unlevered owner FCF built from a consolidated EBITDA margin that expands with fee mix, with SBC expensed, lease cash charged in the flows, NCI leakage charged in the tax line, hybrids treated as debt and the equity-accounted Essendi/Kasada stakes added at book because their income is outside the flows. Risk is charged once, in the scenario weights (25/50/25), with a single EUR-built 8% WACC.
key_risks_to_valuation: RevPAR cyclicality and geopolitics: FY2026 guidance is conditional on no further UAE deterioration; a European recession would push RevPAR negative as in the bear case.; Fee-margin mix: the base case relies on M&amp;F fees outgrowing pass-through Services-to-Owners revenue; if reimbursed costs and SMDL scale faster, consolidated margin stalls near 22%.; Essendi disposal: EUR 846m book stake under MoU with undisclosed price; EUR 1,405m of equity-accounted investments sit in the bridge at book (~EUR 6.0/share), so a 25% haircut on Essendi alone is ~EUR 0.9/share.; NCI leakage: Ennismore's 38% minority grows faster than the group; the 6.5pp leakage assumption may prove light if Lifestyle keeps outgrowing economy.; FX: ~40% of fees in USD-linked and EM currencies; FY2025 reported EBITDA growth was +7% vs +13% at constant currency.; Terminal value is ~60% of EV at 18x owner FCF; at 14x the base IV falls materially (see sensitivity grid).; Share count: the 2026 EUR 450m buyback at ~EUR 45 retires ~10m shares (4%) after the 31-Dec-2025 count used here; it is value-neutral at market only if the shares are bought near intrinsic value.</t>
  </si>
  <si>
    <t xml:space="preserve">Data sources</t>
  </si>
  <si>
    <t xml:space="preserve">price: Yahoo Finance chart API, regular close at inputs.price_as_of; 52-week range 37.54-52.00 EUR.
financials: AC.PA_Metrics.csv / AC.PA.duckdb core_metrics and kpis (FY2014-FY2025, EUR millions); FY2025 Universal Registration Document (AC.PA_Annual_FY2025.txt: balance sheet 31-Dec-2025, net financial debt note 11.2.1, lease note 9, equity-accounted investments note 7.2, equity and EPS note 13, cash-flow statement); FY2025 results presentation (recurring EBITDA, recurring FCF table); FY2024 URD (ROU depreciation 123 note 9, lease interest 32, associates note 7); Q1-2026 and Q3-2026 revenue releases (FY2026 guidance, Essendi MoU, 2026 buyback).
qualitative: AC.PA_Analysis.json was not yet available at build time; business context from the FY2024/FY2025 URDs, FY2025 and H1-2025 presentations, and the Q3-2026 release (CMD 2023-27 targets, franchise pivot, Essendi disposal).</t>
  </si>
  <si>
    <t xml:space="preserve">Scenario narrative: bear</t>
  </si>
  <si>
    <t xml:space="preserve">A 2027-28 downturn: RevPAR falls ~5%, openings are deferred, owner support (key money, guarantees) rises, Lifestyle demand proves more cyclical than economy, FX (USD/AUD/TRY) stays a headwind; margin troughs at 19% and recovers only to 21.5%, growth settles at 2-2.5%, exit multiple 14x.</t>
  </si>
  <si>
    <t xml:space="preserve">Scenario narrative: base</t>
  </si>
  <si>
    <t xml:space="preserve">Accor delivers the lower-middle of its 2023-27 CMD algorithm: RevPAR +2.5-3.5%, NUG ~3.5%, M&amp;F fees +6-7% cc, Services to Owners roughly break-even-to-positive, recurring EBITDA +7-9%/yr to FY2028 then mid-single-digit; consolidated margin drifts from 21.3% (FY2025) to 25% by FY2034 as fees outgrow pass-through revenue. Cash is returned via buybacks (flat count) and a rising dividend; the Essendi stake is monetised near book. Risks priced in weights rather than WACC.</t>
  </si>
  <si>
    <t xml:space="preserve">Scenario narrative: bull</t>
  </si>
  <si>
    <t xml:space="preserve">Luxury &amp; Lifestyle (Ennismore, Raffles/Fairmont/Orient Express) keeps compounding fees at 12%+ cc, NUG runs 4.5-5% on a pipeline growing ~10%/yr, the franchise pivot lifts fee margin and cuts capex, Middle East recovers in 2027; margin reaches 28% by FY2035 and the exit multiple is a quality-franchisor 20x.</t>
  </si>
  <si>
    <t xml:space="preserve">Item</t>
  </si>
  <si>
    <t xml:space="preserve">Value</t>
  </si>
  <si>
    <t xml:space="preserve">Note</t>
  </si>
  <si>
    <t xml:space="preserve">Prior valuation_date</t>
  </si>
  <si>
    <t xml:space="preserve">Prior price_then</t>
  </si>
  <si>
    <t xml:space="preserve">Prior bear</t>
  </si>
  <si>
    <t xml:space="preserve">Prior base</t>
  </si>
  <si>
    <t xml:space="preserve">Prior bull</t>
  </si>
  <si>
    <t xml:space="preserve">Prior weighted</t>
  </si>
  <si>
    <t xml:space="preserve">Prior note</t>
  </si>
  <si>
    <t xml:space="preserve">Same-day first build from the FY2025 results presentation with a derived 234.0m share count, Dec-2025 net debt less an estimated ~690 of leases (2,374), and Jun-2025 hybrids (991), NCI and equity-accounted investments (1,325).</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</si>
  <si>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</si>
  <si>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</si>
  <si>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</si>
  <si>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</si>
  <si>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</si>
  <si>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</si>
  <si>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</si>
  <si>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t>
  </si>
  <si>
    <t xml:space="preserve">Anchor refresh: ex-lease net debt 2,374 -&gt; 2,424 (actual Dec-2025 lease liabilities 639 vs ~690 estimate)</t>
  </si>
  <si>
    <t xml:space="preserve">Anchor refresh: equity-accounted investments 1,325 (Jun-2025) -&gt; 1,405 (Dec-2025 URD)</t>
  </si>
  <si>
    <t xml:space="preserve">Anchor refresh: fully diluted shares 234.0m (derived) -&gt; 235.08m (URD 234.707m issued, no treasury, + 0.373m dilutive)</t>
  </si>
  <si>
    <t xml:space="preserve">Hybrids 991 -&gt; 991; NCI stays in the flows; no operating driver, weight, WACC or terminal change</t>
  </si>
  <si>
    <t xml:space="preserve">Price move (Friday close unchanged since prior build)</t>
  </si>
  <si>
    <t xml:space="preserve">New weighted IV</t>
  </si>
  <si>
    <t xml:space="preserve">ties to probability_weighted.weighted_iv; weighted EV ~13,080 unchanged, equity bridge -2,010 (was -2,040) over 235.08m shares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</si>
  <si>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</si>
  <si>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</si>
  <si>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</si>
  <si>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</si>
  <si>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</si>
  <si>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</si>
  <si>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</si>
  <si>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</si>
  <si>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</si>
  <si>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</si>
  <si>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</si>
  <si>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</si>
  <si>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</si>
  <si>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</si>
  <si>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</si>
  <si>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</si>
  <si>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</si>
  <si>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</si>
  <si>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</si>
  <si>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</si>
  <si>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</si>
  <si>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</si>
  <si>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</si>
  <si>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</si>
  <si>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</si>
  <si>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</si>
  <si>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</si>
  <si>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Occupancy</t>
  </si>
  <si>
    <t xml:space="preserve">OrdinaryShareholdersEquity</t>
  </si>
  <si>
    <t xml:space="preserve">RevPAR</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</si>
  <si>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</si>
  <si>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</si>
  <si>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</si>
  <si>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</si>
  <si>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</si>
  <si>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</si>
  <si>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</si>
  <si>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</si>
  <si>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</si>
  <si>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</si>
  <si>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</si>
  <si>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</si>
  <si>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</si>
  <si>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</si>
  <si>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</si>
  <si>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</si>
  <si>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</si>
  <si>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</si>
  <si>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</si>
  <si>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</si>
  <si>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</si>
  <si>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</si>
  <si>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</si>
  <si>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</si>
  <si>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</si>
  <si>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</si>
  <si>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</si>
  <si>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</si>
  <si>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</si>
  <si>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</si>
  <si>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</si>
  <si>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</si>
  <si>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</si>
  <si>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</si>
  <si>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</si>
  <si>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</si>
  <si>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</si>
  <si>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</si>
  <si>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</si>
  <si>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</si>
  <si>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</si>
  <si>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</si>
  <si>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</si>
  <si>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</si>
  <si>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</si>
  <si>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</si>
  <si>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</si>
  <si>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</si>
  <si>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AC.PA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</si>
  <si>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</si>
  <si>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</si>
  <si>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</si>
  <si>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</si>
  <si>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</si>
  <si>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</si>
  <si>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</si>
  <si>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</si>
  <si>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</si>
  <si>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</si>
  <si>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</si>
  <si>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</si>
  <si>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</si>
  <si>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</si>
  <si>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</si>
  <si>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</si>
  <si>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</si>
  <si>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</si>
  <si>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</si>
  <si>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</si>
  <si>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</si>
  <si>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</si>
  <si>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</si>
  <si>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</si>
  <si>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</si>
  <si>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</si>
  <si>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</si>
  <si>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</si>
  <si>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</si>
  <si>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</si>
  <si>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AC.PA owner-FCF component DCF: base case (millions, EUR)</t>
  </si>
  <si>
    <t xml:space="preserve">AC.PA owner-FCF component DCF: bull case (millions, EUR)</t>
  </si>
  <si>
    <t xml:space="preserve">AC.PA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</si>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</sst>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44.53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36</v>
      </c>
      <c r="B1" s="2" t="s">
        <v>37</v>
      </c>
      <c r="C1" s="2" t="s">
        <v>38</v>
      </c>
    </row>
    <row r="2" customFormat="false" ht="15" hidden="false" customHeight="false" outlineLevel="0" collapsed="false">
      <c r="A2" s="0" t="s">
        <v>39</v>
      </c>
      <c r="B2" s="0" t="s">
        <v>5</v>
      </c>
    </row>
    <row r="3" customFormat="false" ht="15" hidden="false" customHeight="false" outlineLevel="0" collapsed="false">
      <c r="A3" s="0" t="s">
        <v>40</v>
      </c>
      <c r="B3" s="0" t="n">
        <v>44.53</v>
      </c>
    </row>
    <row r="4" customFormat="false" ht="15" hidden="false" customHeight="false" outlineLevel="0" collapsed="false">
      <c r="A4" s="0" t="s">
        <v>41</v>
      </c>
      <c r="B4" s="0" t="n">
        <v>22.92</v>
      </c>
    </row>
    <row r="5" customFormat="false" ht="15" hidden="false" customHeight="false" outlineLevel="0" collapsed="false">
      <c r="A5" s="0" t="s">
        <v>42</v>
      </c>
      <c r="B5" s="0" t="n">
        <v>49.38</v>
      </c>
    </row>
    <row r="6" customFormat="false" ht="15" hidden="false" customHeight="false" outlineLevel="0" collapsed="false">
      <c r="A6" s="0" t="s">
        <v>43</v>
      </c>
      <c r="B6" s="0" t="n">
        <v>67.06</v>
      </c>
    </row>
    <row r="7" customFormat="false" ht="15" hidden="false" customHeight="false" outlineLevel="0" collapsed="false">
      <c r="A7" s="0" t="s">
        <v>44</v>
      </c>
      <c r="B7" s="0" t="n">
        <v>47.18</v>
      </c>
    </row>
    <row r="8" customFormat="false" ht="15" hidden="false" customHeight="false" outlineLevel="0" collapsed="false">
      <c r="A8" s="0" t="s">
        <v>45</v>
      </c>
      <c r="B8" s="0" t="s">
        <v>46</v>
      </c>
    </row>
    <row r="9" customFormat="false" ht="15" hidden="false" customHeight="false" outlineLevel="0" collapsed="false">
      <c r="A9" s="0" t="s">
        <v>47</v>
      </c>
      <c r="B9" s="0" t="s">
        <v>5</v>
      </c>
    </row>
    <row r="10" customFormat="false" ht="15" hidden="false" customHeight="false" outlineLevel="0" collapsed="false">
      <c r="A10" s="0" t="s">
        <v>48</v>
      </c>
      <c r="B10" s="0" t="n">
        <v>44.53</v>
      </c>
    </row>
    <row r="11" customFormat="false" ht="15" hidden="false" customHeight="false" outlineLevel="0" collapsed="false">
      <c r="A11" s="0" t="s">
        <v>49</v>
      </c>
      <c r="B11" s="0" t="n">
        <v>22.94</v>
      </c>
    </row>
    <row r="12" customFormat="false" ht="15" hidden="false" customHeight="false" outlineLevel="0" collapsed="false">
      <c r="A12" s="0" t="s">
        <v>50</v>
      </c>
      <c r="B12" s="0" t="n">
        <v>49.28</v>
      </c>
    </row>
    <row r="13" customFormat="false" ht="15" hidden="false" customHeight="false" outlineLevel="0" collapsed="false">
      <c r="A13" s="0" t="s">
        <v>51</v>
      </c>
      <c r="B13" s="0" t="n">
        <v>66.88</v>
      </c>
    </row>
    <row r="14" customFormat="false" ht="15" hidden="false" customHeight="false" outlineLevel="0" collapsed="false">
      <c r="A14" s="0" t="s">
        <v>52</v>
      </c>
      <c r="B14" s="0" t="n">
        <v>47.09</v>
      </c>
    </row>
    <row r="16" customFormat="false" ht="15" hidden="false" customHeight="false" outlineLevel="0" collapsed="false">
      <c r="A16" s="2" t="s">
        <v>53</v>
      </c>
    </row>
    <row r="17" customFormat="false" ht="15" hidden="false" customHeight="false" outlineLevel="0" collapsed="false">
      <c r="A17" s="0" t="s">
        <v>54</v>
      </c>
      <c r="B17" s="0" t="n">
        <v>47.18</v>
      </c>
    </row>
    <row r="18" customFormat="false" ht="15" hidden="false" customHeight="false" outlineLevel="0" collapsed="false">
      <c r="A18" s="0" t="s">
        <v>55</v>
      </c>
      <c r="B18" s="0" t="n">
        <v>-0.21</v>
      </c>
    </row>
    <row r="19" customFormat="false" ht="15" hidden="false" customHeight="false" outlineLevel="0" collapsed="false">
      <c r="A19" s="0" t="s">
        <v>56</v>
      </c>
      <c r="B19" s="0" t="n">
        <v>0.34</v>
      </c>
    </row>
    <row r="20" customFormat="false" ht="15" hidden="false" customHeight="false" outlineLevel="0" collapsed="false">
      <c r="A20" s="0" t="s">
        <v>57</v>
      </c>
      <c r="B20" s="0" t="n">
        <v>-0.22</v>
      </c>
    </row>
    <row r="21" customFormat="false" ht="15" hidden="false" customHeight="false" outlineLevel="0" collapsed="false">
      <c r="A21" s="0" t="s">
        <v>58</v>
      </c>
      <c r="B21" s="0" t="n">
        <v>0</v>
      </c>
    </row>
    <row r="22" customFormat="false" ht="15" hidden="false" customHeight="false" outlineLevel="0" collapsed="false">
      <c r="A22" s="0" t="s">
        <v>59</v>
      </c>
      <c r="B22" s="0" t="n">
        <v>0</v>
      </c>
    </row>
    <row r="23" customFormat="false" ht="15" hidden="false" customHeight="false" outlineLevel="0" collapsed="false">
      <c r="A23" s="0" t="s">
        <v>60</v>
      </c>
      <c r="B23" s="0" t="n">
        <v>47.09</v>
      </c>
      <c r="C23" s="0"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62</v>
      </c>
      <c r="B1" s="2" t="s">
        <v>63</v>
      </c>
      <c r="C1" s="2" t="s">
        <v>64</v>
      </c>
      <c r="D1" s="2" t="s">
        <v>65</v>
      </c>
      <c r="E1" s="2" t="s">
        <v>66</v>
      </c>
      <c r="F1" s="2" t="s">
        <v>67</v>
      </c>
      <c r="G1" s="2" t="s">
        <v>68</v>
      </c>
      <c r="H1" s="2" t="s">
        <v>69</v>
      </c>
      <c r="I1" s="2" t="s">
        <v>70</v>
      </c>
      <c r="J1" s="2" t="s">
        <v>71</v>
      </c>
      <c r="K1" s="2" t="s">
        <v>72</v>
      </c>
      <c r="L1" s="2" t="s">
        <v>73</v>
      </c>
      <c r="M1" s="2" t="s">
        <v>74</v>
      </c>
      <c r="N1" s="2" t="s">
        <v>75</v>
      </c>
      <c r="O1" s="2" t="s">
        <v>76</v>
      </c>
      <c r="P1" s="2" t="s">
        <v>77</v>
      </c>
      <c r="Q1" s="2" t="s">
        <v>78</v>
      </c>
      <c r="R1" s="2" t="s">
        <v>79</v>
      </c>
      <c r="S1" s="2" t="s">
        <v>80</v>
      </c>
      <c r="T1" s="2" t="s">
        <v>81</v>
      </c>
      <c r="U1" s="2" t="s">
        <v>82</v>
      </c>
      <c r="V1" s="2" t="s">
        <v>83</v>
      </c>
      <c r="W1" s="2" t="s">
        <v>84</v>
      </c>
      <c r="X1" s="2" t="s">
        <v>85</v>
      </c>
      <c r="Y1" s="2" t="s">
        <v>86</v>
      </c>
      <c r="Z1" s="2" t="s">
        <v>87</v>
      </c>
      <c r="AA1" s="2" t="s">
        <v>16</v>
      </c>
      <c r="AB1" s="2" t="s">
        <v>88</v>
      </c>
      <c r="AC1" s="2" t="s">
        <v>89</v>
      </c>
      <c r="AD1" s="2" t="s">
        <v>90</v>
      </c>
      <c r="AE1" s="2" t="s">
        <v>91</v>
      </c>
    </row>
    <row r="2" customFormat="false" ht="15" hidden="false" customHeight="false" outlineLevel="0" collapsed="false">
      <c r="A2" s="0" t="s">
        <v>92</v>
      </c>
      <c r="B2" s="0" t="n">
        <v>5454</v>
      </c>
      <c r="F2" s="0" t="n">
        <v>602</v>
      </c>
      <c r="G2" s="0" t="n">
        <v>11</v>
      </c>
      <c r="H2" s="0" t="n">
        <v>923</v>
      </c>
      <c r="I2" s="0" t="n">
        <v>223</v>
      </c>
      <c r="J2" s="0" t="n">
        <v>4.1</v>
      </c>
      <c r="K2" s="0" t="n">
        <v>0.96</v>
      </c>
      <c r="L2" s="0" t="n">
        <v>689</v>
      </c>
      <c r="M2" s="0" t="n">
        <v>262</v>
      </c>
      <c r="N2" s="0" t="n">
        <v>427</v>
      </c>
      <c r="O2" s="0" t="n">
        <v>3657</v>
      </c>
      <c r="P2" s="0" t="n">
        <v>8754</v>
      </c>
      <c r="Q2" s="0" t="n">
        <v>4885</v>
      </c>
      <c r="R2" s="0" t="n">
        <v>2866</v>
      </c>
      <c r="S2" s="0" t="n">
        <v>2677</v>
      </c>
      <c r="AA2" s="0" t="s">
        <v>17</v>
      </c>
      <c r="AB2" s="0" t="s">
        <v>14</v>
      </c>
      <c r="AD2" s="0" t="n">
        <v>2770</v>
      </c>
    </row>
    <row r="3" customFormat="false" ht="15" hidden="false" customHeight="false" outlineLevel="0" collapsed="false">
      <c r="A3" s="0" t="s">
        <v>93</v>
      </c>
      <c r="B3" s="0" t="n">
        <v>5581</v>
      </c>
      <c r="F3" s="0" t="n">
        <v>665</v>
      </c>
      <c r="G3" s="0" t="n">
        <v>11.9</v>
      </c>
      <c r="H3" s="0" t="n">
        <v>986</v>
      </c>
      <c r="I3" s="0" t="n">
        <v>244</v>
      </c>
      <c r="J3" s="0" t="n">
        <v>4.4</v>
      </c>
      <c r="K3" s="0" t="n">
        <v>0.88</v>
      </c>
      <c r="L3" s="0" t="n">
        <v>785</v>
      </c>
      <c r="M3" s="0" t="n">
        <v>269</v>
      </c>
      <c r="N3" s="0" t="n">
        <v>516</v>
      </c>
      <c r="O3" s="0" t="n">
        <v>3762</v>
      </c>
      <c r="P3" s="0" t="n">
        <v>8953</v>
      </c>
      <c r="Q3" s="0" t="n">
        <v>4966</v>
      </c>
      <c r="R3" s="0" t="n">
        <v>2836</v>
      </c>
      <c r="S3" s="0" t="n">
        <v>2963</v>
      </c>
      <c r="AA3" s="0" t="s">
        <v>17</v>
      </c>
      <c r="AB3" s="0" t="s">
        <v>14</v>
      </c>
      <c r="AD3" s="0" t="n">
        <v>2875</v>
      </c>
    </row>
    <row r="4" customFormat="false" ht="15" hidden="false" customHeight="false" outlineLevel="0" collapsed="false">
      <c r="A4" s="0" t="s">
        <v>94</v>
      </c>
      <c r="B4" s="0" t="n">
        <v>1603</v>
      </c>
      <c r="F4" s="0" t="n">
        <v>389</v>
      </c>
      <c r="G4" s="0" t="n">
        <v>24.3</v>
      </c>
      <c r="H4" s="0" t="n">
        <v>494</v>
      </c>
      <c r="I4" s="0" t="n">
        <v>265</v>
      </c>
      <c r="J4" s="0" t="n">
        <v>16.5</v>
      </c>
      <c r="K4" s="0" t="n">
        <v>0.88</v>
      </c>
      <c r="L4" s="0" t="n">
        <v>508</v>
      </c>
      <c r="M4" s="0" t="n">
        <v>137</v>
      </c>
      <c r="N4" s="0" t="n">
        <v>371</v>
      </c>
      <c r="O4" s="0" t="n">
        <v>5658</v>
      </c>
      <c r="P4" s="0" t="n">
        <v>11864</v>
      </c>
      <c r="Q4" s="0" t="n">
        <v>5939</v>
      </c>
      <c r="R4" s="0" t="n">
        <v>2857</v>
      </c>
      <c r="S4" s="0" t="n">
        <v>1169</v>
      </c>
      <c r="T4" s="0" t="n">
        <v>284.768</v>
      </c>
      <c r="U4" s="0" t="n">
        <v>14</v>
      </c>
      <c r="AA4" s="0" t="s">
        <v>17</v>
      </c>
      <c r="AB4" s="0" t="s">
        <v>14</v>
      </c>
      <c r="AD4" s="0" t="n">
        <v>4771</v>
      </c>
    </row>
    <row r="5" customFormat="false" ht="15" hidden="false" customHeight="false" outlineLevel="0" collapsed="false">
      <c r="A5" s="0" t="s">
        <v>95</v>
      </c>
      <c r="B5" s="0" t="n">
        <v>1937</v>
      </c>
      <c r="F5" s="0" t="n">
        <v>492</v>
      </c>
      <c r="G5" s="0" t="n">
        <v>25.4</v>
      </c>
      <c r="H5" s="0" t="n">
        <v>626</v>
      </c>
      <c r="I5" s="0" t="n">
        <v>441</v>
      </c>
      <c r="J5" s="0" t="n">
        <v>22.8</v>
      </c>
      <c r="K5" s="0" t="n">
        <v>1.4</v>
      </c>
      <c r="L5" s="0" t="n">
        <v>989</v>
      </c>
      <c r="M5" s="0" t="n">
        <v>110</v>
      </c>
      <c r="N5" s="0" t="n">
        <v>879</v>
      </c>
      <c r="O5" s="0" t="n">
        <v>5485</v>
      </c>
      <c r="P5" s="0" t="n">
        <v>12076</v>
      </c>
      <c r="Q5" s="0" t="n">
        <v>6250</v>
      </c>
      <c r="R5" s="0" t="n">
        <v>3005</v>
      </c>
      <c r="S5" s="0" t="n">
        <v>1063</v>
      </c>
      <c r="T5" s="0" t="n">
        <v>290.122</v>
      </c>
      <c r="U5" s="0" t="n">
        <v>19</v>
      </c>
      <c r="AA5" s="0" t="s">
        <v>17</v>
      </c>
      <c r="AB5" s="0" t="s">
        <v>14</v>
      </c>
      <c r="AD5" s="0" t="n">
        <v>4598</v>
      </c>
    </row>
    <row r="6" customFormat="false" ht="15" hidden="false" customHeight="false" outlineLevel="0" collapsed="false">
      <c r="A6" s="0" t="s">
        <v>96</v>
      </c>
      <c r="B6" s="0" t="n">
        <v>3610</v>
      </c>
      <c r="F6" s="0" t="n">
        <v>550</v>
      </c>
      <c r="G6" s="0" t="n">
        <v>15.2</v>
      </c>
      <c r="H6" s="0" t="n">
        <v>712</v>
      </c>
      <c r="I6" s="0" t="n">
        <v>2233</v>
      </c>
      <c r="J6" s="0" t="n">
        <v>61.9</v>
      </c>
      <c r="K6" s="0" t="n">
        <v>7.6</v>
      </c>
      <c r="L6" s="0" t="n">
        <v>491</v>
      </c>
      <c r="M6" s="0" t="n">
        <v>132</v>
      </c>
      <c r="N6" s="0" t="n">
        <v>359</v>
      </c>
      <c r="O6" s="0" t="n">
        <v>6328</v>
      </c>
      <c r="P6" s="0" t="n">
        <v>12917</v>
      </c>
      <c r="Q6" s="0" t="n">
        <v>6481</v>
      </c>
      <c r="R6" s="0" t="n">
        <v>4028</v>
      </c>
      <c r="S6" s="0" t="n">
        <v>2820</v>
      </c>
      <c r="T6" s="0" t="n">
        <v>282.608</v>
      </c>
      <c r="U6" s="0" t="n">
        <v>20</v>
      </c>
      <c r="AA6" s="0" t="s">
        <v>17</v>
      </c>
      <c r="AB6" s="0" t="s">
        <v>14</v>
      </c>
      <c r="AD6" s="0" t="n">
        <v>5441</v>
      </c>
    </row>
    <row r="7" customFormat="false" ht="15" hidden="false" customHeight="false" outlineLevel="0" collapsed="false">
      <c r="A7" s="0" t="s">
        <v>97</v>
      </c>
      <c r="B7" s="0" t="n">
        <v>4049</v>
      </c>
      <c r="F7" s="0" t="n">
        <v>497</v>
      </c>
      <c r="G7" s="0" t="n">
        <v>12.3</v>
      </c>
      <c r="H7" s="0" t="n">
        <v>825</v>
      </c>
      <c r="I7" s="0" t="n">
        <v>464</v>
      </c>
      <c r="J7" s="0" t="n">
        <v>11.5</v>
      </c>
      <c r="K7" s="0" t="n">
        <v>1.55</v>
      </c>
      <c r="L7" s="0" t="n">
        <v>641</v>
      </c>
      <c r="M7" s="0" t="n">
        <v>119</v>
      </c>
      <c r="N7" s="0" t="n">
        <v>522</v>
      </c>
      <c r="O7" s="0" t="n">
        <v>6830</v>
      </c>
      <c r="P7" s="0" t="n">
        <v>13904</v>
      </c>
      <c r="Q7" s="0" t="n">
        <v>6926</v>
      </c>
      <c r="R7" s="0" t="n">
        <v>3126</v>
      </c>
      <c r="S7" s="0" t="n">
        <v>2279</v>
      </c>
      <c r="T7" s="0" t="n">
        <v>270.932</v>
      </c>
      <c r="U7" s="0" t="n">
        <v>29</v>
      </c>
      <c r="AA7" s="0" t="s">
        <v>17</v>
      </c>
      <c r="AB7" s="0" t="s">
        <v>14</v>
      </c>
      <c r="AD7" s="0" t="n">
        <v>5703</v>
      </c>
    </row>
    <row r="8" customFormat="false" ht="15" hidden="false" customHeight="false" outlineLevel="0" collapsed="false">
      <c r="A8" s="0" t="s">
        <v>98</v>
      </c>
      <c r="B8" s="0" t="n">
        <v>1621</v>
      </c>
      <c r="F8" s="0" t="n">
        <v>-665</v>
      </c>
      <c r="G8" s="0" t="n">
        <v>-41</v>
      </c>
      <c r="H8" s="0" t="n">
        <v>-391</v>
      </c>
      <c r="I8" s="0" t="n">
        <v>-1988</v>
      </c>
      <c r="J8" s="0" t="n">
        <v>-122.6</v>
      </c>
      <c r="K8" s="0" t="n">
        <v>-7.71</v>
      </c>
      <c r="L8" s="0" t="n">
        <v>-463</v>
      </c>
      <c r="M8" s="0" t="n">
        <v>66</v>
      </c>
      <c r="N8" s="0" t="n">
        <v>-529</v>
      </c>
      <c r="O8" s="0" t="n">
        <v>4092</v>
      </c>
      <c r="P8" s="0" t="n">
        <v>10546</v>
      </c>
      <c r="Q8" s="0" t="n">
        <v>6388</v>
      </c>
      <c r="R8" s="0" t="n">
        <v>3442</v>
      </c>
      <c r="S8" s="0" t="n">
        <v>2474</v>
      </c>
      <c r="U8" s="0" t="n">
        <v>32</v>
      </c>
      <c r="AA8" s="0" t="s">
        <v>17</v>
      </c>
      <c r="AB8" s="0" t="s">
        <v>14</v>
      </c>
    </row>
    <row r="9" customFormat="false" ht="15" hidden="false" customHeight="false" outlineLevel="0" collapsed="false">
      <c r="A9" s="0" t="s">
        <v>99</v>
      </c>
      <c r="B9" s="0" t="n">
        <v>2204</v>
      </c>
      <c r="F9" s="0" t="n">
        <v>-228</v>
      </c>
      <c r="G9" s="0" t="n">
        <v>-10.3</v>
      </c>
      <c r="H9" s="0" t="n">
        <v>22</v>
      </c>
      <c r="I9" s="0" t="n">
        <v>85</v>
      </c>
      <c r="J9" s="0" t="n">
        <v>3.9</v>
      </c>
      <c r="K9" s="0" t="n">
        <v>0.19</v>
      </c>
      <c r="L9" s="0" t="n">
        <v>-234</v>
      </c>
      <c r="M9" s="0" t="n">
        <v>82</v>
      </c>
      <c r="N9" s="0" t="n">
        <v>-316</v>
      </c>
      <c r="O9" s="0" t="n">
        <v>4292</v>
      </c>
      <c r="P9" s="0" t="n">
        <v>10669</v>
      </c>
      <c r="Q9" s="0" t="n">
        <v>6120</v>
      </c>
      <c r="R9" s="0" t="n">
        <v>3202</v>
      </c>
      <c r="S9" s="0" t="n">
        <v>1666</v>
      </c>
      <c r="T9" s="0" t="n">
        <v>261.856</v>
      </c>
      <c r="U9" s="0" t="n">
        <v>41</v>
      </c>
      <c r="AA9" s="0" t="s">
        <v>17</v>
      </c>
      <c r="AB9" s="0" t="s">
        <v>14</v>
      </c>
      <c r="AC9" s="0" t="n">
        <v>42.3</v>
      </c>
      <c r="AD9" s="0" t="n">
        <v>3283</v>
      </c>
      <c r="AE9" s="0" t="n">
        <v>33</v>
      </c>
    </row>
    <row r="10" customFormat="false" ht="15" hidden="false" customHeight="false" outlineLevel="0" collapsed="false">
      <c r="A10" s="0" t="s">
        <v>100</v>
      </c>
      <c r="B10" s="0" t="n">
        <v>4224</v>
      </c>
      <c r="F10" s="0" t="n">
        <v>447</v>
      </c>
      <c r="G10" s="0" t="n">
        <v>10.6</v>
      </c>
      <c r="H10" s="0" t="n">
        <v>675</v>
      </c>
      <c r="I10" s="0" t="n">
        <v>402</v>
      </c>
      <c r="J10" s="0" t="n">
        <v>9.5</v>
      </c>
      <c r="K10" s="0" t="n">
        <v>1.39</v>
      </c>
      <c r="L10" s="0" t="n">
        <v>511</v>
      </c>
      <c r="M10" s="0" t="n">
        <v>111</v>
      </c>
      <c r="N10" s="0" t="n">
        <v>400</v>
      </c>
      <c r="O10" s="0" t="n">
        <v>5059</v>
      </c>
      <c r="P10" s="0" t="n">
        <v>11713</v>
      </c>
      <c r="Q10" s="0" t="n">
        <v>6257</v>
      </c>
      <c r="R10" s="0" t="n">
        <v>2869</v>
      </c>
      <c r="S10" s="0" t="n">
        <v>1643</v>
      </c>
      <c r="T10" s="0" t="n">
        <v>263.032</v>
      </c>
      <c r="U10" s="0" t="n">
        <v>43</v>
      </c>
      <c r="AA10" s="0" t="s">
        <v>17</v>
      </c>
      <c r="AB10" s="0" t="s">
        <v>14</v>
      </c>
      <c r="AC10" s="0" t="n">
        <v>59.8</v>
      </c>
      <c r="AD10" s="0" t="n">
        <v>4059</v>
      </c>
      <c r="AE10" s="0" t="n">
        <v>62</v>
      </c>
    </row>
    <row r="11" customFormat="false" ht="15" hidden="false" customHeight="false" outlineLevel="0" collapsed="false">
      <c r="A11" s="0" t="s">
        <v>101</v>
      </c>
      <c r="B11" s="0" t="n">
        <v>5056</v>
      </c>
      <c r="F11" s="0" t="n">
        <v>723</v>
      </c>
      <c r="G11" s="0" t="n">
        <v>14.3</v>
      </c>
      <c r="H11" s="0" t="n">
        <v>1003</v>
      </c>
      <c r="I11" s="0" t="n">
        <v>633</v>
      </c>
      <c r="J11" s="0" t="n">
        <v>12.5</v>
      </c>
      <c r="K11" s="0" t="n">
        <v>2.22</v>
      </c>
      <c r="L11" s="0" t="n">
        <v>669</v>
      </c>
      <c r="M11" s="0" t="n">
        <v>254</v>
      </c>
      <c r="N11" s="0" t="n">
        <v>415</v>
      </c>
      <c r="O11" s="0" t="n">
        <v>4931</v>
      </c>
      <c r="P11" s="0" t="n">
        <v>11267</v>
      </c>
      <c r="Q11" s="0" t="n">
        <v>5956</v>
      </c>
      <c r="R11" s="0" t="n">
        <v>2623</v>
      </c>
      <c r="S11" s="0" t="n">
        <v>1283</v>
      </c>
      <c r="T11" s="0" t="n">
        <v>252.289</v>
      </c>
      <c r="U11" s="0" t="n">
        <v>38</v>
      </c>
      <c r="AA11" s="0" t="s">
        <v>17</v>
      </c>
      <c r="AB11" s="0" t="s">
        <v>14</v>
      </c>
      <c r="AD11" s="0" t="n">
        <v>3931</v>
      </c>
    </row>
    <row r="12" customFormat="false" ht="15" hidden="false" customHeight="false" outlineLevel="0" collapsed="false">
      <c r="A12" s="0" t="s">
        <v>102</v>
      </c>
      <c r="B12" s="0" t="n">
        <v>5606</v>
      </c>
      <c r="F12" s="0" t="n">
        <v>779</v>
      </c>
      <c r="G12" s="0" t="n">
        <v>13.9</v>
      </c>
      <c r="H12" s="0" t="n">
        <v>1120</v>
      </c>
      <c r="I12" s="0" t="n">
        <v>610</v>
      </c>
      <c r="J12" s="0" t="n">
        <v>10.9</v>
      </c>
      <c r="K12" s="0" t="n">
        <v>2.33</v>
      </c>
      <c r="L12" s="0" t="n">
        <v>733</v>
      </c>
      <c r="M12" s="0" t="n">
        <v>293</v>
      </c>
      <c r="N12" s="0" t="n">
        <v>440</v>
      </c>
      <c r="O12" s="0" t="n">
        <v>5032</v>
      </c>
      <c r="P12" s="0" t="n">
        <v>12057</v>
      </c>
      <c r="Q12" s="0" t="n">
        <v>6588</v>
      </c>
      <c r="R12" s="0" t="n">
        <v>3002</v>
      </c>
      <c r="S12" s="0" t="n">
        <v>1244</v>
      </c>
      <c r="T12" s="0" t="n">
        <v>243.668</v>
      </c>
      <c r="U12" s="0" t="n">
        <v>41</v>
      </c>
      <c r="AA12" s="0" t="s">
        <v>17</v>
      </c>
      <c r="AB12" s="0" t="s">
        <v>14</v>
      </c>
      <c r="AD12" s="0" t="n">
        <v>3884</v>
      </c>
    </row>
    <row r="13" customFormat="false" ht="15" hidden="false" customHeight="false" outlineLevel="0" collapsed="false">
      <c r="A13" s="0" t="s">
        <v>103</v>
      </c>
      <c r="B13" s="0" t="n">
        <v>5639</v>
      </c>
      <c r="F13" s="0" t="n">
        <v>871</v>
      </c>
      <c r="G13" s="0" t="n">
        <v>15.4</v>
      </c>
      <c r="H13" s="0" t="n">
        <v>1201</v>
      </c>
      <c r="I13" s="0" t="n">
        <v>449</v>
      </c>
      <c r="J13" s="0" t="n">
        <v>8</v>
      </c>
      <c r="K13" s="0" t="n">
        <v>1.61</v>
      </c>
      <c r="L13" s="0" t="n">
        <v>810</v>
      </c>
      <c r="M13" s="0" t="n">
        <v>197</v>
      </c>
      <c r="N13" s="0" t="n">
        <v>613</v>
      </c>
      <c r="O13" s="0" t="n">
        <v>4285</v>
      </c>
      <c r="P13" s="0" t="n">
        <v>11744</v>
      </c>
      <c r="Q13" s="0" t="n">
        <v>7027</v>
      </c>
      <c r="R13" s="0" t="n">
        <v>3663</v>
      </c>
      <c r="S13" s="0" t="n">
        <v>1205</v>
      </c>
      <c r="T13" s="0" t="n">
        <v>234.707</v>
      </c>
      <c r="U13" s="0" t="n">
        <v>41</v>
      </c>
      <c r="AA13" s="0" t="s">
        <v>17</v>
      </c>
      <c r="AB13" s="0" t="s">
        <v>14</v>
      </c>
      <c r="AD13" s="0" t="n">
        <v>3293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104</v>
      </c>
      <c r="B1" s="2" t="s">
        <v>37</v>
      </c>
    </row>
    <row r="2" customFormat="false" ht="15" hidden="false" customHeight="false" outlineLevel="0" collapsed="false">
      <c r="A2" s="0" t="s">
        <v>105</v>
      </c>
      <c r="B2" s="3" t="n">
        <v>44.53</v>
      </c>
    </row>
    <row r="3" customFormat="false" ht="15" hidden="false" customHeight="false" outlineLevel="0" collapsed="false">
      <c r="A3" s="0" t="s">
        <v>106</v>
      </c>
      <c r="B3" s="3" t="n">
        <v>235.08</v>
      </c>
    </row>
    <row r="4" customFormat="false" ht="15" hidden="false" customHeight="false" outlineLevel="0" collapsed="false">
      <c r="A4" s="0" t="s">
        <v>107</v>
      </c>
      <c r="B4" s="3" t="n">
        <v>2424</v>
      </c>
    </row>
    <row r="5" customFormat="false" ht="15" hidden="false" customHeight="false" outlineLevel="0" collapsed="false">
      <c r="A5" s="0" t="s">
        <v>108</v>
      </c>
      <c r="B5" s="3" t="n">
        <v>414</v>
      </c>
    </row>
    <row r="6" customFormat="false" ht="15" hidden="false" customHeight="false" outlineLevel="0" collapsed="false">
      <c r="A6" s="0" t="s">
        <v>109</v>
      </c>
      <c r="B6" s="3" t="n">
        <v>15</v>
      </c>
    </row>
    <row r="7" customFormat="false" ht="15" hidden="false" customHeight="false" outlineLevel="0" collapsed="false">
      <c r="A7" s="0" t="s">
        <v>110</v>
      </c>
      <c r="B7" s="3" t="n">
        <v>5639</v>
      </c>
    </row>
    <row r="8" customFormat="false" ht="15" hidden="false" customHeight="false" outlineLevel="0" collapsed="false">
      <c r="A8" s="0" t="s">
        <v>111</v>
      </c>
      <c r="B8" s="3" t="s">
        <v>103</v>
      </c>
    </row>
    <row r="9" customFormat="false" ht="15" hidden="false" customHeight="false" outlineLevel="0" collapsed="false">
      <c r="A9" s="0" t="s">
        <v>112</v>
      </c>
      <c r="B9" s="3" t="s">
        <v>113</v>
      </c>
    </row>
    <row r="10" customFormat="false" ht="15" hidden="false" customHeight="false" outlineLevel="0" collapsed="false">
      <c r="A10" s="0" t="s">
        <v>114</v>
      </c>
      <c r="B10" s="3" t="n">
        <v>1</v>
      </c>
    </row>
    <row r="12" customFormat="false" ht="15" hidden="false" customHeight="false" outlineLevel="0" collapsed="false">
      <c r="A12" s="2" t="s">
        <v>115</v>
      </c>
      <c r="C12" s="2" t="s">
        <v>116</v>
      </c>
      <c r="D12" s="2" t="s">
        <v>117</v>
      </c>
      <c r="E12" s="2" t="s">
        <v>118</v>
      </c>
      <c r="F12" s="2" t="s">
        <v>119</v>
      </c>
      <c r="G12" s="2" t="s">
        <v>120</v>
      </c>
      <c r="H12" s="2" t="s">
        <v>121</v>
      </c>
      <c r="I12" s="2" t="s">
        <v>122</v>
      </c>
      <c r="J12" s="2" t="s">
        <v>123</v>
      </c>
      <c r="K12" s="2" t="s">
        <v>124</v>
      </c>
      <c r="L12" s="2" t="s">
        <v>125</v>
      </c>
    </row>
    <row r="13" customFormat="false" ht="15" hidden="false" customHeight="false" outlineLevel="0" collapsed="false">
      <c r="A13" s="0" t="s">
        <v>126</v>
      </c>
      <c r="C13" s="3" t="n">
        <v>3</v>
      </c>
      <c r="D13" s="3" t="n">
        <v>1</v>
      </c>
      <c r="E13" s="3" t="n">
        <v>-3</v>
      </c>
      <c r="F13" s="3" t="n">
        <v>2</v>
      </c>
      <c r="G13" s="3" t="n">
        <v>4</v>
      </c>
      <c r="H13" s="3" t="n">
        <v>3.5</v>
      </c>
      <c r="I13" s="3" t="n">
        <v>3</v>
      </c>
      <c r="J13" s="3" t="n">
        <v>2.5</v>
      </c>
      <c r="K13" s="3" t="n">
        <v>2.5</v>
      </c>
      <c r="L13" s="3" t="n">
        <v>2</v>
      </c>
    </row>
    <row r="14" customFormat="false" ht="15" hidden="false" customHeight="false" outlineLevel="0" collapsed="false">
      <c r="A14" s="0" t="s">
        <v>127</v>
      </c>
      <c r="C14" s="3" t="n">
        <v>21.5</v>
      </c>
      <c r="D14" s="3" t="n">
        <v>20.5</v>
      </c>
      <c r="E14" s="3" t="n">
        <v>19</v>
      </c>
      <c r="F14" s="3" t="n">
        <v>19.5</v>
      </c>
      <c r="G14" s="3" t="n">
        <v>20.5</v>
      </c>
      <c r="H14" s="3" t="n">
        <v>21</v>
      </c>
      <c r="I14" s="3" t="n">
        <v>21.3</v>
      </c>
      <c r="J14" s="3" t="n">
        <v>21.5</v>
      </c>
      <c r="K14" s="3" t="n">
        <v>21.5</v>
      </c>
      <c r="L14" s="3" t="n">
        <v>21.5</v>
      </c>
    </row>
    <row r="15" customFormat="false" ht="15" hidden="false" customHeight="false" outlineLevel="0" collapsed="false">
      <c r="A15" s="0" t="s">
        <v>128</v>
      </c>
      <c r="C15" s="3" t="n">
        <v>0.75</v>
      </c>
      <c r="D15" s="3" t="n">
        <v>0.75</v>
      </c>
      <c r="E15" s="3" t="n">
        <v>0.8</v>
      </c>
      <c r="F15" s="3" t="n">
        <v>0.8</v>
      </c>
      <c r="G15" s="3" t="n">
        <v>0.8</v>
      </c>
      <c r="H15" s="3" t="n">
        <v>0.8</v>
      </c>
      <c r="I15" s="3" t="n">
        <v>0.8</v>
      </c>
      <c r="J15" s="3" t="n">
        <v>0.8</v>
      </c>
      <c r="K15" s="3" t="n">
        <v>0.8</v>
      </c>
      <c r="L15" s="3" t="n">
        <v>0.8</v>
      </c>
    </row>
    <row r="16" customFormat="false" ht="15" hidden="false" customHeight="false" outlineLevel="0" collapsed="false">
      <c r="A16" s="0" t="s">
        <v>129</v>
      </c>
      <c r="C16" s="3" t="n">
        <v>2.6</v>
      </c>
      <c r="D16" s="3" t="n">
        <v>2.6</v>
      </c>
      <c r="E16" s="3" t="n">
        <v>2.7</v>
      </c>
      <c r="F16" s="3" t="n">
        <v>2.7</v>
      </c>
      <c r="G16" s="3" t="n">
        <v>2.6</v>
      </c>
      <c r="H16" s="3" t="n">
        <v>2.6</v>
      </c>
      <c r="I16" s="3" t="n">
        <v>2.5</v>
      </c>
      <c r="J16" s="3" t="n">
        <v>2.5</v>
      </c>
      <c r="K16" s="3" t="n">
        <v>2.5</v>
      </c>
      <c r="L16" s="3" t="n">
        <v>2.5</v>
      </c>
    </row>
    <row r="17" customFormat="false" ht="15" hidden="false" customHeight="false" outlineLevel="0" collapsed="false">
      <c r="A17" s="0" t="s">
        <v>130</v>
      </c>
      <c r="C17" s="3" t="n">
        <v>3.8</v>
      </c>
      <c r="D17" s="3" t="n">
        <v>3.9</v>
      </c>
      <c r="E17" s="3" t="n">
        <v>4</v>
      </c>
      <c r="F17" s="3" t="n">
        <v>4</v>
      </c>
      <c r="G17" s="3" t="n">
        <v>3.9</v>
      </c>
      <c r="H17" s="3" t="n">
        <v>3.9</v>
      </c>
      <c r="I17" s="3" t="n">
        <v>3.8</v>
      </c>
      <c r="J17" s="3" t="n">
        <v>3.8</v>
      </c>
      <c r="K17" s="3" t="n">
        <v>3.8</v>
      </c>
      <c r="L17" s="3" t="n">
        <v>3.8</v>
      </c>
    </row>
    <row r="18" customFormat="false" ht="15" hidden="false" customHeight="false" outlineLevel="0" collapsed="false">
      <c r="A18" s="0" t="s">
        <v>131</v>
      </c>
      <c r="C18" s="3" t="n">
        <v>4.8</v>
      </c>
      <c r="D18" s="3" t="n">
        <v>5</v>
      </c>
      <c r="E18" s="3" t="n">
        <v>5</v>
      </c>
      <c r="F18" s="3" t="n">
        <v>5</v>
      </c>
      <c r="G18" s="3" t="n">
        <v>4.8</v>
      </c>
      <c r="H18" s="3" t="n">
        <v>4.8</v>
      </c>
      <c r="I18" s="3" t="n">
        <v>4.6</v>
      </c>
      <c r="J18" s="3" t="n">
        <v>4.6</v>
      </c>
      <c r="K18" s="3" t="n">
        <v>4.5</v>
      </c>
      <c r="L18" s="3" t="n">
        <v>4.5</v>
      </c>
    </row>
    <row r="19" customFormat="false" ht="15" hidden="false" customHeight="false" outlineLevel="0" collapsed="false">
      <c r="A19" s="0" t="s">
        <v>132</v>
      </c>
      <c r="C19" s="3" t="n">
        <v>32.5</v>
      </c>
      <c r="D19" s="3" t="n">
        <v>32.5</v>
      </c>
      <c r="E19" s="3" t="n">
        <v>32.5</v>
      </c>
      <c r="F19" s="3" t="n">
        <v>32.5</v>
      </c>
      <c r="G19" s="3" t="n">
        <v>32.5</v>
      </c>
      <c r="H19" s="3" t="n">
        <v>32.5</v>
      </c>
      <c r="I19" s="3" t="n">
        <v>32.5</v>
      </c>
      <c r="J19" s="3" t="n">
        <v>32.5</v>
      </c>
      <c r="K19" s="3" t="n">
        <v>32.5</v>
      </c>
      <c r="L19" s="3" t="n">
        <v>32.5</v>
      </c>
    </row>
    <row r="20" customFormat="false" ht="15" hidden="false" customHeight="false" outlineLevel="0" collapsed="false">
      <c r="A20" s="0" t="s">
        <v>133</v>
      </c>
      <c r="B20" s="3" t="n">
        <v>8</v>
      </c>
    </row>
    <row r="21" customFormat="false" ht="15" hidden="false" customHeight="false" outlineLevel="0" collapsed="false">
      <c r="A21" s="0" t="s">
        <v>134</v>
      </c>
      <c r="B21" s="3" t="n">
        <v>2</v>
      </c>
    </row>
    <row r="22" customFormat="false" ht="15" hidden="false" customHeight="false" outlineLevel="0" collapsed="false">
      <c r="A22" s="0" t="s">
        <v>135</v>
      </c>
      <c r="B22" s="3" t="n">
        <v>14</v>
      </c>
    </row>
    <row r="23" customFormat="false" ht="15" hidden="false" customHeight="false" outlineLevel="0" collapsed="false">
      <c r="A23" s="0" t="s">
        <v>136</v>
      </c>
      <c r="B23" s="3" t="n">
        <v>0</v>
      </c>
    </row>
    <row r="24" customFormat="false" ht="15" hidden="false" customHeight="false" outlineLevel="0" collapsed="false">
      <c r="A24" s="0" t="s">
        <v>137</v>
      </c>
      <c r="B24" s="3" t="n">
        <v>0.25</v>
      </c>
    </row>
    <row r="26" customFormat="false" ht="15" hidden="false" customHeight="false" outlineLevel="0" collapsed="false">
      <c r="A26" s="2" t="s">
        <v>138</v>
      </c>
      <c r="C26" s="2" t="s">
        <v>116</v>
      </c>
      <c r="D26" s="2" t="s">
        <v>117</v>
      </c>
      <c r="E26" s="2" t="s">
        <v>118</v>
      </c>
      <c r="F26" s="2" t="s">
        <v>119</v>
      </c>
      <c r="G26" s="2" t="s">
        <v>120</v>
      </c>
      <c r="H26" s="2" t="s">
        <v>121</v>
      </c>
      <c r="I26" s="2" t="s">
        <v>122</v>
      </c>
      <c r="J26" s="2" t="s">
        <v>123</v>
      </c>
      <c r="K26" s="2" t="s">
        <v>124</v>
      </c>
      <c r="L26" s="2" t="s">
        <v>125</v>
      </c>
    </row>
    <row r="27" customFormat="false" ht="15" hidden="false" customHeight="false" outlineLevel="0" collapsed="false">
      <c r="A27" s="0" t="s">
        <v>126</v>
      </c>
      <c r="C27" s="3" t="n">
        <v>4</v>
      </c>
      <c r="D27" s="3" t="n">
        <v>5.5</v>
      </c>
      <c r="E27" s="3" t="n">
        <v>5</v>
      </c>
      <c r="F27" s="3" t="n">
        <v>5</v>
      </c>
      <c r="G27" s="3" t="n">
        <v>4.5</v>
      </c>
      <c r="H27" s="3" t="n">
        <v>4</v>
      </c>
      <c r="I27" s="3" t="n">
        <v>3.5</v>
      </c>
      <c r="J27" s="3" t="n">
        <v>3</v>
      </c>
      <c r="K27" s="3" t="n">
        <v>3</v>
      </c>
      <c r="L27" s="3" t="n">
        <v>2.5</v>
      </c>
    </row>
    <row r="28" customFormat="false" ht="15" hidden="false" customHeight="false" outlineLevel="0" collapsed="false">
      <c r="A28" s="0" t="s">
        <v>127</v>
      </c>
      <c r="C28" s="3" t="n">
        <v>21.8</v>
      </c>
      <c r="D28" s="3" t="n">
        <v>22.5</v>
      </c>
      <c r="E28" s="3" t="n">
        <v>23</v>
      </c>
      <c r="F28" s="3" t="n">
        <v>23.5</v>
      </c>
      <c r="G28" s="3" t="n">
        <v>24</v>
      </c>
      <c r="H28" s="3" t="n">
        <v>24.3</v>
      </c>
      <c r="I28" s="3" t="n">
        <v>24.6</v>
      </c>
      <c r="J28" s="3" t="n">
        <v>24.8</v>
      </c>
      <c r="K28" s="3" t="n">
        <v>25</v>
      </c>
      <c r="L28" s="3" t="n">
        <v>25</v>
      </c>
    </row>
    <row r="29" customFormat="false" ht="15" hidden="false" customHeight="false" outlineLevel="0" collapsed="false">
      <c r="A29" s="0" t="s">
        <v>128</v>
      </c>
      <c r="C29" s="3" t="n">
        <v>0.75</v>
      </c>
      <c r="D29" s="3" t="n">
        <v>0.75</v>
      </c>
      <c r="E29" s="3" t="n">
        <v>0.75</v>
      </c>
      <c r="F29" s="3" t="n">
        <v>0.75</v>
      </c>
      <c r="G29" s="3" t="n">
        <v>0.75</v>
      </c>
      <c r="H29" s="3" t="n">
        <v>0.75</v>
      </c>
      <c r="I29" s="3" t="n">
        <v>0.75</v>
      </c>
      <c r="J29" s="3" t="n">
        <v>0.75</v>
      </c>
      <c r="K29" s="3" t="n">
        <v>0.75</v>
      </c>
      <c r="L29" s="3" t="n">
        <v>0.75</v>
      </c>
    </row>
    <row r="30" customFormat="false" ht="15" hidden="false" customHeight="false" outlineLevel="0" collapsed="false">
      <c r="A30" s="0" t="s">
        <v>129</v>
      </c>
      <c r="C30" s="3" t="n">
        <v>2.5</v>
      </c>
      <c r="D30" s="3" t="n">
        <v>2.5</v>
      </c>
      <c r="E30" s="3" t="n">
        <v>2.4</v>
      </c>
      <c r="F30" s="3" t="n">
        <v>2.4</v>
      </c>
      <c r="G30" s="3" t="n">
        <v>2.3</v>
      </c>
      <c r="H30" s="3" t="n">
        <v>2.3</v>
      </c>
      <c r="I30" s="3" t="n">
        <v>2.2</v>
      </c>
      <c r="J30" s="3" t="n">
        <v>2.2</v>
      </c>
      <c r="K30" s="3" t="n">
        <v>2.2</v>
      </c>
      <c r="L30" s="3" t="n">
        <v>2.2</v>
      </c>
    </row>
    <row r="31" customFormat="false" ht="15" hidden="false" customHeight="false" outlineLevel="0" collapsed="false">
      <c r="A31" s="0" t="s">
        <v>130</v>
      </c>
      <c r="C31" s="3" t="n">
        <v>3.8</v>
      </c>
      <c r="D31" s="3" t="n">
        <v>3.8</v>
      </c>
      <c r="E31" s="3" t="n">
        <v>3.8</v>
      </c>
      <c r="F31" s="3" t="n">
        <v>3.8</v>
      </c>
      <c r="G31" s="3" t="n">
        <v>3.8</v>
      </c>
      <c r="H31" s="3" t="n">
        <v>3.8</v>
      </c>
      <c r="I31" s="3" t="n">
        <v>3.8</v>
      </c>
      <c r="J31" s="3" t="n">
        <v>3.8</v>
      </c>
      <c r="K31" s="3" t="n">
        <v>3.8</v>
      </c>
      <c r="L31" s="3" t="n">
        <v>3.8</v>
      </c>
    </row>
    <row r="32" customFormat="false" ht="15" hidden="false" customHeight="false" outlineLevel="0" collapsed="false">
      <c r="A32" s="0" t="s">
        <v>131</v>
      </c>
      <c r="C32" s="3" t="n">
        <v>4.5</v>
      </c>
      <c r="D32" s="3" t="n">
        <v>4.5</v>
      </c>
      <c r="E32" s="3" t="n">
        <v>4.5</v>
      </c>
      <c r="F32" s="3" t="n">
        <v>4.4</v>
      </c>
      <c r="G32" s="3" t="n">
        <v>4.4</v>
      </c>
      <c r="H32" s="3" t="n">
        <v>4.3</v>
      </c>
      <c r="I32" s="3" t="n">
        <v>4.3</v>
      </c>
      <c r="J32" s="3" t="n">
        <v>4.2</v>
      </c>
      <c r="K32" s="3" t="n">
        <v>4.2</v>
      </c>
      <c r="L32" s="3" t="n">
        <v>4.2</v>
      </c>
    </row>
    <row r="33" customFormat="false" ht="15" hidden="false" customHeight="false" outlineLevel="0" collapsed="false">
      <c r="A33" s="0" t="s">
        <v>132</v>
      </c>
      <c r="C33" s="3" t="n">
        <v>31.5</v>
      </c>
      <c r="D33" s="3" t="n">
        <v>31.5</v>
      </c>
      <c r="E33" s="3" t="n">
        <v>31.5</v>
      </c>
      <c r="F33" s="3" t="n">
        <v>31.5</v>
      </c>
      <c r="G33" s="3" t="n">
        <v>31.5</v>
      </c>
      <c r="H33" s="3" t="n">
        <v>31.5</v>
      </c>
      <c r="I33" s="3" t="n">
        <v>31.5</v>
      </c>
      <c r="J33" s="3" t="n">
        <v>31.5</v>
      </c>
      <c r="K33" s="3" t="n">
        <v>31.5</v>
      </c>
      <c r="L33" s="3" t="n">
        <v>31.5</v>
      </c>
    </row>
    <row r="34" customFormat="false" ht="15" hidden="false" customHeight="false" outlineLevel="0" collapsed="false">
      <c r="A34" s="0" t="s">
        <v>133</v>
      </c>
      <c r="B34" s="3" t="n">
        <v>8</v>
      </c>
    </row>
    <row r="35" customFormat="false" ht="15" hidden="false" customHeight="false" outlineLevel="0" collapsed="false">
      <c r="A35" s="0" t="s">
        <v>134</v>
      </c>
      <c r="B35" s="3" t="n">
        <v>2.5</v>
      </c>
    </row>
    <row r="36" customFormat="false" ht="15" hidden="false" customHeight="false" outlineLevel="0" collapsed="false">
      <c r="A36" s="0" t="s">
        <v>135</v>
      </c>
      <c r="B36" s="3" t="n">
        <v>18</v>
      </c>
    </row>
    <row r="37" customFormat="false" ht="15" hidden="false" customHeight="false" outlineLevel="0" collapsed="false">
      <c r="A37" s="0" t="s">
        <v>136</v>
      </c>
      <c r="B37" s="3" t="n">
        <v>0</v>
      </c>
    </row>
    <row r="38" customFormat="false" ht="15" hidden="false" customHeight="false" outlineLevel="0" collapsed="false">
      <c r="A38" s="0" t="s">
        <v>137</v>
      </c>
      <c r="B38" s="3" t="n">
        <v>0.5</v>
      </c>
    </row>
    <row r="40" customFormat="false" ht="15" hidden="false" customHeight="false" outlineLevel="0" collapsed="false">
      <c r="A40" s="2" t="s">
        <v>139</v>
      </c>
      <c r="C40" s="2" t="s">
        <v>116</v>
      </c>
      <c r="D40" s="2" t="s">
        <v>117</v>
      </c>
      <c r="E40" s="2" t="s">
        <v>118</v>
      </c>
      <c r="F40" s="2" t="s">
        <v>119</v>
      </c>
      <c r="G40" s="2" t="s">
        <v>120</v>
      </c>
      <c r="H40" s="2" t="s">
        <v>121</v>
      </c>
      <c r="I40" s="2" t="s">
        <v>122</v>
      </c>
      <c r="J40" s="2" t="s">
        <v>123</v>
      </c>
      <c r="K40" s="2" t="s">
        <v>124</v>
      </c>
      <c r="L40" s="2" t="s">
        <v>125</v>
      </c>
    </row>
    <row r="41" customFormat="false" ht="15" hidden="false" customHeight="false" outlineLevel="0" collapsed="false">
      <c r="A41" s="0" t="s">
        <v>126</v>
      </c>
      <c r="C41" s="3" t="n">
        <v>4.5</v>
      </c>
      <c r="D41" s="3" t="n">
        <v>7</v>
      </c>
      <c r="E41" s="3" t="n">
        <v>6.5</v>
      </c>
      <c r="F41" s="3" t="n">
        <v>6</v>
      </c>
      <c r="G41" s="3" t="n">
        <v>5.5</v>
      </c>
      <c r="H41" s="3" t="n">
        <v>5</v>
      </c>
      <c r="I41" s="3" t="n">
        <v>4.5</v>
      </c>
      <c r="J41" s="3" t="n">
        <v>4</v>
      </c>
      <c r="K41" s="3" t="n">
        <v>3.5</v>
      </c>
      <c r="L41" s="3" t="n">
        <v>3</v>
      </c>
    </row>
    <row r="42" customFormat="false" ht="15" hidden="false" customHeight="false" outlineLevel="0" collapsed="false">
      <c r="A42" s="0" t="s">
        <v>127</v>
      </c>
      <c r="C42" s="3" t="n">
        <v>22</v>
      </c>
      <c r="D42" s="3" t="n">
        <v>23</v>
      </c>
      <c r="E42" s="3" t="n">
        <v>24</v>
      </c>
      <c r="F42" s="3" t="n">
        <v>25</v>
      </c>
      <c r="G42" s="3" t="n">
        <v>25.8</v>
      </c>
      <c r="H42" s="3" t="n">
        <v>26.5</v>
      </c>
      <c r="I42" s="3" t="n">
        <v>27</v>
      </c>
      <c r="J42" s="3" t="n">
        <v>27.5</v>
      </c>
      <c r="K42" s="3" t="n">
        <v>27.8</v>
      </c>
      <c r="L42" s="3" t="n">
        <v>28</v>
      </c>
    </row>
    <row r="43" customFormat="false" ht="15" hidden="false" customHeight="false" outlineLevel="0" collapsed="false">
      <c r="A43" s="0" t="s">
        <v>128</v>
      </c>
      <c r="C43" s="3" t="n">
        <v>0.75</v>
      </c>
      <c r="D43" s="3" t="n">
        <v>0.75</v>
      </c>
      <c r="E43" s="3" t="n">
        <v>0.75</v>
      </c>
      <c r="F43" s="3" t="n">
        <v>0.75</v>
      </c>
      <c r="G43" s="3" t="n">
        <v>0.75</v>
      </c>
      <c r="H43" s="3" t="n">
        <v>0.75</v>
      </c>
      <c r="I43" s="3" t="n">
        <v>0.75</v>
      </c>
      <c r="J43" s="3" t="n">
        <v>0.75</v>
      </c>
      <c r="K43" s="3" t="n">
        <v>0.75</v>
      </c>
      <c r="L43" s="3" t="n">
        <v>0.75</v>
      </c>
    </row>
    <row r="44" customFormat="false" ht="15" hidden="false" customHeight="false" outlineLevel="0" collapsed="false">
      <c r="A44" s="0" t="s">
        <v>129</v>
      </c>
      <c r="C44" s="3" t="n">
        <v>2.5</v>
      </c>
      <c r="D44" s="3" t="n">
        <v>2.4</v>
      </c>
      <c r="E44" s="3" t="n">
        <v>2.3</v>
      </c>
      <c r="F44" s="3" t="n">
        <v>2.2</v>
      </c>
      <c r="G44" s="3" t="n">
        <v>2.1</v>
      </c>
      <c r="H44" s="3" t="n">
        <v>2</v>
      </c>
      <c r="I44" s="3" t="n">
        <v>2</v>
      </c>
      <c r="J44" s="3" t="n">
        <v>1.9</v>
      </c>
      <c r="K44" s="3" t="n">
        <v>1.9</v>
      </c>
      <c r="L44" s="3" t="n">
        <v>1.9</v>
      </c>
    </row>
    <row r="45" customFormat="false" ht="15" hidden="false" customHeight="false" outlineLevel="0" collapsed="false">
      <c r="A45" s="0" t="s">
        <v>130</v>
      </c>
      <c r="C45" s="3" t="n">
        <v>3.8</v>
      </c>
      <c r="D45" s="3" t="n">
        <v>3.8</v>
      </c>
      <c r="E45" s="3" t="n">
        <v>3.7</v>
      </c>
      <c r="F45" s="3" t="n">
        <v>3.7</v>
      </c>
      <c r="G45" s="3" t="n">
        <v>3.6</v>
      </c>
      <c r="H45" s="3" t="n">
        <v>3.6</v>
      </c>
      <c r="I45" s="3" t="n">
        <v>3.5</v>
      </c>
      <c r="J45" s="3" t="n">
        <v>3.5</v>
      </c>
      <c r="K45" s="3" t="n">
        <v>3.5</v>
      </c>
      <c r="L45" s="3" t="n">
        <v>3.5</v>
      </c>
    </row>
    <row r="46" customFormat="false" ht="15" hidden="false" customHeight="false" outlineLevel="0" collapsed="false">
      <c r="A46" s="0" t="s">
        <v>131</v>
      </c>
      <c r="C46" s="3" t="n">
        <v>4.5</v>
      </c>
      <c r="D46" s="3" t="n">
        <v>4.4</v>
      </c>
      <c r="E46" s="3" t="n">
        <v>4.3</v>
      </c>
      <c r="F46" s="3" t="n">
        <v>4.2</v>
      </c>
      <c r="G46" s="3" t="n">
        <v>4.1</v>
      </c>
      <c r="H46" s="3" t="n">
        <v>4</v>
      </c>
      <c r="I46" s="3" t="n">
        <v>4</v>
      </c>
      <c r="J46" s="3" t="n">
        <v>4</v>
      </c>
      <c r="K46" s="3" t="n">
        <v>4</v>
      </c>
      <c r="L46" s="3" t="n">
        <v>4</v>
      </c>
    </row>
    <row r="47" customFormat="false" ht="15" hidden="false" customHeight="false" outlineLevel="0" collapsed="false">
      <c r="A47" s="0" t="s">
        <v>132</v>
      </c>
      <c r="C47" s="3" t="n">
        <v>31</v>
      </c>
      <c r="D47" s="3" t="n">
        <v>31</v>
      </c>
      <c r="E47" s="3" t="n">
        <v>31</v>
      </c>
      <c r="F47" s="3" t="n">
        <v>31</v>
      </c>
      <c r="G47" s="3" t="n">
        <v>31</v>
      </c>
      <c r="H47" s="3" t="n">
        <v>31</v>
      </c>
      <c r="I47" s="3" t="n">
        <v>31</v>
      </c>
      <c r="J47" s="3" t="n">
        <v>31</v>
      </c>
      <c r="K47" s="3" t="n">
        <v>31</v>
      </c>
      <c r="L47" s="3" t="n">
        <v>31</v>
      </c>
    </row>
    <row r="48" customFormat="false" ht="15" hidden="false" customHeight="false" outlineLevel="0" collapsed="false">
      <c r="A48" s="0" t="s">
        <v>133</v>
      </c>
      <c r="B48" s="3" t="n">
        <v>8</v>
      </c>
    </row>
    <row r="49" customFormat="false" ht="15" hidden="false" customHeight="false" outlineLevel="0" collapsed="false">
      <c r="A49" s="0" t="s">
        <v>134</v>
      </c>
      <c r="B49" s="3" t="n">
        <v>2.5</v>
      </c>
    </row>
    <row r="50" customFormat="false" ht="15" hidden="false" customHeight="false" outlineLevel="0" collapsed="false">
      <c r="A50" s="0" t="s">
        <v>135</v>
      </c>
      <c r="B50" s="3" t="n">
        <v>20</v>
      </c>
    </row>
    <row r="51" customFormat="false" ht="15" hidden="false" customHeight="false" outlineLevel="0" collapsed="false">
      <c r="A51" s="0" t="s">
        <v>136</v>
      </c>
      <c r="B51" s="3" t="n">
        <v>0</v>
      </c>
    </row>
    <row r="52" customFormat="false" ht="15" hidden="false" customHeight="false" outlineLevel="0" collapsed="false">
      <c r="A52" s="0" t="s">
        <v>137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141</v>
      </c>
      <c r="B3" s="0" t="s">
        <v>103</v>
      </c>
      <c r="C3" s="2" t="s">
        <v>116</v>
      </c>
      <c r="D3" s="2" t="s">
        <v>117</v>
      </c>
      <c r="E3" s="2" t="s">
        <v>118</v>
      </c>
      <c r="F3" s="2" t="s">
        <v>119</v>
      </c>
      <c r="G3" s="2" t="s">
        <v>120</v>
      </c>
      <c r="H3" s="2" t="s">
        <v>121</v>
      </c>
      <c r="I3" s="2" t="s">
        <v>122</v>
      </c>
      <c r="J3" s="2" t="s">
        <v>123</v>
      </c>
      <c r="K3" s="2" t="s">
        <v>124</v>
      </c>
      <c r="L3" s="2" t="s">
        <v>125</v>
      </c>
    </row>
    <row r="4" customFormat="false" ht="15" hidden="false" customHeight="false" outlineLevel="0" collapsed="false">
      <c r="A4" s="0" t="s">
        <v>142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126</v>
      </c>
      <c r="C5" s="4" t="n">
        <f aca="false">Assumptions!C13</f>
        <v>3</v>
      </c>
      <c r="D5" s="4" t="n">
        <f aca="false">Assumptions!D13</f>
        <v>1</v>
      </c>
      <c r="E5" s="4" t="n">
        <f aca="false">Assumptions!E13</f>
        <v>-3</v>
      </c>
      <c r="F5" s="4" t="n">
        <f aca="false">Assumptions!F13</f>
        <v>2</v>
      </c>
      <c r="G5" s="4" t="n">
        <f aca="false">Assumptions!G13</f>
        <v>4</v>
      </c>
      <c r="H5" s="4" t="n">
        <f aca="false">Assumptions!H13</f>
        <v>3.5</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63</v>
      </c>
      <c r="B6" s="3" t="n">
        <v>5639</v>
      </c>
      <c r="C6" s="0" t="n">
        <f aca="false">B6*(1+C5/100)</f>
        <v>5808.17</v>
      </c>
      <c r="D6" s="0" t="n">
        <f aca="false">C6*(1+D5/100)</f>
        <v>5866.2517</v>
      </c>
      <c r="E6" s="0" t="n">
        <f aca="false">D6*(1+E5/100)</f>
        <v>5690.264149</v>
      </c>
      <c r="F6" s="0" t="n">
        <f aca="false">E6*(1+F5/100)</f>
        <v>5804.06943198</v>
      </c>
      <c r="G6" s="0" t="n">
        <f aca="false">F6*(1+G5/100)</f>
        <v>6036.2322092592</v>
      </c>
      <c r="H6" s="0" t="n">
        <f aca="false">G6*(1+H5/100)</f>
        <v>6247.50033658327</v>
      </c>
      <c r="I6" s="0" t="n">
        <f aca="false">H6*(1+I5/100)</f>
        <v>6434.92534668077</v>
      </c>
      <c r="J6" s="0" t="n">
        <f aca="false">I6*(1+J5/100)</f>
        <v>6595.79848034779</v>
      </c>
      <c r="K6" s="0" t="n">
        <f aca="false">J6*(1+K5/100)</f>
        <v>6760.69344235648</v>
      </c>
      <c r="L6" s="0" t="n">
        <f aca="false">K6*(1+L5/100)</f>
        <v>6895.90731120361</v>
      </c>
    </row>
    <row r="7" customFormat="false" ht="15" hidden="false" customHeight="false" outlineLevel="0" collapsed="false">
      <c r="A7" s="0" t="s">
        <v>127</v>
      </c>
      <c r="C7" s="4" t="n">
        <f aca="false">Assumptions!C14</f>
        <v>21.5</v>
      </c>
      <c r="D7" s="4" t="n">
        <f aca="false">Assumptions!D14</f>
        <v>20.5</v>
      </c>
      <c r="E7" s="4" t="n">
        <f aca="false">Assumptions!E14</f>
        <v>19</v>
      </c>
      <c r="F7" s="4" t="n">
        <f aca="false">Assumptions!F14</f>
        <v>19.5</v>
      </c>
      <c r="G7" s="4" t="n">
        <f aca="false">Assumptions!G14</f>
        <v>20.5</v>
      </c>
      <c r="H7" s="4" t="n">
        <f aca="false">Assumptions!H14</f>
        <v>21</v>
      </c>
      <c r="I7" s="4" t="n">
        <f aca="false">Assumptions!I14</f>
        <v>21.3</v>
      </c>
      <c r="J7" s="4" t="n">
        <f aca="false">Assumptions!J14</f>
        <v>21.5</v>
      </c>
      <c r="K7" s="4" t="n">
        <f aca="false">Assumptions!K14</f>
        <v>21.5</v>
      </c>
      <c r="L7" s="4" t="n">
        <f aca="false">Assumptions!L14</f>
        <v>21.5</v>
      </c>
    </row>
    <row r="8" customFormat="false" ht="15" hidden="false" customHeight="false" outlineLevel="0" collapsed="false">
      <c r="A8" s="0" t="s">
        <v>69</v>
      </c>
      <c r="C8" s="0" t="n">
        <f aca="false">C6*C7/100</f>
        <v>1248.75655</v>
      </c>
      <c r="D8" s="0" t="n">
        <f aca="false">D6*D7/100</f>
        <v>1202.5815985</v>
      </c>
      <c r="E8" s="0" t="n">
        <f aca="false">E6*E7/100</f>
        <v>1081.15018831</v>
      </c>
      <c r="F8" s="0" t="n">
        <f aca="false">F6*F7/100</f>
        <v>1131.7935392361</v>
      </c>
      <c r="G8" s="0" t="n">
        <f aca="false">G6*G7/100</f>
        <v>1237.42760289814</v>
      </c>
      <c r="H8" s="0" t="n">
        <f aca="false">H6*H7/100</f>
        <v>1311.97507068249</v>
      </c>
      <c r="I8" s="0" t="n">
        <f aca="false">I6*I7/100</f>
        <v>1370.639098843</v>
      </c>
      <c r="J8" s="0" t="n">
        <f aca="false">J6*J7/100</f>
        <v>1418.09667327477</v>
      </c>
      <c r="K8" s="0" t="n">
        <f aca="false">K6*K7/100</f>
        <v>1453.54909010664</v>
      </c>
      <c r="L8" s="0" t="n">
        <f aca="false">L6*L7/100</f>
        <v>1482.62007190878</v>
      </c>
    </row>
    <row r="9" customFormat="false" ht="15" hidden="false" customHeight="false" outlineLevel="0" collapsed="false">
      <c r="A9" s="0" t="s">
        <v>128</v>
      </c>
      <c r="C9" s="4" t="n">
        <f aca="false">Assumptions!C15</f>
        <v>0.75</v>
      </c>
      <c r="D9" s="4" t="n">
        <f aca="false">Assumptions!D15</f>
        <v>0.75</v>
      </c>
      <c r="E9" s="4" t="n">
        <f aca="false">Assumptions!E15</f>
        <v>0.8</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143</v>
      </c>
      <c r="C10" s="0" t="n">
        <f aca="false">-C6*C9/100</f>
        <v>-43.561275</v>
      </c>
      <c r="D10" s="0" t="n">
        <f aca="false">-D6*D9/100</f>
        <v>-43.99688775</v>
      </c>
      <c r="E10" s="0" t="n">
        <f aca="false">-E6*E9/100</f>
        <v>-45.522113192</v>
      </c>
      <c r="F10" s="0" t="n">
        <f aca="false">-F6*F9/100</f>
        <v>-46.43255545584</v>
      </c>
      <c r="G10" s="0" t="n">
        <f aca="false">-G6*G9/100</f>
        <v>-48.2898576740736</v>
      </c>
      <c r="H10" s="0" t="n">
        <f aca="false">-H6*H9/100</f>
        <v>-49.9800026926662</v>
      </c>
      <c r="I10" s="0" t="n">
        <f aca="false">-I6*I9/100</f>
        <v>-51.4794027734462</v>
      </c>
      <c r="J10" s="0" t="n">
        <f aca="false">-J6*J9/100</f>
        <v>-52.7663878427823</v>
      </c>
      <c r="K10" s="0" t="n">
        <f aca="false">-K6*K9/100</f>
        <v>-54.0855475388519</v>
      </c>
      <c r="L10" s="0" t="n">
        <f aca="false">-L6*L9/100</f>
        <v>-55.1672584896289</v>
      </c>
    </row>
    <row r="11" customFormat="false" ht="15" hidden="false" customHeight="false" outlineLevel="0" collapsed="false">
      <c r="A11" s="0" t="s">
        <v>144</v>
      </c>
      <c r="C11" s="0" t="n">
        <f aca="false">C8+C10+C24</f>
        <v>1054.182855</v>
      </c>
      <c r="D11" s="0" t="n">
        <f aca="false">D8+D10+D24</f>
        <v>1006.06216655</v>
      </c>
      <c r="E11" s="0" t="n">
        <f aca="false">E8+E10+E24</f>
        <v>881.990943095</v>
      </c>
      <c r="F11" s="0" t="n">
        <f aca="false">F8+F10+F24</f>
        <v>928.6511091168</v>
      </c>
      <c r="G11" s="0" t="n">
        <f aca="false">G8+G10+G24</f>
        <v>1032.19570778332</v>
      </c>
      <c r="H11" s="0" t="n">
        <f aca="false">H8+H10+H24</f>
        <v>1099.56005923866</v>
      </c>
      <c r="I11" s="0" t="n">
        <f aca="false">I8+I10+I24</f>
        <v>1158.28656240254</v>
      </c>
      <c r="J11" s="0" t="n">
        <f aca="false">J8+J10+J24</f>
        <v>1200.4353234233</v>
      </c>
      <c r="K11" s="0" t="n">
        <f aca="false">K8+K10+K24</f>
        <v>1230.44620650888</v>
      </c>
      <c r="L11" s="0" t="n">
        <f aca="false">L8+L10+L24</f>
        <v>1255.05513063906</v>
      </c>
    </row>
    <row r="12" customFormat="false" ht="15" hidden="false" customHeight="false" outlineLevel="0" collapsed="false">
      <c r="A12" s="0" t="s">
        <v>145</v>
      </c>
      <c r="C12" s="4" t="n">
        <f aca="false">-C6*Assumptions!C17/100</f>
        <v>-220.71046</v>
      </c>
      <c r="D12" s="4" t="n">
        <f aca="false">-D6*Assumptions!D17/100</f>
        <v>-228.7838163</v>
      </c>
      <c r="E12" s="4" t="n">
        <f aca="false">-E6*Assumptions!E17/100</f>
        <v>-227.61056596</v>
      </c>
      <c r="F12" s="4" t="n">
        <f aca="false">-F6*Assumptions!F17/100</f>
        <v>-232.1627772792</v>
      </c>
      <c r="G12" s="4" t="n">
        <f aca="false">-G6*Assumptions!G17/100</f>
        <v>-235.413056161109</v>
      </c>
      <c r="H12" s="4" t="n">
        <f aca="false">-H6*Assumptions!H17/100</f>
        <v>-243.652513126748</v>
      </c>
      <c r="I12" s="4" t="n">
        <f aca="false">-I6*Assumptions!I17/100</f>
        <v>-244.527163173869</v>
      </c>
      <c r="J12" s="4" t="n">
        <f aca="false">-J6*Assumptions!J17/100</f>
        <v>-250.640342253216</v>
      </c>
      <c r="K12" s="4" t="n">
        <f aca="false">-K6*Assumptions!K17/100</f>
        <v>-256.906350809546</v>
      </c>
      <c r="L12" s="4" t="n">
        <f aca="false">-L6*Assumptions!L17/100</f>
        <v>-262.044477825737</v>
      </c>
    </row>
    <row r="13" customFormat="false" ht="15" hidden="false" customHeight="false" outlineLevel="0" collapsed="false">
      <c r="A13" s="0" t="s">
        <v>146</v>
      </c>
      <c r="C13" s="0" t="n">
        <f aca="false">C11+C12</f>
        <v>833.472395</v>
      </c>
      <c r="D13" s="0" t="n">
        <f aca="false">D11+D12</f>
        <v>777.27835025</v>
      </c>
      <c r="E13" s="0" t="n">
        <f aca="false">E11+E12</f>
        <v>654.380377135</v>
      </c>
      <c r="F13" s="0" t="n">
        <f aca="false">F11+F12</f>
        <v>696.4883318376</v>
      </c>
      <c r="G13" s="0" t="n">
        <f aca="false">G11+G12</f>
        <v>796.782651622214</v>
      </c>
      <c r="H13" s="0" t="n">
        <f aca="false">H11+H12</f>
        <v>855.907546111908</v>
      </c>
      <c r="I13" s="0" t="n">
        <f aca="false">I11+I12</f>
        <v>913.759399228669</v>
      </c>
      <c r="J13" s="0" t="n">
        <f aca="false">J11+J12</f>
        <v>949.794981170082</v>
      </c>
      <c r="K13" s="0" t="n">
        <f aca="false">K11+K12</f>
        <v>973.539855699334</v>
      </c>
      <c r="L13" s="0" t="n">
        <f aca="false">L11+L12</f>
        <v>993.01065281332</v>
      </c>
    </row>
    <row r="14" customFormat="false" ht="15" hidden="false" customHeight="false" outlineLevel="0" collapsed="false">
      <c r="A14" s="0" t="s">
        <v>132</v>
      </c>
      <c r="C14" s="4" t="n">
        <f aca="false">Assumptions!C19</f>
        <v>32.5</v>
      </c>
      <c r="D14" s="4" t="n">
        <f aca="false">Assumptions!D19</f>
        <v>32.5</v>
      </c>
      <c r="E14" s="4" t="n">
        <f aca="false">Assumptions!E19</f>
        <v>32.5</v>
      </c>
      <c r="F14" s="4" t="n">
        <f aca="false">Assumptions!F19</f>
        <v>32.5</v>
      </c>
      <c r="G14" s="4" t="n">
        <f aca="false">Assumptions!G19</f>
        <v>32.5</v>
      </c>
      <c r="H14" s="4" t="n">
        <f aca="false">Assumptions!H19</f>
        <v>32.5</v>
      </c>
      <c r="I14" s="4" t="n">
        <f aca="false">Assumptions!I19</f>
        <v>32.5</v>
      </c>
      <c r="J14" s="4" t="n">
        <f aca="false">Assumptions!J19</f>
        <v>32.5</v>
      </c>
      <c r="K14" s="4" t="n">
        <f aca="false">Assumptions!K19</f>
        <v>32.5</v>
      </c>
      <c r="L14" s="4" t="n">
        <f aca="false">Assumptions!L19</f>
        <v>32.5</v>
      </c>
    </row>
    <row r="15" customFormat="false" ht="15" hidden="false" customHeight="false" outlineLevel="0" collapsed="false">
      <c r="A15" s="0" t="s">
        <v>147</v>
      </c>
      <c r="C15" s="0" t="n">
        <f aca="false">C13-MAX(0,C13)*C14/100</f>
        <v>562.593866625</v>
      </c>
      <c r="D15" s="0" t="n">
        <f aca="false">D13-MAX(0,D13)*D14/100</f>
        <v>524.66288641875</v>
      </c>
      <c r="E15" s="0" t="n">
        <f aca="false">E13-MAX(0,E13)*E14/100</f>
        <v>441.706754566125</v>
      </c>
      <c r="F15" s="0" t="n">
        <f aca="false">F13-MAX(0,F13)*F14/100</f>
        <v>470.12962399038</v>
      </c>
      <c r="G15" s="0" t="n">
        <f aca="false">G13-MAX(0,G13)*G14/100</f>
        <v>537.828289844995</v>
      </c>
      <c r="H15" s="0" t="n">
        <f aca="false">H13-MAX(0,H13)*H14/100</f>
        <v>577.737593625538</v>
      </c>
      <c r="I15" s="0" t="n">
        <f aca="false">I13-MAX(0,I13)*I14/100</f>
        <v>616.787594479352</v>
      </c>
      <c r="J15" s="0" t="n">
        <f aca="false">J13-MAX(0,J13)*J14/100</f>
        <v>641.111612289805</v>
      </c>
      <c r="K15" s="0" t="n">
        <f aca="false">K13-MAX(0,K13)*K14/100</f>
        <v>657.13940259705</v>
      </c>
      <c r="L15" s="0" t="n">
        <f aca="false">L13-MAX(0,L13)*L14/100</f>
        <v>670.282190648991</v>
      </c>
    </row>
    <row r="16" customFormat="false" ht="15" hidden="false" customHeight="false" outlineLevel="0" collapsed="false">
      <c r="A16" s="0" t="s">
        <v>148</v>
      </c>
      <c r="C16" s="0" t="n">
        <f aca="false">-C12</f>
        <v>220.71046</v>
      </c>
      <c r="D16" s="0" t="n">
        <f aca="false">-D12</f>
        <v>228.7838163</v>
      </c>
      <c r="E16" s="0" t="n">
        <f aca="false">-E12</f>
        <v>227.61056596</v>
      </c>
      <c r="F16" s="0" t="n">
        <f aca="false">-F12</f>
        <v>232.1627772792</v>
      </c>
      <c r="G16" s="0" t="n">
        <f aca="false">-G12</f>
        <v>235.413056161109</v>
      </c>
      <c r="H16" s="0" t="n">
        <f aca="false">-H12</f>
        <v>243.652513126748</v>
      </c>
      <c r="I16" s="0" t="n">
        <f aca="false">-I12</f>
        <v>244.527163173869</v>
      </c>
      <c r="J16" s="0" t="n">
        <f aca="false">-J12</f>
        <v>250.640342253216</v>
      </c>
      <c r="K16" s="0" t="n">
        <f aca="false">-K12</f>
        <v>256.906350809546</v>
      </c>
      <c r="L16" s="0" t="n">
        <f aca="false">-L12</f>
        <v>262.044477825737</v>
      </c>
    </row>
    <row r="17" customFormat="false" ht="15" hidden="false" customHeight="false" outlineLevel="0" collapsed="false">
      <c r="A17" s="0" t="s">
        <v>149</v>
      </c>
      <c r="C17" s="4" t="n">
        <f aca="false">-C6*Assumptions!C18/100</f>
        <v>-278.79216</v>
      </c>
      <c r="D17" s="4" t="n">
        <f aca="false">-D6*Assumptions!D18/100</f>
        <v>-293.312585</v>
      </c>
      <c r="E17" s="4" t="n">
        <f aca="false">-E6*Assumptions!E18/100</f>
        <v>-284.51320745</v>
      </c>
      <c r="F17" s="4" t="n">
        <f aca="false">-F6*Assumptions!F18/100</f>
        <v>-290.203471599</v>
      </c>
      <c r="G17" s="4" t="n">
        <f aca="false">-G6*Assumptions!G18/100</f>
        <v>-289.739146044442</v>
      </c>
      <c r="H17" s="4" t="n">
        <f aca="false">-H6*Assumptions!H18/100</f>
        <v>-299.880016155997</v>
      </c>
      <c r="I17" s="4" t="n">
        <f aca="false">-I6*Assumptions!I18/100</f>
        <v>-296.006565947315</v>
      </c>
      <c r="J17" s="4" t="n">
        <f aca="false">-J6*Assumptions!J18/100</f>
        <v>-303.406730095998</v>
      </c>
      <c r="K17" s="4" t="n">
        <f aca="false">-K6*Assumptions!K18/100</f>
        <v>-304.231204906042</v>
      </c>
      <c r="L17" s="4" t="n">
        <f aca="false">-L6*Assumptions!L18/100</f>
        <v>-310.315829004163</v>
      </c>
    </row>
    <row r="18" customFormat="false" ht="15" hidden="false" customHeight="false" outlineLevel="0" collapsed="false">
      <c r="A18" s="0" t="s">
        <v>150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151</v>
      </c>
      <c r="C19" s="0" t="n">
        <f aca="false">C15+C16+C17+C18</f>
        <v>504.512166625</v>
      </c>
      <c r="D19" s="0" t="n">
        <f aca="false">D15+D16+D17+D18</f>
        <v>460.13411771875</v>
      </c>
      <c r="E19" s="0" t="n">
        <f aca="false">E15+E16+E17+E18</f>
        <v>384.804113076125</v>
      </c>
      <c r="F19" s="0" t="n">
        <f aca="false">F15+F16+F17+F18</f>
        <v>412.08892967058</v>
      </c>
      <c r="G19" s="0" t="n">
        <f aca="false">G15+G16+G17+G18</f>
        <v>483.502199961662</v>
      </c>
      <c r="H19" s="0" t="n">
        <f aca="false">H15+H16+H17+H18</f>
        <v>521.510090596289</v>
      </c>
      <c r="I19" s="0" t="n">
        <f aca="false">I15+I16+I17+I18</f>
        <v>565.308191705906</v>
      </c>
      <c r="J19" s="0" t="n">
        <f aca="false">J15+J16+J17+J18</f>
        <v>588.345224447023</v>
      </c>
      <c r="K19" s="0" t="n">
        <f aca="false">K15+K16+K17+K18</f>
        <v>609.814548500555</v>
      </c>
      <c r="L19" s="0" t="n">
        <f aca="false">L15+L16+L17+L18</f>
        <v>622.010839470566</v>
      </c>
    </row>
    <row r="20" customFormat="false" ht="15" hidden="false" customHeight="false" outlineLevel="0" collapsed="false">
      <c r="A20" s="0" t="s">
        <v>152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153</v>
      </c>
      <c r="C21" s="0" t="n">
        <f aca="false">C19*C20</f>
        <v>467.140895023148</v>
      </c>
      <c r="D21" s="0" t="n">
        <f aca="false">D19*D20</f>
        <v>394.490841665595</v>
      </c>
      <c r="E21" s="0" t="n">
        <f aca="false">E19*E20</f>
        <v>305.469911436999</v>
      </c>
      <c r="F21" s="0" t="n">
        <f aca="false">F19*F20</f>
        <v>302.897665314814</v>
      </c>
      <c r="G21" s="0" t="n">
        <f aca="false">G19*G20</f>
        <v>329.063473022761</v>
      </c>
      <c r="H21" s="0" t="n">
        <f aca="false">H19*H20</f>
        <v>328.639819206837</v>
      </c>
      <c r="I21" s="0" t="n">
        <f aca="false">I19*I20</f>
        <v>329.851900223401</v>
      </c>
      <c r="J21" s="0" t="n">
        <f aca="false">J19*J20</f>
        <v>317.864618114058</v>
      </c>
      <c r="K21" s="0" t="n">
        <f aca="false">K19*K20</f>
        <v>305.05909802914</v>
      </c>
      <c r="L21" s="0" t="n">
        <f aca="false">L19*L20</f>
        <v>288.111370360854</v>
      </c>
    </row>
    <row r="23" customFormat="false" ht="15" hidden="false" customHeight="false" outlineLevel="0" collapsed="false">
      <c r="A23" s="0" t="s">
        <v>129</v>
      </c>
      <c r="C23" s="4" t="n">
        <f aca="false">Assumptions!C16</f>
        <v>2.6</v>
      </c>
      <c r="D23" s="4" t="n">
        <f aca="false">Assumptions!D16</f>
        <v>2.6</v>
      </c>
      <c r="E23" s="4" t="n">
        <f aca="false">Assumptions!E16</f>
        <v>2.7</v>
      </c>
      <c r="F23" s="4" t="n">
        <f aca="false">Assumptions!F16</f>
        <v>2.7</v>
      </c>
      <c r="G23" s="4" t="n">
        <f aca="false">Assumptions!G16</f>
        <v>2.6</v>
      </c>
      <c r="H23" s="4" t="n">
        <f aca="false">Assumptions!H16</f>
        <v>2.6</v>
      </c>
      <c r="I23" s="4" t="n">
        <f aca="false">Assumptions!I16</f>
        <v>2.5</v>
      </c>
      <c r="J23" s="4" t="n">
        <f aca="false">Assumptions!J16</f>
        <v>2.5</v>
      </c>
      <c r="K23" s="4" t="n">
        <f aca="false">Assumptions!K16</f>
        <v>2.5</v>
      </c>
      <c r="L23" s="4" t="n">
        <f aca="false">Assumptions!L16</f>
        <v>2.5</v>
      </c>
    </row>
    <row r="24" customFormat="false" ht="15" hidden="false" customHeight="false" outlineLevel="0" collapsed="false">
      <c r="A24" s="0" t="s">
        <v>154</v>
      </c>
      <c r="C24" s="0" t="n">
        <f aca="false">-C6*C23/100</f>
        <v>-151.01242</v>
      </c>
      <c r="D24" s="0" t="n">
        <f aca="false">-D6*D23/100</f>
        <v>-152.5225442</v>
      </c>
      <c r="E24" s="0" t="n">
        <f aca="false">-E6*E23/100</f>
        <v>-153.637132023</v>
      </c>
      <c r="F24" s="0" t="n">
        <f aca="false">-F6*F23/100</f>
        <v>-156.70987466346</v>
      </c>
      <c r="G24" s="0" t="n">
        <f aca="false">-G6*G23/100</f>
        <v>-156.942037440739</v>
      </c>
      <c r="H24" s="0" t="n">
        <f aca="false">-H6*H23/100</f>
        <v>-162.435008751165</v>
      </c>
      <c r="I24" s="0" t="n">
        <f aca="false">-I6*I23/100</f>
        <v>-160.873133667019</v>
      </c>
      <c r="J24" s="0" t="n">
        <f aca="false">-J6*J23/100</f>
        <v>-164.894962008695</v>
      </c>
      <c r="K24" s="0" t="n">
        <f aca="false">-K6*K23/100</f>
        <v>-169.017336058912</v>
      </c>
      <c r="L24" s="0" t="n">
        <f aca="false">-L6*L23/100</f>
        <v>-172.39768278009</v>
      </c>
    </row>
    <row r="26" customFormat="false" ht="15" hidden="false" customHeight="false" outlineLevel="0" collapsed="false">
      <c r="A26" s="2" t="s">
        <v>155</v>
      </c>
    </row>
    <row r="27" customFormat="false" ht="15" hidden="false" customHeight="false" outlineLevel="0" collapsed="false">
      <c r="A27" s="0" t="s">
        <v>133</v>
      </c>
      <c r="B27" s="4" t="n">
        <f aca="false">Assumptions!$B$20</f>
        <v>8</v>
      </c>
    </row>
    <row r="28" customFormat="false" ht="15" hidden="false" customHeight="false" outlineLevel="0" collapsed="false">
      <c r="A28" s="0" t="s">
        <v>134</v>
      </c>
      <c r="B28" s="4" t="n">
        <f aca="false">Assumptions!$B$21</f>
        <v>2</v>
      </c>
    </row>
    <row r="29" customFormat="false" ht="15" hidden="false" customHeight="false" outlineLevel="0" collapsed="false">
      <c r="A29" s="0" t="s">
        <v>135</v>
      </c>
      <c r="B29" s="4" t="n">
        <f aca="false">Assumptions!$B$22</f>
        <v>14</v>
      </c>
    </row>
    <row r="30" customFormat="false" ht="15" hidden="false" customHeight="false" outlineLevel="0" collapsed="false">
      <c r="A30" s="0" t="s">
        <v>156</v>
      </c>
      <c r="B30" s="0" t="n">
        <f aca="false">SUM(C21:L21)</f>
        <v>3368.58959239761</v>
      </c>
    </row>
    <row r="31" customFormat="false" ht="15" hidden="false" customHeight="false" outlineLevel="0" collapsed="false">
      <c r="A31" s="0" t="s">
        <v>157</v>
      </c>
      <c r="B31" s="0" t="n">
        <f aca="false">L19</f>
        <v>622.010839470566</v>
      </c>
    </row>
    <row r="32" customFormat="false" ht="15" hidden="false" customHeight="false" outlineLevel="0" collapsed="false">
      <c r="A32" s="0" t="s">
        <v>158</v>
      </c>
      <c r="B32" s="0" t="n">
        <f aca="false">IF(B27&gt;B28,B31*(1+B28/100)/((B27-B28)/100),B31*B29)</f>
        <v>10574.1842709996</v>
      </c>
    </row>
    <row r="33" customFormat="false" ht="15" hidden="false" customHeight="false" outlineLevel="0" collapsed="false">
      <c r="A33" s="0" t="s">
        <v>159</v>
      </c>
      <c r="B33" s="0" t="n">
        <f aca="false">B31*B29</f>
        <v>8708.15175258792</v>
      </c>
    </row>
    <row r="34" customFormat="false" ht="15" hidden="false" customHeight="false" outlineLevel="0" collapsed="false">
      <c r="A34" s="0" t="s">
        <v>160</v>
      </c>
      <c r="B34" s="0" t="n">
        <f aca="false">MAX(0,MIN(B32,B33))</f>
        <v>8708.15175258792</v>
      </c>
    </row>
    <row r="35" customFormat="false" ht="15" hidden="false" customHeight="false" outlineLevel="0" collapsed="false">
      <c r="A35" s="0" t="s">
        <v>161</v>
      </c>
      <c r="B35" s="0" t="n">
        <f aca="false">B34/(1+B27/100)^L4</f>
        <v>4033.55918505196</v>
      </c>
    </row>
    <row r="36" customFormat="false" ht="15" hidden="false" customHeight="false" outlineLevel="0" collapsed="false">
      <c r="A36" s="0" t="s">
        <v>162</v>
      </c>
      <c r="B36" s="0" t="n">
        <f aca="false">B30+B35</f>
        <v>7402.14877744956</v>
      </c>
    </row>
    <row r="37" customFormat="false" ht="15" hidden="false" customHeight="false" outlineLevel="0" collapsed="false">
      <c r="A37" s="0" t="s">
        <v>163</v>
      </c>
      <c r="B37" s="0" t="n">
        <f aca="false">B36+Assumptions!$B$5-Assumptions!$B$4</f>
        <v>5392.14877744956</v>
      </c>
    </row>
    <row r="38" customFormat="false" ht="15" hidden="false" customHeight="false" outlineLevel="0" collapsed="false">
      <c r="A38" s="0" t="s">
        <v>164</v>
      </c>
      <c r="B38" s="0" t="n">
        <f aca="false">B37/Assumptions!$B$3*Assumptions!$B$10</f>
        <v>22.9375054341057</v>
      </c>
    </row>
    <row r="39" customFormat="false" ht="15" hidden="false" customHeight="false" outlineLevel="0" collapsed="false">
      <c r="A39" s="0" t="s">
        <v>165</v>
      </c>
      <c r="B39" s="4" t="n">
        <f aca="false">B38/Assumptions!$B$2-1</f>
        <v>-0.484897699660775</v>
      </c>
    </row>
    <row r="41" customFormat="false" ht="15" hidden="false" customHeight="false" outlineLevel="0" collapsed="false">
      <c r="A41" s="0" t="s">
        <v>166</v>
      </c>
      <c r="B41" s="0" t="n">
        <f aca="false">SUMPRODUCT(-C10:L10/(1+$B$27/100)^C4:L4)</f>
        <v>323.837263382938</v>
      </c>
    </row>
    <row r="42" customFormat="false" ht="15" hidden="false" customHeight="false" outlineLevel="0" collapsed="false">
      <c r="A42" s="0" t="s">
        <v>167</v>
      </c>
      <c r="B42" s="0" t="n">
        <f aca="false">IF(B27&gt;B28,-L10*(1+B28/100)/((B27-B28)/100),-L10*20)/(1+B27/100)^L4</f>
        <v>434.40295309397</v>
      </c>
    </row>
    <row r="43" customFormat="false" ht="15" hidden="false" customHeight="false" outlineLevel="0" collapsed="false">
      <c r="A43" s="0" t="s">
        <v>168</v>
      </c>
      <c r="B43" s="0" t="n">
        <f aca="false">(B37+B41+B42)/Assumptions!$B$3*Assumptions!$B$10</f>
        <v>26.1629615191699</v>
      </c>
    </row>
    <row r="45" customFormat="false" ht="15" hidden="false" customHeight="false" outlineLevel="0" collapsed="false">
      <c r="A45" s="0" t="s">
        <v>109</v>
      </c>
      <c r="B45" s="4" t="n">
        <f aca="false">Assumptions!$B$6</f>
        <v>15</v>
      </c>
    </row>
    <row r="46" customFormat="false" ht="15" hidden="false" customHeight="false" outlineLevel="0" collapsed="false">
      <c r="A46" s="0" t="s">
        <v>169</v>
      </c>
      <c r="B46" s="0" t="n">
        <f aca="false">MAX(0,MIN(IF(B45&gt;B28,B31*(1+B28/100)/((B45-B28)/100),B31*B29),B31*B29))</f>
        <v>4880.39274046136</v>
      </c>
    </row>
    <row r="47" customFormat="false" ht="15" hidden="false" customHeight="false" outlineLevel="0" collapsed="false">
      <c r="A47" s="0" t="s">
        <v>170</v>
      </c>
      <c r="B47" s="0" t="n">
        <f aca="false">(SUMPRODUCT(C19:L19/(1+B45/100)^C4:L4)+B46/(1+B45/100)^L4+Assumptions!$B$5-Assumptions!$B$4)/Assumptions!$B$3*Assumptions!$B$10</f>
        <v>7.1014967917095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171</v>
      </c>
    </row>
    <row r="3" customFormat="false" ht="15" hidden="false" customHeight="false" outlineLevel="0" collapsed="false">
      <c r="A3" s="0" t="s">
        <v>141</v>
      </c>
      <c r="B3" s="0" t="s">
        <v>103</v>
      </c>
      <c r="C3" s="2" t="s">
        <v>116</v>
      </c>
      <c r="D3" s="2" t="s">
        <v>117</v>
      </c>
      <c r="E3" s="2" t="s">
        <v>118</v>
      </c>
      <c r="F3" s="2" t="s">
        <v>119</v>
      </c>
      <c r="G3" s="2" t="s">
        <v>120</v>
      </c>
      <c r="H3" s="2" t="s">
        <v>121</v>
      </c>
      <c r="I3" s="2" t="s">
        <v>122</v>
      </c>
      <c r="J3" s="2" t="s">
        <v>123</v>
      </c>
      <c r="K3" s="2" t="s">
        <v>124</v>
      </c>
      <c r="L3" s="2" t="s">
        <v>125</v>
      </c>
    </row>
    <row r="4" customFormat="false" ht="15" hidden="false" customHeight="false" outlineLevel="0" collapsed="false">
      <c r="A4" s="0" t="s">
        <v>142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126</v>
      </c>
      <c r="C5" s="4" t="n">
        <f aca="false">Assumptions!C27</f>
        <v>4</v>
      </c>
      <c r="D5" s="4" t="n">
        <f aca="false">Assumptions!D27</f>
        <v>5.5</v>
      </c>
      <c r="E5" s="4" t="n">
        <f aca="false">Assumptions!E27</f>
        <v>5</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63</v>
      </c>
      <c r="B6" s="3" t="n">
        <v>5639</v>
      </c>
      <c r="C6" s="0" t="n">
        <f aca="false">B6*(1+C5/100)</f>
        <v>5864.56</v>
      </c>
      <c r="D6" s="0" t="n">
        <f aca="false">C6*(1+D5/100)</f>
        <v>6187.1108</v>
      </c>
      <c r="E6" s="0" t="n">
        <f aca="false">D6*(1+E5/100)</f>
        <v>6496.46634</v>
      </c>
      <c r="F6" s="0" t="n">
        <f aca="false">E6*(1+F5/100)</f>
        <v>6821.289657</v>
      </c>
      <c r="G6" s="0" t="n">
        <f aca="false">F6*(1+G5/100)</f>
        <v>7128.247691565</v>
      </c>
      <c r="H6" s="0" t="n">
        <f aca="false">G6*(1+H5/100)</f>
        <v>7413.3775992276</v>
      </c>
      <c r="I6" s="0" t="n">
        <f aca="false">H6*(1+I5/100)</f>
        <v>7672.84581520057</v>
      </c>
      <c r="J6" s="0" t="n">
        <f aca="false">I6*(1+J5/100)</f>
        <v>7903.03118965658</v>
      </c>
      <c r="K6" s="0" t="n">
        <f aca="false">J6*(1+K5/100)</f>
        <v>8140.12212534628</v>
      </c>
      <c r="L6" s="0" t="n">
        <f aca="false">K6*(1+L5/100)</f>
        <v>8343.62517847994</v>
      </c>
    </row>
    <row r="7" customFormat="false" ht="15" hidden="false" customHeight="false" outlineLevel="0" collapsed="false">
      <c r="A7" s="0" t="s">
        <v>127</v>
      </c>
      <c r="C7" s="4" t="n">
        <f aca="false">Assumptions!C28</f>
        <v>21.8</v>
      </c>
      <c r="D7" s="4" t="n">
        <f aca="false">Assumptions!D28</f>
        <v>22.5</v>
      </c>
      <c r="E7" s="4" t="n">
        <f aca="false">Assumptions!E28</f>
        <v>23</v>
      </c>
      <c r="F7" s="4" t="n">
        <f aca="false">Assumptions!F28</f>
        <v>23.5</v>
      </c>
      <c r="G7" s="4" t="n">
        <f aca="false">Assumptions!G28</f>
        <v>24</v>
      </c>
      <c r="H7" s="4" t="n">
        <f aca="false">Assumptions!H28</f>
        <v>24.3</v>
      </c>
      <c r="I7" s="4" t="n">
        <f aca="false">Assumptions!I28</f>
        <v>24.6</v>
      </c>
      <c r="J7" s="4" t="n">
        <f aca="false">Assumptions!J28</f>
        <v>24.8</v>
      </c>
      <c r="K7" s="4" t="n">
        <f aca="false">Assumptions!K28</f>
        <v>25</v>
      </c>
      <c r="L7" s="4" t="n">
        <f aca="false">Assumptions!L28</f>
        <v>25</v>
      </c>
    </row>
    <row r="8" customFormat="false" ht="15" hidden="false" customHeight="false" outlineLevel="0" collapsed="false">
      <c r="A8" s="0" t="s">
        <v>69</v>
      </c>
      <c r="C8" s="0" t="n">
        <f aca="false">C6*C7/100</f>
        <v>1278.47408</v>
      </c>
      <c r="D8" s="0" t="n">
        <f aca="false">D6*D7/100</f>
        <v>1392.09993</v>
      </c>
      <c r="E8" s="0" t="n">
        <f aca="false">E6*E7/100</f>
        <v>1494.1872582</v>
      </c>
      <c r="F8" s="0" t="n">
        <f aca="false">F6*F7/100</f>
        <v>1603.003069395</v>
      </c>
      <c r="G8" s="0" t="n">
        <f aca="false">G6*G7/100</f>
        <v>1710.7794459756</v>
      </c>
      <c r="H8" s="0" t="n">
        <f aca="false">H6*H7/100</f>
        <v>1801.45075661231</v>
      </c>
      <c r="I8" s="0" t="n">
        <f aca="false">I6*I7/100</f>
        <v>1887.52007053934</v>
      </c>
      <c r="J8" s="0" t="n">
        <f aca="false">J6*J7/100</f>
        <v>1959.95173503483</v>
      </c>
      <c r="K8" s="0" t="n">
        <f aca="false">K6*K7/100</f>
        <v>2035.03053133657</v>
      </c>
      <c r="L8" s="0" t="n">
        <f aca="false">L6*L7/100</f>
        <v>2085.90629461998</v>
      </c>
    </row>
    <row r="9" customFormat="false" ht="15" hidden="false" customHeight="false" outlineLevel="0" collapsed="false">
      <c r="A9" s="0" t="s">
        <v>128</v>
      </c>
      <c r="C9" s="4" t="n">
        <f aca="false">Assumptions!C29</f>
        <v>0.75</v>
      </c>
      <c r="D9" s="4" t="n">
        <f aca="false">Assumptions!D29</f>
        <v>0.75</v>
      </c>
      <c r="E9" s="4" t="n">
        <f aca="false">Assumptions!E29</f>
        <v>0.75</v>
      </c>
      <c r="F9" s="4" t="n">
        <f aca="false">Assumptions!F29</f>
        <v>0.75</v>
      </c>
      <c r="G9" s="4" t="n">
        <f aca="false">Assumptions!G29</f>
        <v>0.75</v>
      </c>
      <c r="H9" s="4" t="n">
        <f aca="false">Assumptions!H29</f>
        <v>0.75</v>
      </c>
      <c r="I9" s="4" t="n">
        <f aca="false">Assumptions!I29</f>
        <v>0.75</v>
      </c>
      <c r="J9" s="4" t="n">
        <f aca="false">Assumptions!J29</f>
        <v>0.75</v>
      </c>
      <c r="K9" s="4" t="n">
        <f aca="false">Assumptions!K29</f>
        <v>0.75</v>
      </c>
      <c r="L9" s="4" t="n">
        <f aca="false">Assumptions!L29</f>
        <v>0.75</v>
      </c>
    </row>
    <row r="10" customFormat="false" ht="15" hidden="false" customHeight="false" outlineLevel="0" collapsed="false">
      <c r="A10" s="0" t="s">
        <v>143</v>
      </c>
      <c r="C10" s="0" t="n">
        <f aca="false">-C6*C9/100</f>
        <v>-43.9842</v>
      </c>
      <c r="D10" s="0" t="n">
        <f aca="false">-D6*D9/100</f>
        <v>-46.403331</v>
      </c>
      <c r="E10" s="0" t="n">
        <f aca="false">-E6*E9/100</f>
        <v>-48.72349755</v>
      </c>
      <c r="F10" s="0" t="n">
        <f aca="false">-F6*F9/100</f>
        <v>-51.1596724275</v>
      </c>
      <c r="G10" s="0" t="n">
        <f aca="false">-G6*G9/100</f>
        <v>-53.4618576867375</v>
      </c>
      <c r="H10" s="0" t="n">
        <f aca="false">-H6*H9/100</f>
        <v>-55.600331994207</v>
      </c>
      <c r="I10" s="0" t="n">
        <f aca="false">-I6*I9/100</f>
        <v>-57.5463436140042</v>
      </c>
      <c r="J10" s="0" t="n">
        <f aca="false">-J6*J9/100</f>
        <v>-59.2727339224244</v>
      </c>
      <c r="K10" s="0" t="n">
        <f aca="false">-K6*K9/100</f>
        <v>-61.0509159400971</v>
      </c>
      <c r="L10" s="0" t="n">
        <f aca="false">-L6*L9/100</f>
        <v>-62.5771888385995</v>
      </c>
    </row>
    <row r="11" customFormat="false" ht="15" hidden="false" customHeight="false" outlineLevel="0" collapsed="false">
      <c r="A11" s="0" t="s">
        <v>144</v>
      </c>
      <c r="C11" s="0" t="n">
        <f aca="false">C8+C10+C24</f>
        <v>1087.87588</v>
      </c>
      <c r="D11" s="0" t="n">
        <f aca="false">D8+D10+D24</f>
        <v>1191.018829</v>
      </c>
      <c r="E11" s="0" t="n">
        <f aca="false">E8+E10+E24</f>
        <v>1289.54856849</v>
      </c>
      <c r="F11" s="0" t="n">
        <f aca="false">F8+F10+F24</f>
        <v>1388.1324451995</v>
      </c>
      <c r="G11" s="0" t="n">
        <f aca="false">G8+G10+G24</f>
        <v>1493.36789138287</v>
      </c>
      <c r="H11" s="0" t="n">
        <f aca="false">H8+H10+H24</f>
        <v>1575.34273983587</v>
      </c>
      <c r="I11" s="0" t="n">
        <f aca="false">I8+I10+I24</f>
        <v>1661.17111899092</v>
      </c>
      <c r="J11" s="0" t="n">
        <f aca="false">J8+J10+J24</f>
        <v>1726.81231493996</v>
      </c>
      <c r="K11" s="0" t="n">
        <f aca="false">K8+K10+K24</f>
        <v>1794.89692863886</v>
      </c>
      <c r="L11" s="0" t="n">
        <f aca="false">L8+L10+L24</f>
        <v>1839.76935185483</v>
      </c>
    </row>
    <row r="12" customFormat="false" ht="15" hidden="false" customHeight="false" outlineLevel="0" collapsed="false">
      <c r="A12" s="0" t="s">
        <v>145</v>
      </c>
      <c r="C12" s="4" t="n">
        <f aca="false">-C6*Assumptions!C31/100</f>
        <v>-222.85328</v>
      </c>
      <c r="D12" s="4" t="n">
        <f aca="false">-D6*Assumptions!D31/100</f>
        <v>-235.1102104</v>
      </c>
      <c r="E12" s="4" t="n">
        <f aca="false">-E6*Assumptions!E31/100</f>
        <v>-246.86572092</v>
      </c>
      <c r="F12" s="4" t="n">
        <f aca="false">-F6*Assumptions!F31/100</f>
        <v>-259.209006966</v>
      </c>
      <c r="G12" s="4" t="n">
        <f aca="false">-G6*Assumptions!G31/100</f>
        <v>-270.87341227947</v>
      </c>
      <c r="H12" s="4" t="n">
        <f aca="false">-H6*Assumptions!H31/100</f>
        <v>-281.708348770649</v>
      </c>
      <c r="I12" s="4" t="n">
        <f aca="false">-I6*Assumptions!I31/100</f>
        <v>-291.568140977621</v>
      </c>
      <c r="J12" s="4" t="n">
        <f aca="false">-J6*Assumptions!J31/100</f>
        <v>-300.31518520695</v>
      </c>
      <c r="K12" s="4" t="n">
        <f aca="false">-K6*Assumptions!K31/100</f>
        <v>-309.324640763159</v>
      </c>
      <c r="L12" s="4" t="n">
        <f aca="false">-L6*Assumptions!L31/100</f>
        <v>-317.057756782238</v>
      </c>
    </row>
    <row r="13" customFormat="false" ht="15" hidden="false" customHeight="false" outlineLevel="0" collapsed="false">
      <c r="A13" s="0" t="s">
        <v>146</v>
      </c>
      <c r="C13" s="0" t="n">
        <f aca="false">C11+C12</f>
        <v>865.0226</v>
      </c>
      <c r="D13" s="0" t="n">
        <f aca="false">D11+D12</f>
        <v>955.9086186</v>
      </c>
      <c r="E13" s="0" t="n">
        <f aca="false">E11+E12</f>
        <v>1042.68284757</v>
      </c>
      <c r="F13" s="0" t="n">
        <f aca="false">F11+F12</f>
        <v>1128.9234382335</v>
      </c>
      <c r="G13" s="0" t="n">
        <f aca="false">G11+G12</f>
        <v>1222.4944791034</v>
      </c>
      <c r="H13" s="0" t="n">
        <f aca="false">H11+H12</f>
        <v>1293.63439106522</v>
      </c>
      <c r="I13" s="0" t="n">
        <f aca="false">I11+I12</f>
        <v>1369.6029780133</v>
      </c>
      <c r="J13" s="0" t="n">
        <f aca="false">J11+J12</f>
        <v>1426.49712973301</v>
      </c>
      <c r="K13" s="0" t="n">
        <f aca="false">K11+K12</f>
        <v>1485.5722878757</v>
      </c>
      <c r="L13" s="0" t="n">
        <f aca="false">L11+L12</f>
        <v>1522.71159507259</v>
      </c>
    </row>
    <row r="14" customFormat="false" ht="15" hidden="false" customHeight="false" outlineLevel="0" collapsed="false">
      <c r="A14" s="0" t="s">
        <v>132</v>
      </c>
      <c r="C14" s="4" t="n">
        <f aca="false">Assumptions!C33</f>
        <v>31.5</v>
      </c>
      <c r="D14" s="4" t="n">
        <f aca="false">Assumptions!D33</f>
        <v>31.5</v>
      </c>
      <c r="E14" s="4" t="n">
        <f aca="false">Assumptions!E33</f>
        <v>31.5</v>
      </c>
      <c r="F14" s="4" t="n">
        <f aca="false">Assumptions!F33</f>
        <v>31.5</v>
      </c>
      <c r="G14" s="4" t="n">
        <f aca="false">Assumptions!G33</f>
        <v>31.5</v>
      </c>
      <c r="H14" s="4" t="n">
        <f aca="false">Assumptions!H33</f>
        <v>31.5</v>
      </c>
      <c r="I14" s="4" t="n">
        <f aca="false">Assumptions!I33</f>
        <v>31.5</v>
      </c>
      <c r="J14" s="4" t="n">
        <f aca="false">Assumptions!J33</f>
        <v>31.5</v>
      </c>
      <c r="K14" s="4" t="n">
        <f aca="false">Assumptions!K33</f>
        <v>31.5</v>
      </c>
      <c r="L14" s="4" t="n">
        <f aca="false">Assumptions!L33</f>
        <v>31.5</v>
      </c>
    </row>
    <row r="15" customFormat="false" ht="15" hidden="false" customHeight="false" outlineLevel="0" collapsed="false">
      <c r="A15" s="0" t="s">
        <v>147</v>
      </c>
      <c r="C15" s="0" t="n">
        <f aca="false">C13-MAX(0,C13)*C14/100</f>
        <v>592.540481</v>
      </c>
      <c r="D15" s="0" t="n">
        <f aca="false">D13-MAX(0,D13)*D14/100</f>
        <v>654.797403741</v>
      </c>
      <c r="E15" s="0" t="n">
        <f aca="false">E13-MAX(0,E13)*E14/100</f>
        <v>714.23775058545</v>
      </c>
      <c r="F15" s="0" t="n">
        <f aca="false">F13-MAX(0,F13)*F14/100</f>
        <v>773.312555189948</v>
      </c>
      <c r="G15" s="0" t="n">
        <f aca="false">G13-MAX(0,G13)*G14/100</f>
        <v>837.408718185827</v>
      </c>
      <c r="H15" s="0" t="n">
        <f aca="false">H13-MAX(0,H13)*H14/100</f>
        <v>886.139557879673</v>
      </c>
      <c r="I15" s="0" t="n">
        <f aca="false">I13-MAX(0,I13)*I14/100</f>
        <v>938.178039939111</v>
      </c>
      <c r="J15" s="0" t="n">
        <f aca="false">J13-MAX(0,J13)*J14/100</f>
        <v>977.150533867114</v>
      </c>
      <c r="K15" s="0" t="n">
        <f aca="false">K13-MAX(0,K13)*K14/100</f>
        <v>1017.61701719485</v>
      </c>
      <c r="L15" s="0" t="n">
        <f aca="false">L13-MAX(0,L13)*L14/100</f>
        <v>1043.05744262472</v>
      </c>
    </row>
    <row r="16" customFormat="false" ht="15" hidden="false" customHeight="false" outlineLevel="0" collapsed="false">
      <c r="A16" s="0" t="s">
        <v>148</v>
      </c>
      <c r="C16" s="0" t="n">
        <f aca="false">-C12</f>
        <v>222.85328</v>
      </c>
      <c r="D16" s="0" t="n">
        <f aca="false">-D12</f>
        <v>235.1102104</v>
      </c>
      <c r="E16" s="0" t="n">
        <f aca="false">-E12</f>
        <v>246.86572092</v>
      </c>
      <c r="F16" s="0" t="n">
        <f aca="false">-F12</f>
        <v>259.209006966</v>
      </c>
      <c r="G16" s="0" t="n">
        <f aca="false">-G12</f>
        <v>270.87341227947</v>
      </c>
      <c r="H16" s="0" t="n">
        <f aca="false">-H12</f>
        <v>281.708348770649</v>
      </c>
      <c r="I16" s="0" t="n">
        <f aca="false">-I12</f>
        <v>291.568140977621</v>
      </c>
      <c r="J16" s="0" t="n">
        <f aca="false">-J12</f>
        <v>300.31518520695</v>
      </c>
      <c r="K16" s="0" t="n">
        <f aca="false">-K12</f>
        <v>309.324640763159</v>
      </c>
      <c r="L16" s="0" t="n">
        <f aca="false">-L12</f>
        <v>317.057756782238</v>
      </c>
    </row>
    <row r="17" customFormat="false" ht="15" hidden="false" customHeight="false" outlineLevel="0" collapsed="false">
      <c r="A17" s="0" t="s">
        <v>149</v>
      </c>
      <c r="C17" s="4" t="n">
        <f aca="false">-C6*Assumptions!C32/100</f>
        <v>-263.9052</v>
      </c>
      <c r="D17" s="4" t="n">
        <f aca="false">-D6*Assumptions!D32/100</f>
        <v>-278.419986</v>
      </c>
      <c r="E17" s="4" t="n">
        <f aca="false">-E6*Assumptions!E32/100</f>
        <v>-292.3409853</v>
      </c>
      <c r="F17" s="4" t="n">
        <f aca="false">-F6*Assumptions!F32/100</f>
        <v>-300.136744908</v>
      </c>
      <c r="G17" s="4" t="n">
        <f aca="false">-G6*Assumptions!G32/100</f>
        <v>-313.64289842886</v>
      </c>
      <c r="H17" s="4" t="n">
        <f aca="false">-H6*Assumptions!H32/100</f>
        <v>-318.775236766787</v>
      </c>
      <c r="I17" s="4" t="n">
        <f aca="false">-I6*Assumptions!I32/100</f>
        <v>-329.932370053624</v>
      </c>
      <c r="J17" s="4" t="n">
        <f aca="false">-J6*Assumptions!J32/100</f>
        <v>-331.927309965577</v>
      </c>
      <c r="K17" s="4" t="n">
        <f aca="false">-K6*Assumptions!K32/100</f>
        <v>-341.885129264544</v>
      </c>
      <c r="L17" s="4" t="n">
        <f aca="false">-L6*Assumptions!L32/100</f>
        <v>-350.432257496157</v>
      </c>
    </row>
    <row r="18" customFormat="false" ht="15" hidden="false" customHeight="false" outlineLevel="0" collapsed="false">
      <c r="A18" s="0" t="s">
        <v>150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151</v>
      </c>
      <c r="C19" s="0" t="n">
        <f aca="false">C15+C16+C17+C18</f>
        <v>551.488561</v>
      </c>
      <c r="D19" s="0" t="n">
        <f aca="false">D15+D16+D17+D18</f>
        <v>611.487628141</v>
      </c>
      <c r="E19" s="0" t="n">
        <f aca="false">E15+E16+E17+E18</f>
        <v>668.76248620545</v>
      </c>
      <c r="F19" s="0" t="n">
        <f aca="false">F15+F16+F17+F18</f>
        <v>732.384817247948</v>
      </c>
      <c r="G19" s="0" t="n">
        <f aca="false">G15+G16+G17+G18</f>
        <v>794.639232036438</v>
      </c>
      <c r="H19" s="0" t="n">
        <f aca="false">H15+H16+H17+H18</f>
        <v>849.072669883535</v>
      </c>
      <c r="I19" s="0" t="n">
        <f aca="false">I15+I16+I17+I18</f>
        <v>899.813810863109</v>
      </c>
      <c r="J19" s="0" t="n">
        <f aca="false">J15+J16+J17+J18</f>
        <v>945.538409108488</v>
      </c>
      <c r="K19" s="0" t="n">
        <f aca="false">K15+K16+K17+K18</f>
        <v>985.056528693467</v>
      </c>
      <c r="L19" s="0" t="n">
        <f aca="false">L15+L16+L17+L18</f>
        <v>1009.6829419108</v>
      </c>
    </row>
    <row r="20" customFormat="false" ht="15" hidden="false" customHeight="false" outlineLevel="0" collapsed="false">
      <c r="A20" s="0" t="s">
        <v>152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153</v>
      </c>
      <c r="C21" s="0" t="n">
        <f aca="false">C19*C20</f>
        <v>510.637556481482</v>
      </c>
      <c r="D21" s="0" t="n">
        <f aca="false">D19*D20</f>
        <v>524.25208173954</v>
      </c>
      <c r="E21" s="0" t="n">
        <f aca="false">E19*E20</f>
        <v>530.885223134693</v>
      </c>
      <c r="F21" s="0" t="n">
        <f aca="false">F19*F20</f>
        <v>538.324704412116</v>
      </c>
      <c r="G21" s="0" t="n">
        <f aca="false">G19*G20</f>
        <v>540.818109027805</v>
      </c>
      <c r="H21" s="0" t="n">
        <f aca="false">H19*H20</f>
        <v>535.059807577149</v>
      </c>
      <c r="I21" s="0" t="n">
        <f aca="false">I19*I20</f>
        <v>525.032716162842</v>
      </c>
      <c r="J21" s="0" t="n">
        <f aca="false">J19*J20</f>
        <v>510.844981542815</v>
      </c>
      <c r="K21" s="0" t="n">
        <f aca="false">K19*K20</f>
        <v>492.773511045007</v>
      </c>
      <c r="L21" s="0" t="n">
        <f aca="false">L19*L20</f>
        <v>467.678563723271</v>
      </c>
    </row>
    <row r="23" customFormat="false" ht="15" hidden="false" customHeight="false" outlineLevel="0" collapsed="false">
      <c r="A23" s="0" t="s">
        <v>129</v>
      </c>
      <c r="C23" s="4" t="n">
        <f aca="false">Assumptions!C30</f>
        <v>2.5</v>
      </c>
      <c r="D23" s="4" t="n">
        <f aca="false">Assumptions!D30</f>
        <v>2.5</v>
      </c>
      <c r="E23" s="4" t="n">
        <f aca="false">Assumptions!E30</f>
        <v>2.4</v>
      </c>
      <c r="F23" s="4" t="n">
        <f aca="false">Assumptions!F30</f>
        <v>2.4</v>
      </c>
      <c r="G23" s="4" t="n">
        <f aca="false">Assumptions!G30</f>
        <v>2.3</v>
      </c>
      <c r="H23" s="4" t="n">
        <f aca="false">Assumptions!H30</f>
        <v>2.3</v>
      </c>
      <c r="I23" s="4" t="n">
        <f aca="false">Assumptions!I30</f>
        <v>2.2</v>
      </c>
      <c r="J23" s="4" t="n">
        <f aca="false">Assumptions!J30</f>
        <v>2.2</v>
      </c>
      <c r="K23" s="4" t="n">
        <f aca="false">Assumptions!K30</f>
        <v>2.2</v>
      </c>
      <c r="L23" s="4" t="n">
        <f aca="false">Assumptions!L30</f>
        <v>2.2</v>
      </c>
    </row>
    <row r="24" customFormat="false" ht="15" hidden="false" customHeight="false" outlineLevel="0" collapsed="false">
      <c r="A24" s="0" t="s">
        <v>154</v>
      </c>
      <c r="C24" s="0" t="n">
        <f aca="false">-C6*C23/100</f>
        <v>-146.614</v>
      </c>
      <c r="D24" s="0" t="n">
        <f aca="false">-D6*D23/100</f>
        <v>-154.67777</v>
      </c>
      <c r="E24" s="0" t="n">
        <f aca="false">-E6*E23/100</f>
        <v>-155.91519216</v>
      </c>
      <c r="F24" s="0" t="n">
        <f aca="false">-F6*F23/100</f>
        <v>-163.710951768</v>
      </c>
      <c r="G24" s="0" t="n">
        <f aca="false">-G6*G23/100</f>
        <v>-163.949696905995</v>
      </c>
      <c r="H24" s="0" t="n">
        <f aca="false">-H6*H23/100</f>
        <v>-170.507684782235</v>
      </c>
      <c r="I24" s="0" t="n">
        <f aca="false">-I6*I23/100</f>
        <v>-168.802607934413</v>
      </c>
      <c r="J24" s="0" t="n">
        <f aca="false">-J6*J23/100</f>
        <v>-173.866686172445</v>
      </c>
      <c r="K24" s="0" t="n">
        <f aca="false">-K6*K23/100</f>
        <v>-179.082686757618</v>
      </c>
      <c r="L24" s="0" t="n">
        <f aca="false">-L6*L23/100</f>
        <v>-183.559753926559</v>
      </c>
    </row>
    <row r="26" customFormat="false" ht="15" hidden="false" customHeight="false" outlineLevel="0" collapsed="false">
      <c r="A26" s="2" t="s">
        <v>155</v>
      </c>
    </row>
    <row r="27" customFormat="false" ht="15" hidden="false" customHeight="false" outlineLevel="0" collapsed="false">
      <c r="A27" s="0" t="s">
        <v>133</v>
      </c>
      <c r="B27" s="4" t="n">
        <f aca="false">Assumptions!$B$34</f>
        <v>8</v>
      </c>
    </row>
    <row r="28" customFormat="false" ht="15" hidden="false" customHeight="false" outlineLevel="0" collapsed="false">
      <c r="A28" s="0" t="s">
        <v>134</v>
      </c>
      <c r="B28" s="4" t="n">
        <f aca="false">Assumptions!$B$35</f>
        <v>2.5</v>
      </c>
    </row>
    <row r="29" customFormat="false" ht="15" hidden="false" customHeight="false" outlineLevel="0" collapsed="false">
      <c r="A29" s="0" t="s">
        <v>135</v>
      </c>
      <c r="B29" s="4" t="n">
        <f aca="false">Assumptions!$B$36</f>
        <v>18</v>
      </c>
    </row>
    <row r="30" customFormat="false" ht="15" hidden="false" customHeight="false" outlineLevel="0" collapsed="false">
      <c r="A30" s="0" t="s">
        <v>156</v>
      </c>
      <c r="B30" s="0" t="n">
        <f aca="false">SUM(C21:L21)</f>
        <v>5176.30725484672</v>
      </c>
    </row>
    <row r="31" customFormat="false" ht="15" hidden="false" customHeight="false" outlineLevel="0" collapsed="false">
      <c r="A31" s="0" t="s">
        <v>157</v>
      </c>
      <c r="B31" s="0" t="n">
        <f aca="false">L19</f>
        <v>1009.6829419108</v>
      </c>
    </row>
    <row r="32" customFormat="false" ht="15" hidden="false" customHeight="false" outlineLevel="0" collapsed="false">
      <c r="A32" s="0" t="s">
        <v>158</v>
      </c>
      <c r="B32" s="0" t="n">
        <f aca="false">IF(B27&gt;B28,B31*(1+B28/100)/((B27-B28)/100),B31*B29)</f>
        <v>18816.8184628832</v>
      </c>
    </row>
    <row r="33" customFormat="false" ht="15" hidden="false" customHeight="false" outlineLevel="0" collapsed="false">
      <c r="A33" s="0" t="s">
        <v>159</v>
      </c>
      <c r="B33" s="0" t="n">
        <f aca="false">B31*B29</f>
        <v>18174.2929543945</v>
      </c>
    </row>
    <row r="34" customFormat="false" ht="15" hidden="false" customHeight="false" outlineLevel="0" collapsed="false">
      <c r="A34" s="0" t="s">
        <v>160</v>
      </c>
      <c r="B34" s="0" t="n">
        <f aca="false">MAX(0,MIN(B32,B33))</f>
        <v>18174.2929543945</v>
      </c>
    </row>
    <row r="35" customFormat="false" ht="15" hidden="false" customHeight="false" outlineLevel="0" collapsed="false">
      <c r="A35" s="0" t="s">
        <v>161</v>
      </c>
      <c r="B35" s="0" t="n">
        <f aca="false">B34/(1+B27/100)^L4</f>
        <v>8418.21414701887</v>
      </c>
    </row>
    <row r="36" customFormat="false" ht="15" hidden="false" customHeight="false" outlineLevel="0" collapsed="false">
      <c r="A36" s="0" t="s">
        <v>162</v>
      </c>
      <c r="B36" s="0" t="n">
        <f aca="false">B30+B35</f>
        <v>13594.5214018656</v>
      </c>
    </row>
    <row r="37" customFormat="false" ht="15" hidden="false" customHeight="false" outlineLevel="0" collapsed="false">
      <c r="A37" s="0" t="s">
        <v>163</v>
      </c>
      <c r="B37" s="0" t="n">
        <f aca="false">B36+Assumptions!$B$5-Assumptions!$B$4</f>
        <v>11584.5214018656</v>
      </c>
    </row>
    <row r="38" customFormat="false" ht="15" hidden="false" customHeight="false" outlineLevel="0" collapsed="false">
      <c r="A38" s="0" t="s">
        <v>164</v>
      </c>
      <c r="B38" s="0" t="n">
        <f aca="false">B37/Assumptions!$B$3*Assumptions!$B$10</f>
        <v>49.27905990244</v>
      </c>
    </row>
    <row r="39" customFormat="false" ht="15" hidden="false" customHeight="false" outlineLevel="0" collapsed="false">
      <c r="A39" s="0" t="s">
        <v>165</v>
      </c>
      <c r="B39" s="4" t="n">
        <f aca="false">B38/Assumptions!$B$2-1</f>
        <v>0.106648549347406</v>
      </c>
    </row>
    <row r="41" customFormat="false" ht="15" hidden="false" customHeight="false" outlineLevel="0" collapsed="false">
      <c r="A41" s="0" t="s">
        <v>166</v>
      </c>
      <c r="B41" s="0" t="n">
        <f aca="false">SUMPRODUCT(-C10:L10/(1+$B$27/100)^C4:L4)</f>
        <v>353.341497036876</v>
      </c>
    </row>
    <row r="42" customFormat="false" ht="15" hidden="false" customHeight="false" outlineLevel="0" collapsed="false">
      <c r="A42" s="0" t="s">
        <v>167</v>
      </c>
      <c r="B42" s="0" t="n">
        <f aca="false">IF(B27&gt;B28,-L10*(1+B28/100)/((B27-B28)/100),-L10*20)/(1+B27/100)^L4</f>
        <v>540.181455127309</v>
      </c>
    </row>
    <row r="43" customFormat="false" ht="15" hidden="false" customHeight="false" outlineLevel="0" collapsed="false">
      <c r="A43" s="0" t="s">
        <v>168</v>
      </c>
      <c r="B43" s="0" t="n">
        <f aca="false">(B37+B41+B42)/Assumptions!$B$3*Assumptions!$B$10</f>
        <v>53.0799912967065</v>
      </c>
    </row>
    <row r="45" customFormat="false" ht="15" hidden="false" customHeight="false" outlineLevel="0" collapsed="false">
      <c r="A45" s="0" t="s">
        <v>109</v>
      </c>
      <c r="B45" s="4" t="n">
        <f aca="false">Assumptions!$B$6</f>
        <v>15</v>
      </c>
    </row>
    <row r="46" customFormat="false" ht="15" hidden="false" customHeight="false" outlineLevel="0" collapsed="false">
      <c r="A46" s="0" t="s">
        <v>169</v>
      </c>
      <c r="B46" s="0" t="n">
        <f aca="false">MAX(0,MIN(IF(B45&gt;B28,B31*(1+B28/100)/((B45-B28)/100),B31*B29),B31*B29))</f>
        <v>8279.40012366859</v>
      </c>
    </row>
    <row r="47" customFormat="false" ht="15" hidden="false" customHeight="false" outlineLevel="0" collapsed="false">
      <c r="A47" s="0" t="s">
        <v>170</v>
      </c>
      <c r="B47" s="0" t="n">
        <f aca="false">(SUMPRODUCT(C19:L19/(1+B45/100)^C4:L4)+B46/(1+B45/100)^L4+Assumptions!$B$5-Assumptions!$B$4)/Assumptions!$B$3*Assumptions!$B$10</f>
        <v>16.0628397830658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172</v>
      </c>
    </row>
    <row r="3" customFormat="false" ht="15" hidden="false" customHeight="false" outlineLevel="0" collapsed="false">
      <c r="A3" s="0" t="s">
        <v>141</v>
      </c>
      <c r="B3" s="0" t="s">
        <v>103</v>
      </c>
      <c r="C3" s="2" t="s">
        <v>116</v>
      </c>
      <c r="D3" s="2" t="s">
        <v>117</v>
      </c>
      <c r="E3" s="2" t="s">
        <v>118</v>
      </c>
      <c r="F3" s="2" t="s">
        <v>119</v>
      </c>
      <c r="G3" s="2" t="s">
        <v>120</v>
      </c>
      <c r="H3" s="2" t="s">
        <v>121</v>
      </c>
      <c r="I3" s="2" t="s">
        <v>122</v>
      </c>
      <c r="J3" s="2" t="s">
        <v>123</v>
      </c>
      <c r="K3" s="2" t="s">
        <v>124</v>
      </c>
      <c r="L3" s="2" t="s">
        <v>125</v>
      </c>
    </row>
    <row r="4" customFormat="false" ht="15" hidden="false" customHeight="false" outlineLevel="0" collapsed="false">
      <c r="A4" s="0" t="s">
        <v>142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126</v>
      </c>
      <c r="C5" s="4" t="n">
        <f aca="false">Assumptions!C41</f>
        <v>4.5</v>
      </c>
      <c r="D5" s="4" t="n">
        <f aca="false">Assumptions!D41</f>
        <v>7</v>
      </c>
      <c r="E5" s="4" t="n">
        <f aca="false">Assumptions!E41</f>
        <v>6.5</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63</v>
      </c>
      <c r="B6" s="3" t="n">
        <v>5639</v>
      </c>
      <c r="C6" s="0" t="n">
        <f aca="false">B6*(1+C5/100)</f>
        <v>5892.755</v>
      </c>
      <c r="D6" s="0" t="n">
        <f aca="false">C6*(1+D5/100)</f>
        <v>6305.24785</v>
      </c>
      <c r="E6" s="0" t="n">
        <f aca="false">D6*(1+E5/100)</f>
        <v>6715.08896025</v>
      </c>
      <c r="F6" s="0" t="n">
        <f aca="false">E6*(1+F5/100)</f>
        <v>7117.994297865</v>
      </c>
      <c r="G6" s="0" t="n">
        <f aca="false">F6*(1+G5/100)</f>
        <v>7509.48398424757</v>
      </c>
      <c r="H6" s="0" t="n">
        <f aca="false">G6*(1+H5/100)</f>
        <v>7884.95818345995</v>
      </c>
      <c r="I6" s="0" t="n">
        <f aca="false">H6*(1+I5/100)</f>
        <v>8239.78130171565</v>
      </c>
      <c r="J6" s="0" t="n">
        <f aca="false">I6*(1+J5/100)</f>
        <v>8569.37255378428</v>
      </c>
      <c r="K6" s="0" t="n">
        <f aca="false">J6*(1+K5/100)</f>
        <v>8869.30059316673</v>
      </c>
      <c r="L6" s="0" t="n">
        <f aca="false">K6*(1+L5/100)</f>
        <v>9135.37961096173</v>
      </c>
    </row>
    <row r="7" customFormat="false" ht="15" hidden="false" customHeight="false" outlineLevel="0" collapsed="false">
      <c r="A7" s="0" t="s">
        <v>127</v>
      </c>
      <c r="C7" s="4" t="n">
        <f aca="false">Assumptions!C42</f>
        <v>22</v>
      </c>
      <c r="D7" s="4" t="n">
        <f aca="false">Assumptions!D42</f>
        <v>23</v>
      </c>
      <c r="E7" s="4" t="n">
        <f aca="false">Assumptions!E42</f>
        <v>24</v>
      </c>
      <c r="F7" s="4" t="n">
        <f aca="false">Assumptions!F42</f>
        <v>25</v>
      </c>
      <c r="G7" s="4" t="n">
        <f aca="false">Assumptions!G42</f>
        <v>25.8</v>
      </c>
      <c r="H7" s="4" t="n">
        <f aca="false">Assumptions!H42</f>
        <v>26.5</v>
      </c>
      <c r="I7" s="4" t="n">
        <f aca="false">Assumptions!I42</f>
        <v>27</v>
      </c>
      <c r="J7" s="4" t="n">
        <f aca="false">Assumptions!J42</f>
        <v>27.5</v>
      </c>
      <c r="K7" s="4" t="n">
        <f aca="false">Assumptions!K42</f>
        <v>27.8</v>
      </c>
      <c r="L7" s="4" t="n">
        <f aca="false">Assumptions!L42</f>
        <v>28</v>
      </c>
    </row>
    <row r="8" customFormat="false" ht="15" hidden="false" customHeight="false" outlineLevel="0" collapsed="false">
      <c r="A8" s="0" t="s">
        <v>69</v>
      </c>
      <c r="C8" s="0" t="n">
        <f aca="false">C6*C7/100</f>
        <v>1296.4061</v>
      </c>
      <c r="D8" s="0" t="n">
        <f aca="false">D6*D7/100</f>
        <v>1450.2070055</v>
      </c>
      <c r="E8" s="0" t="n">
        <f aca="false">E6*E7/100</f>
        <v>1611.62135046</v>
      </c>
      <c r="F8" s="0" t="n">
        <f aca="false">F6*F7/100</f>
        <v>1779.49857446625</v>
      </c>
      <c r="G8" s="0" t="n">
        <f aca="false">G6*G7/100</f>
        <v>1937.44686793587</v>
      </c>
      <c r="H8" s="0" t="n">
        <f aca="false">H6*H7/100</f>
        <v>2089.51391861689</v>
      </c>
      <c r="I8" s="0" t="n">
        <f aca="false">I6*I7/100</f>
        <v>2224.74095146323</v>
      </c>
      <c r="J8" s="0" t="n">
        <f aca="false">J6*J7/100</f>
        <v>2356.57745229068</v>
      </c>
      <c r="K8" s="0" t="n">
        <f aca="false">K6*K7/100</f>
        <v>2465.66556490035</v>
      </c>
      <c r="L8" s="0" t="n">
        <f aca="false">L6*L7/100</f>
        <v>2557.90629106928</v>
      </c>
    </row>
    <row r="9" customFormat="false" ht="15" hidden="false" customHeight="false" outlineLevel="0" collapsed="false">
      <c r="A9" s="0" t="s">
        <v>128</v>
      </c>
      <c r="C9" s="4" t="n">
        <f aca="false">Assumptions!C43</f>
        <v>0.75</v>
      </c>
      <c r="D9" s="4" t="n">
        <f aca="false">Assumptions!D43</f>
        <v>0.75</v>
      </c>
      <c r="E9" s="4" t="n">
        <f aca="false">Assumptions!E43</f>
        <v>0.75</v>
      </c>
      <c r="F9" s="4" t="n">
        <f aca="false">Assumptions!F43</f>
        <v>0.75</v>
      </c>
      <c r="G9" s="4" t="n">
        <f aca="false">Assumptions!G43</f>
        <v>0.75</v>
      </c>
      <c r="H9" s="4" t="n">
        <f aca="false">Assumptions!H43</f>
        <v>0.75</v>
      </c>
      <c r="I9" s="4" t="n">
        <f aca="false">Assumptions!I43</f>
        <v>0.75</v>
      </c>
      <c r="J9" s="4" t="n">
        <f aca="false">Assumptions!J43</f>
        <v>0.75</v>
      </c>
      <c r="K9" s="4" t="n">
        <f aca="false">Assumptions!K43</f>
        <v>0.75</v>
      </c>
      <c r="L9" s="4" t="n">
        <f aca="false">Assumptions!L43</f>
        <v>0.75</v>
      </c>
    </row>
    <row r="10" customFormat="false" ht="15" hidden="false" customHeight="false" outlineLevel="0" collapsed="false">
      <c r="A10" s="0" t="s">
        <v>143</v>
      </c>
      <c r="C10" s="0" t="n">
        <f aca="false">-C6*C9/100</f>
        <v>-44.1956625</v>
      </c>
      <c r="D10" s="0" t="n">
        <f aca="false">-D6*D9/100</f>
        <v>-47.289358875</v>
      </c>
      <c r="E10" s="0" t="n">
        <f aca="false">-E6*E9/100</f>
        <v>-50.363167201875</v>
      </c>
      <c r="F10" s="0" t="n">
        <f aca="false">-F6*F9/100</f>
        <v>-53.3849572339875</v>
      </c>
      <c r="G10" s="0" t="n">
        <f aca="false">-G6*G9/100</f>
        <v>-56.3211298818568</v>
      </c>
      <c r="H10" s="0" t="n">
        <f aca="false">-H6*H9/100</f>
        <v>-59.1371863759497</v>
      </c>
      <c r="I10" s="0" t="n">
        <f aca="false">-I6*I9/100</f>
        <v>-61.7983597628674</v>
      </c>
      <c r="J10" s="0" t="n">
        <f aca="false">-J6*J9/100</f>
        <v>-64.2702941533821</v>
      </c>
      <c r="K10" s="0" t="n">
        <f aca="false">-K6*K9/100</f>
        <v>-66.5197544487504</v>
      </c>
      <c r="L10" s="0" t="n">
        <f aca="false">-L6*L9/100</f>
        <v>-68.515347082213</v>
      </c>
    </row>
    <row r="11" customFormat="false" ht="15" hidden="false" customHeight="false" outlineLevel="0" collapsed="false">
      <c r="A11" s="0" t="s">
        <v>144</v>
      </c>
      <c r="C11" s="0" t="n">
        <f aca="false">C8+C10+C24</f>
        <v>1104.8915625</v>
      </c>
      <c r="D11" s="0" t="n">
        <f aca="false">D8+D10+D24</f>
        <v>1251.591698225</v>
      </c>
      <c r="E11" s="0" t="n">
        <f aca="false">E8+E10+E24</f>
        <v>1406.81113717237</v>
      </c>
      <c r="F11" s="0" t="n">
        <f aca="false">F8+F10+F24</f>
        <v>1569.51774267923</v>
      </c>
      <c r="G11" s="0" t="n">
        <f aca="false">G8+G10+G24</f>
        <v>1723.42657438482</v>
      </c>
      <c r="H11" s="0" t="n">
        <f aca="false">H8+H10+H24</f>
        <v>1872.67756857174</v>
      </c>
      <c r="I11" s="0" t="n">
        <f aca="false">I8+I10+I24</f>
        <v>1998.14696566605</v>
      </c>
      <c r="J11" s="0" t="n">
        <f aca="false">J8+J10+J24</f>
        <v>2129.48907961539</v>
      </c>
      <c r="K11" s="0" t="n">
        <f aca="false">K8+K10+K24</f>
        <v>2230.62909918143</v>
      </c>
      <c r="L11" s="0" t="n">
        <f aca="false">L8+L10+L24</f>
        <v>2315.8187313788</v>
      </c>
    </row>
    <row r="12" customFormat="false" ht="15" hidden="false" customHeight="false" outlineLevel="0" collapsed="false">
      <c r="A12" s="0" t="s">
        <v>145</v>
      </c>
      <c r="C12" s="4" t="n">
        <f aca="false">-C6*Assumptions!C45/100</f>
        <v>-223.92469</v>
      </c>
      <c r="D12" s="4" t="n">
        <f aca="false">-D6*Assumptions!D45/100</f>
        <v>-239.5994183</v>
      </c>
      <c r="E12" s="4" t="n">
        <f aca="false">-E6*Assumptions!E45/100</f>
        <v>-248.45829152925</v>
      </c>
      <c r="F12" s="4" t="n">
        <f aca="false">-F6*Assumptions!F45/100</f>
        <v>-263.365789021005</v>
      </c>
      <c r="G12" s="4" t="n">
        <f aca="false">-G6*Assumptions!G45/100</f>
        <v>-270.341423432913</v>
      </c>
      <c r="H12" s="4" t="n">
        <f aca="false">-H6*Assumptions!H45/100</f>
        <v>-283.858494604558</v>
      </c>
      <c r="I12" s="4" t="n">
        <f aca="false">-I6*Assumptions!I45/100</f>
        <v>-288.392345560048</v>
      </c>
      <c r="J12" s="4" t="n">
        <f aca="false">-J6*Assumptions!J45/100</f>
        <v>-299.92803938245</v>
      </c>
      <c r="K12" s="4" t="n">
        <f aca="false">-K6*Assumptions!K45/100</f>
        <v>-310.425520760835</v>
      </c>
      <c r="L12" s="4" t="n">
        <f aca="false">-L6*Assumptions!L45/100</f>
        <v>-319.73828638366</v>
      </c>
    </row>
    <row r="13" customFormat="false" ht="15" hidden="false" customHeight="false" outlineLevel="0" collapsed="false">
      <c r="A13" s="0" t="s">
        <v>146</v>
      </c>
      <c r="C13" s="0" t="n">
        <f aca="false">C11+C12</f>
        <v>880.9668725</v>
      </c>
      <c r="D13" s="0" t="n">
        <f aca="false">D11+D12</f>
        <v>1011.992279925</v>
      </c>
      <c r="E13" s="0" t="n">
        <f aca="false">E11+E12</f>
        <v>1158.35284564313</v>
      </c>
      <c r="F13" s="0" t="n">
        <f aca="false">F11+F12</f>
        <v>1306.15195365823</v>
      </c>
      <c r="G13" s="0" t="n">
        <f aca="false">G11+G12</f>
        <v>1453.08515095191</v>
      </c>
      <c r="H13" s="0" t="n">
        <f aca="false">H11+H12</f>
        <v>1588.81907396718</v>
      </c>
      <c r="I13" s="0" t="n">
        <f aca="false">I11+I12</f>
        <v>1709.754620106</v>
      </c>
      <c r="J13" s="0" t="n">
        <f aca="false">J11+J12</f>
        <v>1829.56104023294</v>
      </c>
      <c r="K13" s="0" t="n">
        <f aca="false">K11+K12</f>
        <v>1920.2035784206</v>
      </c>
      <c r="L13" s="0" t="n">
        <f aca="false">L11+L12</f>
        <v>1996.08044499514</v>
      </c>
    </row>
    <row r="14" customFormat="false" ht="15" hidden="false" customHeight="false" outlineLevel="0" collapsed="false">
      <c r="A14" s="0" t="s">
        <v>132</v>
      </c>
      <c r="C14" s="4" t="n">
        <f aca="false">Assumptions!C47</f>
        <v>31</v>
      </c>
      <c r="D14" s="4" t="n">
        <f aca="false">Assumptions!D47</f>
        <v>31</v>
      </c>
      <c r="E14" s="4" t="n">
        <f aca="false">Assumptions!E47</f>
        <v>31</v>
      </c>
      <c r="F14" s="4" t="n">
        <f aca="false">Assumptions!F47</f>
        <v>31</v>
      </c>
      <c r="G14" s="4" t="n">
        <f aca="false">Assumptions!G47</f>
        <v>31</v>
      </c>
      <c r="H14" s="4" t="n">
        <f aca="false">Assumptions!H47</f>
        <v>31</v>
      </c>
      <c r="I14" s="4" t="n">
        <f aca="false">Assumptions!I47</f>
        <v>31</v>
      </c>
      <c r="J14" s="4" t="n">
        <f aca="false">Assumptions!J47</f>
        <v>31</v>
      </c>
      <c r="K14" s="4" t="n">
        <f aca="false">Assumptions!K47</f>
        <v>31</v>
      </c>
      <c r="L14" s="4" t="n">
        <f aca="false">Assumptions!L47</f>
        <v>31</v>
      </c>
    </row>
    <row r="15" customFormat="false" ht="15" hidden="false" customHeight="false" outlineLevel="0" collapsed="false">
      <c r="A15" s="0" t="s">
        <v>147</v>
      </c>
      <c r="C15" s="0" t="n">
        <f aca="false">C13-MAX(0,C13)*C14/100</f>
        <v>607.867142025</v>
      </c>
      <c r="D15" s="0" t="n">
        <f aca="false">D13-MAX(0,D13)*D14/100</f>
        <v>698.27467314825</v>
      </c>
      <c r="E15" s="0" t="n">
        <f aca="false">E13-MAX(0,E13)*E14/100</f>
        <v>799.263463493756</v>
      </c>
      <c r="F15" s="0" t="n">
        <f aca="false">F13-MAX(0,F13)*F14/100</f>
        <v>901.244848024177</v>
      </c>
      <c r="G15" s="0" t="n">
        <f aca="false">G13-MAX(0,G13)*G14/100</f>
        <v>1002.62875415681</v>
      </c>
      <c r="H15" s="0" t="n">
        <f aca="false">H13-MAX(0,H13)*H14/100</f>
        <v>1096.28516103735</v>
      </c>
      <c r="I15" s="0" t="n">
        <f aca="false">I13-MAX(0,I13)*I14/100</f>
        <v>1179.73068787314</v>
      </c>
      <c r="J15" s="0" t="n">
        <f aca="false">J13-MAX(0,J13)*J14/100</f>
        <v>1262.39711776073</v>
      </c>
      <c r="K15" s="0" t="n">
        <f aca="false">K13-MAX(0,K13)*K14/100</f>
        <v>1324.94046911021</v>
      </c>
      <c r="L15" s="0" t="n">
        <f aca="false">L13-MAX(0,L13)*L14/100</f>
        <v>1377.29550704664</v>
      </c>
    </row>
    <row r="16" customFormat="false" ht="15" hidden="false" customHeight="false" outlineLevel="0" collapsed="false">
      <c r="A16" s="0" t="s">
        <v>148</v>
      </c>
      <c r="C16" s="0" t="n">
        <f aca="false">-C12</f>
        <v>223.92469</v>
      </c>
      <c r="D16" s="0" t="n">
        <f aca="false">-D12</f>
        <v>239.5994183</v>
      </c>
      <c r="E16" s="0" t="n">
        <f aca="false">-E12</f>
        <v>248.45829152925</v>
      </c>
      <c r="F16" s="0" t="n">
        <f aca="false">-F12</f>
        <v>263.365789021005</v>
      </c>
      <c r="G16" s="0" t="n">
        <f aca="false">-G12</f>
        <v>270.341423432913</v>
      </c>
      <c r="H16" s="0" t="n">
        <f aca="false">-H12</f>
        <v>283.858494604558</v>
      </c>
      <c r="I16" s="0" t="n">
        <f aca="false">-I12</f>
        <v>288.392345560048</v>
      </c>
      <c r="J16" s="0" t="n">
        <f aca="false">-J12</f>
        <v>299.92803938245</v>
      </c>
      <c r="K16" s="0" t="n">
        <f aca="false">-K12</f>
        <v>310.425520760835</v>
      </c>
      <c r="L16" s="0" t="n">
        <f aca="false">-L12</f>
        <v>319.73828638366</v>
      </c>
    </row>
    <row r="17" customFormat="false" ht="15" hidden="false" customHeight="false" outlineLevel="0" collapsed="false">
      <c r="A17" s="0" t="s">
        <v>149</v>
      </c>
      <c r="C17" s="4" t="n">
        <f aca="false">-C6*Assumptions!C46/100</f>
        <v>-265.173975</v>
      </c>
      <c r="D17" s="4" t="n">
        <f aca="false">-D6*Assumptions!D46/100</f>
        <v>-277.4309054</v>
      </c>
      <c r="E17" s="4" t="n">
        <f aca="false">-E6*Assumptions!E46/100</f>
        <v>-288.74882529075</v>
      </c>
      <c r="F17" s="4" t="n">
        <f aca="false">-F6*Assumptions!F46/100</f>
        <v>-298.95576051033</v>
      </c>
      <c r="G17" s="4" t="n">
        <f aca="false">-G6*Assumptions!G46/100</f>
        <v>-307.888843354151</v>
      </c>
      <c r="H17" s="4" t="n">
        <f aca="false">-H6*Assumptions!H46/100</f>
        <v>-315.398327338398</v>
      </c>
      <c r="I17" s="4" t="n">
        <f aca="false">-I6*Assumptions!I46/100</f>
        <v>-329.591252068626</v>
      </c>
      <c r="J17" s="4" t="n">
        <f aca="false">-J6*Assumptions!J46/100</f>
        <v>-342.774902151371</v>
      </c>
      <c r="K17" s="4" t="n">
        <f aca="false">-K6*Assumptions!K46/100</f>
        <v>-354.772023726669</v>
      </c>
      <c r="L17" s="4" t="n">
        <f aca="false">-L6*Assumptions!L46/100</f>
        <v>-365.415184438469</v>
      </c>
    </row>
    <row r="18" customFormat="false" ht="15" hidden="false" customHeight="false" outlineLevel="0" collapsed="false">
      <c r="A18" s="0" t="s">
        <v>150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151</v>
      </c>
      <c r="C19" s="0" t="n">
        <f aca="false">C15+C16+C17+C18</f>
        <v>566.617857025</v>
      </c>
      <c r="D19" s="0" t="n">
        <f aca="false">D15+D16+D17+D18</f>
        <v>660.44318604825</v>
      </c>
      <c r="E19" s="0" t="n">
        <f aca="false">E15+E16+E17+E18</f>
        <v>758.972929732256</v>
      </c>
      <c r="F19" s="0" t="n">
        <f aca="false">F15+F16+F17+F18</f>
        <v>865.654876534852</v>
      </c>
      <c r="G19" s="0" t="n">
        <f aca="false">G15+G16+G17+G18</f>
        <v>965.081334235577</v>
      </c>
      <c r="H19" s="0" t="n">
        <f aca="false">H15+H16+H17+H18</f>
        <v>1064.74532830351</v>
      </c>
      <c r="I19" s="0" t="n">
        <f aca="false">I15+I16+I17+I18</f>
        <v>1138.53178136456</v>
      </c>
      <c r="J19" s="0" t="n">
        <f aca="false">J15+J16+J17+J18</f>
        <v>1219.55025499181</v>
      </c>
      <c r="K19" s="0" t="n">
        <f aca="false">K15+K16+K17+K18</f>
        <v>1280.59396614438</v>
      </c>
      <c r="L19" s="0" t="n">
        <f aca="false">L15+L16+L17+L18</f>
        <v>1331.61860899184</v>
      </c>
    </row>
    <row r="20" customFormat="false" ht="15" hidden="false" customHeight="false" outlineLevel="0" collapsed="false">
      <c r="A20" s="0" t="s">
        <v>152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153</v>
      </c>
      <c r="C21" s="0" t="n">
        <f aca="false">C19*C20</f>
        <v>524.646163912037</v>
      </c>
      <c r="D21" s="0" t="n">
        <f aca="false">D19*D20</f>
        <v>566.223582002958</v>
      </c>
      <c r="E21" s="0" t="n">
        <f aca="false">E19*E20</f>
        <v>602.497181683001</v>
      </c>
      <c r="F21" s="0" t="n">
        <f aca="false">F19*F20</f>
        <v>636.282176471944</v>
      </c>
      <c r="G21" s="0" t="n">
        <f aca="false">G19*G20</f>
        <v>656.818139851649</v>
      </c>
      <c r="H21" s="0" t="n">
        <f aca="false">H19*H20</f>
        <v>670.970166262555</v>
      </c>
      <c r="I21" s="0" t="n">
        <f aca="false">I19*I20</f>
        <v>664.322359126909</v>
      </c>
      <c r="J21" s="0" t="n">
        <f aca="false">J19*J20</f>
        <v>658.885055858525</v>
      </c>
      <c r="K21" s="0" t="n">
        <f aca="false">K19*K20</f>
        <v>640.615808878504</v>
      </c>
      <c r="L21" s="0" t="n">
        <f aca="false">L19*L20</f>
        <v>616.797068297404</v>
      </c>
    </row>
    <row r="23" customFormat="false" ht="15" hidden="false" customHeight="false" outlineLevel="0" collapsed="false">
      <c r="A23" s="0" t="s">
        <v>129</v>
      </c>
      <c r="C23" s="4" t="n">
        <f aca="false">Assumptions!C44</f>
        <v>2.5</v>
      </c>
      <c r="D23" s="4" t="n">
        <f aca="false">Assumptions!D44</f>
        <v>2.4</v>
      </c>
      <c r="E23" s="4" t="n">
        <f aca="false">Assumptions!E44</f>
        <v>2.3</v>
      </c>
      <c r="F23" s="4" t="n">
        <f aca="false">Assumptions!F44</f>
        <v>2.2</v>
      </c>
      <c r="G23" s="4" t="n">
        <f aca="false">Assumptions!G44</f>
        <v>2.1</v>
      </c>
      <c r="H23" s="4" t="n">
        <f aca="false">Assumptions!H44</f>
        <v>2</v>
      </c>
      <c r="I23" s="4" t="n">
        <f aca="false">Assumptions!I44</f>
        <v>2</v>
      </c>
      <c r="J23" s="4" t="n">
        <f aca="false">Assumptions!J44</f>
        <v>1.9</v>
      </c>
      <c r="K23" s="4" t="n">
        <f aca="false">Assumptions!K44</f>
        <v>1.9</v>
      </c>
      <c r="L23" s="4" t="n">
        <f aca="false">Assumptions!L44</f>
        <v>1.9</v>
      </c>
    </row>
    <row r="24" customFormat="false" ht="15" hidden="false" customHeight="false" outlineLevel="0" collapsed="false">
      <c r="A24" s="0" t="s">
        <v>154</v>
      </c>
      <c r="C24" s="0" t="n">
        <f aca="false">-C6*C23/100</f>
        <v>-147.318875</v>
      </c>
      <c r="D24" s="0" t="n">
        <f aca="false">-D6*D23/100</f>
        <v>-151.3259484</v>
      </c>
      <c r="E24" s="0" t="n">
        <f aca="false">-E6*E23/100</f>
        <v>-154.44704608575</v>
      </c>
      <c r="F24" s="0" t="n">
        <f aca="false">-F6*F23/100</f>
        <v>-156.59587455303</v>
      </c>
      <c r="G24" s="0" t="n">
        <f aca="false">-G6*G23/100</f>
        <v>-157.699163669199</v>
      </c>
      <c r="H24" s="0" t="n">
        <f aca="false">-H6*H23/100</f>
        <v>-157.699163669199</v>
      </c>
      <c r="I24" s="0" t="n">
        <f aca="false">-I6*I23/100</f>
        <v>-164.795626034313</v>
      </c>
      <c r="J24" s="0" t="n">
        <f aca="false">-J6*J23/100</f>
        <v>-162.818078521901</v>
      </c>
      <c r="K24" s="0" t="n">
        <f aca="false">-K6*K23/100</f>
        <v>-168.516711270168</v>
      </c>
      <c r="L24" s="0" t="n">
        <f aca="false">-L6*L23/100</f>
        <v>-173.572212608273</v>
      </c>
    </row>
    <row r="26" customFormat="false" ht="15" hidden="false" customHeight="false" outlineLevel="0" collapsed="false">
      <c r="A26" s="2" t="s">
        <v>155</v>
      </c>
    </row>
    <row r="27" customFormat="false" ht="15" hidden="false" customHeight="false" outlineLevel="0" collapsed="false">
      <c r="A27" s="0" t="s">
        <v>133</v>
      </c>
      <c r="B27" s="4" t="n">
        <f aca="false">Assumptions!$B$48</f>
        <v>8</v>
      </c>
    </row>
    <row r="28" customFormat="false" ht="15" hidden="false" customHeight="false" outlineLevel="0" collapsed="false">
      <c r="A28" s="0" t="s">
        <v>134</v>
      </c>
      <c r="B28" s="4" t="n">
        <f aca="false">Assumptions!$B$49</f>
        <v>2.5</v>
      </c>
    </row>
    <row r="29" customFormat="false" ht="15" hidden="false" customHeight="false" outlineLevel="0" collapsed="false">
      <c r="A29" s="0" t="s">
        <v>135</v>
      </c>
      <c r="B29" s="4" t="n">
        <f aca="false">Assumptions!$B$50</f>
        <v>20</v>
      </c>
    </row>
    <row r="30" customFormat="false" ht="15" hidden="false" customHeight="false" outlineLevel="0" collapsed="false">
      <c r="A30" s="0" t="s">
        <v>156</v>
      </c>
      <c r="B30" s="0" t="n">
        <f aca="false">SUM(C21:L21)</f>
        <v>6238.05770234548</v>
      </c>
    </row>
    <row r="31" customFormat="false" ht="15" hidden="false" customHeight="false" outlineLevel="0" collapsed="false">
      <c r="A31" s="0" t="s">
        <v>157</v>
      </c>
      <c r="B31" s="0" t="n">
        <f aca="false">L19</f>
        <v>1331.61860899184</v>
      </c>
    </row>
    <row r="32" customFormat="false" ht="15" hidden="false" customHeight="false" outlineLevel="0" collapsed="false">
      <c r="A32" s="0" t="s">
        <v>158</v>
      </c>
      <c r="B32" s="0" t="n">
        <f aca="false">IF(B27&gt;B28,B31*(1+B28/100)/((B27-B28)/100),B31*B29)</f>
        <v>24816.5286221206</v>
      </c>
    </row>
    <row r="33" customFormat="false" ht="15" hidden="false" customHeight="false" outlineLevel="0" collapsed="false">
      <c r="A33" s="0" t="s">
        <v>159</v>
      </c>
      <c r="B33" s="0" t="n">
        <f aca="false">B31*B29</f>
        <v>26632.3721798367</v>
      </c>
    </row>
    <row r="34" customFormat="false" ht="15" hidden="false" customHeight="false" outlineLevel="0" collapsed="false">
      <c r="A34" s="0" t="s">
        <v>160</v>
      </c>
      <c r="B34" s="0" t="n">
        <f aca="false">MAX(0,MIN(B32,B33))</f>
        <v>24816.5286221206</v>
      </c>
    </row>
    <row r="35" customFormat="false" ht="15" hidden="false" customHeight="false" outlineLevel="0" collapsed="false">
      <c r="A35" s="0" t="s">
        <v>161</v>
      </c>
      <c r="B35" s="0" t="n">
        <f aca="false">B34/(1+B27/100)^L4</f>
        <v>11494.8544546334</v>
      </c>
    </row>
    <row r="36" customFormat="false" ht="15" hidden="false" customHeight="false" outlineLevel="0" collapsed="false">
      <c r="A36" s="0" t="s">
        <v>162</v>
      </c>
      <c r="B36" s="0" t="n">
        <f aca="false">B30+B35</f>
        <v>17732.9121569789</v>
      </c>
    </row>
    <row r="37" customFormat="false" ht="15" hidden="false" customHeight="false" outlineLevel="0" collapsed="false">
      <c r="A37" s="0" t="s">
        <v>163</v>
      </c>
      <c r="B37" s="0" t="n">
        <f aca="false">B36+Assumptions!$B$5-Assumptions!$B$4</f>
        <v>15722.9121569789</v>
      </c>
    </row>
    <row r="38" customFormat="false" ht="15" hidden="false" customHeight="false" outlineLevel="0" collapsed="false">
      <c r="A38" s="0" t="s">
        <v>164</v>
      </c>
      <c r="B38" s="0" t="n">
        <f aca="false">B37/Assumptions!$B$3*Assumptions!$B$10</f>
        <v>66.8832404159389</v>
      </c>
    </row>
    <row r="39" customFormat="false" ht="15" hidden="false" customHeight="false" outlineLevel="0" collapsed="false">
      <c r="A39" s="0" t="s">
        <v>165</v>
      </c>
      <c r="B39" s="4" t="n">
        <f aca="false">B38/Assumptions!$B$2-1</f>
        <v>0.501981594788657</v>
      </c>
    </row>
    <row r="41" customFormat="false" ht="15" hidden="false" customHeight="false" outlineLevel="0" collapsed="false">
      <c r="A41" s="0" t="s">
        <v>166</v>
      </c>
      <c r="B41" s="0" t="n">
        <f aca="false">SUMPRODUCT(-C10:L10/(1+$B$27/100)^C4:L4)</f>
        <v>372.076319876537</v>
      </c>
    </row>
    <row r="42" customFormat="false" ht="15" hidden="false" customHeight="false" outlineLevel="0" collapsed="false">
      <c r="A42" s="0" t="s">
        <v>167</v>
      </c>
      <c r="B42" s="0" t="n">
        <f aca="false">IF(B27&gt;B28,-L10*(1+B28/100)/((B27-B28)/100),-L10*20)/(1+B27/100)^L4</f>
        <v>591.441075770938</v>
      </c>
    </row>
    <row r="43" customFormat="false" ht="15" hidden="false" customHeight="false" outlineLevel="0" collapsed="false">
      <c r="A43" s="0" t="s">
        <v>168</v>
      </c>
      <c r="B43" s="0" t="n">
        <f aca="false">(B37+B41+B42)/Assumptions!$B$3*Assumptions!$B$10</f>
        <v>70.9819191450842</v>
      </c>
    </row>
    <row r="45" customFormat="false" ht="15" hidden="false" customHeight="false" outlineLevel="0" collapsed="false">
      <c r="A45" s="0" t="s">
        <v>109</v>
      </c>
      <c r="B45" s="4" t="n">
        <f aca="false">Assumptions!$B$6</f>
        <v>15</v>
      </c>
    </row>
    <row r="46" customFormat="false" ht="15" hidden="false" customHeight="false" outlineLevel="0" collapsed="false">
      <c r="A46" s="0" t="s">
        <v>169</v>
      </c>
      <c r="B46" s="0" t="n">
        <f aca="false">MAX(0,MIN(IF(B45&gt;B28,B31*(1+B28/100)/((B45-B28)/100),B31*B29),B31*B29))</f>
        <v>10919.2725937331</v>
      </c>
    </row>
    <row r="47" customFormat="false" ht="15" hidden="false" customHeight="false" outlineLevel="0" collapsed="false">
      <c r="A47" s="0" t="s">
        <v>170</v>
      </c>
      <c r="B47" s="0" t="n">
        <f aca="false">(SUMPRODUCT(C19:L19/(1+B45/100)^C4:L4)+B46/(1+B45/100)^L4+Assumptions!$B$5-Assumptions!$B$4)/Assumptions!$B$3*Assumptions!$B$10</f>
        <v>21.8443124684697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173</v>
      </c>
    </row>
    <row r="3" customFormat="false" ht="15" hidden="false" customHeight="false" outlineLevel="0" collapsed="false">
      <c r="A3" s="2" t="s">
        <v>174</v>
      </c>
      <c r="B3" s="2" t="s">
        <v>175</v>
      </c>
      <c r="C3" s="2" t="s">
        <v>165</v>
      </c>
      <c r="D3" s="2" t="s">
        <v>176</v>
      </c>
      <c r="E3" s="2" t="s">
        <v>168</v>
      </c>
      <c r="F3" s="2" t="s">
        <v>177</v>
      </c>
    </row>
    <row r="4" customFormat="false" ht="15" hidden="false" customHeight="false" outlineLevel="0" collapsed="false">
      <c r="A4" s="0" t="s">
        <v>178</v>
      </c>
      <c r="B4" s="4" t="n">
        <f aca="false">DCF_Bear!$B$38</f>
        <v>22.9375054341057</v>
      </c>
      <c r="C4" s="0" t="n">
        <f aca="false">B4/Assumptions!$B$2-1</f>
        <v>-0.484897699660775</v>
      </c>
      <c r="D4" s="4" t="n">
        <f aca="false">Assumptions!$B$24</f>
        <v>0.25</v>
      </c>
      <c r="E4" s="4" t="n">
        <f aca="false">DCF_Bear!$B$43</f>
        <v>26.1629615191699</v>
      </c>
      <c r="F4" s="4" t="n">
        <f aca="false">DCF_Bear!$B$47</f>
        <v>7.1014967917095</v>
      </c>
    </row>
    <row r="5" customFormat="false" ht="15" hidden="false" customHeight="false" outlineLevel="0" collapsed="false">
      <c r="A5" s="0" t="s">
        <v>179</v>
      </c>
      <c r="B5" s="4" t="n">
        <f aca="false">DCF_Base!$B$38</f>
        <v>49.27905990244</v>
      </c>
      <c r="C5" s="0" t="n">
        <f aca="false">B5/Assumptions!$B$2-1</f>
        <v>0.106648549347406</v>
      </c>
      <c r="D5" s="4" t="n">
        <f aca="false">Assumptions!$B$38</f>
        <v>0.5</v>
      </c>
      <c r="E5" s="4" t="n">
        <f aca="false">DCF_Base!$B$43</f>
        <v>53.0799912967065</v>
      </c>
      <c r="F5" s="4" t="n">
        <f aca="false">DCF_Base!$B$47</f>
        <v>16.0628397830658</v>
      </c>
    </row>
    <row r="6" customFormat="false" ht="15" hidden="false" customHeight="false" outlineLevel="0" collapsed="false">
      <c r="A6" s="0" t="s">
        <v>180</v>
      </c>
      <c r="B6" s="4" t="n">
        <f aca="false">DCF_Bull!$B$38</f>
        <v>66.8832404159389</v>
      </c>
      <c r="C6" s="0" t="n">
        <f aca="false">B6/Assumptions!$B$2-1</f>
        <v>0.501981594788657</v>
      </c>
      <c r="D6" s="4" t="n">
        <f aca="false">Assumptions!$B$52</f>
        <v>0.25</v>
      </c>
      <c r="E6" s="4" t="n">
        <f aca="false">DCF_Bull!$B$43</f>
        <v>70.9819191450842</v>
      </c>
      <c r="F6" s="4" t="n">
        <f aca="false">DCF_Bull!$B$47</f>
        <v>21.8443124684697</v>
      </c>
    </row>
    <row r="8" customFormat="false" ht="15" hidden="false" customHeight="false" outlineLevel="0" collapsed="false">
      <c r="A8" s="0" t="s">
        <v>181</v>
      </c>
      <c r="B8" s="0" t="n">
        <f aca="false">SUMPRODUCT(B4:B6,D4:D6)</f>
        <v>47.0947164137311</v>
      </c>
    </row>
    <row r="9" customFormat="false" ht="15" hidden="false" customHeight="false" outlineLevel="0" collapsed="false">
      <c r="A9" s="0" t="s">
        <v>182</v>
      </c>
      <c r="B9" s="0" t="n">
        <f aca="false">SUMPRODUCT(E4:E6,D4:D6)</f>
        <v>50.8262158144168</v>
      </c>
    </row>
    <row r="10" customFormat="false" ht="15" hidden="false" customHeight="false" outlineLevel="0" collapsed="false">
      <c r="A10" s="0" t="s">
        <v>183</v>
      </c>
      <c r="B10" s="0" t="n">
        <f aca="false">1-Assumptions!$B$2/B8</f>
        <v>0.0544586868556524</v>
      </c>
    </row>
    <row r="11" customFormat="false" ht="15" hidden="false" customHeight="false" outlineLevel="0" collapsed="false">
      <c r="A11" s="0" t="s">
        <v>184</v>
      </c>
      <c r="B11" s="0" t="n">
        <f aca="false">IF(ABS(B9-B8)&gt;0.01*ABS(B8),(Assumptions!$B$2-B8)/(B9-B8)*100,"n/a")</f>
        <v>-68.7315242033768</v>
      </c>
    </row>
    <row r="12" customFormat="false" ht="15" hidden="false" customHeight="false" outlineLevel="0" collapsed="false">
      <c r="A12" s="0" t="s">
        <v>185</v>
      </c>
      <c r="B12" s="0" t="n">
        <f aca="false">SUMPRODUCT(F4:F6,D4:D6)</f>
        <v>15.2678722065777</v>
      </c>
    </row>
    <row r="14" customFormat="false" ht="15" hidden="false" customHeight="false" outlineLevel="0" collapsed="false">
      <c r="A14" s="2" t="s">
        <v>186</v>
      </c>
      <c r="C14" s="0" t="s">
        <v>187</v>
      </c>
    </row>
    <row r="15" customFormat="false" ht="15" hidden="false" customHeight="false" outlineLevel="0" collapsed="false">
      <c r="A15" s="0" t="s">
        <v>188</v>
      </c>
      <c r="B15" s="0" t="n">
        <f aca="false">(SUMPRODUCT(DCF_Base!$C$19:$L$19/(1+$C$15/100)^DCF_Base!$C$4:$L$4)+MAX(0,MIN(IF($C$15&gt;DCF_Base!$B$28,DCF_Base!$L$19*(1+DCF_Base!$B$28/100)/(($C$15-DCF_Base!$B$28)/100),DCF_Base!$L$19*DCF_Base!$B$29),DCF_Base!$L$19*DCF_Base!$B$29))/(1+$C$15/100)^DCF_Base!$L$4+Assumptions!$B$5-Assumptions!$B$4)/Assumptions!$B$3*Assumptions!$B$10</f>
        <v>49.27905990244</v>
      </c>
      <c r="C15" s="3" t="n">
        <v>8</v>
      </c>
    </row>
    <row r="16" customFormat="false" ht="15" hidden="false" customHeight="false" outlineLevel="0" collapsed="false">
      <c r="A16" s="0" t="s">
        <v>189</v>
      </c>
      <c r="B16" s="0" t="n">
        <f aca="false">(SUMPRODUCT(DCF_Base!$C$19:$L$19/(1+$C$16/100)^DCF_Base!$C$4:$L$4)+MAX(0,MIN(IF($C$16&gt;DCF_Base!$B$28,DCF_Base!$L$19*(1+DCF_Base!$B$28/100)/(($C$16-DCF_Base!$B$28)/100),DCF_Base!$L$19*DCF_Base!$B$29),DCF_Base!$L$19*DCF_Base!$B$29))/(1+$C$16/100)^DCF_Base!$L$4+Assumptions!$B$5-Assumptions!$B$4)/Assumptions!$B$3*Assumptions!$B$10</f>
        <v>41.0116379779609</v>
      </c>
      <c r="C16" s="3" t="n">
        <v>9</v>
      </c>
    </row>
    <row r="17" customFormat="false" ht="15" hidden="false" customHeight="false" outlineLevel="0" collapsed="false">
      <c r="A17" s="0" t="s">
        <v>190</v>
      </c>
      <c r="B17" s="0" t="n">
        <f aca="false">(SUMPRODUCT(DCF_Base!$C$19:$L$19/(1+$C$17/100)^DCF_Base!$C$4:$L$4)+MAX(0,MIN(IF($C$17&gt;DCF_Base!$B$28,DCF_Base!$L$19*(1+DCF_Base!$B$28/100)/(($C$17-DCF_Base!$B$28)/100),DCF_Base!$L$19*DCF_Base!$B$29),DCF_Base!$L$19*DCF_Base!$B$29))/(1+$C$17/100)^DCF_Base!$L$4+Assumptions!$B$5-Assumptions!$B$4)/Assumptions!$B$3*Assumptions!$B$10</f>
        <v>34.0398099851738</v>
      </c>
      <c r="C17" s="3" t="n">
        <v>10</v>
      </c>
    </row>
    <row r="18" customFormat="false" ht="15" hidden="false" customHeight="false" outlineLevel="0" collapsed="false">
      <c r="A18" s="0" t="s">
        <v>191</v>
      </c>
      <c r="B18" s="0" t="n">
        <f aca="false">(SUMPRODUCT(DCF_Base!$C$19:$L$19/(1+$C$18/100)^DCF_Base!$C$4:$L$4)+MAX(0,MIN(IF($C$18&gt;DCF_Base!$B$28,DCF_Base!$L$19*(1+DCF_Base!$B$28/100)/(($C$18-DCF_Base!$B$28)/100),DCF_Base!$L$19*DCF_Base!$B$29),DCF_Base!$L$19*DCF_Base!$B$29))/(1+$C$18/100)^DCF_Base!$L$4+Assumptions!$B$5-Assumptions!$B$4)/Assumptions!$B$3*Assumptions!$B$10</f>
        <v>28.7243838549002</v>
      </c>
      <c r="C18" s="3" t="n">
        <v>11</v>
      </c>
    </row>
    <row r="19" customFormat="false" ht="15" hidden="false" customHeight="false" outlineLevel="0" collapsed="false">
      <c r="A19" s="0" t="s">
        <v>192</v>
      </c>
      <c r="B19" s="0" t="n">
        <f aca="false">(SUMPRODUCT(DCF_Base!$C$19:$L$19/(1+$C$19/100)^DCF_Base!$C$4:$L$4)+MAX(0,MIN(IF($C$19&gt;DCF_Base!$B$28,DCF_Base!$L$19*(1+DCF_Base!$B$28/100)/(($C$19-DCF_Base!$B$28)/100),DCF_Base!$L$19*DCF_Base!$B$29),DCF_Base!$L$19*DCF_Base!$B$29))/(1+$C$19/100)^DCF_Base!$L$4+Assumptions!$B$5-Assumptions!$B$4)/Assumptions!$B$3*Assumptions!$B$10</f>
        <v>24.5413712771642</v>
      </c>
      <c r="C19" s="3" t="n">
        <v>12</v>
      </c>
    </row>
    <row r="20" customFormat="false" ht="15" hidden="false" customHeight="false" outlineLevel="0" collapsed="false">
      <c r="A20" s="0" t="s">
        <v>193</v>
      </c>
      <c r="B20" s="0" t="n">
        <f aca="false">(SUMPRODUCT(DCF_Base!$C$19:$L$19/(1+$C$20/100)^DCF_Base!$C$4:$L$4)+MAX(0,MIN(IF($C$20&gt;DCF_Base!$B$28,DCF_Base!$L$19*(1+DCF_Base!$B$28/100)/(($C$20-DCF_Base!$B$28)/100),DCF_Base!$L$19*DCF_Base!$B$29),DCF_Base!$L$19*DCF_Base!$B$29))/(1+$C$20/100)^DCF_Base!$L$4+Assumptions!$B$5-Assumptions!$B$4)/Assumptions!$B$3*Assumptions!$B$10</f>
        <v>16.0628397830658</v>
      </c>
      <c r="C20" s="3" t="n">
        <v>15</v>
      </c>
    </row>
    <row r="22" customFormat="false" ht="15" hidden="false" customHeight="false" outlineLevel="0" collapsed="false">
      <c r="A22" s="2" t="s">
        <v>194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59.0243157156717</v>
      </c>
      <c r="C24" s="0" t="n">
        <f aca="false">(SUMPRODUCT(DCF_Base!$C$19:$L$19/(1+$A$24/100)^DCF_Base!$C$4:$L$4)+MAX(0,MIN(IF($A$24&gt;$C$23,DCF_Base!$L$19*(1+$C$23/100)/(($A$24-$C$23)/100),DCF_Base!$L$19*DCF_Base!$B$29),DCF_Base!$L$19*DCF_Base!$B$29))/(1+$A$24/100)^DCF_Base!$L$4+Assumptions!$B$5-Assumptions!$B$4)/Assumptions!$B$3*Assumptions!$B$10</f>
        <v>59.0243157156717</v>
      </c>
      <c r="D24" s="0" t="n">
        <f aca="false">(SUMPRODUCT(DCF_Base!$C$19:$L$19/(1+$A$24/100)^DCF_Base!$C$4:$L$4)+MAX(0,MIN(IF($A$24&gt;$D$23,DCF_Base!$L$19*(1+$D$23/100)/(($A$24-$D$23)/100),DCF_Base!$L$19*DCF_Base!$B$29),DCF_Base!$L$19*DCF_Base!$B$29))/(1+$A$24/100)^DCF_Base!$L$4+Assumptions!$B$5-Assumptions!$B$4)/Assumptions!$B$3*Assumptions!$B$10</f>
        <v>59.0243157156717</v>
      </c>
      <c r="E24" s="0" t="n">
        <f aca="false">(SUMPRODUCT(DCF_Base!$C$19:$L$19/(1+$A$24/100)^DCF_Base!$C$4:$L$4)+MAX(0,MIN(IF($A$24&gt;$E$23,DCF_Base!$L$19*(1+$E$23/100)/(($A$24-$E$23)/100),DCF_Base!$L$19*DCF_Base!$B$29),DCF_Base!$L$19*DCF_Base!$B$29))/(1+$A$24/100)^DCF_Base!$L$4+Assumptions!$B$5-Assumptions!$B$4)/Assumptions!$B$3*Assumptions!$B$10</f>
        <v>59.0243157156717</v>
      </c>
      <c r="F24" s="0" t="n">
        <f aca="false">(SUMPRODUCT(DCF_Base!$C$19:$L$19/(1+$A$24/100)^DCF_Base!$C$4:$L$4)+MAX(0,MIN(IF($A$24&gt;$F$23,DCF_Base!$L$19*(1+$F$23/100)/(($A$24-$F$23)/100),DCF_Base!$L$19*DCF_Base!$B$29),DCF_Base!$L$19*DCF_Base!$B$29))/(1+$A$24/100)^DCF_Base!$L$4+Assumptions!$B$5-Assumptions!$B$4)/Assumptions!$B$3*Assumptions!$B$10</f>
        <v>59.0243157156717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53.9183499592117</v>
      </c>
      <c r="C25" s="0" t="n">
        <f aca="false">(SUMPRODUCT(DCF_Base!$C$19:$L$19/(1+$A$25/100)^DCF_Base!$C$4:$L$4)+MAX(0,MIN(IF($A$25&gt;$C$23,DCF_Base!$L$19*(1+$C$23/100)/(($A$25-$C$23)/100),DCF_Base!$L$19*DCF_Base!$B$29),DCF_Base!$L$19*DCF_Base!$B$29))/(1+$A$25/100)^DCF_Base!$L$4+Assumptions!$B$5-Assumptions!$B$4)/Assumptions!$B$3*Assumptions!$B$10</f>
        <v>53.9183499592117</v>
      </c>
      <c r="D25" s="0" t="n">
        <f aca="false">(SUMPRODUCT(DCF_Base!$C$19:$L$19/(1+$A$25/100)^DCF_Base!$C$4:$L$4)+MAX(0,MIN(IF($A$25&gt;$D$23,DCF_Base!$L$19*(1+$D$23/100)/(($A$25-$D$23)/100),DCF_Base!$L$19*DCF_Base!$B$29),DCF_Base!$L$19*DCF_Base!$B$29))/(1+$A$25/100)^DCF_Base!$L$4+Assumptions!$B$5-Assumptions!$B$4)/Assumptions!$B$3*Assumptions!$B$10</f>
        <v>53.9183499592117</v>
      </c>
      <c r="E25" s="0" t="n">
        <f aca="false">(SUMPRODUCT(DCF_Base!$C$19:$L$19/(1+$A$25/100)^DCF_Base!$C$4:$L$4)+MAX(0,MIN(IF($A$25&gt;$E$23,DCF_Base!$L$19*(1+$E$23/100)/(($A$25-$E$23)/100),DCF_Base!$L$19*DCF_Base!$B$29),DCF_Base!$L$19*DCF_Base!$B$29))/(1+$A$25/100)^DCF_Base!$L$4+Assumptions!$B$5-Assumptions!$B$4)/Assumptions!$B$3*Assumptions!$B$10</f>
        <v>53.9183499592117</v>
      </c>
      <c r="F25" s="0" t="n">
        <f aca="false">(SUMPRODUCT(DCF_Base!$C$19:$L$19/(1+$A$25/100)^DCF_Base!$C$4:$L$4)+MAX(0,MIN(IF($A$25&gt;$F$23,DCF_Base!$L$19*(1+$F$23/100)/(($A$25-$F$23)/100),DCF_Base!$L$19*DCF_Base!$B$29),DCF_Base!$L$19*DCF_Base!$B$29))/(1+$A$25/100)^DCF_Base!$L$4+Assumptions!$B$5-Assumptions!$B$4)/Assumptions!$B$3*Assumptions!$B$10</f>
        <v>53.9183499592117</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44.5350004413657</v>
      </c>
      <c r="C26" s="0" t="n">
        <f aca="false">(SUMPRODUCT(DCF_Base!$C$19:$L$19/(1+$A$26/100)^DCF_Base!$C$4:$L$4)+MAX(0,MIN(IF($A$26&gt;$C$23,DCF_Base!$L$19*(1+$C$23/100)/(($A$26-$C$23)/100),DCF_Base!$L$19*DCF_Base!$B$29),DCF_Base!$L$19*DCF_Base!$B$29))/(1+$A$26/100)^DCF_Base!$L$4+Assumptions!$B$5-Assumptions!$B$4)/Assumptions!$B$3*Assumptions!$B$10</f>
        <v>47.2896156123121</v>
      </c>
      <c r="D26" s="0" t="n">
        <f aca="false">(SUMPRODUCT(DCF_Base!$C$19:$L$19/(1+$A$26/100)^DCF_Base!$C$4:$L$4)+MAX(0,MIN(IF($A$26&gt;$D$23,DCF_Base!$L$19*(1+$D$23/100)/(($A$26-$D$23)/100),DCF_Base!$L$19*DCF_Base!$B$29),DCF_Base!$L$19*DCF_Base!$B$29))/(1+$A$26/100)^DCF_Base!$L$4+Assumptions!$B$5-Assumptions!$B$4)/Assumptions!$B$3*Assumptions!$B$10</f>
        <v>49.27905990244</v>
      </c>
      <c r="E26" s="0" t="n">
        <f aca="false">(SUMPRODUCT(DCF_Base!$C$19:$L$19/(1+$A$26/100)^DCF_Base!$C$4:$L$4)+MAX(0,MIN(IF($A$26&gt;$E$23,DCF_Base!$L$19*(1+$E$23/100)/(($A$26-$E$23)/100),DCF_Base!$L$19*DCF_Base!$B$29),DCF_Base!$L$19*DCF_Base!$B$29))/(1+$A$26/100)^DCF_Base!$L$4+Assumptions!$B$5-Assumptions!$B$4)/Assumptions!$B$3*Assumptions!$B$10</f>
        <v>49.27905990244</v>
      </c>
      <c r="F26" s="0" t="n">
        <f aca="false">(SUMPRODUCT(DCF_Base!$C$19:$L$19/(1+$A$26/100)^DCF_Base!$C$4:$L$4)+MAX(0,MIN(IF($A$26&gt;$F$23,DCF_Base!$L$19*(1+$F$23/100)/(($A$26-$F$23)/100),DCF_Base!$L$19*DCF_Base!$B$29),DCF_Base!$L$19*DCF_Base!$B$29))/(1+$A$26/100)^DCF_Base!$L$4+Assumptions!$B$5-Assumptions!$B$4)/Assumptions!$B$3*Assumptions!$B$10</f>
        <v>49.27905990244</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36.9550935613566</v>
      </c>
      <c r="C27" s="0" t="n">
        <f aca="false">(SUMPRODUCT(DCF_Base!$C$19:$L$19/(1+$A$27/100)^DCF_Base!$C$4:$L$4)+MAX(0,MIN(IF($A$27&gt;$C$23,DCF_Base!$L$19*(1+$C$23/100)/(($A$27-$C$23)/100),DCF_Base!$L$19*DCF_Base!$B$29),DCF_Base!$L$19*DCF_Base!$B$29))/(1+$A$27/100)^DCF_Base!$L$4+Assumptions!$B$5-Assumptions!$B$4)/Assumptions!$B$3*Assumptions!$B$10</f>
        <v>38.8384891833514</v>
      </c>
      <c r="D27" s="0" t="n">
        <f aca="false">(SUMPRODUCT(DCF_Base!$C$19:$L$19/(1+$A$27/100)^DCF_Base!$C$4:$L$4)+MAX(0,MIN(IF($A$27&gt;$D$23,DCF_Base!$L$19*(1+$D$23/100)/(($A$27-$D$23)/100),DCF_Base!$L$19*DCF_Base!$B$29),DCF_Base!$L$19*DCF_Base!$B$29))/(1+$A$27/100)^DCF_Base!$L$4+Assumptions!$B$5-Assumptions!$B$4)/Assumptions!$B$3*Assumptions!$B$10</f>
        <v>41.0116379779609</v>
      </c>
      <c r="E27" s="0" t="n">
        <f aca="false">(SUMPRODUCT(DCF_Base!$C$19:$L$19/(1+$A$27/100)^DCF_Base!$C$4:$L$4)+MAX(0,MIN(IF($A$27&gt;$E$23,DCF_Base!$L$19*(1+$E$23/100)/(($A$27-$E$23)/100),DCF_Base!$L$19*DCF_Base!$B$29),DCF_Base!$L$19*DCF_Base!$B$29))/(1+$A$27/100)^DCF_Base!$L$4+Assumptions!$B$5-Assumptions!$B$4)/Assumptions!$B$3*Assumptions!$B$10</f>
        <v>43.5469782383386</v>
      </c>
      <c r="F27" s="0" t="n">
        <f aca="false">(SUMPRODUCT(DCF_Base!$C$19:$L$19/(1+$A$27/100)^DCF_Base!$C$4:$L$4)+MAX(0,MIN(IF($A$27&gt;$F$23,DCF_Base!$L$19*(1+$F$23/100)/(($A$27-$F$23)/100),DCF_Base!$L$19*DCF_Base!$B$29),DCF_Base!$L$19*DCF_Base!$B$29))/(1+$A$27/100)^DCF_Base!$L$4+Assumptions!$B$5-Assumptions!$B$4)/Assumptions!$B$3*Assumptions!$B$10</f>
        <v>45.0588783936097</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31.1825156408158</v>
      </c>
      <c r="C28" s="0" t="n">
        <f aca="false">(SUMPRODUCT(DCF_Base!$C$19:$L$19/(1+$A$28/100)^DCF_Base!$C$4:$L$4)+MAX(0,MIN(IF($A$28&gt;$C$23,DCF_Base!$L$19*(1+$C$23/100)/(($A$28-$C$23)/100),DCF_Base!$L$19*DCF_Base!$B$29),DCF_Base!$L$19*DCF_Base!$B$29))/(1+$A$28/100)^DCF_Base!$L$4+Assumptions!$B$5-Assumptions!$B$4)/Assumptions!$B$3*Assumptions!$B$10</f>
        <v>32.5218723647336</v>
      </c>
      <c r="D28" s="0" t="n">
        <f aca="false">(SUMPRODUCT(DCF_Base!$C$19:$L$19/(1+$A$28/100)^DCF_Base!$C$4:$L$4)+MAX(0,MIN(IF($A$28&gt;$D$23,DCF_Base!$L$19*(1+$D$23/100)/(($A$28-$D$23)/100),DCF_Base!$L$19*DCF_Base!$B$29),DCF_Base!$L$19*DCF_Base!$B$29))/(1+$A$28/100)^DCF_Base!$L$4+Assumptions!$B$5-Assumptions!$B$4)/Assumptions!$B$3*Assumptions!$B$10</f>
        <v>34.0398099851738</v>
      </c>
      <c r="E28" s="0" t="n">
        <f aca="false">(SUMPRODUCT(DCF_Base!$C$19:$L$19/(1+$A$28/100)^DCF_Base!$C$4:$L$4)+MAX(0,MIN(IF($A$28&gt;$E$23,DCF_Base!$L$19*(1+$E$23/100)/(($A$28-$E$23)/100),DCF_Base!$L$19*DCF_Base!$B$29),DCF_Base!$L$19*DCF_Base!$B$29))/(1+$A$28/100)^DCF_Base!$L$4+Assumptions!$B$5-Assumptions!$B$4)/Assumptions!$B$3*Assumptions!$B$10</f>
        <v>35.7745958371055</v>
      </c>
      <c r="F28" s="0" t="n">
        <f aca="false">(SUMPRODUCT(DCF_Base!$C$19:$L$19/(1+$A$28/100)^DCF_Base!$C$4:$L$4)+MAX(0,MIN(IF($A$28&gt;$F$23,DCF_Base!$L$19*(1+$F$23/100)/(($A$28-$F$23)/100),DCF_Base!$L$19*DCF_Base!$B$29),DCF_Base!$L$19*DCF_Base!$B$29))/(1+$A$28/100)^DCF_Base!$L$4+Assumptions!$B$5-Assumptions!$B$4)/Assumptions!$B$3*Assumptions!$B$10</f>
        <v>37.7762718201035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2026-10-25T07:03:42Z</dcterms:created>
  <dc:creator>openpyxl</dc:creator>
  <dc:description/>
  <dc:language>en-NZ</dc:language>
  <cp:lastModifiedBy/>
  <dcterms:modified xsi:type="dcterms:W3CDTF">2026-10-25T07:03:42Z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