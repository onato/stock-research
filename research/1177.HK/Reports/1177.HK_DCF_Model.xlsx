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<sst xmlns="http://schemas.openxmlformats.org/spreadsheetml/2006/main" count="358" uniqueCount="166">
  <si>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</si>
  <si>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1177.HK</t>
  </si>
  <si>
    <t xml:space="preserve">Company</t>
  </si>
  <si>
    <t xml:space="preserve">Sino Biopharmaceutical Limited (SBP Group)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</si>
  <si>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</si>
  <si>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</si>
  <si>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</si>
  <si>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</si>
  <si>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2026-10-16T05:10:56Z intraday HKEX session (volatile; replace at the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</si>
  <si>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</si>
  <si>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</si>
  <si>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</si>
  <si>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</si>
  <si>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</si>
  <si>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</si>
  <si>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</si>
  <si>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</si>
  <si>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</si>
  <si>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</si>
  <si>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</si>
  <si>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</si>
  <si>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</si>
  <si>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2026-10-16T05:32:28Z</t>
  </si>
  <si>
    <t xml:space="preserve">Drivers file</t>
  </si>
  <si>
    <t xml:space="preserve">1177.HK_Drivers.json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</si>
  <si>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</si>
  <si>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</si>
  <si>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</si>
  <si>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operating pharma business on attributable owner FCF (NCI leakage and cash tax charged once in the flows, SBC expensed, leases as operating cost) in CNY at a CNY-built 8.5% WACC, then add the matching non-operating assets (cash, deposits, wealth-management products, the Sinovac FVOCI stake at a 20% haircut, FVTPL investments and associates at book) whose income was stripped from the flows, and convert to HKD at 1.1727. Out-licensing upfronts are treated as partly recurring; the scenarios differ mainly on licensing recurrence, VBP severity and whether the H1 2026 cost structure holds.
key_risks_to_valuation: Out-licensing recurrence: ~RMB2.4bn of 2026 upfronts at ~100% margin; if no further deals/milestones follow, FY2027 revenue and margin step down more than the base assumes; VBP/NRDL repricing of the generics/biosimilar book (58% of product sales) and of maturing innovative franchises (anlotinib, penpulimab); NCI leakage: ~45% of operating profit accrues to CT Tianqing and other subsidiary minorities; any change in subsidiary ownership moves per-share value materially; Sustainability of the H1 2026 S&amp;D cut (-18% YoY) that lifted operating margins from ~26% to ~36-39%; Non-operating assets: Sinovac LS stake (RMB7.2bn, Level-3 fair value) and RMB12.5bn of wealth-management products; fair-value marks and dividend timing are volatile (FY2025 FV loss 1.67bn); Currency: CNY flows against an HKD quote; fx_rate is dated and not refreshed by price refreshes; Pipeline execution across dozens of late-stage assets and integration of LaNova/Hygieia; Intraday price print; HK biotech sentiment swings are large (52-week range 4.19-7.79)</t>
  </si>
  <si>
    <t xml:space="preserve">Data sources</t>
  </si>
  <si>
    <t xml:space="preserve">price: Yahoo Finance chart API at inputs.price_as_of (intraday); 52-week range 4.19-7.79 HKD
fx: Yahoo Finance CNYHKD=X at inputs.fx_note date
financials: 1177.HK_Metrics.csv (core_metrics, CNY millions, FY2017-FY2025 + H1 2023-2026); FY2025 annual report (income statement, cash-flow statement, underlying-profit reconciliation, 5-year summary); H1 2026 interim report (balance sheet at 30 Jun 2026, note 8 EPS/diluted shares, note 13 share capital, MD&amp;A liquidity and investments sections)
qualitative: 1177.HK_Analysis.json (2026-10-16)</t>
  </si>
  <si>
    <t xml:space="preserve">Scenario narrative: bear</t>
  </si>
  <si>
    <t xml:space="preserve">VBP and NRDL negotiations hit both the generics tail and the maturing anlotinib/PD-1 franchises, late-stage pipeline failures slow innovative growth to low-teens, the licensing upfronts prove one-off so FY2027 revenue falls, and S&amp;D normalises back up. US-China biotech tension curtails further global deals. Margins revert to the FY2025 25% level and the terminal multiple caps at 14x. Even then the cash and investment pile limits the downside.</t>
  </si>
  <si>
    <t xml:space="preserve">Scenario narrative: base</t>
  </si>
  <si>
    <t xml:space="preserve">SBP Group is halfway through a mix shift: innovative drugs (42% of H1 2026 product sales) are growing ~29% while the VBP-exposed generics/biosimilar book (58%) shrinks ~7%, netting to ~5-6% product growth that rises toward 7% as the mix tips. On top sits a new but lumpy out-licensing stream (Sanofi rovadicitinib, AstraZeneca TQC3721) whose 2026 upfronts (~RMB2.4bn) will not repeat at that size; the base keeps ~1.5bn/yr of milestones and new deals. The H1 2026 margin step-up (S&amp;D -18%) is assumed to partly hold, taking operating EBITDA to a mature 34%. Roughly 45% of after-tax operating profit leaks to CT Tianqing's minorities, charged in the flows. The balance sheet (RMB17.4bn net cash plus ~RMB11bn of investments after haircut) is about a third of the market value.</t>
  </si>
  <si>
    <t xml:space="preserve">Scenario narrative: bull</t>
  </si>
  <si>
    <t xml:space="preserve">The 2026-30 approval wave (~30 Category-1 drugs) plus the GSK in-licensed respiratory and liver brands keeps product growth near 10%, China-origin licensing deal flow makes out-licensing a recurring RMB3-4bn/yr line with royalties layering in from 2028+, and the leaner commercial model holds so margins reach 38%. Policy (pillar-industry status, commercial-insurance catalogue, pricing reform) favours innovators over generics.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</si>
  <si>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</si>
  <si>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</si>
  <si>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</si>
  <si>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</si>
  <si>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</si>
  <si>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</si>
  <si>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</si>
  <si>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</si>
  <si>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</si>
  <si>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</si>
  <si>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</si>
  <si>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</si>
  <si>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</si>
  <si>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</si>
  <si>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</si>
  <si>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</si>
  <si>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</si>
  <si>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</si>
  <si>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</si>
  <si>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</si>
  <si>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</si>
  <si>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</si>
  <si>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</si>
  <si>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</si>
  <si>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</si>
  <si>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</si>
  <si>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</si>
  <si>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NonControllingInterests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</si>
  <si>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</si>
  <si>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</si>
  <si>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</si>
  <si>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</si>
  <si>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</si>
  <si>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</si>
  <si>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</si>
  <si>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</si>
  <si>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</si>
  <si>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</si>
  <si>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</si>
  <si>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</si>
  <si>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</si>
  <si>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</si>
  <si>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</si>
  <si>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</si>
  <si>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</si>
  <si>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</si>
  <si>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</si>
  <si>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</si>
  <si>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</si>
  <si>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</si>
  <si>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</si>
  <si>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</si>
  <si>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</si>
  <si>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</si>
  <si>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</si>
  <si>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</si>
  <si>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</si>
  <si>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</si>
  <si>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</si>
  <si>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</si>
  <si>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</si>
  <si>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</si>
  <si>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</si>
  <si>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</si>
  <si>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</si>
  <si>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</si>
  <si>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</si>
  <si>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</si>
  <si>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</si>
  <si>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</si>
  <si>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</si>
  <si>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</si>
  <si>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</si>
  <si>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</si>
  <si>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1177.HK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</si>
  <si>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</si>
  <si>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</si>
  <si>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</si>
  <si>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</si>
  <si>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</si>
  <si>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</si>
  <si>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</si>
  <si>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</si>
  <si>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</si>
  <si>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</si>
  <si>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</si>
  <si>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</si>
  <si>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</si>
  <si>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</si>
  <si>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</si>
  <si>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</si>
  <si>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</si>
  <si>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</si>
  <si>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</si>
  <si>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</si>
  <si>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</si>
  <si>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</si>
  <si>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</si>
  <si>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</si>
  <si>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</si>
  <si>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</si>
  <si>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</si>
  <si>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</si>
  <si>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</si>
  <si>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</si>
  <si>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1177.HK owner-FCF component DCF: base case (millions, CNY)</t>
  </si>
  <si>
    <t xml:space="preserve">1177.HK owner-FCF component DCF: bull case (millions, CNY)</t>
  </si>
  <si>
    <t xml:space="preserve">1177.HK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</si>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</sst>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5.39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14819.302</v>
      </c>
      <c r="C2" s="0" t="n">
        <v>3090.625</v>
      </c>
      <c r="D2" s="0" t="n">
        <v>11728.677</v>
      </c>
      <c r="E2" s="0" t="n">
        <v>79.1</v>
      </c>
      <c r="F2" s="0" t="n">
        <v>3781.651</v>
      </c>
      <c r="G2" s="0" t="n">
        <v>25.5</v>
      </c>
      <c r="H2" s="0" t="n">
        <v>4139.273</v>
      </c>
      <c r="I2" s="0" t="n">
        <v>2170.951</v>
      </c>
      <c r="J2" s="0" t="n">
        <v>14.6</v>
      </c>
      <c r="K2" s="0" t="n">
        <v>0.1302</v>
      </c>
      <c r="L2" s="0" t="n">
        <v>3732.518</v>
      </c>
      <c r="M2" s="0" t="n">
        <v>1058.124</v>
      </c>
      <c r="N2" s="0" t="n">
        <v>2674.394</v>
      </c>
      <c r="O2" s="0" t="n">
        <v>9208.794</v>
      </c>
      <c r="P2" s="0" t="n">
        <v>20935.339</v>
      </c>
      <c r="Q2" s="0" t="n">
        <v>8324.29</v>
      </c>
      <c r="R2" s="0" t="n">
        <v>2951.204</v>
      </c>
      <c r="S2" s="0" t="n">
        <v>4188.14</v>
      </c>
      <c r="T2" s="0" t="n">
        <v>16677.432</v>
      </c>
      <c r="U2" s="0" t="n">
        <v>0</v>
      </c>
      <c r="AA2" s="0" t="s">
        <v>18</v>
      </c>
      <c r="AB2" s="0" t="s">
        <v>14</v>
      </c>
      <c r="AC2" s="0" t="n">
        <v>3402.255</v>
      </c>
    </row>
    <row r="3" customFormat="false" ht="15" hidden="false" customHeight="false" outlineLevel="0" collapsed="false">
      <c r="A3" s="0" t="s">
        <v>66</v>
      </c>
      <c r="B3" s="0" t="n">
        <v>20888.584</v>
      </c>
      <c r="C3" s="0" t="n">
        <v>4196.932</v>
      </c>
      <c r="D3" s="0" t="n">
        <v>16691.652</v>
      </c>
      <c r="E3" s="0" t="n">
        <v>79.9</v>
      </c>
      <c r="F3" s="0" t="n">
        <v>11359.712</v>
      </c>
      <c r="G3" s="0" t="n">
        <v>54.4</v>
      </c>
      <c r="H3" s="0" t="n">
        <v>12569.936</v>
      </c>
      <c r="I3" s="0" t="n">
        <v>9046.347</v>
      </c>
      <c r="J3" s="0" t="n">
        <v>43.3</v>
      </c>
      <c r="K3" s="0" t="n">
        <v>0.4877</v>
      </c>
      <c r="L3" s="0" t="n">
        <v>5094.364</v>
      </c>
      <c r="M3" s="0" t="n">
        <v>1549.979</v>
      </c>
      <c r="N3" s="0" t="n">
        <v>3544.385</v>
      </c>
      <c r="O3" s="0" t="n">
        <v>13021.443</v>
      </c>
      <c r="P3" s="0" t="n">
        <v>29031.35</v>
      </c>
      <c r="Q3" s="0" t="n">
        <v>11252.131</v>
      </c>
      <c r="R3" s="0" t="n">
        <v>3412.641</v>
      </c>
      <c r="S3" s="0" t="n">
        <v>6676.042</v>
      </c>
      <c r="T3" s="0" t="n">
        <v>18548.557</v>
      </c>
      <c r="U3" s="0" t="n">
        <v>0</v>
      </c>
      <c r="AA3" s="0" t="s">
        <v>18</v>
      </c>
      <c r="AB3" s="0" t="s">
        <v>14</v>
      </c>
      <c r="AC3" s="0" t="n">
        <v>4757.776</v>
      </c>
    </row>
    <row r="4" customFormat="false" ht="15" hidden="false" customHeight="false" outlineLevel="0" collapsed="false">
      <c r="A4" s="0" t="s">
        <v>67</v>
      </c>
      <c r="B4" s="0" t="n">
        <v>24234.03</v>
      </c>
      <c r="C4" s="0" t="n">
        <v>4926.268</v>
      </c>
      <c r="D4" s="0" t="n">
        <v>19307.762</v>
      </c>
      <c r="E4" s="0" t="n">
        <v>79.7</v>
      </c>
      <c r="F4" s="0" t="n">
        <v>5551.448</v>
      </c>
      <c r="G4" s="0" t="n">
        <v>22.9</v>
      </c>
      <c r="H4" s="0" t="n">
        <v>6997.059</v>
      </c>
      <c r="I4" s="0" t="n">
        <v>2761.542</v>
      </c>
      <c r="J4" s="0" t="n">
        <v>11.4</v>
      </c>
      <c r="K4" s="0" t="n">
        <v>0.1468</v>
      </c>
      <c r="L4" s="0" t="n">
        <v>5324.634</v>
      </c>
      <c r="M4" s="0" t="n">
        <v>1449.485</v>
      </c>
      <c r="N4" s="0" t="n">
        <v>3875.149</v>
      </c>
      <c r="O4" s="0" t="n">
        <v>14949.245</v>
      </c>
      <c r="P4" s="0" t="n">
        <v>37514.192</v>
      </c>
      <c r="Q4" s="0" t="n">
        <v>16953.01</v>
      </c>
      <c r="R4" s="0" t="n">
        <v>8551.551</v>
      </c>
      <c r="S4" s="0" t="n">
        <v>11911.21</v>
      </c>
      <c r="T4" s="0" t="n">
        <v>18811.056</v>
      </c>
      <c r="U4" s="0" t="n">
        <v>0</v>
      </c>
      <c r="AA4" s="0" t="s">
        <v>18</v>
      </c>
      <c r="AB4" s="0" t="s">
        <v>14</v>
      </c>
      <c r="AC4" s="0" t="n">
        <v>5611.937</v>
      </c>
    </row>
    <row r="5" customFormat="false" ht="15" hidden="false" customHeight="false" outlineLevel="0" collapsed="false">
      <c r="A5" s="0" t="s">
        <v>68</v>
      </c>
      <c r="B5" s="0" t="n">
        <v>23647.224</v>
      </c>
      <c r="C5" s="0" t="n">
        <v>5182.32</v>
      </c>
      <c r="D5" s="0" t="n">
        <v>18464.904</v>
      </c>
      <c r="E5" s="0" t="n">
        <v>78.1</v>
      </c>
      <c r="F5" s="0" t="n">
        <v>5145.642</v>
      </c>
      <c r="G5" s="0" t="n">
        <v>21.8</v>
      </c>
      <c r="H5" s="0" t="n">
        <v>6800.478</v>
      </c>
      <c r="I5" s="0" t="n">
        <v>2771.086</v>
      </c>
      <c r="J5" s="0" t="n">
        <v>11.7</v>
      </c>
      <c r="K5" s="0" t="n">
        <v>0.1474</v>
      </c>
      <c r="L5" s="0" t="n">
        <v>5325.336</v>
      </c>
      <c r="M5" s="0" t="n">
        <v>1424.29</v>
      </c>
      <c r="N5" s="0" t="n">
        <v>3901.046</v>
      </c>
      <c r="O5" s="0" t="n">
        <v>16747.16</v>
      </c>
      <c r="P5" s="0" t="n">
        <v>47210.438</v>
      </c>
      <c r="Q5" s="0" t="n">
        <v>24790.88</v>
      </c>
      <c r="R5" s="0" t="n">
        <v>13916.264</v>
      </c>
      <c r="S5" s="0" t="n">
        <v>11259.084</v>
      </c>
      <c r="T5" s="0" t="n">
        <v>18800.284</v>
      </c>
      <c r="U5" s="0" t="n">
        <v>0</v>
      </c>
      <c r="AA5" s="0" t="s">
        <v>18</v>
      </c>
      <c r="AB5" s="0" t="s">
        <v>14</v>
      </c>
      <c r="AC5" s="0" t="n">
        <v>5672.398</v>
      </c>
    </row>
    <row r="6" customFormat="false" ht="15" hidden="false" customHeight="false" outlineLevel="0" collapsed="false">
      <c r="A6" s="0" t="s">
        <v>69</v>
      </c>
      <c r="B6" s="0" t="n">
        <v>26861.356</v>
      </c>
      <c r="C6" s="0" t="n">
        <v>5332.095</v>
      </c>
      <c r="D6" s="0" t="n">
        <v>21529.261</v>
      </c>
      <c r="E6" s="0" t="n">
        <v>80.1</v>
      </c>
      <c r="F6" s="0" t="n">
        <v>5088.443</v>
      </c>
      <c r="G6" s="0" t="n">
        <v>18.9</v>
      </c>
      <c r="H6" s="0" t="n">
        <v>6080.999</v>
      </c>
      <c r="I6" s="0" t="n">
        <v>14608.412</v>
      </c>
      <c r="J6" s="0" t="n">
        <v>54.4</v>
      </c>
      <c r="K6" s="0" t="n">
        <v>0.7783</v>
      </c>
      <c r="L6" s="0" t="n">
        <v>5366.294</v>
      </c>
      <c r="M6" s="0" t="n">
        <v>1714.131</v>
      </c>
      <c r="N6" s="0" t="n">
        <v>3652.163</v>
      </c>
      <c r="O6" s="0" t="n">
        <v>30291.116</v>
      </c>
      <c r="P6" s="0" t="n">
        <v>60543.337</v>
      </c>
      <c r="Q6" s="0" t="n">
        <v>22814.314</v>
      </c>
      <c r="R6" s="0" t="n">
        <v>11733.091</v>
      </c>
      <c r="S6" s="0" t="n">
        <v>10568.812</v>
      </c>
      <c r="T6" s="0" t="n">
        <v>18768.65</v>
      </c>
      <c r="U6" s="0" t="n">
        <v>0</v>
      </c>
      <c r="AA6" s="0" t="s">
        <v>18</v>
      </c>
      <c r="AB6" s="0" t="s">
        <v>14</v>
      </c>
      <c r="AC6" s="0" t="n">
        <v>7437.907</v>
      </c>
    </row>
    <row r="7" customFormat="false" ht="15" hidden="false" customHeight="false" outlineLevel="0" collapsed="false">
      <c r="A7" s="0" t="s">
        <v>70</v>
      </c>
      <c r="B7" s="0" t="n">
        <v>28780.412</v>
      </c>
      <c r="C7" s="0" t="n">
        <v>5795.51</v>
      </c>
      <c r="D7" s="0" t="n">
        <v>22984.902</v>
      </c>
      <c r="E7" s="0" t="n">
        <v>79.9</v>
      </c>
      <c r="F7" s="0" t="n">
        <v>6169.197</v>
      </c>
      <c r="G7" s="0" t="n">
        <v>21.4</v>
      </c>
      <c r="H7" s="0" t="n">
        <v>7216.181</v>
      </c>
      <c r="I7" s="0" t="n">
        <v>2543.57</v>
      </c>
      <c r="J7" s="0" t="n">
        <v>8.8</v>
      </c>
      <c r="K7" s="0" t="n">
        <v>0.1366</v>
      </c>
      <c r="L7" s="0" t="n">
        <v>6265.155</v>
      </c>
      <c r="M7" s="0" t="n">
        <v>1243.325</v>
      </c>
      <c r="N7" s="0" t="n">
        <v>5021.83</v>
      </c>
      <c r="O7" s="0" t="n">
        <v>29747.035</v>
      </c>
      <c r="P7" s="0" t="n">
        <v>64064.284</v>
      </c>
      <c r="Q7" s="0" t="n">
        <v>26120.736</v>
      </c>
      <c r="R7" s="0" t="n">
        <v>13597.269</v>
      </c>
      <c r="S7" s="0" t="n">
        <v>12066.217</v>
      </c>
      <c r="T7" s="0" t="n">
        <v>18622.249</v>
      </c>
      <c r="U7" s="0" t="n">
        <v>29.723</v>
      </c>
      <c r="AA7" s="0" t="s">
        <v>18</v>
      </c>
      <c r="AB7" s="0" t="s">
        <v>14</v>
      </c>
      <c r="AC7" s="0" t="n">
        <v>8196.513</v>
      </c>
    </row>
    <row r="8" customFormat="false" ht="15" hidden="false" customHeight="false" outlineLevel="0" collapsed="false">
      <c r="A8" s="0" t="s">
        <v>71</v>
      </c>
      <c r="B8" s="0" t="n">
        <v>26199.409</v>
      </c>
      <c r="C8" s="0" t="n">
        <v>4989.877</v>
      </c>
      <c r="D8" s="0" t="n">
        <v>21209.532</v>
      </c>
      <c r="E8" s="0" t="n">
        <v>81</v>
      </c>
      <c r="F8" s="0" t="n">
        <v>6238.042</v>
      </c>
      <c r="G8" s="0" t="n">
        <v>23.8</v>
      </c>
      <c r="H8" s="0" t="n">
        <v>7312.326</v>
      </c>
      <c r="I8" s="0" t="n">
        <v>2331.939</v>
      </c>
      <c r="J8" s="0" t="n">
        <v>8.9</v>
      </c>
      <c r="K8" s="0" t="n">
        <v>0.1259</v>
      </c>
      <c r="L8" s="0" t="n">
        <v>6065.734</v>
      </c>
      <c r="M8" s="0" t="n">
        <v>1067.823</v>
      </c>
      <c r="N8" s="0" t="n">
        <v>4997.911</v>
      </c>
      <c r="O8" s="0" t="n">
        <v>30474.469</v>
      </c>
      <c r="P8" s="0" t="n">
        <v>63604.819</v>
      </c>
      <c r="Q8" s="0" t="n">
        <v>25434.866</v>
      </c>
      <c r="R8" s="0" t="n">
        <v>12210.362</v>
      </c>
      <c r="S8" s="0" t="n">
        <v>9451.878</v>
      </c>
      <c r="T8" s="0" t="n">
        <v>18529.065</v>
      </c>
      <c r="U8" s="0" t="n">
        <v>18.123</v>
      </c>
      <c r="AA8" s="0" t="s">
        <v>18</v>
      </c>
      <c r="AB8" s="0" t="s">
        <v>14</v>
      </c>
      <c r="AC8" s="0" t="n">
        <v>7695.484</v>
      </c>
    </row>
    <row r="9" customFormat="false" ht="15" hidden="false" customHeight="false" outlineLevel="0" collapsed="false">
      <c r="A9" s="0" t="s">
        <v>72</v>
      </c>
      <c r="B9" s="0" t="n">
        <v>28866.159</v>
      </c>
      <c r="C9" s="0" t="n">
        <v>5336.218</v>
      </c>
      <c r="D9" s="0" t="n">
        <v>23529.941</v>
      </c>
      <c r="E9" s="0" t="n">
        <v>81.5</v>
      </c>
      <c r="F9" s="0" t="n">
        <v>5191.32</v>
      </c>
      <c r="G9" s="0" t="n">
        <v>18</v>
      </c>
      <c r="H9" s="0" t="n">
        <v>6512.501</v>
      </c>
      <c r="I9" s="0" t="n">
        <v>3499.834</v>
      </c>
      <c r="J9" s="0" t="n">
        <v>12.1</v>
      </c>
      <c r="K9" s="0" t="n">
        <v>0.1913</v>
      </c>
      <c r="L9" s="0" t="n">
        <v>6615.12</v>
      </c>
      <c r="M9" s="0" t="n">
        <v>960.102</v>
      </c>
      <c r="N9" s="0" t="n">
        <v>5655.018</v>
      </c>
      <c r="O9" s="0" t="n">
        <v>31960.789</v>
      </c>
      <c r="P9" s="0" t="n">
        <v>65408.069</v>
      </c>
      <c r="Q9" s="0" t="n">
        <v>22633.999</v>
      </c>
      <c r="R9" s="0" t="n">
        <v>9598.82</v>
      </c>
      <c r="S9" s="0" t="n">
        <v>9569.584</v>
      </c>
      <c r="T9" s="0" t="n">
        <v>18293.511</v>
      </c>
      <c r="U9" s="0" t="n">
        <v>53.721</v>
      </c>
      <c r="AA9" s="0" t="s">
        <v>18</v>
      </c>
      <c r="AB9" s="0" t="s">
        <v>14</v>
      </c>
      <c r="AC9" s="0" t="n">
        <v>10813.281</v>
      </c>
    </row>
    <row r="10" customFormat="false" ht="15" hidden="false" customHeight="false" outlineLevel="0" collapsed="false">
      <c r="A10" s="0" t="s">
        <v>73</v>
      </c>
      <c r="B10" s="0" t="n">
        <v>31834.488</v>
      </c>
      <c r="C10" s="0" t="n">
        <v>5707.74</v>
      </c>
      <c r="D10" s="0" t="n">
        <v>26126.748</v>
      </c>
      <c r="E10" s="0" t="n">
        <v>82.1</v>
      </c>
      <c r="F10" s="0" t="n">
        <v>6739.494</v>
      </c>
      <c r="G10" s="0" t="n">
        <v>21.2</v>
      </c>
      <c r="H10" s="0" t="n">
        <v>7951.077</v>
      </c>
      <c r="I10" s="0" t="n">
        <v>2343.348</v>
      </c>
      <c r="J10" s="0" t="n">
        <v>7.4</v>
      </c>
      <c r="K10" s="0" t="n">
        <v>0.1302</v>
      </c>
      <c r="L10" s="0" t="n">
        <v>9291.821</v>
      </c>
      <c r="M10" s="0" t="n">
        <v>1238.77</v>
      </c>
      <c r="N10" s="0" t="n">
        <v>8053.051</v>
      </c>
      <c r="O10" s="0" t="n">
        <v>30670.958</v>
      </c>
      <c r="P10" s="0" t="n">
        <v>76009.821</v>
      </c>
      <c r="Q10" s="0" t="n">
        <v>33923.894</v>
      </c>
      <c r="R10" s="0" t="n">
        <v>15979.414</v>
      </c>
      <c r="S10" s="0" t="n">
        <v>12180.729</v>
      </c>
      <c r="T10" s="0" t="n">
        <v>18002.496</v>
      </c>
      <c r="U10" s="0" t="n">
        <v>115.966</v>
      </c>
      <c r="AA10" s="0" t="s">
        <v>18</v>
      </c>
      <c r="AB10" s="0" t="s">
        <v>14</v>
      </c>
      <c r="AC10" s="0" t="n">
        <v>11414.969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5.39</v>
      </c>
    </row>
    <row r="3" customFormat="false" ht="15" hidden="false" customHeight="false" outlineLevel="0" collapsed="false">
      <c r="A3" s="0" t="s">
        <v>77</v>
      </c>
      <c r="B3" s="3" t="n">
        <v>18050</v>
      </c>
    </row>
    <row r="4" customFormat="false" ht="15" hidden="false" customHeight="false" outlineLevel="0" collapsed="false">
      <c r="A4" s="0" t="s">
        <v>78</v>
      </c>
      <c r="B4" s="3" t="n">
        <v>-17484.4</v>
      </c>
    </row>
    <row r="5" customFormat="false" ht="15" hidden="false" customHeight="false" outlineLevel="0" collapsed="false">
      <c r="A5" s="0" t="s">
        <v>79</v>
      </c>
      <c r="B5" s="3" t="n">
        <v>11116.5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31834.488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1.1727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11.5</v>
      </c>
      <c r="D13" s="3" t="n">
        <v>-1</v>
      </c>
      <c r="E13" s="3" t="n">
        <v>1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98</v>
      </c>
      <c r="C14" s="3" t="n">
        <v>34</v>
      </c>
      <c r="D14" s="3" t="n">
        <v>28</v>
      </c>
      <c r="E14" s="3" t="n">
        <v>26</v>
      </c>
      <c r="F14" s="3" t="n">
        <v>25</v>
      </c>
      <c r="G14" s="3" t="n">
        <v>25</v>
      </c>
      <c r="H14" s="3" t="n">
        <v>25</v>
      </c>
      <c r="I14" s="3" t="n">
        <v>25</v>
      </c>
      <c r="J14" s="3" t="n">
        <v>25</v>
      </c>
      <c r="K14" s="3" t="n">
        <v>25</v>
      </c>
      <c r="L14" s="3" t="n">
        <v>25</v>
      </c>
    </row>
    <row r="15" customFormat="false" ht="15" hidden="false" customHeight="false" outlineLevel="0" collapsed="false">
      <c r="A15" s="0" t="s">
        <v>99</v>
      </c>
      <c r="C15" s="3" t="n">
        <v>0.7</v>
      </c>
      <c r="D15" s="3" t="n">
        <v>0.7</v>
      </c>
      <c r="E15" s="3" t="n">
        <v>0.7</v>
      </c>
      <c r="F15" s="3" t="n">
        <v>0.7</v>
      </c>
      <c r="G15" s="3" t="n">
        <v>0.7</v>
      </c>
      <c r="H15" s="3" t="n">
        <v>0.7</v>
      </c>
      <c r="I15" s="3" t="n">
        <v>0.7</v>
      </c>
      <c r="J15" s="3" t="n">
        <v>0.7</v>
      </c>
      <c r="K15" s="3" t="n">
        <v>0.7</v>
      </c>
      <c r="L15" s="3" t="n">
        <v>0.7</v>
      </c>
    </row>
    <row r="16" customFormat="false" ht="15" hidden="false" customHeight="false" outlineLevel="0" collapsed="false">
      <c r="A16" s="0" t="s">
        <v>100</v>
      </c>
      <c r="C16" s="3" t="n">
        <v>0.14</v>
      </c>
      <c r="D16" s="3" t="n">
        <v>0.14</v>
      </c>
      <c r="E16" s="3" t="n">
        <v>0.14</v>
      </c>
      <c r="F16" s="3" t="n">
        <v>0.14</v>
      </c>
      <c r="G16" s="3" t="n">
        <v>0.14</v>
      </c>
      <c r="H16" s="3" t="n">
        <v>0.14</v>
      </c>
      <c r="I16" s="3" t="n">
        <v>0.14</v>
      </c>
      <c r="J16" s="3" t="n">
        <v>0.14</v>
      </c>
      <c r="K16" s="3" t="n">
        <v>0.14</v>
      </c>
      <c r="L16" s="3" t="n">
        <v>0.14</v>
      </c>
    </row>
    <row r="17" customFormat="false" ht="15" hidden="false" customHeight="false" outlineLevel="0" collapsed="false">
      <c r="A17" s="0" t="s">
        <v>101</v>
      </c>
      <c r="C17" s="3" t="n">
        <v>3.6</v>
      </c>
      <c r="D17" s="3" t="n">
        <v>3.6</v>
      </c>
      <c r="E17" s="3" t="n">
        <v>3.6</v>
      </c>
      <c r="F17" s="3" t="n">
        <v>3.6</v>
      </c>
      <c r="G17" s="3" t="n">
        <v>3.6</v>
      </c>
      <c r="H17" s="3" t="n">
        <v>3.6</v>
      </c>
      <c r="I17" s="3" t="n">
        <v>3.6</v>
      </c>
      <c r="J17" s="3" t="n">
        <v>3.6</v>
      </c>
      <c r="K17" s="3" t="n">
        <v>3.6</v>
      </c>
      <c r="L17" s="3" t="n">
        <v>3.6</v>
      </c>
    </row>
    <row r="18" customFormat="false" ht="15" hidden="false" customHeight="false" outlineLevel="0" collapsed="false">
      <c r="A18" s="0" t="s">
        <v>102</v>
      </c>
      <c r="C18" s="3" t="n">
        <v>5</v>
      </c>
      <c r="D18" s="3" t="n">
        <v>5</v>
      </c>
      <c r="E18" s="3" t="n">
        <v>5</v>
      </c>
      <c r="F18" s="3" t="n">
        <v>4.8</v>
      </c>
      <c r="G18" s="3" t="n">
        <v>4.6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103</v>
      </c>
      <c r="C19" s="3" t="n">
        <v>55.5</v>
      </c>
      <c r="D19" s="3" t="n">
        <v>55.5</v>
      </c>
      <c r="E19" s="3" t="n">
        <v>55.5</v>
      </c>
      <c r="F19" s="3" t="n">
        <v>55.5</v>
      </c>
      <c r="G19" s="3" t="n">
        <v>55.5</v>
      </c>
      <c r="H19" s="3" t="n">
        <v>55.5</v>
      </c>
      <c r="I19" s="3" t="n">
        <v>55.5</v>
      </c>
      <c r="J19" s="3" t="n">
        <v>55.5</v>
      </c>
      <c r="K19" s="3" t="n">
        <v>55.5</v>
      </c>
      <c r="L19" s="3" t="n">
        <v>55.5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14</v>
      </c>
    </row>
    <row r="23" customFormat="false" ht="15" hidden="false" customHeight="false" outlineLevel="0" collapsed="false">
      <c r="A23" s="0" t="s">
        <v>107</v>
      </c>
      <c r="B23" s="3" t="n">
        <v>-10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12.5</v>
      </c>
      <c r="D27" s="3" t="n">
        <v>4.5</v>
      </c>
      <c r="E27" s="3" t="n">
        <v>7</v>
      </c>
      <c r="F27" s="3" t="n">
        <v>7</v>
      </c>
      <c r="G27" s="3" t="n">
        <v>7</v>
      </c>
      <c r="H27" s="3" t="n">
        <v>6.5</v>
      </c>
      <c r="I27" s="3" t="n">
        <v>6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98</v>
      </c>
      <c r="C28" s="3" t="n">
        <v>36</v>
      </c>
      <c r="D28" s="3" t="n">
        <v>32.5</v>
      </c>
      <c r="E28" s="3" t="n">
        <v>33</v>
      </c>
      <c r="F28" s="3" t="n">
        <v>33.5</v>
      </c>
      <c r="G28" s="3" t="n">
        <v>34</v>
      </c>
      <c r="H28" s="3" t="n">
        <v>34</v>
      </c>
      <c r="I28" s="3" t="n">
        <v>34</v>
      </c>
      <c r="J28" s="3" t="n">
        <v>34</v>
      </c>
      <c r="K28" s="3" t="n">
        <v>34</v>
      </c>
      <c r="L28" s="3" t="n">
        <v>34</v>
      </c>
    </row>
    <row r="29" customFormat="false" ht="15" hidden="false" customHeight="false" outlineLevel="0" collapsed="false">
      <c r="A29" s="0" t="s">
        <v>99</v>
      </c>
      <c r="C29" s="3" t="n">
        <v>0.7</v>
      </c>
      <c r="D29" s="3" t="n">
        <v>0.7</v>
      </c>
      <c r="E29" s="3" t="n">
        <v>0.65</v>
      </c>
      <c r="F29" s="3" t="n">
        <v>0.65</v>
      </c>
      <c r="G29" s="3" t="n">
        <v>0.6</v>
      </c>
      <c r="H29" s="3" t="n">
        <v>0.6</v>
      </c>
      <c r="I29" s="3" t="n">
        <v>0.55</v>
      </c>
      <c r="J29" s="3" t="n">
        <v>0.55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100</v>
      </c>
      <c r="C30" s="3" t="n">
        <v>0.14</v>
      </c>
      <c r="D30" s="3" t="n">
        <v>0.14</v>
      </c>
      <c r="E30" s="3" t="n">
        <v>0.14</v>
      </c>
      <c r="F30" s="3" t="n">
        <v>0.14</v>
      </c>
      <c r="G30" s="3" t="n">
        <v>0.14</v>
      </c>
      <c r="H30" s="3" t="n">
        <v>0.14</v>
      </c>
      <c r="I30" s="3" t="n">
        <v>0.14</v>
      </c>
      <c r="J30" s="3" t="n">
        <v>0.14</v>
      </c>
      <c r="K30" s="3" t="n">
        <v>0.14</v>
      </c>
      <c r="L30" s="3" t="n">
        <v>0.14</v>
      </c>
    </row>
    <row r="31" customFormat="false" ht="15" hidden="false" customHeight="false" outlineLevel="0" collapsed="false">
      <c r="A31" s="0" t="s">
        <v>101</v>
      </c>
      <c r="C31" s="3" t="n">
        <v>3.6</v>
      </c>
      <c r="D31" s="3" t="n">
        <v>3.6</v>
      </c>
      <c r="E31" s="3" t="n">
        <v>3.6</v>
      </c>
      <c r="F31" s="3" t="n">
        <v>3.5</v>
      </c>
      <c r="G31" s="3" t="n">
        <v>3.5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102</v>
      </c>
      <c r="C32" s="3" t="n">
        <v>5</v>
      </c>
      <c r="D32" s="3" t="n">
        <v>5</v>
      </c>
      <c r="E32" s="3" t="n">
        <v>4.8</v>
      </c>
      <c r="F32" s="3" t="n">
        <v>4.6</v>
      </c>
      <c r="G32" s="3" t="n">
        <v>4.5</v>
      </c>
      <c r="H32" s="3" t="n">
        <v>4.5</v>
      </c>
      <c r="I32" s="3" t="n">
        <v>4.3</v>
      </c>
      <c r="J32" s="3" t="n">
        <v>4.2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103</v>
      </c>
      <c r="C33" s="3" t="n">
        <v>55.5</v>
      </c>
      <c r="D33" s="3" t="n">
        <v>55.5</v>
      </c>
      <c r="E33" s="3" t="n">
        <v>55.5</v>
      </c>
      <c r="F33" s="3" t="n">
        <v>55.5</v>
      </c>
      <c r="G33" s="3" t="n">
        <v>55.5</v>
      </c>
      <c r="H33" s="3" t="n">
        <v>55.5</v>
      </c>
      <c r="I33" s="3" t="n">
        <v>55.5</v>
      </c>
      <c r="J33" s="3" t="n">
        <v>55.5</v>
      </c>
      <c r="K33" s="3" t="n">
        <v>55.5</v>
      </c>
      <c r="L33" s="3" t="n">
        <v>55.5</v>
      </c>
    </row>
    <row r="34" customFormat="false" ht="15" hidden="false" customHeight="false" outlineLevel="0" collapsed="false">
      <c r="A34" s="0" t="s">
        <v>104</v>
      </c>
      <c r="B34" s="3" t="n">
        <v>8.5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18</v>
      </c>
    </row>
    <row r="37" customFormat="false" ht="15" hidden="false" customHeight="false" outlineLevel="0" collapsed="false">
      <c r="A37" s="0" t="s">
        <v>107</v>
      </c>
      <c r="B37" s="3" t="n">
        <v>-10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13.5</v>
      </c>
      <c r="D41" s="3" t="n">
        <v>8</v>
      </c>
      <c r="E41" s="3" t="n">
        <v>10</v>
      </c>
      <c r="F41" s="3" t="n">
        <v>10</v>
      </c>
      <c r="G41" s="3" t="n">
        <v>10</v>
      </c>
      <c r="H41" s="3" t="n">
        <v>9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98</v>
      </c>
      <c r="C42" s="3" t="n">
        <v>37</v>
      </c>
      <c r="D42" s="3" t="n">
        <v>35</v>
      </c>
      <c r="E42" s="3" t="n">
        <v>36</v>
      </c>
      <c r="F42" s="3" t="n">
        <v>37</v>
      </c>
      <c r="G42" s="3" t="n">
        <v>38</v>
      </c>
      <c r="H42" s="3" t="n">
        <v>38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99</v>
      </c>
      <c r="C43" s="3" t="n">
        <v>0.7</v>
      </c>
      <c r="D43" s="3" t="n">
        <v>0.7</v>
      </c>
      <c r="E43" s="3" t="n">
        <v>0.65</v>
      </c>
      <c r="F43" s="3" t="n">
        <v>0.65</v>
      </c>
      <c r="G43" s="3" t="n">
        <v>0.6</v>
      </c>
      <c r="H43" s="3" t="n">
        <v>0.6</v>
      </c>
      <c r="I43" s="3" t="n">
        <v>0.55</v>
      </c>
      <c r="J43" s="3" t="n">
        <v>0.55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100</v>
      </c>
      <c r="C44" s="3" t="n">
        <v>0.14</v>
      </c>
      <c r="D44" s="3" t="n">
        <v>0.14</v>
      </c>
      <c r="E44" s="3" t="n">
        <v>0.14</v>
      </c>
      <c r="F44" s="3" t="n">
        <v>0.14</v>
      </c>
      <c r="G44" s="3" t="n">
        <v>0.14</v>
      </c>
      <c r="H44" s="3" t="n">
        <v>0.14</v>
      </c>
      <c r="I44" s="3" t="n">
        <v>0.14</v>
      </c>
      <c r="J44" s="3" t="n">
        <v>0.14</v>
      </c>
      <c r="K44" s="3" t="n">
        <v>0.14</v>
      </c>
      <c r="L44" s="3" t="n">
        <v>0.14</v>
      </c>
    </row>
    <row r="45" customFormat="false" ht="15" hidden="false" customHeight="false" outlineLevel="0" collapsed="false">
      <c r="A45" s="0" t="s">
        <v>101</v>
      </c>
      <c r="C45" s="3" t="n">
        <v>3.6</v>
      </c>
      <c r="D45" s="3" t="n">
        <v>3.6</v>
      </c>
      <c r="E45" s="3" t="n">
        <v>3.6</v>
      </c>
      <c r="F45" s="3" t="n">
        <v>3.5</v>
      </c>
      <c r="G45" s="3" t="n">
        <v>3.5</v>
      </c>
      <c r="H45" s="3" t="n">
        <v>3.5</v>
      </c>
      <c r="I45" s="3" t="n">
        <v>3.5</v>
      </c>
      <c r="J45" s="3" t="n">
        <v>3.5</v>
      </c>
      <c r="K45" s="3" t="n">
        <v>3.5</v>
      </c>
      <c r="L45" s="3" t="n">
        <v>3.5</v>
      </c>
    </row>
    <row r="46" customFormat="false" ht="15" hidden="false" customHeight="false" outlineLevel="0" collapsed="false">
      <c r="A46" s="0" t="s">
        <v>102</v>
      </c>
      <c r="C46" s="3" t="n">
        <v>5</v>
      </c>
      <c r="D46" s="3" t="n">
        <v>5</v>
      </c>
      <c r="E46" s="3" t="n">
        <v>4.8</v>
      </c>
      <c r="F46" s="3" t="n">
        <v>4.6</v>
      </c>
      <c r="G46" s="3" t="n">
        <v>4.5</v>
      </c>
      <c r="H46" s="3" t="n">
        <v>4.5</v>
      </c>
      <c r="I46" s="3" t="n">
        <v>4.3</v>
      </c>
      <c r="J46" s="3" t="n">
        <v>4.2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103</v>
      </c>
      <c r="C47" s="3" t="n">
        <v>55.5</v>
      </c>
      <c r="D47" s="3" t="n">
        <v>55.5</v>
      </c>
      <c r="E47" s="3" t="n">
        <v>55.5</v>
      </c>
      <c r="F47" s="3" t="n">
        <v>55.5</v>
      </c>
      <c r="G47" s="3" t="n">
        <v>55.5</v>
      </c>
      <c r="H47" s="3" t="n">
        <v>55.5</v>
      </c>
      <c r="I47" s="3" t="n">
        <v>55.5</v>
      </c>
      <c r="J47" s="3" t="n">
        <v>55.5</v>
      </c>
      <c r="K47" s="3" t="n">
        <v>55.5</v>
      </c>
      <c r="L47" s="3" t="n">
        <v>55.5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18</v>
      </c>
    </row>
    <row r="51" customFormat="false" ht="15" hidden="false" customHeight="false" outlineLevel="0" collapsed="false">
      <c r="A51" s="0" t="s">
        <v>107</v>
      </c>
      <c r="B51" s="3" t="n">
        <v>-10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11.5</v>
      </c>
      <c r="D5" s="4" t="n">
        <f aca="false">Assumptions!D13</f>
        <v>-1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31834.488</v>
      </c>
      <c r="C6" s="0" t="n">
        <f aca="false">B6*(1+C5/100)</f>
        <v>35495.45412</v>
      </c>
      <c r="D6" s="0" t="n">
        <f aca="false">C6*(1+D5/100)</f>
        <v>35140.4995788</v>
      </c>
      <c r="E6" s="0" t="n">
        <f aca="false">D6*(1+E5/100)</f>
        <v>35491.904574588</v>
      </c>
      <c r="F6" s="0" t="n">
        <f aca="false">E6*(1+F5/100)</f>
        <v>36201.7426660798</v>
      </c>
      <c r="G6" s="0" t="n">
        <f aca="false">F6*(1+G5/100)</f>
        <v>37287.7949460622</v>
      </c>
      <c r="H6" s="0" t="n">
        <f aca="false">G6*(1+H5/100)</f>
        <v>38406.428794444</v>
      </c>
      <c r="I6" s="0" t="n">
        <f aca="false">H6*(1+I5/100)</f>
        <v>39558.6216582773</v>
      </c>
      <c r="J6" s="0" t="n">
        <f aca="false">I6*(1+J5/100)</f>
        <v>40745.3803080257</v>
      </c>
      <c r="K6" s="0" t="n">
        <f aca="false">J6*(1+K5/100)</f>
        <v>41967.7417172664</v>
      </c>
      <c r="L6" s="0" t="n">
        <f aca="false">K6*(1+L5/100)</f>
        <v>43226.7739687844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34</v>
      </c>
      <c r="D7" s="4" t="n">
        <f aca="false">Assumptions!D14</f>
        <v>28</v>
      </c>
      <c r="E7" s="4" t="n">
        <f aca="false">Assumptions!E14</f>
        <v>26</v>
      </c>
      <c r="F7" s="4" t="n">
        <f aca="false">Assumptions!F14</f>
        <v>25</v>
      </c>
      <c r="G7" s="4" t="n">
        <f aca="false">Assumptions!G14</f>
        <v>25</v>
      </c>
      <c r="H7" s="4" t="n">
        <f aca="false">Assumptions!H14</f>
        <v>25</v>
      </c>
      <c r="I7" s="4" t="n">
        <f aca="false">Assumptions!I14</f>
        <v>25</v>
      </c>
      <c r="J7" s="4" t="n">
        <f aca="false">Assumptions!J14</f>
        <v>25</v>
      </c>
      <c r="K7" s="4" t="n">
        <f aca="false">Assumptions!K14</f>
        <v>25</v>
      </c>
      <c r="L7" s="4" t="n">
        <f aca="false">Assumptions!L14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12068.4544008</v>
      </c>
      <c r="D8" s="0" t="n">
        <f aca="false">D6*D7/100</f>
        <v>9839.339882064</v>
      </c>
      <c r="E8" s="0" t="n">
        <f aca="false">E6*E7/100</f>
        <v>9227.89518939288</v>
      </c>
      <c r="F8" s="0" t="n">
        <f aca="false">F6*F7/100</f>
        <v>9050.43566651994</v>
      </c>
      <c r="G8" s="0" t="n">
        <f aca="false">G6*G7/100</f>
        <v>9321.94873651554</v>
      </c>
      <c r="H8" s="0" t="n">
        <f aca="false">H6*H7/100</f>
        <v>9601.60719861101</v>
      </c>
      <c r="I8" s="0" t="n">
        <f aca="false">I6*I7/100</f>
        <v>9889.65541456934</v>
      </c>
      <c r="J8" s="0" t="n">
        <f aca="false">J6*J7/100</f>
        <v>10186.3450770064</v>
      </c>
      <c r="K8" s="0" t="n">
        <f aca="false">K6*K7/100</f>
        <v>10491.9354293166</v>
      </c>
      <c r="L8" s="0" t="n">
        <f aca="false">L6*L7/100</f>
        <v>10806.6934921961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0.7</v>
      </c>
      <c r="D9" s="4" t="n">
        <f aca="false">Assumptions!D15</f>
        <v>0.7</v>
      </c>
      <c r="E9" s="4" t="n">
        <f aca="false">Assumptions!E15</f>
        <v>0.7</v>
      </c>
      <c r="F9" s="4" t="n">
        <f aca="false">Assumptions!F15</f>
        <v>0.7</v>
      </c>
      <c r="G9" s="4" t="n">
        <f aca="false">Assumptions!G15</f>
        <v>0.7</v>
      </c>
      <c r="H9" s="4" t="n">
        <f aca="false">Assumptions!H15</f>
        <v>0.7</v>
      </c>
      <c r="I9" s="4" t="n">
        <f aca="false">Assumptions!I15</f>
        <v>0.7</v>
      </c>
      <c r="J9" s="4" t="n">
        <f aca="false">Assumptions!J15</f>
        <v>0.7</v>
      </c>
      <c r="K9" s="4" t="n">
        <f aca="false">Assumptions!K15</f>
        <v>0.7</v>
      </c>
      <c r="L9" s="4" t="n">
        <f aca="false">Assumptions!L15</f>
        <v>0.7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-248.46817884</v>
      </c>
      <c r="D10" s="0" t="n">
        <f aca="false">-D6*D9/100</f>
        <v>-245.9834970516</v>
      </c>
      <c r="E10" s="0" t="n">
        <f aca="false">-E6*E9/100</f>
        <v>-248.443332022116</v>
      </c>
      <c r="F10" s="0" t="n">
        <f aca="false">-F6*F9/100</f>
        <v>-253.412198662558</v>
      </c>
      <c r="G10" s="0" t="n">
        <f aca="false">-G6*G9/100</f>
        <v>-261.014564622435</v>
      </c>
      <c r="H10" s="0" t="n">
        <f aca="false">-H6*H9/100</f>
        <v>-268.845001561108</v>
      </c>
      <c r="I10" s="0" t="n">
        <f aca="false">-I6*I9/100</f>
        <v>-276.910351607941</v>
      </c>
      <c r="J10" s="0" t="n">
        <f aca="false">-J6*J9/100</f>
        <v>-285.21766215618</v>
      </c>
      <c r="K10" s="0" t="n">
        <f aca="false">-K6*K9/100</f>
        <v>-293.774192020865</v>
      </c>
      <c r="L10" s="0" t="n">
        <f aca="false">-L6*L9/100</f>
        <v>-302.587417781491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11770.292586192</v>
      </c>
      <c r="D11" s="0" t="n">
        <f aca="false">D8+D10+D24</f>
        <v>9544.15968560208</v>
      </c>
      <c r="E11" s="0" t="n">
        <f aca="false">E8+E10+E24</f>
        <v>8929.76319096634</v>
      </c>
      <c r="F11" s="0" t="n">
        <f aca="false">F8+F10+F24</f>
        <v>8746.34102812487</v>
      </c>
      <c r="G11" s="0" t="n">
        <f aca="false">G8+G10+G24</f>
        <v>9008.73125896862</v>
      </c>
      <c r="H11" s="0" t="n">
        <f aca="false">H8+H10+H24</f>
        <v>9278.99319673767</v>
      </c>
      <c r="I11" s="0" t="n">
        <f aca="false">I8+I10+I24</f>
        <v>9557.36299263981</v>
      </c>
      <c r="J11" s="0" t="n">
        <f aca="false">J8+J10+J24</f>
        <v>9844.083882419</v>
      </c>
      <c r="K11" s="0" t="n">
        <f aca="false">K8+K10+K24</f>
        <v>10139.4063988916</v>
      </c>
      <c r="L11" s="0" t="n">
        <f aca="false">L8+L10+L24</f>
        <v>10443.5885908583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-1277.83634832</v>
      </c>
      <c r="D12" s="4" t="n">
        <f aca="false">-D6*Assumptions!D17/100</f>
        <v>-1265.0579848368</v>
      </c>
      <c r="E12" s="4" t="n">
        <f aca="false">-E6*Assumptions!E17/100</f>
        <v>-1277.70856468517</v>
      </c>
      <c r="F12" s="4" t="n">
        <f aca="false">-F6*Assumptions!F17/100</f>
        <v>-1303.26273597887</v>
      </c>
      <c r="G12" s="4" t="n">
        <f aca="false">-G6*Assumptions!G17/100</f>
        <v>-1342.36061805824</v>
      </c>
      <c r="H12" s="4" t="n">
        <f aca="false">-H6*Assumptions!H17/100</f>
        <v>-1382.63143659999</v>
      </c>
      <c r="I12" s="4" t="n">
        <f aca="false">-I6*Assumptions!I17/100</f>
        <v>-1424.11037969798</v>
      </c>
      <c r="J12" s="4" t="n">
        <f aca="false">-J6*Assumptions!J17/100</f>
        <v>-1466.83369108892</v>
      </c>
      <c r="K12" s="4" t="n">
        <f aca="false">-K6*Assumptions!K17/100</f>
        <v>-1510.83870182159</v>
      </c>
      <c r="L12" s="4" t="n">
        <f aca="false">-L6*Assumptions!L17/100</f>
        <v>-1556.16386287624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10492.456237872</v>
      </c>
      <c r="D13" s="0" t="n">
        <f aca="false">D11+D12</f>
        <v>8279.10170076528</v>
      </c>
      <c r="E13" s="0" t="n">
        <f aca="false">E11+E12</f>
        <v>7652.05462628117</v>
      </c>
      <c r="F13" s="0" t="n">
        <f aca="false">F11+F12</f>
        <v>7443.078292146</v>
      </c>
      <c r="G13" s="0" t="n">
        <f aca="false">G11+G12</f>
        <v>7666.37064091038</v>
      </c>
      <c r="H13" s="0" t="n">
        <f aca="false">H11+H12</f>
        <v>7896.36176013769</v>
      </c>
      <c r="I13" s="0" t="n">
        <f aca="false">I11+I12</f>
        <v>8133.25261294182</v>
      </c>
      <c r="J13" s="0" t="n">
        <f aca="false">J11+J12</f>
        <v>8377.25019133008</v>
      </c>
      <c r="K13" s="0" t="n">
        <f aca="false">K11+K12</f>
        <v>8628.56769706998</v>
      </c>
      <c r="L13" s="0" t="n">
        <f aca="false">L11+L12</f>
        <v>8887.42472798208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55.5</v>
      </c>
      <c r="D14" s="4" t="n">
        <f aca="false">Assumptions!D19</f>
        <v>55.5</v>
      </c>
      <c r="E14" s="4" t="n">
        <f aca="false">Assumptions!E19</f>
        <v>55.5</v>
      </c>
      <c r="F14" s="4" t="n">
        <f aca="false">Assumptions!F19</f>
        <v>55.5</v>
      </c>
      <c r="G14" s="4" t="n">
        <f aca="false">Assumptions!G19</f>
        <v>55.5</v>
      </c>
      <c r="H14" s="4" t="n">
        <f aca="false">Assumptions!H19</f>
        <v>55.5</v>
      </c>
      <c r="I14" s="4" t="n">
        <f aca="false">Assumptions!I19</f>
        <v>55.5</v>
      </c>
      <c r="J14" s="4" t="n">
        <f aca="false">Assumptions!J19</f>
        <v>55.5</v>
      </c>
      <c r="K14" s="4" t="n">
        <f aca="false">Assumptions!K19</f>
        <v>55.5</v>
      </c>
      <c r="L14" s="4" t="n">
        <f aca="false">Assumptions!L19</f>
        <v>55.5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4669.14302585304</v>
      </c>
      <c r="D15" s="0" t="n">
        <f aca="false">D13-MAX(0,D13)*D14/100</f>
        <v>3684.20025684055</v>
      </c>
      <c r="E15" s="0" t="n">
        <f aca="false">E13-MAX(0,E13)*E14/100</f>
        <v>3405.16430869512</v>
      </c>
      <c r="F15" s="0" t="n">
        <f aca="false">F13-MAX(0,F13)*F14/100</f>
        <v>3312.16984000497</v>
      </c>
      <c r="G15" s="0" t="n">
        <f aca="false">G13-MAX(0,G13)*G14/100</f>
        <v>3411.53493520512</v>
      </c>
      <c r="H15" s="0" t="n">
        <f aca="false">H13-MAX(0,H13)*H14/100</f>
        <v>3513.88098326127</v>
      </c>
      <c r="I15" s="0" t="n">
        <f aca="false">I13-MAX(0,I13)*I14/100</f>
        <v>3619.29741275911</v>
      </c>
      <c r="J15" s="0" t="n">
        <f aca="false">J13-MAX(0,J13)*J14/100</f>
        <v>3727.87633514188</v>
      </c>
      <c r="K15" s="0" t="n">
        <f aca="false">K13-MAX(0,K13)*K14/100</f>
        <v>3839.71262519614</v>
      </c>
      <c r="L15" s="0" t="n">
        <f aca="false">L13-MAX(0,L13)*L14/100</f>
        <v>3954.90400395203</v>
      </c>
    </row>
    <row r="16" customFormat="false" ht="15" hidden="false" customHeight="false" outlineLevel="0" collapsed="false">
      <c r="A16" s="0" t="s">
        <v>119</v>
      </c>
      <c r="C16" s="0" t="n">
        <f aca="false">-C12</f>
        <v>1277.83634832</v>
      </c>
      <c r="D16" s="0" t="n">
        <f aca="false">-D12</f>
        <v>1265.0579848368</v>
      </c>
      <c r="E16" s="0" t="n">
        <f aca="false">-E12</f>
        <v>1277.70856468517</v>
      </c>
      <c r="F16" s="0" t="n">
        <f aca="false">-F12</f>
        <v>1303.26273597887</v>
      </c>
      <c r="G16" s="0" t="n">
        <f aca="false">-G12</f>
        <v>1342.36061805824</v>
      </c>
      <c r="H16" s="0" t="n">
        <f aca="false">-H12</f>
        <v>1382.63143659999</v>
      </c>
      <c r="I16" s="0" t="n">
        <f aca="false">-I12</f>
        <v>1424.11037969798</v>
      </c>
      <c r="J16" s="0" t="n">
        <f aca="false">-J12</f>
        <v>1466.83369108892</v>
      </c>
      <c r="K16" s="0" t="n">
        <f aca="false">-K12</f>
        <v>1510.83870182159</v>
      </c>
      <c r="L16" s="0" t="n">
        <f aca="false">-L12</f>
        <v>1556.16386287624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-1774.772706</v>
      </c>
      <c r="D17" s="4" t="n">
        <f aca="false">-D6*Assumptions!D18/100</f>
        <v>-1757.02497894</v>
      </c>
      <c r="E17" s="4" t="n">
        <f aca="false">-E6*Assumptions!E18/100</f>
        <v>-1774.5952287294</v>
      </c>
      <c r="F17" s="4" t="n">
        <f aca="false">-F6*Assumptions!F18/100</f>
        <v>-1737.68364797183</v>
      </c>
      <c r="G17" s="4" t="n">
        <f aca="false">-G6*Assumptions!G18/100</f>
        <v>-1715.23856751886</v>
      </c>
      <c r="H17" s="4" t="n">
        <f aca="false">-H6*Assumptions!H18/100</f>
        <v>-1728.28929574998</v>
      </c>
      <c r="I17" s="4" t="n">
        <f aca="false">-I6*Assumptions!I18/100</f>
        <v>-1780.13797462248</v>
      </c>
      <c r="J17" s="4" t="n">
        <f aca="false">-J6*Assumptions!J18/100</f>
        <v>-1833.54211386115</v>
      </c>
      <c r="K17" s="4" t="n">
        <f aca="false">-K6*Assumptions!K18/100</f>
        <v>-1888.54837727699</v>
      </c>
      <c r="L17" s="4" t="n">
        <f aca="false">-L6*Assumptions!L18/100</f>
        <v>-1945.2048285953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-366.096612</v>
      </c>
      <c r="D18" s="4" t="n">
        <f aca="false">(D6-C6)*Assumptions!$B$23/100</f>
        <v>35.4954541200001</v>
      </c>
      <c r="E18" s="4" t="n">
        <f aca="false">(E6-D6)*Assumptions!$B$23/100</f>
        <v>-35.1404995787998</v>
      </c>
      <c r="F18" s="4" t="n">
        <f aca="false">(F6-E6)*Assumptions!$B$23/100</f>
        <v>-70.9838091491758</v>
      </c>
      <c r="G18" s="4" t="n">
        <f aca="false">(G6-F6)*Assumptions!$B$23/100</f>
        <v>-108.60522799824</v>
      </c>
      <c r="H18" s="4" t="n">
        <f aca="false">(H6-G6)*Assumptions!$B$23/100</f>
        <v>-111.863384838187</v>
      </c>
      <c r="I18" s="4" t="n">
        <f aca="false">(I6-H6)*Assumptions!$B$23/100</f>
        <v>-115.219286383332</v>
      </c>
      <c r="J18" s="4" t="n">
        <f aca="false">(J6-I6)*Assumptions!$B$23/100</f>
        <v>-118.675864974832</v>
      </c>
      <c r="K18" s="4" t="n">
        <f aca="false">(K6-J6)*Assumptions!$B$23/100</f>
        <v>-122.236140924077</v>
      </c>
      <c r="L18" s="4" t="n">
        <f aca="false">(L6-K6)*Assumptions!$B$23/100</f>
        <v>-125.903225151799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3806.11005617304</v>
      </c>
      <c r="D19" s="0" t="n">
        <f aca="false">D15+D16+D17+D18</f>
        <v>3227.72871685735</v>
      </c>
      <c r="E19" s="0" t="n">
        <f aca="false">E15+E16+E17+E18</f>
        <v>2873.13714507209</v>
      </c>
      <c r="F19" s="0" t="n">
        <f aca="false">F15+F16+F17+F18</f>
        <v>2806.76511886284</v>
      </c>
      <c r="G19" s="0" t="n">
        <f aca="false">G15+G16+G17+G18</f>
        <v>2930.05175774626</v>
      </c>
      <c r="H19" s="0" t="n">
        <f aca="false">H15+H16+H17+H18</f>
        <v>3056.35973927309</v>
      </c>
      <c r="I19" s="0" t="n">
        <f aca="false">I15+I16+I17+I18</f>
        <v>3148.05053145128</v>
      </c>
      <c r="J19" s="0" t="n">
        <f aca="false">J15+J16+J17+J18</f>
        <v>3242.49204739482</v>
      </c>
      <c r="K19" s="0" t="n">
        <f aca="false">K15+K16+K17+K18</f>
        <v>3339.76680881667</v>
      </c>
      <c r="L19" s="0" t="n">
        <f aca="false">L15+L16+L17+L18</f>
        <v>3439.95981308117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3507.93553564335</v>
      </c>
      <c r="D21" s="0" t="n">
        <f aca="false">D19*D20</f>
        <v>2741.81122288207</v>
      </c>
      <c r="E21" s="0" t="n">
        <f aca="false">E19*E20</f>
        <v>2249.40233877909</v>
      </c>
      <c r="F21" s="0" t="n">
        <f aca="false">F19*F20</f>
        <v>2025.28953175171</v>
      </c>
      <c r="G21" s="0" t="n">
        <f aca="false">G19*G20</f>
        <v>1948.61751148739</v>
      </c>
      <c r="H21" s="0" t="n">
        <f aca="false">H19*H20</f>
        <v>1873.38069725954</v>
      </c>
      <c r="I21" s="0" t="n">
        <f aca="false">I19*I20</f>
        <v>1778.41669878095</v>
      </c>
      <c r="J21" s="0" t="n">
        <f aca="false">J19*J20</f>
        <v>1688.26654354321</v>
      </c>
      <c r="K21" s="0" t="n">
        <f aca="false">K19*K20</f>
        <v>1602.68621184286</v>
      </c>
      <c r="L21" s="0" t="n">
        <f aca="false">L19*L20</f>
        <v>1521.44405363884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0.14</v>
      </c>
      <c r="D23" s="4" t="n">
        <f aca="false">Assumptions!D16</f>
        <v>0.14</v>
      </c>
      <c r="E23" s="4" t="n">
        <f aca="false">Assumptions!E16</f>
        <v>0.14</v>
      </c>
      <c r="F23" s="4" t="n">
        <f aca="false">Assumptions!F16</f>
        <v>0.14</v>
      </c>
      <c r="G23" s="4" t="n">
        <f aca="false">Assumptions!G16</f>
        <v>0.14</v>
      </c>
      <c r="H23" s="4" t="n">
        <f aca="false">Assumptions!H16</f>
        <v>0.14</v>
      </c>
      <c r="I23" s="4" t="n">
        <f aca="false">Assumptions!I16</f>
        <v>0.14</v>
      </c>
      <c r="J23" s="4" t="n">
        <f aca="false">Assumptions!J16</f>
        <v>0.14</v>
      </c>
      <c r="K23" s="4" t="n">
        <f aca="false">Assumptions!K16</f>
        <v>0.14</v>
      </c>
      <c r="L23" s="4" t="n">
        <f aca="false">Assumptions!L16</f>
        <v>0.14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-49.693635768</v>
      </c>
      <c r="D24" s="0" t="n">
        <f aca="false">-D6*D23/100</f>
        <v>-49.19669941032</v>
      </c>
      <c r="E24" s="0" t="n">
        <f aca="false">-E6*E23/100</f>
        <v>-49.6886664044232</v>
      </c>
      <c r="F24" s="0" t="n">
        <f aca="false">-F6*F23/100</f>
        <v>-50.6824397325117</v>
      </c>
      <c r="G24" s="0" t="n">
        <f aca="false">-G6*G23/100</f>
        <v>-52.202912924487</v>
      </c>
      <c r="H24" s="0" t="n">
        <f aca="false">-H6*H23/100</f>
        <v>-53.7690003122216</v>
      </c>
      <c r="I24" s="0" t="n">
        <f aca="false">-I6*I23/100</f>
        <v>-55.3820703215883</v>
      </c>
      <c r="J24" s="0" t="n">
        <f aca="false">-J6*J23/100</f>
        <v>-57.0435324312359</v>
      </c>
      <c r="K24" s="0" t="n">
        <f aca="false">-K6*K23/100</f>
        <v>-58.754838404173</v>
      </c>
      <c r="L24" s="0" t="n">
        <f aca="false">-L6*L23/100</f>
        <v>-60.5174835562982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20937.250345609</v>
      </c>
    </row>
    <row r="31" customFormat="false" ht="15" hidden="false" customHeight="false" outlineLevel="0" collapsed="false">
      <c r="A31" s="0" t="s">
        <v>128</v>
      </c>
      <c r="B31" s="0" t="n">
        <f aca="false">L19</f>
        <v>3439.95981308117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53980.9078360429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48159.4373831363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48159.4373831363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21300.2167509438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42237.4670965528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70838.3670965528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4.60233535147521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-0.146134443140036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1733.437042408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2100.10156448612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4.85139854949763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26990.4539180215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3.33540239639082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12.5</v>
      </c>
      <c r="D5" s="4" t="n">
        <f aca="false">Assumptions!D27</f>
        <v>4.5</v>
      </c>
      <c r="E5" s="4" t="n">
        <f aca="false">Assumptions!E27</f>
        <v>7</v>
      </c>
      <c r="F5" s="4" t="n">
        <f aca="false">Assumptions!F27</f>
        <v>7</v>
      </c>
      <c r="G5" s="4" t="n">
        <f aca="false">Assumptions!G27</f>
        <v>7</v>
      </c>
      <c r="H5" s="4" t="n">
        <f aca="false">Assumptions!H27</f>
        <v>6.5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38</v>
      </c>
      <c r="B6" s="3" t="n">
        <v>31834.488</v>
      </c>
      <c r="C6" s="0" t="n">
        <f aca="false">B6*(1+C5/100)</f>
        <v>35813.799</v>
      </c>
      <c r="D6" s="0" t="n">
        <f aca="false">C6*(1+D5/100)</f>
        <v>37425.419955</v>
      </c>
      <c r="E6" s="0" t="n">
        <f aca="false">D6*(1+E5/100)</f>
        <v>40045.19935185</v>
      </c>
      <c r="F6" s="0" t="n">
        <f aca="false">E6*(1+F5/100)</f>
        <v>42848.3633064795</v>
      </c>
      <c r="G6" s="0" t="n">
        <f aca="false">F6*(1+G5/100)</f>
        <v>45847.7487379331</v>
      </c>
      <c r="H6" s="0" t="n">
        <f aca="false">G6*(1+H5/100)</f>
        <v>48827.8524058987</v>
      </c>
      <c r="I6" s="0" t="n">
        <f aca="false">H6*(1+I5/100)</f>
        <v>51757.5235502527</v>
      </c>
      <c r="J6" s="0" t="n">
        <f aca="false">I6*(1+J5/100)</f>
        <v>54345.3997277653</v>
      </c>
      <c r="K6" s="0" t="n">
        <f aca="false">J6*(1+K5/100)</f>
        <v>56790.9427155147</v>
      </c>
      <c r="L6" s="0" t="n">
        <f aca="false">K6*(1+L5/100)</f>
        <v>59062.5804241353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36</v>
      </c>
      <c r="D7" s="4" t="n">
        <f aca="false">Assumptions!D28</f>
        <v>32.5</v>
      </c>
      <c r="E7" s="4" t="n">
        <f aca="false">Assumptions!E28</f>
        <v>33</v>
      </c>
      <c r="F7" s="4" t="n">
        <f aca="false">Assumptions!F28</f>
        <v>33.5</v>
      </c>
      <c r="G7" s="4" t="n">
        <f aca="false">Assumptions!G28</f>
        <v>34</v>
      </c>
      <c r="H7" s="4" t="n">
        <f aca="false">Assumptions!H28</f>
        <v>34</v>
      </c>
      <c r="I7" s="4" t="n">
        <f aca="false">Assumptions!I28</f>
        <v>34</v>
      </c>
      <c r="J7" s="4" t="n">
        <f aca="false">Assumptions!J28</f>
        <v>34</v>
      </c>
      <c r="K7" s="4" t="n">
        <f aca="false">Assumptions!K28</f>
        <v>34</v>
      </c>
      <c r="L7" s="4" t="n">
        <f aca="false">Assumptions!L28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12892.96764</v>
      </c>
      <c r="D8" s="0" t="n">
        <f aca="false">D6*D7/100</f>
        <v>12163.261485375</v>
      </c>
      <c r="E8" s="0" t="n">
        <f aca="false">E6*E7/100</f>
        <v>13214.9157861105</v>
      </c>
      <c r="F8" s="0" t="n">
        <f aca="false">F6*F7/100</f>
        <v>14354.2017076706</v>
      </c>
      <c r="G8" s="0" t="n">
        <f aca="false">G6*G7/100</f>
        <v>15588.2345708972</v>
      </c>
      <c r="H8" s="0" t="n">
        <f aca="false">H6*H7/100</f>
        <v>16601.4698180056</v>
      </c>
      <c r="I8" s="0" t="n">
        <f aca="false">I6*I7/100</f>
        <v>17597.5580070859</v>
      </c>
      <c r="J8" s="0" t="n">
        <f aca="false">J6*J7/100</f>
        <v>18477.4359074402</v>
      </c>
      <c r="K8" s="0" t="n">
        <f aca="false">K6*K7/100</f>
        <v>19308.920523275</v>
      </c>
      <c r="L8" s="0" t="n">
        <f aca="false">L6*L7/100</f>
        <v>20081.277344206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0.7</v>
      </c>
      <c r="D9" s="4" t="n">
        <f aca="false">Assumptions!D29</f>
        <v>0.7</v>
      </c>
      <c r="E9" s="4" t="n">
        <f aca="false">Assumptions!E29</f>
        <v>0.65</v>
      </c>
      <c r="F9" s="4" t="n">
        <f aca="false">Assumptions!F29</f>
        <v>0.65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-250.696593</v>
      </c>
      <c r="D10" s="0" t="n">
        <f aca="false">-D6*D9/100</f>
        <v>-261.977939685</v>
      </c>
      <c r="E10" s="0" t="n">
        <f aca="false">-E6*E9/100</f>
        <v>-260.293795787025</v>
      </c>
      <c r="F10" s="0" t="n">
        <f aca="false">-F6*F9/100</f>
        <v>-278.514361492117</v>
      </c>
      <c r="G10" s="0" t="n">
        <f aca="false">-G6*G9/100</f>
        <v>-275.086492427598</v>
      </c>
      <c r="H10" s="0" t="n">
        <f aca="false">-H6*H9/100</f>
        <v>-292.967114435392</v>
      </c>
      <c r="I10" s="0" t="n">
        <f aca="false">-I6*I9/100</f>
        <v>-284.66637952639</v>
      </c>
      <c r="J10" s="0" t="n">
        <f aca="false">-J6*J9/100</f>
        <v>-298.899698502709</v>
      </c>
      <c r="K10" s="0" t="n">
        <f aca="false">-K6*K9/100</f>
        <v>-283.954713577574</v>
      </c>
      <c r="L10" s="0" t="n">
        <f aca="false">-L6*L9/100</f>
        <v>-295.312902120677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12592.1317284</v>
      </c>
      <c r="D11" s="0" t="n">
        <f aca="false">D8+D10+D24</f>
        <v>11848.887957753</v>
      </c>
      <c r="E11" s="0" t="n">
        <f aca="false">E8+E10+E24</f>
        <v>12898.5587112309</v>
      </c>
      <c r="F11" s="0" t="n">
        <f aca="false">F8+F10+F24</f>
        <v>14015.6996375494</v>
      </c>
      <c r="G11" s="0" t="n">
        <f aca="false">G8+G10+G24</f>
        <v>15248.9612302365</v>
      </c>
      <c r="H11" s="0" t="n">
        <f aca="false">H8+H10+H24</f>
        <v>16240.1437102019</v>
      </c>
      <c r="I11" s="0" t="n">
        <f aca="false">I8+I10+I24</f>
        <v>17240.4310945892</v>
      </c>
      <c r="J11" s="0" t="n">
        <f aca="false">J8+J10+J24</f>
        <v>18102.4526493186</v>
      </c>
      <c r="K11" s="0" t="n">
        <f aca="false">K8+K10+K24</f>
        <v>18945.4584898957</v>
      </c>
      <c r="L11" s="0" t="n">
        <f aca="false">L8+L10+L24</f>
        <v>19703.2768294915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-1289.296764</v>
      </c>
      <c r="D12" s="4" t="n">
        <f aca="false">-D6*Assumptions!D31/100</f>
        <v>-1347.31511838</v>
      </c>
      <c r="E12" s="4" t="n">
        <f aca="false">-E6*Assumptions!E31/100</f>
        <v>-1441.6271766666</v>
      </c>
      <c r="F12" s="4" t="n">
        <f aca="false">-F6*Assumptions!F31/100</f>
        <v>-1499.69271572678</v>
      </c>
      <c r="G12" s="4" t="n">
        <f aca="false">-G6*Assumptions!G31/100</f>
        <v>-1604.67120582766</v>
      </c>
      <c r="H12" s="4" t="n">
        <f aca="false">-H6*Assumptions!H31/100</f>
        <v>-1708.97483420646</v>
      </c>
      <c r="I12" s="4" t="n">
        <f aca="false">-I6*Assumptions!I31/100</f>
        <v>-1811.51332425884</v>
      </c>
      <c r="J12" s="4" t="n">
        <f aca="false">-J6*Assumptions!J31/100</f>
        <v>-1902.08899047178</v>
      </c>
      <c r="K12" s="4" t="n">
        <f aca="false">-K6*Assumptions!K31/100</f>
        <v>-1987.68299504302</v>
      </c>
      <c r="L12" s="4" t="n">
        <f aca="false">-L6*Assumptions!L31/100</f>
        <v>-2067.19031484474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11302.8349644</v>
      </c>
      <c r="D13" s="0" t="n">
        <f aca="false">D11+D12</f>
        <v>10501.572839373</v>
      </c>
      <c r="E13" s="0" t="n">
        <f aca="false">E11+E12</f>
        <v>11456.9315345643</v>
      </c>
      <c r="F13" s="0" t="n">
        <f aca="false">F11+F12</f>
        <v>12516.0069218227</v>
      </c>
      <c r="G13" s="0" t="n">
        <f aca="false">G11+G12</f>
        <v>13644.2900244089</v>
      </c>
      <c r="H13" s="0" t="n">
        <f aca="false">H11+H12</f>
        <v>14531.1688759955</v>
      </c>
      <c r="I13" s="0" t="n">
        <f aca="false">I11+I12</f>
        <v>15428.9177703303</v>
      </c>
      <c r="J13" s="0" t="n">
        <f aca="false">J11+J12</f>
        <v>16200.3636588468</v>
      </c>
      <c r="K13" s="0" t="n">
        <f aca="false">K11+K12</f>
        <v>16957.7754948527</v>
      </c>
      <c r="L13" s="0" t="n">
        <f aca="false">L11+L12</f>
        <v>17636.0865146468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55.5</v>
      </c>
      <c r="D14" s="4" t="n">
        <f aca="false">Assumptions!D33</f>
        <v>55.5</v>
      </c>
      <c r="E14" s="4" t="n">
        <f aca="false">Assumptions!E33</f>
        <v>55.5</v>
      </c>
      <c r="F14" s="4" t="n">
        <f aca="false">Assumptions!F33</f>
        <v>55.5</v>
      </c>
      <c r="G14" s="4" t="n">
        <f aca="false">Assumptions!G33</f>
        <v>55.5</v>
      </c>
      <c r="H14" s="4" t="n">
        <f aca="false">Assumptions!H33</f>
        <v>55.5</v>
      </c>
      <c r="I14" s="4" t="n">
        <f aca="false">Assumptions!I33</f>
        <v>55.5</v>
      </c>
      <c r="J14" s="4" t="n">
        <f aca="false">Assumptions!J33</f>
        <v>55.5</v>
      </c>
      <c r="K14" s="4" t="n">
        <f aca="false">Assumptions!K33</f>
        <v>55.5</v>
      </c>
      <c r="L14" s="4" t="n">
        <f aca="false">Assumptions!L33</f>
        <v>55.5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5029.761559158</v>
      </c>
      <c r="D15" s="0" t="n">
        <f aca="false">D13-MAX(0,D13)*D14/100</f>
        <v>4673.19991352098</v>
      </c>
      <c r="E15" s="0" t="n">
        <f aca="false">E13-MAX(0,E13)*E14/100</f>
        <v>5098.33453288111</v>
      </c>
      <c r="F15" s="0" t="n">
        <f aca="false">F13-MAX(0,F13)*F14/100</f>
        <v>5569.62308021109</v>
      </c>
      <c r="G15" s="0" t="n">
        <f aca="false">G13-MAX(0,G13)*G14/100</f>
        <v>6071.70906086195</v>
      </c>
      <c r="H15" s="0" t="n">
        <f aca="false">H13-MAX(0,H13)*H14/100</f>
        <v>6466.37014981798</v>
      </c>
      <c r="I15" s="0" t="n">
        <f aca="false">I13-MAX(0,I13)*I14/100</f>
        <v>6865.86840779699</v>
      </c>
      <c r="J15" s="0" t="n">
        <f aca="false">J13-MAX(0,J13)*J14/100</f>
        <v>7209.16182818684</v>
      </c>
      <c r="K15" s="0" t="n">
        <f aca="false">K13-MAX(0,K13)*K14/100</f>
        <v>7546.21009520945</v>
      </c>
      <c r="L15" s="0" t="n">
        <f aca="false">L13-MAX(0,L13)*L14/100</f>
        <v>7848.05849901783</v>
      </c>
    </row>
    <row r="16" customFormat="false" ht="15" hidden="false" customHeight="false" outlineLevel="0" collapsed="false">
      <c r="A16" s="0" t="s">
        <v>119</v>
      </c>
      <c r="C16" s="0" t="n">
        <f aca="false">-C12</f>
        <v>1289.296764</v>
      </c>
      <c r="D16" s="0" t="n">
        <f aca="false">-D12</f>
        <v>1347.31511838</v>
      </c>
      <c r="E16" s="0" t="n">
        <f aca="false">-E12</f>
        <v>1441.6271766666</v>
      </c>
      <c r="F16" s="0" t="n">
        <f aca="false">-F12</f>
        <v>1499.69271572678</v>
      </c>
      <c r="G16" s="0" t="n">
        <f aca="false">-G12</f>
        <v>1604.67120582766</v>
      </c>
      <c r="H16" s="0" t="n">
        <f aca="false">-H12</f>
        <v>1708.97483420646</v>
      </c>
      <c r="I16" s="0" t="n">
        <f aca="false">-I12</f>
        <v>1811.51332425884</v>
      </c>
      <c r="J16" s="0" t="n">
        <f aca="false">-J12</f>
        <v>1902.08899047178</v>
      </c>
      <c r="K16" s="0" t="n">
        <f aca="false">-K12</f>
        <v>1987.68299504302</v>
      </c>
      <c r="L16" s="0" t="n">
        <f aca="false">-L12</f>
        <v>2067.19031484474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-1790.68995</v>
      </c>
      <c r="D17" s="4" t="n">
        <f aca="false">-D6*Assumptions!D32/100</f>
        <v>-1871.27099775</v>
      </c>
      <c r="E17" s="4" t="n">
        <f aca="false">-E6*Assumptions!E32/100</f>
        <v>-1922.1695688888</v>
      </c>
      <c r="F17" s="4" t="n">
        <f aca="false">-F6*Assumptions!F32/100</f>
        <v>-1971.02471209806</v>
      </c>
      <c r="G17" s="4" t="n">
        <f aca="false">-G6*Assumptions!G32/100</f>
        <v>-2063.14869320699</v>
      </c>
      <c r="H17" s="4" t="n">
        <f aca="false">-H6*Assumptions!H32/100</f>
        <v>-2197.25335826544</v>
      </c>
      <c r="I17" s="4" t="n">
        <f aca="false">-I6*Assumptions!I32/100</f>
        <v>-2225.57351266086</v>
      </c>
      <c r="J17" s="4" t="n">
        <f aca="false">-J6*Assumptions!J32/100</f>
        <v>-2282.50678856614</v>
      </c>
      <c r="K17" s="4" t="n">
        <f aca="false">-K6*Assumptions!K32/100</f>
        <v>-2271.63770862059</v>
      </c>
      <c r="L17" s="4" t="n">
        <f aca="false">-L6*Assumptions!L32/100</f>
        <v>-2362.50321696541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-397.9311</v>
      </c>
      <c r="D18" s="4" t="n">
        <f aca="false">(D6-C6)*Assumptions!$B$37/100</f>
        <v>-161.1620955</v>
      </c>
      <c r="E18" s="4" t="n">
        <f aca="false">(E6-D6)*Assumptions!$B$37/100</f>
        <v>-261.977939685001</v>
      </c>
      <c r="F18" s="4" t="n">
        <f aca="false">(F6-E6)*Assumptions!$B$37/100</f>
        <v>-280.316395462951</v>
      </c>
      <c r="G18" s="4" t="n">
        <f aca="false">(G6-F6)*Assumptions!$B$37/100</f>
        <v>-299.938543145357</v>
      </c>
      <c r="H18" s="4" t="n">
        <f aca="false">(H6-G6)*Assumptions!$B$37/100</f>
        <v>-298.010366796565</v>
      </c>
      <c r="I18" s="4" t="n">
        <f aca="false">(I6-H6)*Assumptions!$B$37/100</f>
        <v>-292.967114435392</v>
      </c>
      <c r="J18" s="4" t="n">
        <f aca="false">(J6-I6)*Assumptions!$B$37/100</f>
        <v>-258.787617751263</v>
      </c>
      <c r="K18" s="4" t="n">
        <f aca="false">(K6-J6)*Assumptions!$B$37/100</f>
        <v>-244.554298774943</v>
      </c>
      <c r="L18" s="4" t="n">
        <f aca="false">(L6-K6)*Assumptions!$B$37/100</f>
        <v>-227.163770862059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4130.437273158</v>
      </c>
      <c r="D19" s="0" t="n">
        <f aca="false">D15+D16+D17+D18</f>
        <v>3988.08193865098</v>
      </c>
      <c r="E19" s="0" t="n">
        <f aca="false">E15+E16+E17+E18</f>
        <v>4355.81420097391</v>
      </c>
      <c r="F19" s="0" t="n">
        <f aca="false">F15+F16+F17+F18</f>
        <v>4817.97468837686</v>
      </c>
      <c r="G19" s="0" t="n">
        <f aca="false">G15+G16+G17+G18</f>
        <v>5313.29303033727</v>
      </c>
      <c r="H19" s="0" t="n">
        <f aca="false">H15+H16+H17+H18</f>
        <v>5680.08125896243</v>
      </c>
      <c r="I19" s="0" t="n">
        <f aca="false">I15+I16+I17+I18</f>
        <v>6158.84110495958</v>
      </c>
      <c r="J19" s="0" t="n">
        <f aca="false">J15+J16+J17+J18</f>
        <v>6569.95641234122</v>
      </c>
      <c r="K19" s="0" t="n">
        <f aca="false">K15+K16+K17+K18</f>
        <v>7017.70108285693</v>
      </c>
      <c r="L19" s="0" t="n">
        <f aca="false">L15+L16+L17+L18</f>
        <v>7325.58182603509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3806.85462963871</v>
      </c>
      <c r="D21" s="0" t="n">
        <f aca="false">D19*D20</f>
        <v>3387.69728696807</v>
      </c>
      <c r="E21" s="0" t="n">
        <f aca="false">E19*E20</f>
        <v>3410.20221320205</v>
      </c>
      <c r="F21" s="0" t="n">
        <f aca="false">F19*F20</f>
        <v>3476.52663738665</v>
      </c>
      <c r="G21" s="0" t="n">
        <f aca="false">G19*G20</f>
        <v>3533.58121241615</v>
      </c>
      <c r="H21" s="0" t="n">
        <f aca="false">H19*H20</f>
        <v>3481.57792182431</v>
      </c>
      <c r="I21" s="0" t="n">
        <f aca="false">I19*I20</f>
        <v>3479.29163041395</v>
      </c>
      <c r="J21" s="0" t="n">
        <f aca="false">J19*J20</f>
        <v>3420.77557673721</v>
      </c>
      <c r="K21" s="0" t="n">
        <f aca="false">K19*K20</f>
        <v>3367.65211709933</v>
      </c>
      <c r="L21" s="0" t="n">
        <f aca="false">L19*L20</f>
        <v>3239.99799831467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0.14</v>
      </c>
      <c r="D23" s="4" t="n">
        <f aca="false">Assumptions!D30</f>
        <v>0.14</v>
      </c>
      <c r="E23" s="4" t="n">
        <f aca="false">Assumptions!E30</f>
        <v>0.14</v>
      </c>
      <c r="F23" s="4" t="n">
        <f aca="false">Assumptions!F30</f>
        <v>0.14</v>
      </c>
      <c r="G23" s="4" t="n">
        <f aca="false">Assumptions!G30</f>
        <v>0.14</v>
      </c>
      <c r="H23" s="4" t="n">
        <f aca="false">Assumptions!H30</f>
        <v>0.14</v>
      </c>
      <c r="I23" s="4" t="n">
        <f aca="false">Assumptions!I30</f>
        <v>0.14</v>
      </c>
      <c r="J23" s="4" t="n">
        <f aca="false">Assumptions!J30</f>
        <v>0.14</v>
      </c>
      <c r="K23" s="4" t="n">
        <f aca="false">Assumptions!K30</f>
        <v>0.14</v>
      </c>
      <c r="L23" s="4" t="n">
        <f aca="false">Assumptions!L30</f>
        <v>0.14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-50.1393186</v>
      </c>
      <c r="D24" s="0" t="n">
        <f aca="false">-D6*D23/100</f>
        <v>-52.395587937</v>
      </c>
      <c r="E24" s="0" t="n">
        <f aca="false">-E6*E23/100</f>
        <v>-56.06327909259</v>
      </c>
      <c r="F24" s="0" t="n">
        <f aca="false">-F6*F23/100</f>
        <v>-59.9877086290713</v>
      </c>
      <c r="G24" s="0" t="n">
        <f aca="false">-G6*G23/100</f>
        <v>-64.1868482331063</v>
      </c>
      <c r="H24" s="0" t="n">
        <f aca="false">-H6*H23/100</f>
        <v>-68.3589933682582</v>
      </c>
      <c r="I24" s="0" t="n">
        <f aca="false">-I6*I23/100</f>
        <v>-72.4605329703537</v>
      </c>
      <c r="J24" s="0" t="n">
        <f aca="false">-J6*J23/100</f>
        <v>-76.0835596188714</v>
      </c>
      <c r="K24" s="0" t="n">
        <f aca="false">-K6*K23/100</f>
        <v>-79.5073198017206</v>
      </c>
      <c r="L24" s="0" t="n">
        <f aca="false">-L6*L23/100</f>
        <v>-82.6876125937894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34604.1572240011</v>
      </c>
    </row>
    <row r="31" customFormat="false" ht="15" hidden="false" customHeight="false" outlineLevel="0" collapsed="false">
      <c r="A31" s="0" t="s">
        <v>128</v>
      </c>
      <c r="B31" s="0" t="n">
        <f aca="false">L19</f>
        <v>7325.58182603509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125145.356194766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131860.472868632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125145.356194766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55349.9658045423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89954.1230285433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118555.023028543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7.70246401692924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0.429028574569432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1804.18816782269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2231.29840361997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7.96464767910823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60069.7709734877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4.48557400890949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13.5</v>
      </c>
      <c r="D5" s="4" t="n">
        <f aca="false">Assumptions!D41</f>
        <v>8</v>
      </c>
      <c r="E5" s="4" t="n">
        <f aca="false">Assumptions!E41</f>
        <v>10</v>
      </c>
      <c r="F5" s="4" t="n">
        <f aca="false">Assumptions!F41</f>
        <v>10</v>
      </c>
      <c r="G5" s="4" t="n">
        <f aca="false">Assumptions!G41</f>
        <v>10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31834.488</v>
      </c>
      <c r="C6" s="0" t="n">
        <f aca="false">B6*(1+C5/100)</f>
        <v>36132.14388</v>
      </c>
      <c r="D6" s="0" t="n">
        <f aca="false">C6*(1+D5/100)</f>
        <v>39022.7153904</v>
      </c>
      <c r="E6" s="0" t="n">
        <f aca="false">D6*(1+E5/100)</f>
        <v>42924.98692944</v>
      </c>
      <c r="F6" s="0" t="n">
        <f aca="false">E6*(1+F5/100)</f>
        <v>47217.485622384</v>
      </c>
      <c r="G6" s="0" t="n">
        <f aca="false">F6*(1+G5/100)</f>
        <v>51939.2341846224</v>
      </c>
      <c r="H6" s="0" t="n">
        <f aca="false">G6*(1+H5/100)</f>
        <v>56613.7652612385</v>
      </c>
      <c r="I6" s="0" t="n">
        <f aca="false">H6*(1+I5/100)</f>
        <v>61142.8664821375</v>
      </c>
      <c r="J6" s="0" t="n">
        <f aca="false">I6*(1+J5/100)</f>
        <v>65422.8671358872</v>
      </c>
      <c r="K6" s="0" t="n">
        <f aca="false">J6*(1+K5/100)</f>
        <v>69348.2391640404</v>
      </c>
      <c r="L6" s="0" t="n">
        <f aca="false">K6*(1+L5/100)</f>
        <v>72815.6511222424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37</v>
      </c>
      <c r="D7" s="4" t="n">
        <f aca="false">Assumptions!D42</f>
        <v>35</v>
      </c>
      <c r="E7" s="4" t="n">
        <f aca="false">Assumptions!E42</f>
        <v>36</v>
      </c>
      <c r="F7" s="4" t="n">
        <f aca="false">Assumptions!F42</f>
        <v>37</v>
      </c>
      <c r="G7" s="4" t="n">
        <f aca="false">Assumptions!G42</f>
        <v>38</v>
      </c>
      <c r="H7" s="4" t="n">
        <f aca="false">Assumptions!H42</f>
        <v>38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13368.8932356</v>
      </c>
      <c r="D8" s="0" t="n">
        <f aca="false">D6*D7/100</f>
        <v>13657.95038664</v>
      </c>
      <c r="E8" s="0" t="n">
        <f aca="false">E6*E7/100</f>
        <v>15452.9952945984</v>
      </c>
      <c r="F8" s="0" t="n">
        <f aca="false">F6*F7/100</f>
        <v>17470.4696802821</v>
      </c>
      <c r="G8" s="0" t="n">
        <f aca="false">G6*G7/100</f>
        <v>19736.9089901565</v>
      </c>
      <c r="H8" s="0" t="n">
        <f aca="false">H6*H7/100</f>
        <v>21513.2307992706</v>
      </c>
      <c r="I8" s="0" t="n">
        <f aca="false">I6*I7/100</f>
        <v>23234.2892632123</v>
      </c>
      <c r="J8" s="0" t="n">
        <f aca="false">J6*J7/100</f>
        <v>24860.6895116371</v>
      </c>
      <c r="K8" s="0" t="n">
        <f aca="false">K6*K7/100</f>
        <v>26352.3308823354</v>
      </c>
      <c r="L8" s="0" t="n">
        <f aca="false">L6*L7/100</f>
        <v>27669.9474264521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0.7</v>
      </c>
      <c r="D9" s="4" t="n">
        <f aca="false">Assumptions!D43</f>
        <v>0.7</v>
      </c>
      <c r="E9" s="4" t="n">
        <f aca="false">Assumptions!E43</f>
        <v>0.65</v>
      </c>
      <c r="F9" s="4" t="n">
        <f aca="false">Assumptions!F43</f>
        <v>0.65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-252.92500716</v>
      </c>
      <c r="D10" s="0" t="n">
        <f aca="false">-D6*D9/100</f>
        <v>-273.1590077328</v>
      </c>
      <c r="E10" s="0" t="n">
        <f aca="false">-E6*E9/100</f>
        <v>-279.01241504136</v>
      </c>
      <c r="F10" s="0" t="n">
        <f aca="false">-F6*F9/100</f>
        <v>-306.913656545496</v>
      </c>
      <c r="G10" s="0" t="n">
        <f aca="false">-G6*G9/100</f>
        <v>-311.635405107735</v>
      </c>
      <c r="H10" s="0" t="n">
        <f aca="false">-H6*H9/100</f>
        <v>-339.682591567431</v>
      </c>
      <c r="I10" s="0" t="n">
        <f aca="false">-I6*I9/100</f>
        <v>-336.285765651756</v>
      </c>
      <c r="J10" s="0" t="n">
        <f aca="false">-J6*J9/100</f>
        <v>-359.825769247379</v>
      </c>
      <c r="K10" s="0" t="n">
        <f aca="false">-K6*K9/100</f>
        <v>-346.741195820202</v>
      </c>
      <c r="L10" s="0" t="n">
        <f aca="false">-L6*L9/100</f>
        <v>-364.078255611212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13065.383227008</v>
      </c>
      <c r="D11" s="0" t="n">
        <f aca="false">D8+D10+D24</f>
        <v>13330.1595773606</v>
      </c>
      <c r="E11" s="0" t="n">
        <f aca="false">E8+E10+E24</f>
        <v>15113.8878978558</v>
      </c>
      <c r="F11" s="0" t="n">
        <f aca="false">F8+F10+F24</f>
        <v>17097.4515438653</v>
      </c>
      <c r="G11" s="0" t="n">
        <f aca="false">G8+G10+G24</f>
        <v>19352.5586571903</v>
      </c>
      <c r="H11" s="0" t="n">
        <f aca="false">H8+H10+H24</f>
        <v>21094.2889363375</v>
      </c>
      <c r="I11" s="0" t="n">
        <f aca="false">I8+I10+I24</f>
        <v>22812.4034844855</v>
      </c>
      <c r="J11" s="0" t="n">
        <f aca="false">J8+J10+J24</f>
        <v>24409.2717283995</v>
      </c>
      <c r="K11" s="0" t="n">
        <f aca="false">K8+K10+K24</f>
        <v>25908.5021516855</v>
      </c>
      <c r="L11" s="0" t="n">
        <f aca="false">L8+L10+L24</f>
        <v>27203.9272592698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-1300.75717968</v>
      </c>
      <c r="D12" s="4" t="n">
        <f aca="false">-D6*Assumptions!D45/100</f>
        <v>-1404.8177540544</v>
      </c>
      <c r="E12" s="4" t="n">
        <f aca="false">-E6*Assumptions!E45/100</f>
        <v>-1545.29952945984</v>
      </c>
      <c r="F12" s="4" t="n">
        <f aca="false">-F6*Assumptions!F45/100</f>
        <v>-1652.61199678344</v>
      </c>
      <c r="G12" s="4" t="n">
        <f aca="false">-G6*Assumptions!G45/100</f>
        <v>-1817.87319646178</v>
      </c>
      <c r="H12" s="4" t="n">
        <f aca="false">-H6*Assumptions!H45/100</f>
        <v>-1981.48178414335</v>
      </c>
      <c r="I12" s="4" t="n">
        <f aca="false">-I6*Assumptions!I45/100</f>
        <v>-2140.00032687481</v>
      </c>
      <c r="J12" s="4" t="n">
        <f aca="false">-J6*Assumptions!J45/100</f>
        <v>-2289.80034975605</v>
      </c>
      <c r="K12" s="4" t="n">
        <f aca="false">-K6*Assumptions!K45/100</f>
        <v>-2427.18837074141</v>
      </c>
      <c r="L12" s="4" t="n">
        <f aca="false">-L6*Assumptions!L45/100</f>
        <v>-2548.54778927848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11764.626047328</v>
      </c>
      <c r="D13" s="0" t="n">
        <f aca="false">D11+D12</f>
        <v>11925.3418233062</v>
      </c>
      <c r="E13" s="0" t="n">
        <f aca="false">E11+E12</f>
        <v>13568.588368396</v>
      </c>
      <c r="F13" s="0" t="n">
        <f aca="false">F11+F12</f>
        <v>15444.8395470818</v>
      </c>
      <c r="G13" s="0" t="n">
        <f aca="false">G11+G12</f>
        <v>17534.6854607285</v>
      </c>
      <c r="H13" s="0" t="n">
        <f aca="false">H11+H12</f>
        <v>19112.8071521941</v>
      </c>
      <c r="I13" s="0" t="n">
        <f aca="false">I11+I12</f>
        <v>20672.4031576107</v>
      </c>
      <c r="J13" s="0" t="n">
        <f aca="false">J11+J12</f>
        <v>22119.4713786435</v>
      </c>
      <c r="K13" s="0" t="n">
        <f aca="false">K11+K12</f>
        <v>23481.3137809441</v>
      </c>
      <c r="L13" s="0" t="n">
        <f aca="false">L11+L12</f>
        <v>24655.3794699913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55.5</v>
      </c>
      <c r="D14" s="4" t="n">
        <f aca="false">Assumptions!D47</f>
        <v>55.5</v>
      </c>
      <c r="E14" s="4" t="n">
        <f aca="false">Assumptions!E47</f>
        <v>55.5</v>
      </c>
      <c r="F14" s="4" t="n">
        <f aca="false">Assumptions!F47</f>
        <v>55.5</v>
      </c>
      <c r="G14" s="4" t="n">
        <f aca="false">Assumptions!G47</f>
        <v>55.5</v>
      </c>
      <c r="H14" s="4" t="n">
        <f aca="false">Assumptions!H47</f>
        <v>55.5</v>
      </c>
      <c r="I14" s="4" t="n">
        <f aca="false">Assumptions!I47</f>
        <v>55.5</v>
      </c>
      <c r="J14" s="4" t="n">
        <f aca="false">Assumptions!J47</f>
        <v>55.5</v>
      </c>
      <c r="K14" s="4" t="n">
        <f aca="false">Assumptions!K47</f>
        <v>55.5</v>
      </c>
      <c r="L14" s="4" t="n">
        <f aca="false">Assumptions!L47</f>
        <v>55.5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5235.25859106096</v>
      </c>
      <c r="D15" s="0" t="n">
        <f aca="false">D13-MAX(0,D13)*D14/100</f>
        <v>5306.77711137128</v>
      </c>
      <c r="E15" s="0" t="n">
        <f aca="false">E13-MAX(0,E13)*E14/100</f>
        <v>6038.02182393622</v>
      </c>
      <c r="F15" s="0" t="n">
        <f aca="false">F13-MAX(0,F13)*F14/100</f>
        <v>6872.95359845141</v>
      </c>
      <c r="G15" s="0" t="n">
        <f aca="false">G13-MAX(0,G13)*G14/100</f>
        <v>7802.9350300242</v>
      </c>
      <c r="H15" s="0" t="n">
        <f aca="false">H13-MAX(0,H13)*H14/100</f>
        <v>8505.19918272638</v>
      </c>
      <c r="I15" s="0" t="n">
        <f aca="false">I13-MAX(0,I13)*I14/100</f>
        <v>9199.21940513676</v>
      </c>
      <c r="J15" s="0" t="n">
        <f aca="false">J13-MAX(0,J13)*J14/100</f>
        <v>9843.16476349634</v>
      </c>
      <c r="K15" s="0" t="n">
        <f aca="false">K13-MAX(0,K13)*K14/100</f>
        <v>10449.1846325201</v>
      </c>
      <c r="L15" s="0" t="n">
        <f aca="false">L13-MAX(0,L13)*L14/100</f>
        <v>10971.6438641461</v>
      </c>
    </row>
    <row r="16" customFormat="false" ht="15" hidden="false" customHeight="false" outlineLevel="0" collapsed="false">
      <c r="A16" s="0" t="s">
        <v>119</v>
      </c>
      <c r="C16" s="0" t="n">
        <f aca="false">-C12</f>
        <v>1300.75717968</v>
      </c>
      <c r="D16" s="0" t="n">
        <f aca="false">-D12</f>
        <v>1404.8177540544</v>
      </c>
      <c r="E16" s="0" t="n">
        <f aca="false">-E12</f>
        <v>1545.29952945984</v>
      </c>
      <c r="F16" s="0" t="n">
        <f aca="false">-F12</f>
        <v>1652.61199678344</v>
      </c>
      <c r="G16" s="0" t="n">
        <f aca="false">-G12</f>
        <v>1817.87319646178</v>
      </c>
      <c r="H16" s="0" t="n">
        <f aca="false">-H12</f>
        <v>1981.48178414335</v>
      </c>
      <c r="I16" s="0" t="n">
        <f aca="false">-I12</f>
        <v>2140.00032687481</v>
      </c>
      <c r="J16" s="0" t="n">
        <f aca="false">-J12</f>
        <v>2289.80034975605</v>
      </c>
      <c r="K16" s="0" t="n">
        <f aca="false">-K12</f>
        <v>2427.18837074141</v>
      </c>
      <c r="L16" s="0" t="n">
        <f aca="false">-L12</f>
        <v>2548.54778927848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-1806.607194</v>
      </c>
      <c r="D17" s="4" t="n">
        <f aca="false">-D6*Assumptions!D46/100</f>
        <v>-1951.13576952</v>
      </c>
      <c r="E17" s="4" t="n">
        <f aca="false">-E6*Assumptions!E46/100</f>
        <v>-2060.39937261312</v>
      </c>
      <c r="F17" s="4" t="n">
        <f aca="false">-F6*Assumptions!F46/100</f>
        <v>-2172.00433862966</v>
      </c>
      <c r="G17" s="4" t="n">
        <f aca="false">-G6*Assumptions!G46/100</f>
        <v>-2337.26553830801</v>
      </c>
      <c r="H17" s="4" t="n">
        <f aca="false">-H6*Assumptions!H46/100</f>
        <v>-2547.61943675573</v>
      </c>
      <c r="I17" s="4" t="n">
        <f aca="false">-I6*Assumptions!I46/100</f>
        <v>-2629.14325873191</v>
      </c>
      <c r="J17" s="4" t="n">
        <f aca="false">-J6*Assumptions!J46/100</f>
        <v>-2747.76041970726</v>
      </c>
      <c r="K17" s="4" t="n">
        <f aca="false">-K6*Assumptions!K46/100</f>
        <v>-2773.92956656162</v>
      </c>
      <c r="L17" s="4" t="n">
        <f aca="false">-L6*Assumptions!L46/100</f>
        <v>-2912.6260448897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-429.765588</v>
      </c>
      <c r="D18" s="4" t="n">
        <f aca="false">(D6-C6)*Assumptions!$B$51/100</f>
        <v>-289.05715104</v>
      </c>
      <c r="E18" s="4" t="n">
        <f aca="false">(E6-D6)*Assumptions!$B$51/100</f>
        <v>-390.227153904</v>
      </c>
      <c r="F18" s="4" t="n">
        <f aca="false">(F6-E6)*Assumptions!$B$51/100</f>
        <v>-429.249869294401</v>
      </c>
      <c r="G18" s="4" t="n">
        <f aca="false">(G6-F6)*Assumptions!$B$51/100</f>
        <v>-472.174856223841</v>
      </c>
      <c r="H18" s="4" t="n">
        <f aca="false">(H6-G6)*Assumptions!$B$51/100</f>
        <v>-467.453107661603</v>
      </c>
      <c r="I18" s="4" t="n">
        <f aca="false">(I6-H6)*Assumptions!$B$51/100</f>
        <v>-452.910122089908</v>
      </c>
      <c r="J18" s="4" t="n">
        <f aca="false">(J6-I6)*Assumptions!$B$51/100</f>
        <v>-428.000065374963</v>
      </c>
      <c r="K18" s="4" t="n">
        <f aca="false">(K6-J6)*Assumptions!$B$51/100</f>
        <v>-392.537202815324</v>
      </c>
      <c r="L18" s="4" t="n">
        <f aca="false">(L6-K6)*Assumptions!$B$51/100</f>
        <v>-346.741195820202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4299.64298874096</v>
      </c>
      <c r="D19" s="0" t="n">
        <f aca="false">D15+D16+D17+D18</f>
        <v>4471.40194486568</v>
      </c>
      <c r="E19" s="0" t="n">
        <f aca="false">E15+E16+E17+E18</f>
        <v>5132.69482687893</v>
      </c>
      <c r="F19" s="0" t="n">
        <f aca="false">F15+F16+F17+F18</f>
        <v>5924.31138731078</v>
      </c>
      <c r="G19" s="0" t="n">
        <f aca="false">G15+G16+G17+G18</f>
        <v>6811.36783195413</v>
      </c>
      <c r="H19" s="0" t="n">
        <f aca="false">H15+H16+H17+H18</f>
        <v>7471.60842245239</v>
      </c>
      <c r="I19" s="0" t="n">
        <f aca="false">I15+I16+I17+I18</f>
        <v>8257.16635118975</v>
      </c>
      <c r="J19" s="0" t="n">
        <f aca="false">J15+J16+J17+J18</f>
        <v>8957.20462817016</v>
      </c>
      <c r="K19" s="0" t="n">
        <f aca="false">K15+K16+K17+K18</f>
        <v>9709.90623388459</v>
      </c>
      <c r="L19" s="0" t="n">
        <f aca="false">L15+L16+L17+L18</f>
        <v>10260.8244127147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3962.80459791794</v>
      </c>
      <c r="D21" s="0" t="n">
        <f aca="false">D19*D20</f>
        <v>3798.25602146206</v>
      </c>
      <c r="E21" s="0" t="n">
        <f aca="false">E19*E20</f>
        <v>4018.42834673703</v>
      </c>
      <c r="F21" s="0" t="n">
        <f aca="false">F19*F20</f>
        <v>4274.83074907926</v>
      </c>
      <c r="G21" s="0" t="n">
        <f aca="false">G19*G20</f>
        <v>4529.86900297517</v>
      </c>
      <c r="H21" s="0" t="n">
        <f aca="false">H19*H20</f>
        <v>4579.68570134129</v>
      </c>
      <c r="I21" s="0" t="n">
        <f aca="false">I19*I20</f>
        <v>4664.69085450107</v>
      </c>
      <c r="J21" s="0" t="n">
        <f aca="false">J19*J20</f>
        <v>4663.7427868358</v>
      </c>
      <c r="K21" s="0" t="n">
        <f aca="false">K19*K20</f>
        <v>4659.58665085594</v>
      </c>
      <c r="L21" s="0" t="n">
        <f aca="false">L19*L20</f>
        <v>4538.21298399823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0.14</v>
      </c>
      <c r="D23" s="4" t="n">
        <f aca="false">Assumptions!D44</f>
        <v>0.14</v>
      </c>
      <c r="E23" s="4" t="n">
        <f aca="false">Assumptions!E44</f>
        <v>0.14</v>
      </c>
      <c r="F23" s="4" t="n">
        <f aca="false">Assumptions!F44</f>
        <v>0.14</v>
      </c>
      <c r="G23" s="4" t="n">
        <f aca="false">Assumptions!G44</f>
        <v>0.14</v>
      </c>
      <c r="H23" s="4" t="n">
        <f aca="false">Assumptions!H44</f>
        <v>0.14</v>
      </c>
      <c r="I23" s="4" t="n">
        <f aca="false">Assumptions!I44</f>
        <v>0.14</v>
      </c>
      <c r="J23" s="4" t="n">
        <f aca="false">Assumptions!J44</f>
        <v>0.14</v>
      </c>
      <c r="K23" s="4" t="n">
        <f aca="false">Assumptions!K44</f>
        <v>0.14</v>
      </c>
      <c r="L23" s="4" t="n">
        <f aca="false">Assumptions!L44</f>
        <v>0.14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-50.585001432</v>
      </c>
      <c r="D24" s="0" t="n">
        <f aca="false">-D6*D23/100</f>
        <v>-54.63180154656</v>
      </c>
      <c r="E24" s="0" t="n">
        <f aca="false">-E6*E23/100</f>
        <v>-60.094981701216</v>
      </c>
      <c r="F24" s="0" t="n">
        <f aca="false">-F6*F23/100</f>
        <v>-66.1044798713376</v>
      </c>
      <c r="G24" s="0" t="n">
        <f aca="false">-G6*G23/100</f>
        <v>-72.7149278584714</v>
      </c>
      <c r="H24" s="0" t="n">
        <f aca="false">-H6*H23/100</f>
        <v>-79.2592713657338</v>
      </c>
      <c r="I24" s="0" t="n">
        <f aca="false">-I6*I23/100</f>
        <v>-85.6000130749926</v>
      </c>
      <c r="J24" s="0" t="n">
        <f aca="false">-J6*J23/100</f>
        <v>-91.592013990242</v>
      </c>
      <c r="K24" s="0" t="n">
        <f aca="false">-K6*K23/100</f>
        <v>-97.0875348296566</v>
      </c>
      <c r="L24" s="0" t="n">
        <f aca="false">-L6*L23/100</f>
        <v>-101.941911571139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43690.1076957038</v>
      </c>
    </row>
    <row r="31" customFormat="false" ht="15" hidden="false" customHeight="false" outlineLevel="0" collapsed="false">
      <c r="A31" s="0" t="s">
        <v>128</v>
      </c>
      <c r="B31" s="0" t="n">
        <f aca="false">L19</f>
        <v>10260.8244127147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192157.257183566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184694.839428865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184694.839428865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81687.8337119682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125377.941407672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153978.841407672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10.0039328154447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0.856017219934082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2025.25505685821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3015.58722655602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10.3314339647943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88072.0762091346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5.34038510764066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4.60233535147521</v>
      </c>
      <c r="C4" s="0" t="n">
        <f aca="false">B4/Assumptions!$B$2-1</f>
        <v>-0.146134443140036</v>
      </c>
      <c r="D4" s="4" t="n">
        <f aca="false">Assumptions!$B$24</f>
        <v>0.25</v>
      </c>
      <c r="E4" s="4" t="n">
        <f aca="false">DCF_Bear!$B$43</f>
        <v>4.85139854949763</v>
      </c>
      <c r="F4" s="4" t="n">
        <f aca="false">DCF_Bear!$B$47</f>
        <v>3.33540239639082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7.70246401692924</v>
      </c>
      <c r="C5" s="0" t="n">
        <f aca="false">B5/Assumptions!$B$2-1</f>
        <v>0.429028574569432</v>
      </c>
      <c r="D5" s="4" t="n">
        <f aca="false">Assumptions!$B$38</f>
        <v>0.5</v>
      </c>
      <c r="E5" s="4" t="n">
        <f aca="false">DCF_Base!$B$43</f>
        <v>7.96464767910823</v>
      </c>
      <c r="F5" s="4" t="n">
        <f aca="false">DCF_Base!$B$47</f>
        <v>4.48557400890949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10.0039328154447</v>
      </c>
      <c r="C6" s="0" t="n">
        <f aca="false">B6/Assumptions!$B$2-1</f>
        <v>0.856017219934082</v>
      </c>
      <c r="D6" s="4" t="n">
        <f aca="false">Assumptions!$B$52</f>
        <v>0.25</v>
      </c>
      <c r="E6" s="4" t="n">
        <f aca="false">DCF_Bull!$B$43</f>
        <v>10.3314339647943</v>
      </c>
      <c r="F6" s="4" t="n">
        <f aca="false">DCF_Bull!$B$47</f>
        <v>5.34038510764066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7.5027990501946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7.7780319681271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0.281601444482216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-767.640392023449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4.41173388046262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7.70246401692924</v>
      </c>
      <c r="C15" s="3" t="n">
        <v>8.5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7.22149553455497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6.45443528517234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5.87060899962443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5.41197499286858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4.48557400890949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8.91251051078077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8.91251051078077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8.91251051078077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8.91251051078077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8.91251051078077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8.12948931071977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8.3796558993555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8.3796558993555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8.3796558993555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8.3796558993555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7.15866939443925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7.40965152789617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7.70246401692924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7.89542339910311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7.89542339910311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6.43461396246223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6.60985811034687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6.81013713650074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7.04122832052445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7.31083470188543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5.87479813994644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6.00144659888277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6.14392611518615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6.30540290032997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6.4899477976372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2026-10-16T05:32:28Z</dcterms:created>
  <dc:creator>openpyxl</dc:creator>
  <dc:description/>
  <dc:language>en-NZ</dc:language>
  <cp:lastModifiedBy/>
  <dcterms:modified xsi:type="dcterms:W3CDTF">2026-10-16T05:32:28Z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