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<sst xmlns="http://schemas.openxmlformats.org/spreadsheetml/2006/main" count="386" uniqueCount="173">
  <si>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</si>
  <si>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WAB</t>
  </si>
  <si>
    <t xml:space="preserve">Company</t>
  </si>
  <si>
    <t xml:space="preserve">Westinghouse Air Brake Technologies Corporation (Wabtec)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</si>
  <si>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</si>
  <si>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</si>
  <si>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</si>
  <si>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</si>
  <si>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2026-10-02T20:02:18Z regular close (Yahoo chart API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</si>
  <si>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</si>
  <si>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</si>
  <si>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</si>
  <si>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</si>
  <si>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</si>
  <si>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</si>
  <si>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</si>
  <si>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</si>
  <si>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</si>
  <si>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</si>
  <si>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</si>
  <si>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</si>
  <si>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2026-10-02T21:40:43Z</t>
  </si>
  <si>
    <t xml:space="preserve">Drivers file</t>
  </si>
  <si>
    <t xml:space="preserve">WAB_Drivers.json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</si>
  <si>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</si>
  <si>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</si>
  <si>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</si>
  <si>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strict house basis: SBC plus equity-award withholding expensed, share count flat, US GAAP operating leases inside EBITDA, NCI deducted once, net debt struck at the latest (Q2-2026) balance sheet with the H1-2026 flows removed so they are not counted twice. Wabtec's value rests on a sticky aftermarket annuity layered under a cyclical equipment book; the market price capitalises the current margin trajectory at a multiple well above what a 9% WACC with a 15x exit cap supports.
key_risks_to_valuation: Freight rail cycle: Class I capex cuts would hit new locomotive and modernisation orders with a 2-4 quarter lag; Customer concentration among a few North American Class I railroads; Tariff and input-cost inflation (steel, electronics, engines) eroding the margin expansion path; Leverage: gross debt $3.98B (FY2024) -&gt; $6.57B (Q2-2026) after Dellner and 2025 acquisitions; refinancing of $1.66B current maturities at higher rates; M&amp;A integration (Dellner, 2025 Evident/Frauscher deals) and the habit of buying growth; Terminal value dependence: most of value sits beyond year 5 at a 15x cap</t>
  </si>
  <si>
    <t xml:space="preserve">Data sources</t>
  </si>
  <si>
    <t xml:space="preserve">price: Yahoo Finance chart API at inputs.price_as_of; 52-week range 186.06-306.64
financials: research/WAB/Reports/WAB_Metrics.csv (SEC XBRL-derived) for revenue, EBITDA, FCF, SBC history; SEC companyfacts API (CIK 943452) for 2026-06-30 LongTermDebt/current portion, cash incl. restricted, diluted shares, minority interest, buybacks, equity-award withholding, interest expense and cash taxes paid
qualitative: research/WAB/Reports/WAB_Analysis.json (2026-10-03): segments, moat, risks, FY2026 guidance (revenue $12.30-12.60B, adj. EPS $10.60-10.90) and Q2-2026 record backlog</t>
  </si>
  <si>
    <t xml:space="preserve">Scenario narrative: bear</t>
  </si>
  <si>
    <t xml:space="preserve">FY2026 comes in slightly under guidance and a freight recession follows: Class I railroads -- a concentrated, powerful customer group -- cut capex and defer locomotive deliveries, revenue is flat in FY2027 and falls 3% in FY2028 as backlog conversion slips. Tariffs and steel/electronics inflation are only partly passed through, Dellner integration disappoints, and CRRC pressure on international transit tenders squeezes pricing, so EBITDA margin gives back ~2pp to 21% before recovering to 22%. The aftermarket base cushions but does not prevent the cycle; growth resumes at low single digits and the business re-rates to a cyclical 13x exit cap.</t>
  </si>
  <si>
    <t xml:space="preserve">Scenario narrative: base</t>
  </si>
  <si>
    <t xml:space="preserve">Wabtec delivers the raised FY2026 guide and converts its record $9.1B backlog at a mid-single-digit organic pace: North American Class I locomotive modernisation and new-unit orders hold up, international mining (Vale, BHP, FLXdrive) adds volume, and the aftermarket/LTSA annuity on 23,000+ locomotives grows with the aging fleet. Digital Intelligence and Dellner lift mix, so pre-SBC EBITDA margin expands from ~23% to 24.5% and stops there as tariff and input-cost pressure absorbs further pricing. Leverage (~2.2x net debt/EBITDA) deleverages from cash flow without needing equity.</t>
  </si>
  <si>
    <t xml:space="preserve">Scenario narrative: bull</t>
  </si>
  <si>
    <t xml:space="preserve">The freight equipment upcycle is real and long: carload traffic recovers, Class I railroads refresh aging fleets and step up modernisations, mining electrification orders scale, and Digital Intelligence keeps compounding at high rates, pushing organic growth to 7-9% for several years. Mix shift to services, software and safety-critical Dellner couplers plus productivity take EBITDA margin to ~26.5%, and tariff costs are fully passed through. The business earns a higher-quality, more recurring multiple (16x exit cap).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</si>
  <si>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</si>
  <si>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</si>
  <si>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</si>
  <si>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</si>
  <si>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</si>
  <si>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</si>
  <si>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</si>
  <si>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</si>
  <si>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</si>
  <si>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</si>
  <si>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</si>
  <si>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</si>
  <si>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</si>
  <si>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</si>
  <si>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</si>
  <si>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</si>
  <si>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</si>
  <si>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</si>
  <si>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</si>
  <si>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</si>
  <si>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</si>
  <si>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</si>
  <si>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</si>
  <si>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</si>
  <si>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</si>
  <si>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</si>
  <si>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</si>
  <si>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</si>
  <si>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</si>
  <si>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</si>
  <si>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</si>
  <si>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</si>
  <si>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</si>
  <si>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</si>
  <si>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</si>
  <si>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</si>
  <si>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</si>
  <si>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</si>
  <si>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</si>
  <si>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</si>
  <si>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</si>
  <si>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</si>
  <si>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</si>
  <si>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</si>
  <si>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</si>
  <si>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</si>
  <si>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</si>
  <si>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</si>
  <si>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</si>
  <si>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</si>
  <si>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</si>
  <si>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</si>
  <si>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</si>
  <si>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</si>
  <si>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</si>
  <si>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</si>
  <si>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</si>
  <si>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</si>
  <si>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</si>
  <si>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</si>
  <si>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</si>
  <si>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</si>
  <si>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</si>
  <si>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</si>
  <si>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</si>
  <si>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</si>
  <si>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</si>
  <si>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</si>
  <si>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</si>
  <si>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</si>
  <si>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</si>
  <si>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</si>
  <si>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</si>
  <si>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</si>
  <si>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</si>
  <si>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</si>
  <si>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</si>
  <si>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</si>
  <si>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</si>
  <si>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</si>
  <si>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</si>
  <si>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</si>
  <si>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</si>
  <si>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WAB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</si>
  <si>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</si>
  <si>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</si>
  <si>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</si>
  <si>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</si>
  <si>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</si>
  <si>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</si>
  <si>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</si>
  <si>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</si>
  <si>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</si>
  <si>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</si>
  <si>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</si>
  <si>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</si>
  <si>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</si>
  <si>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</si>
  <si>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</si>
  <si>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</si>
  <si>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</si>
  <si>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</si>
  <si>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</si>
  <si>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</si>
  <si>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</si>
  <si>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</si>
  <si>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</si>
  <si>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</si>
  <si>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</si>
  <si>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</si>
  <si>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</si>
  <si>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</si>
  <si>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</si>
  <si>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</si>
  <si>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WAB owner-FCF component DCF: base case (millions, USD)</t>
  </si>
  <si>
    <t xml:space="preserve">WAB owner-FCF component DCF: bull case (millions, USD)</t>
  </si>
  <si>
    <t xml:space="preserve">WAB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</si>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</sst>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287.54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617.268</v>
      </c>
      <c r="S2" s="0" t="n">
        <v>234.689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1574.749</v>
      </c>
      <c r="C3" s="0" t="n">
        <v>1147.563</v>
      </c>
      <c r="D3" s="0" t="n">
        <v>427.186</v>
      </c>
      <c r="E3" s="0" t="n">
        <v>27.127243770277</v>
      </c>
      <c r="F3" s="0" t="n">
        <v>212.516</v>
      </c>
      <c r="G3" s="0" t="n">
        <v>13.4952300334847</v>
      </c>
      <c r="H3" s="0" t="n">
        <v>242.342</v>
      </c>
      <c r="I3" s="0" t="n">
        <v>130.551</v>
      </c>
      <c r="J3" s="0" t="n">
        <v>8.2902735610564</v>
      </c>
      <c r="K3" s="0" t="n">
        <v>2.69</v>
      </c>
      <c r="L3" s="0" t="n">
        <v>155.8</v>
      </c>
      <c r="M3" s="0" t="n">
        <v>19.715</v>
      </c>
      <c r="N3" s="0" t="n">
        <v>136.085</v>
      </c>
      <c r="O3" s="0" t="n">
        <v>645.371</v>
      </c>
      <c r="S3" s="0" t="n">
        <v>141.805</v>
      </c>
      <c r="T3" s="0" t="n">
        <v>48.847</v>
      </c>
      <c r="U3" s="0" t="n">
        <v>10.475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1401.616</v>
      </c>
      <c r="C4" s="0" t="n">
        <v>1008.29</v>
      </c>
      <c r="D4" s="0" t="n">
        <v>393.326</v>
      </c>
      <c r="E4" s="0" t="n">
        <v>28.0623223479184</v>
      </c>
      <c r="F4" s="0" t="n">
        <v>180.032</v>
      </c>
      <c r="G4" s="0" t="n">
        <v>12.8446022305681</v>
      </c>
      <c r="H4" s="0" t="n">
        <v>215.551</v>
      </c>
      <c r="I4" s="0" t="n">
        <v>115.055</v>
      </c>
      <c r="J4" s="0" t="n">
        <v>8.20873905549023</v>
      </c>
      <c r="K4" s="0" t="n">
        <v>2.41</v>
      </c>
      <c r="L4" s="0" t="n">
        <v>162.3</v>
      </c>
      <c r="M4" s="0" t="n">
        <v>18.288</v>
      </c>
      <c r="N4" s="0" t="n">
        <v>144.012</v>
      </c>
      <c r="O4" s="0" t="n">
        <v>778.913</v>
      </c>
      <c r="P4" s="0" t="n">
        <v>1585.835</v>
      </c>
      <c r="Q4" s="0" t="n">
        <v>806.922</v>
      </c>
      <c r="R4" s="0" t="n">
        <v>391.78</v>
      </c>
      <c r="S4" s="0" t="n">
        <v>188.659</v>
      </c>
      <c r="T4" s="0" t="n">
        <v>47.977</v>
      </c>
      <c r="U4" s="0" t="n">
        <v>3.62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1507.012</v>
      </c>
      <c r="C5" s="0" t="n">
        <v>1057.934</v>
      </c>
      <c r="D5" s="0" t="n">
        <v>449.078</v>
      </c>
      <c r="E5" s="0" t="n">
        <v>29.7992318574769</v>
      </c>
      <c r="F5" s="0" t="n">
        <v>202.81</v>
      </c>
      <c r="G5" s="0" t="n">
        <v>13.4577561426186</v>
      </c>
      <c r="H5" s="0" t="n">
        <v>241.396</v>
      </c>
      <c r="I5" s="0" t="n">
        <v>123.099</v>
      </c>
      <c r="J5" s="0" t="n">
        <v>8.16841538089942</v>
      </c>
      <c r="K5" s="0" t="n">
        <v>2.57</v>
      </c>
      <c r="L5" s="0" t="n">
        <v>176.136</v>
      </c>
      <c r="M5" s="0" t="n">
        <v>20.843</v>
      </c>
      <c r="N5" s="0" t="n">
        <v>155.293</v>
      </c>
      <c r="O5" s="0" t="n">
        <v>903.387</v>
      </c>
      <c r="P5" s="0" t="n">
        <v>1803.081</v>
      </c>
      <c r="Q5" s="0" t="n">
        <v>899.694</v>
      </c>
      <c r="R5" s="0" t="n">
        <v>462.143</v>
      </c>
      <c r="S5" s="0" t="n">
        <v>236.941</v>
      </c>
      <c r="T5" s="0" t="n">
        <v>48.005</v>
      </c>
      <c r="U5" s="0" t="n">
        <v>11.765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1967.637</v>
      </c>
      <c r="C6" s="0" t="n">
        <v>1397.213</v>
      </c>
      <c r="D6" s="0" t="n">
        <v>570.424</v>
      </c>
      <c r="E6" s="0" t="n">
        <v>28.9903066470086</v>
      </c>
      <c r="F6" s="0" t="n">
        <v>270.701</v>
      </c>
      <c r="G6" s="0" t="n">
        <v>13.757669732781</v>
      </c>
      <c r="H6" s="0" t="n">
        <v>315.55</v>
      </c>
      <c r="I6" s="0" t="n">
        <v>170.149</v>
      </c>
      <c r="J6" s="0" t="n">
        <v>8.64737753965798</v>
      </c>
      <c r="K6" s="0" t="n">
        <v>1.77</v>
      </c>
      <c r="L6" s="0" t="n">
        <v>248.626</v>
      </c>
      <c r="M6" s="0" t="n">
        <v>37.971</v>
      </c>
      <c r="N6" s="0" t="n">
        <v>210.655</v>
      </c>
      <c r="O6" s="0" t="n">
        <v>1047.644</v>
      </c>
      <c r="P6" s="0" t="n">
        <v>2158.953</v>
      </c>
      <c r="Q6" s="0" t="n">
        <v>1111.309</v>
      </c>
      <c r="R6" s="0" t="n">
        <v>395.941</v>
      </c>
      <c r="S6" s="0" t="n">
        <v>285.615</v>
      </c>
      <c r="T6" s="0" t="n">
        <v>96.657</v>
      </c>
      <c r="U6" s="0" t="n">
        <v>18.646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2391.122</v>
      </c>
      <c r="C7" s="0" t="n">
        <v>1696.555</v>
      </c>
      <c r="D7" s="0" t="n">
        <v>694.567</v>
      </c>
      <c r="E7" s="0" t="n">
        <v>29.0477441134329</v>
      </c>
      <c r="F7" s="0" t="n">
        <v>392.279</v>
      </c>
      <c r="G7" s="0" t="n">
        <v>16.4056455504989</v>
      </c>
      <c r="H7" s="0" t="n">
        <v>436.415</v>
      </c>
      <c r="I7" s="0" t="n">
        <v>251.732</v>
      </c>
      <c r="J7" s="0" t="n">
        <v>10.52777733633</v>
      </c>
      <c r="K7" s="0" t="n">
        <v>2.62</v>
      </c>
      <c r="L7" s="0" t="n">
        <v>237.438</v>
      </c>
      <c r="M7" s="0" t="n">
        <v>36.001</v>
      </c>
      <c r="N7" s="0" t="n">
        <v>201.437</v>
      </c>
      <c r="O7" s="0" t="n">
        <v>1282.017</v>
      </c>
      <c r="P7" s="0" t="n">
        <v>2351.542</v>
      </c>
      <c r="Q7" s="0" t="n">
        <v>1069.525</v>
      </c>
      <c r="R7" s="0" t="n">
        <v>317.896</v>
      </c>
      <c r="S7" s="0" t="n">
        <v>215.766</v>
      </c>
      <c r="T7" s="0" t="n">
        <v>96.742</v>
      </c>
      <c r="U7" s="0" t="n">
        <v>19.848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2566.392</v>
      </c>
      <c r="C8" s="0" t="n">
        <v>1802.365</v>
      </c>
      <c r="D8" s="0" t="n">
        <v>764.027</v>
      </c>
      <c r="E8" s="0" t="n">
        <v>29.7704715413702</v>
      </c>
      <c r="F8" s="0" t="n">
        <v>437.31</v>
      </c>
      <c r="G8" s="0" t="n">
        <v>17.0398754360207</v>
      </c>
      <c r="H8" s="0" t="n">
        <v>488.503</v>
      </c>
      <c r="I8" s="0" t="n">
        <v>292.235</v>
      </c>
      <c r="J8" s="0" t="n">
        <v>11.3869977774245</v>
      </c>
      <c r="K8" s="0" t="n">
        <v>3.05</v>
      </c>
      <c r="L8" s="0" t="n">
        <v>235.653</v>
      </c>
      <c r="M8" s="0" t="n">
        <v>41.238</v>
      </c>
      <c r="N8" s="0" t="n">
        <v>194.415</v>
      </c>
      <c r="O8" s="0" t="n">
        <v>1586.991</v>
      </c>
      <c r="P8" s="0" t="n">
        <v>2821.997</v>
      </c>
      <c r="Q8" s="0" t="n">
        <v>1234.83</v>
      </c>
      <c r="R8" s="0" t="n">
        <v>450.709</v>
      </c>
      <c r="S8" s="0" t="n">
        <v>285.76</v>
      </c>
      <c r="T8" s="0" t="n">
        <v>96.832</v>
      </c>
      <c r="U8" s="0" t="n">
        <v>24.107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3044.454</v>
      </c>
      <c r="C9" s="0" t="n">
        <v>2108.472</v>
      </c>
      <c r="D9" s="0" t="n">
        <v>935.982</v>
      </c>
      <c r="E9" s="0" t="n">
        <v>30.743837811312</v>
      </c>
      <c r="F9" s="0" t="n">
        <v>527.109</v>
      </c>
      <c r="G9" s="0" t="n">
        <v>17.3137449276619</v>
      </c>
      <c r="H9" s="0" t="n">
        <v>588.37</v>
      </c>
      <c r="I9" s="0" t="n">
        <v>351.68</v>
      </c>
      <c r="J9" s="0" t="n">
        <v>11.5514965901932</v>
      </c>
      <c r="K9" s="0" t="n">
        <v>3.66</v>
      </c>
      <c r="L9" s="0" t="n">
        <v>472.385</v>
      </c>
      <c r="M9" s="0" t="n">
        <v>47.662</v>
      </c>
      <c r="N9" s="0" t="n">
        <v>424.723</v>
      </c>
      <c r="O9" s="0" t="n">
        <v>1808.974</v>
      </c>
      <c r="P9" s="0" t="n">
        <v>3303.841</v>
      </c>
      <c r="Q9" s="0" t="n">
        <v>1495.543</v>
      </c>
      <c r="R9" s="0" t="n">
        <v>521.195</v>
      </c>
      <c r="S9" s="0" t="n">
        <v>425.849</v>
      </c>
      <c r="T9" s="0" t="n">
        <v>96.885</v>
      </c>
      <c r="U9" s="0" t="n">
        <v>26.134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3307.998</v>
      </c>
      <c r="C10" s="0" t="n">
        <v>2260.182</v>
      </c>
      <c r="D10" s="0" t="n">
        <v>1047.816</v>
      </c>
      <c r="E10" s="0" t="n">
        <v>31.6752307589061</v>
      </c>
      <c r="F10" s="0" t="n">
        <v>607.567</v>
      </c>
      <c r="G10" s="0" t="n">
        <v>18.36660723495</v>
      </c>
      <c r="H10" s="0" t="n">
        <v>672.301</v>
      </c>
      <c r="I10" s="0" t="n">
        <v>398.628</v>
      </c>
      <c r="J10" s="0" t="n">
        <v>12.0504305020741</v>
      </c>
      <c r="K10" s="0" t="n">
        <v>4.14</v>
      </c>
      <c r="L10" s="0" t="n">
        <v>450.844</v>
      </c>
      <c r="M10" s="0" t="n">
        <v>49.428</v>
      </c>
      <c r="N10" s="0" t="n">
        <v>401.416</v>
      </c>
      <c r="O10" s="0" t="n">
        <v>1701.339</v>
      </c>
      <c r="P10" s="0" t="n">
        <v>3229.513</v>
      </c>
      <c r="Q10" s="0" t="n">
        <v>1528.174</v>
      </c>
      <c r="R10" s="0" t="n">
        <v>692.238</v>
      </c>
      <c r="S10" s="0" t="n">
        <v>226.191</v>
      </c>
      <c r="T10" s="0" t="n">
        <v>97.006</v>
      </c>
      <c r="U10" s="0" t="n">
        <v>26.019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2931.188</v>
      </c>
      <c r="C11" s="0" t="n">
        <v>2006.949</v>
      </c>
      <c r="D11" s="0" t="n">
        <v>924.239</v>
      </c>
      <c r="E11" s="0" t="n">
        <v>31.5312085065851</v>
      </c>
      <c r="F11" s="0" t="n">
        <v>456.607</v>
      </c>
      <c r="G11" s="0" t="n">
        <v>15.5775405739925</v>
      </c>
      <c r="H11" s="0" t="n">
        <v>526.402</v>
      </c>
      <c r="I11" s="0" t="n">
        <v>313.404</v>
      </c>
      <c r="J11" s="0" t="n">
        <v>10.6920470471358</v>
      </c>
      <c r="K11" s="0" t="n">
        <v>3.37</v>
      </c>
      <c r="L11" s="0" t="n">
        <v>450.53</v>
      </c>
      <c r="M11" s="0" t="n">
        <v>50.216</v>
      </c>
      <c r="N11" s="0" t="n">
        <v>400.314</v>
      </c>
      <c r="O11" s="0" t="n">
        <v>2976.8</v>
      </c>
      <c r="P11" s="0" t="n">
        <v>6581.018</v>
      </c>
      <c r="Q11" s="0" t="n">
        <v>3604.193</v>
      </c>
      <c r="R11" s="0" t="n">
        <v>1892.776</v>
      </c>
      <c r="S11" s="0" t="n">
        <v>398.484</v>
      </c>
      <c r="T11" s="0" t="n">
        <v>95.425432</v>
      </c>
      <c r="U11" s="0" t="n">
        <v>20.813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3881.7</v>
      </c>
      <c r="C12" s="0" t="n">
        <v>2816.4</v>
      </c>
      <c r="D12" s="0" t="n">
        <v>1065.3</v>
      </c>
      <c r="E12" s="0" t="n">
        <v>27.4441610634516</v>
      </c>
      <c r="F12" s="0" t="n">
        <v>421.1</v>
      </c>
      <c r="G12" s="0" t="n">
        <v>10.8483396450009</v>
      </c>
      <c r="H12" s="0" t="n">
        <v>524.3</v>
      </c>
      <c r="I12" s="0" t="n">
        <v>262.29</v>
      </c>
      <c r="J12" s="0" t="n">
        <v>6.75709096529871</v>
      </c>
      <c r="K12" s="0" t="n">
        <v>2.74</v>
      </c>
      <c r="L12" s="0" t="n">
        <v>188.8</v>
      </c>
      <c r="M12" s="0" t="n">
        <v>89.5</v>
      </c>
      <c r="N12" s="0" t="n">
        <v>99.3</v>
      </c>
      <c r="O12" s="0" t="n">
        <v>2828.6</v>
      </c>
      <c r="P12" s="0" t="n">
        <v>6580</v>
      </c>
      <c r="Q12" s="0" t="n">
        <v>3751.448</v>
      </c>
      <c r="R12" s="0" t="n">
        <v>1870.528</v>
      </c>
      <c r="S12" s="0" t="n">
        <v>233.401</v>
      </c>
      <c r="T12" s="0" t="n">
        <v>96.1</v>
      </c>
      <c r="U12" s="0" t="n">
        <v>21.3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4363.5</v>
      </c>
      <c r="C13" s="0" t="n">
        <v>3129.6</v>
      </c>
      <c r="D13" s="0" t="n">
        <v>1233.9</v>
      </c>
      <c r="E13" s="0" t="n">
        <v>28.2777586799588</v>
      </c>
      <c r="F13" s="0" t="n">
        <v>473.4</v>
      </c>
      <c r="G13" s="0" t="n">
        <v>10.8490890340323</v>
      </c>
      <c r="H13" s="0" t="n">
        <v>582.7</v>
      </c>
      <c r="I13" s="0" t="n">
        <v>294.9</v>
      </c>
      <c r="J13" s="0" t="n">
        <v>6.75833619800619</v>
      </c>
      <c r="K13" s="0" t="n">
        <v>3.06</v>
      </c>
      <c r="L13" s="0" t="n">
        <v>314.7</v>
      </c>
      <c r="M13" s="0" t="n">
        <v>93.3</v>
      </c>
      <c r="N13" s="0" t="n">
        <v>221.4</v>
      </c>
      <c r="O13" s="0" t="n">
        <v>2870</v>
      </c>
      <c r="P13" s="0" t="n">
        <v>8649.2</v>
      </c>
      <c r="Q13" s="0" t="n">
        <v>5780.1</v>
      </c>
      <c r="R13" s="0" t="n">
        <v>3921</v>
      </c>
      <c r="S13" s="0" t="n">
        <v>580.9</v>
      </c>
      <c r="T13" s="0" t="n">
        <v>96.614946</v>
      </c>
      <c r="U13" s="0" t="n">
        <v>25.3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8200</v>
      </c>
      <c r="C14" s="0" t="n">
        <v>5922</v>
      </c>
      <c r="D14" s="0" t="n">
        <v>2278</v>
      </c>
      <c r="E14" s="0" t="n">
        <v>27.7804878048781</v>
      </c>
      <c r="F14" s="0" t="n">
        <v>663</v>
      </c>
      <c r="G14" s="0" t="n">
        <v>8.08536585365854</v>
      </c>
      <c r="H14" s="0" t="n">
        <v>1064</v>
      </c>
      <c r="I14" s="0" t="n">
        <v>327</v>
      </c>
      <c r="J14" s="0" t="n">
        <v>3.98780487804878</v>
      </c>
      <c r="K14" s="0" t="n">
        <v>1.91</v>
      </c>
      <c r="L14" s="0" t="n">
        <v>1016</v>
      </c>
      <c r="M14" s="0" t="n">
        <v>186</v>
      </c>
      <c r="N14" s="0" t="n">
        <v>830</v>
      </c>
      <c r="O14" s="0" t="n">
        <v>9994</v>
      </c>
      <c r="P14" s="0" t="n">
        <v>18944.2</v>
      </c>
      <c r="Q14" s="0" t="n">
        <v>8950.6</v>
      </c>
      <c r="R14" s="0" t="n">
        <v>4525</v>
      </c>
      <c r="S14" s="0" t="n">
        <v>604.2</v>
      </c>
      <c r="T14" s="0" t="n">
        <v>191.7</v>
      </c>
      <c r="U14" s="0" t="n">
        <v>50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7556</v>
      </c>
      <c r="C15" s="0" t="n">
        <v>5419</v>
      </c>
      <c r="D15" s="0" t="n">
        <v>2137</v>
      </c>
      <c r="E15" s="0" t="n">
        <v>28.2821598729487</v>
      </c>
      <c r="F15" s="0" t="n">
        <v>745</v>
      </c>
      <c r="G15" s="0" t="n">
        <v>9.85971413446268</v>
      </c>
      <c r="H15" s="0" t="n">
        <v>1218</v>
      </c>
      <c r="I15" s="0" t="n">
        <v>414</v>
      </c>
      <c r="J15" s="0" t="n">
        <v>5.47908946532557</v>
      </c>
      <c r="K15" s="0" t="n">
        <v>2.18</v>
      </c>
      <c r="L15" s="0" t="n">
        <v>784</v>
      </c>
      <c r="M15" s="0" t="n">
        <v>136</v>
      </c>
      <c r="N15" s="0" t="n">
        <v>648</v>
      </c>
      <c r="O15" s="0" t="n">
        <v>10153</v>
      </c>
      <c r="P15" s="0" t="n">
        <v>18454</v>
      </c>
      <c r="Q15" s="0" t="n">
        <v>8301</v>
      </c>
      <c r="R15" s="0" t="n">
        <v>4686</v>
      </c>
      <c r="S15" s="0" t="n">
        <v>599</v>
      </c>
      <c r="T15" s="0" t="n">
        <v>190.4</v>
      </c>
      <c r="U15" s="0" t="n">
        <v>20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7822</v>
      </c>
      <c r="C16" s="0" t="n">
        <v>5453</v>
      </c>
      <c r="D16" s="0" t="n">
        <v>2369</v>
      </c>
      <c r="E16" s="0" t="n">
        <v>30.2863717719253</v>
      </c>
      <c r="F16" s="0" t="n">
        <v>876</v>
      </c>
      <c r="G16" s="0" t="n">
        <v>11.1991817949374</v>
      </c>
      <c r="H16" s="0" t="n">
        <v>1367</v>
      </c>
      <c r="I16" s="0" t="n">
        <v>565</v>
      </c>
      <c r="J16" s="0" t="n">
        <v>7.22321656865252</v>
      </c>
      <c r="K16" s="0" t="n">
        <v>2.96</v>
      </c>
      <c r="L16" s="0" t="n">
        <v>1073</v>
      </c>
      <c r="M16" s="0" t="n">
        <v>130</v>
      </c>
      <c r="N16" s="0" t="n">
        <v>943</v>
      </c>
      <c r="O16" s="0" t="n">
        <v>10239</v>
      </c>
      <c r="P16" s="0" t="n">
        <v>18454</v>
      </c>
      <c r="Q16" s="0" t="n">
        <v>8215</v>
      </c>
      <c r="R16" s="0" t="n">
        <v>4060</v>
      </c>
      <c r="S16" s="0" t="n">
        <v>473</v>
      </c>
      <c r="T16" s="0" t="n">
        <v>188.1</v>
      </c>
      <c r="U16" s="0" t="n">
        <v>46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8362</v>
      </c>
      <c r="C17" s="0" t="n">
        <v>5822</v>
      </c>
      <c r="D17" s="0" t="n">
        <v>2540</v>
      </c>
      <c r="E17" s="0" t="n">
        <v>30.3755082516145</v>
      </c>
      <c r="F17" s="0" t="n">
        <v>1011</v>
      </c>
      <c r="G17" s="0" t="n">
        <v>12.0904089930639</v>
      </c>
      <c r="H17" s="0" t="n">
        <v>1490</v>
      </c>
      <c r="I17" s="0" t="n">
        <v>641</v>
      </c>
      <c r="J17" s="0" t="n">
        <v>7.66563023200191</v>
      </c>
      <c r="K17" s="0" t="n">
        <v>3.46</v>
      </c>
      <c r="L17" s="0" t="n">
        <v>1038</v>
      </c>
      <c r="M17" s="0" t="n">
        <v>149</v>
      </c>
      <c r="N17" s="0" t="n">
        <v>889</v>
      </c>
      <c r="O17" s="0" t="n">
        <v>10147</v>
      </c>
      <c r="P17" s="0" t="n">
        <v>18516</v>
      </c>
      <c r="Q17" s="0" t="n">
        <v>8369</v>
      </c>
      <c r="R17" s="0" t="n">
        <v>4253</v>
      </c>
      <c r="T17" s="0" t="n">
        <v>182.8</v>
      </c>
      <c r="U17" s="0" t="n">
        <v>49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9677</v>
      </c>
      <c r="C18" s="0" t="n">
        <v>6733</v>
      </c>
      <c r="D18" s="0" t="n">
        <v>2944</v>
      </c>
      <c r="E18" s="0" t="n">
        <v>30.4226516482381</v>
      </c>
      <c r="F18" s="0" t="n">
        <v>1266</v>
      </c>
      <c r="G18" s="0" t="n">
        <v>13.0825669112328</v>
      </c>
      <c r="H18" s="0" t="n">
        <v>1797</v>
      </c>
      <c r="I18" s="0" t="n">
        <v>825</v>
      </c>
      <c r="J18" s="0" t="n">
        <v>8.52536943267542</v>
      </c>
      <c r="K18" s="0" t="n">
        <v>4.54</v>
      </c>
      <c r="L18" s="0" t="n">
        <v>1201</v>
      </c>
      <c r="M18" s="0" t="n">
        <v>186</v>
      </c>
      <c r="N18" s="0" t="n">
        <v>1015</v>
      </c>
      <c r="O18" s="0" t="n">
        <v>10524</v>
      </c>
      <c r="P18" s="0" t="n">
        <v>18988</v>
      </c>
      <c r="Q18" s="0" t="n">
        <v>8464</v>
      </c>
      <c r="R18" s="0" t="n">
        <v>4850</v>
      </c>
      <c r="T18" s="0" t="n">
        <v>179.5</v>
      </c>
      <c r="U18" s="0" t="n">
        <v>59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10387</v>
      </c>
      <c r="C19" s="0" t="n">
        <v>7021</v>
      </c>
      <c r="D19" s="0" t="n">
        <v>3366</v>
      </c>
      <c r="E19" s="0" t="n">
        <v>32.4058919803601</v>
      </c>
      <c r="F19" s="0" t="n">
        <v>1609</v>
      </c>
      <c r="G19" s="0" t="n">
        <v>15.4905169923943</v>
      </c>
      <c r="H19" s="0" t="n">
        <v>2112</v>
      </c>
      <c r="I19" s="0" t="n">
        <v>1067</v>
      </c>
      <c r="J19" s="0" t="n">
        <v>10.2724559545586</v>
      </c>
      <c r="K19" s="0" t="n">
        <v>6.05</v>
      </c>
      <c r="L19" s="0" t="n">
        <v>1834</v>
      </c>
      <c r="M19" s="0" t="n">
        <v>207</v>
      </c>
      <c r="N19" s="0" t="n">
        <v>1627</v>
      </c>
      <c r="O19" s="0" t="n">
        <v>10133</v>
      </c>
      <c r="P19" s="0" t="n">
        <v>18702</v>
      </c>
      <c r="Q19" s="0" t="n">
        <v>8569</v>
      </c>
      <c r="R19" s="0" t="n">
        <v>4480</v>
      </c>
      <c r="T19" s="0" t="n">
        <v>174.8</v>
      </c>
      <c r="U19" s="0" t="n">
        <v>85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11167</v>
      </c>
      <c r="C20" s="0" t="n">
        <v>7361</v>
      </c>
      <c r="D20" s="0" t="n">
        <v>3806</v>
      </c>
      <c r="E20" s="0" t="n">
        <v>34.0825646995612</v>
      </c>
      <c r="F20" s="0" t="n">
        <v>1793</v>
      </c>
      <c r="G20" s="0" t="n">
        <v>16.0562371272499</v>
      </c>
      <c r="H20" s="0" t="n">
        <v>2294</v>
      </c>
      <c r="I20" s="0" t="n">
        <v>1183</v>
      </c>
      <c r="J20" s="0" t="n">
        <v>10.5937136204889</v>
      </c>
      <c r="K20" s="0" t="n">
        <v>6.84</v>
      </c>
      <c r="L20" s="0" t="n">
        <v>1759</v>
      </c>
      <c r="M20" s="0" t="n">
        <v>260</v>
      </c>
      <c r="N20" s="0" t="n">
        <v>1499</v>
      </c>
      <c r="O20" s="0" t="n">
        <v>11190</v>
      </c>
      <c r="P20" s="0" t="n">
        <v>22069</v>
      </c>
      <c r="Q20" s="0" t="n">
        <v>10879</v>
      </c>
      <c r="R20" s="0" t="n">
        <v>6791</v>
      </c>
      <c r="T20" s="0" t="n">
        <v>171.1</v>
      </c>
      <c r="U20" s="0" t="n">
        <v>94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287.54</v>
      </c>
    </row>
    <row r="3" customFormat="false" ht="15" hidden="false" customHeight="false" outlineLevel="0" collapsed="false">
      <c r="A3" s="0" t="s">
        <v>85</v>
      </c>
      <c r="B3" s="3" t="n">
        <v>169.6</v>
      </c>
    </row>
    <row r="4" customFormat="false" ht="15" hidden="false" customHeight="false" outlineLevel="0" collapsed="false">
      <c r="A4" s="0" t="s">
        <v>86</v>
      </c>
      <c r="B4" s="3" t="n">
        <v>5911</v>
      </c>
    </row>
    <row r="5" customFormat="false" ht="15" hidden="false" customHeight="false" outlineLevel="0" collapsed="false">
      <c r="A5" s="0" t="s">
        <v>87</v>
      </c>
      <c r="B5" s="3" t="n">
        <v>-446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11167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10.5</v>
      </c>
      <c r="D13" s="3" t="n">
        <v>0</v>
      </c>
      <c r="E13" s="3" t="n">
        <v>-3</v>
      </c>
      <c r="F13" s="3" t="n">
        <v>3</v>
      </c>
      <c r="G13" s="3" t="n">
        <v>4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22.6</v>
      </c>
      <c r="D14" s="3" t="n">
        <v>21.8</v>
      </c>
      <c r="E14" s="3" t="n">
        <v>21</v>
      </c>
      <c r="F14" s="3" t="n">
        <v>21.3</v>
      </c>
      <c r="G14" s="3" t="n">
        <v>21.6</v>
      </c>
      <c r="H14" s="3" t="n">
        <v>21.8</v>
      </c>
      <c r="I14" s="3" t="n">
        <v>22</v>
      </c>
      <c r="J14" s="3" t="n">
        <v>22</v>
      </c>
      <c r="K14" s="3" t="n">
        <v>22</v>
      </c>
      <c r="L14" s="3" t="n">
        <v>22</v>
      </c>
    </row>
    <row r="15" customFormat="false" ht="15" hidden="false" customHeight="false" outlineLevel="0" collapsed="false">
      <c r="A15" s="0" t="s">
        <v>107</v>
      </c>
      <c r="C15" s="3" t="n">
        <v>1.2</v>
      </c>
      <c r="D15" s="3" t="n">
        <v>1.2</v>
      </c>
      <c r="E15" s="3" t="n">
        <v>1.2</v>
      </c>
      <c r="F15" s="3" t="n">
        <v>1.2</v>
      </c>
      <c r="G15" s="3" t="n">
        <v>1.2</v>
      </c>
      <c r="H15" s="3" t="n">
        <v>1.2</v>
      </c>
      <c r="I15" s="3" t="n">
        <v>1.2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4.6</v>
      </c>
      <c r="D17" s="3" t="n">
        <v>4.6</v>
      </c>
      <c r="E17" s="3" t="n">
        <v>4.5</v>
      </c>
      <c r="F17" s="3" t="n">
        <v>4.3</v>
      </c>
      <c r="G17" s="3" t="n">
        <v>4.1</v>
      </c>
      <c r="H17" s="3" t="n">
        <v>4</v>
      </c>
      <c r="I17" s="3" t="n">
        <v>3.9</v>
      </c>
      <c r="J17" s="3" t="n">
        <v>3.8</v>
      </c>
      <c r="K17" s="3" t="n">
        <v>3.7</v>
      </c>
      <c r="L17" s="3" t="n">
        <v>3.6</v>
      </c>
    </row>
    <row r="18" customFormat="false" ht="15" hidden="false" customHeight="false" outlineLevel="0" collapsed="false">
      <c r="A18" s="0" t="s">
        <v>110</v>
      </c>
      <c r="C18" s="3" t="n">
        <v>2.3</v>
      </c>
      <c r="D18" s="3" t="n">
        <v>2.4</v>
      </c>
      <c r="E18" s="3" t="n">
        <v>2.4</v>
      </c>
      <c r="F18" s="3" t="n">
        <v>2.5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111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13</v>
      </c>
    </row>
    <row r="23" customFormat="false" ht="15" hidden="false" customHeight="false" outlineLevel="0" collapsed="false">
      <c r="A23" s="0" t="s">
        <v>115</v>
      </c>
      <c r="B23" s="3" t="n">
        <v>-12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11.5</v>
      </c>
      <c r="D27" s="3" t="n">
        <v>7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23</v>
      </c>
      <c r="D28" s="3" t="n">
        <v>23.6</v>
      </c>
      <c r="E28" s="3" t="n">
        <v>24</v>
      </c>
      <c r="F28" s="3" t="n">
        <v>24.3</v>
      </c>
      <c r="G28" s="3" t="n">
        <v>24.5</v>
      </c>
      <c r="H28" s="3" t="n">
        <v>24.5</v>
      </c>
      <c r="I28" s="3" t="n">
        <v>24.5</v>
      </c>
      <c r="J28" s="3" t="n">
        <v>24.5</v>
      </c>
      <c r="K28" s="3" t="n">
        <v>24.5</v>
      </c>
      <c r="L28" s="3" t="n">
        <v>24.5</v>
      </c>
    </row>
    <row r="29" customFormat="false" ht="15" hidden="false" customHeight="false" outlineLevel="0" collapsed="false">
      <c r="A29" s="0" t="s">
        <v>107</v>
      </c>
      <c r="C29" s="3" t="n">
        <v>1.2</v>
      </c>
      <c r="D29" s="3" t="n">
        <v>1.2</v>
      </c>
      <c r="E29" s="3" t="n">
        <v>1.2</v>
      </c>
      <c r="F29" s="3" t="n">
        <v>1.15</v>
      </c>
      <c r="G29" s="3" t="n">
        <v>1.15</v>
      </c>
      <c r="H29" s="3" t="n">
        <v>1.1</v>
      </c>
      <c r="I29" s="3" t="n">
        <v>1.1</v>
      </c>
      <c r="J29" s="3" t="n">
        <v>1.1</v>
      </c>
      <c r="K29" s="3" t="n">
        <v>1.1</v>
      </c>
      <c r="L29" s="3" t="n">
        <v>1.1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4.6</v>
      </c>
      <c r="D31" s="3" t="n">
        <v>4.5</v>
      </c>
      <c r="E31" s="3" t="n">
        <v>4.3</v>
      </c>
      <c r="F31" s="3" t="n">
        <v>4.1</v>
      </c>
      <c r="G31" s="3" t="n">
        <v>4</v>
      </c>
      <c r="H31" s="3" t="n">
        <v>3.9</v>
      </c>
      <c r="I31" s="3" t="n">
        <v>3.8</v>
      </c>
      <c r="J31" s="3" t="n">
        <v>3.7</v>
      </c>
      <c r="K31" s="3" t="n">
        <v>3.6</v>
      </c>
      <c r="L31" s="3" t="n">
        <v>3.5</v>
      </c>
    </row>
    <row r="32" customFormat="false" ht="15" hidden="false" customHeight="false" outlineLevel="0" collapsed="false">
      <c r="A32" s="0" t="s">
        <v>110</v>
      </c>
      <c r="C32" s="3" t="n">
        <v>2.3</v>
      </c>
      <c r="D32" s="3" t="n">
        <v>2.4</v>
      </c>
      <c r="E32" s="3" t="n">
        <v>2.4</v>
      </c>
      <c r="F32" s="3" t="n">
        <v>2.5</v>
      </c>
      <c r="G32" s="3" t="n">
        <v>2.5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111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-12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12.5</v>
      </c>
      <c r="D41" s="3" t="n">
        <v>9</v>
      </c>
      <c r="E41" s="3" t="n">
        <v>8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23.3</v>
      </c>
      <c r="D42" s="3" t="n">
        <v>24.2</v>
      </c>
      <c r="E42" s="3" t="n">
        <v>25</v>
      </c>
      <c r="F42" s="3" t="n">
        <v>25.6</v>
      </c>
      <c r="G42" s="3" t="n">
        <v>26</v>
      </c>
      <c r="H42" s="3" t="n">
        <v>26.3</v>
      </c>
      <c r="I42" s="3" t="n">
        <v>26.5</v>
      </c>
      <c r="J42" s="3" t="n">
        <v>26.5</v>
      </c>
      <c r="K42" s="3" t="n">
        <v>26.5</v>
      </c>
      <c r="L42" s="3" t="n">
        <v>26.5</v>
      </c>
    </row>
    <row r="43" customFormat="false" ht="15" hidden="false" customHeight="false" outlineLevel="0" collapsed="false">
      <c r="A43" s="0" t="s">
        <v>107</v>
      </c>
      <c r="C43" s="3" t="n">
        <v>1.2</v>
      </c>
      <c r="D43" s="3" t="n">
        <v>1.2</v>
      </c>
      <c r="E43" s="3" t="n">
        <v>1.2</v>
      </c>
      <c r="F43" s="3" t="n">
        <v>1.15</v>
      </c>
      <c r="G43" s="3" t="n">
        <v>1.15</v>
      </c>
      <c r="H43" s="3" t="n">
        <v>1.1</v>
      </c>
      <c r="I43" s="3" t="n">
        <v>1.1</v>
      </c>
      <c r="J43" s="3" t="n">
        <v>1.1</v>
      </c>
      <c r="K43" s="3" t="n">
        <v>1.1</v>
      </c>
      <c r="L43" s="3" t="n">
        <v>1.1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4.6</v>
      </c>
      <c r="D45" s="3" t="n">
        <v>4.5</v>
      </c>
      <c r="E45" s="3" t="n">
        <v>4.3</v>
      </c>
      <c r="F45" s="3" t="n">
        <v>4.1</v>
      </c>
      <c r="G45" s="3" t="n">
        <v>4</v>
      </c>
      <c r="H45" s="3" t="n">
        <v>3.9</v>
      </c>
      <c r="I45" s="3" t="n">
        <v>3.8</v>
      </c>
      <c r="J45" s="3" t="n">
        <v>3.7</v>
      </c>
      <c r="K45" s="3" t="n">
        <v>3.6</v>
      </c>
      <c r="L45" s="3" t="n">
        <v>3.5</v>
      </c>
    </row>
    <row r="46" customFormat="false" ht="15" hidden="false" customHeight="false" outlineLevel="0" collapsed="false">
      <c r="A46" s="0" t="s">
        <v>110</v>
      </c>
      <c r="C46" s="3" t="n">
        <v>2.3</v>
      </c>
      <c r="D46" s="3" t="n">
        <v>2.4</v>
      </c>
      <c r="E46" s="3" t="n">
        <v>2.4</v>
      </c>
      <c r="F46" s="3" t="n">
        <v>2.5</v>
      </c>
      <c r="G46" s="3" t="n">
        <v>2.5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111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16</v>
      </c>
    </row>
    <row r="51" customFormat="false" ht="15" hidden="false" customHeight="false" outlineLevel="0" collapsed="false">
      <c r="A51" s="0" t="s">
        <v>115</v>
      </c>
      <c r="B51" s="3" t="n">
        <v>-12</v>
      </c>
    </row>
    <row r="52" customFormat="false" ht="15" hidden="false" customHeight="false" outlineLevel="0" collapsed="false">
      <c r="A52" s="0" t="s">
        <v>116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10.5</v>
      </c>
      <c r="D5" s="4" t="n">
        <f aca="false">Assumptions!D13</f>
        <v>0</v>
      </c>
      <c r="E5" s="4" t="n">
        <f aca="false">Assumptions!E13</f>
        <v>-3</v>
      </c>
      <c r="F5" s="4" t="n">
        <f aca="false">Assumptions!F13</f>
        <v>3</v>
      </c>
      <c r="G5" s="4" t="n">
        <f aca="false">Assumptions!G13</f>
        <v>4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11167</v>
      </c>
      <c r="C6" s="0" t="n">
        <f aca="false">B6*(1+C5/100)</f>
        <v>12339.535</v>
      </c>
      <c r="D6" s="0" t="n">
        <f aca="false">C6*(1+D5/100)</f>
        <v>12339.535</v>
      </c>
      <c r="E6" s="0" t="n">
        <f aca="false">D6*(1+E5/100)</f>
        <v>11969.34895</v>
      </c>
      <c r="F6" s="0" t="n">
        <f aca="false">E6*(1+F5/100)</f>
        <v>12328.4294185</v>
      </c>
      <c r="G6" s="0" t="n">
        <f aca="false">F6*(1+G5/100)</f>
        <v>12821.56659524</v>
      </c>
      <c r="H6" s="0" t="n">
        <f aca="false">G6*(1+H5/100)</f>
        <v>13270.3214260734</v>
      </c>
      <c r="I6" s="0" t="n">
        <f aca="false">H6*(1+I5/100)</f>
        <v>13668.4310688556</v>
      </c>
      <c r="J6" s="0" t="n">
        <f aca="false">I6*(1+J5/100)</f>
        <v>14078.4840009213</v>
      </c>
      <c r="K6" s="0" t="n">
        <f aca="false">J6*(1+K5/100)</f>
        <v>14430.4461009443</v>
      </c>
      <c r="L6" s="0" t="n">
        <f aca="false">K6*(1+L5/100)</f>
        <v>14791.2072534679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22.6</v>
      </c>
      <c r="D7" s="4" t="n">
        <f aca="false">Assumptions!D14</f>
        <v>21.8</v>
      </c>
      <c r="E7" s="4" t="n">
        <f aca="false">Assumptions!E14</f>
        <v>21</v>
      </c>
      <c r="F7" s="4" t="n">
        <f aca="false">Assumptions!F14</f>
        <v>21.3</v>
      </c>
      <c r="G7" s="4" t="n">
        <f aca="false">Assumptions!G14</f>
        <v>21.6</v>
      </c>
      <c r="H7" s="4" t="n">
        <f aca="false">Assumptions!H14</f>
        <v>21.8</v>
      </c>
      <c r="I7" s="4" t="n">
        <f aca="false">Assumptions!I14</f>
        <v>22</v>
      </c>
      <c r="J7" s="4" t="n">
        <f aca="false">Assumptions!J14</f>
        <v>22</v>
      </c>
      <c r="K7" s="4" t="n">
        <f aca="false">Assumptions!K14</f>
        <v>22</v>
      </c>
      <c r="L7" s="4" t="n">
        <f aca="false">Assumptions!L14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2788.73491</v>
      </c>
      <c r="D8" s="0" t="n">
        <f aca="false">D6*D7/100</f>
        <v>2690.01863</v>
      </c>
      <c r="E8" s="0" t="n">
        <f aca="false">E6*E7/100</f>
        <v>2513.5632795</v>
      </c>
      <c r="F8" s="0" t="n">
        <f aca="false">F6*F7/100</f>
        <v>2625.9554661405</v>
      </c>
      <c r="G8" s="0" t="n">
        <f aca="false">G6*G7/100</f>
        <v>2769.45838457184</v>
      </c>
      <c r="H8" s="0" t="n">
        <f aca="false">H6*H7/100</f>
        <v>2892.930070884</v>
      </c>
      <c r="I8" s="0" t="n">
        <f aca="false">I6*I7/100</f>
        <v>3007.05483514823</v>
      </c>
      <c r="J8" s="0" t="n">
        <f aca="false">J6*J7/100</f>
        <v>3097.26648020268</v>
      </c>
      <c r="K8" s="0" t="n">
        <f aca="false">K6*K7/100</f>
        <v>3174.69814220775</v>
      </c>
      <c r="L8" s="0" t="n">
        <f aca="false">L6*L7/100</f>
        <v>3254.06559576294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1.2</v>
      </c>
      <c r="D9" s="4" t="n">
        <f aca="false">Assumptions!D15</f>
        <v>1.2</v>
      </c>
      <c r="E9" s="4" t="n">
        <f aca="false">Assumptions!E15</f>
        <v>1.2</v>
      </c>
      <c r="F9" s="4" t="n">
        <f aca="false">Assumptions!F15</f>
        <v>1.2</v>
      </c>
      <c r="G9" s="4" t="n">
        <f aca="false">Assumptions!G15</f>
        <v>1.2</v>
      </c>
      <c r="H9" s="4" t="n">
        <f aca="false">Assumptions!H15</f>
        <v>1.2</v>
      </c>
      <c r="I9" s="4" t="n">
        <f aca="false">Assumptions!I15</f>
        <v>1.2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-148.07442</v>
      </c>
      <c r="D10" s="0" t="n">
        <f aca="false">-D6*D9/100</f>
        <v>-148.07442</v>
      </c>
      <c r="E10" s="0" t="n">
        <f aca="false">-E6*E9/100</f>
        <v>-143.6321874</v>
      </c>
      <c r="F10" s="0" t="n">
        <f aca="false">-F6*F9/100</f>
        <v>-147.941153022</v>
      </c>
      <c r="G10" s="0" t="n">
        <f aca="false">-G6*G9/100</f>
        <v>-153.85879914288</v>
      </c>
      <c r="H10" s="0" t="n">
        <f aca="false">-H6*H9/100</f>
        <v>-159.243857112881</v>
      </c>
      <c r="I10" s="0" t="n">
        <f aca="false">-I6*I9/100</f>
        <v>-164.021172826267</v>
      </c>
      <c r="J10" s="0" t="n">
        <f aca="false">-J6*J9/100</f>
        <v>-168.941808011055</v>
      </c>
      <c r="K10" s="0" t="n">
        <f aca="false">-K6*K9/100</f>
        <v>-173.165353211332</v>
      </c>
      <c r="L10" s="0" t="n">
        <f aca="false">-L6*L9/100</f>
        <v>-177.494487041615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2640.66049</v>
      </c>
      <c r="D11" s="0" t="n">
        <f aca="false">D8+D10+D24</f>
        <v>2541.94421</v>
      </c>
      <c r="E11" s="0" t="n">
        <f aca="false">E8+E10+E24</f>
        <v>2369.9310921</v>
      </c>
      <c r="F11" s="0" t="n">
        <f aca="false">F8+F10+F24</f>
        <v>2478.0143131185</v>
      </c>
      <c r="G11" s="0" t="n">
        <f aca="false">G8+G10+G24</f>
        <v>2615.59958542896</v>
      </c>
      <c r="H11" s="0" t="n">
        <f aca="false">H8+H10+H24</f>
        <v>2733.68621377112</v>
      </c>
      <c r="I11" s="0" t="n">
        <f aca="false">I8+I10+I24</f>
        <v>2843.03366232197</v>
      </c>
      <c r="J11" s="0" t="n">
        <f aca="false">J8+J10+J24</f>
        <v>2928.32467219162</v>
      </c>
      <c r="K11" s="0" t="n">
        <f aca="false">K8+K10+K24</f>
        <v>3001.53278899641</v>
      </c>
      <c r="L11" s="0" t="n">
        <f aca="false">L8+L10+L24</f>
        <v>3076.57110872132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-567.61861</v>
      </c>
      <c r="D12" s="4" t="n">
        <f aca="false">-D6*Assumptions!D17/100</f>
        <v>-567.61861</v>
      </c>
      <c r="E12" s="4" t="n">
        <f aca="false">-E6*Assumptions!E17/100</f>
        <v>-538.62070275</v>
      </c>
      <c r="F12" s="4" t="n">
        <f aca="false">-F6*Assumptions!F17/100</f>
        <v>-530.1224649955</v>
      </c>
      <c r="G12" s="4" t="n">
        <f aca="false">-G6*Assumptions!G17/100</f>
        <v>-525.68423040484</v>
      </c>
      <c r="H12" s="4" t="n">
        <f aca="false">-H6*Assumptions!H17/100</f>
        <v>-530.812857042936</v>
      </c>
      <c r="I12" s="4" t="n">
        <f aca="false">-I6*Assumptions!I17/100</f>
        <v>-533.068811685369</v>
      </c>
      <c r="J12" s="4" t="n">
        <f aca="false">-J6*Assumptions!J17/100</f>
        <v>-534.982392035008</v>
      </c>
      <c r="K12" s="4" t="n">
        <f aca="false">-K6*Assumptions!K17/100</f>
        <v>-533.926505734939</v>
      </c>
      <c r="L12" s="4" t="n">
        <f aca="false">-L6*Assumptions!L17/100</f>
        <v>-532.483461124845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2073.04188</v>
      </c>
      <c r="D13" s="0" t="n">
        <f aca="false">D11+D12</f>
        <v>1974.3256</v>
      </c>
      <c r="E13" s="0" t="n">
        <f aca="false">E11+E12</f>
        <v>1831.31038935</v>
      </c>
      <c r="F13" s="0" t="n">
        <f aca="false">F11+F12</f>
        <v>1947.891848123</v>
      </c>
      <c r="G13" s="0" t="n">
        <f aca="false">G11+G12</f>
        <v>2089.91535502412</v>
      </c>
      <c r="H13" s="0" t="n">
        <f aca="false">H11+H12</f>
        <v>2202.87335672818</v>
      </c>
      <c r="I13" s="0" t="n">
        <f aca="false">I11+I12</f>
        <v>2309.9648506366</v>
      </c>
      <c r="J13" s="0" t="n">
        <f aca="false">J11+J12</f>
        <v>2393.34228015662</v>
      </c>
      <c r="K13" s="0" t="n">
        <f aca="false">K11+K12</f>
        <v>2467.60628326148</v>
      </c>
      <c r="L13" s="0" t="n">
        <f aca="false">L11+L12</f>
        <v>2544.08764759648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1616.9726664</v>
      </c>
      <c r="D15" s="0" t="n">
        <f aca="false">D13-MAX(0,D13)*D14/100</f>
        <v>1539.973968</v>
      </c>
      <c r="E15" s="0" t="n">
        <f aca="false">E13-MAX(0,E13)*E14/100</f>
        <v>1428.422103693</v>
      </c>
      <c r="F15" s="0" t="n">
        <f aca="false">F13-MAX(0,F13)*F14/100</f>
        <v>1519.35564153594</v>
      </c>
      <c r="G15" s="0" t="n">
        <f aca="false">G13-MAX(0,G13)*G14/100</f>
        <v>1630.13397691881</v>
      </c>
      <c r="H15" s="0" t="n">
        <f aca="false">H13-MAX(0,H13)*H14/100</f>
        <v>1718.24121824798</v>
      </c>
      <c r="I15" s="0" t="n">
        <f aca="false">I13-MAX(0,I13)*I14/100</f>
        <v>1801.77258349655</v>
      </c>
      <c r="J15" s="0" t="n">
        <f aca="false">J13-MAX(0,J13)*J14/100</f>
        <v>1866.80697852216</v>
      </c>
      <c r="K15" s="0" t="n">
        <f aca="false">K13-MAX(0,K13)*K14/100</f>
        <v>1924.73290094395</v>
      </c>
      <c r="L15" s="0" t="n">
        <f aca="false">L13-MAX(0,L13)*L14/100</f>
        <v>1984.38836512525</v>
      </c>
    </row>
    <row r="16" customFormat="false" ht="15" hidden="false" customHeight="false" outlineLevel="0" collapsed="false">
      <c r="A16" s="0" t="s">
        <v>127</v>
      </c>
      <c r="C16" s="0" t="n">
        <f aca="false">-C12</f>
        <v>567.61861</v>
      </c>
      <c r="D16" s="0" t="n">
        <f aca="false">-D12</f>
        <v>567.61861</v>
      </c>
      <c r="E16" s="0" t="n">
        <f aca="false">-E12</f>
        <v>538.62070275</v>
      </c>
      <c r="F16" s="0" t="n">
        <f aca="false">-F12</f>
        <v>530.1224649955</v>
      </c>
      <c r="G16" s="0" t="n">
        <f aca="false">-G12</f>
        <v>525.68423040484</v>
      </c>
      <c r="H16" s="0" t="n">
        <f aca="false">-H12</f>
        <v>530.812857042936</v>
      </c>
      <c r="I16" s="0" t="n">
        <f aca="false">-I12</f>
        <v>533.068811685369</v>
      </c>
      <c r="J16" s="0" t="n">
        <f aca="false">-J12</f>
        <v>534.982392035008</v>
      </c>
      <c r="K16" s="0" t="n">
        <f aca="false">-K12</f>
        <v>533.926505734939</v>
      </c>
      <c r="L16" s="0" t="n">
        <f aca="false">-L12</f>
        <v>532.483461124845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-283.809305</v>
      </c>
      <c r="D17" s="4" t="n">
        <f aca="false">-D6*Assumptions!D18/100</f>
        <v>-296.14884</v>
      </c>
      <c r="E17" s="4" t="n">
        <f aca="false">-E6*Assumptions!E18/100</f>
        <v>-287.2643748</v>
      </c>
      <c r="F17" s="4" t="n">
        <f aca="false">-F6*Assumptions!F18/100</f>
        <v>-308.2107354625</v>
      </c>
      <c r="G17" s="4" t="n">
        <f aca="false">-G6*Assumptions!G18/100</f>
        <v>-320.539164881</v>
      </c>
      <c r="H17" s="4" t="n">
        <f aca="false">-H6*Assumptions!H18/100</f>
        <v>-331.758035651835</v>
      </c>
      <c r="I17" s="4" t="n">
        <f aca="false">-I6*Assumptions!I18/100</f>
        <v>-341.71077672139</v>
      </c>
      <c r="J17" s="4" t="n">
        <f aca="false">-J6*Assumptions!J18/100</f>
        <v>-351.962100023032</v>
      </c>
      <c r="K17" s="4" t="n">
        <f aca="false">-K6*Assumptions!K18/100</f>
        <v>-360.761152523608</v>
      </c>
      <c r="L17" s="4" t="n">
        <f aca="false">-L6*Assumptions!L18/100</f>
        <v>-369.780181336698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-140.7042</v>
      </c>
      <c r="D18" s="4" t="n">
        <f aca="false">(D6-C6)*Assumptions!$B$23/100</f>
        <v>-0</v>
      </c>
      <c r="E18" s="4" t="n">
        <f aca="false">(E6-D6)*Assumptions!$B$23/100</f>
        <v>44.422326</v>
      </c>
      <c r="F18" s="4" t="n">
        <f aca="false">(F6-E6)*Assumptions!$B$23/100</f>
        <v>-43.08965622</v>
      </c>
      <c r="G18" s="4" t="n">
        <f aca="false">(G6-F6)*Assumptions!$B$23/100</f>
        <v>-59.1764612088</v>
      </c>
      <c r="H18" s="4" t="n">
        <f aca="false">(H6-G6)*Assumptions!$B$23/100</f>
        <v>-53.8505797000079</v>
      </c>
      <c r="I18" s="4" t="n">
        <f aca="false">(I6-H6)*Assumptions!$B$23/100</f>
        <v>-47.7731571338644</v>
      </c>
      <c r="J18" s="4" t="n">
        <f aca="false">(J6-I6)*Assumptions!$B$23/100</f>
        <v>-49.2063518478801</v>
      </c>
      <c r="K18" s="4" t="n">
        <f aca="false">(K6-J6)*Assumptions!$B$23/100</f>
        <v>-42.2354520027637</v>
      </c>
      <c r="L18" s="4" t="n">
        <f aca="false">(L6-K6)*Assumptions!$B$23/100</f>
        <v>-43.2913383028327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1760.0777714</v>
      </c>
      <c r="D19" s="0" t="n">
        <f aca="false">D15+D16+D17+D18</f>
        <v>1811.443738</v>
      </c>
      <c r="E19" s="0" t="n">
        <f aca="false">E15+E16+E17+E18</f>
        <v>1724.200757643</v>
      </c>
      <c r="F19" s="0" t="n">
        <f aca="false">F15+F16+F17+F18</f>
        <v>1698.17771484894</v>
      </c>
      <c r="G19" s="0" t="n">
        <f aca="false">G15+G16+G17+G18</f>
        <v>1776.10258123385</v>
      </c>
      <c r="H19" s="0" t="n">
        <f aca="false">H15+H16+H17+H18</f>
        <v>1863.44545993908</v>
      </c>
      <c r="I19" s="0" t="n">
        <f aca="false">I15+I16+I17+I18</f>
        <v>1945.35746132666</v>
      </c>
      <c r="J19" s="0" t="n">
        <f aca="false">J15+J16+J17+J18</f>
        <v>2000.62091868626</v>
      </c>
      <c r="K19" s="0" t="n">
        <f aca="false">K15+K16+K17+K18</f>
        <v>2055.66280215252</v>
      </c>
      <c r="L19" s="0" t="n">
        <f aca="false">L15+L16+L17+L18</f>
        <v>2103.80030661057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1614.75024899083</v>
      </c>
      <c r="D21" s="0" t="n">
        <f aca="false">D19*D20</f>
        <v>1524.65595320259</v>
      </c>
      <c r="E21" s="0" t="n">
        <f aca="false">E19*E20</f>
        <v>1331.3993413607</v>
      </c>
      <c r="F21" s="0" t="n">
        <f aca="false">F19*F20</f>
        <v>1203.03190606807</v>
      </c>
      <c r="G21" s="0" t="n">
        <f aca="false">G19*G20</f>
        <v>1154.34481282939</v>
      </c>
      <c r="H21" s="0" t="n">
        <f aca="false">H19*H20</f>
        <v>1111.11164318308</v>
      </c>
      <c r="I21" s="0" t="n">
        <f aca="false">I19*I20</f>
        <v>1064.17714980714</v>
      </c>
      <c r="J21" s="0" t="n">
        <f aca="false">J19*J20</f>
        <v>1004.04417749659</v>
      </c>
      <c r="K21" s="0" t="n">
        <f aca="false">K19*K20</f>
        <v>946.484259429341</v>
      </c>
      <c r="L21" s="0" t="n">
        <f aca="false">L19*L20</f>
        <v>888.667985062768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11842.6674774305</v>
      </c>
    </row>
    <row r="31" customFormat="false" ht="15" hidden="false" customHeight="false" outlineLevel="0" collapsed="false">
      <c r="A31" s="0" t="s">
        <v>136</v>
      </c>
      <c r="B31" s="0" t="n">
        <f aca="false">L19</f>
        <v>2103.80030661057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30655.3758963254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27349.4039859374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27349.4039859374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11552.683805816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23395.3512832465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17038.3512832465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100.461976905934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-0.650615646845884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1000.36170870765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1092.50144686572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112.801971927004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16506.7408672522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40.7218500941866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11.5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11167</v>
      </c>
      <c r="C6" s="0" t="n">
        <f aca="false">B6*(1+C5/100)</f>
        <v>12451.205</v>
      </c>
      <c r="D6" s="0" t="n">
        <f aca="false">C6*(1+D5/100)</f>
        <v>13322.78935</v>
      </c>
      <c r="E6" s="0" t="n">
        <f aca="false">D6*(1+E5/100)</f>
        <v>14122.156711</v>
      </c>
      <c r="F6" s="0" t="n">
        <f aca="false">E6*(1+F5/100)</f>
        <v>14898.875330105</v>
      </c>
      <c r="G6" s="0" t="n">
        <f aca="false">F6*(1+G5/100)</f>
        <v>15643.8190966103</v>
      </c>
      <c r="H6" s="0" t="n">
        <f aca="false">G6*(1+H5/100)</f>
        <v>16347.7909559577</v>
      </c>
      <c r="I6" s="0" t="n">
        <f aca="false">H6*(1+I5/100)</f>
        <v>17001.702594196</v>
      </c>
      <c r="J6" s="0" t="n">
        <f aca="false">I6*(1+J5/100)</f>
        <v>17596.7621849929</v>
      </c>
      <c r="K6" s="0" t="n">
        <f aca="false">J6*(1+K5/100)</f>
        <v>18124.6650505427</v>
      </c>
      <c r="L6" s="0" t="n">
        <f aca="false">K6*(1+L5/100)</f>
        <v>18668.4050020589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23</v>
      </c>
      <c r="D7" s="4" t="n">
        <f aca="false">Assumptions!D28</f>
        <v>23.6</v>
      </c>
      <c r="E7" s="4" t="n">
        <f aca="false">Assumptions!E28</f>
        <v>24</v>
      </c>
      <c r="F7" s="4" t="n">
        <f aca="false">Assumptions!F28</f>
        <v>24.3</v>
      </c>
      <c r="G7" s="4" t="n">
        <f aca="false">Assumptions!G28</f>
        <v>24.5</v>
      </c>
      <c r="H7" s="4" t="n">
        <f aca="false">Assumptions!H28</f>
        <v>24.5</v>
      </c>
      <c r="I7" s="4" t="n">
        <f aca="false">Assumptions!I28</f>
        <v>24.5</v>
      </c>
      <c r="J7" s="4" t="n">
        <f aca="false">Assumptions!J28</f>
        <v>24.5</v>
      </c>
      <c r="K7" s="4" t="n">
        <f aca="false">Assumptions!K28</f>
        <v>24.5</v>
      </c>
      <c r="L7" s="4" t="n">
        <f aca="false">Assumptions!L28</f>
        <v>24.5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2863.77715</v>
      </c>
      <c r="D8" s="0" t="n">
        <f aca="false">D6*D7/100</f>
        <v>3144.1782866</v>
      </c>
      <c r="E8" s="0" t="n">
        <f aca="false">E6*E7/100</f>
        <v>3389.31761064</v>
      </c>
      <c r="F8" s="0" t="n">
        <f aca="false">F6*F7/100</f>
        <v>3620.42670521552</v>
      </c>
      <c r="G8" s="0" t="n">
        <f aca="false">G6*G7/100</f>
        <v>3832.73567866951</v>
      </c>
      <c r="H8" s="0" t="n">
        <f aca="false">H6*H7/100</f>
        <v>4005.20878420964</v>
      </c>
      <c r="I8" s="0" t="n">
        <f aca="false">I6*I7/100</f>
        <v>4165.41713557802</v>
      </c>
      <c r="J8" s="0" t="n">
        <f aca="false">J6*J7/100</f>
        <v>4311.20673532326</v>
      </c>
      <c r="K8" s="0" t="n">
        <f aca="false">K6*K7/100</f>
        <v>4440.54293738295</v>
      </c>
      <c r="L8" s="0" t="n">
        <f aca="false">L6*L7/100</f>
        <v>4573.75922550444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1.2</v>
      </c>
      <c r="D9" s="4" t="n">
        <f aca="false">Assumptions!D29</f>
        <v>1.2</v>
      </c>
      <c r="E9" s="4" t="n">
        <f aca="false">Assumptions!E29</f>
        <v>1.2</v>
      </c>
      <c r="F9" s="4" t="n">
        <f aca="false">Assumptions!F29</f>
        <v>1.15</v>
      </c>
      <c r="G9" s="4" t="n">
        <f aca="false">Assumptions!G29</f>
        <v>1.15</v>
      </c>
      <c r="H9" s="4" t="n">
        <f aca="false">Assumptions!H29</f>
        <v>1.1</v>
      </c>
      <c r="I9" s="4" t="n">
        <f aca="false">Assumptions!I29</f>
        <v>1.1</v>
      </c>
      <c r="J9" s="4" t="n">
        <f aca="false">Assumptions!J29</f>
        <v>1.1</v>
      </c>
      <c r="K9" s="4" t="n">
        <f aca="false">Assumptions!K29</f>
        <v>1.1</v>
      </c>
      <c r="L9" s="4" t="n">
        <f aca="false">Assumptions!L29</f>
        <v>1.1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-149.41446</v>
      </c>
      <c r="D10" s="0" t="n">
        <f aca="false">-D6*D9/100</f>
        <v>-159.8734722</v>
      </c>
      <c r="E10" s="0" t="n">
        <f aca="false">-E6*E9/100</f>
        <v>-169.465880532</v>
      </c>
      <c r="F10" s="0" t="n">
        <f aca="false">-F6*F9/100</f>
        <v>-171.337066296208</v>
      </c>
      <c r="G10" s="0" t="n">
        <f aca="false">-G6*G9/100</f>
        <v>-179.903919611018</v>
      </c>
      <c r="H10" s="0" t="n">
        <f aca="false">-H6*H9/100</f>
        <v>-179.825700515535</v>
      </c>
      <c r="I10" s="0" t="n">
        <f aca="false">-I6*I9/100</f>
        <v>-187.018728536156</v>
      </c>
      <c r="J10" s="0" t="n">
        <f aca="false">-J6*J9/100</f>
        <v>-193.564384034922</v>
      </c>
      <c r="K10" s="0" t="n">
        <f aca="false">-K6*K9/100</f>
        <v>-199.371315555969</v>
      </c>
      <c r="L10" s="0" t="n">
        <f aca="false">-L6*L9/100</f>
        <v>-205.352455022648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2714.36269</v>
      </c>
      <c r="D11" s="0" t="n">
        <f aca="false">D8+D10+D24</f>
        <v>2984.3048144</v>
      </c>
      <c r="E11" s="0" t="n">
        <f aca="false">E8+E10+E24</f>
        <v>3219.851730108</v>
      </c>
      <c r="F11" s="0" t="n">
        <f aca="false">F8+F10+F24</f>
        <v>3449.08963891931</v>
      </c>
      <c r="G11" s="0" t="n">
        <f aca="false">G8+G10+G24</f>
        <v>3652.83175905849</v>
      </c>
      <c r="H11" s="0" t="n">
        <f aca="false">H8+H10+H24</f>
        <v>3825.3830836941</v>
      </c>
      <c r="I11" s="0" t="n">
        <f aca="false">I8+I10+I24</f>
        <v>3978.39840704187</v>
      </c>
      <c r="J11" s="0" t="n">
        <f aca="false">J8+J10+J24</f>
        <v>4117.64235128833</v>
      </c>
      <c r="K11" s="0" t="n">
        <f aca="false">K8+K10+K24</f>
        <v>4241.17162182698</v>
      </c>
      <c r="L11" s="0" t="n">
        <f aca="false">L8+L10+L24</f>
        <v>4368.40677048179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-572.75543</v>
      </c>
      <c r="D12" s="4" t="n">
        <f aca="false">-D6*Assumptions!D31/100</f>
        <v>-599.52552075</v>
      </c>
      <c r="E12" s="4" t="n">
        <f aca="false">-E6*Assumptions!E31/100</f>
        <v>-607.252738573</v>
      </c>
      <c r="F12" s="4" t="n">
        <f aca="false">-F6*Assumptions!F31/100</f>
        <v>-610.853888534305</v>
      </c>
      <c r="G12" s="4" t="n">
        <f aca="false">-G6*Assumptions!G31/100</f>
        <v>-625.75276386441</v>
      </c>
      <c r="H12" s="4" t="n">
        <f aca="false">-H6*Assumptions!H31/100</f>
        <v>-637.563847282351</v>
      </c>
      <c r="I12" s="4" t="n">
        <f aca="false">-I6*Assumptions!I31/100</f>
        <v>-646.064698579449</v>
      </c>
      <c r="J12" s="4" t="n">
        <f aca="false">-J6*Assumptions!J31/100</f>
        <v>-651.080200844737</v>
      </c>
      <c r="K12" s="4" t="n">
        <f aca="false">-K6*Assumptions!K31/100</f>
        <v>-652.487941819536</v>
      </c>
      <c r="L12" s="4" t="n">
        <f aca="false">-L6*Assumptions!L31/100</f>
        <v>-653.394175072063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2141.60726</v>
      </c>
      <c r="D13" s="0" t="n">
        <f aca="false">D11+D12</f>
        <v>2384.77929365</v>
      </c>
      <c r="E13" s="0" t="n">
        <f aca="false">E11+E12</f>
        <v>2612.598991535</v>
      </c>
      <c r="F13" s="0" t="n">
        <f aca="false">F11+F12</f>
        <v>2838.235750385</v>
      </c>
      <c r="G13" s="0" t="n">
        <f aca="false">G11+G12</f>
        <v>3027.07899519408</v>
      </c>
      <c r="H13" s="0" t="n">
        <f aca="false">H11+H12</f>
        <v>3187.81923641175</v>
      </c>
      <c r="I13" s="0" t="n">
        <f aca="false">I11+I12</f>
        <v>3332.33370846242</v>
      </c>
      <c r="J13" s="0" t="n">
        <f aca="false">J11+J12</f>
        <v>3466.5621504436</v>
      </c>
      <c r="K13" s="0" t="n">
        <f aca="false">K11+K12</f>
        <v>3588.68368000745</v>
      </c>
      <c r="L13" s="0" t="n">
        <f aca="false">L11+L12</f>
        <v>3715.01259540973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1670.4536628</v>
      </c>
      <c r="D15" s="0" t="n">
        <f aca="false">D13-MAX(0,D13)*D14/100</f>
        <v>1860.127849047</v>
      </c>
      <c r="E15" s="0" t="n">
        <f aca="false">E13-MAX(0,E13)*E14/100</f>
        <v>2037.8272133973</v>
      </c>
      <c r="F15" s="0" t="n">
        <f aca="false">F13-MAX(0,F13)*F14/100</f>
        <v>2213.8238853003</v>
      </c>
      <c r="G15" s="0" t="n">
        <f aca="false">G13-MAX(0,G13)*G14/100</f>
        <v>2361.12161625138</v>
      </c>
      <c r="H15" s="0" t="n">
        <f aca="false">H13-MAX(0,H13)*H14/100</f>
        <v>2486.49900440117</v>
      </c>
      <c r="I15" s="0" t="n">
        <f aca="false">I13-MAX(0,I13)*I14/100</f>
        <v>2599.22029260069</v>
      </c>
      <c r="J15" s="0" t="n">
        <f aca="false">J13-MAX(0,J13)*J14/100</f>
        <v>2703.91847734601</v>
      </c>
      <c r="K15" s="0" t="n">
        <f aca="false">K13-MAX(0,K13)*K14/100</f>
        <v>2799.17327040581</v>
      </c>
      <c r="L15" s="0" t="n">
        <f aca="false">L13-MAX(0,L13)*L14/100</f>
        <v>2897.70982441959</v>
      </c>
    </row>
    <row r="16" customFormat="false" ht="15" hidden="false" customHeight="false" outlineLevel="0" collapsed="false">
      <c r="A16" s="0" t="s">
        <v>127</v>
      </c>
      <c r="C16" s="0" t="n">
        <f aca="false">-C12</f>
        <v>572.75543</v>
      </c>
      <c r="D16" s="0" t="n">
        <f aca="false">-D12</f>
        <v>599.52552075</v>
      </c>
      <c r="E16" s="0" t="n">
        <f aca="false">-E12</f>
        <v>607.252738573</v>
      </c>
      <c r="F16" s="0" t="n">
        <f aca="false">-F12</f>
        <v>610.853888534305</v>
      </c>
      <c r="G16" s="0" t="n">
        <f aca="false">-G12</f>
        <v>625.75276386441</v>
      </c>
      <c r="H16" s="0" t="n">
        <f aca="false">-H12</f>
        <v>637.563847282351</v>
      </c>
      <c r="I16" s="0" t="n">
        <f aca="false">-I12</f>
        <v>646.064698579449</v>
      </c>
      <c r="J16" s="0" t="n">
        <f aca="false">-J12</f>
        <v>651.080200844737</v>
      </c>
      <c r="K16" s="0" t="n">
        <f aca="false">-K12</f>
        <v>652.487941819536</v>
      </c>
      <c r="L16" s="0" t="n">
        <f aca="false">-L12</f>
        <v>653.394175072063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-286.377715</v>
      </c>
      <c r="D17" s="4" t="n">
        <f aca="false">-D6*Assumptions!D32/100</f>
        <v>-319.7469444</v>
      </c>
      <c r="E17" s="4" t="n">
        <f aca="false">-E6*Assumptions!E32/100</f>
        <v>-338.931761064</v>
      </c>
      <c r="F17" s="4" t="n">
        <f aca="false">-F6*Assumptions!F32/100</f>
        <v>-372.471883252625</v>
      </c>
      <c r="G17" s="4" t="n">
        <f aca="false">-G6*Assumptions!G32/100</f>
        <v>-391.095477415256</v>
      </c>
      <c r="H17" s="4" t="n">
        <f aca="false">-H6*Assumptions!H32/100</f>
        <v>-408.694773898943</v>
      </c>
      <c r="I17" s="4" t="n">
        <f aca="false">-I6*Assumptions!I32/100</f>
        <v>-425.042564854901</v>
      </c>
      <c r="J17" s="4" t="n">
        <f aca="false">-J6*Assumptions!J32/100</f>
        <v>-439.919054624822</v>
      </c>
      <c r="K17" s="4" t="n">
        <f aca="false">-K6*Assumptions!K32/100</f>
        <v>-453.116626263567</v>
      </c>
      <c r="L17" s="4" t="n">
        <f aca="false">-L6*Assumptions!L32/100</f>
        <v>-466.710125051474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-154.1046</v>
      </c>
      <c r="D18" s="4" t="n">
        <f aca="false">(D6-C6)*Assumptions!$B$37/100</f>
        <v>-104.590122</v>
      </c>
      <c r="E18" s="4" t="n">
        <f aca="false">(E6-D6)*Assumptions!$B$37/100</f>
        <v>-95.9240833200001</v>
      </c>
      <c r="F18" s="4" t="n">
        <f aca="false">(F6-E6)*Assumptions!$B$37/100</f>
        <v>-93.2062342925999</v>
      </c>
      <c r="G18" s="4" t="n">
        <f aca="false">(G6-F6)*Assumptions!$B$37/100</f>
        <v>-89.39325198063</v>
      </c>
      <c r="H18" s="4" t="n">
        <f aca="false">(H6-G6)*Assumptions!$B$37/100</f>
        <v>-84.4766231216953</v>
      </c>
      <c r="I18" s="4" t="n">
        <f aca="false">(I6-H6)*Assumptions!$B$37/100</f>
        <v>-78.4693965885971</v>
      </c>
      <c r="J18" s="4" t="n">
        <f aca="false">(J6-I6)*Assumptions!$B$37/100</f>
        <v>-71.4071508956232</v>
      </c>
      <c r="K18" s="4" t="n">
        <f aca="false">(K6-J6)*Assumptions!$B$37/100</f>
        <v>-63.3483438659743</v>
      </c>
      <c r="L18" s="4" t="n">
        <f aca="false">(L6-K6)*Assumptions!$B$37/100</f>
        <v>-65.2487941819536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1802.7267778</v>
      </c>
      <c r="D19" s="0" t="n">
        <f aca="false">D15+D16+D17+D18</f>
        <v>2035.316303397</v>
      </c>
      <c r="E19" s="0" t="n">
        <f aca="false">E15+E16+E17+E18</f>
        <v>2210.2241075863</v>
      </c>
      <c r="F19" s="0" t="n">
        <f aca="false">F15+F16+F17+F18</f>
        <v>2358.99965628938</v>
      </c>
      <c r="G19" s="0" t="n">
        <f aca="false">G15+G16+G17+G18</f>
        <v>2506.38565071991</v>
      </c>
      <c r="H19" s="0" t="n">
        <f aca="false">H15+H16+H17+H18</f>
        <v>2630.89145466288</v>
      </c>
      <c r="I19" s="0" t="n">
        <f aca="false">I15+I16+I17+I18</f>
        <v>2741.77302973664</v>
      </c>
      <c r="J19" s="0" t="n">
        <f aca="false">J15+J16+J17+J18</f>
        <v>2843.6724726703</v>
      </c>
      <c r="K19" s="0" t="n">
        <f aca="false">K15+K16+K17+K18</f>
        <v>2935.19624209581</v>
      </c>
      <c r="L19" s="0" t="n">
        <f aca="false">L15+L16+L17+L18</f>
        <v>3019.14508025822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1653.87777779817</v>
      </c>
      <c r="D21" s="0" t="n">
        <f aca="false">D19*D20</f>
        <v>1713.08501253851</v>
      </c>
      <c r="E21" s="0" t="n">
        <f aca="false">E19*E20</f>
        <v>1706.69854311085</v>
      </c>
      <c r="F21" s="0" t="n">
        <f aca="false">F19*F20</f>
        <v>1671.17482940953</v>
      </c>
      <c r="G21" s="0" t="n">
        <f aca="false">G19*G20</f>
        <v>1628.97870057067</v>
      </c>
      <c r="H21" s="0" t="n">
        <f aca="false">H19*H20</f>
        <v>1568.71461498121</v>
      </c>
      <c r="I21" s="0" t="n">
        <f aca="false">I19*I20</f>
        <v>1499.84373885376</v>
      </c>
      <c r="J21" s="0" t="n">
        <f aca="false">J19*J20</f>
        <v>1427.1433244669</v>
      </c>
      <c r="K21" s="0" t="n">
        <f aca="false">K19*K20</f>
        <v>1351.44588819276</v>
      </c>
      <c r="L21" s="0" t="n">
        <f aca="false">L19*L20</f>
        <v>1275.31950948703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15496.2819394094</v>
      </c>
    </row>
    <row r="31" customFormat="false" ht="15" hidden="false" customHeight="false" outlineLevel="0" collapsed="false">
      <c r="A31" s="0" t="s">
        <v>136</v>
      </c>
      <c r="B31" s="0" t="n">
        <f aca="false">L19</f>
        <v>3019.14508025822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47609.5954963797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45287.1762038734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45287.1762038734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19129.7926423054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34626.0745817148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28269.0745817148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166.680864278979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-0.420321123047303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1126.0157081761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1367.87190199586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181.385390282351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24756.9896581174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68.37066548109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12.5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11167</v>
      </c>
      <c r="C6" s="0" t="n">
        <f aca="false">B6*(1+C5/100)</f>
        <v>12562.875</v>
      </c>
      <c r="D6" s="0" t="n">
        <f aca="false">C6*(1+D5/100)</f>
        <v>13693.53375</v>
      </c>
      <c r="E6" s="0" t="n">
        <f aca="false">D6*(1+E5/100)</f>
        <v>14789.01645</v>
      </c>
      <c r="F6" s="0" t="n">
        <f aca="false">E6*(1+F5/100)</f>
        <v>15824.2476015</v>
      </c>
      <c r="G6" s="0" t="n">
        <f aca="false">F6*(1+G5/100)</f>
        <v>16852.8236955975</v>
      </c>
      <c r="H6" s="0" t="n">
        <f aca="false">G6*(1+H5/100)</f>
        <v>17863.9931173334</v>
      </c>
      <c r="I6" s="0" t="n">
        <f aca="false">H6*(1+I5/100)</f>
        <v>18757.1927732</v>
      </c>
      <c r="J6" s="0" t="n">
        <f aca="false">I6*(1+J5/100)</f>
        <v>19601.266447994</v>
      </c>
      <c r="K6" s="0" t="n">
        <f aca="false">J6*(1+K5/100)</f>
        <v>20385.3171059138</v>
      </c>
      <c r="L6" s="0" t="n">
        <f aca="false">K6*(1+L5/100)</f>
        <v>21098.8032046208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23.3</v>
      </c>
      <c r="D7" s="4" t="n">
        <f aca="false">Assumptions!D42</f>
        <v>24.2</v>
      </c>
      <c r="E7" s="4" t="n">
        <f aca="false">Assumptions!E42</f>
        <v>25</v>
      </c>
      <c r="F7" s="4" t="n">
        <f aca="false">Assumptions!F42</f>
        <v>25.6</v>
      </c>
      <c r="G7" s="4" t="n">
        <f aca="false">Assumptions!G42</f>
        <v>26</v>
      </c>
      <c r="H7" s="4" t="n">
        <f aca="false">Assumptions!H42</f>
        <v>26.3</v>
      </c>
      <c r="I7" s="4" t="n">
        <f aca="false">Assumptions!I42</f>
        <v>26.5</v>
      </c>
      <c r="J7" s="4" t="n">
        <f aca="false">Assumptions!J42</f>
        <v>26.5</v>
      </c>
      <c r="K7" s="4" t="n">
        <f aca="false">Assumptions!K42</f>
        <v>26.5</v>
      </c>
      <c r="L7" s="4" t="n">
        <f aca="false">Assumptions!L42</f>
        <v>26.5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2927.149875</v>
      </c>
      <c r="D8" s="0" t="n">
        <f aca="false">D6*D7/100</f>
        <v>3313.8351675</v>
      </c>
      <c r="E8" s="0" t="n">
        <f aca="false">E6*E7/100</f>
        <v>3697.2541125</v>
      </c>
      <c r="F8" s="0" t="n">
        <f aca="false">F6*F7/100</f>
        <v>4051.007385984</v>
      </c>
      <c r="G8" s="0" t="n">
        <f aca="false">G6*G7/100</f>
        <v>4381.73416085535</v>
      </c>
      <c r="H8" s="0" t="n">
        <f aca="false">H6*H7/100</f>
        <v>4698.23018985867</v>
      </c>
      <c r="I8" s="0" t="n">
        <f aca="false">I6*I7/100</f>
        <v>4970.65608489801</v>
      </c>
      <c r="J8" s="0" t="n">
        <f aca="false">J6*J7/100</f>
        <v>5194.33560871842</v>
      </c>
      <c r="K8" s="0" t="n">
        <f aca="false">K6*K7/100</f>
        <v>5402.10903306715</v>
      </c>
      <c r="L8" s="0" t="n">
        <f aca="false">L6*L7/100</f>
        <v>5591.1828492245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1.2</v>
      </c>
      <c r="D9" s="4" t="n">
        <f aca="false">Assumptions!D43</f>
        <v>1.2</v>
      </c>
      <c r="E9" s="4" t="n">
        <f aca="false">Assumptions!E43</f>
        <v>1.2</v>
      </c>
      <c r="F9" s="4" t="n">
        <f aca="false">Assumptions!F43</f>
        <v>1.15</v>
      </c>
      <c r="G9" s="4" t="n">
        <f aca="false">Assumptions!G43</f>
        <v>1.15</v>
      </c>
      <c r="H9" s="4" t="n">
        <f aca="false">Assumptions!H43</f>
        <v>1.1</v>
      </c>
      <c r="I9" s="4" t="n">
        <f aca="false">Assumptions!I43</f>
        <v>1.1</v>
      </c>
      <c r="J9" s="4" t="n">
        <f aca="false">Assumptions!J43</f>
        <v>1.1</v>
      </c>
      <c r="K9" s="4" t="n">
        <f aca="false">Assumptions!K43</f>
        <v>1.1</v>
      </c>
      <c r="L9" s="4" t="n">
        <f aca="false">Assumptions!L43</f>
        <v>1.1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-150.7545</v>
      </c>
      <c r="D10" s="0" t="n">
        <f aca="false">-D6*D9/100</f>
        <v>-164.322405</v>
      </c>
      <c r="E10" s="0" t="n">
        <f aca="false">-E6*E9/100</f>
        <v>-177.4681974</v>
      </c>
      <c r="F10" s="0" t="n">
        <f aca="false">-F6*F9/100</f>
        <v>-181.97884741725</v>
      </c>
      <c r="G10" s="0" t="n">
        <f aca="false">-G6*G9/100</f>
        <v>-193.807472499371</v>
      </c>
      <c r="H10" s="0" t="n">
        <f aca="false">-H6*H9/100</f>
        <v>-196.503924290667</v>
      </c>
      <c r="I10" s="0" t="n">
        <f aca="false">-I6*I9/100</f>
        <v>-206.3291205052</v>
      </c>
      <c r="J10" s="0" t="n">
        <f aca="false">-J6*J9/100</f>
        <v>-215.613930927934</v>
      </c>
      <c r="K10" s="0" t="n">
        <f aca="false">-K6*K9/100</f>
        <v>-224.238488165052</v>
      </c>
      <c r="L10" s="0" t="n">
        <f aca="false">-L6*L9/100</f>
        <v>-232.086835250828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2776.395375</v>
      </c>
      <c r="D11" s="0" t="n">
        <f aca="false">D8+D10+D24</f>
        <v>3149.5127625</v>
      </c>
      <c r="E11" s="0" t="n">
        <f aca="false">E8+E10+E24</f>
        <v>3519.7859151</v>
      </c>
      <c r="F11" s="0" t="n">
        <f aca="false">F8+F10+F24</f>
        <v>3869.02853856675</v>
      </c>
      <c r="G11" s="0" t="n">
        <f aca="false">G8+G10+G24</f>
        <v>4187.92668835598</v>
      </c>
      <c r="H11" s="0" t="n">
        <f aca="false">H8+H10+H24</f>
        <v>4501.72626556801</v>
      </c>
      <c r="I11" s="0" t="n">
        <f aca="false">I8+I10+I24</f>
        <v>4764.32696439281</v>
      </c>
      <c r="J11" s="0" t="n">
        <f aca="false">J8+J10+J24</f>
        <v>4978.72167779048</v>
      </c>
      <c r="K11" s="0" t="n">
        <f aca="false">K8+K10+K24</f>
        <v>5177.8705449021</v>
      </c>
      <c r="L11" s="0" t="n">
        <f aca="false">L8+L10+L24</f>
        <v>5359.09601397367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-577.89225</v>
      </c>
      <c r="D12" s="4" t="n">
        <f aca="false">-D6*Assumptions!D45/100</f>
        <v>-616.20901875</v>
      </c>
      <c r="E12" s="4" t="n">
        <f aca="false">-E6*Assumptions!E45/100</f>
        <v>-635.92770735</v>
      </c>
      <c r="F12" s="4" t="n">
        <f aca="false">-F6*Assumptions!F45/100</f>
        <v>-648.7941516615</v>
      </c>
      <c r="G12" s="4" t="n">
        <f aca="false">-G6*Assumptions!G45/100</f>
        <v>-674.1129478239</v>
      </c>
      <c r="H12" s="4" t="n">
        <f aca="false">-H6*Assumptions!H45/100</f>
        <v>-696.695731576001</v>
      </c>
      <c r="I12" s="4" t="n">
        <f aca="false">-I6*Assumptions!I45/100</f>
        <v>-712.773325381601</v>
      </c>
      <c r="J12" s="4" t="n">
        <f aca="false">-J6*Assumptions!J45/100</f>
        <v>-725.246858575779</v>
      </c>
      <c r="K12" s="4" t="n">
        <f aca="false">-K6*Assumptions!K45/100</f>
        <v>-733.871415812896</v>
      </c>
      <c r="L12" s="4" t="n">
        <f aca="false">-L6*Assumptions!L45/100</f>
        <v>-738.458112161727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2198.503125</v>
      </c>
      <c r="D13" s="0" t="n">
        <f aca="false">D11+D12</f>
        <v>2533.30374375</v>
      </c>
      <c r="E13" s="0" t="n">
        <f aca="false">E11+E12</f>
        <v>2883.85820775</v>
      </c>
      <c r="F13" s="0" t="n">
        <f aca="false">F11+F12</f>
        <v>3220.23438690525</v>
      </c>
      <c r="G13" s="0" t="n">
        <f aca="false">G11+G12</f>
        <v>3513.81374053208</v>
      </c>
      <c r="H13" s="0" t="n">
        <f aca="false">H11+H12</f>
        <v>3805.030533992</v>
      </c>
      <c r="I13" s="0" t="n">
        <f aca="false">I11+I12</f>
        <v>4051.55363901121</v>
      </c>
      <c r="J13" s="0" t="n">
        <f aca="false">J11+J12</f>
        <v>4253.4748192147</v>
      </c>
      <c r="K13" s="0" t="n">
        <f aca="false">K11+K12</f>
        <v>4443.99912908921</v>
      </c>
      <c r="L13" s="0" t="n">
        <f aca="false">L11+L12</f>
        <v>4620.63790181195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1714.8324375</v>
      </c>
      <c r="D15" s="0" t="n">
        <f aca="false">D13-MAX(0,D13)*D14/100</f>
        <v>1975.976920125</v>
      </c>
      <c r="E15" s="0" t="n">
        <f aca="false">E13-MAX(0,E13)*E14/100</f>
        <v>2249.409402045</v>
      </c>
      <c r="F15" s="0" t="n">
        <f aca="false">F13-MAX(0,F13)*F14/100</f>
        <v>2511.7828217861</v>
      </c>
      <c r="G15" s="0" t="n">
        <f aca="false">G13-MAX(0,G13)*G14/100</f>
        <v>2740.77471761502</v>
      </c>
      <c r="H15" s="0" t="n">
        <f aca="false">H13-MAX(0,H13)*H14/100</f>
        <v>2967.92381651376</v>
      </c>
      <c r="I15" s="0" t="n">
        <f aca="false">I13-MAX(0,I13)*I14/100</f>
        <v>3160.21183842874</v>
      </c>
      <c r="J15" s="0" t="n">
        <f aca="false">J13-MAX(0,J13)*J14/100</f>
        <v>3317.71035898747</v>
      </c>
      <c r="K15" s="0" t="n">
        <f aca="false">K13-MAX(0,K13)*K14/100</f>
        <v>3466.31932068958</v>
      </c>
      <c r="L15" s="0" t="n">
        <f aca="false">L13-MAX(0,L13)*L14/100</f>
        <v>3604.09756341332</v>
      </c>
    </row>
    <row r="16" customFormat="false" ht="15" hidden="false" customHeight="false" outlineLevel="0" collapsed="false">
      <c r="A16" s="0" t="s">
        <v>127</v>
      </c>
      <c r="C16" s="0" t="n">
        <f aca="false">-C12</f>
        <v>577.89225</v>
      </c>
      <c r="D16" s="0" t="n">
        <f aca="false">-D12</f>
        <v>616.20901875</v>
      </c>
      <c r="E16" s="0" t="n">
        <f aca="false">-E12</f>
        <v>635.92770735</v>
      </c>
      <c r="F16" s="0" t="n">
        <f aca="false">-F12</f>
        <v>648.7941516615</v>
      </c>
      <c r="G16" s="0" t="n">
        <f aca="false">-G12</f>
        <v>674.1129478239</v>
      </c>
      <c r="H16" s="0" t="n">
        <f aca="false">-H12</f>
        <v>696.695731576001</v>
      </c>
      <c r="I16" s="0" t="n">
        <f aca="false">-I12</f>
        <v>712.773325381601</v>
      </c>
      <c r="J16" s="0" t="n">
        <f aca="false">-J12</f>
        <v>725.246858575779</v>
      </c>
      <c r="K16" s="0" t="n">
        <f aca="false">-K12</f>
        <v>733.871415812896</v>
      </c>
      <c r="L16" s="0" t="n">
        <f aca="false">-L12</f>
        <v>738.458112161727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-288.946125</v>
      </c>
      <c r="D17" s="4" t="n">
        <f aca="false">-D6*Assumptions!D46/100</f>
        <v>-328.64481</v>
      </c>
      <c r="E17" s="4" t="n">
        <f aca="false">-E6*Assumptions!E46/100</f>
        <v>-354.9363948</v>
      </c>
      <c r="F17" s="4" t="n">
        <f aca="false">-F6*Assumptions!F46/100</f>
        <v>-395.6061900375</v>
      </c>
      <c r="G17" s="4" t="n">
        <f aca="false">-G6*Assumptions!G46/100</f>
        <v>-421.320592389938</v>
      </c>
      <c r="H17" s="4" t="n">
        <f aca="false">-H6*Assumptions!H46/100</f>
        <v>-446.599827933334</v>
      </c>
      <c r="I17" s="4" t="n">
        <f aca="false">-I6*Assumptions!I46/100</f>
        <v>-468.929819330001</v>
      </c>
      <c r="J17" s="4" t="n">
        <f aca="false">-J6*Assumptions!J46/100</f>
        <v>-490.031661199851</v>
      </c>
      <c r="K17" s="4" t="n">
        <f aca="false">-K6*Assumptions!K46/100</f>
        <v>-509.632927647845</v>
      </c>
      <c r="L17" s="4" t="n">
        <f aca="false">-L6*Assumptions!L46/100</f>
        <v>-527.470080115519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-167.505</v>
      </c>
      <c r="D18" s="4" t="n">
        <f aca="false">(D6-C6)*Assumptions!$B$51/100</f>
        <v>-135.67905</v>
      </c>
      <c r="E18" s="4" t="n">
        <f aca="false">(E6-D6)*Assumptions!$B$51/100</f>
        <v>-131.457924</v>
      </c>
      <c r="F18" s="4" t="n">
        <f aca="false">(F6-E6)*Assumptions!$B$51/100</f>
        <v>-124.22773818</v>
      </c>
      <c r="G18" s="4" t="n">
        <f aca="false">(G6-F6)*Assumptions!$B$51/100</f>
        <v>-123.4291312917</v>
      </c>
      <c r="H18" s="4" t="n">
        <f aca="false">(H6-G6)*Assumptions!$B$51/100</f>
        <v>-121.340330608302</v>
      </c>
      <c r="I18" s="4" t="n">
        <f aca="false">(I6-H6)*Assumptions!$B$51/100</f>
        <v>-107.183958704</v>
      </c>
      <c r="J18" s="4" t="n">
        <f aca="false">(J6-I6)*Assumptions!$B$51/100</f>
        <v>-101.28884097528</v>
      </c>
      <c r="K18" s="4" t="n">
        <f aca="false">(K6-J6)*Assumptions!$B$51/100</f>
        <v>-94.0860789503713</v>
      </c>
      <c r="L18" s="4" t="n">
        <f aca="false">(L6-K6)*Assumptions!$B$51/100</f>
        <v>-85.6183318448377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1836.2735625</v>
      </c>
      <c r="D19" s="0" t="n">
        <f aca="false">D15+D16+D17+D18</f>
        <v>2127.862078875</v>
      </c>
      <c r="E19" s="0" t="n">
        <f aca="false">E15+E16+E17+E18</f>
        <v>2398.942790595</v>
      </c>
      <c r="F19" s="0" t="n">
        <f aca="false">F15+F16+F17+F18</f>
        <v>2640.7430452301</v>
      </c>
      <c r="G19" s="0" t="n">
        <f aca="false">G15+G16+G17+G18</f>
        <v>2870.13794175728</v>
      </c>
      <c r="H19" s="0" t="n">
        <f aca="false">H15+H16+H17+H18</f>
        <v>3096.67938954813</v>
      </c>
      <c r="I19" s="0" t="n">
        <f aca="false">I15+I16+I17+I18</f>
        <v>3296.87138577634</v>
      </c>
      <c r="J19" s="0" t="n">
        <f aca="false">J15+J16+J17+J18</f>
        <v>3451.63671538812</v>
      </c>
      <c r="K19" s="0" t="n">
        <f aca="false">K15+K16+K17+K18</f>
        <v>3596.47172990426</v>
      </c>
      <c r="L19" s="0" t="n">
        <f aca="false">L15+L16+L17+L18</f>
        <v>3729.46726361469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1684.65464449541</v>
      </c>
      <c r="D21" s="0" t="n">
        <f aca="false">D19*D20</f>
        <v>1790.97894021968</v>
      </c>
      <c r="E21" s="0" t="n">
        <f aca="false">E19*E20</f>
        <v>1852.42399250905</v>
      </c>
      <c r="F21" s="0" t="n">
        <f aca="false">F19*F20</f>
        <v>1870.76894918608</v>
      </c>
      <c r="G21" s="0" t="n">
        <f aca="false">G19*G20</f>
        <v>1865.39273135379</v>
      </c>
      <c r="H21" s="0" t="n">
        <f aca="false">H19*H20</f>
        <v>1846.44874180782</v>
      </c>
      <c r="I21" s="0" t="n">
        <f aca="false">I19*I20</f>
        <v>1803.5015488637</v>
      </c>
      <c r="J21" s="0" t="n">
        <f aca="false">J19*J20</f>
        <v>1732.26007713377</v>
      </c>
      <c r="K21" s="0" t="n">
        <f aca="false">K19*K20</f>
        <v>1655.91549269297</v>
      </c>
      <c r="L21" s="0" t="n">
        <f aca="false">L19*L20</f>
        <v>1575.36727611454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17677.7123943768</v>
      </c>
    </row>
    <row r="31" customFormat="false" ht="15" hidden="false" customHeight="false" outlineLevel="0" collapsed="false">
      <c r="A31" s="0" t="s">
        <v>136</v>
      </c>
      <c r="B31" s="0" t="n">
        <f aca="false">L19</f>
        <v>3729.46726361469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64022.5213587188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59671.476217835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59671.476217835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25205.8764178326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42883.5888122094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36526.5888122094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215.369037807838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-0.250994512736181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1208.06067658319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1682.95111614357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232.415097906463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32011.2606793594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88.0090645751712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100.461976905934</v>
      </c>
      <c r="C4" s="0" t="n">
        <f aca="false">B4/Assumptions!$B$2-1</f>
        <v>-0.650615646845884</v>
      </c>
      <c r="D4" s="4" t="n">
        <f aca="false">Assumptions!$B$24</f>
        <v>0.2</v>
      </c>
      <c r="E4" s="4" t="n">
        <f aca="false">DCF_Bear!$B$43</f>
        <v>112.801971927004</v>
      </c>
      <c r="F4" s="4" t="n">
        <f aca="false">DCF_Bear!$B$47</f>
        <v>40.7218500941866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166.680864278979</v>
      </c>
      <c r="C5" s="0" t="n">
        <f aca="false">B5/Assumptions!$B$2-1</f>
        <v>-0.420321123047303</v>
      </c>
      <c r="D5" s="4" t="n">
        <f aca="false">Assumptions!$B$38</f>
        <v>0.5</v>
      </c>
      <c r="E5" s="4" t="n">
        <f aca="false">DCF_Base!$B$43</f>
        <v>181.385390282351</v>
      </c>
      <c r="F5" s="4" t="n">
        <f aca="false">DCF_Base!$B$47</f>
        <v>68.37066548109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215.369037807838</v>
      </c>
      <c r="C6" s="0" t="n">
        <f aca="false">B6/Assumptions!$B$2-1</f>
        <v>-0.250994512736181</v>
      </c>
      <c r="D6" s="4" t="n">
        <f aca="false">Assumptions!$B$52</f>
        <v>0.3</v>
      </c>
      <c r="E6" s="4" t="n">
        <f aca="false">DCF_Bull!$B$43</f>
        <v>232.415097906463</v>
      </c>
      <c r="F6" s="4" t="n">
        <f aca="false">DCF_Bull!$B$47</f>
        <v>88.0090645751712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168.043538863028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182.977618898515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-0.711104169463926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800.159506665396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68.7324221319337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166.680864278979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143.440995481962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121.287785974226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103.833439765853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68.37066548109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199.086066449803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199.086066449803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199.086066449803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199.086066449803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199.086066449803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182.128476625268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182.128476625268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182.128476625268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182.128476625268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182.128476625268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155.652157829012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163.458190316326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166.680864278979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166.680864278979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166.680864278979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131.598484956079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137.149661765087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143.440995481962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150.631091158392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152.592026342872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112.669740232337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116.739372943785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121.287785974226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126.404750633472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132.203977247285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2026-10-02T21:40:43Z</dcterms:created>
  <dc:creator>openpyxl</dc:creator>
  <dc:description/>
  <dc:language>en-NZ</dc:language>
  <cp:lastModifiedBy/>
  <dcterms:modified xsi:type="dcterms:W3CDTF">2026-10-02T21:40:43Z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