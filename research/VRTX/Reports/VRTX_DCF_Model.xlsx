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<sst xmlns="http://schemas.openxmlformats.org/spreadsheetml/2006/main" count="387" uniqueCount="174">
  <si>
    <t xml:space="preserve">Ticker</t>
  </si>
  <si>
    <t xml:space="preserve">VRTX</t>
  </si>
  <si>
    <t xml:space="preserve">Company</t>
  </si>
  <si>
    <t xml:space="preserve">Vertex Pharmaceuticals Incorporated</t>
  </si>
  <si>
    <t xml:space="preserve">Valuation date</t>
  </si>
  <si>
    <t xml:space="preserve">2026-10-03</t>
  </si>
  <si>
    <t xml:space="preserve">Current price</t>
  </si>
  <si>
    <t xml:space="preserve">Price as of</t>
  </si>
  <si>
    <t xml:space="preserve">2026-10-02T20:00:00Z regular close (Yahoo chart API)</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</si>
  <si>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</si>
  <si>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</si>
  <si>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</si>
  <si>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</si>
  <si>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</si>
  <si>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</si>
  <si>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</si>
  <si>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</si>
  <si>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</si>
  <si>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</si>
  <si>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</si>
  <si>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</si>
  <si>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2026-10-02T21:39:18Z</t>
  </si>
  <si>
    <t xml:space="preserve">Drivers file</t>
  </si>
  <si>
    <t xml:space="preserve">VRTX_Drivers.json</t>
  </si>
  <si>
    <t xml:space="preserve">Convention</t>
  </si>
  <si>
    <t xml:space="preserve">Percents stored as percents; formulas divide by 100. Blue = input, green = link, black = formula.</t>
  </si>
  <si>
    <t xml:space="preserve">Methodology</t>
  </si>
  <si>
    <t xml:space="preserve">summary: House basis expenses SBC and the cash tax on net-share settlement (~9% of revenue at Vertex) and strips the ~$0.5B of interest income earned on the cash pile, which the bridge adds back separately. On that basis Vertex is a high-quality but terminal-constrained annuity: most of the value sits in the CF franchise, whose exclusivity ends 1-4 years after the explicit horizon. The street basis treats SBC as non-cash and shows how much of today's price depends on that convention.
key_risks_to_valuation: Terminal multiple: CF exclusivity (Trikafta ~2037) falls just beyond FY2035. Each turn of cap multiple is worth ~$11/share in the base case (PV of terminal 45.2B at 16x). The price sits above even the street-basis weighted value (band position &gt;100%), so the market is paying for CF durability past 2037 and pipeline success beyond the bull case at an 8% discount rate.; SBC treatment: SBC plus equity-award withholding is ~$1.1B/yr. The house/street band is wide.; Crinetics bridge is an estimate (~$10B less ~$1.15B acquired cash); replace with the Q3-2026 10-Q purchase-price allocation.; Pipeline binaries (povetacicept PDUFA 30-Nov-2026, zimislecel filing) move the bull/base boundary.; CF pricing/generic-access pressure and US drug-pricing policy (MFN, IRA).</t>
  </si>
  <si>
    <t xml:space="preserve">Data sources</t>
  </si>
  <si>
    <t xml:space="preserve">price: Yahoo Finance chart API at inputs.price_as_of; 52-week range 400.74-560.25
financials: SEC XBRL companyfacts (CIK 875320) via VRTX_Metrics.csv; Q2-2026 10-Q for cash, marketable securities, diluted shares; FY2025 10-K for SBC, withholding taxes, interest income, finance lease, cash taxes. Crinetics (CIK 1658247) Q2-2026 10-Q for acquired cash; Vertex 8-K 2026-07-07 for deal terms and financing.
qualitative: VRTX_Analysis.json (2026-10-03): FY2026 guidance raised at Q2 (revenue $13.1-13.2B, GM just under 86%, non-GAAP opex $5.65-5.75B, ETR 19.5-20.5%).</t>
  </si>
  <si>
    <t xml:space="preserve">Scenario narrative: bear</t>
  </si>
  <si>
    <t xml:space="preserve">CF concentration bites. Compulsory-licensing and generic-access campaigns (South Africa, Brazil, India, Ukraine; Beximco's discounted generic) plus US MFN/IRA pricing erode CF net price. AbbVie's TMEM16A or Sionna's mechanisms take share in the 2030s. Casgevy stays bottlenecked, Journavx is boxed in by cheap generics, and povetacicept or zimislecel stumble. The ~$10B Crinetics bet underdelivers on acromegaly/CAH. Growth slows to low single digits by FY2030 and turns negative as the Trikafta LOE approaches. Pre-SBC margins hold near 40% and then compress, and the post-LOE terminal is worth 10x with zero growth.</t>
  </si>
  <si>
    <t xml:space="preserve">Scenario narrative: base</t>
  </si>
  <si>
    <t xml:space="preserve">Trikafta-to-Alyftrek conversion and patient-population growth keep CF compounding mid-single digits through the early 2030s, while the non-CF pillars - Casgevy (center capacity eases slowly), Journavx (payer coverage now ~260M lives), povetacicept in IgAN (approved on the Nov-2026 PDUFA) and Crinetics' Palsonify/atumelnant - add roughly $5-6B of revenue by FY2032. Revenue grows ~10% near term, fading to 2.5% by FY2035. Margins dip in FY2027 on a full year of Crinetics losses, then recover to 46% pre-SBC as Crinetics turns accretive in 2029. Terminal value is capped at 16x because CF exclusivity (Trikafta ~2037, Alyftrek later) falls just beyond the explicit horizon.</t>
  </si>
  <si>
    <t xml:space="preserve">Scenario narrative: bull</t>
  </si>
  <si>
    <t xml:space="preserve">Vertex becomes a genuinely diversified rare-disease company: povetacicept extends from IgAN into other B-cell renal diseases, zimislecel is filed and approved as a functional cure for type 1 diabetes, Journavx wins broad acute-pain formulary access and a painful-diabetic-neuropathy label, and Crinetics reaches its &gt;$5B combined peak. Revenue grows 10-12% through FY2031. Operating leverage lifts pre-SBC margins to 50%, and Alyftrek's later patents plus the new pillars justify a 20x exit with 3% terminal growth.</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</si>
  <si>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</si>
  <si>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</si>
  <si>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</si>
  <si>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</si>
  <si>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</si>
  <si>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</si>
  <si>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</si>
  <si>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</si>
  <si>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</si>
  <si>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</si>
  <si>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</si>
  <si>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</si>
  <si>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</si>
  <si>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</si>
  <si>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</si>
  <si>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</si>
  <si>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</si>
  <si>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</si>
  <si>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</si>
  <si>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</si>
  <si>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</si>
  <si>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</si>
  <si>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</si>
  <si>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</si>
  <si>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</si>
  <si>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</si>
  <si>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</si>
  <si>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</si>
  <si>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</si>
  <si>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</si>
  <si>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</si>
  <si>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</si>
  <si>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</si>
  <si>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</si>
  <si>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</si>
  <si>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</si>
  <si>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</si>
  <si>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</si>
  <si>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</si>
  <si>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</si>
  <si>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</si>
  <si>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</si>
  <si>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</si>
  <si>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</si>
  <si>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</si>
  <si>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</si>
  <si>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</si>
  <si>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</si>
  <si>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</si>
  <si>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</si>
  <si>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</si>
  <si>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</si>
  <si>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</si>
  <si>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</si>
  <si>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</si>
  <si>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</si>
  <si>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</si>
  <si>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</si>
  <si>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</si>
  <si>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</si>
  <si>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</si>
  <si>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</si>
  <si>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</si>
  <si>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</si>
  <si>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</si>
  <si>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</si>
  <si>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</si>
  <si>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</si>
  <si>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</si>
  <si>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</si>
  <si>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</si>
  <si>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</si>
  <si>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</si>
  <si>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</si>
  <si>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</si>
  <si>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</si>
  <si>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</si>
  <si>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</si>
  <si>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</si>
  <si>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</si>
  <si>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</si>
  <si>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</si>
  <si>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</si>
  <si>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VRTX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</si>
  <si>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</si>
  <si>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</si>
  <si>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</si>
  <si>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</si>
  <si>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</si>
  <si>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</si>
  <si>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</si>
  <si>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</si>
  <si>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</si>
  <si>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</si>
  <si>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</si>
  <si>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</si>
  <si>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</si>
  <si>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</si>
  <si>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</si>
  <si>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</si>
  <si>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</si>
  <si>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</si>
  <si>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</si>
  <si>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</si>
  <si>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</si>
  <si>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</si>
  <si>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</si>
  <si>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</si>
  <si>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</si>
  <si>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</si>
  <si>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</si>
  <si>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</si>
  <si>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</si>
  <si>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</si>
  <si>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VRTX owner-FCF component DCF: base case (millions, USD)</t>
  </si>
  <si>
    <t xml:space="preserve">VRTX owner-FCF component DCF: bull case (millions, USD)</t>
  </si>
  <si>
    <t xml:space="preserve">VRTX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</si>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</sst>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504.73</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271.295</v>
      </c>
      <c r="S2" s="0" t="n">
        <v>355.663</v>
      </c>
      <c r="AA2" s="0" t="s">
        <v>17</v>
      </c>
      <c r="AB2" s="0" t="s">
        <v>14</v>
      </c>
    </row>
    <row r="3" customFormat="false" ht="15" hidden="false" customHeight="false" outlineLevel="0" collapsed="false">
      <c r="A3" s="0" t="s">
        <v>64</v>
      </c>
      <c r="B3" s="0" t="n">
        <v>175.504</v>
      </c>
      <c r="F3" s="0" t="n">
        <v>-462.708</v>
      </c>
      <c r="G3" s="0" t="n">
        <v>-263.64527304221</v>
      </c>
      <c r="H3" s="0" t="n">
        <v>-430.512</v>
      </c>
      <c r="I3" s="0" t="n">
        <v>-459.851</v>
      </c>
      <c r="J3" s="0" t="n">
        <v>-262.017389917039</v>
      </c>
      <c r="K3" s="0" t="n">
        <v>-3.27</v>
      </c>
      <c r="L3" s="0" t="n">
        <v>-226.482</v>
      </c>
      <c r="M3" s="0" t="n">
        <v>32.18</v>
      </c>
      <c r="N3" s="0" t="n">
        <v>-258.662</v>
      </c>
      <c r="O3" s="0" t="n">
        <v>238.874</v>
      </c>
      <c r="S3" s="0" t="n">
        <v>389.115</v>
      </c>
      <c r="T3" s="0" t="n">
        <v>140.556</v>
      </c>
      <c r="U3" s="0" t="n">
        <v>57.987</v>
      </c>
      <c r="AA3" s="0" t="s">
        <v>17</v>
      </c>
      <c r="AB3" s="0" t="s">
        <v>14</v>
      </c>
    </row>
    <row r="4" customFormat="false" ht="15" hidden="false" customHeight="false" outlineLevel="0" collapsed="false">
      <c r="A4" s="0" t="s">
        <v>65</v>
      </c>
      <c r="B4" s="0" t="n">
        <v>101.889</v>
      </c>
      <c r="F4" s="0" t="n">
        <v>-614.012</v>
      </c>
      <c r="G4" s="0" t="n">
        <v>-602.628350459814</v>
      </c>
      <c r="H4" s="0" t="n">
        <v>-583.905</v>
      </c>
      <c r="I4" s="0" t="n">
        <v>-642.178</v>
      </c>
      <c r="J4" s="0" t="n">
        <v>-630.272158918038</v>
      </c>
      <c r="K4" s="0" t="n">
        <v>-3.71</v>
      </c>
      <c r="L4" s="0" t="n">
        <v>-427.586</v>
      </c>
      <c r="M4" s="0" t="n">
        <v>23.496</v>
      </c>
      <c r="N4" s="0" t="n">
        <v>-451.082</v>
      </c>
      <c r="O4" s="0" t="n">
        <v>1096.346</v>
      </c>
      <c r="P4" s="0" t="n">
        <v>1955.488</v>
      </c>
      <c r="Q4" s="0" t="n">
        <v>859.142</v>
      </c>
      <c r="S4" s="0" t="n">
        <v>446.658</v>
      </c>
      <c r="T4" s="0" t="n">
        <v>199.955023</v>
      </c>
      <c r="U4" s="0" t="n">
        <v>86.722</v>
      </c>
      <c r="AA4" s="0" t="s">
        <v>17</v>
      </c>
      <c r="AB4" s="0" t="s">
        <v>14</v>
      </c>
    </row>
    <row r="5" customFormat="false" ht="15" hidden="false" customHeight="false" outlineLevel="0" collapsed="false">
      <c r="A5" s="0" t="s">
        <v>66</v>
      </c>
      <c r="B5" s="0" t="n">
        <v>143.37</v>
      </c>
      <c r="F5" s="0" t="n">
        <v>-696.077</v>
      </c>
      <c r="G5" s="0" t="n">
        <v>-485.510915812234</v>
      </c>
      <c r="H5" s="0" t="n">
        <v>-665.618</v>
      </c>
      <c r="I5" s="0" t="n">
        <v>-754.626</v>
      </c>
      <c r="J5" s="0" t="n">
        <v>-526.348608495501</v>
      </c>
      <c r="K5" s="0" t="n">
        <v>-3.77</v>
      </c>
      <c r="L5" s="0" t="n">
        <v>-635.442</v>
      </c>
      <c r="M5" s="0" t="n">
        <v>38.054</v>
      </c>
      <c r="N5" s="0" t="n">
        <v>-673.496</v>
      </c>
      <c r="O5" s="0" t="n">
        <v>503.973</v>
      </c>
      <c r="P5" s="0" t="n">
        <v>1725.446</v>
      </c>
      <c r="Q5" s="0" t="n">
        <v>1221.473</v>
      </c>
      <c r="S5" s="0" t="n">
        <v>243.197</v>
      </c>
      <c r="T5" s="0" t="n">
        <v>203.522976</v>
      </c>
      <c r="U5" s="0" t="n">
        <v>91.124</v>
      </c>
      <c r="AA5" s="0" t="s">
        <v>17</v>
      </c>
      <c r="AB5" s="0" t="s">
        <v>14</v>
      </c>
    </row>
    <row r="6" customFormat="false" ht="15" hidden="false" customHeight="false" outlineLevel="0" collapsed="false">
      <c r="A6" s="0" t="s">
        <v>67</v>
      </c>
      <c r="B6" s="0" t="n">
        <v>1410.626</v>
      </c>
      <c r="F6" s="0" t="n">
        <v>113.82</v>
      </c>
      <c r="G6" s="0" t="n">
        <v>8.06875812582499</v>
      </c>
      <c r="H6" s="0" t="n">
        <v>148.861</v>
      </c>
      <c r="I6" s="0" t="n">
        <v>41.179</v>
      </c>
      <c r="J6" s="0" t="n">
        <v>2.9192004117321</v>
      </c>
      <c r="K6" s="0" t="n">
        <v>0.14</v>
      </c>
      <c r="L6" s="0" t="n">
        <v>143.735</v>
      </c>
      <c r="M6" s="0" t="n">
        <v>34.595</v>
      </c>
      <c r="N6" s="0" t="n">
        <v>109.14</v>
      </c>
      <c r="O6" s="0" t="n">
        <v>928.476</v>
      </c>
      <c r="P6" s="0" t="n">
        <v>2204.28</v>
      </c>
      <c r="Q6" s="0" t="n">
        <v>1238.768</v>
      </c>
      <c r="S6" s="0" t="n">
        <v>475.32</v>
      </c>
      <c r="T6" s="0" t="n">
        <v>209.303995</v>
      </c>
      <c r="U6" s="0" t="n">
        <v>118.226</v>
      </c>
      <c r="AA6" s="0" t="s">
        <v>17</v>
      </c>
      <c r="AB6" s="0" t="s">
        <v>14</v>
      </c>
    </row>
    <row r="7" customFormat="false" ht="15" hidden="false" customHeight="false" outlineLevel="0" collapsed="false">
      <c r="A7" s="0" t="s">
        <v>68</v>
      </c>
      <c r="B7" s="0" t="n">
        <v>1527.042</v>
      </c>
      <c r="F7" s="0" t="n">
        <v>46.727</v>
      </c>
      <c r="G7" s="0" t="n">
        <v>3.05996822615226</v>
      </c>
      <c r="H7" s="0" t="n">
        <v>84.918</v>
      </c>
      <c r="I7" s="0" t="n">
        <v>-107.032</v>
      </c>
      <c r="J7" s="0" t="n">
        <v>-7.0091064947788</v>
      </c>
      <c r="K7" s="0" t="n">
        <v>-0.5</v>
      </c>
      <c r="L7" s="0" t="n">
        <v>267.841</v>
      </c>
      <c r="M7" s="0" t="n">
        <v>71.14</v>
      </c>
      <c r="N7" s="0" t="n">
        <v>196.701</v>
      </c>
      <c r="O7" s="0" t="n">
        <v>1195.852</v>
      </c>
      <c r="P7" s="0" t="n">
        <v>2759.288</v>
      </c>
      <c r="Q7" s="0" t="n">
        <v>1524.906</v>
      </c>
      <c r="S7" s="0" t="n">
        <v>489.407</v>
      </c>
      <c r="T7" s="0" t="n">
        <v>217.286868</v>
      </c>
      <c r="U7" s="0" t="n">
        <v>114.285</v>
      </c>
      <c r="AA7" s="0" t="s">
        <v>17</v>
      </c>
      <c r="AB7" s="0" t="s">
        <v>14</v>
      </c>
    </row>
    <row r="8" customFormat="false" ht="15" hidden="false" customHeight="false" outlineLevel="0" collapsed="false">
      <c r="A8" s="0" t="s">
        <v>69</v>
      </c>
      <c r="B8" s="0" t="n">
        <v>1211.975</v>
      </c>
      <c r="F8" s="0" t="n">
        <v>-610.008</v>
      </c>
      <c r="G8" s="0" t="n">
        <v>-50.3317312650839</v>
      </c>
      <c r="H8" s="0" t="n">
        <v>-561.643</v>
      </c>
      <c r="I8" s="0" t="n">
        <v>-687.55</v>
      </c>
      <c r="J8" s="0" t="n">
        <v>-56.7297180222364</v>
      </c>
      <c r="K8" s="0" t="n">
        <v>-1.98</v>
      </c>
      <c r="L8" s="0" t="n">
        <v>-60.666</v>
      </c>
      <c r="M8" s="0" t="n">
        <v>51.393</v>
      </c>
      <c r="N8" s="0" t="n">
        <v>-112.059</v>
      </c>
      <c r="O8" s="0" t="n">
        <v>1356.405</v>
      </c>
      <c r="P8" s="0" t="n">
        <v>2319.041</v>
      </c>
      <c r="Q8" s="0" t="n">
        <v>962.636</v>
      </c>
      <c r="S8" s="0" t="n">
        <v>569.299</v>
      </c>
      <c r="T8" s="0" t="n">
        <v>233.788852</v>
      </c>
      <c r="U8" s="0" t="n">
        <v>127.303</v>
      </c>
      <c r="AA8" s="0" t="s">
        <v>17</v>
      </c>
      <c r="AB8" s="0" t="s">
        <v>14</v>
      </c>
    </row>
    <row r="9" customFormat="false" ht="15" hidden="false" customHeight="false" outlineLevel="0" collapsed="false">
      <c r="A9" s="0" t="s">
        <v>70</v>
      </c>
      <c r="B9" s="0" t="n">
        <v>580.415</v>
      </c>
      <c r="F9" s="0" t="n">
        <v>-692.412</v>
      </c>
      <c r="G9" s="0" t="n">
        <v>-119.296020950527</v>
      </c>
      <c r="H9" s="0" t="n">
        <v>-629.155</v>
      </c>
      <c r="I9" s="0" t="n">
        <v>-742.745</v>
      </c>
      <c r="J9" s="0" t="n">
        <v>-127.967919505871</v>
      </c>
      <c r="K9" s="0" t="n">
        <v>-3.14</v>
      </c>
      <c r="L9" s="0" t="n">
        <v>-573.112</v>
      </c>
      <c r="M9" s="0" t="n">
        <v>51.201</v>
      </c>
      <c r="N9" s="0" t="n">
        <v>-624.313</v>
      </c>
      <c r="O9" s="0" t="n">
        <v>1096.183</v>
      </c>
      <c r="P9" s="0" t="n">
        <v>2334.679</v>
      </c>
      <c r="Q9" s="0" t="n">
        <v>1238.496</v>
      </c>
      <c r="S9" s="0" t="n">
        <v>625.259</v>
      </c>
      <c r="T9" s="0" t="n">
        <v>241.764398</v>
      </c>
      <c r="U9" s="0" t="n">
        <v>177.542</v>
      </c>
      <c r="AA9" s="0" t="s">
        <v>17</v>
      </c>
      <c r="AB9" s="0" t="s">
        <v>14</v>
      </c>
    </row>
    <row r="10" customFormat="false" ht="15" hidden="false" customHeight="false" outlineLevel="0" collapsed="false">
      <c r="A10" s="0" t="s">
        <v>71</v>
      </c>
      <c r="B10" s="0" t="n">
        <v>1032.336</v>
      </c>
      <c r="F10" s="0" t="n">
        <v>-466.879</v>
      </c>
      <c r="G10" s="0" t="n">
        <v>-45.2254886006107</v>
      </c>
      <c r="H10" s="0" t="n">
        <v>-404.536</v>
      </c>
      <c r="I10" s="0" t="n">
        <v>-588.181</v>
      </c>
      <c r="J10" s="0" t="n">
        <v>-56.9757327071806</v>
      </c>
      <c r="K10" s="0" t="n">
        <v>-2.31</v>
      </c>
      <c r="L10" s="0" t="n">
        <v>-365.432</v>
      </c>
      <c r="M10" s="0" t="n">
        <v>45.302</v>
      </c>
      <c r="N10" s="0" t="n">
        <v>-410.734</v>
      </c>
      <c r="O10" s="0" t="n">
        <v>1093.628</v>
      </c>
      <c r="P10" s="0" t="n">
        <v>2498.587</v>
      </c>
      <c r="Q10" s="0" t="n">
        <v>1404.959</v>
      </c>
      <c r="S10" s="0" t="n">
        <v>714.768</v>
      </c>
      <c r="T10" s="0" t="n">
        <v>246.306818</v>
      </c>
      <c r="U10" s="0" t="n">
        <v>231.025</v>
      </c>
      <c r="AA10" s="0" t="s">
        <v>17</v>
      </c>
      <c r="AB10" s="0" t="s">
        <v>14</v>
      </c>
    </row>
    <row r="11" customFormat="false" ht="15" hidden="false" customHeight="false" outlineLevel="0" collapsed="false">
      <c r="A11" s="0" t="s">
        <v>72</v>
      </c>
      <c r="B11" s="0" t="n">
        <v>1702.177</v>
      </c>
      <c r="C11" s="0" t="n">
        <v>210.46</v>
      </c>
      <c r="F11" s="0" t="n">
        <v>9.936</v>
      </c>
      <c r="G11" s="0" t="n">
        <v>0.583723079327238</v>
      </c>
      <c r="H11" s="0" t="n">
        <v>71.334</v>
      </c>
      <c r="I11" s="0" t="n">
        <v>-112.052</v>
      </c>
      <c r="J11" s="0" t="n">
        <v>-6.58286417922461</v>
      </c>
      <c r="K11" s="0" t="n">
        <v>-0.46</v>
      </c>
      <c r="L11" s="0" t="n">
        <v>236.103</v>
      </c>
      <c r="M11" s="0" t="n">
        <v>56.563</v>
      </c>
      <c r="N11" s="0" t="n">
        <v>179.54</v>
      </c>
      <c r="O11" s="0" t="n">
        <v>1338.191</v>
      </c>
      <c r="P11" s="0" t="n">
        <v>2896.787</v>
      </c>
      <c r="Q11" s="0" t="n">
        <v>1558.596</v>
      </c>
      <c r="S11" s="0" t="n">
        <v>1183.945</v>
      </c>
      <c r="T11" s="0" t="n">
        <v>248.300517</v>
      </c>
      <c r="U11" s="0" t="n">
        <v>240.623</v>
      </c>
      <c r="AA11" s="0" t="s">
        <v>17</v>
      </c>
      <c r="AB11" s="0" t="s">
        <v>14</v>
      </c>
    </row>
    <row r="12" customFormat="false" ht="15" hidden="false" customHeight="false" outlineLevel="0" collapsed="false">
      <c r="A12" s="0" t="s">
        <v>73</v>
      </c>
      <c r="B12" s="0" t="n">
        <v>2488.652</v>
      </c>
      <c r="C12" s="0" t="n">
        <v>275.119</v>
      </c>
      <c r="F12" s="0" t="n">
        <v>123.243</v>
      </c>
      <c r="G12" s="0" t="n">
        <v>4.95219902179975</v>
      </c>
      <c r="H12" s="0" t="n">
        <v>184.64</v>
      </c>
      <c r="I12" s="0" t="n">
        <v>263.484</v>
      </c>
      <c r="J12" s="0" t="n">
        <v>10.5874184096451</v>
      </c>
      <c r="K12" s="0" t="n">
        <v>1.06</v>
      </c>
      <c r="L12" s="0" t="n">
        <v>844.942</v>
      </c>
      <c r="M12" s="0" t="n">
        <v>99.421</v>
      </c>
      <c r="N12" s="0" t="n">
        <v>745.521</v>
      </c>
      <c r="O12" s="0" t="n">
        <v>2042.306</v>
      </c>
      <c r="P12" s="0" t="n">
        <v>3546.014</v>
      </c>
      <c r="Q12" s="0" t="n">
        <v>1503.708</v>
      </c>
      <c r="S12" s="0" t="n">
        <v>1665.412</v>
      </c>
      <c r="T12" s="0" t="n">
        <v>253.253362</v>
      </c>
      <c r="U12" s="0" t="n">
        <v>293.236</v>
      </c>
      <c r="AA12" s="0" t="s">
        <v>17</v>
      </c>
      <c r="AB12" s="0" t="s">
        <v>14</v>
      </c>
    </row>
    <row r="13" customFormat="false" ht="15" hidden="false" customHeight="false" outlineLevel="0" collapsed="false">
      <c r="A13" s="0" t="s">
        <v>74</v>
      </c>
      <c r="B13" s="0" t="n">
        <v>3047.597</v>
      </c>
      <c r="C13" s="0" t="n">
        <v>409.539</v>
      </c>
      <c r="F13" s="0" t="n">
        <v>635.15</v>
      </c>
      <c r="G13" s="0" t="n">
        <v>20.8410101466828</v>
      </c>
      <c r="H13" s="0" t="n">
        <v>707.57</v>
      </c>
      <c r="I13" s="0" t="n">
        <v>2096.896</v>
      </c>
      <c r="J13" s="0" t="n">
        <v>68.8048977604322</v>
      </c>
      <c r="K13" s="0" t="n">
        <v>8.24</v>
      </c>
      <c r="L13" s="0" t="n">
        <v>1270.286</v>
      </c>
      <c r="M13" s="0" t="n">
        <v>95.449</v>
      </c>
      <c r="N13" s="0" t="n">
        <v>1174.837</v>
      </c>
      <c r="O13" s="0" t="n">
        <v>4435.2</v>
      </c>
      <c r="P13" s="0" t="n">
        <v>6245.898</v>
      </c>
      <c r="Q13" s="0" t="n">
        <v>1810.695</v>
      </c>
      <c r="S13" s="0" t="n">
        <v>2650.1</v>
      </c>
      <c r="T13" s="0" t="n">
        <v>259.185</v>
      </c>
      <c r="U13" s="0" t="n">
        <v>325.047</v>
      </c>
      <c r="AA13" s="0" t="s">
        <v>17</v>
      </c>
      <c r="AB13" s="0" t="s">
        <v>14</v>
      </c>
    </row>
    <row r="14" customFormat="false" ht="15" hidden="false" customHeight="false" outlineLevel="0" collapsed="false">
      <c r="A14" s="0" t="s">
        <v>75</v>
      </c>
      <c r="B14" s="0" t="n">
        <v>4162.8</v>
      </c>
      <c r="C14" s="0" t="n">
        <v>547.8</v>
      </c>
      <c r="F14" s="0" t="n">
        <v>1197.5</v>
      </c>
      <c r="G14" s="0" t="n">
        <v>28.7666954934179</v>
      </c>
      <c r="H14" s="0" t="n">
        <v>1304.4</v>
      </c>
      <c r="I14" s="0" t="n">
        <v>1176.8</v>
      </c>
      <c r="J14" s="0" t="n">
        <v>28.2694340347843</v>
      </c>
      <c r="K14" s="0" t="n">
        <v>4.58</v>
      </c>
      <c r="L14" s="0" t="n">
        <v>1569.3</v>
      </c>
      <c r="M14" s="0" t="n">
        <v>75.4</v>
      </c>
      <c r="N14" s="0" t="n">
        <v>1493.9</v>
      </c>
      <c r="O14" s="0" t="n">
        <v>6085.2</v>
      </c>
      <c r="P14" s="0" t="n">
        <v>8318.465</v>
      </c>
      <c r="Q14" s="0" t="n">
        <v>2233.221</v>
      </c>
      <c r="S14" s="0" t="n">
        <v>3109.3</v>
      </c>
      <c r="T14" s="0" t="n">
        <v>260.7</v>
      </c>
      <c r="U14" s="0" t="n">
        <v>360.5</v>
      </c>
      <c r="AA14" s="0" t="s">
        <v>17</v>
      </c>
      <c r="AB14" s="0" t="s">
        <v>14</v>
      </c>
    </row>
    <row r="15" customFormat="false" ht="15" hidden="false" customHeight="false" outlineLevel="0" collapsed="false">
      <c r="A15" s="0" t="s">
        <v>76</v>
      </c>
      <c r="B15" s="0" t="n">
        <v>6205.7</v>
      </c>
      <c r="C15" s="0" t="n">
        <v>736.3</v>
      </c>
      <c r="F15" s="0" t="n">
        <v>2856.3</v>
      </c>
      <c r="G15" s="0" t="n">
        <v>46.0270396570895</v>
      </c>
      <c r="H15" s="0" t="n">
        <v>2965.8</v>
      </c>
      <c r="I15" s="0" t="n">
        <v>2711.7</v>
      </c>
      <c r="J15" s="0" t="n">
        <v>43.6969237958651</v>
      </c>
      <c r="K15" s="0" t="n">
        <v>10.44</v>
      </c>
      <c r="L15" s="0" t="n">
        <v>3253.5</v>
      </c>
      <c r="M15" s="0" t="n">
        <v>259.8</v>
      </c>
      <c r="N15" s="0" t="n">
        <v>2993.7</v>
      </c>
      <c r="O15" s="0" t="n">
        <v>8686.8</v>
      </c>
      <c r="P15" s="0" t="n">
        <v>11751.8</v>
      </c>
      <c r="Q15" s="0" t="n">
        <v>3065</v>
      </c>
      <c r="S15" s="0" t="n">
        <v>5988.2</v>
      </c>
      <c r="T15" s="0" t="n">
        <v>263.4</v>
      </c>
      <c r="U15" s="0" t="n">
        <v>429.5</v>
      </c>
      <c r="AA15" s="0" t="s">
        <v>17</v>
      </c>
      <c r="AB15" s="0" t="s">
        <v>14</v>
      </c>
    </row>
    <row r="16" customFormat="false" ht="15" hidden="false" customHeight="false" outlineLevel="0" collapsed="false">
      <c r="A16" s="0" t="s">
        <v>77</v>
      </c>
      <c r="B16" s="0" t="n">
        <v>7574.4</v>
      </c>
      <c r="C16" s="0" t="n">
        <v>904.2</v>
      </c>
      <c r="F16" s="0" t="n">
        <v>2782.1</v>
      </c>
      <c r="G16" s="0" t="n">
        <v>36.730302070131</v>
      </c>
      <c r="H16" s="0" t="n">
        <v>2907.7</v>
      </c>
      <c r="I16" s="0" t="n">
        <v>2342.1</v>
      </c>
      <c r="J16" s="0" t="n">
        <v>30.9212610899873</v>
      </c>
      <c r="K16" s="0" t="n">
        <v>9.09</v>
      </c>
      <c r="L16" s="0" t="n">
        <v>2643.5</v>
      </c>
      <c r="M16" s="0" t="n">
        <v>235</v>
      </c>
      <c r="N16" s="0" t="n">
        <v>2408.5</v>
      </c>
      <c r="O16" s="0" t="n">
        <v>10100</v>
      </c>
      <c r="P16" s="0" t="n">
        <v>13432.5</v>
      </c>
      <c r="Q16" s="0" t="n">
        <v>3332.5</v>
      </c>
      <c r="S16" s="0" t="n">
        <v>6795</v>
      </c>
      <c r="T16" s="0" t="n">
        <v>259.9</v>
      </c>
      <c r="U16" s="0" t="n">
        <v>441.4</v>
      </c>
      <c r="AA16" s="0" t="s">
        <v>17</v>
      </c>
      <c r="AB16" s="0" t="s">
        <v>14</v>
      </c>
    </row>
    <row r="17" customFormat="false" ht="15" hidden="false" customHeight="false" outlineLevel="0" collapsed="false">
      <c r="A17" s="0" t="s">
        <v>78</v>
      </c>
      <c r="B17" s="0" t="n">
        <v>8930.7</v>
      </c>
      <c r="C17" s="0" t="n">
        <v>1080.3</v>
      </c>
      <c r="F17" s="0" t="n">
        <v>4307.4</v>
      </c>
      <c r="G17" s="0" t="n">
        <v>48.2313816386173</v>
      </c>
      <c r="H17" s="0" t="n">
        <v>4455.7</v>
      </c>
      <c r="I17" s="0" t="n">
        <v>3322</v>
      </c>
      <c r="J17" s="0" t="n">
        <v>37.1975321083454</v>
      </c>
      <c r="K17" s="0" t="n">
        <v>12.97</v>
      </c>
      <c r="L17" s="0" t="n">
        <v>4129.9</v>
      </c>
      <c r="M17" s="0" t="n">
        <v>204.7</v>
      </c>
      <c r="N17" s="0" t="n">
        <v>3925.2</v>
      </c>
      <c r="O17" s="0" t="n">
        <v>13912.7</v>
      </c>
      <c r="P17" s="0" t="n">
        <v>18150.9</v>
      </c>
      <c r="Q17" s="0" t="n">
        <v>4238.2</v>
      </c>
      <c r="S17" s="0" t="n">
        <v>10504</v>
      </c>
      <c r="T17" s="0" t="n">
        <v>259.1</v>
      </c>
      <c r="U17" s="0" t="n">
        <v>491.3</v>
      </c>
      <c r="AA17" s="0" t="s">
        <v>17</v>
      </c>
      <c r="AB17" s="0" t="s">
        <v>14</v>
      </c>
    </row>
    <row r="18" customFormat="false" ht="15" hidden="false" customHeight="false" outlineLevel="0" collapsed="false">
      <c r="A18" s="0" t="s">
        <v>79</v>
      </c>
      <c r="B18" s="0" t="n">
        <v>9869.2</v>
      </c>
      <c r="C18" s="0" t="n">
        <v>1262.2</v>
      </c>
      <c r="F18" s="0" t="n">
        <v>3832</v>
      </c>
      <c r="G18" s="0" t="n">
        <v>38.8278685202448</v>
      </c>
      <c r="H18" s="0" t="n">
        <v>4013.3</v>
      </c>
      <c r="I18" s="0" t="n">
        <v>3619.6</v>
      </c>
      <c r="J18" s="0" t="n">
        <v>36.6757183966279</v>
      </c>
      <c r="K18" s="0" t="n">
        <v>14.05</v>
      </c>
      <c r="L18" s="0" t="n">
        <v>3537.3</v>
      </c>
      <c r="M18" s="0" t="n">
        <v>200.4</v>
      </c>
      <c r="N18" s="0" t="n">
        <v>3336.9</v>
      </c>
      <c r="O18" s="0" t="n">
        <v>17580.4</v>
      </c>
      <c r="P18" s="0" t="n">
        <v>22730.2</v>
      </c>
      <c r="Q18" s="0" t="n">
        <v>5149.8</v>
      </c>
      <c r="S18" s="0" t="n">
        <v>10369.1</v>
      </c>
      <c r="T18" s="0" t="n">
        <v>260.5</v>
      </c>
      <c r="U18" s="0" t="n">
        <v>581.2</v>
      </c>
      <c r="AA18" s="0" t="s">
        <v>17</v>
      </c>
      <c r="AB18" s="0" t="s">
        <v>14</v>
      </c>
    </row>
    <row r="19" customFormat="false" ht="15" hidden="false" customHeight="false" outlineLevel="0" collapsed="false">
      <c r="A19" s="0" t="s">
        <v>80</v>
      </c>
      <c r="B19" s="0" t="n">
        <v>11020.1</v>
      </c>
      <c r="C19" s="0" t="n">
        <v>1530.5</v>
      </c>
      <c r="F19" s="0" t="n">
        <v>-232.9</v>
      </c>
      <c r="G19" s="0" t="n">
        <v>-2.11341094908395</v>
      </c>
      <c r="H19" s="0" t="n">
        <v>-25.7</v>
      </c>
      <c r="I19" s="0" t="n">
        <v>-535.6</v>
      </c>
      <c r="J19" s="0" t="n">
        <v>-4.86020997994574</v>
      </c>
      <c r="K19" s="0" t="n">
        <v>-2.08</v>
      </c>
      <c r="L19" s="0" t="n">
        <v>-492.6</v>
      </c>
      <c r="M19" s="0" t="n">
        <v>297.7</v>
      </c>
      <c r="N19" s="0" t="n">
        <v>-790.3</v>
      </c>
      <c r="O19" s="0" t="n">
        <v>16409.6</v>
      </c>
      <c r="P19" s="0" t="n">
        <v>22533.2</v>
      </c>
      <c r="Q19" s="0" t="n">
        <v>6123.6</v>
      </c>
      <c r="S19" s="0" t="n">
        <v>4569.6</v>
      </c>
      <c r="T19" s="0" t="n">
        <v>257.9</v>
      </c>
      <c r="U19" s="0" t="n">
        <v>698.5</v>
      </c>
      <c r="AA19" s="0" t="s">
        <v>17</v>
      </c>
      <c r="AB19" s="0" t="s">
        <v>14</v>
      </c>
    </row>
    <row r="20" customFormat="false" ht="15" hidden="false" customHeight="false" outlineLevel="0" collapsed="false">
      <c r="A20" s="0" t="s">
        <v>81</v>
      </c>
      <c r="B20" s="0" t="n">
        <v>12001.3</v>
      </c>
      <c r="C20" s="0" t="n">
        <v>1651.3</v>
      </c>
      <c r="F20" s="0" t="n">
        <v>4173.3</v>
      </c>
      <c r="G20" s="0" t="n">
        <v>34.7737328456084</v>
      </c>
      <c r="H20" s="0" t="n">
        <v>4383.1</v>
      </c>
      <c r="I20" s="0" t="n">
        <v>3953.2</v>
      </c>
      <c r="J20" s="0" t="n">
        <v>32.939764858807</v>
      </c>
      <c r="K20" s="0" t="n">
        <v>15.46</v>
      </c>
      <c r="L20" s="0" t="n">
        <v>3631.4</v>
      </c>
      <c r="M20" s="0" t="n">
        <v>437.6</v>
      </c>
      <c r="N20" s="0" t="n">
        <v>3193.8</v>
      </c>
      <c r="O20" s="0" t="n">
        <v>18665.8</v>
      </c>
      <c r="P20" s="0" t="n">
        <v>25643</v>
      </c>
      <c r="Q20" s="0" t="n">
        <v>6977.2</v>
      </c>
      <c r="S20" s="0" t="n">
        <v>5084.8</v>
      </c>
      <c r="T20" s="0" t="n">
        <v>258</v>
      </c>
      <c r="U20" s="0" t="n">
        <v>685.9</v>
      </c>
      <c r="AA20" s="0" t="s">
        <v>17</v>
      </c>
      <c r="AB20"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82</v>
      </c>
      <c r="B1" s="2" t="s">
        <v>83</v>
      </c>
    </row>
    <row r="2" customFormat="false" ht="15" hidden="false" customHeight="false" outlineLevel="0" collapsed="false">
      <c r="A2" s="0" t="s">
        <v>84</v>
      </c>
      <c r="B2" s="3" t="n">
        <v>504.73</v>
      </c>
    </row>
    <row r="3" customFormat="false" ht="15" hidden="false" customHeight="false" outlineLevel="0" collapsed="false">
      <c r="A3" s="0" t="s">
        <v>85</v>
      </c>
      <c r="B3" s="3" t="n">
        <v>255.2</v>
      </c>
    </row>
    <row r="4" customFormat="false" ht="15" hidden="false" customHeight="false" outlineLevel="0" collapsed="false">
      <c r="A4" s="0" t="s">
        <v>86</v>
      </c>
      <c r="B4" s="3" t="n">
        <v>-13529.3</v>
      </c>
    </row>
    <row r="5" customFormat="false" ht="15" hidden="false" customHeight="false" outlineLevel="0" collapsed="false">
      <c r="A5" s="0" t="s">
        <v>87</v>
      </c>
      <c r="B5" s="3" t="n">
        <v>-10350</v>
      </c>
    </row>
    <row r="6" customFormat="false" ht="15" hidden="false" customHeight="false" outlineLevel="0" collapsed="false">
      <c r="A6" s="0" t="s">
        <v>88</v>
      </c>
      <c r="B6" s="3" t="n">
        <v>15</v>
      </c>
    </row>
    <row r="7" customFormat="false" ht="15" hidden="false" customHeight="false" outlineLevel="0" collapsed="false">
      <c r="A7" s="0" t="s">
        <v>89</v>
      </c>
      <c r="B7" s="3" t="n">
        <v>12001.3</v>
      </c>
    </row>
    <row r="8" customFormat="false" ht="15" hidden="false" customHeight="false" outlineLevel="0" collapsed="false">
      <c r="A8" s="0" t="s">
        <v>90</v>
      </c>
      <c r="B8" s="3" t="s">
        <v>81</v>
      </c>
    </row>
    <row r="9" customFormat="false" ht="15" hidden="false" customHeight="false" outlineLevel="0" collapsed="false">
      <c r="A9" s="0" t="s">
        <v>91</v>
      </c>
      <c r="B9" s="3" t="s">
        <v>92</v>
      </c>
    </row>
    <row r="10" customFormat="false" ht="15" hidden="false" customHeight="false" outlineLevel="0" collapsed="false">
      <c r="A10" s="0" t="s">
        <v>93</v>
      </c>
      <c r="B10" s="3" t="n">
        <v>1</v>
      </c>
    </row>
    <row r="12" customFormat="false" ht="15" hidden="false" customHeight="false" outlineLevel="0" collapsed="false">
      <c r="A12" s="2" t="s">
        <v>94</v>
      </c>
      <c r="C12" s="2" t="s">
        <v>95</v>
      </c>
      <c r="D12" s="2" t="s">
        <v>96</v>
      </c>
      <c r="E12" s="2" t="s">
        <v>97</v>
      </c>
      <c r="F12" s="2" t="s">
        <v>98</v>
      </c>
      <c r="G12" s="2" t="s">
        <v>99</v>
      </c>
      <c r="H12" s="2" t="s">
        <v>100</v>
      </c>
      <c r="I12" s="2" t="s">
        <v>101</v>
      </c>
      <c r="J12" s="2" t="s">
        <v>102</v>
      </c>
      <c r="K12" s="2" t="s">
        <v>103</v>
      </c>
      <c r="L12" s="2" t="s">
        <v>104</v>
      </c>
    </row>
    <row r="13" customFormat="false" ht="15" hidden="false" customHeight="false" outlineLevel="0" collapsed="false">
      <c r="A13" s="0" t="s">
        <v>105</v>
      </c>
      <c r="C13" s="3" t="n">
        <v>9.5</v>
      </c>
      <c r="D13" s="3" t="n">
        <v>6</v>
      </c>
      <c r="E13" s="3" t="n">
        <v>5</v>
      </c>
      <c r="F13" s="3" t="n">
        <v>4</v>
      </c>
      <c r="G13" s="3" t="n">
        <v>3</v>
      </c>
      <c r="H13" s="3" t="n">
        <v>2</v>
      </c>
      <c r="I13" s="3" t="n">
        <v>1</v>
      </c>
      <c r="J13" s="3" t="n">
        <v>0</v>
      </c>
      <c r="K13" s="3" t="n">
        <v>-1</v>
      </c>
      <c r="L13" s="3" t="n">
        <v>-2</v>
      </c>
    </row>
    <row r="14" customFormat="false" ht="15" hidden="false" customHeight="false" outlineLevel="0" collapsed="false">
      <c r="A14" s="0" t="s">
        <v>106</v>
      </c>
      <c r="C14" s="3" t="n">
        <v>42</v>
      </c>
      <c r="D14" s="3" t="n">
        <v>39.5</v>
      </c>
      <c r="E14" s="3" t="n">
        <v>39.5</v>
      </c>
      <c r="F14" s="3" t="n">
        <v>40</v>
      </c>
      <c r="G14" s="3" t="n">
        <v>40</v>
      </c>
      <c r="H14" s="3" t="n">
        <v>40</v>
      </c>
      <c r="I14" s="3" t="n">
        <v>40</v>
      </c>
      <c r="J14" s="3" t="n">
        <v>39</v>
      </c>
      <c r="K14" s="3" t="n">
        <v>38</v>
      </c>
      <c r="L14" s="3" t="n">
        <v>37</v>
      </c>
    </row>
    <row r="15" customFormat="false" ht="15" hidden="false" customHeight="false" outlineLevel="0" collapsed="false">
      <c r="A15" s="0" t="s">
        <v>107</v>
      </c>
      <c r="C15" s="3" t="n">
        <v>8.8</v>
      </c>
      <c r="D15" s="3" t="n">
        <v>8.8</v>
      </c>
      <c r="E15" s="3" t="n">
        <v>8.7</v>
      </c>
      <c r="F15" s="3" t="n">
        <v>8.6</v>
      </c>
      <c r="G15" s="3" t="n">
        <v>8.5</v>
      </c>
      <c r="H15" s="3" t="n">
        <v>8.5</v>
      </c>
      <c r="I15" s="3" t="n">
        <v>8.5</v>
      </c>
      <c r="J15" s="3" t="n">
        <v>8.5</v>
      </c>
      <c r="K15" s="3" t="n">
        <v>8.5</v>
      </c>
      <c r="L15" s="3" t="n">
        <v>8.5</v>
      </c>
    </row>
    <row r="16" customFormat="false" ht="15" hidden="false" customHeight="false" outlineLevel="0" collapsed="false">
      <c r="A16" s="0" t="s">
        <v>108</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109</v>
      </c>
      <c r="C17" s="3" t="n">
        <v>1.8</v>
      </c>
      <c r="D17" s="3" t="n">
        <v>1.8</v>
      </c>
      <c r="E17" s="3" t="n">
        <v>1.8</v>
      </c>
      <c r="F17" s="3" t="n">
        <v>1.8</v>
      </c>
      <c r="G17" s="3" t="n">
        <v>1.8</v>
      </c>
      <c r="H17" s="3" t="n">
        <v>1.8</v>
      </c>
      <c r="I17" s="3" t="n">
        <v>1.8</v>
      </c>
      <c r="J17" s="3" t="n">
        <v>1.8</v>
      </c>
      <c r="K17" s="3" t="n">
        <v>1.8</v>
      </c>
      <c r="L17" s="3" t="n">
        <v>1.8</v>
      </c>
    </row>
    <row r="18" customFormat="false" ht="15" hidden="false" customHeight="false" outlineLevel="0" collapsed="false">
      <c r="A18" s="0" t="s">
        <v>110</v>
      </c>
      <c r="C18" s="3" t="n">
        <v>3.8</v>
      </c>
      <c r="D18" s="3" t="n">
        <v>3.8</v>
      </c>
      <c r="E18" s="3" t="n">
        <v>3.6</v>
      </c>
      <c r="F18" s="3" t="n">
        <v>3.4</v>
      </c>
      <c r="G18" s="3" t="n">
        <v>3.2</v>
      </c>
      <c r="H18" s="3" t="n">
        <v>3</v>
      </c>
      <c r="I18" s="3" t="n">
        <v>3</v>
      </c>
      <c r="J18" s="3" t="n">
        <v>3</v>
      </c>
      <c r="K18" s="3" t="n">
        <v>3</v>
      </c>
      <c r="L18" s="3" t="n">
        <v>3</v>
      </c>
    </row>
    <row r="19" customFormat="false" ht="15" hidden="false" customHeight="false" outlineLevel="0" collapsed="false">
      <c r="A19" s="0" t="s">
        <v>111</v>
      </c>
      <c r="C19" s="3" t="n">
        <v>18</v>
      </c>
      <c r="D19" s="3" t="n">
        <v>21</v>
      </c>
      <c r="E19" s="3" t="n">
        <v>21</v>
      </c>
      <c r="F19" s="3" t="n">
        <v>21</v>
      </c>
      <c r="G19" s="3" t="n">
        <v>21</v>
      </c>
      <c r="H19" s="3" t="n">
        <v>21</v>
      </c>
      <c r="I19" s="3" t="n">
        <v>21</v>
      </c>
      <c r="J19" s="3" t="n">
        <v>21</v>
      </c>
      <c r="K19" s="3" t="n">
        <v>21</v>
      </c>
      <c r="L19" s="3" t="n">
        <v>21</v>
      </c>
    </row>
    <row r="20" customFormat="false" ht="15" hidden="false" customHeight="false" outlineLevel="0" collapsed="false">
      <c r="A20" s="0" t="s">
        <v>112</v>
      </c>
      <c r="B20" s="3" t="n">
        <v>8</v>
      </c>
    </row>
    <row r="21" customFormat="false" ht="15" hidden="false" customHeight="false" outlineLevel="0" collapsed="false">
      <c r="A21" s="0" t="s">
        <v>113</v>
      </c>
      <c r="B21" s="3" t="n">
        <v>0</v>
      </c>
    </row>
    <row r="22" customFormat="false" ht="15" hidden="false" customHeight="false" outlineLevel="0" collapsed="false">
      <c r="A22" s="0" t="s">
        <v>114</v>
      </c>
      <c r="B22" s="3" t="n">
        <v>10</v>
      </c>
    </row>
    <row r="23" customFormat="false" ht="15" hidden="false" customHeight="false" outlineLevel="0" collapsed="false">
      <c r="A23" s="0" t="s">
        <v>115</v>
      </c>
      <c r="B23" s="3" t="n">
        <v>-10</v>
      </c>
    </row>
    <row r="24" customFormat="false" ht="15" hidden="false" customHeight="false" outlineLevel="0" collapsed="false">
      <c r="A24" s="0" t="s">
        <v>116</v>
      </c>
      <c r="B24" s="3" t="n">
        <v>0.25</v>
      </c>
    </row>
    <row r="26" customFormat="false" ht="15" hidden="false" customHeight="false" outlineLevel="0" collapsed="false">
      <c r="A26" s="2" t="s">
        <v>117</v>
      </c>
      <c r="C26" s="2" t="s">
        <v>95</v>
      </c>
      <c r="D26" s="2" t="s">
        <v>96</v>
      </c>
      <c r="E26" s="2" t="s">
        <v>97</v>
      </c>
      <c r="F26" s="2" t="s">
        <v>98</v>
      </c>
      <c r="G26" s="2" t="s">
        <v>99</v>
      </c>
      <c r="H26" s="2" t="s">
        <v>100</v>
      </c>
      <c r="I26" s="2" t="s">
        <v>101</v>
      </c>
      <c r="J26" s="2" t="s">
        <v>102</v>
      </c>
      <c r="K26" s="2" t="s">
        <v>103</v>
      </c>
      <c r="L26" s="2" t="s">
        <v>104</v>
      </c>
    </row>
    <row r="27" customFormat="false" ht="15" hidden="false" customHeight="false" outlineLevel="0" collapsed="false">
      <c r="A27" s="0" t="s">
        <v>105</v>
      </c>
      <c r="C27" s="3" t="n">
        <v>10</v>
      </c>
      <c r="D27" s="3" t="n">
        <v>9</v>
      </c>
      <c r="E27" s="3" t="n">
        <v>9</v>
      </c>
      <c r="F27" s="3" t="n">
        <v>8</v>
      </c>
      <c r="G27" s="3" t="n">
        <v>7</v>
      </c>
      <c r="H27" s="3" t="n">
        <v>6</v>
      </c>
      <c r="I27" s="3" t="n">
        <v>5</v>
      </c>
      <c r="J27" s="3" t="n">
        <v>4</v>
      </c>
      <c r="K27" s="3" t="n">
        <v>3</v>
      </c>
      <c r="L27" s="3" t="n">
        <v>2.5</v>
      </c>
    </row>
    <row r="28" customFormat="false" ht="15" hidden="false" customHeight="false" outlineLevel="0" collapsed="false">
      <c r="A28" s="0" t="s">
        <v>106</v>
      </c>
      <c r="C28" s="3" t="n">
        <v>42.5</v>
      </c>
      <c r="D28" s="3" t="n">
        <v>41</v>
      </c>
      <c r="E28" s="3" t="n">
        <v>42</v>
      </c>
      <c r="F28" s="3" t="n">
        <v>43.5</v>
      </c>
      <c r="G28" s="3" t="n">
        <v>44.5</v>
      </c>
      <c r="H28" s="3" t="n">
        <v>45.5</v>
      </c>
      <c r="I28" s="3" t="n">
        <v>46</v>
      </c>
      <c r="J28" s="3" t="n">
        <v>46</v>
      </c>
      <c r="K28" s="3" t="n">
        <v>46</v>
      </c>
      <c r="L28" s="3" t="n">
        <v>46</v>
      </c>
    </row>
    <row r="29" customFormat="false" ht="15" hidden="false" customHeight="false" outlineLevel="0" collapsed="false">
      <c r="A29" s="0" t="s">
        <v>107</v>
      </c>
      <c r="C29" s="3" t="n">
        <v>8.8</v>
      </c>
      <c r="D29" s="3" t="n">
        <v>8.6</v>
      </c>
      <c r="E29" s="3" t="n">
        <v>8.4</v>
      </c>
      <c r="F29" s="3" t="n">
        <v>8.2</v>
      </c>
      <c r="G29" s="3" t="n">
        <v>8</v>
      </c>
      <c r="H29" s="3" t="n">
        <v>7.8</v>
      </c>
      <c r="I29" s="3" t="n">
        <v>7.6</v>
      </c>
      <c r="J29" s="3" t="n">
        <v>7.5</v>
      </c>
      <c r="K29" s="3" t="n">
        <v>7.5</v>
      </c>
      <c r="L29" s="3" t="n">
        <v>7.5</v>
      </c>
    </row>
    <row r="30" customFormat="false" ht="15" hidden="false" customHeight="false" outlineLevel="0" collapsed="false">
      <c r="A30" s="0" t="s">
        <v>108</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109</v>
      </c>
      <c r="C31" s="3" t="n">
        <v>1.8</v>
      </c>
      <c r="D31" s="3" t="n">
        <v>1.8</v>
      </c>
      <c r="E31" s="3" t="n">
        <v>1.8</v>
      </c>
      <c r="F31" s="3" t="n">
        <v>1.8</v>
      </c>
      <c r="G31" s="3" t="n">
        <v>1.8</v>
      </c>
      <c r="H31" s="3" t="n">
        <v>1.8</v>
      </c>
      <c r="I31" s="3" t="n">
        <v>1.8</v>
      </c>
      <c r="J31" s="3" t="n">
        <v>1.8</v>
      </c>
      <c r="K31" s="3" t="n">
        <v>1.8</v>
      </c>
      <c r="L31" s="3" t="n">
        <v>1.8</v>
      </c>
    </row>
    <row r="32" customFormat="false" ht="15" hidden="false" customHeight="false" outlineLevel="0" collapsed="false">
      <c r="A32" s="0" t="s">
        <v>110</v>
      </c>
      <c r="C32" s="3" t="n">
        <v>3.8</v>
      </c>
      <c r="D32" s="3" t="n">
        <v>3.8</v>
      </c>
      <c r="E32" s="3" t="n">
        <v>3.6</v>
      </c>
      <c r="F32" s="3" t="n">
        <v>3.4</v>
      </c>
      <c r="G32" s="3" t="n">
        <v>3.2</v>
      </c>
      <c r="H32" s="3" t="n">
        <v>3</v>
      </c>
      <c r="I32" s="3" t="n">
        <v>3</v>
      </c>
      <c r="J32" s="3" t="n">
        <v>3</v>
      </c>
      <c r="K32" s="3" t="n">
        <v>3</v>
      </c>
      <c r="L32" s="3" t="n">
        <v>3</v>
      </c>
    </row>
    <row r="33" customFormat="false" ht="15" hidden="false" customHeight="false" outlineLevel="0" collapsed="false">
      <c r="A33" s="0" t="s">
        <v>111</v>
      </c>
      <c r="C33" s="3" t="n">
        <v>18</v>
      </c>
      <c r="D33" s="3" t="n">
        <v>20</v>
      </c>
      <c r="E33" s="3" t="n">
        <v>21</v>
      </c>
      <c r="F33" s="3" t="n">
        <v>21</v>
      </c>
      <c r="G33" s="3" t="n">
        <v>21</v>
      </c>
      <c r="H33" s="3" t="n">
        <v>21</v>
      </c>
      <c r="I33" s="3" t="n">
        <v>21</v>
      </c>
      <c r="J33" s="3" t="n">
        <v>21</v>
      </c>
      <c r="K33" s="3" t="n">
        <v>21</v>
      </c>
      <c r="L33" s="3" t="n">
        <v>21</v>
      </c>
    </row>
    <row r="34" customFormat="false" ht="15" hidden="false" customHeight="false" outlineLevel="0" collapsed="false">
      <c r="A34" s="0" t="s">
        <v>112</v>
      </c>
      <c r="B34" s="3" t="n">
        <v>8</v>
      </c>
    </row>
    <row r="35" customFormat="false" ht="15" hidden="false" customHeight="false" outlineLevel="0" collapsed="false">
      <c r="A35" s="0" t="s">
        <v>113</v>
      </c>
      <c r="B35" s="3" t="n">
        <v>2.5</v>
      </c>
    </row>
    <row r="36" customFormat="false" ht="15" hidden="false" customHeight="false" outlineLevel="0" collapsed="false">
      <c r="A36" s="0" t="s">
        <v>114</v>
      </c>
      <c r="B36" s="3" t="n">
        <v>16</v>
      </c>
    </row>
    <row r="37" customFormat="false" ht="15" hidden="false" customHeight="false" outlineLevel="0" collapsed="false">
      <c r="A37" s="0" t="s">
        <v>115</v>
      </c>
      <c r="B37" s="3" t="n">
        <v>-10</v>
      </c>
    </row>
    <row r="38" customFormat="false" ht="15" hidden="false" customHeight="false" outlineLevel="0" collapsed="false">
      <c r="A38" s="0" t="s">
        <v>116</v>
      </c>
      <c r="B38" s="3" t="n">
        <v>0.5</v>
      </c>
    </row>
    <row r="40" customFormat="false" ht="15" hidden="false" customHeight="false" outlineLevel="0" collapsed="false">
      <c r="A40" s="2" t="s">
        <v>118</v>
      </c>
      <c r="C40" s="2" t="s">
        <v>95</v>
      </c>
      <c r="D40" s="2" t="s">
        <v>96</v>
      </c>
      <c r="E40" s="2" t="s">
        <v>97</v>
      </c>
      <c r="F40" s="2" t="s">
        <v>98</v>
      </c>
      <c r="G40" s="2" t="s">
        <v>99</v>
      </c>
      <c r="H40" s="2" t="s">
        <v>100</v>
      </c>
      <c r="I40" s="2" t="s">
        <v>101</v>
      </c>
      <c r="J40" s="2" t="s">
        <v>102</v>
      </c>
      <c r="K40" s="2" t="s">
        <v>103</v>
      </c>
      <c r="L40" s="2" t="s">
        <v>104</v>
      </c>
    </row>
    <row r="41" customFormat="false" ht="15" hidden="false" customHeight="false" outlineLevel="0" collapsed="false">
      <c r="A41" s="0" t="s">
        <v>105</v>
      </c>
      <c r="C41" s="3" t="n">
        <v>10.5</v>
      </c>
      <c r="D41" s="3" t="n">
        <v>12</v>
      </c>
      <c r="E41" s="3" t="n">
        <v>12</v>
      </c>
      <c r="F41" s="3" t="n">
        <v>11</v>
      </c>
      <c r="G41" s="3" t="n">
        <v>10</v>
      </c>
      <c r="H41" s="3" t="n">
        <v>9</v>
      </c>
      <c r="I41" s="3" t="n">
        <v>8</v>
      </c>
      <c r="J41" s="3" t="n">
        <v>6</v>
      </c>
      <c r="K41" s="3" t="n">
        <v>5</v>
      </c>
      <c r="L41" s="3" t="n">
        <v>4</v>
      </c>
    </row>
    <row r="42" customFormat="false" ht="15" hidden="false" customHeight="false" outlineLevel="0" collapsed="false">
      <c r="A42" s="0" t="s">
        <v>106</v>
      </c>
      <c r="C42" s="3" t="n">
        <v>43</v>
      </c>
      <c r="D42" s="3" t="n">
        <v>42.5</v>
      </c>
      <c r="E42" s="3" t="n">
        <v>44.5</v>
      </c>
      <c r="F42" s="3" t="n">
        <v>46.5</v>
      </c>
      <c r="G42" s="3" t="n">
        <v>48</v>
      </c>
      <c r="H42" s="3" t="n">
        <v>49</v>
      </c>
      <c r="I42" s="3" t="n">
        <v>50</v>
      </c>
      <c r="J42" s="3" t="n">
        <v>50</v>
      </c>
      <c r="K42" s="3" t="n">
        <v>50</v>
      </c>
      <c r="L42" s="3" t="n">
        <v>50</v>
      </c>
    </row>
    <row r="43" customFormat="false" ht="15" hidden="false" customHeight="false" outlineLevel="0" collapsed="false">
      <c r="A43" s="0" t="s">
        <v>107</v>
      </c>
      <c r="C43" s="3" t="n">
        <v>8.8</v>
      </c>
      <c r="D43" s="3" t="n">
        <v>8.5</v>
      </c>
      <c r="E43" s="3" t="n">
        <v>8.2</v>
      </c>
      <c r="F43" s="3" t="n">
        <v>7.9</v>
      </c>
      <c r="G43" s="3" t="n">
        <v>7.6</v>
      </c>
      <c r="H43" s="3" t="n">
        <v>7.3</v>
      </c>
      <c r="I43" s="3" t="n">
        <v>7</v>
      </c>
      <c r="J43" s="3" t="n">
        <v>7</v>
      </c>
      <c r="K43" s="3" t="n">
        <v>7</v>
      </c>
      <c r="L43" s="3" t="n">
        <v>7</v>
      </c>
    </row>
    <row r="44" customFormat="false" ht="15" hidden="false" customHeight="false" outlineLevel="0" collapsed="false">
      <c r="A44" s="0" t="s">
        <v>108</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109</v>
      </c>
      <c r="C45" s="3" t="n">
        <v>1.8</v>
      </c>
      <c r="D45" s="3" t="n">
        <v>1.8</v>
      </c>
      <c r="E45" s="3" t="n">
        <v>1.8</v>
      </c>
      <c r="F45" s="3" t="n">
        <v>1.8</v>
      </c>
      <c r="G45" s="3" t="n">
        <v>1.8</v>
      </c>
      <c r="H45" s="3" t="n">
        <v>1.8</v>
      </c>
      <c r="I45" s="3" t="n">
        <v>1.8</v>
      </c>
      <c r="J45" s="3" t="n">
        <v>1.8</v>
      </c>
      <c r="K45" s="3" t="n">
        <v>1.8</v>
      </c>
      <c r="L45" s="3" t="n">
        <v>1.8</v>
      </c>
    </row>
    <row r="46" customFormat="false" ht="15" hidden="false" customHeight="false" outlineLevel="0" collapsed="false">
      <c r="A46" s="0" t="s">
        <v>110</v>
      </c>
      <c r="C46" s="3" t="n">
        <v>3.8</v>
      </c>
      <c r="D46" s="3" t="n">
        <v>3.8</v>
      </c>
      <c r="E46" s="3" t="n">
        <v>3.6</v>
      </c>
      <c r="F46" s="3" t="n">
        <v>3.4</v>
      </c>
      <c r="G46" s="3" t="n">
        <v>3.2</v>
      </c>
      <c r="H46" s="3" t="n">
        <v>3</v>
      </c>
      <c r="I46" s="3" t="n">
        <v>3</v>
      </c>
      <c r="J46" s="3" t="n">
        <v>3</v>
      </c>
      <c r="K46" s="3" t="n">
        <v>3</v>
      </c>
      <c r="L46" s="3" t="n">
        <v>3</v>
      </c>
    </row>
    <row r="47" customFormat="false" ht="15" hidden="false" customHeight="false" outlineLevel="0" collapsed="false">
      <c r="A47" s="0" t="s">
        <v>111</v>
      </c>
      <c r="C47" s="3" t="n">
        <v>18</v>
      </c>
      <c r="D47" s="3" t="n">
        <v>20</v>
      </c>
      <c r="E47" s="3" t="n">
        <v>21</v>
      </c>
      <c r="F47" s="3" t="n">
        <v>21</v>
      </c>
      <c r="G47" s="3" t="n">
        <v>21</v>
      </c>
      <c r="H47" s="3" t="n">
        <v>21</v>
      </c>
      <c r="I47" s="3" t="n">
        <v>21</v>
      </c>
      <c r="J47" s="3" t="n">
        <v>21</v>
      </c>
      <c r="K47" s="3" t="n">
        <v>21</v>
      </c>
      <c r="L47" s="3" t="n">
        <v>21</v>
      </c>
    </row>
    <row r="48" customFormat="false" ht="15" hidden="false" customHeight="false" outlineLevel="0" collapsed="false">
      <c r="A48" s="0" t="s">
        <v>112</v>
      </c>
      <c r="B48" s="3" t="n">
        <v>8</v>
      </c>
    </row>
    <row r="49" customFormat="false" ht="15" hidden="false" customHeight="false" outlineLevel="0" collapsed="false">
      <c r="A49" s="0" t="s">
        <v>113</v>
      </c>
      <c r="B49" s="3" t="n">
        <v>3</v>
      </c>
    </row>
    <row r="50" customFormat="false" ht="15" hidden="false" customHeight="false" outlineLevel="0" collapsed="false">
      <c r="A50" s="0" t="s">
        <v>114</v>
      </c>
      <c r="B50" s="3" t="n">
        <v>20</v>
      </c>
    </row>
    <row r="51" customFormat="false" ht="15" hidden="false" customHeight="false" outlineLevel="0" collapsed="false">
      <c r="A51" s="0" t="s">
        <v>115</v>
      </c>
      <c r="B51" s="3" t="n">
        <v>-10</v>
      </c>
    </row>
    <row r="52" customFormat="false" ht="15" hidden="false" customHeight="false" outlineLevel="0" collapsed="false">
      <c r="A52" s="0" t="s">
        <v>116</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119</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Assumptions!C13</f>
        <v>9.5</v>
      </c>
      <c r="D5" s="4" t="n">
        <f aca="false">Assumptions!D13</f>
        <v>6</v>
      </c>
      <c r="E5" s="4" t="n">
        <f aca="false">Assumptions!E13</f>
        <v>5</v>
      </c>
      <c r="F5" s="4" t="n">
        <f aca="false">Assumptions!F13</f>
        <v>4</v>
      </c>
      <c r="G5" s="4" t="n">
        <f aca="false">Assumptions!G13</f>
        <v>3</v>
      </c>
      <c r="H5" s="4" t="n">
        <f aca="false">Assumptions!H13</f>
        <v>2</v>
      </c>
      <c r="I5" s="4" t="n">
        <f aca="false">Assumptions!I13</f>
        <v>1</v>
      </c>
      <c r="J5" s="4" t="n">
        <f aca="false">Assumptions!J13</f>
        <v>0</v>
      </c>
      <c r="K5" s="4" t="n">
        <f aca="false">Assumptions!K13</f>
        <v>-1</v>
      </c>
      <c r="L5" s="4" t="n">
        <f aca="false">Assumptions!L13</f>
        <v>-2</v>
      </c>
    </row>
    <row r="6" customFormat="false" ht="15" hidden="false" customHeight="false" outlineLevel="0" collapsed="false">
      <c r="A6" s="0" t="s">
        <v>37</v>
      </c>
      <c r="B6" s="3" t="n">
        <v>12001.3</v>
      </c>
      <c r="C6" s="0" t="n">
        <f aca="false">B6*(1+C5/100)</f>
        <v>13141.4235</v>
      </c>
      <c r="D6" s="0" t="n">
        <f aca="false">C6*(1+D5/100)</f>
        <v>13929.90891</v>
      </c>
      <c r="E6" s="0" t="n">
        <f aca="false">D6*(1+E5/100)</f>
        <v>14626.4043555</v>
      </c>
      <c r="F6" s="0" t="n">
        <f aca="false">E6*(1+F5/100)</f>
        <v>15211.46052972</v>
      </c>
      <c r="G6" s="0" t="n">
        <f aca="false">F6*(1+G5/100)</f>
        <v>15667.8043456116</v>
      </c>
      <c r="H6" s="0" t="n">
        <f aca="false">G6*(1+H5/100)</f>
        <v>15981.1604325238</v>
      </c>
      <c r="I6" s="0" t="n">
        <f aca="false">H6*(1+I5/100)</f>
        <v>16140.9720368491</v>
      </c>
      <c r="J6" s="0" t="n">
        <f aca="false">I6*(1+J5/100)</f>
        <v>16140.9720368491</v>
      </c>
      <c r="K6" s="0" t="n">
        <f aca="false">J6*(1+K5/100)</f>
        <v>15979.5623164806</v>
      </c>
      <c r="L6" s="0" t="n">
        <f aca="false">K6*(1+L5/100)</f>
        <v>15659.971070151</v>
      </c>
    </row>
    <row r="7" customFormat="false" ht="15" hidden="false" customHeight="false" outlineLevel="0" collapsed="false">
      <c r="A7" s="0" t="s">
        <v>106</v>
      </c>
      <c r="C7" s="4" t="n">
        <f aca="false">Assumptions!C14</f>
        <v>42</v>
      </c>
      <c r="D7" s="4" t="n">
        <f aca="false">Assumptions!D14</f>
        <v>39.5</v>
      </c>
      <c r="E7" s="4" t="n">
        <f aca="false">Assumptions!E14</f>
        <v>39.5</v>
      </c>
      <c r="F7" s="4" t="n">
        <f aca="false">Assumptions!F14</f>
        <v>40</v>
      </c>
      <c r="G7" s="4" t="n">
        <f aca="false">Assumptions!G14</f>
        <v>40</v>
      </c>
      <c r="H7" s="4" t="n">
        <f aca="false">Assumptions!H14</f>
        <v>40</v>
      </c>
      <c r="I7" s="4" t="n">
        <f aca="false">Assumptions!I14</f>
        <v>40</v>
      </c>
      <c r="J7" s="4" t="n">
        <f aca="false">Assumptions!J14</f>
        <v>39</v>
      </c>
      <c r="K7" s="4" t="n">
        <f aca="false">Assumptions!K14</f>
        <v>38</v>
      </c>
      <c r="L7" s="4" t="n">
        <f aca="false">Assumptions!L14</f>
        <v>37</v>
      </c>
    </row>
    <row r="8" customFormat="false" ht="15" hidden="false" customHeight="false" outlineLevel="0" collapsed="false">
      <c r="A8" s="0" t="s">
        <v>43</v>
      </c>
      <c r="C8" s="0" t="n">
        <f aca="false">C6*C7/100</f>
        <v>5519.39787</v>
      </c>
      <c r="D8" s="0" t="n">
        <f aca="false">D6*D7/100</f>
        <v>5502.31401945</v>
      </c>
      <c r="E8" s="0" t="n">
        <f aca="false">E6*E7/100</f>
        <v>5777.4297204225</v>
      </c>
      <c r="F8" s="0" t="n">
        <f aca="false">F6*F7/100</f>
        <v>6084.584211888</v>
      </c>
      <c r="G8" s="0" t="n">
        <f aca="false">G6*G7/100</f>
        <v>6267.12173824464</v>
      </c>
      <c r="H8" s="0" t="n">
        <f aca="false">H6*H7/100</f>
        <v>6392.46417300953</v>
      </c>
      <c r="I8" s="0" t="n">
        <f aca="false">I6*I7/100</f>
        <v>6456.38881473963</v>
      </c>
      <c r="J8" s="0" t="n">
        <f aca="false">J6*J7/100</f>
        <v>6294.97909437114</v>
      </c>
      <c r="K8" s="0" t="n">
        <f aca="false">K6*K7/100</f>
        <v>6072.23368026262</v>
      </c>
      <c r="L8" s="0" t="n">
        <f aca="false">L6*L7/100</f>
        <v>5794.18929595586</v>
      </c>
    </row>
    <row r="9" customFormat="false" ht="15" hidden="false" customHeight="false" outlineLevel="0" collapsed="false">
      <c r="A9" s="0" t="s">
        <v>107</v>
      </c>
      <c r="C9" s="4" t="n">
        <f aca="false">Assumptions!C15</f>
        <v>8.8</v>
      </c>
      <c r="D9" s="4" t="n">
        <f aca="false">Assumptions!D15</f>
        <v>8.8</v>
      </c>
      <c r="E9" s="4" t="n">
        <f aca="false">Assumptions!E15</f>
        <v>8.7</v>
      </c>
      <c r="F9" s="4" t="n">
        <f aca="false">Assumptions!F15</f>
        <v>8.6</v>
      </c>
      <c r="G9" s="4" t="n">
        <f aca="false">Assumptions!G15</f>
        <v>8.5</v>
      </c>
      <c r="H9" s="4" t="n">
        <f aca="false">Assumptions!H15</f>
        <v>8.5</v>
      </c>
      <c r="I9" s="4" t="n">
        <f aca="false">Assumptions!I15</f>
        <v>8.5</v>
      </c>
      <c r="J9" s="4" t="n">
        <f aca="false">Assumptions!J15</f>
        <v>8.5</v>
      </c>
      <c r="K9" s="4" t="n">
        <f aca="false">Assumptions!K15</f>
        <v>8.5</v>
      </c>
      <c r="L9" s="4" t="n">
        <f aca="false">Assumptions!L15</f>
        <v>8.5</v>
      </c>
    </row>
    <row r="10" customFormat="false" ht="15" hidden="false" customHeight="false" outlineLevel="0" collapsed="false">
      <c r="A10" s="0" t="s">
        <v>122</v>
      </c>
      <c r="C10" s="0" t="n">
        <f aca="false">-C6*C9/100</f>
        <v>-1156.445268</v>
      </c>
      <c r="D10" s="0" t="n">
        <f aca="false">-D6*D9/100</f>
        <v>-1225.83198408</v>
      </c>
      <c r="E10" s="0" t="n">
        <f aca="false">-E6*E9/100</f>
        <v>-1272.4971789285</v>
      </c>
      <c r="F10" s="0" t="n">
        <f aca="false">-F6*F9/100</f>
        <v>-1308.18560555592</v>
      </c>
      <c r="G10" s="0" t="n">
        <f aca="false">-G6*G9/100</f>
        <v>-1331.76336937699</v>
      </c>
      <c r="H10" s="0" t="n">
        <f aca="false">-H6*H9/100</f>
        <v>-1358.39863676453</v>
      </c>
      <c r="I10" s="0" t="n">
        <f aca="false">-I6*I9/100</f>
        <v>-1371.98262313217</v>
      </c>
      <c r="J10" s="0" t="n">
        <f aca="false">-J6*J9/100</f>
        <v>-1371.98262313217</v>
      </c>
      <c r="K10" s="0" t="n">
        <f aca="false">-K6*K9/100</f>
        <v>-1358.26279690085</v>
      </c>
      <c r="L10" s="0" t="n">
        <f aca="false">-L6*L9/100</f>
        <v>-1331.09754096283</v>
      </c>
    </row>
    <row r="11" customFormat="false" ht="15" hidden="false" customHeight="false" outlineLevel="0" collapsed="false">
      <c r="A11" s="0" t="s">
        <v>123</v>
      </c>
      <c r="C11" s="0" t="n">
        <f aca="false">C8+C10+C24</f>
        <v>4362.952602</v>
      </c>
      <c r="D11" s="0" t="n">
        <f aca="false">D8+D10+D24</f>
        <v>4276.48203537</v>
      </c>
      <c r="E11" s="0" t="n">
        <f aca="false">E8+E10+E24</f>
        <v>4504.932541494</v>
      </c>
      <c r="F11" s="0" t="n">
        <f aca="false">F8+F10+F24</f>
        <v>4776.39860633208</v>
      </c>
      <c r="G11" s="0" t="n">
        <f aca="false">G8+G10+G24</f>
        <v>4935.35836886766</v>
      </c>
      <c r="H11" s="0" t="n">
        <f aca="false">H8+H10+H24</f>
        <v>5034.06553624501</v>
      </c>
      <c r="I11" s="0" t="n">
        <f aca="false">I8+I10+I24</f>
        <v>5084.40619160746</v>
      </c>
      <c r="J11" s="0" t="n">
        <f aca="false">J8+J10+J24</f>
        <v>4922.99647123897</v>
      </c>
      <c r="K11" s="0" t="n">
        <f aca="false">K8+K10+K24</f>
        <v>4713.97088336177</v>
      </c>
      <c r="L11" s="0" t="n">
        <f aca="false">L8+L10+L24</f>
        <v>4463.09175499303</v>
      </c>
    </row>
    <row r="12" customFormat="false" ht="15" hidden="false" customHeight="false" outlineLevel="0" collapsed="false">
      <c r="A12" s="0" t="s">
        <v>124</v>
      </c>
      <c r="C12" s="4" t="n">
        <f aca="false">-C6*Assumptions!C17/100</f>
        <v>-236.545623</v>
      </c>
      <c r="D12" s="4" t="n">
        <f aca="false">-D6*Assumptions!D17/100</f>
        <v>-250.73836038</v>
      </c>
      <c r="E12" s="4" t="n">
        <f aca="false">-E6*Assumptions!E17/100</f>
        <v>-263.275278399</v>
      </c>
      <c r="F12" s="4" t="n">
        <f aca="false">-F6*Assumptions!F17/100</f>
        <v>-273.80628953496</v>
      </c>
      <c r="G12" s="4" t="n">
        <f aca="false">-G6*Assumptions!G17/100</f>
        <v>-282.020478221009</v>
      </c>
      <c r="H12" s="4" t="n">
        <f aca="false">-H6*Assumptions!H17/100</f>
        <v>-287.660887785429</v>
      </c>
      <c r="I12" s="4" t="n">
        <f aca="false">-I6*Assumptions!I17/100</f>
        <v>-290.537496663283</v>
      </c>
      <c r="J12" s="4" t="n">
        <f aca="false">-J6*Assumptions!J17/100</f>
        <v>-290.537496663283</v>
      </c>
      <c r="K12" s="4" t="n">
        <f aca="false">-K6*Assumptions!K17/100</f>
        <v>-287.632121696651</v>
      </c>
      <c r="L12" s="4" t="n">
        <f aca="false">-L6*Assumptions!L17/100</f>
        <v>-281.879479262717</v>
      </c>
    </row>
    <row r="13" customFormat="false" ht="15" hidden="false" customHeight="false" outlineLevel="0" collapsed="false">
      <c r="A13" s="0" t="s">
        <v>125</v>
      </c>
      <c r="C13" s="0" t="n">
        <f aca="false">C11+C12</f>
        <v>4126.406979</v>
      </c>
      <c r="D13" s="0" t="n">
        <f aca="false">D11+D12</f>
        <v>4025.74367499</v>
      </c>
      <c r="E13" s="0" t="n">
        <f aca="false">E11+E12</f>
        <v>4241.657263095</v>
      </c>
      <c r="F13" s="0" t="n">
        <f aca="false">F11+F12</f>
        <v>4502.59231679712</v>
      </c>
      <c r="G13" s="0" t="n">
        <f aca="false">G11+G12</f>
        <v>4653.33789064665</v>
      </c>
      <c r="H13" s="0" t="n">
        <f aca="false">H11+H12</f>
        <v>4746.40464845958</v>
      </c>
      <c r="I13" s="0" t="n">
        <f aca="false">I11+I12</f>
        <v>4793.86869494417</v>
      </c>
      <c r="J13" s="0" t="n">
        <f aca="false">J11+J12</f>
        <v>4632.45897457568</v>
      </c>
      <c r="K13" s="0" t="n">
        <f aca="false">K11+K12</f>
        <v>4426.33876166512</v>
      </c>
      <c r="L13" s="0" t="n">
        <f aca="false">L11+L12</f>
        <v>4181.21227573031</v>
      </c>
    </row>
    <row r="14" customFormat="false" ht="15" hidden="false" customHeight="false" outlineLevel="0" collapsed="false">
      <c r="A14" s="0" t="s">
        <v>111</v>
      </c>
      <c r="C14" s="4" t="n">
        <f aca="false">Assumptions!C19</f>
        <v>18</v>
      </c>
      <c r="D14" s="4" t="n">
        <f aca="false">Assumptions!D19</f>
        <v>21</v>
      </c>
      <c r="E14" s="4" t="n">
        <f aca="false">Assumptions!E19</f>
        <v>21</v>
      </c>
      <c r="F14" s="4" t="n">
        <f aca="false">Assumptions!F19</f>
        <v>21</v>
      </c>
      <c r="G14" s="4" t="n">
        <f aca="false">Assumptions!G19</f>
        <v>21</v>
      </c>
      <c r="H14" s="4" t="n">
        <f aca="false">Assumptions!H19</f>
        <v>21</v>
      </c>
      <c r="I14" s="4" t="n">
        <f aca="false">Assumptions!I19</f>
        <v>21</v>
      </c>
      <c r="J14" s="4" t="n">
        <f aca="false">Assumptions!J19</f>
        <v>21</v>
      </c>
      <c r="K14" s="4" t="n">
        <f aca="false">Assumptions!K19</f>
        <v>21</v>
      </c>
      <c r="L14" s="4" t="n">
        <f aca="false">Assumptions!L19</f>
        <v>21</v>
      </c>
    </row>
    <row r="15" customFormat="false" ht="15" hidden="false" customHeight="false" outlineLevel="0" collapsed="false">
      <c r="A15" s="0" t="s">
        <v>126</v>
      </c>
      <c r="C15" s="0" t="n">
        <f aca="false">C13-MAX(0,C13)*C14/100</f>
        <v>3383.65372278</v>
      </c>
      <c r="D15" s="0" t="n">
        <f aca="false">D13-MAX(0,D13)*D14/100</f>
        <v>3180.3375032421</v>
      </c>
      <c r="E15" s="0" t="n">
        <f aca="false">E13-MAX(0,E13)*E14/100</f>
        <v>3350.90923784505</v>
      </c>
      <c r="F15" s="0" t="n">
        <f aca="false">F13-MAX(0,F13)*F14/100</f>
        <v>3557.04793026972</v>
      </c>
      <c r="G15" s="0" t="n">
        <f aca="false">G13-MAX(0,G13)*G14/100</f>
        <v>3676.13693361085</v>
      </c>
      <c r="H15" s="0" t="n">
        <f aca="false">H13-MAX(0,H13)*H14/100</f>
        <v>3749.65967228307</v>
      </c>
      <c r="I15" s="0" t="n">
        <f aca="false">I13-MAX(0,I13)*I14/100</f>
        <v>3787.1562690059</v>
      </c>
      <c r="J15" s="0" t="n">
        <f aca="false">J13-MAX(0,J13)*J14/100</f>
        <v>3659.64258991479</v>
      </c>
      <c r="K15" s="0" t="n">
        <f aca="false">K13-MAX(0,K13)*K14/100</f>
        <v>3496.80762171545</v>
      </c>
      <c r="L15" s="0" t="n">
        <f aca="false">L13-MAX(0,L13)*L14/100</f>
        <v>3303.15769782694</v>
      </c>
    </row>
    <row r="16" customFormat="false" ht="15" hidden="false" customHeight="false" outlineLevel="0" collapsed="false">
      <c r="A16" s="0" t="s">
        <v>127</v>
      </c>
      <c r="C16" s="0" t="n">
        <f aca="false">-C12</f>
        <v>236.545623</v>
      </c>
      <c r="D16" s="0" t="n">
        <f aca="false">-D12</f>
        <v>250.73836038</v>
      </c>
      <c r="E16" s="0" t="n">
        <f aca="false">-E12</f>
        <v>263.275278399</v>
      </c>
      <c r="F16" s="0" t="n">
        <f aca="false">-F12</f>
        <v>273.80628953496</v>
      </c>
      <c r="G16" s="0" t="n">
        <f aca="false">-G12</f>
        <v>282.020478221009</v>
      </c>
      <c r="H16" s="0" t="n">
        <f aca="false">-H12</f>
        <v>287.660887785429</v>
      </c>
      <c r="I16" s="0" t="n">
        <f aca="false">-I12</f>
        <v>290.537496663283</v>
      </c>
      <c r="J16" s="0" t="n">
        <f aca="false">-J12</f>
        <v>290.537496663283</v>
      </c>
      <c r="K16" s="0" t="n">
        <f aca="false">-K12</f>
        <v>287.632121696651</v>
      </c>
      <c r="L16" s="0" t="n">
        <f aca="false">-L12</f>
        <v>281.879479262717</v>
      </c>
    </row>
    <row r="17" customFormat="false" ht="15" hidden="false" customHeight="false" outlineLevel="0" collapsed="false">
      <c r="A17" s="0" t="s">
        <v>128</v>
      </c>
      <c r="C17" s="4" t="n">
        <f aca="false">-C6*Assumptions!C18/100</f>
        <v>-499.374093</v>
      </c>
      <c r="D17" s="4" t="n">
        <f aca="false">-D6*Assumptions!D18/100</f>
        <v>-529.33653858</v>
      </c>
      <c r="E17" s="4" t="n">
        <f aca="false">-E6*Assumptions!E18/100</f>
        <v>-526.550556798</v>
      </c>
      <c r="F17" s="4" t="n">
        <f aca="false">-F6*Assumptions!F18/100</f>
        <v>-517.18965801048</v>
      </c>
      <c r="G17" s="4" t="n">
        <f aca="false">-G6*Assumptions!G18/100</f>
        <v>-501.369739059571</v>
      </c>
      <c r="H17" s="4" t="n">
        <f aca="false">-H6*Assumptions!H18/100</f>
        <v>-479.434812975715</v>
      </c>
      <c r="I17" s="4" t="n">
        <f aca="false">-I6*Assumptions!I18/100</f>
        <v>-484.229161105472</v>
      </c>
      <c r="J17" s="4" t="n">
        <f aca="false">-J6*Assumptions!J18/100</f>
        <v>-484.229161105472</v>
      </c>
      <c r="K17" s="4" t="n">
        <f aca="false">-K6*Assumptions!K18/100</f>
        <v>-479.386869494417</v>
      </c>
      <c r="L17" s="4" t="n">
        <f aca="false">-L6*Assumptions!L18/100</f>
        <v>-469.799132104529</v>
      </c>
    </row>
    <row r="18" customFormat="false" ht="15" hidden="false" customHeight="false" outlineLevel="0" collapsed="false">
      <c r="A18" s="0" t="s">
        <v>129</v>
      </c>
      <c r="C18" s="4" t="n">
        <f aca="false">(C6-B6)*Assumptions!$B$23/100</f>
        <v>-114.01235</v>
      </c>
      <c r="D18" s="4" t="n">
        <f aca="false">(D6-C6)*Assumptions!$B$23/100</f>
        <v>-78.8485410000001</v>
      </c>
      <c r="E18" s="4" t="n">
        <f aca="false">(E6-D6)*Assumptions!$B$23/100</f>
        <v>-69.6495445500001</v>
      </c>
      <c r="F18" s="4" t="n">
        <f aca="false">(F6-E6)*Assumptions!$B$23/100</f>
        <v>-58.5056174220001</v>
      </c>
      <c r="G18" s="4" t="n">
        <f aca="false">(G6-F6)*Assumptions!$B$23/100</f>
        <v>-45.63438158916</v>
      </c>
      <c r="H18" s="4" t="n">
        <f aca="false">(H6-G6)*Assumptions!$B$23/100</f>
        <v>-31.3356086912232</v>
      </c>
      <c r="I18" s="4" t="n">
        <f aca="false">(I6-H6)*Assumptions!$B$23/100</f>
        <v>-15.9811604325238</v>
      </c>
      <c r="J18" s="4" t="n">
        <f aca="false">(J6-I6)*Assumptions!$B$23/100</f>
        <v>-0</v>
      </c>
      <c r="K18" s="4" t="n">
        <f aca="false">(K6-J6)*Assumptions!$B$23/100</f>
        <v>16.1409720368491</v>
      </c>
      <c r="L18" s="4" t="n">
        <f aca="false">(L6-K6)*Assumptions!$B$23/100</f>
        <v>31.9591246329612</v>
      </c>
    </row>
    <row r="19" customFormat="false" ht="15" hidden="false" customHeight="false" outlineLevel="0" collapsed="false">
      <c r="A19" s="0" t="s">
        <v>130</v>
      </c>
      <c r="C19" s="0" t="n">
        <f aca="false">C15+C16+C17+C18</f>
        <v>3006.81290278</v>
      </c>
      <c r="D19" s="0" t="n">
        <f aca="false">D15+D16+D17+D18</f>
        <v>2822.8907840421</v>
      </c>
      <c r="E19" s="0" t="n">
        <f aca="false">E15+E16+E17+E18</f>
        <v>3017.98441489605</v>
      </c>
      <c r="F19" s="0" t="n">
        <f aca="false">F15+F16+F17+F18</f>
        <v>3255.1589443722</v>
      </c>
      <c r="G19" s="0" t="n">
        <f aca="false">G15+G16+G17+G18</f>
        <v>3411.15329118313</v>
      </c>
      <c r="H19" s="0" t="n">
        <f aca="false">H15+H16+H17+H18</f>
        <v>3526.55013840156</v>
      </c>
      <c r="I19" s="0" t="n">
        <f aca="false">I15+I16+I17+I18</f>
        <v>3577.48344413119</v>
      </c>
      <c r="J19" s="0" t="n">
        <f aca="false">J15+J16+J17+J18</f>
        <v>3465.9509254726</v>
      </c>
      <c r="K19" s="0" t="n">
        <f aca="false">K15+K16+K17+K18</f>
        <v>3321.19384595453</v>
      </c>
      <c r="L19" s="0" t="n">
        <f aca="false">L15+L16+L17+L18</f>
        <v>3147.19716961809</v>
      </c>
    </row>
    <row r="20" customFormat="false" ht="15" hidden="false" customHeight="false" outlineLevel="0" collapsed="false">
      <c r="A20" s="0" t="s">
        <v>131</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132</v>
      </c>
      <c r="C21" s="0" t="n">
        <f aca="false">C19*C20</f>
        <v>2784.08602109259</v>
      </c>
      <c r="D21" s="0" t="n">
        <f aca="false">D19*D20</f>
        <v>2420.17385463143</v>
      </c>
      <c r="E21" s="0" t="n">
        <f aca="false">E19*E20</f>
        <v>2395.77333144088</v>
      </c>
      <c r="F21" s="0" t="n">
        <f aca="false">F19*F20</f>
        <v>2392.63899971096</v>
      </c>
      <c r="G21" s="0" t="n">
        <f aca="false">G19*G20</f>
        <v>2321.57361248562</v>
      </c>
      <c r="H21" s="0" t="n">
        <f aca="false">H19*H20</f>
        <v>2222.32478490107</v>
      </c>
      <c r="I21" s="0" t="n">
        <f aca="false">I19*I20</f>
        <v>2087.42722885985</v>
      </c>
      <c r="J21" s="0" t="n">
        <f aca="false">J19*J20</f>
        <v>1872.54544024367</v>
      </c>
      <c r="K21" s="0" t="n">
        <f aca="false">K19*K20</f>
        <v>1661.42379108211</v>
      </c>
      <c r="L21" s="0" t="n">
        <f aca="false">L19*L20</f>
        <v>1457.76123468565</v>
      </c>
    </row>
    <row r="23" customFormat="false" ht="15" hidden="false" customHeight="false" outlineLevel="0" collapsed="false">
      <c r="A23" s="0" t="s">
        <v>108</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Assumptions!$B$20</f>
        <v>8</v>
      </c>
    </row>
    <row r="28" customFormat="false" ht="15" hidden="false" customHeight="false" outlineLevel="0" collapsed="false">
      <c r="A28" s="0" t="s">
        <v>113</v>
      </c>
      <c r="B28" s="4" t="n">
        <f aca="false">Assumptions!$B$21</f>
        <v>0</v>
      </c>
    </row>
    <row r="29" customFormat="false" ht="15" hidden="false" customHeight="false" outlineLevel="0" collapsed="false">
      <c r="A29" s="0" t="s">
        <v>114</v>
      </c>
      <c r="B29" s="4" t="n">
        <f aca="false">Assumptions!$B$22</f>
        <v>10</v>
      </c>
    </row>
    <row r="30" customFormat="false" ht="15" hidden="false" customHeight="false" outlineLevel="0" collapsed="false">
      <c r="A30" s="0" t="s">
        <v>135</v>
      </c>
      <c r="B30" s="0" t="n">
        <f aca="false">SUM(C21:L21)</f>
        <v>21615.7282991338</v>
      </c>
    </row>
    <row r="31" customFormat="false" ht="15" hidden="false" customHeight="false" outlineLevel="0" collapsed="false">
      <c r="A31" s="0" t="s">
        <v>136</v>
      </c>
      <c r="B31" s="0" t="n">
        <f aca="false">L19</f>
        <v>3147.19716961809</v>
      </c>
    </row>
    <row r="32" customFormat="false" ht="15" hidden="false" customHeight="false" outlineLevel="0" collapsed="false">
      <c r="A32" s="0" t="s">
        <v>137</v>
      </c>
      <c r="B32" s="0" t="n">
        <f aca="false">IF(B27&gt;B28,B31*(1+B28/100)/((B27-B28)/100),B31*B29)</f>
        <v>39339.9646202262</v>
      </c>
    </row>
    <row r="33" customFormat="false" ht="15" hidden="false" customHeight="false" outlineLevel="0" collapsed="false">
      <c r="A33" s="0" t="s">
        <v>138</v>
      </c>
      <c r="B33" s="0" t="n">
        <f aca="false">B31*B29</f>
        <v>31471.9716961809</v>
      </c>
    </row>
    <row r="34" customFormat="false" ht="15" hidden="false" customHeight="false" outlineLevel="0" collapsed="false">
      <c r="A34" s="0" t="s">
        <v>139</v>
      </c>
      <c r="B34" s="0" t="n">
        <f aca="false">MAX(0,MIN(B32,B33))</f>
        <v>31471.9716961809</v>
      </c>
    </row>
    <row r="35" customFormat="false" ht="15" hidden="false" customHeight="false" outlineLevel="0" collapsed="false">
      <c r="A35" s="0" t="s">
        <v>140</v>
      </c>
      <c r="B35" s="0" t="n">
        <f aca="false">B34/(1+B27/100)^L4</f>
        <v>14577.6123468565</v>
      </c>
    </row>
    <row r="36" customFormat="false" ht="15" hidden="false" customHeight="false" outlineLevel="0" collapsed="false">
      <c r="A36" s="0" t="s">
        <v>141</v>
      </c>
      <c r="B36" s="0" t="n">
        <f aca="false">B30+B35</f>
        <v>36193.3406459903</v>
      </c>
    </row>
    <row r="37" customFormat="false" ht="15" hidden="false" customHeight="false" outlineLevel="0" collapsed="false">
      <c r="A37" s="0" t="s">
        <v>142</v>
      </c>
      <c r="B37" s="0" t="n">
        <f aca="false">B36+Assumptions!$B$5-Assumptions!$B$4</f>
        <v>39372.6406459903</v>
      </c>
    </row>
    <row r="38" customFormat="false" ht="15" hidden="false" customHeight="false" outlineLevel="0" collapsed="false">
      <c r="A38" s="0" t="s">
        <v>143</v>
      </c>
      <c r="B38" s="0" t="n">
        <f aca="false">B37/Assumptions!$B$3*Assumptions!$B$10</f>
        <v>154.281507233504</v>
      </c>
    </row>
    <row r="39" customFormat="false" ht="15" hidden="false" customHeight="false" outlineLevel="0" collapsed="false">
      <c r="A39" s="0" t="s">
        <v>144</v>
      </c>
      <c r="B39" s="4" t="n">
        <f aca="false">B38/Assumptions!$B$2-1</f>
        <v>-0.694328636630467</v>
      </c>
    </row>
    <row r="41" customFormat="false" ht="15" hidden="false" customHeight="false" outlineLevel="0" collapsed="false">
      <c r="A41" s="0" t="s">
        <v>145</v>
      </c>
      <c r="B41" s="0" t="n">
        <f aca="false">SUMPRODUCT(-C10:L10/(1+$B$27/100)^C4:L4)</f>
        <v>8693.64157535135</v>
      </c>
    </row>
    <row r="42" customFormat="false" ht="15" hidden="false" customHeight="false" outlineLevel="0" collapsed="false">
      <c r="A42" s="0" t="s">
        <v>146</v>
      </c>
      <c r="B42" s="0" t="n">
        <f aca="false">IF(B27&gt;B28,-L10*(1+B28/100)/((B27-B28)/100),-L10*20)/(1+B27/100)^L4</f>
        <v>7706.946412244</v>
      </c>
    </row>
    <row r="43" customFormat="false" ht="15" hidden="false" customHeight="false" outlineLevel="0" collapsed="false">
      <c r="A43" s="0" t="s">
        <v>147</v>
      </c>
      <c r="B43" s="0" t="n">
        <f aca="false">(B37+B41+B42)/Assumptions!$B$3*Assumptions!$B$10</f>
        <v>218.547134144145</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20981.3144641206</v>
      </c>
    </row>
    <row r="47" customFormat="false" ht="15" hidden="false" customHeight="false" outlineLevel="0" collapsed="false">
      <c r="A47" s="0" t="s">
        <v>149</v>
      </c>
      <c r="B47" s="0" t="n">
        <f aca="false">(SUMPRODUCT(C19:L19/(1+B45/100)^C4:L4)+B46/(1+B45/100)^L4+Assumptions!$B$5-Assumptions!$B$4)/Assumptions!$B$3*Assumptions!$B$10</f>
        <v>95.5358425219036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150</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Assumptions!C27</f>
        <v>10</v>
      </c>
      <c r="D5" s="4" t="n">
        <f aca="false">Assumptions!D27</f>
        <v>9</v>
      </c>
      <c r="E5" s="4" t="n">
        <f aca="false">Assumptions!E27</f>
        <v>9</v>
      </c>
      <c r="F5" s="4" t="n">
        <f aca="false">Assumptions!F27</f>
        <v>8</v>
      </c>
      <c r="G5" s="4" t="n">
        <f aca="false">Assumptions!G27</f>
        <v>7</v>
      </c>
      <c r="H5" s="4" t="n">
        <f aca="false">Assumptions!H27</f>
        <v>6</v>
      </c>
      <c r="I5" s="4" t="n">
        <f aca="false">Assumptions!I27</f>
        <v>5</v>
      </c>
      <c r="J5" s="4" t="n">
        <f aca="false">Assumptions!J27</f>
        <v>4</v>
      </c>
      <c r="K5" s="4" t="n">
        <f aca="false">Assumptions!K27</f>
        <v>3</v>
      </c>
      <c r="L5" s="4" t="n">
        <f aca="false">Assumptions!L27</f>
        <v>2.5</v>
      </c>
    </row>
    <row r="6" customFormat="false" ht="15" hidden="false" customHeight="false" outlineLevel="0" collapsed="false">
      <c r="A6" s="0" t="s">
        <v>37</v>
      </c>
      <c r="B6" s="3" t="n">
        <v>12001.3</v>
      </c>
      <c r="C6" s="0" t="n">
        <f aca="false">B6*(1+C5/100)</f>
        <v>13201.43</v>
      </c>
      <c r="D6" s="0" t="n">
        <f aca="false">C6*(1+D5/100)</f>
        <v>14389.5587</v>
      </c>
      <c r="E6" s="0" t="n">
        <f aca="false">D6*(1+E5/100)</f>
        <v>15684.618983</v>
      </c>
      <c r="F6" s="0" t="n">
        <f aca="false">E6*(1+F5/100)</f>
        <v>16939.38850164</v>
      </c>
      <c r="G6" s="0" t="n">
        <f aca="false">F6*(1+G5/100)</f>
        <v>18125.1456967548</v>
      </c>
      <c r="H6" s="0" t="n">
        <f aca="false">G6*(1+H5/100)</f>
        <v>19212.6544385601</v>
      </c>
      <c r="I6" s="0" t="n">
        <f aca="false">H6*(1+I5/100)</f>
        <v>20173.2871604881</v>
      </c>
      <c r="J6" s="0" t="n">
        <f aca="false">I6*(1+J5/100)</f>
        <v>20980.2186469076</v>
      </c>
      <c r="K6" s="0" t="n">
        <f aca="false">J6*(1+K5/100)</f>
        <v>21609.6252063149</v>
      </c>
      <c r="L6" s="0" t="n">
        <f aca="false">K6*(1+L5/100)</f>
        <v>22149.8658364727</v>
      </c>
    </row>
    <row r="7" customFormat="false" ht="15" hidden="false" customHeight="false" outlineLevel="0" collapsed="false">
      <c r="A7" s="0" t="s">
        <v>106</v>
      </c>
      <c r="C7" s="4" t="n">
        <f aca="false">Assumptions!C28</f>
        <v>42.5</v>
      </c>
      <c r="D7" s="4" t="n">
        <f aca="false">Assumptions!D28</f>
        <v>41</v>
      </c>
      <c r="E7" s="4" t="n">
        <f aca="false">Assumptions!E28</f>
        <v>42</v>
      </c>
      <c r="F7" s="4" t="n">
        <f aca="false">Assumptions!F28</f>
        <v>43.5</v>
      </c>
      <c r="G7" s="4" t="n">
        <f aca="false">Assumptions!G28</f>
        <v>44.5</v>
      </c>
      <c r="H7" s="4" t="n">
        <f aca="false">Assumptions!H28</f>
        <v>45.5</v>
      </c>
      <c r="I7" s="4" t="n">
        <f aca="false">Assumptions!I28</f>
        <v>46</v>
      </c>
      <c r="J7" s="4" t="n">
        <f aca="false">Assumptions!J28</f>
        <v>46</v>
      </c>
      <c r="K7" s="4" t="n">
        <f aca="false">Assumptions!K28</f>
        <v>46</v>
      </c>
      <c r="L7" s="4" t="n">
        <f aca="false">Assumptions!L28</f>
        <v>46</v>
      </c>
    </row>
    <row r="8" customFormat="false" ht="15" hidden="false" customHeight="false" outlineLevel="0" collapsed="false">
      <c r="A8" s="0" t="s">
        <v>43</v>
      </c>
      <c r="C8" s="0" t="n">
        <f aca="false">C6*C7/100</f>
        <v>5610.60775</v>
      </c>
      <c r="D8" s="0" t="n">
        <f aca="false">D6*D7/100</f>
        <v>5899.719067</v>
      </c>
      <c r="E8" s="0" t="n">
        <f aca="false">E6*E7/100</f>
        <v>6587.53997286</v>
      </c>
      <c r="F8" s="0" t="n">
        <f aca="false">F6*F7/100</f>
        <v>7368.6339982134</v>
      </c>
      <c r="G8" s="0" t="n">
        <f aca="false">G6*G7/100</f>
        <v>8065.68983505589</v>
      </c>
      <c r="H8" s="0" t="n">
        <f aca="false">H6*H7/100</f>
        <v>8741.75776954484</v>
      </c>
      <c r="I8" s="0" t="n">
        <f aca="false">I6*I7/100</f>
        <v>9279.71209382453</v>
      </c>
      <c r="J8" s="0" t="n">
        <f aca="false">J6*J7/100</f>
        <v>9650.90057757751</v>
      </c>
      <c r="K8" s="0" t="n">
        <f aca="false">K6*K7/100</f>
        <v>9940.42759490484</v>
      </c>
      <c r="L8" s="0" t="n">
        <f aca="false">L6*L7/100</f>
        <v>10188.9382847775</v>
      </c>
    </row>
    <row r="9" customFormat="false" ht="15" hidden="false" customHeight="false" outlineLevel="0" collapsed="false">
      <c r="A9" s="0" t="s">
        <v>107</v>
      </c>
      <c r="C9" s="4" t="n">
        <f aca="false">Assumptions!C29</f>
        <v>8.8</v>
      </c>
      <c r="D9" s="4" t="n">
        <f aca="false">Assumptions!D29</f>
        <v>8.6</v>
      </c>
      <c r="E9" s="4" t="n">
        <f aca="false">Assumptions!E29</f>
        <v>8.4</v>
      </c>
      <c r="F9" s="4" t="n">
        <f aca="false">Assumptions!F29</f>
        <v>8.2</v>
      </c>
      <c r="G9" s="4" t="n">
        <f aca="false">Assumptions!G29</f>
        <v>8</v>
      </c>
      <c r="H9" s="4" t="n">
        <f aca="false">Assumptions!H29</f>
        <v>7.8</v>
      </c>
      <c r="I9" s="4" t="n">
        <f aca="false">Assumptions!I29</f>
        <v>7.6</v>
      </c>
      <c r="J9" s="4" t="n">
        <f aca="false">Assumptions!J29</f>
        <v>7.5</v>
      </c>
      <c r="K9" s="4" t="n">
        <f aca="false">Assumptions!K29</f>
        <v>7.5</v>
      </c>
      <c r="L9" s="4" t="n">
        <f aca="false">Assumptions!L29</f>
        <v>7.5</v>
      </c>
    </row>
    <row r="10" customFormat="false" ht="15" hidden="false" customHeight="false" outlineLevel="0" collapsed="false">
      <c r="A10" s="0" t="s">
        <v>122</v>
      </c>
      <c r="C10" s="0" t="n">
        <f aca="false">-C6*C9/100</f>
        <v>-1161.72584</v>
      </c>
      <c r="D10" s="0" t="n">
        <f aca="false">-D6*D9/100</f>
        <v>-1237.5020482</v>
      </c>
      <c r="E10" s="0" t="n">
        <f aca="false">-E6*E9/100</f>
        <v>-1317.507994572</v>
      </c>
      <c r="F10" s="0" t="n">
        <f aca="false">-F6*F9/100</f>
        <v>-1389.02985713448</v>
      </c>
      <c r="G10" s="0" t="n">
        <f aca="false">-G6*G9/100</f>
        <v>-1450.01165574038</v>
      </c>
      <c r="H10" s="0" t="n">
        <f aca="false">-H6*H9/100</f>
        <v>-1498.58704620769</v>
      </c>
      <c r="I10" s="0" t="n">
        <f aca="false">-I6*I9/100</f>
        <v>-1533.1698241971</v>
      </c>
      <c r="J10" s="0" t="n">
        <f aca="false">-J6*J9/100</f>
        <v>-1573.51639851807</v>
      </c>
      <c r="K10" s="0" t="n">
        <f aca="false">-K6*K9/100</f>
        <v>-1620.72189047361</v>
      </c>
      <c r="L10" s="0" t="n">
        <f aca="false">-L6*L9/100</f>
        <v>-1661.23993773545</v>
      </c>
    </row>
    <row r="11" customFormat="false" ht="15" hidden="false" customHeight="false" outlineLevel="0" collapsed="false">
      <c r="A11" s="0" t="s">
        <v>123</v>
      </c>
      <c r="C11" s="0" t="n">
        <f aca="false">C8+C10+C24</f>
        <v>4448.88191</v>
      </c>
      <c r="D11" s="0" t="n">
        <f aca="false">D8+D10+D24</f>
        <v>4662.2170188</v>
      </c>
      <c r="E11" s="0" t="n">
        <f aca="false">E8+E10+E24</f>
        <v>5270.031978288</v>
      </c>
      <c r="F11" s="0" t="n">
        <f aca="false">F8+F10+F24</f>
        <v>5979.60414107892</v>
      </c>
      <c r="G11" s="0" t="n">
        <f aca="false">G8+G10+G24</f>
        <v>6615.6781793155</v>
      </c>
      <c r="H11" s="0" t="n">
        <f aca="false">H8+H10+H24</f>
        <v>7243.17072333716</v>
      </c>
      <c r="I11" s="0" t="n">
        <f aca="false">I8+I10+I24</f>
        <v>7746.54226962743</v>
      </c>
      <c r="J11" s="0" t="n">
        <f aca="false">J8+J10+J24</f>
        <v>8077.38417905944</v>
      </c>
      <c r="K11" s="0" t="n">
        <f aca="false">K8+K10+K24</f>
        <v>8319.70570443122</v>
      </c>
      <c r="L11" s="0" t="n">
        <f aca="false">L8+L10+L24</f>
        <v>8527.698347042</v>
      </c>
    </row>
    <row r="12" customFormat="false" ht="15" hidden="false" customHeight="false" outlineLevel="0" collapsed="false">
      <c r="A12" s="0" t="s">
        <v>124</v>
      </c>
      <c r="C12" s="4" t="n">
        <f aca="false">-C6*Assumptions!C31/100</f>
        <v>-237.62574</v>
      </c>
      <c r="D12" s="4" t="n">
        <f aca="false">-D6*Assumptions!D31/100</f>
        <v>-259.0120566</v>
      </c>
      <c r="E12" s="4" t="n">
        <f aca="false">-E6*Assumptions!E31/100</f>
        <v>-282.323141694</v>
      </c>
      <c r="F12" s="4" t="n">
        <f aca="false">-F6*Assumptions!F31/100</f>
        <v>-304.90899302952</v>
      </c>
      <c r="G12" s="4" t="n">
        <f aca="false">-G6*Assumptions!G31/100</f>
        <v>-326.252622541586</v>
      </c>
      <c r="H12" s="4" t="n">
        <f aca="false">-H6*Assumptions!H31/100</f>
        <v>-345.827779894082</v>
      </c>
      <c r="I12" s="4" t="n">
        <f aca="false">-I6*Assumptions!I31/100</f>
        <v>-363.119168888786</v>
      </c>
      <c r="J12" s="4" t="n">
        <f aca="false">-J6*Assumptions!J31/100</f>
        <v>-377.643935644337</v>
      </c>
      <c r="K12" s="4" t="n">
        <f aca="false">-K6*Assumptions!K31/100</f>
        <v>-388.973253713667</v>
      </c>
      <c r="L12" s="4" t="n">
        <f aca="false">-L6*Assumptions!L31/100</f>
        <v>-398.697585056509</v>
      </c>
    </row>
    <row r="13" customFormat="false" ht="15" hidden="false" customHeight="false" outlineLevel="0" collapsed="false">
      <c r="A13" s="0" t="s">
        <v>125</v>
      </c>
      <c r="C13" s="0" t="n">
        <f aca="false">C11+C12</f>
        <v>4211.25617</v>
      </c>
      <c r="D13" s="0" t="n">
        <f aca="false">D11+D12</f>
        <v>4403.2049622</v>
      </c>
      <c r="E13" s="0" t="n">
        <f aca="false">E11+E12</f>
        <v>4987.708836594</v>
      </c>
      <c r="F13" s="0" t="n">
        <f aca="false">F11+F12</f>
        <v>5674.6951480494</v>
      </c>
      <c r="G13" s="0" t="n">
        <f aca="false">G11+G12</f>
        <v>6289.42555677392</v>
      </c>
      <c r="H13" s="0" t="n">
        <f aca="false">H11+H12</f>
        <v>6897.34294344308</v>
      </c>
      <c r="I13" s="0" t="n">
        <f aca="false">I11+I12</f>
        <v>7383.42310073865</v>
      </c>
      <c r="J13" s="0" t="n">
        <f aca="false">J11+J12</f>
        <v>7699.7402434151</v>
      </c>
      <c r="K13" s="0" t="n">
        <f aca="false">K11+K12</f>
        <v>7930.73245071755</v>
      </c>
      <c r="L13" s="0" t="n">
        <f aca="false">L11+L12</f>
        <v>8129.00076198549</v>
      </c>
    </row>
    <row r="14" customFormat="false" ht="15" hidden="false" customHeight="false" outlineLevel="0" collapsed="false">
      <c r="A14" s="0" t="s">
        <v>111</v>
      </c>
      <c r="C14" s="4" t="n">
        <f aca="false">Assumptions!C33</f>
        <v>18</v>
      </c>
      <c r="D14" s="4" t="n">
        <f aca="false">Assumptions!D33</f>
        <v>20</v>
      </c>
      <c r="E14" s="4" t="n">
        <f aca="false">Assumptions!E33</f>
        <v>21</v>
      </c>
      <c r="F14" s="4" t="n">
        <f aca="false">Assumptions!F33</f>
        <v>21</v>
      </c>
      <c r="G14" s="4" t="n">
        <f aca="false">Assumptions!G33</f>
        <v>21</v>
      </c>
      <c r="H14" s="4" t="n">
        <f aca="false">Assumptions!H33</f>
        <v>21</v>
      </c>
      <c r="I14" s="4" t="n">
        <f aca="false">Assumptions!I33</f>
        <v>21</v>
      </c>
      <c r="J14" s="4" t="n">
        <f aca="false">Assumptions!J33</f>
        <v>21</v>
      </c>
      <c r="K14" s="4" t="n">
        <f aca="false">Assumptions!K33</f>
        <v>21</v>
      </c>
      <c r="L14" s="4" t="n">
        <f aca="false">Assumptions!L33</f>
        <v>21</v>
      </c>
    </row>
    <row r="15" customFormat="false" ht="15" hidden="false" customHeight="false" outlineLevel="0" collapsed="false">
      <c r="A15" s="0" t="s">
        <v>126</v>
      </c>
      <c r="C15" s="0" t="n">
        <f aca="false">C13-MAX(0,C13)*C14/100</f>
        <v>3453.2300594</v>
      </c>
      <c r="D15" s="0" t="n">
        <f aca="false">D13-MAX(0,D13)*D14/100</f>
        <v>3522.56396976</v>
      </c>
      <c r="E15" s="0" t="n">
        <f aca="false">E13-MAX(0,E13)*E14/100</f>
        <v>3940.28998090926</v>
      </c>
      <c r="F15" s="0" t="n">
        <f aca="false">F13-MAX(0,F13)*F14/100</f>
        <v>4483.00916695903</v>
      </c>
      <c r="G15" s="0" t="n">
        <f aca="false">G13-MAX(0,G13)*G14/100</f>
        <v>4968.64618985139</v>
      </c>
      <c r="H15" s="0" t="n">
        <f aca="false">H13-MAX(0,H13)*H14/100</f>
        <v>5448.90092532003</v>
      </c>
      <c r="I15" s="0" t="n">
        <f aca="false">I13-MAX(0,I13)*I14/100</f>
        <v>5832.90424958353</v>
      </c>
      <c r="J15" s="0" t="n">
        <f aca="false">J13-MAX(0,J13)*J14/100</f>
        <v>6082.79479229793</v>
      </c>
      <c r="K15" s="0" t="n">
        <f aca="false">K13-MAX(0,K13)*K14/100</f>
        <v>6265.27863606687</v>
      </c>
      <c r="L15" s="0" t="n">
        <f aca="false">L13-MAX(0,L13)*L14/100</f>
        <v>6421.91060196854</v>
      </c>
    </row>
    <row r="16" customFormat="false" ht="15" hidden="false" customHeight="false" outlineLevel="0" collapsed="false">
      <c r="A16" s="0" t="s">
        <v>127</v>
      </c>
      <c r="C16" s="0" t="n">
        <f aca="false">-C12</f>
        <v>237.62574</v>
      </c>
      <c r="D16" s="0" t="n">
        <f aca="false">-D12</f>
        <v>259.0120566</v>
      </c>
      <c r="E16" s="0" t="n">
        <f aca="false">-E12</f>
        <v>282.323141694</v>
      </c>
      <c r="F16" s="0" t="n">
        <f aca="false">-F12</f>
        <v>304.90899302952</v>
      </c>
      <c r="G16" s="0" t="n">
        <f aca="false">-G12</f>
        <v>326.252622541586</v>
      </c>
      <c r="H16" s="0" t="n">
        <f aca="false">-H12</f>
        <v>345.827779894082</v>
      </c>
      <c r="I16" s="0" t="n">
        <f aca="false">-I12</f>
        <v>363.119168888786</v>
      </c>
      <c r="J16" s="0" t="n">
        <f aca="false">-J12</f>
        <v>377.643935644337</v>
      </c>
      <c r="K16" s="0" t="n">
        <f aca="false">-K12</f>
        <v>388.973253713667</v>
      </c>
      <c r="L16" s="0" t="n">
        <f aca="false">-L12</f>
        <v>398.697585056509</v>
      </c>
    </row>
    <row r="17" customFormat="false" ht="15" hidden="false" customHeight="false" outlineLevel="0" collapsed="false">
      <c r="A17" s="0" t="s">
        <v>128</v>
      </c>
      <c r="C17" s="4" t="n">
        <f aca="false">-C6*Assumptions!C32/100</f>
        <v>-501.65434</v>
      </c>
      <c r="D17" s="4" t="n">
        <f aca="false">-D6*Assumptions!D32/100</f>
        <v>-546.8032306</v>
      </c>
      <c r="E17" s="4" t="n">
        <f aca="false">-E6*Assumptions!E32/100</f>
        <v>-564.646283388</v>
      </c>
      <c r="F17" s="4" t="n">
        <f aca="false">-F6*Assumptions!F32/100</f>
        <v>-575.93920905576</v>
      </c>
      <c r="G17" s="4" t="n">
        <f aca="false">-G6*Assumptions!G32/100</f>
        <v>-580.004662296154</v>
      </c>
      <c r="H17" s="4" t="n">
        <f aca="false">-H6*Assumptions!H32/100</f>
        <v>-576.379633156803</v>
      </c>
      <c r="I17" s="4" t="n">
        <f aca="false">-I6*Assumptions!I32/100</f>
        <v>-605.198614814643</v>
      </c>
      <c r="J17" s="4" t="n">
        <f aca="false">-J6*Assumptions!J32/100</f>
        <v>-629.406559407229</v>
      </c>
      <c r="K17" s="4" t="n">
        <f aca="false">-K6*Assumptions!K32/100</f>
        <v>-648.288756189446</v>
      </c>
      <c r="L17" s="4" t="n">
        <f aca="false">-L6*Assumptions!L32/100</f>
        <v>-664.495975094182</v>
      </c>
    </row>
    <row r="18" customFormat="false" ht="15" hidden="false" customHeight="false" outlineLevel="0" collapsed="false">
      <c r="A18" s="0" t="s">
        <v>129</v>
      </c>
      <c r="C18" s="4" t="n">
        <f aca="false">(C6-B6)*Assumptions!$B$37/100</f>
        <v>-120.013</v>
      </c>
      <c r="D18" s="4" t="n">
        <f aca="false">(D6-C6)*Assumptions!$B$37/100</f>
        <v>-118.81287</v>
      </c>
      <c r="E18" s="4" t="n">
        <f aca="false">(E6-D6)*Assumptions!$B$37/100</f>
        <v>-129.5060283</v>
      </c>
      <c r="F18" s="4" t="n">
        <f aca="false">(F6-E6)*Assumptions!$B$37/100</f>
        <v>-125.476951864</v>
      </c>
      <c r="G18" s="4" t="n">
        <f aca="false">(G6-F6)*Assumptions!$B$37/100</f>
        <v>-118.57571951148</v>
      </c>
      <c r="H18" s="4" t="n">
        <f aca="false">(H6-G6)*Assumptions!$B$37/100</f>
        <v>-108.750874180529</v>
      </c>
      <c r="I18" s="4" t="n">
        <f aca="false">(I6-H6)*Assumptions!$B$37/100</f>
        <v>-96.0632721928007</v>
      </c>
      <c r="J18" s="4" t="n">
        <f aca="false">(J6-I6)*Assumptions!$B$37/100</f>
        <v>-80.6931486419526</v>
      </c>
      <c r="K18" s="4" t="n">
        <f aca="false">(K6-J6)*Assumptions!$B$37/100</f>
        <v>-62.9406559407231</v>
      </c>
      <c r="L18" s="4" t="n">
        <f aca="false">(L6-K6)*Assumptions!$B$37/100</f>
        <v>-54.024063015787</v>
      </c>
    </row>
    <row r="19" customFormat="false" ht="15" hidden="false" customHeight="false" outlineLevel="0" collapsed="false">
      <c r="A19" s="0" t="s">
        <v>130</v>
      </c>
      <c r="C19" s="0" t="n">
        <f aca="false">C15+C16+C17+C18</f>
        <v>3069.1884594</v>
      </c>
      <c r="D19" s="0" t="n">
        <f aca="false">D15+D16+D17+D18</f>
        <v>3115.95992576</v>
      </c>
      <c r="E19" s="0" t="n">
        <f aca="false">E15+E16+E17+E18</f>
        <v>3528.46081091526</v>
      </c>
      <c r="F19" s="0" t="n">
        <f aca="false">F15+F16+F17+F18</f>
        <v>4086.50199906879</v>
      </c>
      <c r="G19" s="0" t="n">
        <f aca="false">G15+G16+G17+G18</f>
        <v>4596.31843058535</v>
      </c>
      <c r="H19" s="0" t="n">
        <f aca="false">H15+H16+H17+H18</f>
        <v>5109.59819787678</v>
      </c>
      <c r="I19" s="0" t="n">
        <f aca="false">I15+I16+I17+I18</f>
        <v>5494.76153146487</v>
      </c>
      <c r="J19" s="0" t="n">
        <f aca="false">J15+J16+J17+J18</f>
        <v>5750.33901989308</v>
      </c>
      <c r="K19" s="0" t="n">
        <f aca="false">K15+K16+K17+K18</f>
        <v>5943.02247765037</v>
      </c>
      <c r="L19" s="0" t="n">
        <f aca="false">L15+L16+L17+L18</f>
        <v>6102.08814891508</v>
      </c>
    </row>
    <row r="20" customFormat="false" ht="15" hidden="false" customHeight="false" outlineLevel="0" collapsed="false">
      <c r="A20" s="0" t="s">
        <v>131</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132</v>
      </c>
      <c r="C21" s="0" t="n">
        <f aca="false">C19*C20</f>
        <v>2841.84116611111</v>
      </c>
      <c r="D21" s="0" t="n">
        <f aca="false">D19*D20</f>
        <v>2671.43340685871</v>
      </c>
      <c r="E21" s="0" t="n">
        <f aca="false">E19*E20</f>
        <v>2801.00595288071</v>
      </c>
      <c r="F21" s="0" t="n">
        <f aca="false">F19*F20</f>
        <v>3003.70096282794</v>
      </c>
      <c r="G21" s="0" t="n">
        <f aca="false">G19*G20</f>
        <v>3128.17709207294</v>
      </c>
      <c r="H21" s="0" t="n">
        <f aca="false">H19*H20</f>
        <v>3219.91358987859</v>
      </c>
      <c r="I21" s="0" t="n">
        <f aca="false">I19*I20</f>
        <v>3206.14057786561</v>
      </c>
      <c r="J21" s="0" t="n">
        <f aca="false">J19*J20</f>
        <v>3106.72924778582</v>
      </c>
      <c r="K21" s="0" t="n">
        <f aca="false">K19*K20</f>
        <v>2972.99085608364</v>
      </c>
      <c r="L21" s="0" t="n">
        <f aca="false">L19*L20</f>
        <v>2826.44749429619</v>
      </c>
    </row>
    <row r="23" customFormat="false" ht="15" hidden="false" customHeight="false" outlineLevel="0" collapsed="false">
      <c r="A23" s="0" t="s">
        <v>108</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Assumptions!$B$34</f>
        <v>8</v>
      </c>
    </row>
    <row r="28" customFormat="false" ht="15" hidden="false" customHeight="false" outlineLevel="0" collapsed="false">
      <c r="A28" s="0" t="s">
        <v>113</v>
      </c>
      <c r="B28" s="4" t="n">
        <f aca="false">Assumptions!$B$35</f>
        <v>2.5</v>
      </c>
    </row>
    <row r="29" customFormat="false" ht="15" hidden="false" customHeight="false" outlineLevel="0" collapsed="false">
      <c r="A29" s="0" t="s">
        <v>114</v>
      </c>
      <c r="B29" s="4" t="n">
        <f aca="false">Assumptions!$B$36</f>
        <v>16</v>
      </c>
    </row>
    <row r="30" customFormat="false" ht="15" hidden="false" customHeight="false" outlineLevel="0" collapsed="false">
      <c r="A30" s="0" t="s">
        <v>135</v>
      </c>
      <c r="B30" s="0" t="n">
        <f aca="false">SUM(C21:L21)</f>
        <v>29778.3803466613</v>
      </c>
    </row>
    <row r="31" customFormat="false" ht="15" hidden="false" customHeight="false" outlineLevel="0" collapsed="false">
      <c r="A31" s="0" t="s">
        <v>136</v>
      </c>
      <c r="B31" s="0" t="n">
        <f aca="false">L19</f>
        <v>6102.08814891508</v>
      </c>
    </row>
    <row r="32" customFormat="false" ht="15" hidden="false" customHeight="false" outlineLevel="0" collapsed="false">
      <c r="A32" s="0" t="s">
        <v>137</v>
      </c>
      <c r="B32" s="0" t="n">
        <f aca="false">IF(B27&gt;B28,B31*(1+B28/100)/((B27-B28)/100),B31*B29)</f>
        <v>113720.733684326</v>
      </c>
    </row>
    <row r="33" customFormat="false" ht="15" hidden="false" customHeight="false" outlineLevel="0" collapsed="false">
      <c r="A33" s="0" t="s">
        <v>138</v>
      </c>
      <c r="B33" s="0" t="n">
        <f aca="false">B31*B29</f>
        <v>97633.4103826413</v>
      </c>
    </row>
    <row r="34" customFormat="false" ht="15" hidden="false" customHeight="false" outlineLevel="0" collapsed="false">
      <c r="A34" s="0" t="s">
        <v>139</v>
      </c>
      <c r="B34" s="0" t="n">
        <f aca="false">MAX(0,MIN(B32,B33))</f>
        <v>97633.4103826413</v>
      </c>
    </row>
    <row r="35" customFormat="false" ht="15" hidden="false" customHeight="false" outlineLevel="0" collapsed="false">
      <c r="A35" s="0" t="s">
        <v>140</v>
      </c>
      <c r="B35" s="0" t="n">
        <f aca="false">B34/(1+B27/100)^L4</f>
        <v>45223.159908739</v>
      </c>
    </row>
    <row r="36" customFormat="false" ht="15" hidden="false" customHeight="false" outlineLevel="0" collapsed="false">
      <c r="A36" s="0" t="s">
        <v>141</v>
      </c>
      <c r="B36" s="0" t="n">
        <f aca="false">B30+B35</f>
        <v>75001.5402554003</v>
      </c>
    </row>
    <row r="37" customFormat="false" ht="15" hidden="false" customHeight="false" outlineLevel="0" collapsed="false">
      <c r="A37" s="0" t="s">
        <v>142</v>
      </c>
      <c r="B37" s="0" t="n">
        <f aca="false">B36+Assumptions!$B$5-Assumptions!$B$4</f>
        <v>78180.8402554003</v>
      </c>
    </row>
    <row r="38" customFormat="false" ht="15" hidden="false" customHeight="false" outlineLevel="0" collapsed="false">
      <c r="A38" s="0" t="s">
        <v>143</v>
      </c>
      <c r="B38" s="0" t="n">
        <f aca="false">B37/Assumptions!$B$3*Assumptions!$B$10</f>
        <v>306.35125491928</v>
      </c>
    </row>
    <row r="39" customFormat="false" ht="15" hidden="false" customHeight="false" outlineLevel="0" collapsed="false">
      <c r="A39" s="0" t="s">
        <v>144</v>
      </c>
      <c r="B39" s="4" t="n">
        <f aca="false">B38/Assumptions!$B$2-1</f>
        <v>-0.393039338023735</v>
      </c>
    </row>
    <row r="41" customFormat="false" ht="15" hidden="false" customHeight="false" outlineLevel="0" collapsed="false">
      <c r="A41" s="0" t="s">
        <v>145</v>
      </c>
      <c r="B41" s="0" t="n">
        <f aca="false">SUMPRODUCT(-C10:L10/(1+$B$27/100)^C4:L4)</f>
        <v>9459.65875279167</v>
      </c>
    </row>
    <row r="42" customFormat="false" ht="15" hidden="false" customHeight="false" outlineLevel="0" collapsed="false">
      <c r="A42" s="0" t="s">
        <v>146</v>
      </c>
      <c r="B42" s="0" t="n">
        <f aca="false">IF(B27&gt;B28,-L10*(1+B28/100)/((B27-B28)/100),-L10*20)/(1+B27/100)^L4</f>
        <v>14340.2256243255</v>
      </c>
    </row>
    <row r="43" customFormat="false" ht="15" hidden="false" customHeight="false" outlineLevel="0" collapsed="false">
      <c r="A43" s="0" t="s">
        <v>147</v>
      </c>
      <c r="B43" s="0" t="n">
        <f aca="false">(B37+B41+B42)/Assumptions!$B$3*Assumptions!$B$10</f>
        <v>399.610989939332</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50037.1228211036</v>
      </c>
    </row>
    <row r="47" customFormat="false" ht="15" hidden="false" customHeight="false" outlineLevel="0" collapsed="false">
      <c r="A47" s="0" t="s">
        <v>149</v>
      </c>
      <c r="B47" s="0" t="n">
        <f aca="false">(SUMPRODUCT(C19:L19/(1+B45/100)^C4:L4)+B46/(1+B45/100)^L4+Assumptions!$B$5-Assumptions!$B$4)/Assumptions!$B$3*Assumptions!$B$10</f>
        <v>144.461518466501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Assumptions!C41</f>
        <v>10.5</v>
      </c>
      <c r="D5" s="4" t="n">
        <f aca="false">Assumptions!D41</f>
        <v>12</v>
      </c>
      <c r="E5" s="4" t="n">
        <f aca="false">Assumptions!E41</f>
        <v>12</v>
      </c>
      <c r="F5" s="4" t="n">
        <f aca="false">Assumptions!F41</f>
        <v>11</v>
      </c>
      <c r="G5" s="4" t="n">
        <f aca="false">Assumptions!G41</f>
        <v>10</v>
      </c>
      <c r="H5" s="4" t="n">
        <f aca="false">Assumptions!H41</f>
        <v>9</v>
      </c>
      <c r="I5" s="4" t="n">
        <f aca="false">Assumptions!I41</f>
        <v>8</v>
      </c>
      <c r="J5" s="4" t="n">
        <f aca="false">Assumptions!J41</f>
        <v>6</v>
      </c>
      <c r="K5" s="4" t="n">
        <f aca="false">Assumptions!K41</f>
        <v>5</v>
      </c>
      <c r="L5" s="4" t="n">
        <f aca="false">Assumptions!L41</f>
        <v>4</v>
      </c>
    </row>
    <row r="6" customFormat="false" ht="15" hidden="false" customHeight="false" outlineLevel="0" collapsed="false">
      <c r="A6" s="0" t="s">
        <v>37</v>
      </c>
      <c r="B6" s="3" t="n">
        <v>12001.3</v>
      </c>
      <c r="C6" s="0" t="n">
        <f aca="false">B6*(1+C5/100)</f>
        <v>13261.4365</v>
      </c>
      <c r="D6" s="0" t="n">
        <f aca="false">C6*(1+D5/100)</f>
        <v>14852.80888</v>
      </c>
      <c r="E6" s="0" t="n">
        <f aca="false">D6*(1+E5/100)</f>
        <v>16635.1459456</v>
      </c>
      <c r="F6" s="0" t="n">
        <f aca="false">E6*(1+F5/100)</f>
        <v>18465.011999616</v>
      </c>
      <c r="G6" s="0" t="n">
        <f aca="false">F6*(1+G5/100)</f>
        <v>20311.5131995776</v>
      </c>
      <c r="H6" s="0" t="n">
        <f aca="false">G6*(1+H5/100)</f>
        <v>22139.5493875396</v>
      </c>
      <c r="I6" s="0" t="n">
        <f aca="false">H6*(1+I5/100)</f>
        <v>23910.7133385428</v>
      </c>
      <c r="J6" s="0" t="n">
        <f aca="false">I6*(1+J5/100)</f>
        <v>25345.3561388553</v>
      </c>
      <c r="K6" s="0" t="n">
        <f aca="false">J6*(1+K5/100)</f>
        <v>26612.6239457981</v>
      </c>
      <c r="L6" s="0" t="n">
        <f aca="false">K6*(1+L5/100)</f>
        <v>27677.12890363</v>
      </c>
    </row>
    <row r="7" customFormat="false" ht="15" hidden="false" customHeight="false" outlineLevel="0" collapsed="false">
      <c r="A7" s="0" t="s">
        <v>106</v>
      </c>
      <c r="C7" s="4" t="n">
        <f aca="false">Assumptions!C42</f>
        <v>43</v>
      </c>
      <c r="D7" s="4" t="n">
        <f aca="false">Assumptions!D42</f>
        <v>42.5</v>
      </c>
      <c r="E7" s="4" t="n">
        <f aca="false">Assumptions!E42</f>
        <v>44.5</v>
      </c>
      <c r="F7" s="4" t="n">
        <f aca="false">Assumptions!F42</f>
        <v>46.5</v>
      </c>
      <c r="G7" s="4" t="n">
        <f aca="false">Assumptions!G42</f>
        <v>48</v>
      </c>
      <c r="H7" s="4" t="n">
        <f aca="false">Assumptions!H42</f>
        <v>49</v>
      </c>
      <c r="I7" s="4" t="n">
        <f aca="false">Assumptions!I42</f>
        <v>50</v>
      </c>
      <c r="J7" s="4" t="n">
        <f aca="false">Assumptions!J42</f>
        <v>50</v>
      </c>
      <c r="K7" s="4" t="n">
        <f aca="false">Assumptions!K42</f>
        <v>50</v>
      </c>
      <c r="L7" s="4" t="n">
        <f aca="false">Assumptions!L42</f>
        <v>50</v>
      </c>
    </row>
    <row r="8" customFormat="false" ht="15" hidden="false" customHeight="false" outlineLevel="0" collapsed="false">
      <c r="A8" s="0" t="s">
        <v>43</v>
      </c>
      <c r="C8" s="0" t="n">
        <f aca="false">C6*C7/100</f>
        <v>5702.417695</v>
      </c>
      <c r="D8" s="0" t="n">
        <f aca="false">D6*D7/100</f>
        <v>6312.443774</v>
      </c>
      <c r="E8" s="0" t="n">
        <f aca="false">E6*E7/100</f>
        <v>7402.639945792</v>
      </c>
      <c r="F8" s="0" t="n">
        <f aca="false">F6*F7/100</f>
        <v>8586.23057982144</v>
      </c>
      <c r="G8" s="0" t="n">
        <f aca="false">G6*G7/100</f>
        <v>9749.52633579725</v>
      </c>
      <c r="H8" s="0" t="n">
        <f aca="false">H6*H7/100</f>
        <v>10848.3791998944</v>
      </c>
      <c r="I8" s="0" t="n">
        <f aca="false">I6*I7/100</f>
        <v>11955.3566692714</v>
      </c>
      <c r="J8" s="0" t="n">
        <f aca="false">J6*J7/100</f>
        <v>12672.6780694277</v>
      </c>
      <c r="K8" s="0" t="n">
        <f aca="false">K6*K7/100</f>
        <v>13306.311972899</v>
      </c>
      <c r="L8" s="0" t="n">
        <f aca="false">L6*L7/100</f>
        <v>13838.564451815</v>
      </c>
    </row>
    <row r="9" customFormat="false" ht="15" hidden="false" customHeight="false" outlineLevel="0" collapsed="false">
      <c r="A9" s="0" t="s">
        <v>107</v>
      </c>
      <c r="C9" s="4" t="n">
        <f aca="false">Assumptions!C43</f>
        <v>8.8</v>
      </c>
      <c r="D9" s="4" t="n">
        <f aca="false">Assumptions!D43</f>
        <v>8.5</v>
      </c>
      <c r="E9" s="4" t="n">
        <f aca="false">Assumptions!E43</f>
        <v>8.2</v>
      </c>
      <c r="F9" s="4" t="n">
        <f aca="false">Assumptions!F43</f>
        <v>7.9</v>
      </c>
      <c r="G9" s="4" t="n">
        <f aca="false">Assumptions!G43</f>
        <v>7.6</v>
      </c>
      <c r="H9" s="4" t="n">
        <f aca="false">Assumptions!H43</f>
        <v>7.3</v>
      </c>
      <c r="I9" s="4" t="n">
        <f aca="false">Assumptions!I43</f>
        <v>7</v>
      </c>
      <c r="J9" s="4" t="n">
        <f aca="false">Assumptions!J43</f>
        <v>7</v>
      </c>
      <c r="K9" s="4" t="n">
        <f aca="false">Assumptions!K43</f>
        <v>7</v>
      </c>
      <c r="L9" s="4" t="n">
        <f aca="false">Assumptions!L43</f>
        <v>7</v>
      </c>
    </row>
    <row r="10" customFormat="false" ht="15" hidden="false" customHeight="false" outlineLevel="0" collapsed="false">
      <c r="A10" s="0" t="s">
        <v>122</v>
      </c>
      <c r="C10" s="0" t="n">
        <f aca="false">-C6*C9/100</f>
        <v>-1167.006412</v>
      </c>
      <c r="D10" s="0" t="n">
        <f aca="false">-D6*D9/100</f>
        <v>-1262.4887548</v>
      </c>
      <c r="E10" s="0" t="n">
        <f aca="false">-E6*E9/100</f>
        <v>-1364.0819675392</v>
      </c>
      <c r="F10" s="0" t="n">
        <f aca="false">-F6*F9/100</f>
        <v>-1458.73594796966</v>
      </c>
      <c r="G10" s="0" t="n">
        <f aca="false">-G6*G9/100</f>
        <v>-1543.6750031679</v>
      </c>
      <c r="H10" s="0" t="n">
        <f aca="false">-H6*H9/100</f>
        <v>-1616.18710529039</v>
      </c>
      <c r="I10" s="0" t="n">
        <f aca="false">-I6*I9/100</f>
        <v>-1673.74993369799</v>
      </c>
      <c r="J10" s="0" t="n">
        <f aca="false">-J6*J9/100</f>
        <v>-1774.17492971987</v>
      </c>
      <c r="K10" s="0" t="n">
        <f aca="false">-K6*K9/100</f>
        <v>-1862.88367620587</v>
      </c>
      <c r="L10" s="0" t="n">
        <f aca="false">-L6*L9/100</f>
        <v>-1937.3990232541</v>
      </c>
    </row>
    <row r="11" customFormat="false" ht="15" hidden="false" customHeight="false" outlineLevel="0" collapsed="false">
      <c r="A11" s="0" t="s">
        <v>123</v>
      </c>
      <c r="C11" s="0" t="n">
        <f aca="false">C8+C10+C24</f>
        <v>4535.411283</v>
      </c>
      <c r="D11" s="0" t="n">
        <f aca="false">D8+D10+D24</f>
        <v>5049.9550192</v>
      </c>
      <c r="E11" s="0" t="n">
        <f aca="false">E8+E10+E24</f>
        <v>6038.5579782528</v>
      </c>
      <c r="F11" s="0" t="n">
        <f aca="false">F8+F10+F24</f>
        <v>7127.49463185178</v>
      </c>
      <c r="G11" s="0" t="n">
        <f aca="false">G8+G10+G24</f>
        <v>8205.85133262935</v>
      </c>
      <c r="H11" s="0" t="n">
        <f aca="false">H8+H10+H24</f>
        <v>9232.19209460401</v>
      </c>
      <c r="I11" s="0" t="n">
        <f aca="false">I8+I10+I24</f>
        <v>10281.6067355734</v>
      </c>
      <c r="J11" s="0" t="n">
        <f aca="false">J8+J10+J24</f>
        <v>10898.5031397078</v>
      </c>
      <c r="K11" s="0" t="n">
        <f aca="false">K8+K10+K24</f>
        <v>11443.4282966932</v>
      </c>
      <c r="L11" s="0" t="n">
        <f aca="false">L8+L10+L24</f>
        <v>11901.1654285609</v>
      </c>
    </row>
    <row r="12" customFormat="false" ht="15" hidden="false" customHeight="false" outlineLevel="0" collapsed="false">
      <c r="A12" s="0" t="s">
        <v>124</v>
      </c>
      <c r="C12" s="4" t="n">
        <f aca="false">-C6*Assumptions!C45/100</f>
        <v>-238.705857</v>
      </c>
      <c r="D12" s="4" t="n">
        <f aca="false">-D6*Assumptions!D45/100</f>
        <v>-267.35055984</v>
      </c>
      <c r="E12" s="4" t="n">
        <f aca="false">-E6*Assumptions!E45/100</f>
        <v>-299.4326270208</v>
      </c>
      <c r="F12" s="4" t="n">
        <f aca="false">-F6*Assumptions!F45/100</f>
        <v>-332.370215993088</v>
      </c>
      <c r="G12" s="4" t="n">
        <f aca="false">-G6*Assumptions!G45/100</f>
        <v>-365.607237592397</v>
      </c>
      <c r="H12" s="4" t="n">
        <f aca="false">-H6*Assumptions!H45/100</f>
        <v>-398.511888975713</v>
      </c>
      <c r="I12" s="4" t="n">
        <f aca="false">-I6*Assumptions!I45/100</f>
        <v>-430.39284009377</v>
      </c>
      <c r="J12" s="4" t="n">
        <f aca="false">-J6*Assumptions!J45/100</f>
        <v>-456.216410499396</v>
      </c>
      <c r="K12" s="4" t="n">
        <f aca="false">-K6*Assumptions!K45/100</f>
        <v>-479.027231024366</v>
      </c>
      <c r="L12" s="4" t="n">
        <f aca="false">-L6*Assumptions!L45/100</f>
        <v>-498.18832026534</v>
      </c>
    </row>
    <row r="13" customFormat="false" ht="15" hidden="false" customHeight="false" outlineLevel="0" collapsed="false">
      <c r="A13" s="0" t="s">
        <v>125</v>
      </c>
      <c r="C13" s="0" t="n">
        <f aca="false">C11+C12</f>
        <v>4296.705426</v>
      </c>
      <c r="D13" s="0" t="n">
        <f aca="false">D11+D12</f>
        <v>4782.60445936</v>
      </c>
      <c r="E13" s="0" t="n">
        <f aca="false">E11+E12</f>
        <v>5739.125351232</v>
      </c>
      <c r="F13" s="0" t="n">
        <f aca="false">F11+F12</f>
        <v>6795.12441585869</v>
      </c>
      <c r="G13" s="0" t="n">
        <f aca="false">G11+G12</f>
        <v>7840.24409503696</v>
      </c>
      <c r="H13" s="0" t="n">
        <f aca="false">H11+H12</f>
        <v>8833.6802056283</v>
      </c>
      <c r="I13" s="0" t="n">
        <f aca="false">I11+I12</f>
        <v>9851.21389547962</v>
      </c>
      <c r="J13" s="0" t="n">
        <f aca="false">J11+J12</f>
        <v>10442.2867292084</v>
      </c>
      <c r="K13" s="0" t="n">
        <f aca="false">K11+K12</f>
        <v>10964.4010656688</v>
      </c>
      <c r="L13" s="0" t="n">
        <f aca="false">L11+L12</f>
        <v>11402.9771082956</v>
      </c>
    </row>
    <row r="14" customFormat="false" ht="15" hidden="false" customHeight="false" outlineLevel="0" collapsed="false">
      <c r="A14" s="0" t="s">
        <v>111</v>
      </c>
      <c r="C14" s="4" t="n">
        <f aca="false">Assumptions!C47</f>
        <v>18</v>
      </c>
      <c r="D14" s="4" t="n">
        <f aca="false">Assumptions!D47</f>
        <v>20</v>
      </c>
      <c r="E14" s="4" t="n">
        <f aca="false">Assumptions!E47</f>
        <v>21</v>
      </c>
      <c r="F14" s="4" t="n">
        <f aca="false">Assumptions!F47</f>
        <v>21</v>
      </c>
      <c r="G14" s="4" t="n">
        <f aca="false">Assumptions!G47</f>
        <v>21</v>
      </c>
      <c r="H14" s="4" t="n">
        <f aca="false">Assumptions!H47</f>
        <v>21</v>
      </c>
      <c r="I14" s="4" t="n">
        <f aca="false">Assumptions!I47</f>
        <v>21</v>
      </c>
      <c r="J14" s="4" t="n">
        <f aca="false">Assumptions!J47</f>
        <v>21</v>
      </c>
      <c r="K14" s="4" t="n">
        <f aca="false">Assumptions!K47</f>
        <v>21</v>
      </c>
      <c r="L14" s="4" t="n">
        <f aca="false">Assumptions!L47</f>
        <v>21</v>
      </c>
    </row>
    <row r="15" customFormat="false" ht="15" hidden="false" customHeight="false" outlineLevel="0" collapsed="false">
      <c r="A15" s="0" t="s">
        <v>126</v>
      </c>
      <c r="C15" s="0" t="n">
        <f aca="false">C13-MAX(0,C13)*C14/100</f>
        <v>3523.29844932</v>
      </c>
      <c r="D15" s="0" t="n">
        <f aca="false">D13-MAX(0,D13)*D14/100</f>
        <v>3826.083567488</v>
      </c>
      <c r="E15" s="0" t="n">
        <f aca="false">E13-MAX(0,E13)*E14/100</f>
        <v>4533.90902747328</v>
      </c>
      <c r="F15" s="0" t="n">
        <f aca="false">F13-MAX(0,F13)*F14/100</f>
        <v>5368.14828852837</v>
      </c>
      <c r="G15" s="0" t="n">
        <f aca="false">G13-MAX(0,G13)*G14/100</f>
        <v>6193.7928350792</v>
      </c>
      <c r="H15" s="0" t="n">
        <f aca="false">H13-MAX(0,H13)*H14/100</f>
        <v>6978.60736244636</v>
      </c>
      <c r="I15" s="0" t="n">
        <f aca="false">I13-MAX(0,I13)*I14/100</f>
        <v>7782.4589774289</v>
      </c>
      <c r="J15" s="0" t="n">
        <f aca="false">J13-MAX(0,J13)*J14/100</f>
        <v>8249.40651607463</v>
      </c>
      <c r="K15" s="0" t="n">
        <f aca="false">K13-MAX(0,K13)*K14/100</f>
        <v>8661.87684187836</v>
      </c>
      <c r="L15" s="0" t="n">
        <f aca="false">L13-MAX(0,L13)*L14/100</f>
        <v>9008.35191555349</v>
      </c>
    </row>
    <row r="16" customFormat="false" ht="15" hidden="false" customHeight="false" outlineLevel="0" collapsed="false">
      <c r="A16" s="0" t="s">
        <v>127</v>
      </c>
      <c r="C16" s="0" t="n">
        <f aca="false">-C12</f>
        <v>238.705857</v>
      </c>
      <c r="D16" s="0" t="n">
        <f aca="false">-D12</f>
        <v>267.35055984</v>
      </c>
      <c r="E16" s="0" t="n">
        <f aca="false">-E12</f>
        <v>299.4326270208</v>
      </c>
      <c r="F16" s="0" t="n">
        <f aca="false">-F12</f>
        <v>332.370215993088</v>
      </c>
      <c r="G16" s="0" t="n">
        <f aca="false">-G12</f>
        <v>365.607237592397</v>
      </c>
      <c r="H16" s="0" t="n">
        <f aca="false">-H12</f>
        <v>398.511888975713</v>
      </c>
      <c r="I16" s="0" t="n">
        <f aca="false">-I12</f>
        <v>430.39284009377</v>
      </c>
      <c r="J16" s="0" t="n">
        <f aca="false">-J12</f>
        <v>456.216410499396</v>
      </c>
      <c r="K16" s="0" t="n">
        <f aca="false">-K12</f>
        <v>479.027231024366</v>
      </c>
      <c r="L16" s="0" t="n">
        <f aca="false">-L12</f>
        <v>498.18832026534</v>
      </c>
    </row>
    <row r="17" customFormat="false" ht="15" hidden="false" customHeight="false" outlineLevel="0" collapsed="false">
      <c r="A17" s="0" t="s">
        <v>128</v>
      </c>
      <c r="C17" s="4" t="n">
        <f aca="false">-C6*Assumptions!C46/100</f>
        <v>-503.934587</v>
      </c>
      <c r="D17" s="4" t="n">
        <f aca="false">-D6*Assumptions!D46/100</f>
        <v>-564.40673744</v>
      </c>
      <c r="E17" s="4" t="n">
        <f aca="false">-E6*Assumptions!E46/100</f>
        <v>-598.8652540416</v>
      </c>
      <c r="F17" s="4" t="n">
        <f aca="false">-F6*Assumptions!F46/100</f>
        <v>-627.810407986944</v>
      </c>
      <c r="G17" s="4" t="n">
        <f aca="false">-G6*Assumptions!G46/100</f>
        <v>-649.968422386483</v>
      </c>
      <c r="H17" s="4" t="n">
        <f aca="false">-H6*Assumptions!H46/100</f>
        <v>-664.186481626188</v>
      </c>
      <c r="I17" s="4" t="n">
        <f aca="false">-I6*Assumptions!I46/100</f>
        <v>-717.321400156283</v>
      </c>
      <c r="J17" s="4" t="n">
        <f aca="false">-J6*Assumptions!J46/100</f>
        <v>-760.36068416566</v>
      </c>
      <c r="K17" s="4" t="n">
        <f aca="false">-K6*Assumptions!K46/100</f>
        <v>-798.378718373943</v>
      </c>
      <c r="L17" s="4" t="n">
        <f aca="false">-L6*Assumptions!L46/100</f>
        <v>-830.313867108901</v>
      </c>
    </row>
    <row r="18" customFormat="false" ht="15" hidden="false" customHeight="false" outlineLevel="0" collapsed="false">
      <c r="A18" s="0" t="s">
        <v>129</v>
      </c>
      <c r="C18" s="4" t="n">
        <f aca="false">(C6-B6)*Assumptions!$B$51/100</f>
        <v>-126.01365</v>
      </c>
      <c r="D18" s="4" t="n">
        <f aca="false">(D6-C6)*Assumptions!$B$51/100</f>
        <v>-159.137238</v>
      </c>
      <c r="E18" s="4" t="n">
        <f aca="false">(E6-D6)*Assumptions!$B$51/100</f>
        <v>-178.23370656</v>
      </c>
      <c r="F18" s="4" t="n">
        <f aca="false">(F6-E6)*Assumptions!$B$51/100</f>
        <v>-182.9866054016</v>
      </c>
      <c r="G18" s="4" t="n">
        <f aca="false">(G6-F6)*Assumptions!$B$51/100</f>
        <v>-184.65011999616</v>
      </c>
      <c r="H18" s="4" t="n">
        <f aca="false">(H6-G6)*Assumptions!$B$51/100</f>
        <v>-182.803618796199</v>
      </c>
      <c r="I18" s="4" t="n">
        <f aca="false">(I6-H6)*Assumptions!$B$51/100</f>
        <v>-177.116395100317</v>
      </c>
      <c r="J18" s="4" t="n">
        <f aca="false">(J6-I6)*Assumptions!$B$51/100</f>
        <v>-143.464280031257</v>
      </c>
      <c r="K18" s="4" t="n">
        <f aca="false">(K6-J6)*Assumptions!$B$51/100</f>
        <v>-126.726780694277</v>
      </c>
      <c r="L18" s="4" t="n">
        <f aca="false">(L6-K6)*Assumptions!$B$51/100</f>
        <v>-106.450495783192</v>
      </c>
    </row>
    <row r="19" customFormat="false" ht="15" hidden="false" customHeight="false" outlineLevel="0" collapsed="false">
      <c r="A19" s="0" t="s">
        <v>130</v>
      </c>
      <c r="C19" s="0" t="n">
        <f aca="false">C15+C16+C17+C18</f>
        <v>3132.05606932</v>
      </c>
      <c r="D19" s="0" t="n">
        <f aca="false">D15+D16+D17+D18</f>
        <v>3369.890151888</v>
      </c>
      <c r="E19" s="0" t="n">
        <f aca="false">E15+E16+E17+E18</f>
        <v>4056.24269389248</v>
      </c>
      <c r="F19" s="0" t="n">
        <f aca="false">F15+F16+F17+F18</f>
        <v>4889.72149113291</v>
      </c>
      <c r="G19" s="0" t="n">
        <f aca="false">G15+G16+G17+G18</f>
        <v>5724.78153028895</v>
      </c>
      <c r="H19" s="0" t="n">
        <f aca="false">H15+H16+H17+H18</f>
        <v>6530.12915099968</v>
      </c>
      <c r="I19" s="0" t="n">
        <f aca="false">I15+I16+I17+I18</f>
        <v>7318.41402226607</v>
      </c>
      <c r="J19" s="0" t="n">
        <f aca="false">J15+J16+J17+J18</f>
        <v>7801.79796237711</v>
      </c>
      <c r="K19" s="0" t="n">
        <f aca="false">K15+K16+K17+K18</f>
        <v>8215.79857383451</v>
      </c>
      <c r="L19" s="0" t="n">
        <f aca="false">L15+L16+L17+L18</f>
        <v>8569.77587292674</v>
      </c>
    </row>
    <row r="20" customFormat="false" ht="15" hidden="false" customHeight="false" outlineLevel="0" collapsed="false">
      <c r="A20" s="0" t="s">
        <v>131</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132</v>
      </c>
      <c r="C21" s="0" t="n">
        <f aca="false">C19*C20</f>
        <v>2900.05191603704</v>
      </c>
      <c r="D21" s="0" t="n">
        <f aca="false">D19*D20</f>
        <v>2889.13764736626</v>
      </c>
      <c r="E21" s="0" t="n">
        <f aca="false">E19*E20</f>
        <v>3219.97622781436</v>
      </c>
      <c r="F21" s="0" t="n">
        <f aca="false">F19*F20</f>
        <v>3594.09126784308</v>
      </c>
      <c r="G21" s="0" t="n">
        <f aca="false">G19*G20</f>
        <v>3896.19011620383</v>
      </c>
      <c r="H21" s="0" t="n">
        <f aca="false">H19*H20</f>
        <v>4115.08905058395</v>
      </c>
      <c r="I21" s="0" t="n">
        <f aca="false">I19*I20</f>
        <v>4270.22429054397</v>
      </c>
      <c r="J21" s="0" t="n">
        <f aca="false">J19*J20</f>
        <v>4215.06868224327</v>
      </c>
      <c r="K21" s="0" t="n">
        <f aca="false">K19*K20</f>
        <v>4109.94475072083</v>
      </c>
      <c r="L21" s="0" t="n">
        <f aca="false">L19*L20</f>
        <v>3969.46437868491</v>
      </c>
    </row>
    <row r="23" customFormat="false" ht="15" hidden="false" customHeight="false" outlineLevel="0" collapsed="false">
      <c r="A23" s="0" t="s">
        <v>108</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Assumptions!$B$48</f>
        <v>8</v>
      </c>
    </row>
    <row r="28" customFormat="false" ht="15" hidden="false" customHeight="false" outlineLevel="0" collapsed="false">
      <c r="A28" s="0" t="s">
        <v>113</v>
      </c>
      <c r="B28" s="4" t="n">
        <f aca="false">Assumptions!$B$49</f>
        <v>3</v>
      </c>
    </row>
    <row r="29" customFormat="false" ht="15" hidden="false" customHeight="false" outlineLevel="0" collapsed="false">
      <c r="A29" s="0" t="s">
        <v>114</v>
      </c>
      <c r="B29" s="4" t="n">
        <f aca="false">Assumptions!$B$50</f>
        <v>20</v>
      </c>
    </row>
    <row r="30" customFormat="false" ht="15" hidden="false" customHeight="false" outlineLevel="0" collapsed="false">
      <c r="A30" s="0" t="s">
        <v>135</v>
      </c>
      <c r="B30" s="0" t="n">
        <f aca="false">SUM(C21:L21)</f>
        <v>37179.2383280415</v>
      </c>
    </row>
    <row r="31" customFormat="false" ht="15" hidden="false" customHeight="false" outlineLevel="0" collapsed="false">
      <c r="A31" s="0" t="s">
        <v>136</v>
      </c>
      <c r="B31" s="0" t="n">
        <f aca="false">L19</f>
        <v>8569.77587292674</v>
      </c>
    </row>
    <row r="32" customFormat="false" ht="15" hidden="false" customHeight="false" outlineLevel="0" collapsed="false">
      <c r="A32" s="0" t="s">
        <v>137</v>
      </c>
      <c r="B32" s="0" t="n">
        <f aca="false">IF(B27&gt;B28,B31*(1+B28/100)/((B27-B28)/100),B31*B29)</f>
        <v>176537.382982291</v>
      </c>
    </row>
    <row r="33" customFormat="false" ht="15" hidden="false" customHeight="false" outlineLevel="0" collapsed="false">
      <c r="A33" s="0" t="s">
        <v>138</v>
      </c>
      <c r="B33" s="0" t="n">
        <f aca="false">B31*B29</f>
        <v>171395.517458535</v>
      </c>
    </row>
    <row r="34" customFormat="false" ht="15" hidden="false" customHeight="false" outlineLevel="0" collapsed="false">
      <c r="A34" s="0" t="s">
        <v>139</v>
      </c>
      <c r="B34" s="0" t="n">
        <f aca="false">MAX(0,MIN(B32,B33))</f>
        <v>171395.517458535</v>
      </c>
    </row>
    <row r="35" customFormat="false" ht="15" hidden="false" customHeight="false" outlineLevel="0" collapsed="false">
      <c r="A35" s="0" t="s">
        <v>140</v>
      </c>
      <c r="B35" s="0" t="n">
        <f aca="false">B34/(1+B27/100)^L4</f>
        <v>79389.2875736981</v>
      </c>
    </row>
    <row r="36" customFormat="false" ht="15" hidden="false" customHeight="false" outlineLevel="0" collapsed="false">
      <c r="A36" s="0" t="s">
        <v>141</v>
      </c>
      <c r="B36" s="0" t="n">
        <f aca="false">B30+B35</f>
        <v>116568.52590174</v>
      </c>
    </row>
    <row r="37" customFormat="false" ht="15" hidden="false" customHeight="false" outlineLevel="0" collapsed="false">
      <c r="A37" s="0" t="s">
        <v>142</v>
      </c>
      <c r="B37" s="0" t="n">
        <f aca="false">B36+Assumptions!$B$5-Assumptions!$B$4</f>
        <v>119747.82590174</v>
      </c>
    </row>
    <row r="38" customFormat="false" ht="15" hidden="false" customHeight="false" outlineLevel="0" collapsed="false">
      <c r="A38" s="0" t="s">
        <v>143</v>
      </c>
      <c r="B38" s="0" t="n">
        <f aca="false">B37/Assumptions!$B$3*Assumptions!$B$10</f>
        <v>469.231292718415</v>
      </c>
    </row>
    <row r="39" customFormat="false" ht="15" hidden="false" customHeight="false" outlineLevel="0" collapsed="false">
      <c r="A39" s="0" t="s">
        <v>144</v>
      </c>
      <c r="B39" s="4" t="n">
        <f aca="false">B38/Assumptions!$B$2-1</f>
        <v>-0.0703320731511592</v>
      </c>
    </row>
    <row r="41" customFormat="false" ht="15" hidden="false" customHeight="false" outlineLevel="0" collapsed="false">
      <c r="A41" s="0" t="s">
        <v>145</v>
      </c>
      <c r="B41" s="0" t="n">
        <f aca="false">SUMPRODUCT(-C10:L10/(1+$B$27/100)^C4:L4)</f>
        <v>10151.5248874357</v>
      </c>
    </row>
    <row r="42" customFormat="false" ht="15" hidden="false" customHeight="false" outlineLevel="0" collapsed="false">
      <c r="A42" s="0" t="s">
        <v>146</v>
      </c>
      <c r="B42" s="0" t="n">
        <f aca="false">IF(B27&gt;B28,-L10*(1+B28/100)/((B27-B28)/100),-L10*20)/(1+B27/100)^L4</f>
        <v>18486.2465946943</v>
      </c>
    </row>
    <row r="43" customFormat="false" ht="15" hidden="false" customHeight="false" outlineLevel="0" collapsed="false">
      <c r="A43" s="0" t="s">
        <v>147</v>
      </c>
      <c r="B43" s="0" t="n">
        <f aca="false">(B37+B41+B42)/Assumptions!$B$3*Assumptions!$B$10</f>
        <v>581.448265610775</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73557.2429092879</v>
      </c>
    </row>
    <row r="47" customFormat="false" ht="15" hidden="false" customHeight="false" outlineLevel="0" collapsed="false">
      <c r="A47" s="0" t="s">
        <v>149</v>
      </c>
      <c r="B47" s="0" t="n">
        <f aca="false">(SUMPRODUCT(C19:L19/(1+B45/100)^C4:L4)+B46/(1+B45/100)^L4+Assumptions!$B$5-Assumptions!$B$4)/Assumptions!$B$3*Assumptions!$B$10</f>
        <v>186.209878953203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152</v>
      </c>
    </row>
    <row r="3" customFormat="false" ht="15" hidden="false" customHeight="false" outlineLevel="0" collapsed="false">
      <c r="A3" s="2" t="s">
        <v>153</v>
      </c>
      <c r="B3" s="2" t="s">
        <v>154</v>
      </c>
      <c r="C3" s="2" t="s">
        <v>144</v>
      </c>
      <c r="D3" s="2" t="s">
        <v>155</v>
      </c>
      <c r="E3" s="2" t="s">
        <v>147</v>
      </c>
      <c r="F3" s="2" t="s">
        <v>156</v>
      </c>
    </row>
    <row r="4" customFormat="false" ht="15" hidden="false" customHeight="false" outlineLevel="0" collapsed="false">
      <c r="A4" s="0" t="s">
        <v>157</v>
      </c>
      <c r="B4" s="4" t="n">
        <f aca="false">DCF_Bear!$B$38</f>
        <v>154.281507233504</v>
      </c>
      <c r="C4" s="0" t="n">
        <f aca="false">B4/Assumptions!$B$2-1</f>
        <v>-0.694328636630467</v>
      </c>
      <c r="D4" s="4" t="n">
        <f aca="false">Assumptions!$B$24</f>
        <v>0.25</v>
      </c>
      <c r="E4" s="4" t="n">
        <f aca="false">DCF_Bear!$B$43</f>
        <v>218.547134144145</v>
      </c>
      <c r="F4" s="4" t="n">
        <f aca="false">DCF_Bear!$B$47</f>
        <v>95.5358425219036</v>
      </c>
    </row>
    <row r="5" customFormat="false" ht="15" hidden="false" customHeight="false" outlineLevel="0" collapsed="false">
      <c r="A5" s="0" t="s">
        <v>158</v>
      </c>
      <c r="B5" s="4" t="n">
        <f aca="false">DCF_Base!$B$38</f>
        <v>306.35125491928</v>
      </c>
      <c r="C5" s="0" t="n">
        <f aca="false">B5/Assumptions!$B$2-1</f>
        <v>-0.393039338023735</v>
      </c>
      <c r="D5" s="4" t="n">
        <f aca="false">Assumptions!$B$38</f>
        <v>0.5</v>
      </c>
      <c r="E5" s="4" t="n">
        <f aca="false">DCF_Base!$B$43</f>
        <v>399.610989939332</v>
      </c>
      <c r="F5" s="4" t="n">
        <f aca="false">DCF_Base!$B$47</f>
        <v>144.461518466501</v>
      </c>
    </row>
    <row r="6" customFormat="false" ht="15" hidden="false" customHeight="false" outlineLevel="0" collapsed="false">
      <c r="A6" s="0" t="s">
        <v>159</v>
      </c>
      <c r="B6" s="4" t="n">
        <f aca="false">DCF_Bull!$B$38</f>
        <v>469.231292718415</v>
      </c>
      <c r="C6" s="0" t="n">
        <f aca="false">B6/Assumptions!$B$2-1</f>
        <v>-0.0703320731511592</v>
      </c>
      <c r="D6" s="4" t="n">
        <f aca="false">Assumptions!$B$52</f>
        <v>0.25</v>
      </c>
      <c r="E6" s="4" t="n">
        <f aca="false">DCF_Bull!$B$43</f>
        <v>581.448265610775</v>
      </c>
      <c r="F6" s="4" t="n">
        <f aca="false">DCF_Bull!$B$47</f>
        <v>186.209878953203</v>
      </c>
    </row>
    <row r="8" customFormat="false" ht="15" hidden="false" customHeight="false" outlineLevel="0" collapsed="false">
      <c r="A8" s="0" t="s">
        <v>160</v>
      </c>
      <c r="B8" s="0" t="n">
        <f aca="false">SUMPRODUCT(B4:B6,D4:D6)</f>
        <v>309.05382744762</v>
      </c>
    </row>
    <row r="9" customFormat="false" ht="15" hidden="false" customHeight="false" outlineLevel="0" collapsed="false">
      <c r="A9" s="0" t="s">
        <v>161</v>
      </c>
      <c r="B9" s="0" t="n">
        <f aca="false">SUMPRODUCT(E4:E6,D4:D6)</f>
        <v>399.804344908396</v>
      </c>
    </row>
    <row r="10" customFormat="false" ht="15" hidden="false" customHeight="false" outlineLevel="0" collapsed="false">
      <c r="A10" s="0" t="s">
        <v>162</v>
      </c>
      <c r="B10" s="0" t="n">
        <f aca="false">1-Assumptions!$B$2/B8</f>
        <v>-0.633145928553641</v>
      </c>
    </row>
    <row r="11" customFormat="false" ht="15" hidden="false" customHeight="false" outlineLevel="0" collapsed="false">
      <c r="A11" s="0" t="s">
        <v>163</v>
      </c>
      <c r="B11" s="0" t="n">
        <f aca="false">IF(ABS(B9-B8)&gt;0.01*ABS(B8),(Assumptions!$B$2-B8)/(B9-B8)*100,"n/a")</f>
        <v>215.619897304669</v>
      </c>
    </row>
    <row r="12" customFormat="false" ht="15" hidden="false" customHeight="false" outlineLevel="0" collapsed="false">
      <c r="A12" s="0" t="s">
        <v>164</v>
      </c>
      <c r="B12" s="0" t="n">
        <f aca="false">SUMPRODUCT(F4:F6,D4:D6)</f>
        <v>142.667189602027</v>
      </c>
    </row>
    <row r="14" customFormat="false" ht="15" hidden="false" customHeight="false" outlineLevel="0" collapsed="false">
      <c r="A14" s="2" t="s">
        <v>165</v>
      </c>
      <c r="C14" s="0" t="s">
        <v>166</v>
      </c>
    </row>
    <row r="15" customFormat="false" ht="15" hidden="false" customHeight="false" outlineLevel="0" collapsed="false">
      <c r="A15" s="0" t="s">
        <v>167</v>
      </c>
      <c r="B15" s="0" t="n">
        <f aca="false">(SUMPRODUCT(DCF_Base!$C$19:$L$19/(1+$C$15/100)^DCF_Base!$C$4:$L$4)+MAX(0,MIN(IF($C$15&gt;DCF_Base!$B$28,DCF_Base!$L$19*(1+DCF_Base!$B$28/100)/(($C$15-DCF_Base!$B$28)/100),DCF_Base!$L$19*DCF_Base!$B$29),DCF_Base!$L$19*DCF_Base!$B$29))/(1+$C$15/100)^DCF_Base!$L$4+Assumptions!$B$5-Assumptions!$B$4)/Assumptions!$B$3*Assumptions!$B$10</f>
        <v>306.35125491928</v>
      </c>
      <c r="C15" s="3" t="n">
        <v>8</v>
      </c>
    </row>
    <row r="16" customFormat="false" ht="15" hidden="false" customHeight="false" outlineLevel="0" collapsed="false">
      <c r="A16" s="0" t="s">
        <v>168</v>
      </c>
      <c r="B16" s="0" t="n">
        <f aca="false">(SUMPRODUCT(DCF_Base!$C$19:$L$19/(1+$C$16/100)^DCF_Base!$C$4:$L$4)+MAX(0,MIN(IF($C$16&gt;DCF_Base!$B$28,DCF_Base!$L$19*(1+DCF_Base!$B$28/100)/(($C$16-DCF_Base!$B$28)/100),DCF_Base!$L$19*DCF_Base!$B$29),DCF_Base!$L$19*DCF_Base!$B$29))/(1+$C$16/100)^DCF_Base!$L$4+Assumptions!$B$5-Assumptions!$B$4)/Assumptions!$B$3*Assumptions!$B$10</f>
        <v>282.615646073641</v>
      </c>
      <c r="C16" s="3" t="n">
        <v>9</v>
      </c>
    </row>
    <row r="17" customFormat="false" ht="15" hidden="false" customHeight="false" outlineLevel="0" collapsed="false">
      <c r="A17" s="0" t="s">
        <v>169</v>
      </c>
      <c r="B17" s="0" t="n">
        <f aca="false">(SUMPRODUCT(DCF_Base!$C$19:$L$19/(1+$C$17/100)^DCF_Base!$C$4:$L$4)+MAX(0,MIN(IF($C$17&gt;DCF_Base!$B$28,DCF_Base!$L$19*(1+DCF_Base!$B$28/100)/(($C$17-DCF_Base!$B$28)/100),DCF_Base!$L$19*DCF_Base!$B$29),DCF_Base!$L$19*DCF_Base!$B$29))/(1+$C$17/100)^DCF_Base!$L$4+Assumptions!$B$5-Assumptions!$B$4)/Assumptions!$B$3*Assumptions!$B$10</f>
        <v>243.936959392121</v>
      </c>
      <c r="C17" s="3" t="n">
        <v>10</v>
      </c>
    </row>
    <row r="18" customFormat="false" ht="15" hidden="false" customHeight="false" outlineLevel="0" collapsed="false">
      <c r="A18" s="0" t="s">
        <v>170</v>
      </c>
      <c r="B18" s="0" t="n">
        <f aca="false">(SUMPRODUCT(DCF_Base!$C$19:$L$19/(1+$C$18/100)^DCF_Base!$C$4:$L$4)+MAX(0,MIN(IF($C$18&gt;DCF_Base!$B$28,DCF_Base!$L$19*(1+DCF_Base!$B$28/100)/(($C$18-DCF_Base!$B$28)/100),DCF_Base!$L$19*DCF_Base!$B$29),DCF_Base!$L$19*DCF_Base!$B$29))/(1+$C$18/100)^DCF_Base!$L$4+Assumptions!$B$5-Assumptions!$B$4)/Assumptions!$B$3*Assumptions!$B$10</f>
        <v>214.474907865494</v>
      </c>
      <c r="C18" s="3" t="n">
        <v>11</v>
      </c>
    </row>
    <row r="19" customFormat="false" ht="15" hidden="false" customHeight="false" outlineLevel="0" collapsed="false">
      <c r="A19" s="0" t="s">
        <v>171</v>
      </c>
      <c r="B19" s="0" t="n">
        <f aca="false">(SUMPRODUCT(DCF_Base!$C$19:$L$19/(1+$C$19/100)^DCF_Base!$C$4:$L$4)+MAX(0,MIN(IF($C$19&gt;DCF_Base!$B$28,DCF_Base!$L$19*(1+DCF_Base!$B$28/100)/(($C$19-DCF_Base!$B$28)/100),DCF_Base!$L$19*DCF_Base!$B$29),DCF_Base!$L$19*DCF_Base!$B$29))/(1+$C$19/100)^DCF_Base!$L$4+Assumptions!$B$5-Assumptions!$B$4)/Assumptions!$B$3*Assumptions!$B$10</f>
        <v>191.312607879034</v>
      </c>
      <c r="C19" s="3" t="n">
        <v>12</v>
      </c>
    </row>
    <row r="20" customFormat="false" ht="15" hidden="false" customHeight="false" outlineLevel="0" collapsed="false">
      <c r="A20" s="0" t="s">
        <v>172</v>
      </c>
      <c r="B20" s="0" t="n">
        <f aca="false">(SUMPRODUCT(DCF_Base!$C$19:$L$19/(1+$C$20/100)^DCF_Base!$C$4:$L$4)+MAX(0,MIN(IF($C$20&gt;DCF_Base!$B$28,DCF_Base!$L$19*(1+DCF_Base!$B$28/100)/(($C$20-DCF_Base!$B$28)/100),DCF_Base!$L$19*DCF_Base!$B$29),DCF_Base!$L$19*DCF_Base!$B$29))/(1+$C$20/100)^DCF_Base!$L$4+Assumptions!$B$5-Assumptions!$B$4)/Assumptions!$B$3*Assumptions!$B$10</f>
        <v>144.461518466501</v>
      </c>
      <c r="C20" s="3" t="n">
        <v>15</v>
      </c>
    </row>
    <row r="22" customFormat="false" ht="15" hidden="false" customHeight="false" outlineLevel="0" collapsed="false">
      <c r="A22" s="2" t="s">
        <v>173</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355.757454014127</v>
      </c>
      <c r="C24" s="0" t="n">
        <f aca="false">(SUMPRODUCT(DCF_Base!$C$19:$L$19/(1+$A$24/100)^DCF_Base!$C$4:$L$4)+MAX(0,MIN(IF($A$24&gt;$C$23,DCF_Base!$L$19*(1+$C$23/100)/(($A$24-$C$23)/100),DCF_Base!$L$19*DCF_Base!$B$29),DCF_Base!$L$19*DCF_Base!$B$29))/(1+$A$24/100)^DCF_Base!$L$4+Assumptions!$B$5-Assumptions!$B$4)/Assumptions!$B$3*Assumptions!$B$10</f>
        <v>355.757454014127</v>
      </c>
      <c r="D24" s="0" t="n">
        <f aca="false">(SUMPRODUCT(DCF_Base!$C$19:$L$19/(1+$A$24/100)^DCF_Base!$C$4:$L$4)+MAX(0,MIN(IF($A$24&gt;$D$23,DCF_Base!$L$19*(1+$D$23/100)/(($A$24-$D$23)/100),DCF_Base!$L$19*DCF_Base!$B$29),DCF_Base!$L$19*DCF_Base!$B$29))/(1+$A$24/100)^DCF_Base!$L$4+Assumptions!$B$5-Assumptions!$B$4)/Assumptions!$B$3*Assumptions!$B$10</f>
        <v>355.757454014127</v>
      </c>
      <c r="E24" s="0" t="n">
        <f aca="false">(SUMPRODUCT(DCF_Base!$C$19:$L$19/(1+$A$24/100)^DCF_Base!$C$4:$L$4)+MAX(0,MIN(IF($A$24&gt;$E$23,DCF_Base!$L$19*(1+$E$23/100)/(($A$24-$E$23)/100),DCF_Base!$L$19*DCF_Base!$B$29),DCF_Base!$L$19*DCF_Base!$B$29))/(1+$A$24/100)^DCF_Base!$L$4+Assumptions!$B$5-Assumptions!$B$4)/Assumptions!$B$3*Assumptions!$B$10</f>
        <v>355.757454014127</v>
      </c>
      <c r="F24" s="0" t="n">
        <f aca="false">(SUMPRODUCT(DCF_Base!$C$19:$L$19/(1+$A$24/100)^DCF_Base!$C$4:$L$4)+MAX(0,MIN(IF($A$24&gt;$F$23,DCF_Base!$L$19*(1+$F$23/100)/(($A$24-$F$23)/100),DCF_Base!$L$19*DCF_Base!$B$29),DCF_Base!$L$19*DCF_Base!$B$29))/(1+$A$24/100)^DCF_Base!$L$4+Assumptions!$B$5-Assumptions!$B$4)/Assumptions!$B$3*Assumptions!$B$10</f>
        <v>355.757454014127</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329.874959330492</v>
      </c>
      <c r="C25" s="0" t="n">
        <f aca="false">(SUMPRODUCT(DCF_Base!$C$19:$L$19/(1+$A$25/100)^DCF_Base!$C$4:$L$4)+MAX(0,MIN(IF($A$25&gt;$C$23,DCF_Base!$L$19*(1+$C$23/100)/(($A$25-$C$23)/100),DCF_Base!$L$19*DCF_Base!$B$29),DCF_Base!$L$19*DCF_Base!$B$29))/(1+$A$25/100)^DCF_Base!$L$4+Assumptions!$B$5-Assumptions!$B$4)/Assumptions!$B$3*Assumptions!$B$10</f>
        <v>329.874959330492</v>
      </c>
      <c r="D25" s="0" t="n">
        <f aca="false">(SUMPRODUCT(DCF_Base!$C$19:$L$19/(1+$A$25/100)^DCF_Base!$C$4:$L$4)+MAX(0,MIN(IF($A$25&gt;$D$23,DCF_Base!$L$19*(1+$D$23/100)/(($A$25-$D$23)/100),DCF_Base!$L$19*DCF_Base!$B$29),DCF_Base!$L$19*DCF_Base!$B$29))/(1+$A$25/100)^DCF_Base!$L$4+Assumptions!$B$5-Assumptions!$B$4)/Assumptions!$B$3*Assumptions!$B$10</f>
        <v>329.874959330492</v>
      </c>
      <c r="E25" s="0" t="n">
        <f aca="false">(SUMPRODUCT(DCF_Base!$C$19:$L$19/(1+$A$25/100)^DCF_Base!$C$4:$L$4)+MAX(0,MIN(IF($A$25&gt;$E$23,DCF_Base!$L$19*(1+$E$23/100)/(($A$25-$E$23)/100),DCF_Base!$L$19*DCF_Base!$B$29),DCF_Base!$L$19*DCF_Base!$B$29))/(1+$A$25/100)^DCF_Base!$L$4+Assumptions!$B$5-Assumptions!$B$4)/Assumptions!$B$3*Assumptions!$B$10</f>
        <v>329.874959330492</v>
      </c>
      <c r="F25" s="0" t="n">
        <f aca="false">(SUMPRODUCT(DCF_Base!$C$19:$L$19/(1+$A$25/100)^DCF_Base!$C$4:$L$4)+MAX(0,MIN(IF($A$25&gt;$F$23,DCF_Base!$L$19*(1+$F$23/100)/(($A$25-$F$23)/100),DCF_Base!$L$19*DCF_Base!$B$29),DCF_Base!$L$19*DCF_Base!$B$29))/(1+$A$25/100)^DCF_Base!$L$4+Assumptions!$B$5-Assumptions!$B$4)/Assumptions!$B$3*Assumptions!$B$10</f>
        <v>329.874959330492</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302.091477528552</v>
      </c>
      <c r="C26" s="0" t="n">
        <f aca="false">(SUMPRODUCT(DCF_Base!$C$19:$L$19/(1+$A$26/100)^DCF_Base!$C$4:$L$4)+MAX(0,MIN(IF($A$26&gt;$C$23,DCF_Base!$L$19*(1+$C$23/100)/(($A$26-$C$23)/100),DCF_Base!$L$19*DCF_Base!$B$29),DCF_Base!$L$19*DCF_Base!$B$29))/(1+$A$26/100)^DCF_Base!$L$4+Assumptions!$B$5-Assumptions!$B$4)/Assumptions!$B$3*Assumptions!$B$10</f>
        <v>306.35125491928</v>
      </c>
      <c r="D26" s="0" t="n">
        <f aca="false">(SUMPRODUCT(DCF_Base!$C$19:$L$19/(1+$A$26/100)^DCF_Base!$C$4:$L$4)+MAX(0,MIN(IF($A$26&gt;$D$23,DCF_Base!$L$19*(1+$D$23/100)/(($A$26-$D$23)/100),DCF_Base!$L$19*DCF_Base!$B$29),DCF_Base!$L$19*DCF_Base!$B$29))/(1+$A$26/100)^DCF_Base!$L$4+Assumptions!$B$5-Assumptions!$B$4)/Assumptions!$B$3*Assumptions!$B$10</f>
        <v>306.35125491928</v>
      </c>
      <c r="E26" s="0" t="n">
        <f aca="false">(SUMPRODUCT(DCF_Base!$C$19:$L$19/(1+$A$26/100)^DCF_Base!$C$4:$L$4)+MAX(0,MIN(IF($A$26&gt;$E$23,DCF_Base!$L$19*(1+$E$23/100)/(($A$26-$E$23)/100),DCF_Base!$L$19*DCF_Base!$B$29),DCF_Base!$L$19*DCF_Base!$B$29))/(1+$A$26/100)^DCF_Base!$L$4+Assumptions!$B$5-Assumptions!$B$4)/Assumptions!$B$3*Assumptions!$B$10</f>
        <v>306.35125491928</v>
      </c>
      <c r="F26" s="0" t="n">
        <f aca="false">(SUMPRODUCT(DCF_Base!$C$19:$L$19/(1+$A$26/100)^DCF_Base!$C$4:$L$4)+MAX(0,MIN(IF($A$26&gt;$F$23,DCF_Base!$L$19*(1+$F$23/100)/(($A$26-$F$23)/100),DCF_Base!$L$19*DCF_Base!$B$29),DCF_Base!$L$19*DCF_Base!$B$29))/(1+$A$26/100)^DCF_Base!$L$4+Assumptions!$B$5-Assumptions!$B$4)/Assumptions!$B$3*Assumptions!$B$10</f>
        <v>306.35125491928</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260.032486385371</v>
      </c>
      <c r="C27" s="0" t="n">
        <f aca="false">(SUMPRODUCT(DCF_Base!$C$19:$L$19/(1+$A$27/100)^DCF_Base!$C$4:$L$4)+MAX(0,MIN(IF($A$27&gt;$C$23,DCF_Base!$L$19*(1+$C$23/100)/(($A$27-$C$23)/100),DCF_Base!$L$19*DCF_Base!$B$29),DCF_Base!$L$19*DCF_Base!$B$29))/(1+$A$27/100)^DCF_Base!$L$4+Assumptions!$B$5-Assumptions!$B$4)/Assumptions!$B$3*Assumptions!$B$10</f>
        <v>270.517524812068</v>
      </c>
      <c r="D27" s="0" t="n">
        <f aca="false">(SUMPRODUCT(DCF_Base!$C$19:$L$19/(1+$A$27/100)^DCF_Base!$C$4:$L$4)+MAX(0,MIN(IF($A$27&gt;$D$23,DCF_Base!$L$19*(1+$D$23/100)/(($A$27-$D$23)/100),DCF_Base!$L$19*DCF_Base!$B$29),DCF_Base!$L$19*DCF_Base!$B$29))/(1+$A$27/100)^DCF_Base!$L$4+Assumptions!$B$5-Assumptions!$B$4)/Assumptions!$B$3*Assumptions!$B$10</f>
        <v>282.615646073641</v>
      </c>
      <c r="E27" s="0" t="n">
        <f aca="false">(SUMPRODUCT(DCF_Base!$C$19:$L$19/(1+$A$27/100)^DCF_Base!$C$4:$L$4)+MAX(0,MIN(IF($A$27&gt;$E$23,DCF_Base!$L$19*(1+$E$23/100)/(($A$27-$E$23)/100),DCF_Base!$L$19*DCF_Base!$B$29),DCF_Base!$L$19*DCF_Base!$B$29))/(1+$A$27/100)^DCF_Base!$L$4+Assumptions!$B$5-Assumptions!$B$4)/Assumptions!$B$3*Assumptions!$B$10</f>
        <v>284.946476775412</v>
      </c>
      <c r="F27" s="0" t="n">
        <f aca="false">(SUMPRODUCT(DCF_Base!$C$19:$L$19/(1+$A$27/100)^DCF_Base!$C$4:$L$4)+MAX(0,MIN(IF($A$27&gt;$F$23,DCF_Base!$L$19*(1+$F$23/100)/(($A$27-$F$23)/100),DCF_Base!$L$19*DCF_Base!$B$29),DCF_Base!$L$19*DCF_Base!$B$29))/(1+$A$27/100)^DCF_Base!$L$4+Assumptions!$B$5-Assumptions!$B$4)/Assumptions!$B$3*Assumptions!$B$10</f>
        <v>284.946476775412</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228.030136286497</v>
      </c>
      <c r="C28" s="0" t="n">
        <f aca="false">(SUMPRODUCT(DCF_Base!$C$19:$L$19/(1+$A$28/100)^DCF_Base!$C$4:$L$4)+MAX(0,MIN(IF($A$28&gt;$C$23,DCF_Base!$L$19*(1+$C$23/100)/(($A$28-$C$23)/100),DCF_Base!$L$19*DCF_Base!$B$29),DCF_Base!$L$19*DCF_Base!$B$29))/(1+$A$28/100)^DCF_Base!$L$4+Assumptions!$B$5-Assumptions!$B$4)/Assumptions!$B$3*Assumptions!$B$10</f>
        <v>235.486459617258</v>
      </c>
      <c r="D28" s="0" t="n">
        <f aca="false">(SUMPRODUCT(DCF_Base!$C$19:$L$19/(1+$A$28/100)^DCF_Base!$C$4:$L$4)+MAX(0,MIN(IF($A$28&gt;$D$23,DCF_Base!$L$19*(1+$D$23/100)/(($A$28-$D$23)/100),DCF_Base!$L$19*DCF_Base!$B$29),DCF_Base!$L$19*DCF_Base!$B$29))/(1+$A$28/100)^DCF_Base!$L$4+Assumptions!$B$5-Assumptions!$B$4)/Assumptions!$B$3*Assumptions!$B$10</f>
        <v>243.936959392121</v>
      </c>
      <c r="E28" s="0" t="n">
        <f aca="false">(SUMPRODUCT(DCF_Base!$C$19:$L$19/(1+$A$28/100)^DCF_Base!$C$4:$L$4)+MAX(0,MIN(IF($A$28&gt;$E$23,DCF_Base!$L$19*(1+$E$23/100)/(($A$28-$E$23)/100),DCF_Base!$L$19*DCF_Base!$B$29),DCF_Base!$L$19*DCF_Base!$B$29))/(1+$A$28/100)^DCF_Base!$L$4+Assumptions!$B$5-Assumptions!$B$4)/Assumptions!$B$3*Assumptions!$B$10</f>
        <v>253.594673420535</v>
      </c>
      <c r="F28" s="0" t="n">
        <f aca="false">(SUMPRODUCT(DCF_Base!$C$19:$L$19/(1+$A$28/100)^DCF_Base!$C$4:$L$4)+MAX(0,MIN(IF($A$28&gt;$F$23,DCF_Base!$L$19*(1+$F$23/100)/(($A$28-$F$23)/100),DCF_Base!$L$19*DCF_Base!$B$29),DCF_Base!$L$19*DCF_Base!$B$29))/(1+$A$28/100)^DCF_Base!$L$4+Assumptions!$B$5-Assumptions!$B$4)/Assumptions!$B$3*Assumptions!$B$10</f>
        <v>264.738189607166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2026-10-02T21:39:18Z</dcterms:created>
  <dc:creator>openpyxl</dc:creator>
  <dc:description/>
  <dc:language>en-NZ</dc:language>
  <cp:lastModifiedBy/>
  <dcterms:modified xsi:type="dcterms:W3CDTF">2026-10-02T21:39:18Z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