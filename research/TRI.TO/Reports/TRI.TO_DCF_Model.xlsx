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<sst xmlns="http://schemas.openxmlformats.org/spreadsheetml/2006/main" count="363" uniqueCount="168">
  <si>
    <t xml:space="preserve">Ticker</t>
  </si>
  <si>
    <t xml:space="preserve">TRI.TO</t>
  </si>
  <si>
    <t xml:space="preserve">Company</t>
  </si>
  <si>
    <t xml:space="preserve">Thomson Reuters Corporation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</si>
  <si>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</si>
  <si>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</si>
  <si>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</si>
  <si>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</si>
  <si>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2026-10-09T20:00:00Z regular TSX close (Yahoo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</si>
  <si>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</si>
  <si>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</si>
  <si>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</si>
  <si>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</si>
  <si>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</si>
  <si>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</si>
  <si>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</si>
  <si>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CAD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</si>
  <si>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</si>
  <si>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</si>
  <si>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</si>
  <si>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</si>
  <si>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</si>
  <si>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2026-10-10T11:08:42Z</t>
  </si>
  <si>
    <t xml:space="preserve">Drivers file</t>
  </si>
  <si>
    <t xml:space="preserve">TRI.TO_Drivers.json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</si>
  <si>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</si>
  <si>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</si>
  <si>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</si>
  <si>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continuing operations excluding Global Print, with SBC fully expensed (TRI's adjusted EBITDA is already post-SBC) and the share count held flat because a heavy buyback programme funds it. Leases are an operating cost. AI-disruption risk is charged once, in the scenario flows and the 25% bear weight, not in WACC. Global Print is valued in the bridge at deal-implied value net of a backstop haircut. Values are computed in USD and converted to CAD for comparison with the TSX quote.
key_risks_to_valuation: GenAI disintermediation of Westlaw/Practical Law/Checkpoint research and drafting: the single largest swing factor, worth roughly the base-to-bear gap; Terminal value carries most of the value at 8.5% WACC and 3% terminal growth; a 1pp WACC move shifts value materially (see sensitivity grid); The FY2026 outlook will be re-based at Q3 (3 Nov 2026) with Global Print as discontinued, and the Q3 adjusted EBITDA margin is guided down to ~36% on severance and M&amp;A dilution; M&amp;A dependence: part of the forward growth relies on tuck-in acquisitions whose spend is not modelled as a separate outflow; USD/CAD: the CAD-quoted value moves with the exchange rate even when USD fundamentals do not; Global Print minimum-return backstop to KKR is an unquantified contingent liability</t>
  </si>
  <si>
    <t xml:space="preserve">Data sources</t>
  </si>
  <si>
    <t xml:space="preserve">price: Yahoo Finance chart API (TRI.TO, TSX, CAD) at inputs.price_as_of; 52-week range C$107.91-230.00; parity-checked against the Nasdaq TRI listing and USDCAD=X (see inputs.fx_note).
financials: TRI.TO_Metrics.csv (USD millions, FY2015-FY2025 and quarters to Q2 2026); FY2025 annual report (40-F EX-99.1) for FCF reconciliation, SBC, leases, Global Print segment and capital note; Q2 2026 report for net debt, commercial paper, share consolidation, Aug 2026 share count, raised guidance and subsequent events.
qualitative: TRI.TO_Analysis.json (2026-10-11): business mix, Big 3 market growth 8-11%, AI risk framing, Feb 2026 selloff, Global Print KKR JV.</t>
  </si>
  <si>
    <t xml:space="preserve">Scenario narrative: bear</t>
  </si>
  <si>
    <t xml:space="preserve">The Feb 2026 fear is realised. Foundation-model vendors (Anthropic's Claude legal tools), Harvey-style AI natives and the Global 7 accounting firms' in-house builds commoditise research and document review. Seat counts at law firms and corporate legal/tax departments compress as associate and preparer headcount falls, and renewals reprice down. FY2026 is largely locked in by the subscription book (~8%), but growth then drops to 2.5-3.5%. Margin gives back ~2pp to defensive AI investment and price concessions, capex rises to 8.5%, and Reuters keeps shrinking. The business survives as a cash-generative utility with a 14x exit multiple, and does not collapse.</t>
  </si>
  <si>
    <t xml:space="preserve">Scenario narrative: base</t>
  </si>
  <si>
    <t xml:space="preserve">CoCounsel and the agentic Westlaw/Checkpoint/ONESOURCE releases are monetised as upsell into an embedded, 92%-retention installed base. Fiduciary-grade AI grounded in the proprietary corpus (KeyCite, the Key Number System, 1,500 attorney editors) holds pricing, so GenAI is net additive to wallet share rather than a substitute. Big 3 organic growth runs ~9.5-10% in FY2026 and fades toward market rates as AI pricing laps. Reuters is flat-to-down and Global Print is gone. Margin expands ~4.5pp over seven years on operating leverage, and capital return of &gt;75% of FCF continues.</t>
  </si>
  <si>
    <t xml:space="preserve">Scenario narrative: bull</t>
  </si>
  <si>
    <t xml:space="preserve">AI becomes a pricing event, not a substitution event. CoCounsel tiers and consumption-based agentic products lift ARPU, international Big 3 expansion and tuck-ins (SafeSend, Additive, Noetica) compound, and Big 3 sustains ~10%+ organic growth through FY2029. Margin reaches ~46.5% adjusted (Big 3 economics plus a smaller Reuters drag), and the February 2026 AI selloff proves an overreaction, as it did for prior 'Westlaw is dead' scares.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</si>
  <si>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</si>
  <si>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</si>
  <si>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</si>
  <si>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</si>
  <si>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</si>
  <si>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</si>
  <si>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</si>
  <si>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</si>
  <si>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</si>
  <si>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</si>
  <si>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</si>
  <si>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</si>
  <si>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</si>
  <si>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</si>
  <si>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</si>
  <si>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</si>
  <si>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</si>
  <si>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</si>
  <si>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</si>
  <si>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</si>
  <si>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</si>
  <si>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</si>
  <si>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</si>
  <si>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</si>
  <si>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</si>
  <si>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</si>
  <si>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</si>
  <si>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</si>
  <si>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</si>
  <si>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</si>
  <si>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</si>
  <si>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</si>
  <si>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</si>
  <si>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</si>
  <si>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</si>
  <si>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</si>
  <si>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</si>
  <si>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</si>
  <si>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</si>
  <si>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</si>
  <si>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</si>
  <si>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</si>
  <si>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</si>
  <si>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</si>
  <si>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</si>
  <si>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</si>
  <si>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</si>
  <si>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FY2025 (continuing operations excluding Global Print)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</si>
  <si>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</si>
  <si>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</si>
  <si>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</si>
  <si>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</si>
  <si>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</si>
  <si>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</si>
  <si>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</si>
  <si>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</si>
  <si>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</si>
  <si>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</si>
  <si>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</si>
  <si>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</si>
  <si>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</si>
  <si>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</si>
  <si>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</si>
  <si>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</si>
  <si>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</si>
  <si>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</si>
  <si>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</si>
  <si>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</si>
  <si>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</si>
  <si>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</si>
  <si>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</si>
  <si>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</si>
  <si>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</si>
  <si>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</si>
  <si>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</si>
  <si>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</si>
  <si>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TRI.TO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</si>
  <si>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</si>
  <si>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</si>
  <si>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</si>
  <si>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</si>
  <si>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</si>
  <si>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</si>
  <si>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</si>
  <si>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</si>
  <si>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</si>
  <si>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</si>
  <si>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</si>
  <si>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</si>
  <si>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</si>
  <si>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</si>
  <si>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</si>
  <si>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</si>
  <si>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</si>
  <si>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</si>
  <si>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</si>
  <si>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</si>
  <si>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</si>
  <si>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</si>
  <si>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</si>
  <si>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</si>
  <si>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</si>
  <si>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</si>
  <si>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</si>
  <si>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</si>
  <si>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</si>
  <si>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</si>
  <si>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TRI.TO owner-FCF component DCF: base case (millions, USD)</t>
  </si>
  <si>
    <t xml:space="preserve">TRI.TO owner-FCF component DCF: bull case (millions, USD)</t>
  </si>
  <si>
    <t xml:space="preserve">TRI.TO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</si>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</sst>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147.3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11257</v>
      </c>
      <c r="F2" s="0" t="n">
        <v>1526</v>
      </c>
      <c r="G2" s="0" t="n">
        <v>13.6</v>
      </c>
      <c r="H2" s="0" t="n">
        <v>3108</v>
      </c>
      <c r="I2" s="0" t="n">
        <v>1311</v>
      </c>
      <c r="J2" s="0" t="n">
        <v>11.6</v>
      </c>
      <c r="K2" s="0" t="n">
        <v>1.6</v>
      </c>
      <c r="L2" s="0" t="n">
        <v>2838</v>
      </c>
      <c r="M2" s="0" t="n">
        <v>951</v>
      </c>
      <c r="N2" s="0" t="n">
        <v>1887</v>
      </c>
      <c r="O2" s="0" t="n">
        <v>12613</v>
      </c>
      <c r="P2" s="0" t="n">
        <v>29112</v>
      </c>
      <c r="Q2" s="0" t="n">
        <v>16012</v>
      </c>
      <c r="R2" s="0" t="n">
        <v>8424</v>
      </c>
      <c r="S2" s="0" t="n">
        <v>966</v>
      </c>
      <c r="T2" s="0" t="n">
        <v>784.1</v>
      </c>
      <c r="U2" s="0" t="n">
        <v>79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11166</v>
      </c>
      <c r="F3" s="0" t="n">
        <v>1390</v>
      </c>
      <c r="G3" s="0" t="n">
        <v>12.4</v>
      </c>
      <c r="H3" s="0" t="n">
        <v>2942</v>
      </c>
      <c r="I3" s="0" t="n">
        <v>3149</v>
      </c>
      <c r="J3" s="0" t="n">
        <v>28.2</v>
      </c>
      <c r="K3" s="0" t="n">
        <v>4.13</v>
      </c>
      <c r="L3" s="0" t="n">
        <v>2984</v>
      </c>
      <c r="M3" s="0" t="n">
        <v>905</v>
      </c>
      <c r="N3" s="0" t="n">
        <v>2079</v>
      </c>
      <c r="O3" s="0" t="n">
        <v>12773</v>
      </c>
      <c r="P3" s="0" t="n">
        <v>27852</v>
      </c>
      <c r="Q3" s="0" t="n">
        <v>14596</v>
      </c>
      <c r="R3" s="0" t="n">
        <v>7389</v>
      </c>
      <c r="S3" s="0" t="n">
        <v>2368</v>
      </c>
      <c r="T3" s="0" t="n">
        <v>749</v>
      </c>
      <c r="U3" s="0" t="n">
        <v>106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11333</v>
      </c>
      <c r="F4" s="0" t="n">
        <v>1755</v>
      </c>
      <c r="G4" s="0" t="n">
        <v>15.5</v>
      </c>
      <c r="H4" s="0" t="n">
        <v>3218</v>
      </c>
      <c r="I4" s="0" t="n">
        <v>1459</v>
      </c>
      <c r="J4" s="0" t="n">
        <v>12.9</v>
      </c>
      <c r="K4" s="0" t="n">
        <v>1.94</v>
      </c>
      <c r="L4" s="0" t="n">
        <v>2029</v>
      </c>
      <c r="M4" s="0" t="n">
        <v>950</v>
      </c>
      <c r="N4" s="0" t="n">
        <v>1079</v>
      </c>
      <c r="O4" s="0" t="n">
        <v>13077</v>
      </c>
      <c r="P4" s="0" t="n">
        <v>26480</v>
      </c>
      <c r="Q4" s="0" t="n">
        <v>12905</v>
      </c>
      <c r="R4" s="0" t="n">
        <v>7026</v>
      </c>
      <c r="S4" s="0" t="n">
        <v>874</v>
      </c>
      <c r="T4" s="0" t="n">
        <v>720.2</v>
      </c>
      <c r="U4" s="0" t="n">
        <v>87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5501</v>
      </c>
      <c r="F5" s="0" t="n">
        <v>780</v>
      </c>
      <c r="G5" s="0" t="n">
        <v>14.2</v>
      </c>
      <c r="H5" s="0" t="n">
        <v>1399</v>
      </c>
      <c r="I5" s="0" t="n">
        <v>4039</v>
      </c>
      <c r="J5" s="0" t="n">
        <v>73.4</v>
      </c>
      <c r="K5" s="0" t="n">
        <v>5.91</v>
      </c>
      <c r="L5" s="0" t="n">
        <v>2062</v>
      </c>
      <c r="M5" s="0" t="n">
        <v>576</v>
      </c>
      <c r="N5" s="0" t="n">
        <v>1486</v>
      </c>
      <c r="O5" s="0" t="n">
        <v>9226</v>
      </c>
      <c r="P5" s="0" t="n">
        <v>17047</v>
      </c>
      <c r="Q5" s="0" t="n">
        <v>7821</v>
      </c>
      <c r="R5" s="0" t="n">
        <v>3216</v>
      </c>
      <c r="S5" s="0" t="n">
        <v>2706</v>
      </c>
      <c r="T5" s="0" t="n">
        <v>668.2</v>
      </c>
      <c r="U5" s="0" t="n">
        <v>48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5906</v>
      </c>
      <c r="F6" s="0" t="n">
        <v>1199</v>
      </c>
      <c r="G6" s="0" t="n">
        <v>20.3</v>
      </c>
      <c r="H6" s="0" t="n">
        <v>1916</v>
      </c>
      <c r="I6" s="0" t="n">
        <v>1564</v>
      </c>
      <c r="J6" s="0" t="n">
        <v>26.5</v>
      </c>
      <c r="K6" s="0" t="n">
        <v>3.11</v>
      </c>
      <c r="L6" s="0" t="n">
        <v>702</v>
      </c>
      <c r="M6" s="0" t="n">
        <v>505</v>
      </c>
      <c r="N6" s="0" t="n">
        <v>197</v>
      </c>
      <c r="O6" s="0" t="n">
        <v>9560</v>
      </c>
      <c r="P6" s="0" t="n">
        <v>17295</v>
      </c>
      <c r="Q6" s="0" t="n">
        <v>7735</v>
      </c>
      <c r="R6" s="0" t="n">
        <v>3255</v>
      </c>
      <c r="S6" s="0" t="n">
        <v>825</v>
      </c>
      <c r="T6" s="0" t="n">
        <v>502.5</v>
      </c>
      <c r="U6" s="0" t="n">
        <v>56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5984</v>
      </c>
      <c r="F7" s="0" t="n">
        <v>1929</v>
      </c>
      <c r="G7" s="0" t="n">
        <v>32.2</v>
      </c>
      <c r="H7" s="0" t="n">
        <v>2721</v>
      </c>
      <c r="I7" s="0" t="n">
        <v>1122</v>
      </c>
      <c r="J7" s="0" t="n">
        <v>18.8</v>
      </c>
      <c r="K7" s="0" t="n">
        <v>2.25</v>
      </c>
      <c r="L7" s="0" t="n">
        <v>1745</v>
      </c>
      <c r="M7" s="0" t="n">
        <v>504</v>
      </c>
      <c r="N7" s="0" t="n">
        <v>1241</v>
      </c>
      <c r="O7" s="0" t="n">
        <v>9980</v>
      </c>
      <c r="P7" s="0" t="n">
        <v>17881</v>
      </c>
      <c r="Q7" s="0" t="n">
        <v>7901</v>
      </c>
      <c r="R7" s="0" t="n">
        <v>3772</v>
      </c>
      <c r="S7" s="0" t="n">
        <v>1787</v>
      </c>
      <c r="T7" s="0" t="n">
        <v>498</v>
      </c>
      <c r="U7" s="0" t="n">
        <v>64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6348</v>
      </c>
      <c r="F8" s="0" t="n">
        <v>1242</v>
      </c>
      <c r="G8" s="0" t="n">
        <v>19.6</v>
      </c>
      <c r="H8" s="0" t="n">
        <v>2012</v>
      </c>
      <c r="I8" s="0" t="n">
        <v>5689</v>
      </c>
      <c r="J8" s="0" t="n">
        <v>89.6</v>
      </c>
      <c r="K8" s="0" t="n">
        <v>11.5</v>
      </c>
      <c r="L8" s="0" t="n">
        <v>1773</v>
      </c>
      <c r="M8" s="0" t="n">
        <v>487</v>
      </c>
      <c r="N8" s="0" t="n">
        <v>1286</v>
      </c>
      <c r="O8" s="0" t="n">
        <v>13834</v>
      </c>
      <c r="P8" s="0" t="n">
        <v>22149</v>
      </c>
      <c r="Q8" s="0" t="n">
        <v>8315</v>
      </c>
      <c r="R8" s="0" t="n">
        <v>3786</v>
      </c>
      <c r="S8" s="0" t="n">
        <v>778</v>
      </c>
      <c r="T8" s="0" t="n">
        <v>494.5</v>
      </c>
      <c r="U8" s="0" t="n">
        <v>76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6627</v>
      </c>
      <c r="F9" s="0" t="n">
        <v>1834</v>
      </c>
      <c r="G9" s="0" t="n">
        <v>27.7</v>
      </c>
      <c r="H9" s="0" t="n">
        <v>2558</v>
      </c>
      <c r="I9" s="0" t="n">
        <v>1338</v>
      </c>
      <c r="J9" s="0" t="n">
        <v>20.2</v>
      </c>
      <c r="K9" s="0" t="n">
        <v>2.75</v>
      </c>
      <c r="L9" s="0" t="n">
        <v>1915</v>
      </c>
      <c r="M9" s="0" t="n">
        <v>595</v>
      </c>
      <c r="N9" s="0" t="n">
        <v>1320</v>
      </c>
      <c r="O9" s="0" t="n">
        <v>11885</v>
      </c>
      <c r="P9" s="0" t="n">
        <v>21711</v>
      </c>
      <c r="Q9" s="0" t="n">
        <v>9826</v>
      </c>
      <c r="R9" s="0" t="n">
        <v>4761</v>
      </c>
      <c r="S9" s="0" t="n">
        <v>1069</v>
      </c>
      <c r="T9" s="0" t="n">
        <v>484.9</v>
      </c>
      <c r="U9" s="0" t="n">
        <v>85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6794</v>
      </c>
      <c r="F10" s="0" t="n">
        <v>2332</v>
      </c>
      <c r="G10" s="0" t="n">
        <v>34.3</v>
      </c>
      <c r="H10" s="0" t="n">
        <v>3057</v>
      </c>
      <c r="I10" s="0" t="n">
        <v>2695</v>
      </c>
      <c r="J10" s="0" t="n">
        <v>39.7</v>
      </c>
      <c r="K10" s="0" t="n">
        <v>5.8</v>
      </c>
      <c r="L10" s="0" t="n">
        <v>2341</v>
      </c>
      <c r="M10" s="0" t="n">
        <v>544</v>
      </c>
      <c r="N10" s="0" t="n">
        <v>1797</v>
      </c>
      <c r="O10" s="0" t="n">
        <v>11064</v>
      </c>
      <c r="P10" s="0" t="n">
        <v>18684</v>
      </c>
      <c r="Q10" s="0" t="n">
        <v>7620</v>
      </c>
      <c r="R10" s="0" t="n">
        <v>3277</v>
      </c>
      <c r="S10" s="0" t="n">
        <v>1298</v>
      </c>
      <c r="T10" s="0" t="n">
        <v>464</v>
      </c>
      <c r="U10" s="0" t="n">
        <v>83</v>
      </c>
      <c r="AA10" s="0" t="s">
        <v>18</v>
      </c>
      <c r="AB10" s="0" t="s">
        <v>14</v>
      </c>
    </row>
    <row r="11" customFormat="false" ht="15" hidden="false" customHeight="false" outlineLevel="0" collapsed="false">
      <c r="A11" s="0" t="s">
        <v>73</v>
      </c>
      <c r="B11" s="0" t="n">
        <v>7258</v>
      </c>
      <c r="F11" s="0" t="n">
        <v>2109</v>
      </c>
      <c r="G11" s="0" t="n">
        <v>29.1</v>
      </c>
      <c r="H11" s="0" t="n">
        <v>2931</v>
      </c>
      <c r="I11" s="0" t="n">
        <v>2207</v>
      </c>
      <c r="J11" s="0" t="n">
        <v>30.4</v>
      </c>
      <c r="K11" s="0" t="n">
        <v>4.89</v>
      </c>
      <c r="L11" s="0" t="n">
        <v>2457</v>
      </c>
      <c r="M11" s="0" t="n">
        <v>607</v>
      </c>
      <c r="N11" s="0" t="n">
        <v>1850</v>
      </c>
      <c r="O11" s="0" t="n">
        <v>12006</v>
      </c>
      <c r="P11" s="0" t="n">
        <v>18437</v>
      </c>
      <c r="Q11" s="0" t="n">
        <v>6431</v>
      </c>
      <c r="R11" s="0" t="n">
        <v>2820</v>
      </c>
      <c r="S11" s="0" t="n">
        <v>1968</v>
      </c>
      <c r="T11" s="0" t="n">
        <v>451.2</v>
      </c>
      <c r="U11" s="0" t="n">
        <v>87</v>
      </c>
      <c r="AA11" s="0" t="s">
        <v>18</v>
      </c>
      <c r="AB11" s="0" t="s">
        <v>14</v>
      </c>
    </row>
    <row r="12" customFormat="false" ht="15" hidden="false" customHeight="false" outlineLevel="0" collapsed="false">
      <c r="A12" s="0" t="s">
        <v>74</v>
      </c>
      <c r="B12" s="0" t="n">
        <v>7476</v>
      </c>
      <c r="F12" s="0" t="n">
        <v>2132</v>
      </c>
      <c r="G12" s="0" t="n">
        <v>28.5</v>
      </c>
      <c r="H12" s="0" t="n">
        <v>3062</v>
      </c>
      <c r="I12" s="0" t="n">
        <v>1502</v>
      </c>
      <c r="J12" s="0" t="n">
        <v>20.1</v>
      </c>
      <c r="K12" s="0" t="n">
        <v>3.33</v>
      </c>
      <c r="L12" s="0" t="n">
        <v>2651</v>
      </c>
      <c r="M12" s="0" t="n">
        <v>634</v>
      </c>
      <c r="N12" s="0" t="n">
        <v>2017</v>
      </c>
      <c r="O12" s="0" t="n">
        <v>11914</v>
      </c>
      <c r="P12" s="0" t="n">
        <v>17940</v>
      </c>
      <c r="Q12" s="0" t="n">
        <v>6026</v>
      </c>
      <c r="R12" s="0" t="n">
        <v>2123</v>
      </c>
      <c r="S12" s="0" t="n">
        <v>511</v>
      </c>
      <c r="T12" s="0" t="n">
        <v>449.5</v>
      </c>
      <c r="U12" s="0" t="n">
        <v>111</v>
      </c>
      <c r="AA12" s="0" t="s">
        <v>18</v>
      </c>
      <c r="AB12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147.3</v>
      </c>
    </row>
    <row r="3" customFormat="false" ht="15" hidden="false" customHeight="false" outlineLevel="0" collapsed="false">
      <c r="A3" s="0" t="s">
        <v>78</v>
      </c>
      <c r="B3" s="3" t="n">
        <v>435.9</v>
      </c>
    </row>
    <row r="4" customFormat="false" ht="15" hidden="false" customHeight="false" outlineLevel="0" collapsed="false">
      <c r="A4" s="0" t="s">
        <v>79</v>
      </c>
      <c r="B4" s="3" t="n">
        <v>2602</v>
      </c>
    </row>
    <row r="5" customFormat="false" ht="15" hidden="false" customHeight="false" outlineLevel="0" collapsed="false">
      <c r="A5" s="0" t="s">
        <v>80</v>
      </c>
      <c r="B5" s="3" t="n">
        <v>690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6986</v>
      </c>
    </row>
    <row r="8" customFormat="false" ht="15" hidden="false" customHeight="false" outlineLevel="0" collapsed="false">
      <c r="A8" s="0" t="s">
        <v>83</v>
      </c>
      <c r="B8" s="3" t="s">
        <v>84</v>
      </c>
    </row>
    <row r="9" customFormat="false" ht="15" hidden="false" customHeight="false" outlineLevel="0" collapsed="false">
      <c r="A9" s="0" t="s">
        <v>85</v>
      </c>
      <c r="B9" s="3" t="s">
        <v>86</v>
      </c>
    </row>
    <row r="10" customFormat="false" ht="15" hidden="false" customHeight="false" outlineLevel="0" collapsed="false">
      <c r="A10" s="0" t="s">
        <v>87</v>
      </c>
      <c r="B10" s="3" t="n">
        <v>1.4254</v>
      </c>
    </row>
    <row r="12" customFormat="false" ht="15" hidden="false" customHeight="false" outlineLevel="0" collapsed="false">
      <c r="A12" s="2" t="s">
        <v>88</v>
      </c>
      <c r="C12" s="2" t="s">
        <v>89</v>
      </c>
      <c r="D12" s="2" t="s">
        <v>90</v>
      </c>
      <c r="E12" s="2" t="s">
        <v>91</v>
      </c>
      <c r="F12" s="2" t="s">
        <v>92</v>
      </c>
      <c r="G12" s="2" t="s">
        <v>93</v>
      </c>
      <c r="H12" s="2" t="s">
        <v>94</v>
      </c>
      <c r="I12" s="2" t="s">
        <v>95</v>
      </c>
      <c r="J12" s="2" t="s">
        <v>96</v>
      </c>
      <c r="K12" s="2" t="s">
        <v>97</v>
      </c>
      <c r="L12" s="2" t="s">
        <v>98</v>
      </c>
    </row>
    <row r="13" customFormat="false" ht="15" hidden="false" customHeight="false" outlineLevel="0" collapsed="false">
      <c r="A13" s="0" t="s">
        <v>99</v>
      </c>
      <c r="C13" s="3" t="n">
        <v>8.3</v>
      </c>
      <c r="D13" s="3" t="n">
        <v>5</v>
      </c>
      <c r="E13" s="3" t="n">
        <v>3.5</v>
      </c>
      <c r="F13" s="3" t="n">
        <v>3</v>
      </c>
      <c r="G13" s="3" t="n">
        <v>2.5</v>
      </c>
      <c r="H13" s="3" t="n">
        <v>2.5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100</v>
      </c>
      <c r="C14" s="3" t="n">
        <v>41.75</v>
      </c>
      <c r="D14" s="3" t="n">
        <v>41.3</v>
      </c>
      <c r="E14" s="3" t="n">
        <v>40.85</v>
      </c>
      <c r="F14" s="3" t="n">
        <v>40.4</v>
      </c>
      <c r="G14" s="3" t="n">
        <v>39.95</v>
      </c>
      <c r="H14" s="3" t="n">
        <v>40</v>
      </c>
      <c r="I14" s="3" t="n">
        <v>40</v>
      </c>
      <c r="J14" s="3" t="n">
        <v>40</v>
      </c>
      <c r="K14" s="3" t="n">
        <v>40</v>
      </c>
      <c r="L14" s="3" t="n">
        <v>40</v>
      </c>
    </row>
    <row r="15" customFormat="false" ht="15" hidden="false" customHeight="false" outlineLevel="0" collapsed="false">
      <c r="A15" s="0" t="s">
        <v>101</v>
      </c>
      <c r="C15" s="3" t="n">
        <v>1.75</v>
      </c>
      <c r="D15" s="3" t="n">
        <v>1.8</v>
      </c>
      <c r="E15" s="3" t="n">
        <v>1.85</v>
      </c>
      <c r="F15" s="3" t="n">
        <v>1.9</v>
      </c>
      <c r="G15" s="3" t="n">
        <v>1.95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</row>
    <row r="16" customFormat="false" ht="15" hidden="false" customHeight="false" outlineLevel="0" collapsed="false">
      <c r="A16" s="0" t="s">
        <v>102</v>
      </c>
      <c r="C16" s="3" t="n">
        <v>1.05</v>
      </c>
      <c r="D16" s="3" t="n">
        <v>1.05</v>
      </c>
      <c r="E16" s="3" t="n">
        <v>1.05</v>
      </c>
      <c r="F16" s="3" t="n">
        <v>1</v>
      </c>
      <c r="G16" s="3" t="n">
        <v>1</v>
      </c>
      <c r="H16" s="3" t="n">
        <v>1</v>
      </c>
      <c r="I16" s="3" t="n">
        <v>1</v>
      </c>
      <c r="J16" s="3" t="n">
        <v>1</v>
      </c>
      <c r="K16" s="3" t="n">
        <v>1</v>
      </c>
      <c r="L16" s="3" t="n">
        <v>1</v>
      </c>
    </row>
    <row r="17" customFormat="false" ht="15" hidden="false" customHeight="false" outlineLevel="0" collapsed="false">
      <c r="A17" s="0" t="s">
        <v>103</v>
      </c>
      <c r="C17" s="3" t="n">
        <v>11.8</v>
      </c>
      <c r="D17" s="3" t="n">
        <v>11.8</v>
      </c>
      <c r="E17" s="3" t="n">
        <v>11.6</v>
      </c>
      <c r="F17" s="3" t="n">
        <v>11.4</v>
      </c>
      <c r="G17" s="3" t="n">
        <v>11</v>
      </c>
      <c r="H17" s="3" t="n">
        <v>10.6</v>
      </c>
      <c r="I17" s="3" t="n">
        <v>10.2</v>
      </c>
      <c r="J17" s="3" t="n">
        <v>9.8</v>
      </c>
      <c r="K17" s="3" t="n">
        <v>9.5</v>
      </c>
      <c r="L17" s="3" t="n">
        <v>9.5</v>
      </c>
    </row>
    <row r="18" customFormat="false" ht="15" hidden="false" customHeight="false" outlineLevel="0" collapsed="false">
      <c r="A18" s="0" t="s">
        <v>104</v>
      </c>
      <c r="C18" s="3" t="n">
        <v>8</v>
      </c>
      <c r="D18" s="3" t="n">
        <v>8.5</v>
      </c>
      <c r="E18" s="3" t="n">
        <v>8.5</v>
      </c>
      <c r="F18" s="3" t="n">
        <v>8.5</v>
      </c>
      <c r="G18" s="3" t="n">
        <v>8.5</v>
      </c>
      <c r="H18" s="3" t="n">
        <v>8.5</v>
      </c>
      <c r="I18" s="3" t="n">
        <v>8.5</v>
      </c>
      <c r="J18" s="3" t="n">
        <v>8.5</v>
      </c>
      <c r="K18" s="3" t="n">
        <v>8.5</v>
      </c>
      <c r="L18" s="3" t="n">
        <v>8.5</v>
      </c>
    </row>
    <row r="19" customFormat="false" ht="15" hidden="false" customHeight="false" outlineLevel="0" collapsed="false">
      <c r="A19" s="0" t="s">
        <v>105</v>
      </c>
      <c r="C19" s="3" t="n">
        <v>18</v>
      </c>
      <c r="D19" s="3" t="n">
        <v>18.5</v>
      </c>
      <c r="E19" s="3" t="n">
        <v>19</v>
      </c>
      <c r="F19" s="3" t="n">
        <v>19.5</v>
      </c>
      <c r="G19" s="3" t="n">
        <v>20</v>
      </c>
      <c r="H19" s="3" t="n">
        <v>20</v>
      </c>
      <c r="I19" s="3" t="n">
        <v>20</v>
      </c>
      <c r="J19" s="3" t="n">
        <v>20</v>
      </c>
      <c r="K19" s="3" t="n">
        <v>20</v>
      </c>
      <c r="L19" s="3" t="n">
        <v>20</v>
      </c>
    </row>
    <row r="20" customFormat="false" ht="15" hidden="false" customHeight="false" outlineLevel="0" collapsed="false">
      <c r="A20" s="0" t="s">
        <v>106</v>
      </c>
      <c r="B20" s="3" t="n">
        <v>8.5</v>
      </c>
    </row>
    <row r="21" customFormat="false" ht="15" hidden="false" customHeight="false" outlineLevel="0" collapsed="false">
      <c r="A21" s="0" t="s">
        <v>107</v>
      </c>
      <c r="B21" s="3" t="n">
        <v>2</v>
      </c>
    </row>
    <row r="22" customFormat="false" ht="15" hidden="false" customHeight="false" outlineLevel="0" collapsed="false">
      <c r="A22" s="0" t="s">
        <v>108</v>
      </c>
      <c r="B22" s="3" t="n">
        <v>14</v>
      </c>
    </row>
    <row r="23" customFormat="false" ht="15" hidden="false" customHeight="false" outlineLevel="0" collapsed="false">
      <c r="A23" s="0" t="s">
        <v>109</v>
      </c>
      <c r="B23" s="3" t="n">
        <v>20</v>
      </c>
    </row>
    <row r="24" customFormat="false" ht="15" hidden="false" customHeight="false" outlineLevel="0" collapsed="false">
      <c r="A24" s="0" t="s">
        <v>110</v>
      </c>
      <c r="B24" s="3" t="n">
        <v>0.25</v>
      </c>
    </row>
    <row r="26" customFormat="false" ht="15" hidden="false" customHeight="false" outlineLevel="0" collapsed="false">
      <c r="A26" s="2" t="s">
        <v>111</v>
      </c>
      <c r="C26" s="2" t="s">
        <v>89</v>
      </c>
      <c r="D26" s="2" t="s">
        <v>90</v>
      </c>
      <c r="E26" s="2" t="s">
        <v>91</v>
      </c>
      <c r="F26" s="2" t="s">
        <v>92</v>
      </c>
      <c r="G26" s="2" t="s">
        <v>93</v>
      </c>
      <c r="H26" s="2" t="s">
        <v>94</v>
      </c>
      <c r="I26" s="2" t="s">
        <v>95</v>
      </c>
      <c r="J26" s="2" t="s">
        <v>96</v>
      </c>
      <c r="K26" s="2" t="s">
        <v>97</v>
      </c>
      <c r="L26" s="2" t="s">
        <v>98</v>
      </c>
    </row>
    <row r="27" customFormat="false" ht="15" hidden="false" customHeight="false" outlineLevel="0" collapsed="false">
      <c r="A27" s="0" t="s">
        <v>99</v>
      </c>
      <c r="C27" s="3" t="n">
        <v>8.6</v>
      </c>
      <c r="D27" s="3" t="n">
        <v>8</v>
      </c>
      <c r="E27" s="3" t="n">
        <v>7.5</v>
      </c>
      <c r="F27" s="3" t="n">
        <v>7</v>
      </c>
      <c r="G27" s="3" t="n">
        <v>6.5</v>
      </c>
      <c r="H27" s="3" t="n">
        <v>6</v>
      </c>
      <c r="I27" s="3" t="n">
        <v>5.5</v>
      </c>
      <c r="J27" s="3" t="n">
        <v>5</v>
      </c>
      <c r="K27" s="3" t="n">
        <v>4.5</v>
      </c>
      <c r="L27" s="3" t="n">
        <v>4</v>
      </c>
    </row>
    <row r="28" customFormat="false" ht="15" hidden="false" customHeight="false" outlineLevel="0" collapsed="false">
      <c r="A28" s="0" t="s">
        <v>100</v>
      </c>
      <c r="C28" s="3" t="n">
        <v>41.95</v>
      </c>
      <c r="D28" s="3" t="n">
        <v>42.75</v>
      </c>
      <c r="E28" s="3" t="n">
        <v>43.5</v>
      </c>
      <c r="F28" s="3" t="n">
        <v>44.2</v>
      </c>
      <c r="G28" s="3" t="n">
        <v>44.65</v>
      </c>
      <c r="H28" s="3" t="n">
        <v>45.15</v>
      </c>
      <c r="I28" s="3" t="n">
        <v>45.6</v>
      </c>
      <c r="J28" s="3" t="n">
        <v>45.6</v>
      </c>
      <c r="K28" s="3" t="n">
        <v>45.6</v>
      </c>
      <c r="L28" s="3" t="n">
        <v>45.6</v>
      </c>
    </row>
    <row r="29" customFormat="false" ht="15" hidden="false" customHeight="false" outlineLevel="0" collapsed="false">
      <c r="A29" s="0" t="s">
        <v>101</v>
      </c>
      <c r="C29" s="3" t="n">
        <v>1.75</v>
      </c>
      <c r="D29" s="3" t="n">
        <v>1.75</v>
      </c>
      <c r="E29" s="3" t="n">
        <v>1.7</v>
      </c>
      <c r="F29" s="3" t="n">
        <v>1.7</v>
      </c>
      <c r="G29" s="3" t="n">
        <v>1.65</v>
      </c>
      <c r="H29" s="3" t="n">
        <v>1.65</v>
      </c>
      <c r="I29" s="3" t="n">
        <v>1.6</v>
      </c>
      <c r="J29" s="3" t="n">
        <v>1.6</v>
      </c>
      <c r="K29" s="3" t="n">
        <v>1.6</v>
      </c>
      <c r="L29" s="3" t="n">
        <v>1.6</v>
      </c>
    </row>
    <row r="30" customFormat="false" ht="15" hidden="false" customHeight="false" outlineLevel="0" collapsed="false">
      <c r="A30" s="0" t="s">
        <v>102</v>
      </c>
      <c r="C30" s="3" t="n">
        <v>1.05</v>
      </c>
      <c r="D30" s="3" t="n">
        <v>1</v>
      </c>
      <c r="E30" s="3" t="n">
        <v>0.95</v>
      </c>
      <c r="F30" s="3" t="n">
        <v>0.9</v>
      </c>
      <c r="G30" s="3" t="n">
        <v>0.9</v>
      </c>
      <c r="H30" s="3" t="n">
        <v>0.85</v>
      </c>
      <c r="I30" s="3" t="n">
        <v>0.85</v>
      </c>
      <c r="J30" s="3" t="n">
        <v>0.8</v>
      </c>
      <c r="K30" s="3" t="n">
        <v>0.8</v>
      </c>
      <c r="L30" s="3" t="n">
        <v>0.8</v>
      </c>
    </row>
    <row r="31" customFormat="false" ht="15" hidden="false" customHeight="false" outlineLevel="0" collapsed="false">
      <c r="A31" s="0" t="s">
        <v>103</v>
      </c>
      <c r="C31" s="3" t="n">
        <v>11.8</v>
      </c>
      <c r="D31" s="3" t="n">
        <v>11.5</v>
      </c>
      <c r="E31" s="3" t="n">
        <v>11.2</v>
      </c>
      <c r="F31" s="3" t="n">
        <v>11</v>
      </c>
      <c r="G31" s="3" t="n">
        <v>10.7</v>
      </c>
      <c r="H31" s="3" t="n">
        <v>10.4</v>
      </c>
      <c r="I31" s="3" t="n">
        <v>10</v>
      </c>
      <c r="J31" s="3" t="n">
        <v>9.6</v>
      </c>
      <c r="K31" s="3" t="n">
        <v>9.2</v>
      </c>
      <c r="L31" s="3" t="n">
        <v>9</v>
      </c>
    </row>
    <row r="32" customFormat="false" ht="15" hidden="false" customHeight="false" outlineLevel="0" collapsed="false">
      <c r="A32" s="0" t="s">
        <v>104</v>
      </c>
      <c r="C32" s="3" t="n">
        <v>8</v>
      </c>
      <c r="D32" s="3" t="n">
        <v>8</v>
      </c>
      <c r="E32" s="3" t="n">
        <v>8</v>
      </c>
      <c r="F32" s="3" t="n">
        <v>8</v>
      </c>
      <c r="G32" s="3" t="n">
        <v>8</v>
      </c>
      <c r="H32" s="3" t="n">
        <v>8</v>
      </c>
      <c r="I32" s="3" t="n">
        <v>8</v>
      </c>
      <c r="J32" s="3" t="n">
        <v>8</v>
      </c>
      <c r="K32" s="3" t="n">
        <v>8</v>
      </c>
      <c r="L32" s="3" t="n">
        <v>8</v>
      </c>
    </row>
    <row r="33" customFormat="false" ht="15" hidden="false" customHeight="false" outlineLevel="0" collapsed="false">
      <c r="A33" s="0" t="s">
        <v>105</v>
      </c>
      <c r="C33" s="3" t="n">
        <v>18</v>
      </c>
      <c r="D33" s="3" t="n">
        <v>18.5</v>
      </c>
      <c r="E33" s="3" t="n">
        <v>19</v>
      </c>
      <c r="F33" s="3" t="n">
        <v>19.5</v>
      </c>
      <c r="G33" s="3" t="n">
        <v>20</v>
      </c>
      <c r="H33" s="3" t="n">
        <v>20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106</v>
      </c>
      <c r="B34" s="3" t="n">
        <v>8.5</v>
      </c>
    </row>
    <row r="35" customFormat="false" ht="15" hidden="false" customHeight="false" outlineLevel="0" collapsed="false">
      <c r="A35" s="0" t="s">
        <v>107</v>
      </c>
      <c r="B35" s="3" t="n">
        <v>3</v>
      </c>
    </row>
    <row r="36" customFormat="false" ht="15" hidden="false" customHeight="false" outlineLevel="0" collapsed="false">
      <c r="A36" s="0" t="s">
        <v>108</v>
      </c>
      <c r="B36" s="3" t="n">
        <v>20</v>
      </c>
    </row>
    <row r="37" customFormat="false" ht="15" hidden="false" customHeight="false" outlineLevel="0" collapsed="false">
      <c r="A37" s="0" t="s">
        <v>109</v>
      </c>
      <c r="B37" s="3" t="n">
        <v>25</v>
      </c>
    </row>
    <row r="38" customFormat="false" ht="15" hidden="false" customHeight="false" outlineLevel="0" collapsed="false">
      <c r="A38" s="0" t="s">
        <v>110</v>
      </c>
      <c r="B38" s="3" t="n">
        <v>0.5</v>
      </c>
    </row>
    <row r="40" customFormat="false" ht="15" hidden="false" customHeight="false" outlineLevel="0" collapsed="false">
      <c r="A40" s="2" t="s">
        <v>112</v>
      </c>
      <c r="C40" s="2" t="s">
        <v>89</v>
      </c>
      <c r="D40" s="2" t="s">
        <v>90</v>
      </c>
      <c r="E40" s="2" t="s">
        <v>91</v>
      </c>
      <c r="F40" s="2" t="s">
        <v>92</v>
      </c>
      <c r="G40" s="2" t="s">
        <v>93</v>
      </c>
      <c r="H40" s="2" t="s">
        <v>94</v>
      </c>
      <c r="I40" s="2" t="s">
        <v>95</v>
      </c>
      <c r="J40" s="2" t="s">
        <v>96</v>
      </c>
      <c r="K40" s="2" t="s">
        <v>97</v>
      </c>
      <c r="L40" s="2" t="s">
        <v>98</v>
      </c>
    </row>
    <row r="41" customFormat="false" ht="15" hidden="false" customHeight="false" outlineLevel="0" collapsed="false">
      <c r="A41" s="0" t="s">
        <v>99</v>
      </c>
      <c r="C41" s="3" t="n">
        <v>8.8</v>
      </c>
      <c r="D41" s="3" t="n">
        <v>9.5</v>
      </c>
      <c r="E41" s="3" t="n">
        <v>9.5</v>
      </c>
      <c r="F41" s="3" t="n">
        <v>9</v>
      </c>
      <c r="G41" s="3" t="n">
        <v>8.5</v>
      </c>
      <c r="H41" s="3" t="n">
        <v>8</v>
      </c>
      <c r="I41" s="3" t="n">
        <v>7.5</v>
      </c>
      <c r="J41" s="3" t="n">
        <v>6.5</v>
      </c>
      <c r="K41" s="3" t="n">
        <v>5.5</v>
      </c>
      <c r="L41" s="3" t="n">
        <v>4.5</v>
      </c>
    </row>
    <row r="42" customFormat="false" ht="15" hidden="false" customHeight="false" outlineLevel="0" collapsed="false">
      <c r="A42" s="0" t="s">
        <v>100</v>
      </c>
      <c r="C42" s="3" t="n">
        <v>42.15</v>
      </c>
      <c r="D42" s="3" t="n">
        <v>43.2</v>
      </c>
      <c r="E42" s="3" t="n">
        <v>44.15</v>
      </c>
      <c r="F42" s="3" t="n">
        <v>45.1</v>
      </c>
      <c r="G42" s="3" t="n">
        <v>45.85</v>
      </c>
      <c r="H42" s="3" t="n">
        <v>46.5</v>
      </c>
      <c r="I42" s="3" t="n">
        <v>47.2</v>
      </c>
      <c r="J42" s="3" t="n">
        <v>47.7</v>
      </c>
      <c r="K42" s="3" t="n">
        <v>48</v>
      </c>
      <c r="L42" s="3" t="n">
        <v>48</v>
      </c>
    </row>
    <row r="43" customFormat="false" ht="15" hidden="false" customHeight="false" outlineLevel="0" collapsed="false">
      <c r="A43" s="0" t="s">
        <v>101</v>
      </c>
      <c r="C43" s="3" t="n">
        <v>1.75</v>
      </c>
      <c r="D43" s="3" t="n">
        <v>1.7</v>
      </c>
      <c r="E43" s="3" t="n">
        <v>1.65</v>
      </c>
      <c r="F43" s="3" t="n">
        <v>1.6</v>
      </c>
      <c r="G43" s="3" t="n">
        <v>1.55</v>
      </c>
      <c r="H43" s="3" t="n">
        <v>1.5</v>
      </c>
      <c r="I43" s="3" t="n">
        <v>1.5</v>
      </c>
      <c r="J43" s="3" t="n">
        <v>1.5</v>
      </c>
      <c r="K43" s="3" t="n">
        <v>1.5</v>
      </c>
      <c r="L43" s="3" t="n">
        <v>1.5</v>
      </c>
    </row>
    <row r="44" customFormat="false" ht="15" hidden="false" customHeight="false" outlineLevel="0" collapsed="false">
      <c r="A44" s="0" t="s">
        <v>102</v>
      </c>
      <c r="C44" s="3" t="n">
        <v>1.05</v>
      </c>
      <c r="D44" s="3" t="n">
        <v>1</v>
      </c>
      <c r="E44" s="3" t="n">
        <v>0.95</v>
      </c>
      <c r="F44" s="3" t="n">
        <v>0.9</v>
      </c>
      <c r="G44" s="3" t="n">
        <v>0.85</v>
      </c>
      <c r="H44" s="3" t="n">
        <v>0.8</v>
      </c>
      <c r="I44" s="3" t="n">
        <v>0.8</v>
      </c>
      <c r="J44" s="3" t="n">
        <v>0.75</v>
      </c>
      <c r="K44" s="3" t="n">
        <v>0.75</v>
      </c>
      <c r="L44" s="3" t="n">
        <v>0.75</v>
      </c>
    </row>
    <row r="45" customFormat="false" ht="15" hidden="false" customHeight="false" outlineLevel="0" collapsed="false">
      <c r="A45" s="0" t="s">
        <v>103</v>
      </c>
      <c r="C45" s="3" t="n">
        <v>11.8</v>
      </c>
      <c r="D45" s="3" t="n">
        <v>11.5</v>
      </c>
      <c r="E45" s="3" t="n">
        <v>11.2</v>
      </c>
      <c r="F45" s="3" t="n">
        <v>11</v>
      </c>
      <c r="G45" s="3" t="n">
        <v>10.7</v>
      </c>
      <c r="H45" s="3" t="n">
        <v>10.4</v>
      </c>
      <c r="I45" s="3" t="n">
        <v>10</v>
      </c>
      <c r="J45" s="3" t="n">
        <v>9.6</v>
      </c>
      <c r="K45" s="3" t="n">
        <v>9.2</v>
      </c>
      <c r="L45" s="3" t="n">
        <v>9</v>
      </c>
    </row>
    <row r="46" customFormat="false" ht="15" hidden="false" customHeight="false" outlineLevel="0" collapsed="false">
      <c r="A46" s="0" t="s">
        <v>104</v>
      </c>
      <c r="C46" s="3" t="n">
        <v>8</v>
      </c>
      <c r="D46" s="3" t="n">
        <v>7.8</v>
      </c>
      <c r="E46" s="3" t="n">
        <v>7.6</v>
      </c>
      <c r="F46" s="3" t="n">
        <v>7.5</v>
      </c>
      <c r="G46" s="3" t="n">
        <v>7.5</v>
      </c>
      <c r="H46" s="3" t="n">
        <v>7.5</v>
      </c>
      <c r="I46" s="3" t="n">
        <v>7.5</v>
      </c>
      <c r="J46" s="3" t="n">
        <v>7.5</v>
      </c>
      <c r="K46" s="3" t="n">
        <v>7.5</v>
      </c>
      <c r="L46" s="3" t="n">
        <v>7.5</v>
      </c>
    </row>
    <row r="47" customFormat="false" ht="15" hidden="false" customHeight="false" outlineLevel="0" collapsed="false">
      <c r="A47" s="0" t="s">
        <v>105</v>
      </c>
      <c r="C47" s="3" t="n">
        <v>18</v>
      </c>
      <c r="D47" s="3" t="n">
        <v>18.5</v>
      </c>
      <c r="E47" s="3" t="n">
        <v>19</v>
      </c>
      <c r="F47" s="3" t="n">
        <v>19.5</v>
      </c>
      <c r="G47" s="3" t="n">
        <v>20</v>
      </c>
      <c r="H47" s="3" t="n">
        <v>20</v>
      </c>
      <c r="I47" s="3" t="n">
        <v>20</v>
      </c>
      <c r="J47" s="3" t="n">
        <v>20</v>
      </c>
      <c r="K47" s="3" t="n">
        <v>20</v>
      </c>
      <c r="L47" s="3" t="n">
        <v>20</v>
      </c>
    </row>
    <row r="48" customFormat="false" ht="15" hidden="false" customHeight="false" outlineLevel="0" collapsed="false">
      <c r="A48" s="0" t="s">
        <v>106</v>
      </c>
      <c r="B48" s="3" t="n">
        <v>8.5</v>
      </c>
    </row>
    <row r="49" customFormat="false" ht="15" hidden="false" customHeight="false" outlineLevel="0" collapsed="false">
      <c r="A49" s="0" t="s">
        <v>107</v>
      </c>
      <c r="B49" s="3" t="n">
        <v>3.5</v>
      </c>
    </row>
    <row r="50" customFormat="false" ht="15" hidden="false" customHeight="false" outlineLevel="0" collapsed="false">
      <c r="A50" s="0" t="s">
        <v>108</v>
      </c>
      <c r="B50" s="3" t="n">
        <v>20</v>
      </c>
    </row>
    <row r="51" customFormat="false" ht="15" hidden="false" customHeight="false" outlineLevel="0" collapsed="false">
      <c r="A51" s="0" t="s">
        <v>109</v>
      </c>
      <c r="B51" s="3" t="n">
        <v>30</v>
      </c>
    </row>
    <row r="52" customFormat="false" ht="15" hidden="false" customHeight="false" outlineLevel="0" collapsed="false">
      <c r="A52" s="0" t="s">
        <v>110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113</v>
      </c>
    </row>
    <row r="3" customFormat="false" ht="15" hidden="false" customHeight="false" outlineLevel="0" collapsed="false">
      <c r="A3" s="0" t="s">
        <v>114</v>
      </c>
      <c r="B3" s="0" t="s">
        <v>84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Assumptions!C13</f>
        <v>8.3</v>
      </c>
      <c r="D5" s="4" t="n">
        <f aca="false">Assumptions!D13</f>
        <v>5</v>
      </c>
      <c r="E5" s="4" t="n">
        <f aca="false">Assumptions!E13</f>
        <v>3.5</v>
      </c>
      <c r="F5" s="4" t="n">
        <f aca="false">Assumptions!F13</f>
        <v>3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6986</v>
      </c>
      <c r="C6" s="0" t="n">
        <f aca="false">B6*(1+C5/100)</f>
        <v>7565.838</v>
      </c>
      <c r="D6" s="0" t="n">
        <f aca="false">C6*(1+D5/100)</f>
        <v>7944.1299</v>
      </c>
      <c r="E6" s="0" t="n">
        <f aca="false">D6*(1+E5/100)</f>
        <v>8222.1744465</v>
      </c>
      <c r="F6" s="0" t="n">
        <f aca="false">E6*(1+F5/100)</f>
        <v>8468.839679895</v>
      </c>
      <c r="G6" s="0" t="n">
        <f aca="false">F6*(1+G5/100)</f>
        <v>8680.56067189237</v>
      </c>
      <c r="H6" s="0" t="n">
        <f aca="false">G6*(1+H5/100)</f>
        <v>8897.57468868968</v>
      </c>
      <c r="I6" s="0" t="n">
        <f aca="false">H6*(1+I5/100)</f>
        <v>9120.01405590692</v>
      </c>
      <c r="J6" s="0" t="n">
        <f aca="false">I6*(1+J5/100)</f>
        <v>9348.01440730459</v>
      </c>
      <c r="K6" s="0" t="n">
        <f aca="false">J6*(1+K5/100)</f>
        <v>9581.71476748721</v>
      </c>
      <c r="L6" s="0" t="n">
        <f aca="false">K6*(1+L5/100)</f>
        <v>9821.25763667439</v>
      </c>
    </row>
    <row r="7" customFormat="false" ht="15" hidden="false" customHeight="false" outlineLevel="0" collapsed="false">
      <c r="A7" s="0" t="s">
        <v>100</v>
      </c>
      <c r="C7" s="4" t="n">
        <f aca="false">Assumptions!C14</f>
        <v>41.75</v>
      </c>
      <c r="D7" s="4" t="n">
        <f aca="false">Assumptions!D14</f>
        <v>41.3</v>
      </c>
      <c r="E7" s="4" t="n">
        <f aca="false">Assumptions!E14</f>
        <v>40.85</v>
      </c>
      <c r="F7" s="4" t="n">
        <f aca="false">Assumptions!F14</f>
        <v>40.4</v>
      </c>
      <c r="G7" s="4" t="n">
        <f aca="false">Assumptions!G14</f>
        <v>39.95</v>
      </c>
      <c r="H7" s="4" t="n">
        <f aca="false">Assumptions!H14</f>
        <v>40</v>
      </c>
      <c r="I7" s="4" t="n">
        <f aca="false">Assumptions!I14</f>
        <v>40</v>
      </c>
      <c r="J7" s="4" t="n">
        <f aca="false">Assumptions!J14</f>
        <v>40</v>
      </c>
      <c r="K7" s="4" t="n">
        <f aca="false">Assumptions!K14</f>
        <v>40</v>
      </c>
      <c r="L7" s="4" t="n">
        <f aca="false">Assumptions!L14</f>
        <v>40</v>
      </c>
    </row>
    <row r="8" customFormat="false" ht="15" hidden="false" customHeight="false" outlineLevel="0" collapsed="false">
      <c r="A8" s="0" t="s">
        <v>44</v>
      </c>
      <c r="C8" s="0" t="n">
        <f aca="false">C6*C7/100</f>
        <v>3158.737365</v>
      </c>
      <c r="D8" s="0" t="n">
        <f aca="false">D6*D7/100</f>
        <v>3280.9256487</v>
      </c>
      <c r="E8" s="0" t="n">
        <f aca="false">E6*E7/100</f>
        <v>3358.75826139525</v>
      </c>
      <c r="F8" s="0" t="n">
        <f aca="false">F6*F7/100</f>
        <v>3421.41123067758</v>
      </c>
      <c r="G8" s="0" t="n">
        <f aca="false">G6*G7/100</f>
        <v>3467.883988421</v>
      </c>
      <c r="H8" s="0" t="n">
        <f aca="false">H6*H7/100</f>
        <v>3559.02987547587</v>
      </c>
      <c r="I8" s="0" t="n">
        <f aca="false">I6*I7/100</f>
        <v>3648.00562236277</v>
      </c>
      <c r="J8" s="0" t="n">
        <f aca="false">J6*J7/100</f>
        <v>3739.20576292184</v>
      </c>
      <c r="K8" s="0" t="n">
        <f aca="false">K6*K7/100</f>
        <v>3832.68590699488</v>
      </c>
      <c r="L8" s="0" t="n">
        <f aca="false">L6*L7/100</f>
        <v>3928.50305466976</v>
      </c>
    </row>
    <row r="9" customFormat="false" ht="15" hidden="false" customHeight="false" outlineLevel="0" collapsed="false">
      <c r="A9" s="0" t="s">
        <v>101</v>
      </c>
      <c r="C9" s="4" t="n">
        <f aca="false">Assumptions!C15</f>
        <v>1.75</v>
      </c>
      <c r="D9" s="4" t="n">
        <f aca="false">Assumptions!D15</f>
        <v>1.8</v>
      </c>
      <c r="E9" s="4" t="n">
        <f aca="false">Assumptions!E15</f>
        <v>1.85</v>
      </c>
      <c r="F9" s="4" t="n">
        <f aca="false">Assumptions!F15</f>
        <v>1.9</v>
      </c>
      <c r="G9" s="4" t="n">
        <f aca="false">Assumptions!G15</f>
        <v>1.95</v>
      </c>
      <c r="H9" s="4" t="n">
        <f aca="false">Assumptions!H15</f>
        <v>2</v>
      </c>
      <c r="I9" s="4" t="n">
        <f aca="false">Assumptions!I15</f>
        <v>2</v>
      </c>
      <c r="J9" s="4" t="n">
        <f aca="false">Assumptions!J15</f>
        <v>2</v>
      </c>
      <c r="K9" s="4" t="n">
        <f aca="false">Assumptions!K15</f>
        <v>2</v>
      </c>
      <c r="L9" s="4" t="n">
        <f aca="false">Assumptions!L15</f>
        <v>2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-132.402165</v>
      </c>
      <c r="D10" s="0" t="n">
        <f aca="false">-D6*D9/100</f>
        <v>-142.9943382</v>
      </c>
      <c r="E10" s="0" t="n">
        <f aca="false">-E6*E9/100</f>
        <v>-152.11022726025</v>
      </c>
      <c r="F10" s="0" t="n">
        <f aca="false">-F6*F9/100</f>
        <v>-160.907953918005</v>
      </c>
      <c r="G10" s="0" t="n">
        <f aca="false">-G6*G9/100</f>
        <v>-169.270933101901</v>
      </c>
      <c r="H10" s="0" t="n">
        <f aca="false">-H6*H9/100</f>
        <v>-177.951493773794</v>
      </c>
      <c r="I10" s="0" t="n">
        <f aca="false">-I6*I9/100</f>
        <v>-182.400281118138</v>
      </c>
      <c r="J10" s="0" t="n">
        <f aca="false">-J6*J9/100</f>
        <v>-186.960288146092</v>
      </c>
      <c r="K10" s="0" t="n">
        <f aca="false">-K6*K9/100</f>
        <v>-191.634295349744</v>
      </c>
      <c r="L10" s="0" t="n">
        <f aca="false">-L6*L9/100</f>
        <v>-196.425152733488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2946.893901</v>
      </c>
      <c r="D11" s="0" t="n">
        <f aca="false">D8+D10+D24</f>
        <v>3054.51794655</v>
      </c>
      <c r="E11" s="0" t="n">
        <f aca="false">E8+E10+E24</f>
        <v>3120.31520244675</v>
      </c>
      <c r="F11" s="0" t="n">
        <f aca="false">F8+F10+F24</f>
        <v>3175.81487996062</v>
      </c>
      <c r="G11" s="0" t="n">
        <f aca="false">G8+G10+G24</f>
        <v>3211.80744860018</v>
      </c>
      <c r="H11" s="0" t="n">
        <f aca="false">H8+H10+H24</f>
        <v>3292.10263481518</v>
      </c>
      <c r="I11" s="0" t="n">
        <f aca="false">I8+I10+I24</f>
        <v>3374.40520068556</v>
      </c>
      <c r="J11" s="0" t="n">
        <f aca="false">J8+J10+J24</f>
        <v>3458.7653307027</v>
      </c>
      <c r="K11" s="0" t="n">
        <f aca="false">K8+K10+K24</f>
        <v>3545.23446397027</v>
      </c>
      <c r="L11" s="0" t="n">
        <f aca="false">L8+L10+L24</f>
        <v>3633.86532556952</v>
      </c>
    </row>
    <row r="12" customFormat="false" ht="15" hidden="false" customHeight="false" outlineLevel="0" collapsed="false">
      <c r="A12" s="0" t="s">
        <v>118</v>
      </c>
      <c r="C12" s="4" t="n">
        <f aca="false">-C6*Assumptions!C17/100</f>
        <v>-892.768884</v>
      </c>
      <c r="D12" s="4" t="n">
        <f aca="false">-D6*Assumptions!D17/100</f>
        <v>-937.4073282</v>
      </c>
      <c r="E12" s="4" t="n">
        <f aca="false">-E6*Assumptions!E17/100</f>
        <v>-953.772235794</v>
      </c>
      <c r="F12" s="4" t="n">
        <f aca="false">-F6*Assumptions!F17/100</f>
        <v>-965.44772350803</v>
      </c>
      <c r="G12" s="4" t="n">
        <f aca="false">-G6*Assumptions!G17/100</f>
        <v>-954.861673908161</v>
      </c>
      <c r="H12" s="4" t="n">
        <f aca="false">-H6*Assumptions!H17/100</f>
        <v>-943.142917001106</v>
      </c>
      <c r="I12" s="4" t="n">
        <f aca="false">-I6*Assumptions!I17/100</f>
        <v>-930.241433702506</v>
      </c>
      <c r="J12" s="4" t="n">
        <f aca="false">-J6*Assumptions!J17/100</f>
        <v>-916.10541191585</v>
      </c>
      <c r="K12" s="4" t="n">
        <f aca="false">-K6*Assumptions!K17/100</f>
        <v>-910.262902911285</v>
      </c>
      <c r="L12" s="4" t="n">
        <f aca="false">-L6*Assumptions!L17/100</f>
        <v>-933.019475484067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2054.125017</v>
      </c>
      <c r="D13" s="0" t="n">
        <f aca="false">D11+D12</f>
        <v>2117.11061835</v>
      </c>
      <c r="E13" s="0" t="n">
        <f aca="false">E11+E12</f>
        <v>2166.54296665275</v>
      </c>
      <c r="F13" s="0" t="n">
        <f aca="false">F11+F12</f>
        <v>2210.3671564526</v>
      </c>
      <c r="G13" s="0" t="n">
        <f aca="false">G11+G12</f>
        <v>2256.94577469202</v>
      </c>
      <c r="H13" s="0" t="n">
        <f aca="false">H11+H12</f>
        <v>2348.95971781408</v>
      </c>
      <c r="I13" s="0" t="n">
        <f aca="false">I11+I12</f>
        <v>2444.16376698306</v>
      </c>
      <c r="J13" s="0" t="n">
        <f aca="false">J11+J12</f>
        <v>2542.65991878685</v>
      </c>
      <c r="K13" s="0" t="n">
        <f aca="false">K11+K12</f>
        <v>2634.97156105898</v>
      </c>
      <c r="L13" s="0" t="n">
        <f aca="false">L11+L12</f>
        <v>2700.84585008546</v>
      </c>
    </row>
    <row r="14" customFormat="false" ht="15" hidden="false" customHeight="false" outlineLevel="0" collapsed="false">
      <c r="A14" s="0" t="s">
        <v>105</v>
      </c>
      <c r="C14" s="4" t="n">
        <f aca="false">Assumptions!C19</f>
        <v>18</v>
      </c>
      <c r="D14" s="4" t="n">
        <f aca="false">Assumptions!D19</f>
        <v>18.5</v>
      </c>
      <c r="E14" s="4" t="n">
        <f aca="false">Assumptions!E19</f>
        <v>19</v>
      </c>
      <c r="F14" s="4" t="n">
        <f aca="false">Assumptions!F19</f>
        <v>19.5</v>
      </c>
      <c r="G14" s="4" t="n">
        <f aca="false">Assumptions!G19</f>
        <v>20</v>
      </c>
      <c r="H14" s="4" t="n">
        <f aca="false">Assumptions!H19</f>
        <v>20</v>
      </c>
      <c r="I14" s="4" t="n">
        <f aca="false">Assumptions!I19</f>
        <v>20</v>
      </c>
      <c r="J14" s="4" t="n">
        <f aca="false">Assumptions!J19</f>
        <v>20</v>
      </c>
      <c r="K14" s="4" t="n">
        <f aca="false">Assumptions!K19</f>
        <v>20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1684.38251394</v>
      </c>
      <c r="D15" s="0" t="n">
        <f aca="false">D13-MAX(0,D13)*D14/100</f>
        <v>1725.44515395525</v>
      </c>
      <c r="E15" s="0" t="n">
        <f aca="false">E13-MAX(0,E13)*E14/100</f>
        <v>1754.89980298873</v>
      </c>
      <c r="F15" s="0" t="n">
        <f aca="false">F13-MAX(0,F13)*F14/100</f>
        <v>1779.34556094434</v>
      </c>
      <c r="G15" s="0" t="n">
        <f aca="false">G13-MAX(0,G13)*G14/100</f>
        <v>1805.55661975361</v>
      </c>
      <c r="H15" s="0" t="n">
        <f aca="false">H13-MAX(0,H13)*H14/100</f>
        <v>1879.16777425126</v>
      </c>
      <c r="I15" s="0" t="n">
        <f aca="false">I13-MAX(0,I13)*I14/100</f>
        <v>1955.33101358644</v>
      </c>
      <c r="J15" s="0" t="n">
        <f aca="false">J13-MAX(0,J13)*J14/100</f>
        <v>2034.12793502948</v>
      </c>
      <c r="K15" s="0" t="n">
        <f aca="false">K13-MAX(0,K13)*K14/100</f>
        <v>2107.97724884719</v>
      </c>
      <c r="L15" s="0" t="n">
        <f aca="false">L13-MAX(0,L13)*L14/100</f>
        <v>2160.67668006837</v>
      </c>
    </row>
    <row r="16" customFormat="false" ht="15" hidden="false" customHeight="false" outlineLevel="0" collapsed="false">
      <c r="A16" s="0" t="s">
        <v>121</v>
      </c>
      <c r="C16" s="0" t="n">
        <f aca="false">-C12</f>
        <v>892.768884</v>
      </c>
      <c r="D16" s="0" t="n">
        <f aca="false">-D12</f>
        <v>937.4073282</v>
      </c>
      <c r="E16" s="0" t="n">
        <f aca="false">-E12</f>
        <v>953.772235794</v>
      </c>
      <c r="F16" s="0" t="n">
        <f aca="false">-F12</f>
        <v>965.44772350803</v>
      </c>
      <c r="G16" s="0" t="n">
        <f aca="false">-G12</f>
        <v>954.861673908161</v>
      </c>
      <c r="H16" s="0" t="n">
        <f aca="false">-H12</f>
        <v>943.142917001106</v>
      </c>
      <c r="I16" s="0" t="n">
        <f aca="false">-I12</f>
        <v>930.241433702506</v>
      </c>
      <c r="J16" s="0" t="n">
        <f aca="false">-J12</f>
        <v>916.10541191585</v>
      </c>
      <c r="K16" s="0" t="n">
        <f aca="false">-K12</f>
        <v>910.262902911285</v>
      </c>
      <c r="L16" s="0" t="n">
        <f aca="false">-L12</f>
        <v>933.019475484067</v>
      </c>
    </row>
    <row r="17" customFormat="false" ht="15" hidden="false" customHeight="false" outlineLevel="0" collapsed="false">
      <c r="A17" s="0" t="s">
        <v>122</v>
      </c>
      <c r="C17" s="4" t="n">
        <f aca="false">-C6*Assumptions!C18/100</f>
        <v>-605.26704</v>
      </c>
      <c r="D17" s="4" t="n">
        <f aca="false">-D6*Assumptions!D18/100</f>
        <v>-675.2510415</v>
      </c>
      <c r="E17" s="4" t="n">
        <f aca="false">-E6*Assumptions!E18/100</f>
        <v>-698.8848279525</v>
      </c>
      <c r="F17" s="4" t="n">
        <f aca="false">-F6*Assumptions!F18/100</f>
        <v>-719.851372791075</v>
      </c>
      <c r="G17" s="4" t="n">
        <f aca="false">-G6*Assumptions!G18/100</f>
        <v>-737.847657110852</v>
      </c>
      <c r="H17" s="4" t="n">
        <f aca="false">-H6*Assumptions!H18/100</f>
        <v>-756.293848538623</v>
      </c>
      <c r="I17" s="4" t="n">
        <f aca="false">-I6*Assumptions!I18/100</f>
        <v>-775.201194752088</v>
      </c>
      <c r="J17" s="4" t="n">
        <f aca="false">-J6*Assumptions!J18/100</f>
        <v>-794.581224620891</v>
      </c>
      <c r="K17" s="4" t="n">
        <f aca="false">-K6*Assumptions!K18/100</f>
        <v>-814.445755236413</v>
      </c>
      <c r="L17" s="4" t="n">
        <f aca="false">-L6*Assumptions!L18/100</f>
        <v>-834.806899117323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(C6-B6)*Assumptions!$B$23/100</f>
        <v>115.9676</v>
      </c>
      <c r="D18" s="4" t="n">
        <f aca="false">(D6-C6)*Assumptions!$B$23/100</f>
        <v>75.65838</v>
      </c>
      <c r="E18" s="4" t="n">
        <f aca="false">(E6-D6)*Assumptions!$B$23/100</f>
        <v>55.6089092999999</v>
      </c>
      <c r="F18" s="4" t="n">
        <f aca="false">(F6-E6)*Assumptions!$B$23/100</f>
        <v>49.3330466790001</v>
      </c>
      <c r="G18" s="4" t="n">
        <f aca="false">(G6-F6)*Assumptions!$B$23/100</f>
        <v>42.3441983994748</v>
      </c>
      <c r="H18" s="4" t="n">
        <f aca="false">(H6-G6)*Assumptions!$B$23/100</f>
        <v>43.4028033594615</v>
      </c>
      <c r="I18" s="4" t="n">
        <f aca="false">(I6-H6)*Assumptions!$B$23/100</f>
        <v>44.4878734434482</v>
      </c>
      <c r="J18" s="4" t="n">
        <f aca="false">(J6-I6)*Assumptions!$B$23/100</f>
        <v>45.6000702795343</v>
      </c>
      <c r="K18" s="4" t="n">
        <f aca="false">(K6-J6)*Assumptions!$B$23/100</f>
        <v>46.7400720365229</v>
      </c>
      <c r="L18" s="4" t="n">
        <f aca="false">(L6-K6)*Assumptions!$B$23/100</f>
        <v>47.9085738374361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2087.85195794</v>
      </c>
      <c r="D19" s="0" t="n">
        <f aca="false">D15+D16+D17+D18</f>
        <v>2063.25982065525</v>
      </c>
      <c r="E19" s="0" t="n">
        <f aca="false">E15+E16+E17+E18</f>
        <v>2065.39612013023</v>
      </c>
      <c r="F19" s="0" t="n">
        <f aca="false">F15+F16+F17+F18</f>
        <v>2074.27495834029</v>
      </c>
      <c r="G19" s="0" t="n">
        <f aca="false">G15+G16+G17+G18</f>
        <v>2064.9148349504</v>
      </c>
      <c r="H19" s="0" t="n">
        <f aca="false">H15+H16+H17+H18</f>
        <v>2109.41964607321</v>
      </c>
      <c r="I19" s="0" t="n">
        <f aca="false">I15+I16+I17+I18</f>
        <v>2154.85912598031</v>
      </c>
      <c r="J19" s="0" t="n">
        <f aca="false">J15+J16+J17+J18</f>
        <v>2201.25219260397</v>
      </c>
      <c r="K19" s="0" t="n">
        <f aca="false">K15+K16+K17+K18</f>
        <v>2250.53446855858</v>
      </c>
      <c r="L19" s="0" t="n">
        <f aca="false">L15+L16+L17+L18</f>
        <v>2306.79783027255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1924.28751883871</v>
      </c>
      <c r="D21" s="0" t="n">
        <f aca="false">D19*D20</f>
        <v>1752.64696269214</v>
      </c>
      <c r="E21" s="0" t="n">
        <f aca="false">E19*E20</f>
        <v>1617.01534891736</v>
      </c>
      <c r="F21" s="0" t="n">
        <f aca="false">F19*F20</f>
        <v>1496.74346843934</v>
      </c>
      <c r="G21" s="0" t="n">
        <f aca="false">G19*G20</f>
        <v>1373.26216046416</v>
      </c>
      <c r="H21" s="0" t="n">
        <f aca="false">H19*H20</f>
        <v>1292.95841605133</v>
      </c>
      <c r="I21" s="0" t="n">
        <f aca="false">I19*I20</f>
        <v>1217.33670246939</v>
      </c>
      <c r="J21" s="0" t="n">
        <f aca="false">J19*J20</f>
        <v>1146.12476340853</v>
      </c>
      <c r="K21" s="0" t="n">
        <f aca="false">K19*K20</f>
        <v>1079.98575005718</v>
      </c>
      <c r="L21" s="0" t="n">
        <f aca="false">L19*L20</f>
        <v>1020.2630357683</v>
      </c>
    </row>
    <row r="23" customFormat="false" ht="15" hidden="false" customHeight="false" outlineLevel="0" collapsed="false">
      <c r="A23" s="0" t="s">
        <v>102</v>
      </c>
      <c r="C23" s="4" t="n">
        <f aca="false">Assumptions!C16</f>
        <v>1.05</v>
      </c>
      <c r="D23" s="4" t="n">
        <f aca="false">Assumptions!D16</f>
        <v>1.05</v>
      </c>
      <c r="E23" s="4" t="n">
        <f aca="false">Assumptions!E16</f>
        <v>1.05</v>
      </c>
      <c r="F23" s="4" t="n">
        <f aca="false">Assumptions!F16</f>
        <v>1</v>
      </c>
      <c r="G23" s="4" t="n">
        <f aca="false">Assumptions!G16</f>
        <v>1</v>
      </c>
      <c r="H23" s="4" t="n">
        <f aca="false">Assumptions!H16</f>
        <v>1</v>
      </c>
      <c r="I23" s="4" t="n">
        <f aca="false">Assumptions!I16</f>
        <v>1</v>
      </c>
      <c r="J23" s="4" t="n">
        <f aca="false">Assumptions!J16</f>
        <v>1</v>
      </c>
      <c r="K23" s="4" t="n">
        <f aca="false">Assumptions!K16</f>
        <v>1</v>
      </c>
      <c r="L23" s="4" t="n">
        <f aca="false">Assumptions!L16</f>
        <v>1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-79.441299</v>
      </c>
      <c r="D24" s="0" t="n">
        <f aca="false">-D6*D23/100</f>
        <v>-83.41336395</v>
      </c>
      <c r="E24" s="0" t="n">
        <f aca="false">-E6*E23/100</f>
        <v>-86.33283168825</v>
      </c>
      <c r="F24" s="0" t="n">
        <f aca="false">-F6*F23/100</f>
        <v>-84.68839679895</v>
      </c>
      <c r="G24" s="0" t="n">
        <f aca="false">-G6*G23/100</f>
        <v>-86.8056067189237</v>
      </c>
      <c r="H24" s="0" t="n">
        <f aca="false">-H6*H23/100</f>
        <v>-88.9757468868968</v>
      </c>
      <c r="I24" s="0" t="n">
        <f aca="false">-I6*I23/100</f>
        <v>-91.2001405590692</v>
      </c>
      <c r="J24" s="0" t="n">
        <f aca="false">-J6*J23/100</f>
        <v>-93.4801440730459</v>
      </c>
      <c r="K24" s="0" t="n">
        <f aca="false">-K6*K23/100</f>
        <v>-95.8171476748721</v>
      </c>
      <c r="L24" s="0" t="n">
        <f aca="false">-L6*L23/100</f>
        <v>-98.2125763667439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107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108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13920.6241271064</v>
      </c>
    </row>
    <row r="31" customFormat="false" ht="15" hidden="false" customHeight="false" outlineLevel="0" collapsed="false">
      <c r="A31" s="0" t="s">
        <v>130</v>
      </c>
      <c r="B31" s="0" t="n">
        <f aca="false">L19</f>
        <v>2306.79783027255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36198.9813365846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32295.1696238156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32295.1696238156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14283.6825007562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28204.3066278627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26292.3066278627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85.9762648941396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-0.416318636156554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1079.56428480974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1363.28461237576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93.9644200169848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18099.4906682923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43.0327132972109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114</v>
      </c>
      <c r="B3" s="0" t="s">
        <v>84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Assumptions!C27</f>
        <v>8.6</v>
      </c>
      <c r="D5" s="4" t="n">
        <f aca="false">Assumptions!D27</f>
        <v>8</v>
      </c>
      <c r="E5" s="4" t="n">
        <f aca="false">Assumptions!E27</f>
        <v>7.5</v>
      </c>
      <c r="F5" s="4" t="n">
        <f aca="false">Assumptions!F27</f>
        <v>7</v>
      </c>
      <c r="G5" s="4" t="n">
        <f aca="false">Assumptions!G27</f>
        <v>6.5</v>
      </c>
      <c r="H5" s="4" t="n">
        <f aca="false">Assumptions!H27</f>
        <v>6</v>
      </c>
      <c r="I5" s="4" t="n">
        <f aca="false">Assumptions!I27</f>
        <v>5.5</v>
      </c>
      <c r="J5" s="4" t="n">
        <f aca="false">Assumptions!J27</f>
        <v>5</v>
      </c>
      <c r="K5" s="4" t="n">
        <f aca="false">Assumptions!K27</f>
        <v>4.5</v>
      </c>
      <c r="L5" s="4" t="n">
        <f aca="false">Assumptions!L27</f>
        <v>4</v>
      </c>
    </row>
    <row r="6" customFormat="false" ht="15" hidden="false" customHeight="false" outlineLevel="0" collapsed="false">
      <c r="A6" s="0" t="s">
        <v>38</v>
      </c>
      <c r="B6" s="3" t="n">
        <v>6986</v>
      </c>
      <c r="C6" s="0" t="n">
        <f aca="false">B6*(1+C5/100)</f>
        <v>7586.796</v>
      </c>
      <c r="D6" s="0" t="n">
        <f aca="false">C6*(1+D5/100)</f>
        <v>8193.73968</v>
      </c>
      <c r="E6" s="0" t="n">
        <f aca="false">D6*(1+E5/100)</f>
        <v>8808.270156</v>
      </c>
      <c r="F6" s="0" t="n">
        <f aca="false">E6*(1+F5/100)</f>
        <v>9424.84906692</v>
      </c>
      <c r="G6" s="0" t="n">
        <f aca="false">F6*(1+G5/100)</f>
        <v>10037.4642562698</v>
      </c>
      <c r="H6" s="0" t="n">
        <f aca="false">G6*(1+H5/100)</f>
        <v>10639.712111646</v>
      </c>
      <c r="I6" s="0" t="n">
        <f aca="false">H6*(1+I5/100)</f>
        <v>11224.8962777865</v>
      </c>
      <c r="J6" s="0" t="n">
        <f aca="false">I6*(1+J5/100)</f>
        <v>11786.1410916758</v>
      </c>
      <c r="K6" s="0" t="n">
        <f aca="false">J6*(1+K5/100)</f>
        <v>12316.5174408013</v>
      </c>
      <c r="L6" s="0" t="n">
        <f aca="false">K6*(1+L5/100)</f>
        <v>12809.1781384333</v>
      </c>
    </row>
    <row r="7" customFormat="false" ht="15" hidden="false" customHeight="false" outlineLevel="0" collapsed="false">
      <c r="A7" s="0" t="s">
        <v>100</v>
      </c>
      <c r="C7" s="4" t="n">
        <f aca="false">Assumptions!C28</f>
        <v>41.95</v>
      </c>
      <c r="D7" s="4" t="n">
        <f aca="false">Assumptions!D28</f>
        <v>42.75</v>
      </c>
      <c r="E7" s="4" t="n">
        <f aca="false">Assumptions!E28</f>
        <v>43.5</v>
      </c>
      <c r="F7" s="4" t="n">
        <f aca="false">Assumptions!F28</f>
        <v>44.2</v>
      </c>
      <c r="G7" s="4" t="n">
        <f aca="false">Assumptions!G28</f>
        <v>44.65</v>
      </c>
      <c r="H7" s="4" t="n">
        <f aca="false">Assumptions!H28</f>
        <v>45.15</v>
      </c>
      <c r="I7" s="4" t="n">
        <f aca="false">Assumptions!I28</f>
        <v>45.6</v>
      </c>
      <c r="J7" s="4" t="n">
        <f aca="false">Assumptions!J28</f>
        <v>45.6</v>
      </c>
      <c r="K7" s="4" t="n">
        <f aca="false">Assumptions!K28</f>
        <v>45.6</v>
      </c>
      <c r="L7" s="4" t="n">
        <f aca="false">Assumptions!L28</f>
        <v>45.6</v>
      </c>
    </row>
    <row r="8" customFormat="false" ht="15" hidden="false" customHeight="false" outlineLevel="0" collapsed="false">
      <c r="A8" s="0" t="s">
        <v>44</v>
      </c>
      <c r="C8" s="0" t="n">
        <f aca="false">C6*C7/100</f>
        <v>3182.660922</v>
      </c>
      <c r="D8" s="0" t="n">
        <f aca="false">D6*D7/100</f>
        <v>3502.8237132</v>
      </c>
      <c r="E8" s="0" t="n">
        <f aca="false">E6*E7/100</f>
        <v>3831.59751786</v>
      </c>
      <c r="F8" s="0" t="n">
        <f aca="false">F6*F7/100</f>
        <v>4165.78328757864</v>
      </c>
      <c r="G8" s="0" t="n">
        <f aca="false">G6*G7/100</f>
        <v>4481.72779042447</v>
      </c>
      <c r="H8" s="0" t="n">
        <f aca="false">H6*H7/100</f>
        <v>4803.83001840816</v>
      </c>
      <c r="I8" s="0" t="n">
        <f aca="false">I6*I7/100</f>
        <v>5118.55270267065</v>
      </c>
      <c r="J8" s="0" t="n">
        <f aca="false">J6*J7/100</f>
        <v>5374.48033780419</v>
      </c>
      <c r="K8" s="0" t="n">
        <f aca="false">K6*K7/100</f>
        <v>5616.33195300537</v>
      </c>
      <c r="L8" s="0" t="n">
        <f aca="false">L6*L7/100</f>
        <v>5840.98523112559</v>
      </c>
    </row>
    <row r="9" customFormat="false" ht="15" hidden="false" customHeight="false" outlineLevel="0" collapsed="false">
      <c r="A9" s="0" t="s">
        <v>101</v>
      </c>
      <c r="C9" s="4" t="n">
        <f aca="false">Assumptions!C29</f>
        <v>1.75</v>
      </c>
      <c r="D9" s="4" t="n">
        <f aca="false">Assumptions!D29</f>
        <v>1.75</v>
      </c>
      <c r="E9" s="4" t="n">
        <f aca="false">Assumptions!E29</f>
        <v>1.7</v>
      </c>
      <c r="F9" s="4" t="n">
        <f aca="false">Assumptions!F29</f>
        <v>1.7</v>
      </c>
      <c r="G9" s="4" t="n">
        <f aca="false">Assumptions!G29</f>
        <v>1.65</v>
      </c>
      <c r="H9" s="4" t="n">
        <f aca="false">Assumptions!H29</f>
        <v>1.65</v>
      </c>
      <c r="I9" s="4" t="n">
        <f aca="false">Assumptions!I29</f>
        <v>1.6</v>
      </c>
      <c r="J9" s="4" t="n">
        <f aca="false">Assumptions!J29</f>
        <v>1.6</v>
      </c>
      <c r="K9" s="4" t="n">
        <f aca="false">Assumptions!K29</f>
        <v>1.6</v>
      </c>
      <c r="L9" s="4" t="n">
        <f aca="false">Assumptions!L29</f>
        <v>1.6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-132.76893</v>
      </c>
      <c r="D10" s="0" t="n">
        <f aca="false">-D6*D9/100</f>
        <v>-143.3904444</v>
      </c>
      <c r="E10" s="0" t="n">
        <f aca="false">-E6*E9/100</f>
        <v>-149.740592652</v>
      </c>
      <c r="F10" s="0" t="n">
        <f aca="false">-F6*F9/100</f>
        <v>-160.22243413764</v>
      </c>
      <c r="G10" s="0" t="n">
        <f aca="false">-G6*G9/100</f>
        <v>-165.618160228452</v>
      </c>
      <c r="H10" s="0" t="n">
        <f aca="false">-H6*H9/100</f>
        <v>-175.555249842159</v>
      </c>
      <c r="I10" s="0" t="n">
        <f aca="false">-I6*I9/100</f>
        <v>-179.598340444584</v>
      </c>
      <c r="J10" s="0" t="n">
        <f aca="false">-J6*J9/100</f>
        <v>-188.578257466814</v>
      </c>
      <c r="K10" s="0" t="n">
        <f aca="false">-K6*K9/100</f>
        <v>-197.06427905282</v>
      </c>
      <c r="L10" s="0" t="n">
        <f aca="false">-L6*L9/100</f>
        <v>-204.946850214933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2970.230634</v>
      </c>
      <c r="D11" s="0" t="n">
        <f aca="false">D8+D10+D24</f>
        <v>3277.495872</v>
      </c>
      <c r="E11" s="0" t="n">
        <f aca="false">E8+E10+E24</f>
        <v>3598.178358726</v>
      </c>
      <c r="F11" s="0" t="n">
        <f aca="false">F8+F10+F24</f>
        <v>3920.73721183872</v>
      </c>
      <c r="G11" s="0" t="n">
        <f aca="false">G8+G10+G24</f>
        <v>4225.77245188959</v>
      </c>
      <c r="H11" s="0" t="n">
        <f aca="false">H8+H10+H24</f>
        <v>4537.83721561701</v>
      </c>
      <c r="I11" s="0" t="n">
        <f aca="false">I8+I10+I24</f>
        <v>4843.54274386488</v>
      </c>
      <c r="J11" s="0" t="n">
        <f aca="false">J8+J10+J24</f>
        <v>5091.61295160397</v>
      </c>
      <c r="K11" s="0" t="n">
        <f aca="false">K8+K10+K24</f>
        <v>5320.73553442614</v>
      </c>
      <c r="L11" s="0" t="n">
        <f aca="false">L8+L10+L24</f>
        <v>5533.56495580319</v>
      </c>
    </row>
    <row r="12" customFormat="false" ht="15" hidden="false" customHeight="false" outlineLevel="0" collapsed="false">
      <c r="A12" s="0" t="s">
        <v>118</v>
      </c>
      <c r="C12" s="4" t="n">
        <f aca="false">-C6*Assumptions!C31/100</f>
        <v>-895.241928</v>
      </c>
      <c r="D12" s="4" t="n">
        <f aca="false">-D6*Assumptions!D31/100</f>
        <v>-942.2800632</v>
      </c>
      <c r="E12" s="4" t="n">
        <f aca="false">-E6*Assumptions!E31/100</f>
        <v>-986.526257472</v>
      </c>
      <c r="F12" s="4" t="n">
        <f aca="false">-F6*Assumptions!F31/100</f>
        <v>-1036.7333973612</v>
      </c>
      <c r="G12" s="4" t="n">
        <f aca="false">-G6*Assumptions!G31/100</f>
        <v>-1074.00867542087</v>
      </c>
      <c r="H12" s="4" t="n">
        <f aca="false">-H6*Assumptions!H31/100</f>
        <v>-1106.53005961118</v>
      </c>
      <c r="I12" s="4" t="n">
        <f aca="false">-I6*Assumptions!I31/100</f>
        <v>-1122.48962777865</v>
      </c>
      <c r="J12" s="4" t="n">
        <f aca="false">-J6*Assumptions!J31/100</f>
        <v>-1131.46954480088</v>
      </c>
      <c r="K12" s="4" t="n">
        <f aca="false">-K6*Assumptions!K31/100</f>
        <v>-1133.11960455372</v>
      </c>
      <c r="L12" s="4" t="n">
        <f aca="false">-L6*Assumptions!L31/100</f>
        <v>-1152.826032459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2074.988706</v>
      </c>
      <c r="D13" s="0" t="n">
        <f aca="false">D11+D12</f>
        <v>2335.2158088</v>
      </c>
      <c r="E13" s="0" t="n">
        <f aca="false">E11+E12</f>
        <v>2611.652101254</v>
      </c>
      <c r="F13" s="0" t="n">
        <f aca="false">F11+F12</f>
        <v>2884.00381447752</v>
      </c>
      <c r="G13" s="0" t="n">
        <f aca="false">G11+G12</f>
        <v>3151.76377646872</v>
      </c>
      <c r="H13" s="0" t="n">
        <f aca="false">H11+H12</f>
        <v>3431.30715600583</v>
      </c>
      <c r="I13" s="0" t="n">
        <f aca="false">I11+I12</f>
        <v>3721.05311608623</v>
      </c>
      <c r="J13" s="0" t="n">
        <f aca="false">J11+J12</f>
        <v>3960.14340680308</v>
      </c>
      <c r="K13" s="0" t="n">
        <f aca="false">K11+K12</f>
        <v>4187.61592987243</v>
      </c>
      <c r="L13" s="0" t="n">
        <f aca="false">L11+L12</f>
        <v>4380.73892334419</v>
      </c>
    </row>
    <row r="14" customFormat="false" ht="15" hidden="false" customHeight="false" outlineLevel="0" collapsed="false">
      <c r="A14" s="0" t="s">
        <v>105</v>
      </c>
      <c r="C14" s="4" t="n">
        <f aca="false">Assumptions!C33</f>
        <v>18</v>
      </c>
      <c r="D14" s="4" t="n">
        <f aca="false">Assumptions!D33</f>
        <v>18.5</v>
      </c>
      <c r="E14" s="4" t="n">
        <f aca="false">Assumptions!E33</f>
        <v>19</v>
      </c>
      <c r="F14" s="4" t="n">
        <f aca="false">Assumptions!F33</f>
        <v>19.5</v>
      </c>
      <c r="G14" s="4" t="n">
        <f aca="false">Assumptions!G33</f>
        <v>20</v>
      </c>
      <c r="H14" s="4" t="n">
        <f aca="false">Assumptions!H33</f>
        <v>20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1701.49073892</v>
      </c>
      <c r="D15" s="0" t="n">
        <f aca="false">D13-MAX(0,D13)*D14/100</f>
        <v>1903.200884172</v>
      </c>
      <c r="E15" s="0" t="n">
        <f aca="false">E13-MAX(0,E13)*E14/100</f>
        <v>2115.43820201574</v>
      </c>
      <c r="F15" s="0" t="n">
        <f aca="false">F13-MAX(0,F13)*F14/100</f>
        <v>2321.6230706544</v>
      </c>
      <c r="G15" s="0" t="n">
        <f aca="false">G13-MAX(0,G13)*G14/100</f>
        <v>2521.41102117497</v>
      </c>
      <c r="H15" s="0" t="n">
        <f aca="false">H13-MAX(0,H13)*H14/100</f>
        <v>2745.04572480467</v>
      </c>
      <c r="I15" s="0" t="n">
        <f aca="false">I13-MAX(0,I13)*I14/100</f>
        <v>2976.84249286898</v>
      </c>
      <c r="J15" s="0" t="n">
        <f aca="false">J13-MAX(0,J13)*J14/100</f>
        <v>3168.11472544247</v>
      </c>
      <c r="K15" s="0" t="n">
        <f aca="false">K13-MAX(0,K13)*K14/100</f>
        <v>3350.09274389794</v>
      </c>
      <c r="L15" s="0" t="n">
        <f aca="false">L13-MAX(0,L13)*L14/100</f>
        <v>3504.59113867535</v>
      </c>
    </row>
    <row r="16" customFormat="false" ht="15" hidden="false" customHeight="false" outlineLevel="0" collapsed="false">
      <c r="A16" s="0" t="s">
        <v>121</v>
      </c>
      <c r="C16" s="0" t="n">
        <f aca="false">-C12</f>
        <v>895.241928</v>
      </c>
      <c r="D16" s="0" t="n">
        <f aca="false">-D12</f>
        <v>942.2800632</v>
      </c>
      <c r="E16" s="0" t="n">
        <f aca="false">-E12</f>
        <v>986.526257472</v>
      </c>
      <c r="F16" s="0" t="n">
        <f aca="false">-F12</f>
        <v>1036.7333973612</v>
      </c>
      <c r="G16" s="0" t="n">
        <f aca="false">-G12</f>
        <v>1074.00867542087</v>
      </c>
      <c r="H16" s="0" t="n">
        <f aca="false">-H12</f>
        <v>1106.53005961118</v>
      </c>
      <c r="I16" s="0" t="n">
        <f aca="false">-I12</f>
        <v>1122.48962777865</v>
      </c>
      <c r="J16" s="0" t="n">
        <f aca="false">-J12</f>
        <v>1131.46954480088</v>
      </c>
      <c r="K16" s="0" t="n">
        <f aca="false">-K12</f>
        <v>1133.11960455372</v>
      </c>
      <c r="L16" s="0" t="n">
        <f aca="false">-L12</f>
        <v>1152.826032459</v>
      </c>
    </row>
    <row r="17" customFormat="false" ht="15" hidden="false" customHeight="false" outlineLevel="0" collapsed="false">
      <c r="A17" s="0" t="s">
        <v>122</v>
      </c>
      <c r="C17" s="4" t="n">
        <f aca="false">-C6*Assumptions!C32/100</f>
        <v>-606.94368</v>
      </c>
      <c r="D17" s="4" t="n">
        <f aca="false">-D6*Assumptions!D32/100</f>
        <v>-655.4991744</v>
      </c>
      <c r="E17" s="4" t="n">
        <f aca="false">-E6*Assumptions!E32/100</f>
        <v>-704.66161248</v>
      </c>
      <c r="F17" s="4" t="n">
        <f aca="false">-F6*Assumptions!F32/100</f>
        <v>-753.9879253536</v>
      </c>
      <c r="G17" s="4" t="n">
        <f aca="false">-G6*Assumptions!G32/100</f>
        <v>-802.997140501584</v>
      </c>
      <c r="H17" s="4" t="n">
        <f aca="false">-H6*Assumptions!H32/100</f>
        <v>-851.176968931679</v>
      </c>
      <c r="I17" s="4" t="n">
        <f aca="false">-I6*Assumptions!I32/100</f>
        <v>-897.991702222922</v>
      </c>
      <c r="J17" s="4" t="n">
        <f aca="false">-J6*Assumptions!J32/100</f>
        <v>-942.891287334068</v>
      </c>
      <c r="K17" s="4" t="n">
        <f aca="false">-K6*Assumptions!K32/100</f>
        <v>-985.321395264101</v>
      </c>
      <c r="L17" s="4" t="n">
        <f aca="false">-L6*Assumptions!L32/100</f>
        <v>-1024.73425107466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(C6-B6)*Assumptions!$B$37/100</f>
        <v>150.199</v>
      </c>
      <c r="D18" s="4" t="n">
        <f aca="false">(D6-C6)*Assumptions!$B$37/100</f>
        <v>151.73592</v>
      </c>
      <c r="E18" s="4" t="n">
        <f aca="false">(E6-D6)*Assumptions!$B$37/100</f>
        <v>153.632619</v>
      </c>
      <c r="F18" s="4" t="n">
        <f aca="false">(F6-E6)*Assumptions!$B$37/100</f>
        <v>154.14472773</v>
      </c>
      <c r="G18" s="4" t="n">
        <f aca="false">(G6-F6)*Assumptions!$B$37/100</f>
        <v>153.15379733745</v>
      </c>
      <c r="H18" s="4" t="n">
        <f aca="false">(H6-G6)*Assumptions!$B$37/100</f>
        <v>150.561963844047</v>
      </c>
      <c r="I18" s="4" t="n">
        <f aca="false">(I6-H6)*Assumptions!$B$37/100</f>
        <v>146.296041535132</v>
      </c>
      <c r="J18" s="4" t="n">
        <f aca="false">(J6-I6)*Assumptions!$B$37/100</f>
        <v>140.311203472332</v>
      </c>
      <c r="K18" s="4" t="n">
        <f aca="false">(K6-J6)*Assumptions!$B$37/100</f>
        <v>132.594087281353</v>
      </c>
      <c r="L18" s="4" t="n">
        <f aca="false">(L6-K6)*Assumptions!$B$37/100</f>
        <v>123.165174408013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2139.98798692</v>
      </c>
      <c r="D19" s="0" t="n">
        <f aca="false">D15+D16+D17+D18</f>
        <v>2341.717692972</v>
      </c>
      <c r="E19" s="0" t="n">
        <f aca="false">E15+E16+E17+E18</f>
        <v>2550.93546600774</v>
      </c>
      <c r="F19" s="0" t="n">
        <f aca="false">F15+F16+F17+F18</f>
        <v>2758.51327039201</v>
      </c>
      <c r="G19" s="0" t="n">
        <f aca="false">G15+G16+G17+G18</f>
        <v>2945.57635343171</v>
      </c>
      <c r="H19" s="0" t="n">
        <f aca="false">H15+H16+H17+H18</f>
        <v>3150.96077932822</v>
      </c>
      <c r="I19" s="0" t="n">
        <f aca="false">I15+I16+I17+I18</f>
        <v>3347.63645995985</v>
      </c>
      <c r="J19" s="0" t="n">
        <f aca="false">J15+J16+J17+J18</f>
        <v>3497.00418638161</v>
      </c>
      <c r="K19" s="0" t="n">
        <f aca="false">K15+K16+K17+K18</f>
        <v>3630.48504046891</v>
      </c>
      <c r="L19" s="0" t="n">
        <f aca="false">L15+L16+L17+L18</f>
        <v>3755.8480944677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1972.33915845161</v>
      </c>
      <c r="D21" s="0" t="n">
        <f aca="false">D19*D20</f>
        <v>1989.18447448194</v>
      </c>
      <c r="E21" s="0" t="n">
        <f aca="false">E19*E20</f>
        <v>1997.14803491163</v>
      </c>
      <c r="F21" s="0" t="n">
        <f aca="false">F19*F20</f>
        <v>1990.47223872676</v>
      </c>
      <c r="G21" s="0" t="n">
        <f aca="false">G19*G20</f>
        <v>1958.9420727964</v>
      </c>
      <c r="H21" s="0" t="n">
        <f aca="false">H19*H20</f>
        <v>1931.36594032589</v>
      </c>
      <c r="I21" s="0" t="n">
        <f aca="false">I19*I20</f>
        <v>1891.16804903888</v>
      </c>
      <c r="J21" s="0" t="n">
        <f aca="false">J19*J20</f>
        <v>1820.78323838668</v>
      </c>
      <c r="K21" s="0" t="n">
        <f aca="false">K19*K20</f>
        <v>1742.1959824563</v>
      </c>
      <c r="L21" s="0" t="n">
        <f aca="false">L19*L20</f>
        <v>1661.15683327718</v>
      </c>
    </row>
    <row r="23" customFormat="false" ht="15" hidden="false" customHeight="false" outlineLevel="0" collapsed="false">
      <c r="A23" s="0" t="s">
        <v>102</v>
      </c>
      <c r="C23" s="4" t="n">
        <f aca="false">Assumptions!C30</f>
        <v>1.05</v>
      </c>
      <c r="D23" s="4" t="n">
        <f aca="false">Assumptions!D30</f>
        <v>1</v>
      </c>
      <c r="E23" s="4" t="n">
        <f aca="false">Assumptions!E30</f>
        <v>0.95</v>
      </c>
      <c r="F23" s="4" t="n">
        <f aca="false">Assumptions!F30</f>
        <v>0.9</v>
      </c>
      <c r="G23" s="4" t="n">
        <f aca="false">Assumptions!G30</f>
        <v>0.9</v>
      </c>
      <c r="H23" s="4" t="n">
        <f aca="false">Assumptions!H30</f>
        <v>0.85</v>
      </c>
      <c r="I23" s="4" t="n">
        <f aca="false">Assumptions!I30</f>
        <v>0.85</v>
      </c>
      <c r="J23" s="4" t="n">
        <f aca="false">Assumptions!J30</f>
        <v>0.8</v>
      </c>
      <c r="K23" s="4" t="n">
        <f aca="false">Assumptions!K30</f>
        <v>0.8</v>
      </c>
      <c r="L23" s="4" t="n">
        <f aca="false">Assumptions!L30</f>
        <v>0.8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-79.661358</v>
      </c>
      <c r="D24" s="0" t="n">
        <f aca="false">-D6*D23/100</f>
        <v>-81.9373968</v>
      </c>
      <c r="E24" s="0" t="n">
        <f aca="false">-E6*E23/100</f>
        <v>-83.678566482</v>
      </c>
      <c r="F24" s="0" t="n">
        <f aca="false">-F6*F23/100</f>
        <v>-84.82364160228</v>
      </c>
      <c r="G24" s="0" t="n">
        <f aca="false">-G6*G23/100</f>
        <v>-90.3371783064282</v>
      </c>
      <c r="H24" s="0" t="n">
        <f aca="false">-H6*H23/100</f>
        <v>-90.4375529489909</v>
      </c>
      <c r="I24" s="0" t="n">
        <f aca="false">-I6*I23/100</f>
        <v>-95.4116183611854</v>
      </c>
      <c r="J24" s="0" t="n">
        <f aca="false">-J6*J23/100</f>
        <v>-94.2891287334068</v>
      </c>
      <c r="K24" s="0" t="n">
        <f aca="false">-K6*K23/100</f>
        <v>-98.5321395264101</v>
      </c>
      <c r="L24" s="0" t="n">
        <f aca="false">-L6*L23/100</f>
        <v>-102.473425107466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107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108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18954.7560228533</v>
      </c>
    </row>
    <row r="31" customFormat="false" ht="15" hidden="false" customHeight="false" outlineLevel="0" collapsed="false">
      <c r="A31" s="0" t="s">
        <v>130</v>
      </c>
      <c r="B31" s="0" t="n">
        <f aca="false">L19</f>
        <v>3755.8480944677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70336.7915873042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75116.961889354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70336.7915873042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31108.9370595544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50063.6930824077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48151.6930824077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157.456809634467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0.0689532222299156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1079.62520456463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1697.53368707365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166.538163807766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32237.6961441811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65.8302149848859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114</v>
      </c>
      <c r="B3" s="0" t="s">
        <v>84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Assumptions!C41</f>
        <v>8.8</v>
      </c>
      <c r="D5" s="4" t="n">
        <f aca="false">Assumptions!D41</f>
        <v>9.5</v>
      </c>
      <c r="E5" s="4" t="n">
        <f aca="false">Assumptions!E41</f>
        <v>9.5</v>
      </c>
      <c r="F5" s="4" t="n">
        <f aca="false">Assumptions!F41</f>
        <v>9</v>
      </c>
      <c r="G5" s="4" t="n">
        <f aca="false">Assumptions!G41</f>
        <v>8.5</v>
      </c>
      <c r="H5" s="4" t="n">
        <f aca="false">Assumptions!H41</f>
        <v>8</v>
      </c>
      <c r="I5" s="4" t="n">
        <f aca="false">Assumptions!I41</f>
        <v>7.5</v>
      </c>
      <c r="J5" s="4" t="n">
        <f aca="false">Assumptions!J41</f>
        <v>6.5</v>
      </c>
      <c r="K5" s="4" t="n">
        <f aca="false">Assumptions!K41</f>
        <v>5.5</v>
      </c>
      <c r="L5" s="4" t="n">
        <f aca="false">Assumptions!L41</f>
        <v>4.5</v>
      </c>
    </row>
    <row r="6" customFormat="false" ht="15" hidden="false" customHeight="false" outlineLevel="0" collapsed="false">
      <c r="A6" s="0" t="s">
        <v>38</v>
      </c>
      <c r="B6" s="3" t="n">
        <v>6986</v>
      </c>
      <c r="C6" s="0" t="n">
        <f aca="false">B6*(1+C5/100)</f>
        <v>7600.768</v>
      </c>
      <c r="D6" s="0" t="n">
        <f aca="false">C6*(1+D5/100)</f>
        <v>8322.84096</v>
      </c>
      <c r="E6" s="0" t="n">
        <f aca="false">D6*(1+E5/100)</f>
        <v>9113.5108512</v>
      </c>
      <c r="F6" s="0" t="n">
        <f aca="false">E6*(1+F5/100)</f>
        <v>9933.726827808</v>
      </c>
      <c r="G6" s="0" t="n">
        <f aca="false">F6*(1+G5/100)</f>
        <v>10778.0936081717</v>
      </c>
      <c r="H6" s="0" t="n">
        <f aca="false">G6*(1+H5/100)</f>
        <v>11640.3410968254</v>
      </c>
      <c r="I6" s="0" t="n">
        <f aca="false">H6*(1+I5/100)</f>
        <v>12513.3666790873</v>
      </c>
      <c r="J6" s="0" t="n">
        <f aca="false">I6*(1+J5/100)</f>
        <v>13326.735513228</v>
      </c>
      <c r="K6" s="0" t="n">
        <f aca="false">J6*(1+K5/100)</f>
        <v>14059.7059664555</v>
      </c>
      <c r="L6" s="0" t="n">
        <f aca="false">K6*(1+L5/100)</f>
        <v>14692.392734946</v>
      </c>
    </row>
    <row r="7" customFormat="false" ht="15" hidden="false" customHeight="false" outlineLevel="0" collapsed="false">
      <c r="A7" s="0" t="s">
        <v>100</v>
      </c>
      <c r="C7" s="4" t="n">
        <f aca="false">Assumptions!C42</f>
        <v>42.15</v>
      </c>
      <c r="D7" s="4" t="n">
        <f aca="false">Assumptions!D42</f>
        <v>43.2</v>
      </c>
      <c r="E7" s="4" t="n">
        <f aca="false">Assumptions!E42</f>
        <v>44.15</v>
      </c>
      <c r="F7" s="4" t="n">
        <f aca="false">Assumptions!F42</f>
        <v>45.1</v>
      </c>
      <c r="G7" s="4" t="n">
        <f aca="false">Assumptions!G42</f>
        <v>45.85</v>
      </c>
      <c r="H7" s="4" t="n">
        <f aca="false">Assumptions!H42</f>
        <v>46.5</v>
      </c>
      <c r="I7" s="4" t="n">
        <f aca="false">Assumptions!I42</f>
        <v>47.2</v>
      </c>
      <c r="J7" s="4" t="n">
        <f aca="false">Assumptions!J42</f>
        <v>47.7</v>
      </c>
      <c r="K7" s="4" t="n">
        <f aca="false">Assumptions!K42</f>
        <v>48</v>
      </c>
      <c r="L7" s="4" t="n">
        <f aca="false">Assumptions!L42</f>
        <v>48</v>
      </c>
    </row>
    <row r="8" customFormat="false" ht="15" hidden="false" customHeight="false" outlineLevel="0" collapsed="false">
      <c r="A8" s="0" t="s">
        <v>44</v>
      </c>
      <c r="C8" s="0" t="n">
        <f aca="false">C6*C7/100</f>
        <v>3203.723712</v>
      </c>
      <c r="D8" s="0" t="n">
        <f aca="false">D6*D7/100</f>
        <v>3595.46729472</v>
      </c>
      <c r="E8" s="0" t="n">
        <f aca="false">E6*E7/100</f>
        <v>4023.6150408048</v>
      </c>
      <c r="F8" s="0" t="n">
        <f aca="false">F6*F7/100</f>
        <v>4480.11079934141</v>
      </c>
      <c r="G8" s="0" t="n">
        <f aca="false">G6*G7/100</f>
        <v>4941.75591934672</v>
      </c>
      <c r="H8" s="0" t="n">
        <f aca="false">H6*H7/100</f>
        <v>5412.75861002382</v>
      </c>
      <c r="I8" s="0" t="n">
        <f aca="false">I6*I7/100</f>
        <v>5906.30907252922</v>
      </c>
      <c r="J8" s="0" t="n">
        <f aca="false">J6*J7/100</f>
        <v>6356.85283980976</v>
      </c>
      <c r="K8" s="0" t="n">
        <f aca="false">K6*K7/100</f>
        <v>6748.65886389866</v>
      </c>
      <c r="L8" s="0" t="n">
        <f aca="false">L6*L7/100</f>
        <v>7052.3485127741</v>
      </c>
    </row>
    <row r="9" customFormat="false" ht="15" hidden="false" customHeight="false" outlineLevel="0" collapsed="false">
      <c r="A9" s="0" t="s">
        <v>101</v>
      </c>
      <c r="C9" s="4" t="n">
        <f aca="false">Assumptions!C43</f>
        <v>1.75</v>
      </c>
      <c r="D9" s="4" t="n">
        <f aca="false">Assumptions!D43</f>
        <v>1.7</v>
      </c>
      <c r="E9" s="4" t="n">
        <f aca="false">Assumptions!E43</f>
        <v>1.65</v>
      </c>
      <c r="F9" s="4" t="n">
        <f aca="false">Assumptions!F43</f>
        <v>1.6</v>
      </c>
      <c r="G9" s="4" t="n">
        <f aca="false">Assumptions!G43</f>
        <v>1.55</v>
      </c>
      <c r="H9" s="4" t="n">
        <f aca="false">Assumptions!H43</f>
        <v>1.5</v>
      </c>
      <c r="I9" s="4" t="n">
        <f aca="false">Assumptions!I43</f>
        <v>1.5</v>
      </c>
      <c r="J9" s="4" t="n">
        <f aca="false">Assumptions!J43</f>
        <v>1.5</v>
      </c>
      <c r="K9" s="4" t="n">
        <f aca="false">Assumptions!K43</f>
        <v>1.5</v>
      </c>
      <c r="L9" s="4" t="n">
        <f aca="false">Assumptions!L43</f>
        <v>1.5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-133.01344</v>
      </c>
      <c r="D10" s="0" t="n">
        <f aca="false">-D6*D9/100</f>
        <v>-141.48829632</v>
      </c>
      <c r="E10" s="0" t="n">
        <f aca="false">-E6*E9/100</f>
        <v>-150.3729290448</v>
      </c>
      <c r="F10" s="0" t="n">
        <f aca="false">-F6*F9/100</f>
        <v>-158.939629244928</v>
      </c>
      <c r="G10" s="0" t="n">
        <f aca="false">-G6*G9/100</f>
        <v>-167.060450926661</v>
      </c>
      <c r="H10" s="0" t="n">
        <f aca="false">-H6*H9/100</f>
        <v>-174.605116452381</v>
      </c>
      <c r="I10" s="0" t="n">
        <f aca="false">-I6*I9/100</f>
        <v>-187.70050018631</v>
      </c>
      <c r="J10" s="0" t="n">
        <f aca="false">-J6*J9/100</f>
        <v>-199.90103269842</v>
      </c>
      <c r="K10" s="0" t="n">
        <f aca="false">-K6*K9/100</f>
        <v>-210.895589496833</v>
      </c>
      <c r="L10" s="0" t="n">
        <f aca="false">-L6*L9/100</f>
        <v>-220.385891024191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2990.902208</v>
      </c>
      <c r="D11" s="0" t="n">
        <f aca="false">D8+D10+D24</f>
        <v>3370.7505888</v>
      </c>
      <c r="E11" s="0" t="n">
        <f aca="false">E8+E10+E24</f>
        <v>3786.6637586736</v>
      </c>
      <c r="F11" s="0" t="n">
        <f aca="false">F8+F10+F24</f>
        <v>4231.76762864621</v>
      </c>
      <c r="G11" s="0" t="n">
        <f aca="false">G8+G10+G24</f>
        <v>4683.0816727506</v>
      </c>
      <c r="H11" s="0" t="n">
        <f aca="false">H8+H10+H24</f>
        <v>5145.03076479683</v>
      </c>
      <c r="I11" s="0" t="n">
        <f aca="false">I8+I10+I24</f>
        <v>5618.50163891021</v>
      </c>
      <c r="J11" s="0" t="n">
        <f aca="false">J8+J10+J24</f>
        <v>6057.00129076213</v>
      </c>
      <c r="K11" s="0" t="n">
        <f aca="false">K8+K10+K24</f>
        <v>6432.31547965341</v>
      </c>
      <c r="L11" s="0" t="n">
        <f aca="false">L8+L10+L24</f>
        <v>6721.76967623781</v>
      </c>
    </row>
    <row r="12" customFormat="false" ht="15" hidden="false" customHeight="false" outlineLevel="0" collapsed="false">
      <c r="A12" s="0" t="s">
        <v>118</v>
      </c>
      <c r="C12" s="4" t="n">
        <f aca="false">-C6*Assumptions!C45/100</f>
        <v>-896.890624</v>
      </c>
      <c r="D12" s="4" t="n">
        <f aca="false">-D6*Assumptions!D45/100</f>
        <v>-957.1267104</v>
      </c>
      <c r="E12" s="4" t="n">
        <f aca="false">-E6*Assumptions!E45/100</f>
        <v>-1020.7132153344</v>
      </c>
      <c r="F12" s="4" t="n">
        <f aca="false">-F6*Assumptions!F45/100</f>
        <v>-1092.70995105888</v>
      </c>
      <c r="G12" s="4" t="n">
        <f aca="false">-G6*Assumptions!G45/100</f>
        <v>-1153.25601607437</v>
      </c>
      <c r="H12" s="4" t="n">
        <f aca="false">-H6*Assumptions!H45/100</f>
        <v>-1210.59547406984</v>
      </c>
      <c r="I12" s="4" t="n">
        <f aca="false">-I6*Assumptions!I45/100</f>
        <v>-1251.33666790873</v>
      </c>
      <c r="J12" s="4" t="n">
        <f aca="false">-J6*Assumptions!J45/100</f>
        <v>-1279.36660926989</v>
      </c>
      <c r="K12" s="4" t="n">
        <f aca="false">-K6*Assumptions!K45/100</f>
        <v>-1293.49294891391</v>
      </c>
      <c r="L12" s="4" t="n">
        <f aca="false">-L6*Assumptions!L45/100</f>
        <v>-1322.31534614514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2094.011584</v>
      </c>
      <c r="D13" s="0" t="n">
        <f aca="false">D11+D12</f>
        <v>2413.6238784</v>
      </c>
      <c r="E13" s="0" t="n">
        <f aca="false">E11+E12</f>
        <v>2765.9505433392</v>
      </c>
      <c r="F13" s="0" t="n">
        <f aca="false">F11+F12</f>
        <v>3139.05767758733</v>
      </c>
      <c r="G13" s="0" t="n">
        <f aca="false">G11+G12</f>
        <v>3529.82565667623</v>
      </c>
      <c r="H13" s="0" t="n">
        <f aca="false">H11+H12</f>
        <v>3934.43529072699</v>
      </c>
      <c r="I13" s="0" t="n">
        <f aca="false">I11+I12</f>
        <v>4367.16497100148</v>
      </c>
      <c r="J13" s="0" t="n">
        <f aca="false">J11+J12</f>
        <v>4777.63468149224</v>
      </c>
      <c r="K13" s="0" t="n">
        <f aca="false">K11+K12</f>
        <v>5138.8225307395</v>
      </c>
      <c r="L13" s="0" t="n">
        <f aca="false">L11+L12</f>
        <v>5399.45433009267</v>
      </c>
    </row>
    <row r="14" customFormat="false" ht="15" hidden="false" customHeight="false" outlineLevel="0" collapsed="false">
      <c r="A14" s="0" t="s">
        <v>105</v>
      </c>
      <c r="C14" s="4" t="n">
        <f aca="false">Assumptions!C47</f>
        <v>18</v>
      </c>
      <c r="D14" s="4" t="n">
        <f aca="false">Assumptions!D47</f>
        <v>18.5</v>
      </c>
      <c r="E14" s="4" t="n">
        <f aca="false">Assumptions!E47</f>
        <v>19</v>
      </c>
      <c r="F14" s="4" t="n">
        <f aca="false">Assumptions!F47</f>
        <v>19.5</v>
      </c>
      <c r="G14" s="4" t="n">
        <f aca="false">Assumptions!G47</f>
        <v>20</v>
      </c>
      <c r="H14" s="4" t="n">
        <f aca="false">Assumptions!H47</f>
        <v>20</v>
      </c>
      <c r="I14" s="4" t="n">
        <f aca="false">Assumptions!I47</f>
        <v>20</v>
      </c>
      <c r="J14" s="4" t="n">
        <f aca="false">Assumptions!J47</f>
        <v>20</v>
      </c>
      <c r="K14" s="4" t="n">
        <f aca="false">Assumptions!K47</f>
        <v>20</v>
      </c>
      <c r="L14" s="4" t="n">
        <f aca="false">Assumptions!L47</f>
        <v>20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1717.08949888</v>
      </c>
      <c r="D15" s="0" t="n">
        <f aca="false">D13-MAX(0,D13)*D14/100</f>
        <v>1967.103460896</v>
      </c>
      <c r="E15" s="0" t="n">
        <f aca="false">E13-MAX(0,E13)*E14/100</f>
        <v>2240.41994010475</v>
      </c>
      <c r="F15" s="0" t="n">
        <f aca="false">F13-MAX(0,F13)*F14/100</f>
        <v>2526.9414304578</v>
      </c>
      <c r="G15" s="0" t="n">
        <f aca="false">G13-MAX(0,G13)*G14/100</f>
        <v>2823.86052534098</v>
      </c>
      <c r="H15" s="0" t="n">
        <f aca="false">H13-MAX(0,H13)*H14/100</f>
        <v>3147.54823258159</v>
      </c>
      <c r="I15" s="0" t="n">
        <f aca="false">I13-MAX(0,I13)*I14/100</f>
        <v>3493.73197680118</v>
      </c>
      <c r="J15" s="0" t="n">
        <f aca="false">J13-MAX(0,J13)*J14/100</f>
        <v>3822.10774519379</v>
      </c>
      <c r="K15" s="0" t="n">
        <f aca="false">K13-MAX(0,K13)*K14/100</f>
        <v>4111.0580245916</v>
      </c>
      <c r="L15" s="0" t="n">
        <f aca="false">L13-MAX(0,L13)*L14/100</f>
        <v>4319.56346407413</v>
      </c>
    </row>
    <row r="16" customFormat="false" ht="15" hidden="false" customHeight="false" outlineLevel="0" collapsed="false">
      <c r="A16" s="0" t="s">
        <v>121</v>
      </c>
      <c r="C16" s="0" t="n">
        <f aca="false">-C12</f>
        <v>896.890624</v>
      </c>
      <c r="D16" s="0" t="n">
        <f aca="false">-D12</f>
        <v>957.1267104</v>
      </c>
      <c r="E16" s="0" t="n">
        <f aca="false">-E12</f>
        <v>1020.7132153344</v>
      </c>
      <c r="F16" s="0" t="n">
        <f aca="false">-F12</f>
        <v>1092.70995105888</v>
      </c>
      <c r="G16" s="0" t="n">
        <f aca="false">-G12</f>
        <v>1153.25601607437</v>
      </c>
      <c r="H16" s="0" t="n">
        <f aca="false">-H12</f>
        <v>1210.59547406984</v>
      </c>
      <c r="I16" s="0" t="n">
        <f aca="false">-I12</f>
        <v>1251.33666790873</v>
      </c>
      <c r="J16" s="0" t="n">
        <f aca="false">-J12</f>
        <v>1279.36660926989</v>
      </c>
      <c r="K16" s="0" t="n">
        <f aca="false">-K12</f>
        <v>1293.49294891391</v>
      </c>
      <c r="L16" s="0" t="n">
        <f aca="false">-L12</f>
        <v>1322.31534614514</v>
      </c>
    </row>
    <row r="17" customFormat="false" ht="15" hidden="false" customHeight="false" outlineLevel="0" collapsed="false">
      <c r="A17" s="0" t="s">
        <v>122</v>
      </c>
      <c r="C17" s="4" t="n">
        <f aca="false">-C6*Assumptions!C46/100</f>
        <v>-608.06144</v>
      </c>
      <c r="D17" s="4" t="n">
        <f aca="false">-D6*Assumptions!D46/100</f>
        <v>-649.18159488</v>
      </c>
      <c r="E17" s="4" t="n">
        <f aca="false">-E6*Assumptions!E46/100</f>
        <v>-692.6268246912</v>
      </c>
      <c r="F17" s="4" t="n">
        <f aca="false">-F6*Assumptions!F46/100</f>
        <v>-745.0295120856</v>
      </c>
      <c r="G17" s="4" t="n">
        <f aca="false">-G6*Assumptions!G46/100</f>
        <v>-808.357020612876</v>
      </c>
      <c r="H17" s="4" t="n">
        <f aca="false">-H6*Assumptions!H46/100</f>
        <v>-873.025582261906</v>
      </c>
      <c r="I17" s="4" t="n">
        <f aca="false">-I6*Assumptions!I46/100</f>
        <v>-938.502500931549</v>
      </c>
      <c r="J17" s="4" t="n">
        <f aca="false">-J6*Assumptions!J46/100</f>
        <v>-999.5051634921</v>
      </c>
      <c r="K17" s="4" t="n">
        <f aca="false">-K6*Assumptions!K46/100</f>
        <v>-1054.47794748417</v>
      </c>
      <c r="L17" s="4" t="n">
        <f aca="false">-L6*Assumptions!L46/100</f>
        <v>-1101.92945512095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(C6-B6)*Assumptions!$B$51/100</f>
        <v>184.4304</v>
      </c>
      <c r="D18" s="4" t="n">
        <f aca="false">(D6-C6)*Assumptions!$B$51/100</f>
        <v>216.621888</v>
      </c>
      <c r="E18" s="4" t="n">
        <f aca="false">(E6-D6)*Assumptions!$B$51/100</f>
        <v>237.20096736</v>
      </c>
      <c r="F18" s="4" t="n">
        <f aca="false">(F6-E6)*Assumptions!$B$51/100</f>
        <v>246.0647929824</v>
      </c>
      <c r="G18" s="4" t="n">
        <f aca="false">(G6-F6)*Assumptions!$B$51/100</f>
        <v>253.310034109104</v>
      </c>
      <c r="H18" s="4" t="n">
        <f aca="false">(H6-G6)*Assumptions!$B$51/100</f>
        <v>258.67424659612</v>
      </c>
      <c r="I18" s="4" t="n">
        <f aca="false">(I6-H6)*Assumptions!$B$51/100</f>
        <v>261.907674678572</v>
      </c>
      <c r="J18" s="4" t="n">
        <f aca="false">(J6-I6)*Assumptions!$B$51/100</f>
        <v>244.010650242203</v>
      </c>
      <c r="K18" s="4" t="n">
        <f aca="false">(K6-J6)*Assumptions!$B$51/100</f>
        <v>219.891135968262</v>
      </c>
      <c r="L18" s="4" t="n">
        <f aca="false">(L6-K6)*Assumptions!$B$51/100</f>
        <v>189.806030547149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2190.34908288</v>
      </c>
      <c r="D19" s="0" t="n">
        <f aca="false">D15+D16+D17+D18</f>
        <v>2491.670464416</v>
      </c>
      <c r="E19" s="0" t="n">
        <f aca="false">E15+E16+E17+E18</f>
        <v>2805.70729810795</v>
      </c>
      <c r="F19" s="0" t="n">
        <f aca="false">F15+F16+F17+F18</f>
        <v>3120.68666241348</v>
      </c>
      <c r="G19" s="0" t="n">
        <f aca="false">G15+G16+G17+G18</f>
        <v>3422.06955491158</v>
      </c>
      <c r="H19" s="0" t="n">
        <f aca="false">H15+H16+H17+H18</f>
        <v>3743.79237098565</v>
      </c>
      <c r="I19" s="0" t="n">
        <f aca="false">I15+I16+I17+I18</f>
        <v>4068.47381845694</v>
      </c>
      <c r="J19" s="0" t="n">
        <f aca="false">J15+J16+J17+J18</f>
        <v>4345.97984121378</v>
      </c>
      <c r="K19" s="0" t="n">
        <f aca="false">K15+K16+K17+K18</f>
        <v>4569.96416198961</v>
      </c>
      <c r="L19" s="0" t="n">
        <f aca="false">L15+L16+L17+L18</f>
        <v>4729.75538564547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2018.75491509678</v>
      </c>
      <c r="D21" s="0" t="n">
        <f aca="false">D19*D20</f>
        <v>2116.56264895496</v>
      </c>
      <c r="E21" s="0" t="n">
        <f aca="false">E19*E20</f>
        <v>2196.61096551492</v>
      </c>
      <c r="F21" s="0" t="n">
        <f aca="false">F19*F20</f>
        <v>2251.80724485555</v>
      </c>
      <c r="G21" s="0" t="n">
        <f aca="false">G19*G20</f>
        <v>2275.83169566864</v>
      </c>
      <c r="H21" s="0" t="n">
        <f aca="false">H19*H20</f>
        <v>2294.73915397804</v>
      </c>
      <c r="I21" s="0" t="n">
        <f aca="false">I19*I20</f>
        <v>2298.3880674753</v>
      </c>
      <c r="J21" s="0" t="n">
        <f aca="false">J19*J20</f>
        <v>2262.81892371316</v>
      </c>
      <c r="K21" s="0" t="n">
        <f aca="false">K19*K20</f>
        <v>2193.0329182569</v>
      </c>
      <c r="L21" s="0" t="n">
        <f aca="false">L19*L20</f>
        <v>2091.9018237632</v>
      </c>
    </row>
    <row r="23" customFormat="false" ht="15" hidden="false" customHeight="false" outlineLevel="0" collapsed="false">
      <c r="A23" s="0" t="s">
        <v>102</v>
      </c>
      <c r="C23" s="4" t="n">
        <f aca="false">Assumptions!C44</f>
        <v>1.05</v>
      </c>
      <c r="D23" s="4" t="n">
        <f aca="false">Assumptions!D44</f>
        <v>1</v>
      </c>
      <c r="E23" s="4" t="n">
        <f aca="false">Assumptions!E44</f>
        <v>0.95</v>
      </c>
      <c r="F23" s="4" t="n">
        <f aca="false">Assumptions!F44</f>
        <v>0.9</v>
      </c>
      <c r="G23" s="4" t="n">
        <f aca="false">Assumptions!G44</f>
        <v>0.85</v>
      </c>
      <c r="H23" s="4" t="n">
        <f aca="false">Assumptions!H44</f>
        <v>0.8</v>
      </c>
      <c r="I23" s="4" t="n">
        <f aca="false">Assumptions!I44</f>
        <v>0.8</v>
      </c>
      <c r="J23" s="4" t="n">
        <f aca="false">Assumptions!J44</f>
        <v>0.75</v>
      </c>
      <c r="K23" s="4" t="n">
        <f aca="false">Assumptions!K44</f>
        <v>0.75</v>
      </c>
      <c r="L23" s="4" t="n">
        <f aca="false">Assumptions!L44</f>
        <v>0.75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-79.808064</v>
      </c>
      <c r="D24" s="0" t="n">
        <f aca="false">-D6*D23/100</f>
        <v>-83.2284096</v>
      </c>
      <c r="E24" s="0" t="n">
        <f aca="false">-E6*E23/100</f>
        <v>-86.5783530864</v>
      </c>
      <c r="F24" s="0" t="n">
        <f aca="false">-F6*F23/100</f>
        <v>-89.403541450272</v>
      </c>
      <c r="G24" s="0" t="n">
        <f aca="false">-G6*G23/100</f>
        <v>-91.6137956694593</v>
      </c>
      <c r="H24" s="0" t="n">
        <f aca="false">-H6*H23/100</f>
        <v>-93.1227287746033</v>
      </c>
      <c r="I24" s="0" t="n">
        <f aca="false">-I6*I23/100</f>
        <v>-100.106933432699</v>
      </c>
      <c r="J24" s="0" t="n">
        <f aca="false">-J6*J23/100</f>
        <v>-99.95051634921</v>
      </c>
      <c r="K24" s="0" t="n">
        <f aca="false">-K6*K23/100</f>
        <v>-105.447794748417</v>
      </c>
      <c r="L24" s="0" t="n">
        <f aca="false">-L6*L23/100</f>
        <v>-110.192945512095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107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108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22000.4483572774</v>
      </c>
    </row>
    <row r="31" customFormat="false" ht="15" hidden="false" customHeight="false" outlineLevel="0" collapsed="false">
      <c r="A31" s="0" t="s">
        <v>130</v>
      </c>
      <c r="B31" s="0" t="n">
        <f aca="false">L19</f>
        <v>4729.75538564547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97905.9364828613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94595.1077129095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94595.1077129095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41838.036475264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63838.4848325414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61926.4848325414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202.500599863052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0.374749489905312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1102.11937515217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2017.70073129414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212.702461711478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42567.7984708093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80.9858412135575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2" t="s">
        <v>147</v>
      </c>
      <c r="B3" s="2" t="s">
        <v>148</v>
      </c>
      <c r="C3" s="2" t="s">
        <v>138</v>
      </c>
      <c r="D3" s="2" t="s">
        <v>149</v>
      </c>
      <c r="E3" s="2" t="s">
        <v>141</v>
      </c>
      <c r="F3" s="2" t="s">
        <v>150</v>
      </c>
    </row>
    <row r="4" customFormat="false" ht="15" hidden="false" customHeight="false" outlineLevel="0" collapsed="false">
      <c r="A4" s="0" t="s">
        <v>151</v>
      </c>
      <c r="B4" s="4" t="n">
        <f aca="false">DCF_Bear!$B$38</f>
        <v>85.9762648941396</v>
      </c>
      <c r="C4" s="0" t="n">
        <f aca="false">B4/Assumptions!$B$2-1</f>
        <v>-0.416318636156554</v>
      </c>
      <c r="D4" s="4" t="n">
        <f aca="false">Assumptions!$B$24</f>
        <v>0.25</v>
      </c>
      <c r="E4" s="4" t="n">
        <f aca="false">DCF_Bear!$B$43</f>
        <v>93.9644200169848</v>
      </c>
      <c r="F4" s="4" t="n">
        <f aca="false">DCF_Bear!$B$47</f>
        <v>43.0327132972109</v>
      </c>
    </row>
    <row r="5" customFormat="false" ht="15" hidden="false" customHeight="false" outlineLevel="0" collapsed="false">
      <c r="A5" s="0" t="s">
        <v>152</v>
      </c>
      <c r="B5" s="4" t="n">
        <f aca="false">DCF_Base!$B$38</f>
        <v>157.456809634467</v>
      </c>
      <c r="C5" s="0" t="n">
        <f aca="false">B5/Assumptions!$B$2-1</f>
        <v>0.0689532222299156</v>
      </c>
      <c r="D5" s="4" t="n">
        <f aca="false">Assumptions!$B$38</f>
        <v>0.5</v>
      </c>
      <c r="E5" s="4" t="n">
        <f aca="false">DCF_Base!$B$43</f>
        <v>166.538163807766</v>
      </c>
      <c r="F5" s="4" t="n">
        <f aca="false">DCF_Base!$B$47</f>
        <v>65.8302149848859</v>
      </c>
    </row>
    <row r="6" customFormat="false" ht="15" hidden="false" customHeight="false" outlineLevel="0" collapsed="false">
      <c r="A6" s="0" t="s">
        <v>153</v>
      </c>
      <c r="B6" s="4" t="n">
        <f aca="false">DCF_Bull!$B$38</f>
        <v>202.500599863052</v>
      </c>
      <c r="C6" s="0" t="n">
        <f aca="false">B6/Assumptions!$B$2-1</f>
        <v>0.374749489905312</v>
      </c>
      <c r="D6" s="4" t="n">
        <f aca="false">Assumptions!$B$52</f>
        <v>0.25</v>
      </c>
      <c r="E6" s="4" t="n">
        <f aca="false">DCF_Bull!$B$43</f>
        <v>212.702461711478</v>
      </c>
      <c r="F6" s="4" t="n">
        <f aca="false">DCF_Bull!$B$47</f>
        <v>80.9858412135575</v>
      </c>
    </row>
    <row r="8" customFormat="false" ht="15" hidden="false" customHeight="false" outlineLevel="0" collapsed="false">
      <c r="A8" s="0" t="s">
        <v>154</v>
      </c>
      <c r="B8" s="0" t="n">
        <f aca="false">SUMPRODUCT(B4:B6,D4:D6)</f>
        <v>150.847621006531</v>
      </c>
    </row>
    <row r="9" customFormat="false" ht="15" hidden="false" customHeight="false" outlineLevel="0" collapsed="false">
      <c r="A9" s="0" t="s">
        <v>155</v>
      </c>
      <c r="B9" s="0" t="n">
        <f aca="false">SUMPRODUCT(E4:E6,D4:D6)</f>
        <v>159.935802335999</v>
      </c>
    </row>
    <row r="10" customFormat="false" ht="15" hidden="false" customHeight="false" outlineLevel="0" collapsed="false">
      <c r="A10" s="0" t="s">
        <v>156</v>
      </c>
      <c r="B10" s="0" t="n">
        <f aca="false">1-Assumptions!$B$2/B8</f>
        <v>0.0235179115378803</v>
      </c>
    </row>
    <row r="11" customFormat="false" ht="15" hidden="false" customHeight="false" outlineLevel="0" collapsed="false">
      <c r="A11" s="0" t="s">
        <v>157</v>
      </c>
      <c r="B11" s="0" t="n">
        <f aca="false">IF(ABS(B9-B8)&gt;0.01*ABS(B8),(Assumptions!$B$2-B8)/(B9-B8)*100,"n/a")</f>
        <v>-39.0355438334906</v>
      </c>
    </row>
    <row r="12" customFormat="false" ht="15" hidden="false" customHeight="false" outlineLevel="0" collapsed="false">
      <c r="A12" s="0" t="s">
        <v>158</v>
      </c>
      <c r="B12" s="0" t="n">
        <f aca="false">SUMPRODUCT(F4:F6,D4:D6)</f>
        <v>63.9197461201351</v>
      </c>
    </row>
    <row r="14" customFormat="false" ht="15" hidden="false" customHeight="false" outlineLevel="0" collapsed="false">
      <c r="A14" s="2" t="s">
        <v>159</v>
      </c>
      <c r="C14" s="0" t="s">
        <v>160</v>
      </c>
    </row>
    <row r="15" customFormat="false" ht="15" hidden="false" customHeight="false" outlineLevel="0" collapsed="false">
      <c r="A15" s="0" t="s">
        <v>161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157.456809634467</v>
      </c>
      <c r="C15" s="3" t="n">
        <v>8.5</v>
      </c>
    </row>
    <row r="16" customFormat="false" ht="15" hidden="false" customHeight="false" outlineLevel="0" collapsed="false">
      <c r="A16" s="0" t="s">
        <v>162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143.288789380543</v>
      </c>
      <c r="C16" s="3" t="n">
        <v>9</v>
      </c>
    </row>
    <row r="17" customFormat="false" ht="15" hidden="false" customHeight="false" outlineLevel="0" collapsed="false">
      <c r="A17" s="0" t="s">
        <v>163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121.058880127728</v>
      </c>
      <c r="C17" s="3" t="n">
        <v>10</v>
      </c>
    </row>
    <row r="18" customFormat="false" ht="15" hidden="false" customHeight="false" outlineLevel="0" collapsed="false">
      <c r="A18" s="0" t="s">
        <v>164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104.424099875437</v>
      </c>
      <c r="C18" s="3" t="n">
        <v>11</v>
      </c>
    </row>
    <row r="19" customFormat="false" ht="15" hidden="false" customHeight="false" outlineLevel="0" collapsed="false">
      <c r="A19" s="0" t="s">
        <v>165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91.5172596310345</v>
      </c>
      <c r="C19" s="3" t="n">
        <v>12</v>
      </c>
    </row>
    <row r="20" customFormat="false" ht="15" hidden="false" customHeight="false" outlineLevel="0" collapsed="false">
      <c r="A20" s="0" t="s">
        <v>166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65.8302149848859</v>
      </c>
      <c r="C20" s="3" t="n">
        <v>15</v>
      </c>
    </row>
    <row r="22" customFormat="false" ht="15" hidden="false" customHeight="false" outlineLevel="0" collapsed="false">
      <c r="A22" s="2" t="s">
        <v>167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193.166364110854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193.166364110854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193.166364110854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193.166364110854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193.166364110854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169.411847846159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178.079481742622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178.079481742622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178.079481742622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178.079481742622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140.970850668987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148.526915194832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157.456809634467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164.37027629741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164.37027629741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120.181285895158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125.349512324943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131.312850513157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138.270078399407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146.49225681043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104.338510815004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108.015213343488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112.182142875769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116.944348055519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122.439200186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2026-10-10T11:08:42Z</dcterms:created>
  <dc:creator>openpyxl</dc:creator>
  <dc:description/>
  <dc:language>en-NZ</dc:language>
  <cp:lastModifiedBy/>
  <dcterms:modified xsi:type="dcterms:W3CDTF">2026-10-10T11:08:42Z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