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<sst xmlns="http://schemas.openxmlformats.org/spreadsheetml/2006/main" count="387" uniqueCount="174">
  <si>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</si>
  <si>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UDR</t>
  </si>
  <si>
    <t xml:space="preserve">Company</t>
  </si>
  <si>
    <t xml:space="preserve">UDR,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</si>
  <si>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</si>
  <si>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</si>
  <si>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</si>
  <si>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</si>
  <si>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</si>
  <si>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</si>
  <si>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</si>
  <si>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</si>
  <si>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</si>
  <si>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</si>
  <si>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</si>
  <si>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</si>
  <si>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</si>
  <si>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</si>
  <si>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</si>
  <si>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</si>
  <si>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</si>
  <si>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2026-10-02T10:02:45Z</t>
  </si>
  <si>
    <t xml:space="preserve">Drivers file</t>
  </si>
  <si>
    <t xml:space="preserve">UDR_Drivers.json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</si>
  <si>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</si>
  <si>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</si>
  <si>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</si>
  <si>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UDR is valued on what it can distribute - AFFO (FFO as Adjusted less recurring capex), after interest and preferred dividends - capitalised at a 9.25% USD cost of equity off a 5.24% 10-year Treasury, with net debt NOT deducted a second time; the cost of refinancing that debt is charged explicitly in the AFFO margin path. Three ten-year AFFO paths bracket the Sunbelt recovery, coastal rent regulation and the refinancing headwind. GAAP net income, EPS, P/E, EV/EBITDA and book equity are not used: ~$680M/yr of depreciation and recurring disposition gains make them structurally uninformative for an apartment REIT.
key_risks_to_valuation: Cost of equity: every 50bp on the 9.25% rate moves base value roughly 7-9%; the 5.24% 10-year Treasury input is high by post-2009 standards, so the valuation is cheaper if long rates mean-revert and dearer if they do not; Refinancing: $5.8B at a 3.31% weighted coupon with 3.9 years average maturity; 71% rolls by end-2031. Each 100bp on the whole stack is ~$58M, ~7.5% of FY26E AFFO; Coastal rent regulation: Washington statewide rent control (2025) and Salinas (2024) already apply; spread to more California/Pacific Northwest jurisdictions would cap rent growth where ~65-75% of NOI sits; Sunbelt supply timing: Austin (-5.4% NOI) and Tampa (-3.6%) are still contracting; a slower clearing pushes the base path toward the bear path; Capital recycling: dispositions-for-buybacks at ~$36 are accretive only while the stock trades below private-market value; the model holds the share count flat and ignores both the lost revenue and the retired shares; Share count: 21.98M OP/DownREIT units and 2.82M as-converted Series E preferred are treated as shares (consistent with how UDR reports diluted AFFO); NAV gap (upside risk to the model): a simple NAV at 5.25-5.5% cap rates is ~$43-46 per share (nav_cross_check), well above the AFFO-capitalised value; consensus targets ($38-45) are anchored nearer NAV. The model sides with the public-market capitalisation of the cash flow and treats NAV convergence as an unmodelled option</t>
  </si>
  <si>
    <t xml:space="preserve">Data sources</t>
  </si>
  <si>
    <t xml:space="preserve">price: Yahoo Finance chart API at inputs.price_as_of (regular close); 52-week range 32.94-42.00, so the price sits near the bottom of its range
financials: SEC EDGAR (CIK 74208): Q2-2026 earnings supplement and release (8-K 0000074208-26-000070, ex99.1/ex99.2) for the balance sheet, debt structure and maturities, share+unit count, AFFO and FY2026 guidance; Q4-2025 supplement (8-K 0000074208-26-000009) for FY2025 AFFO, FFOA and recurring capex; Q4 supplements filed 2020-02-11, 2021-02-09, 2022-02-08, 2023-02-06, 2024-02-06 for FY2018-FY2023 AFFO history; SEC XBRL companyfacts as carried in UDR_Metrics.csv for revenue, SBC, equity and EPS
qualitative: research/UDR/Reports/UDR_Analysis.json (2026-10-02)</t>
  </si>
  <si>
    <t xml:space="preserve">Scenario narrative: bear</t>
  </si>
  <si>
    <t xml:space="preserve">Rates stay above 5%, rent regulation spreads through UDR's coastal markets, opex keeps outrunning rents and debt rolls 250-300bp above the in-place coupon. AFFO/share drifts down to ~$2.15 for three years and the stock is valued as a 1.75% grower at ~13.6x; with 88% fixed-rate debt, 87% unencumbered assets and 5.2x interest cover this is an earnings problem, not a solvency one.</t>
  </si>
  <si>
    <t xml:space="preserve">Scenario narrative: base</t>
  </si>
  <si>
    <t xml:space="preserve">A flat, net-seller 2026 (AFFO ~$2.21/share) followed by coastal-led recovery and a Sunbelt turn from 2027-28; refinancing a 3.3%-coupon, 3.9-year debt stack at ~5.25% eats most of the operating leverage, so AFFO/share compounds ~2.6% a year, the same pace as 2019-2025. Dividend stays covered at ~75-80% of AFFO.</t>
  </si>
  <si>
    <t xml:space="preserve">Scenario narrative: bull</t>
  </si>
  <si>
    <t xml:space="preserve">Coastal reacceleration persists, the Sunbelt supply cliff delivers two years of 4-5% same-store growth, and easier long rates let the 2026-31 maturities roll near 4.5%. The AFFO margin rebuilds to 46% and AFFO/share reaches ~$2.64 by FY2030.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</si>
  <si>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</si>
  <si>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</si>
  <si>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</si>
  <si>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</si>
  <si>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</si>
  <si>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</si>
  <si>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</si>
  <si>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</si>
  <si>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</si>
  <si>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</si>
  <si>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</si>
  <si>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</si>
  <si>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</si>
  <si>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</si>
  <si>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</si>
  <si>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</si>
  <si>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</si>
  <si>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</si>
  <si>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</si>
  <si>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</si>
  <si>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</si>
  <si>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</si>
  <si>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</si>
  <si>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</si>
  <si>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</si>
  <si>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</si>
  <si>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</si>
  <si>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</si>
  <si>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</si>
  <si>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</si>
  <si>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</si>
  <si>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</si>
  <si>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</si>
  <si>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</si>
  <si>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</si>
  <si>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</si>
  <si>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</si>
  <si>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</si>
  <si>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</si>
  <si>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</si>
  <si>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</si>
  <si>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</si>
  <si>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</si>
  <si>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</si>
  <si>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</si>
  <si>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</si>
  <si>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</si>
  <si>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</si>
  <si>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</si>
  <si>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</si>
  <si>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</si>
  <si>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</si>
  <si>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</si>
  <si>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</si>
  <si>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</si>
  <si>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</si>
  <si>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</si>
  <si>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</si>
  <si>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</si>
  <si>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</si>
  <si>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</si>
  <si>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</si>
  <si>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</si>
  <si>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</si>
  <si>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</si>
  <si>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</si>
  <si>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</si>
  <si>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</si>
  <si>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</si>
  <si>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</si>
  <si>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</si>
  <si>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</si>
  <si>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</si>
  <si>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</si>
  <si>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</si>
  <si>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</si>
  <si>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</si>
  <si>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</si>
  <si>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</si>
  <si>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</si>
  <si>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</si>
  <si>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</si>
  <si>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</si>
  <si>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UDR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</si>
  <si>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</si>
  <si>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</si>
  <si>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</si>
  <si>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</si>
  <si>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</si>
  <si>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</si>
  <si>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</si>
  <si>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</si>
  <si>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</si>
  <si>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</si>
  <si>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</si>
  <si>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</si>
  <si>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</si>
  <si>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</si>
  <si>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</si>
  <si>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</si>
  <si>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</si>
  <si>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</si>
  <si>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</si>
  <si>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</si>
  <si>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</si>
  <si>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</si>
  <si>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</si>
  <si>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</si>
  <si>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</si>
  <si>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</si>
  <si>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</si>
  <si>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</si>
  <si>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</si>
  <si>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</si>
  <si>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UDR owner-FCF component DCF: base case (millions, USD)</t>
  </si>
  <si>
    <t xml:space="preserve">UDR owner-FCF component DCF: bull case (millions, USD)</t>
  </si>
  <si>
    <t xml:space="preserve">UDR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</si>
  <si>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</si>
  <si>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</si>
  <si>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</si>
  <si>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</si>
  <si>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</si>
  <si>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</si>
  <si>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</si>
  <si>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</si>
  <si>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</si>
  <si>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</si>
  <si>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</si>
  <si>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</si>
  <si>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</si>
  <si>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</si>
  <si>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</si>
  <si>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9.25%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</si>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</sst>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33.68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944.353</v>
      </c>
      <c r="S2" s="0" t="n">
        <v>3.219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588.263</v>
      </c>
      <c r="F3" s="0" t="n">
        <v>-59.59</v>
      </c>
      <c r="G3" s="0" t="n">
        <v>-10.1298228853421</v>
      </c>
      <c r="H3" s="0" t="n">
        <v>197.26</v>
      </c>
      <c r="I3" s="0" t="n">
        <v>743.867</v>
      </c>
      <c r="J3" s="0" t="n">
        <v>126.451434137452</v>
      </c>
      <c r="K3" s="0" t="n">
        <v>5.29</v>
      </c>
      <c r="L3" s="0" t="n">
        <v>179.754</v>
      </c>
      <c r="O3" s="0" t="n">
        <v>1419.339</v>
      </c>
      <c r="S3" s="0" t="n">
        <v>12.74</v>
      </c>
      <c r="T3" s="0" t="n">
        <v>130.219</v>
      </c>
      <c r="V3" s="0" t="n">
        <v>2.29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562.094</v>
      </c>
      <c r="F4" s="0" t="n">
        <v>-78.504</v>
      </c>
      <c r="G4" s="0" t="n">
        <v>-13.9663472657598</v>
      </c>
      <c r="H4" s="0" t="n">
        <v>205.048</v>
      </c>
      <c r="I4" s="0" t="n">
        <v>-91.623</v>
      </c>
      <c r="J4" s="0" t="n">
        <v>-16.300298526581</v>
      </c>
      <c r="K4" s="0" t="n">
        <v>-0.64</v>
      </c>
      <c r="L4" s="0" t="n">
        <v>229.383</v>
      </c>
      <c r="M4" s="0" t="n">
        <v>6.269</v>
      </c>
      <c r="N4" s="0" t="n">
        <v>223.114</v>
      </c>
      <c r="O4" s="0" t="n">
        <v>1398.982</v>
      </c>
      <c r="P4" s="0" t="n">
        <v>5132.617</v>
      </c>
      <c r="Q4" s="0" t="n">
        <v>3634.877</v>
      </c>
      <c r="S4" s="0" t="n">
        <v>9.486</v>
      </c>
      <c r="T4" s="0" t="n">
        <v>155.465482</v>
      </c>
      <c r="V4" s="0" t="n">
        <v>0.85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525.052</v>
      </c>
      <c r="F5" s="0" t="n">
        <v>-116.259</v>
      </c>
      <c r="G5" s="0" t="n">
        <v>-22.1423782787229</v>
      </c>
      <c r="H5" s="0" t="n">
        <v>192.03</v>
      </c>
      <c r="I5" s="0" t="n">
        <v>-106.588</v>
      </c>
      <c r="J5" s="0" t="n">
        <v>-20.3004654777051</v>
      </c>
      <c r="K5" s="0" t="n">
        <v>-0.68</v>
      </c>
      <c r="L5" s="0" t="n">
        <v>214.18</v>
      </c>
      <c r="M5" s="0" t="n">
        <v>4.342</v>
      </c>
      <c r="N5" s="0" t="n">
        <v>209.838</v>
      </c>
      <c r="O5" s="0" t="n">
        <v>1610.03</v>
      </c>
      <c r="P5" s="0" t="n">
        <v>5529.54</v>
      </c>
      <c r="Q5" s="0" t="n">
        <v>3800.453</v>
      </c>
      <c r="S5" s="0" t="n">
        <v>9.486</v>
      </c>
      <c r="T5" s="0" t="n">
        <v>182.49633</v>
      </c>
      <c r="V5" s="0" t="n">
        <v>0.73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623.357</v>
      </c>
      <c r="F6" s="0" t="n">
        <v>22.448</v>
      </c>
      <c r="G6" s="0" t="n">
        <v>3.60114669443032</v>
      </c>
      <c r="H6" s="0" t="n">
        <v>396.722</v>
      </c>
      <c r="I6" s="0" t="n">
        <v>20.585</v>
      </c>
      <c r="J6" s="0" t="n">
        <v>3.30228103638846</v>
      </c>
      <c r="L6" s="0" t="n">
        <v>251.411</v>
      </c>
      <c r="M6" s="0" t="n">
        <v>13.267</v>
      </c>
      <c r="N6" s="0" t="n">
        <v>238.144</v>
      </c>
      <c r="O6" s="0" t="n">
        <v>2318.784</v>
      </c>
      <c r="P6" s="0" t="n">
        <v>6721.354</v>
      </c>
      <c r="Q6" s="0" t="n">
        <v>4166.095</v>
      </c>
      <c r="R6" s="0" t="n">
        <v>3918.37</v>
      </c>
      <c r="S6" s="0" t="n">
        <v>12.503</v>
      </c>
      <c r="T6" s="0" t="n">
        <v>219.650225</v>
      </c>
      <c r="V6" s="0" t="n">
        <v>0.8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716.612</v>
      </c>
      <c r="F7" s="0" t="n">
        <v>67.26</v>
      </c>
      <c r="G7" s="0" t="n">
        <v>9.38583222162063</v>
      </c>
      <c r="H7" s="0" t="n">
        <v>71.365</v>
      </c>
      <c r="I7" s="0" t="n">
        <v>220.303</v>
      </c>
      <c r="J7" s="0" t="n">
        <v>30.7422984823028</v>
      </c>
      <c r="K7" s="0" t="n">
        <v>0.85</v>
      </c>
      <c r="L7" s="0" t="n">
        <v>327.187</v>
      </c>
      <c r="M7" s="0" t="n">
        <v>7.947</v>
      </c>
      <c r="N7" s="0" t="n">
        <v>319.24</v>
      </c>
      <c r="O7" s="0" t="n">
        <v>2993.832</v>
      </c>
      <c r="P7" s="0" t="n">
        <v>6859.103</v>
      </c>
      <c r="Q7" s="0" t="n">
        <v>3641.853</v>
      </c>
      <c r="R7" s="0" t="n">
        <v>3409.333</v>
      </c>
      <c r="S7" s="0" t="n">
        <v>12.115</v>
      </c>
      <c r="T7" s="0" t="n">
        <v>238.851</v>
      </c>
      <c r="U7" s="0" t="n">
        <v>1.9</v>
      </c>
      <c r="V7" s="0" t="n">
        <v>0.88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758.926</v>
      </c>
      <c r="F8" s="0" t="n">
        <v>116.92</v>
      </c>
      <c r="G8" s="0" t="n">
        <v>15.4059816108553</v>
      </c>
      <c r="H8" s="0" t="n">
        <v>465.151</v>
      </c>
      <c r="I8" s="0" t="n">
        <v>46.282</v>
      </c>
      <c r="J8" s="0" t="n">
        <v>6.09835478030796</v>
      </c>
      <c r="K8" s="0" t="n">
        <v>0.16</v>
      </c>
      <c r="L8" s="0" t="n">
        <v>339.902</v>
      </c>
      <c r="M8" s="0" t="n">
        <v>7.639</v>
      </c>
      <c r="N8" s="0" t="n">
        <v>332.263</v>
      </c>
      <c r="O8" s="0" t="n">
        <v>2812.504</v>
      </c>
      <c r="P8" s="0" t="n">
        <v>6807.722</v>
      </c>
      <c r="Q8" s="0" t="n">
        <v>3777.621</v>
      </c>
      <c r="R8" s="0" t="n">
        <v>3523.703</v>
      </c>
      <c r="S8" s="0" t="n">
        <v>30.249</v>
      </c>
      <c r="T8" s="0" t="n">
        <v>250.749665</v>
      </c>
      <c r="U8" s="0" t="n">
        <v>9.531</v>
      </c>
      <c r="V8" s="0" t="n">
        <v>0.94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818.046</v>
      </c>
      <c r="F9" s="0" t="n">
        <v>126.764</v>
      </c>
      <c r="G9" s="0" t="n">
        <v>15.4959501054953</v>
      </c>
      <c r="H9" s="0" t="n">
        <v>490.693</v>
      </c>
      <c r="I9" s="0" t="n">
        <v>159.842</v>
      </c>
      <c r="J9" s="0" t="n">
        <v>19.5394879994524</v>
      </c>
      <c r="K9" s="0" t="n">
        <v>0.6</v>
      </c>
      <c r="L9" s="0" t="n">
        <v>397.303</v>
      </c>
      <c r="M9" s="0" t="n">
        <v>5.497</v>
      </c>
      <c r="N9" s="0" t="n">
        <v>391.806</v>
      </c>
      <c r="O9" s="0" t="n">
        <v>2735.95</v>
      </c>
      <c r="P9" s="0" t="n">
        <v>6828.728</v>
      </c>
      <c r="Q9" s="0" t="n">
        <v>3810.298</v>
      </c>
      <c r="R9" s="0" t="n">
        <v>3565.299</v>
      </c>
      <c r="S9" s="0" t="n">
        <v>15.224</v>
      </c>
      <c r="T9" s="0" t="n">
        <v>255.114603</v>
      </c>
      <c r="U9" s="0" t="n">
        <v>13.954</v>
      </c>
      <c r="V9" s="0" t="n">
        <v>1.04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894.638</v>
      </c>
      <c r="F10" s="0" t="n">
        <v>159.591</v>
      </c>
      <c r="G10" s="0" t="n">
        <v>17.8386118184115</v>
      </c>
      <c r="H10" s="0" t="n">
        <v>540.868</v>
      </c>
      <c r="I10" s="0" t="n">
        <v>357.159</v>
      </c>
      <c r="J10" s="0" t="n">
        <v>39.9221808150336</v>
      </c>
      <c r="K10" s="0" t="n">
        <v>1.3</v>
      </c>
      <c r="L10" s="0" t="n">
        <v>458.627</v>
      </c>
      <c r="M10" s="0" t="n">
        <v>4.049</v>
      </c>
      <c r="N10" s="0" t="n">
        <v>454.578</v>
      </c>
      <c r="O10" s="0" t="n">
        <v>2900.611</v>
      </c>
      <c r="P10" s="0" t="n">
        <v>7663.844</v>
      </c>
      <c r="Q10" s="0" t="n">
        <v>3816.797</v>
      </c>
      <c r="R10" s="0" t="n">
        <v>3570.795</v>
      </c>
      <c r="S10" s="0" t="n">
        <v>6.742</v>
      </c>
      <c r="T10" s="0" t="n">
        <v>263.752</v>
      </c>
      <c r="U10" s="0" t="n">
        <v>18.017</v>
      </c>
      <c r="V10" s="0" t="n">
        <v>1.11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959.861</v>
      </c>
      <c r="F11" s="0" t="n">
        <v>400.821</v>
      </c>
      <c r="G11" s="0" t="n">
        <v>41.7582337442609</v>
      </c>
      <c r="H11" s="0" t="n">
        <v>826.459</v>
      </c>
      <c r="I11" s="0" t="n">
        <v>320.38</v>
      </c>
      <c r="J11" s="0" t="n">
        <v>33.3777494866444</v>
      </c>
      <c r="K11" s="0" t="n">
        <v>1.09</v>
      </c>
      <c r="L11" s="0" t="n">
        <v>536.568</v>
      </c>
      <c r="M11" s="0" t="n">
        <v>4.439</v>
      </c>
      <c r="N11" s="0" t="n">
        <v>532.129</v>
      </c>
      <c r="O11" s="0" t="n">
        <v>3096.97</v>
      </c>
      <c r="P11" s="0" t="n">
        <v>7679.584</v>
      </c>
      <c r="Q11" s="0" t="n">
        <v>3673.132</v>
      </c>
      <c r="R11" s="0" t="n">
        <v>3401.478</v>
      </c>
      <c r="S11" s="0" t="n">
        <v>2.112</v>
      </c>
      <c r="T11" s="0" t="n">
        <v>267.311</v>
      </c>
      <c r="U11" s="0" t="n">
        <v>13.398</v>
      </c>
      <c r="V11" s="0" t="n">
        <v>1.18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995.791</v>
      </c>
      <c r="F12" s="0" t="n">
        <v>227.898</v>
      </c>
      <c r="G12" s="0" t="n">
        <v>22.8861277115379</v>
      </c>
      <c r="H12" s="0" t="n">
        <v>664.36</v>
      </c>
      <c r="I12" s="0" t="n">
        <v>132.655</v>
      </c>
      <c r="J12" s="0" t="n">
        <v>13.3215704901932</v>
      </c>
      <c r="K12" s="0" t="n">
        <v>0.44</v>
      </c>
      <c r="L12" s="0" t="n">
        <v>518.915</v>
      </c>
      <c r="M12" s="0" t="n">
        <v>1.384</v>
      </c>
      <c r="N12" s="0" t="n">
        <v>517.531</v>
      </c>
      <c r="O12" s="0" t="n">
        <v>2835.364</v>
      </c>
      <c r="P12" s="0" t="n">
        <v>7733.273</v>
      </c>
      <c r="Q12" s="0" t="n">
        <v>3949.771</v>
      </c>
      <c r="R12" s="0" t="n">
        <v>3671.663</v>
      </c>
      <c r="S12" s="0" t="n">
        <v>2.038</v>
      </c>
      <c r="T12" s="0" t="n">
        <v>268.83</v>
      </c>
      <c r="U12" s="0" t="n">
        <v>12.862</v>
      </c>
      <c r="V12" s="0" t="n">
        <v>1.24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1046.859</v>
      </c>
      <c r="F13" s="0" t="n">
        <v>354.718</v>
      </c>
      <c r="G13" s="0" t="n">
        <v>33.8840283170895</v>
      </c>
      <c r="H13" s="0" t="n">
        <v>790.397</v>
      </c>
      <c r="I13" s="0" t="n">
        <v>221.542</v>
      </c>
      <c r="J13" s="0" t="n">
        <v>21.162544335006</v>
      </c>
      <c r="K13" s="0" t="n">
        <v>0.74</v>
      </c>
      <c r="L13" s="0" t="n">
        <v>560.676</v>
      </c>
      <c r="M13" s="0" t="n">
        <v>4.85</v>
      </c>
      <c r="N13" s="0" t="n">
        <v>555.826</v>
      </c>
      <c r="O13" s="0" t="n">
        <v>2922.777</v>
      </c>
      <c r="P13" s="0" t="n">
        <v>7711.728</v>
      </c>
      <c r="Q13" s="0" t="n">
        <v>3816.211</v>
      </c>
      <c r="R13" s="0" t="n">
        <v>3547.787</v>
      </c>
      <c r="S13" s="0" t="n">
        <v>185.216</v>
      </c>
      <c r="T13" s="0" t="n">
        <v>275.5459</v>
      </c>
      <c r="U13" s="0" t="n">
        <v>14.244</v>
      </c>
      <c r="V13" s="0" t="n">
        <v>1.29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1152.193</v>
      </c>
      <c r="F14" s="0" t="n">
        <v>221.057</v>
      </c>
      <c r="G14" s="0" t="n">
        <v>19.1857614132355</v>
      </c>
      <c r="H14" s="0" t="n">
        <v>728.98</v>
      </c>
      <c r="I14" s="0" t="n">
        <v>199.579</v>
      </c>
      <c r="J14" s="0" t="n">
        <v>17.3216639920569</v>
      </c>
      <c r="K14" s="0" t="n">
        <v>0.63</v>
      </c>
      <c r="L14" s="0" t="n">
        <v>630.704</v>
      </c>
      <c r="O14" s="0" t="n">
        <v>3389.314</v>
      </c>
      <c r="P14" s="0" t="n">
        <v>9636.472</v>
      </c>
      <c r="Q14" s="0" t="n">
        <v>5228.493</v>
      </c>
      <c r="R14" s="0" t="n">
        <v>4707.524</v>
      </c>
      <c r="S14" s="0" t="n">
        <v>8.106</v>
      </c>
      <c r="T14" s="0" t="n">
        <v>294.588305</v>
      </c>
      <c r="U14" s="0" t="n">
        <v>24.33</v>
      </c>
      <c r="V14" s="0" t="n">
        <v>1.37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1241.165</v>
      </c>
      <c r="F15" s="0" t="n">
        <v>249.103</v>
      </c>
      <c r="G15" s="0" t="n">
        <v>20.0700954345313</v>
      </c>
      <c r="H15" s="0" t="n">
        <v>867.732</v>
      </c>
      <c r="I15" s="0" t="n">
        <v>68.97</v>
      </c>
      <c r="J15" s="0" t="n">
        <v>5.55687599956493</v>
      </c>
      <c r="K15" s="0" t="n">
        <v>0.2</v>
      </c>
      <c r="L15" s="0" t="n">
        <v>604.316</v>
      </c>
      <c r="O15" s="0" t="n">
        <v>3258.591</v>
      </c>
      <c r="P15" s="0" t="n">
        <v>9637.533</v>
      </c>
      <c r="Q15" s="0" t="n">
        <v>5522.648</v>
      </c>
      <c r="R15" s="0" t="n">
        <v>4976.548</v>
      </c>
      <c r="S15" s="0" t="n">
        <v>1.409</v>
      </c>
      <c r="T15" s="0" t="n">
        <v>296.611579</v>
      </c>
      <c r="U15" s="0" t="n">
        <v>19.616</v>
      </c>
      <c r="V15" s="0" t="n">
        <v>1.44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1290.767</v>
      </c>
      <c r="F16" s="0" t="n">
        <v>267.968</v>
      </c>
      <c r="G16" s="0" t="n">
        <v>20.7603696096972</v>
      </c>
      <c r="H16" s="0" t="n">
        <v>887.801</v>
      </c>
      <c r="I16" s="0" t="n">
        <v>160.993</v>
      </c>
      <c r="J16" s="0" t="n">
        <v>12.4726616035272</v>
      </c>
      <c r="K16" s="0" t="n">
        <v>0.49</v>
      </c>
      <c r="L16" s="0" t="n">
        <v>663.96</v>
      </c>
      <c r="O16" s="0" t="n">
        <v>3474.304</v>
      </c>
      <c r="P16" s="0" t="n">
        <v>10775.22</v>
      </c>
      <c r="Q16" s="0" t="n">
        <v>6001.474</v>
      </c>
      <c r="R16" s="0" t="n">
        <v>5412.787</v>
      </c>
      <c r="S16" s="0" t="n">
        <v>0.967</v>
      </c>
      <c r="T16" s="0" t="n">
        <v>318.149635</v>
      </c>
      <c r="U16" s="0" t="n">
        <v>22.052</v>
      </c>
      <c r="V16" s="0" t="n">
        <v>1.45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1517.386</v>
      </c>
      <c r="F17" s="0" t="n">
        <v>250.814</v>
      </c>
      <c r="G17" s="0" t="n">
        <v>16.5293471799529</v>
      </c>
      <c r="H17" s="0" t="n">
        <v>930.386</v>
      </c>
      <c r="I17" s="0" t="n">
        <v>92.579</v>
      </c>
      <c r="J17" s="0" t="n">
        <v>6.10121617044048</v>
      </c>
      <c r="K17" s="0" t="n">
        <v>0.26</v>
      </c>
      <c r="L17" s="0" t="n">
        <v>820.071</v>
      </c>
      <c r="O17" s="0" t="n">
        <v>4098.295</v>
      </c>
      <c r="P17" s="0" t="n">
        <v>11038.47</v>
      </c>
      <c r="Q17" s="0" t="n">
        <v>6100.325</v>
      </c>
      <c r="R17" s="0" t="n">
        <v>5487.303</v>
      </c>
      <c r="S17" s="0" t="n">
        <v>1.193</v>
      </c>
      <c r="T17" s="0" t="n">
        <v>328.993088</v>
      </c>
      <c r="U17" s="0" t="n">
        <v>27.505</v>
      </c>
      <c r="V17" s="0" t="n">
        <v>1.52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1627.501</v>
      </c>
      <c r="F18" s="0" t="n">
        <v>635.008</v>
      </c>
      <c r="G18" s="0" t="n">
        <v>39.0173646590693</v>
      </c>
      <c r="H18" s="0" t="n">
        <v>1326.846</v>
      </c>
      <c r="I18" s="0" t="n">
        <v>474.488</v>
      </c>
      <c r="J18" s="0" t="n">
        <v>29.1543906885464</v>
      </c>
      <c r="K18" s="0" t="n">
        <v>1.34</v>
      </c>
      <c r="L18" s="0" t="n">
        <v>832.664</v>
      </c>
      <c r="O18" s="0" t="n">
        <v>3991.354</v>
      </c>
      <c r="P18" s="0" t="n">
        <v>11373.242</v>
      </c>
      <c r="Q18" s="0" t="n">
        <v>6420.801</v>
      </c>
      <c r="R18" s="0" t="n">
        <v>5798.709</v>
      </c>
      <c r="S18" s="0" t="n">
        <v>2.922</v>
      </c>
      <c r="T18" s="0" t="n">
        <v>329.104</v>
      </c>
      <c r="U18" s="0" t="n">
        <v>32.896</v>
      </c>
      <c r="V18" s="0" t="n">
        <v>1.68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1671.842</v>
      </c>
      <c r="F19" s="0" t="n">
        <v>284.569</v>
      </c>
      <c r="G19" s="0" t="n">
        <v>17.0212855042522</v>
      </c>
      <c r="H19" s="0" t="n">
        <v>980.042</v>
      </c>
      <c r="I19" s="0" t="n">
        <v>95.877</v>
      </c>
      <c r="J19" s="0" t="n">
        <v>5.73481226096724</v>
      </c>
      <c r="K19" s="0" t="n">
        <v>0.26</v>
      </c>
      <c r="L19" s="0" t="n">
        <v>876.848</v>
      </c>
      <c r="O19" s="0" t="n">
        <v>3443.54</v>
      </c>
      <c r="P19" s="0" t="n">
        <v>10897.586</v>
      </c>
      <c r="Q19" s="0" t="n">
        <v>6436.691</v>
      </c>
      <c r="R19" s="0" t="n">
        <v>5826.965</v>
      </c>
      <c r="S19" s="0" t="n">
        <v>1.326</v>
      </c>
      <c r="T19" s="0" t="n">
        <v>330.858719</v>
      </c>
      <c r="U19" s="0" t="n">
        <v>32.625</v>
      </c>
      <c r="V19" s="0" t="n">
        <v>1.7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1712.317</v>
      </c>
      <c r="F20" s="0" t="n">
        <v>553.606</v>
      </c>
      <c r="G20" s="0" t="n">
        <v>32.330812577344</v>
      </c>
      <c r="H20" s="0" t="n">
        <v>1233.641</v>
      </c>
      <c r="I20" s="0" t="n">
        <v>403.715</v>
      </c>
      <c r="J20" s="0" t="n">
        <v>23.577118021955</v>
      </c>
      <c r="K20" s="0" t="n">
        <v>1.13</v>
      </c>
      <c r="L20" s="0" t="n">
        <v>902.887</v>
      </c>
      <c r="O20" s="0" t="n">
        <v>3288.797</v>
      </c>
      <c r="P20" s="0" t="n">
        <v>10605.674</v>
      </c>
      <c r="Q20" s="0" t="n">
        <v>6456.911</v>
      </c>
      <c r="R20" s="0" t="n">
        <v>5821.369</v>
      </c>
      <c r="S20" s="0" t="n">
        <v>1.222</v>
      </c>
      <c r="T20" s="0" t="n">
        <v>331.053</v>
      </c>
      <c r="U20" s="0" t="n">
        <v>26.484</v>
      </c>
      <c r="V20" s="0" t="n">
        <v>1.72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33.68</v>
      </c>
    </row>
    <row r="3" customFormat="false" ht="15" hidden="false" customHeight="false" outlineLevel="0" collapsed="false">
      <c r="A3" s="0" t="s">
        <v>85</v>
      </c>
      <c r="B3" s="3" t="n">
        <v>346.187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1712.317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-1.5</v>
      </c>
      <c r="D13" s="3" t="n">
        <v>0</v>
      </c>
      <c r="E13" s="3" t="n">
        <v>1.5</v>
      </c>
      <c r="F13" s="3" t="n">
        <v>2</v>
      </c>
      <c r="G13" s="3" t="n">
        <v>2</v>
      </c>
      <c r="H13" s="3" t="n">
        <v>2.25</v>
      </c>
      <c r="I13" s="3" t="n">
        <v>2.25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45</v>
      </c>
      <c r="D14" s="3" t="n">
        <v>44.2</v>
      </c>
      <c r="E14" s="3" t="n">
        <v>43.4</v>
      </c>
      <c r="F14" s="3" t="n">
        <v>42.7</v>
      </c>
      <c r="G14" s="3" t="n">
        <v>42</v>
      </c>
      <c r="H14" s="3" t="n">
        <v>41.5</v>
      </c>
      <c r="I14" s="3" t="n">
        <v>41.2</v>
      </c>
      <c r="J14" s="3" t="n">
        <v>41</v>
      </c>
      <c r="K14" s="3" t="n">
        <v>41</v>
      </c>
      <c r="L14" s="3" t="n">
        <v>41</v>
      </c>
    </row>
    <row r="15" customFormat="false" ht="15" hidden="false" customHeight="false" outlineLevel="0" collapsed="false">
      <c r="A15" s="0" t="s">
        <v>107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112</v>
      </c>
      <c r="B20" s="3" t="n">
        <v>9.25</v>
      </c>
    </row>
    <row r="21" customFormat="false" ht="15" hidden="false" customHeight="false" outlineLevel="0" collapsed="false">
      <c r="A21" s="0" t="s">
        <v>113</v>
      </c>
      <c r="B21" s="3" t="n">
        <v>1.75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-1.2</v>
      </c>
      <c r="D27" s="3" t="n">
        <v>1.5</v>
      </c>
      <c r="E27" s="3" t="n">
        <v>3.5</v>
      </c>
      <c r="F27" s="3" t="n">
        <v>3.5</v>
      </c>
      <c r="G27" s="3" t="n">
        <v>3.25</v>
      </c>
      <c r="H27" s="3" t="n">
        <v>3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45.3</v>
      </c>
      <c r="D28" s="3" t="n">
        <v>45</v>
      </c>
      <c r="E28" s="3" t="n">
        <v>44.8</v>
      </c>
      <c r="F28" s="3" t="n">
        <v>44.6</v>
      </c>
      <c r="G28" s="3" t="n">
        <v>44.4</v>
      </c>
      <c r="H28" s="3" t="n">
        <v>44.3</v>
      </c>
      <c r="I28" s="3" t="n">
        <v>44.2</v>
      </c>
      <c r="J28" s="3" t="n">
        <v>44</v>
      </c>
      <c r="K28" s="3" t="n">
        <v>44</v>
      </c>
      <c r="L28" s="3" t="n">
        <v>44</v>
      </c>
    </row>
    <row r="29" customFormat="false" ht="15" hidden="false" customHeight="false" outlineLevel="0" collapsed="false">
      <c r="A29" s="0" t="s">
        <v>107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112</v>
      </c>
      <c r="B34" s="3" t="n">
        <v>9.25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-0.8</v>
      </c>
      <c r="D41" s="3" t="n">
        <v>3</v>
      </c>
      <c r="E41" s="3" t="n">
        <v>4.5</v>
      </c>
      <c r="F41" s="3" t="n">
        <v>4.5</v>
      </c>
      <c r="G41" s="3" t="n">
        <v>4</v>
      </c>
      <c r="H41" s="3" t="n">
        <v>3.5</v>
      </c>
      <c r="I41" s="3" t="n">
        <v>3.25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45.5</v>
      </c>
      <c r="D42" s="3" t="n">
        <v>45.6</v>
      </c>
      <c r="E42" s="3" t="n">
        <v>45.8</v>
      </c>
      <c r="F42" s="3" t="n">
        <v>46</v>
      </c>
      <c r="G42" s="3" t="n">
        <v>46</v>
      </c>
      <c r="H42" s="3" t="n">
        <v>46</v>
      </c>
      <c r="I42" s="3" t="n">
        <v>46</v>
      </c>
      <c r="J42" s="3" t="n">
        <v>46</v>
      </c>
      <c r="K42" s="3" t="n">
        <v>46</v>
      </c>
      <c r="L42" s="3" t="n">
        <v>46</v>
      </c>
    </row>
    <row r="43" customFormat="false" ht="15" hidden="false" customHeight="false" outlineLevel="0" collapsed="false">
      <c r="A43" s="0" t="s">
        <v>107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112</v>
      </c>
      <c r="B48" s="3" t="n">
        <v>9.25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-1.5</v>
      </c>
      <c r="D5" s="4" t="n">
        <f aca="false">Assumptions!D13</f>
        <v>0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2.25</v>
      </c>
      <c r="I5" s="4" t="n">
        <f aca="false">Assumptions!I13</f>
        <v>2.25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1712.317</v>
      </c>
      <c r="C6" s="0" t="n">
        <f aca="false">B6*(1+C5/100)</f>
        <v>1686.632245</v>
      </c>
      <c r="D6" s="0" t="n">
        <f aca="false">C6*(1+D5/100)</f>
        <v>1686.632245</v>
      </c>
      <c r="E6" s="0" t="n">
        <f aca="false">D6*(1+E5/100)</f>
        <v>1711.931728675</v>
      </c>
      <c r="F6" s="0" t="n">
        <f aca="false">E6*(1+F5/100)</f>
        <v>1746.1703632485</v>
      </c>
      <c r="G6" s="0" t="n">
        <f aca="false">F6*(1+G5/100)</f>
        <v>1781.09377051347</v>
      </c>
      <c r="H6" s="0" t="n">
        <f aca="false">G6*(1+H5/100)</f>
        <v>1821.16838035002</v>
      </c>
      <c r="I6" s="0" t="n">
        <f aca="false">H6*(1+I5/100)</f>
        <v>1862.1446689079</v>
      </c>
      <c r="J6" s="0" t="n">
        <f aca="false">I6*(1+J5/100)</f>
        <v>1899.38756228606</v>
      </c>
      <c r="K6" s="0" t="n">
        <f aca="false">J6*(1+K5/100)</f>
        <v>1937.37531353178</v>
      </c>
      <c r="L6" s="0" t="n">
        <f aca="false">K6*(1+L5/100)</f>
        <v>1976.12281980241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45</v>
      </c>
      <c r="D7" s="4" t="n">
        <f aca="false">Assumptions!D14</f>
        <v>44.2</v>
      </c>
      <c r="E7" s="4" t="n">
        <f aca="false">Assumptions!E14</f>
        <v>43.4</v>
      </c>
      <c r="F7" s="4" t="n">
        <f aca="false">Assumptions!F14</f>
        <v>42.7</v>
      </c>
      <c r="G7" s="4" t="n">
        <f aca="false">Assumptions!G14</f>
        <v>42</v>
      </c>
      <c r="H7" s="4" t="n">
        <f aca="false">Assumptions!H14</f>
        <v>41.5</v>
      </c>
      <c r="I7" s="4" t="n">
        <f aca="false">Assumptions!I14</f>
        <v>41.2</v>
      </c>
      <c r="J7" s="4" t="n">
        <f aca="false">Assumptions!J14</f>
        <v>41</v>
      </c>
      <c r="K7" s="4" t="n">
        <f aca="false">Assumptions!K14</f>
        <v>41</v>
      </c>
      <c r="L7" s="4" t="n">
        <f aca="false">Assumptions!L14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758.98451025</v>
      </c>
      <c r="D8" s="0" t="n">
        <f aca="false">D6*D7/100</f>
        <v>745.49145229</v>
      </c>
      <c r="E8" s="0" t="n">
        <f aca="false">E6*E7/100</f>
        <v>742.97837024495</v>
      </c>
      <c r="F8" s="0" t="n">
        <f aca="false">F6*F7/100</f>
        <v>745.61474510711</v>
      </c>
      <c r="G8" s="0" t="n">
        <f aca="false">G6*G7/100</f>
        <v>748.059383615658</v>
      </c>
      <c r="H8" s="0" t="n">
        <f aca="false">H6*H7/100</f>
        <v>755.78487784526</v>
      </c>
      <c r="I8" s="0" t="n">
        <f aca="false">I6*I7/100</f>
        <v>767.203603590054</v>
      </c>
      <c r="J8" s="0" t="n">
        <f aca="false">J6*J7/100</f>
        <v>778.748900537283</v>
      </c>
      <c r="K8" s="0" t="n">
        <f aca="false">K6*K7/100</f>
        <v>794.323878548029</v>
      </c>
      <c r="L8" s="0" t="n">
        <f aca="false">L6*L7/100</f>
        <v>810.21035611899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758.98451025</v>
      </c>
      <c r="D11" s="0" t="n">
        <f aca="false">D8+D10+D24</f>
        <v>745.49145229</v>
      </c>
      <c r="E11" s="0" t="n">
        <f aca="false">E8+E10+E24</f>
        <v>742.97837024495</v>
      </c>
      <c r="F11" s="0" t="n">
        <f aca="false">F8+F10+F24</f>
        <v>745.61474510711</v>
      </c>
      <c r="G11" s="0" t="n">
        <f aca="false">G8+G10+G24</f>
        <v>748.059383615658</v>
      </c>
      <c r="H11" s="0" t="n">
        <f aca="false">H8+H10+H24</f>
        <v>755.78487784526</v>
      </c>
      <c r="I11" s="0" t="n">
        <f aca="false">I8+I10+I24</f>
        <v>767.203603590054</v>
      </c>
      <c r="J11" s="0" t="n">
        <f aca="false">J8+J10+J24</f>
        <v>778.748900537283</v>
      </c>
      <c r="K11" s="0" t="n">
        <f aca="false">K8+K10+K24</f>
        <v>794.323878548029</v>
      </c>
      <c r="L11" s="0" t="n">
        <f aca="false">L8+L10+L24</f>
        <v>810.21035611899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758.98451025</v>
      </c>
      <c r="D13" s="0" t="n">
        <f aca="false">D11+D12</f>
        <v>745.49145229</v>
      </c>
      <c r="E13" s="0" t="n">
        <f aca="false">E11+E12</f>
        <v>742.97837024495</v>
      </c>
      <c r="F13" s="0" t="n">
        <f aca="false">F11+F12</f>
        <v>745.61474510711</v>
      </c>
      <c r="G13" s="0" t="n">
        <f aca="false">G11+G12</f>
        <v>748.059383615658</v>
      </c>
      <c r="H13" s="0" t="n">
        <f aca="false">H11+H12</f>
        <v>755.78487784526</v>
      </c>
      <c r="I13" s="0" t="n">
        <f aca="false">I11+I12</f>
        <v>767.203603590054</v>
      </c>
      <c r="J13" s="0" t="n">
        <f aca="false">J11+J12</f>
        <v>778.748900537283</v>
      </c>
      <c r="K13" s="0" t="n">
        <f aca="false">K11+K12</f>
        <v>794.323878548029</v>
      </c>
      <c r="L13" s="0" t="n">
        <f aca="false">L11+L12</f>
        <v>810.21035611899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758.98451025</v>
      </c>
      <c r="D15" s="0" t="n">
        <f aca="false">D13-MAX(0,D13)*D14/100</f>
        <v>745.49145229</v>
      </c>
      <c r="E15" s="0" t="n">
        <f aca="false">E13-MAX(0,E13)*E14/100</f>
        <v>742.97837024495</v>
      </c>
      <c r="F15" s="0" t="n">
        <f aca="false">F13-MAX(0,F13)*F14/100</f>
        <v>745.61474510711</v>
      </c>
      <c r="G15" s="0" t="n">
        <f aca="false">G13-MAX(0,G13)*G14/100</f>
        <v>748.059383615658</v>
      </c>
      <c r="H15" s="0" t="n">
        <f aca="false">H13-MAX(0,H13)*H14/100</f>
        <v>755.78487784526</v>
      </c>
      <c r="I15" s="0" t="n">
        <f aca="false">I13-MAX(0,I13)*I14/100</f>
        <v>767.203603590054</v>
      </c>
      <c r="J15" s="0" t="n">
        <f aca="false">J13-MAX(0,J13)*J14/100</f>
        <v>778.748900537283</v>
      </c>
      <c r="K15" s="0" t="n">
        <f aca="false">K13-MAX(0,K13)*K14/100</f>
        <v>794.323878548029</v>
      </c>
      <c r="L15" s="0" t="n">
        <f aca="false">L13-MAX(0,L13)*L14/100</f>
        <v>810.21035611899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758.98451025</v>
      </c>
      <c r="D19" s="0" t="n">
        <f aca="false">D15+D16+D17+D18</f>
        <v>745.49145229</v>
      </c>
      <c r="E19" s="0" t="n">
        <f aca="false">E15+E16+E17+E18</f>
        <v>742.97837024495</v>
      </c>
      <c r="F19" s="0" t="n">
        <f aca="false">F15+F16+F17+F18</f>
        <v>745.61474510711</v>
      </c>
      <c r="G19" s="0" t="n">
        <f aca="false">G15+G16+G17+G18</f>
        <v>748.059383615658</v>
      </c>
      <c r="H19" s="0" t="n">
        <f aca="false">H15+H16+H17+H18</f>
        <v>755.78487784526</v>
      </c>
      <c r="I19" s="0" t="n">
        <f aca="false">I15+I16+I17+I18</f>
        <v>767.203603590054</v>
      </c>
      <c r="J19" s="0" t="n">
        <f aca="false">J15+J16+J17+J18</f>
        <v>778.748900537283</v>
      </c>
      <c r="K19" s="0" t="n">
        <f aca="false">K15+K16+K17+K18</f>
        <v>794.323878548029</v>
      </c>
      <c r="L19" s="0" t="n">
        <f aca="false">L15+L16+L17+L18</f>
        <v>810.21035611899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694.722663844394</v>
      </c>
      <c r="D21" s="0" t="n">
        <f aca="false">D19*D20</f>
        <v>624.596831770602</v>
      </c>
      <c r="E21" s="0" t="n">
        <f aca="false">E19*E20</f>
        <v>569.78607818273</v>
      </c>
      <c r="F21" s="0" t="n">
        <f aca="false">F19*F20</f>
        <v>523.393958581671</v>
      </c>
      <c r="G21" s="0" t="n">
        <f aca="false">G19*G20</f>
        <v>480.64988956294</v>
      </c>
      <c r="H21" s="0" t="n">
        <f aca="false">H19*H20</f>
        <v>444.497706249132</v>
      </c>
      <c r="I21" s="0" t="n">
        <f aca="false">I19*I20</f>
        <v>413.009950013116</v>
      </c>
      <c r="J21" s="0" t="n">
        <f aca="false">J19*J20</f>
        <v>383.73011285127</v>
      </c>
      <c r="K21" s="0" t="n">
        <f aca="false">K19*K20</f>
        <v>358.265185453818</v>
      </c>
      <c r="L21" s="0" t="n">
        <f aca="false">L19*L20</f>
        <v>334.490150263519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9.25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1.75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4827.14252677319</v>
      </c>
    </row>
    <row r="31" customFormat="false" ht="15" hidden="false" customHeight="false" outlineLevel="0" collapsed="false">
      <c r="A31" s="0" t="s">
        <v>136</v>
      </c>
      <c r="B31" s="0" t="n">
        <f aca="false">L19</f>
        <v>810.21035611899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10991.8538313476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11342.9449856659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10991.8538313476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4537.9163719084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9365.05889868159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9365.05889868159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27.0520236134852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-0.196792648055666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27.0520236134852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6221.80405547979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15.4372493136825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-1.2</v>
      </c>
      <c r="D5" s="4" t="n">
        <f aca="false">Assumptions!D27</f>
        <v>1.5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3.25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1712.317</v>
      </c>
      <c r="C6" s="0" t="n">
        <f aca="false">B6*(1+C5/100)</f>
        <v>1691.769196</v>
      </c>
      <c r="D6" s="0" t="n">
        <f aca="false">C6*(1+D5/100)</f>
        <v>1717.14573394</v>
      </c>
      <c r="E6" s="0" t="n">
        <f aca="false">D6*(1+E5/100)</f>
        <v>1777.2458346279</v>
      </c>
      <c r="F6" s="0" t="n">
        <f aca="false">E6*(1+F5/100)</f>
        <v>1839.44943883988</v>
      </c>
      <c r="G6" s="0" t="n">
        <f aca="false">F6*(1+G5/100)</f>
        <v>1899.23154560217</v>
      </c>
      <c r="H6" s="0" t="n">
        <f aca="false">G6*(1+H5/100)</f>
        <v>1956.20849197024</v>
      </c>
      <c r="I6" s="0" t="n">
        <f aca="false">H6*(1+I5/100)</f>
        <v>2014.89474672934</v>
      </c>
      <c r="J6" s="0" t="n">
        <f aca="false">I6*(1+J5/100)</f>
        <v>2070.3043522644</v>
      </c>
      <c r="K6" s="0" t="n">
        <f aca="false">J6*(1+K5/100)</f>
        <v>2122.06196107101</v>
      </c>
      <c r="L6" s="0" t="n">
        <f aca="false">K6*(1+L5/100)</f>
        <v>2175.11351009779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45.3</v>
      </c>
      <c r="D7" s="4" t="n">
        <f aca="false">Assumptions!D28</f>
        <v>45</v>
      </c>
      <c r="E7" s="4" t="n">
        <f aca="false">Assumptions!E28</f>
        <v>44.8</v>
      </c>
      <c r="F7" s="4" t="n">
        <f aca="false">Assumptions!F28</f>
        <v>44.6</v>
      </c>
      <c r="G7" s="4" t="n">
        <f aca="false">Assumptions!G28</f>
        <v>44.4</v>
      </c>
      <c r="H7" s="4" t="n">
        <f aca="false">Assumptions!H28</f>
        <v>44.3</v>
      </c>
      <c r="I7" s="4" t="n">
        <f aca="false">Assumptions!I28</f>
        <v>44.2</v>
      </c>
      <c r="J7" s="4" t="n">
        <f aca="false">Assumptions!J28</f>
        <v>44</v>
      </c>
      <c r="K7" s="4" t="n">
        <f aca="false">Assumptions!K28</f>
        <v>44</v>
      </c>
      <c r="L7" s="4" t="n">
        <f aca="false">Assumptions!L28</f>
        <v>44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766.371445788</v>
      </c>
      <c r="D8" s="0" t="n">
        <f aca="false">D6*D7/100</f>
        <v>772.715580273</v>
      </c>
      <c r="E8" s="0" t="n">
        <f aca="false">E6*E7/100</f>
        <v>796.206133913299</v>
      </c>
      <c r="F8" s="0" t="n">
        <f aca="false">F6*F7/100</f>
        <v>820.394449722585</v>
      </c>
      <c r="G8" s="0" t="n">
        <f aca="false">G6*G7/100</f>
        <v>843.258806247364</v>
      </c>
      <c r="H8" s="0" t="n">
        <f aca="false">H6*H7/100</f>
        <v>866.600361942815</v>
      </c>
      <c r="I8" s="0" t="n">
        <f aca="false">I6*I7/100</f>
        <v>890.58347805437</v>
      </c>
      <c r="J8" s="0" t="n">
        <f aca="false">J6*J7/100</f>
        <v>910.933914996337</v>
      </c>
      <c r="K8" s="0" t="n">
        <f aca="false">K6*K7/100</f>
        <v>933.707262871245</v>
      </c>
      <c r="L8" s="0" t="n">
        <f aca="false">L6*L7/100</f>
        <v>957.049944443026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766.371445788</v>
      </c>
      <c r="D11" s="0" t="n">
        <f aca="false">D8+D10+D24</f>
        <v>772.715580273</v>
      </c>
      <c r="E11" s="0" t="n">
        <f aca="false">E8+E10+E24</f>
        <v>796.206133913299</v>
      </c>
      <c r="F11" s="0" t="n">
        <f aca="false">F8+F10+F24</f>
        <v>820.394449722585</v>
      </c>
      <c r="G11" s="0" t="n">
        <f aca="false">G8+G10+G24</f>
        <v>843.258806247364</v>
      </c>
      <c r="H11" s="0" t="n">
        <f aca="false">H8+H10+H24</f>
        <v>866.600361942815</v>
      </c>
      <c r="I11" s="0" t="n">
        <f aca="false">I8+I10+I24</f>
        <v>890.58347805437</v>
      </c>
      <c r="J11" s="0" t="n">
        <f aca="false">J8+J10+J24</f>
        <v>910.933914996337</v>
      </c>
      <c r="K11" s="0" t="n">
        <f aca="false">K8+K10+K24</f>
        <v>933.707262871245</v>
      </c>
      <c r="L11" s="0" t="n">
        <f aca="false">L8+L10+L24</f>
        <v>957.049944443026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766.371445788</v>
      </c>
      <c r="D13" s="0" t="n">
        <f aca="false">D11+D12</f>
        <v>772.715580273</v>
      </c>
      <c r="E13" s="0" t="n">
        <f aca="false">E11+E12</f>
        <v>796.206133913299</v>
      </c>
      <c r="F13" s="0" t="n">
        <f aca="false">F11+F12</f>
        <v>820.394449722585</v>
      </c>
      <c r="G13" s="0" t="n">
        <f aca="false">G11+G12</f>
        <v>843.258806247364</v>
      </c>
      <c r="H13" s="0" t="n">
        <f aca="false">H11+H12</f>
        <v>866.600361942815</v>
      </c>
      <c r="I13" s="0" t="n">
        <f aca="false">I11+I12</f>
        <v>890.58347805437</v>
      </c>
      <c r="J13" s="0" t="n">
        <f aca="false">J11+J12</f>
        <v>910.933914996337</v>
      </c>
      <c r="K13" s="0" t="n">
        <f aca="false">K11+K12</f>
        <v>933.707262871245</v>
      </c>
      <c r="L13" s="0" t="n">
        <f aca="false">L11+L12</f>
        <v>957.049944443026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766.371445788</v>
      </c>
      <c r="D15" s="0" t="n">
        <f aca="false">D13-MAX(0,D13)*D14/100</f>
        <v>772.715580273</v>
      </c>
      <c r="E15" s="0" t="n">
        <f aca="false">E13-MAX(0,E13)*E14/100</f>
        <v>796.206133913299</v>
      </c>
      <c r="F15" s="0" t="n">
        <f aca="false">F13-MAX(0,F13)*F14/100</f>
        <v>820.394449722585</v>
      </c>
      <c r="G15" s="0" t="n">
        <f aca="false">G13-MAX(0,G13)*G14/100</f>
        <v>843.258806247364</v>
      </c>
      <c r="H15" s="0" t="n">
        <f aca="false">H13-MAX(0,H13)*H14/100</f>
        <v>866.600361942815</v>
      </c>
      <c r="I15" s="0" t="n">
        <f aca="false">I13-MAX(0,I13)*I14/100</f>
        <v>890.58347805437</v>
      </c>
      <c r="J15" s="0" t="n">
        <f aca="false">J13-MAX(0,J13)*J14/100</f>
        <v>910.933914996337</v>
      </c>
      <c r="K15" s="0" t="n">
        <f aca="false">K13-MAX(0,K13)*K14/100</f>
        <v>933.707262871245</v>
      </c>
      <c r="L15" s="0" t="n">
        <f aca="false">L13-MAX(0,L13)*L14/100</f>
        <v>957.049944443026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766.371445788</v>
      </c>
      <c r="D19" s="0" t="n">
        <f aca="false">D15+D16+D17+D18</f>
        <v>772.715580273</v>
      </c>
      <c r="E19" s="0" t="n">
        <f aca="false">E15+E16+E17+E18</f>
        <v>796.206133913299</v>
      </c>
      <c r="F19" s="0" t="n">
        <f aca="false">F15+F16+F17+F18</f>
        <v>820.394449722585</v>
      </c>
      <c r="G19" s="0" t="n">
        <f aca="false">G15+G16+G17+G18</f>
        <v>843.258806247364</v>
      </c>
      <c r="H19" s="0" t="n">
        <f aca="false">H15+H16+H17+H18</f>
        <v>866.600361942815</v>
      </c>
      <c r="I19" s="0" t="n">
        <f aca="false">I15+I16+I17+I18</f>
        <v>890.58347805437</v>
      </c>
      <c r="J19" s="0" t="n">
        <f aca="false">J15+J16+J17+J18</f>
        <v>910.933914996337</v>
      </c>
      <c r="K19" s="0" t="n">
        <f aca="false">K15+K16+K17+K18</f>
        <v>933.707262871245</v>
      </c>
      <c r="L19" s="0" t="n">
        <f aca="false">L15+L16+L17+L18</f>
        <v>957.049944443026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701.484160904348</v>
      </c>
      <c r="D21" s="0" t="n">
        <f aca="false">D19*D20</f>
        <v>647.40608603323</v>
      </c>
      <c r="E21" s="0" t="n">
        <f aca="false">E19*E20</f>
        <v>610.60616114292</v>
      </c>
      <c r="F21" s="0" t="n">
        <f aca="false">F19*F20</f>
        <v>575.886543897482</v>
      </c>
      <c r="G21" s="0" t="n">
        <f aca="false">G19*G20</f>
        <v>541.818284715237</v>
      </c>
      <c r="H21" s="0" t="n">
        <f aca="false">H19*H20</f>
        <v>509.67131575384</v>
      </c>
      <c r="I21" s="0" t="n">
        <f aca="false">I19*I20</f>
        <v>479.429236297335</v>
      </c>
      <c r="J21" s="0" t="n">
        <f aca="false">J19*J20</f>
        <v>448.864548971339</v>
      </c>
      <c r="K21" s="0" t="n">
        <f aca="false">K19*K20</f>
        <v>421.131499034895</v>
      </c>
      <c r="L21" s="0" t="n">
        <f aca="false">L19*L20</f>
        <v>395.111932732968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9.25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5331.40976948359</v>
      </c>
    </row>
    <row r="31" customFormat="false" ht="15" hidden="false" customHeight="false" outlineLevel="0" collapsed="false">
      <c r="A31" s="0" t="s">
        <v>136</v>
      </c>
      <c r="B31" s="0" t="n">
        <f aca="false">L19</f>
        <v>957.049944443026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14532.9806378385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17226.8989999745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14532.9806378385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5999.84786742654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11331.2576369101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11331.2576369101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32.731609323603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-0.0281588680640453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32.731609323603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7847.80954443282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17.6540806463103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-0.8</v>
      </c>
      <c r="D5" s="4" t="n">
        <f aca="false">Assumptions!D41</f>
        <v>3</v>
      </c>
      <c r="E5" s="4" t="n">
        <f aca="false">Assumptions!E41</f>
        <v>4.5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3.25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1712.317</v>
      </c>
      <c r="C6" s="0" t="n">
        <f aca="false">B6*(1+C5/100)</f>
        <v>1698.618464</v>
      </c>
      <c r="D6" s="0" t="n">
        <f aca="false">C6*(1+D5/100)</f>
        <v>1749.57701792</v>
      </c>
      <c r="E6" s="0" t="n">
        <f aca="false">D6*(1+E5/100)</f>
        <v>1828.3079837264</v>
      </c>
      <c r="F6" s="0" t="n">
        <f aca="false">E6*(1+F5/100)</f>
        <v>1910.58184299409</v>
      </c>
      <c r="G6" s="0" t="n">
        <f aca="false">F6*(1+G5/100)</f>
        <v>1987.00511671385</v>
      </c>
      <c r="H6" s="0" t="n">
        <f aca="false">G6*(1+H5/100)</f>
        <v>2056.55029579884</v>
      </c>
      <c r="I6" s="0" t="n">
        <f aca="false">H6*(1+I5/100)</f>
        <v>2123.3881804123</v>
      </c>
      <c r="J6" s="0" t="n">
        <f aca="false">I6*(1+J5/100)</f>
        <v>2187.08982582467</v>
      </c>
      <c r="K6" s="0" t="n">
        <f aca="false">J6*(1+K5/100)</f>
        <v>2252.70252059941</v>
      </c>
      <c r="L6" s="0" t="n">
        <f aca="false">K6*(1+L5/100)</f>
        <v>2320.28359621739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45.5</v>
      </c>
      <c r="D7" s="4" t="n">
        <f aca="false">Assumptions!D42</f>
        <v>45.6</v>
      </c>
      <c r="E7" s="4" t="n">
        <f aca="false">Assumptions!E42</f>
        <v>45.8</v>
      </c>
      <c r="F7" s="4" t="n">
        <f aca="false">Assumptions!F42</f>
        <v>46</v>
      </c>
      <c r="G7" s="4" t="n">
        <f aca="false">Assumptions!G42</f>
        <v>46</v>
      </c>
      <c r="H7" s="4" t="n">
        <f aca="false">Assumptions!H42</f>
        <v>46</v>
      </c>
      <c r="I7" s="4" t="n">
        <f aca="false">Assumptions!I42</f>
        <v>46</v>
      </c>
      <c r="J7" s="4" t="n">
        <f aca="false">Assumptions!J42</f>
        <v>46</v>
      </c>
      <c r="K7" s="4" t="n">
        <f aca="false">Assumptions!K42</f>
        <v>46</v>
      </c>
      <c r="L7" s="4" t="n">
        <f aca="false">Assumptions!L42</f>
        <v>46</v>
      </c>
    </row>
    <row r="8" customFormat="false" ht="15" hidden="false" customHeight="false" outlineLevel="0" collapsed="false">
      <c r="A8" s="0" t="s">
        <v>43</v>
      </c>
      <c r="C8" s="0" t="n">
        <f aca="false">C6*C7/100</f>
        <v>772.87140112</v>
      </c>
      <c r="D8" s="0" t="n">
        <f aca="false">D6*D7/100</f>
        <v>797.80712017152</v>
      </c>
      <c r="E8" s="0" t="n">
        <f aca="false">E6*E7/100</f>
        <v>837.365056546691</v>
      </c>
      <c r="F8" s="0" t="n">
        <f aca="false">F6*F7/100</f>
        <v>878.86764777728</v>
      </c>
      <c r="G8" s="0" t="n">
        <f aca="false">G6*G7/100</f>
        <v>914.022353688372</v>
      </c>
      <c r="H8" s="0" t="n">
        <f aca="false">H6*H7/100</f>
        <v>946.013136067464</v>
      </c>
      <c r="I8" s="0" t="n">
        <f aca="false">I6*I7/100</f>
        <v>976.758562989657</v>
      </c>
      <c r="J8" s="0" t="n">
        <f aca="false">J6*J7/100</f>
        <v>1006.06131987935</v>
      </c>
      <c r="K8" s="0" t="n">
        <f aca="false">K6*K7/100</f>
        <v>1036.24315947573</v>
      </c>
      <c r="L8" s="0" t="n">
        <f aca="false">L6*L7/100</f>
        <v>1067.33045426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772.87140112</v>
      </c>
      <c r="D11" s="0" t="n">
        <f aca="false">D8+D10+D24</f>
        <v>797.80712017152</v>
      </c>
      <c r="E11" s="0" t="n">
        <f aca="false">E8+E10+E24</f>
        <v>837.365056546691</v>
      </c>
      <c r="F11" s="0" t="n">
        <f aca="false">F8+F10+F24</f>
        <v>878.86764777728</v>
      </c>
      <c r="G11" s="0" t="n">
        <f aca="false">G8+G10+G24</f>
        <v>914.022353688372</v>
      </c>
      <c r="H11" s="0" t="n">
        <f aca="false">H8+H10+H24</f>
        <v>946.013136067464</v>
      </c>
      <c r="I11" s="0" t="n">
        <f aca="false">I8+I10+I24</f>
        <v>976.758562989657</v>
      </c>
      <c r="J11" s="0" t="n">
        <f aca="false">J8+J10+J24</f>
        <v>1006.06131987935</v>
      </c>
      <c r="K11" s="0" t="n">
        <f aca="false">K8+K10+K24</f>
        <v>1036.24315947573</v>
      </c>
      <c r="L11" s="0" t="n">
        <f aca="false">L8+L10+L24</f>
        <v>1067.33045426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772.87140112</v>
      </c>
      <c r="D13" s="0" t="n">
        <f aca="false">D11+D12</f>
        <v>797.80712017152</v>
      </c>
      <c r="E13" s="0" t="n">
        <f aca="false">E11+E12</f>
        <v>837.365056546691</v>
      </c>
      <c r="F13" s="0" t="n">
        <f aca="false">F11+F12</f>
        <v>878.86764777728</v>
      </c>
      <c r="G13" s="0" t="n">
        <f aca="false">G11+G12</f>
        <v>914.022353688372</v>
      </c>
      <c r="H13" s="0" t="n">
        <f aca="false">H11+H12</f>
        <v>946.013136067464</v>
      </c>
      <c r="I13" s="0" t="n">
        <f aca="false">I11+I12</f>
        <v>976.758562989657</v>
      </c>
      <c r="J13" s="0" t="n">
        <f aca="false">J11+J12</f>
        <v>1006.06131987935</v>
      </c>
      <c r="K13" s="0" t="n">
        <f aca="false">K11+K12</f>
        <v>1036.24315947573</v>
      </c>
      <c r="L13" s="0" t="n">
        <f aca="false">L11+L12</f>
        <v>1067.33045426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772.87140112</v>
      </c>
      <c r="D15" s="0" t="n">
        <f aca="false">D13-MAX(0,D13)*D14/100</f>
        <v>797.80712017152</v>
      </c>
      <c r="E15" s="0" t="n">
        <f aca="false">E13-MAX(0,E13)*E14/100</f>
        <v>837.365056546691</v>
      </c>
      <c r="F15" s="0" t="n">
        <f aca="false">F13-MAX(0,F13)*F14/100</f>
        <v>878.86764777728</v>
      </c>
      <c r="G15" s="0" t="n">
        <f aca="false">G13-MAX(0,G13)*G14/100</f>
        <v>914.022353688372</v>
      </c>
      <c r="H15" s="0" t="n">
        <f aca="false">H13-MAX(0,H13)*H14/100</f>
        <v>946.013136067464</v>
      </c>
      <c r="I15" s="0" t="n">
        <f aca="false">I13-MAX(0,I13)*I14/100</f>
        <v>976.758562989657</v>
      </c>
      <c r="J15" s="0" t="n">
        <f aca="false">J13-MAX(0,J13)*J14/100</f>
        <v>1006.06131987935</v>
      </c>
      <c r="K15" s="0" t="n">
        <f aca="false">K13-MAX(0,K13)*K14/100</f>
        <v>1036.24315947573</v>
      </c>
      <c r="L15" s="0" t="n">
        <f aca="false">L13-MAX(0,L13)*L14/100</f>
        <v>1067.33045426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772.87140112</v>
      </c>
      <c r="D19" s="0" t="n">
        <f aca="false">D15+D16+D17+D18</f>
        <v>797.80712017152</v>
      </c>
      <c r="E19" s="0" t="n">
        <f aca="false">E15+E16+E17+E18</f>
        <v>837.365056546691</v>
      </c>
      <c r="F19" s="0" t="n">
        <f aca="false">F15+F16+F17+F18</f>
        <v>878.86764777728</v>
      </c>
      <c r="G19" s="0" t="n">
        <f aca="false">G15+G16+G17+G18</f>
        <v>914.022353688372</v>
      </c>
      <c r="H19" s="0" t="n">
        <f aca="false">H15+H16+H17+H18</f>
        <v>946.013136067464</v>
      </c>
      <c r="I19" s="0" t="n">
        <f aca="false">I15+I16+I17+I18</f>
        <v>976.758562989657</v>
      </c>
      <c r="J19" s="0" t="n">
        <f aca="false">J15+J16+J17+J18</f>
        <v>1006.06131987935</v>
      </c>
      <c r="K19" s="0" t="n">
        <f aca="false">K15+K16+K17+K18</f>
        <v>1036.24315947573</v>
      </c>
      <c r="L19" s="0" t="n">
        <f aca="false">L15+L16+L17+L18</f>
        <v>1067.33045426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707.433776768879</v>
      </c>
      <c r="D21" s="0" t="n">
        <f aca="false">D19*D20</f>
        <v>668.428589076987</v>
      </c>
      <c r="E21" s="0" t="n">
        <f aca="false">E19*E20</f>
        <v>642.170715440477</v>
      </c>
      <c r="F21" s="0" t="n">
        <f aca="false">F19*F20</f>
        <v>616.932565051987</v>
      </c>
      <c r="G21" s="0" t="n">
        <f aca="false">G19*G20</f>
        <v>587.285920049488</v>
      </c>
      <c r="H21" s="0" t="n">
        <f aca="false">H19*H20</f>
        <v>556.376134783726</v>
      </c>
      <c r="I21" s="0" t="n">
        <f aca="false">I19*I20</f>
        <v>525.820008388281</v>
      </c>
      <c r="J21" s="0" t="n">
        <f aca="false">J19*J20</f>
        <v>495.738772210462</v>
      </c>
      <c r="K21" s="0" t="n">
        <f aca="false">K19*K20</f>
        <v>467.378430550824</v>
      </c>
      <c r="L21" s="0" t="n">
        <f aca="false">L19*L20</f>
        <v>440.640534066223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9.25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5708.20544638733</v>
      </c>
    </row>
    <row r="31" customFormat="false" ht="15" hidden="false" customHeight="false" outlineLevel="0" collapsed="false">
      <c r="A31" s="0" t="s">
        <v>136</v>
      </c>
      <c r="B31" s="0" t="n">
        <f aca="false">L19</f>
        <v>1067.33045426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17589.6058862048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21346.6090852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17589.6058862048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7261.75600141136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12969.9614477987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12969.9614477987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37.4651891832989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0.112386852235715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37.4651891832989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9161.25306573166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19.3849307332772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27.0520236134852</v>
      </c>
      <c r="C4" s="0" t="n">
        <f aca="false">B4/Assumptions!$B$2-1</f>
        <v>-0.196792648055666</v>
      </c>
      <c r="D4" s="4" t="n">
        <f aca="false">Assumptions!$B$24</f>
        <v>0.25</v>
      </c>
      <c r="E4" s="4" t="n">
        <f aca="false">DCF_Bear!$B$43</f>
        <v>27.0520236134852</v>
      </c>
      <c r="F4" s="4" t="n">
        <f aca="false">DCF_Bear!$B$47</f>
        <v>15.4372493136825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32.731609323603</v>
      </c>
      <c r="C5" s="0" t="n">
        <f aca="false">B5/Assumptions!$B$2-1</f>
        <v>-0.0281588680640453</v>
      </c>
      <c r="D5" s="4" t="n">
        <f aca="false">Assumptions!$B$38</f>
        <v>0.5</v>
      </c>
      <c r="E5" s="4" t="n">
        <f aca="false">DCF_Base!$B$43</f>
        <v>32.731609323603</v>
      </c>
      <c r="F5" s="4" t="n">
        <f aca="false">DCF_Base!$B$47</f>
        <v>17.6540806463103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37.4651891832989</v>
      </c>
      <c r="C6" s="0" t="n">
        <f aca="false">B6/Assumptions!$B$2-1</f>
        <v>0.112386852235715</v>
      </c>
      <c r="D6" s="4" t="n">
        <f aca="false">Assumptions!$B$52</f>
        <v>0.25</v>
      </c>
      <c r="E6" s="4" t="n">
        <f aca="false">DCF_Bull!$B$43</f>
        <v>37.4651891832989</v>
      </c>
      <c r="F6" s="4" t="n">
        <f aca="false">DCF_Bull!$B$47</f>
        <v>19.3849307332772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32.4951078609975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32.4951078609975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-0.0364637084471624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17.5325853348951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33.9925598847392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32.731609323603</v>
      </c>
      <c r="C16" s="3" t="n">
        <v>9.25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29.4532735456467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25.9823642199551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23.2424355167994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17.6540806463103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41.1455339190756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41.623077475635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41.623077475635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41.623077475635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41.623077475635</v>
      </c>
    </row>
    <row r="25" customFormat="false" ht="15" hidden="false" customHeight="false" outlineLevel="0" collapsed="false">
      <c r="A25" s="3" t="n">
        <v>8.25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34.9436769448664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36.5489869634068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38.4334813329976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38.651090382604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38.651090382604</v>
      </c>
    </row>
    <row r="26" customFormat="false" ht="15" hidden="false" customHeight="false" outlineLevel="0" collapsed="false">
      <c r="A26" s="3" t="n">
        <v>9.25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30.3480533170331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31.4576397338846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32.731609323603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34.2094140476763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35.9442282889797</v>
      </c>
    </row>
    <row r="27" customFormat="false" ht="15" hidden="false" customHeight="false" outlineLevel="0" collapsed="false">
      <c r="A27" s="3" t="n">
        <v>10.25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26.807567583797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27.6032219798883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28.5015414593461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29.5237670739016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30.6974335202431</v>
      </c>
    </row>
    <row r="28" customFormat="false" ht="15" hidden="false" customHeight="false" outlineLevel="0" collapsed="false">
      <c r="A28" s="3" t="n">
        <v>11.25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23.9972452257736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24.5843928746503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25.2386431119701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25.9721964083588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26.8004017429913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2026-10-02T10:02:45Z</dcterms:created>
  <dc:creator>openpyxl</dc:creator>
  <dc:description/>
  <dc:language>en-NZ</dc:language>
  <cp:lastModifiedBy/>
  <dcterms:modified xsi:type="dcterms:W3CDTF">2026-10-02T10:02:45Z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