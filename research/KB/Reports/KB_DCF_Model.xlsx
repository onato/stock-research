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<sst xmlns="http://schemas.openxmlformats.org/spreadsheetml/2006/main" count="371" uniqueCount="176">
  <si>
    <t xml:space="preserve">Ticker</t>
  </si>
  <si>
    <t xml:space="preserve">KB</t>
  </si>
  <si>
    <t xml:space="preserve">Company</t>
  </si>
  <si>
    <t xml:space="preserve">KB Financial Group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</si>
  <si>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</si>
  <si>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</si>
  <si>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</si>
  <si>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</si>
  <si>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(Yahoo Finance chart API)</t>
  </si>
  <si>
    <t xml:space="preserve">Balance sheet date</t>
  </si>
  <si>
    <t xml:space="preserve">2026-06-30</t>
  </si>
  <si>
    <t xml:space="preserve">Model</t>
  </si>
  <si>
    <t xml:space="preserve">Bank FCFE at cost of equity (engine route): NI to common shareholders less CET1 retention, net debt zero, per ADS (1 ADS = 1 common share), KRW flows converted to USD</t>
  </si>
  <si>
    <t xml:space="preserve">Currency (model)</t>
  </si>
  <si>
    <t xml:space="preserve">KRW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</si>
  <si>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</si>
  <si>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</si>
  <si>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</si>
  <si>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</si>
  <si>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</si>
  <si>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</si>
  <si>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</si>
  <si>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2026-10-03T23:17:44Z</t>
  </si>
  <si>
    <t xml:space="preserve">Drivers file</t>
  </si>
  <si>
    <t xml:space="preserve">KB_Drivers.json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</si>
  <si>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</si>
  <si>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</si>
  <si>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</si>
  <si>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Korean bank is worth its tangible common equity plus the present value of returns earned above the cost of equity. KB earns ~11% ROTE against a ~10% KRW cost of equity, so fair value is close to 1.0-1.1x tangible book; the market price (~1.07x local P/TBV) already discounts the base case. Upside requires ROTE moving durably toward 13%.
key_risks_to_valuation: Korean household-debt and real-estate PF credit cycle (provisions back to FY2023's 3.1tn would cut NI by ~0.8tn); BOK easing compressing NIM on a mostly floating-rate book; Brokerage/FVTPL gains in H1-2026 at records; reversion lowers TTM-based earnings; Recurring government-directed compensation and support programs acting as a levy; KRW/USD translation for ADR holders (USD value moves ~1:1 with the won); Leadership change: EGM 2026-11-20 to appoint Jae Keun Lee as executive director</t>
  </si>
  <si>
    <t xml:space="preserve">Data sources</t>
  </si>
  <si>
    <t xml:space="preserve">price: Yahoo Finance chart API at inputs.price_as_of (NYSE KB ADS); 52-week range 77.44-133.29. Local 105560.KS and KRW=X from the same API for the parity check.
financials: KB_Metrics.csv / KB.duckdb (FY2015-FY2025, 20-F); 20-F FY2025 statements and capital adequacy note; H1-2026 half-year report 6-K (SEC accession 0001193125-26-350220) and preliminary results 6-Ks (Q1: 0001193125-26-171722; Q2: 0001193125-26-313193); share count from 6-Ks 0001193125-26-313200/-313202/-313206.
qualitative: KB_Analysis.json (2026-10-04).</t>
  </si>
  <si>
    <t xml:space="preserve">Scenario narrative: bear</t>
  </si>
  <si>
    <t xml:space="preserve">Household-debt/PF credit cycle, NIM compression and recurring policy levies push ROTE to ~9-10%; value below tangible book.</t>
  </si>
  <si>
    <t xml:space="preserve">Scenario narrative: base</t>
  </si>
  <si>
    <t xml:space="preserve">Mid-single-digit growth, credit costs normalising modestly, ROTE ~11% against a 10% KRW cost of equity, everything above ~13.5% CET1 distributed. Value slightly above tangible book.</t>
  </si>
  <si>
    <t xml:space="preserve">Scenario narrative: bull</t>
  </si>
  <si>
    <t xml:space="preserve">Structurally higher fee and trading income plus RoRWA discipline take ROTE toward the 13% medium-term target; Korea-discount narrowing sustained by Value-Up payouts.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</si>
  <si>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</si>
  <si>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</si>
  <si>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</si>
  <si>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</si>
  <si>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</si>
  <si>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</si>
  <si>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</si>
  <si>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</si>
  <si>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</si>
  <si>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</si>
  <si>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</si>
  <si>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</si>
  <si>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</si>
  <si>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</si>
  <si>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</si>
  <si>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</si>
  <si>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</si>
  <si>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</si>
  <si>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</si>
  <si>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</si>
  <si>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</si>
  <si>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</si>
  <si>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</si>
  <si>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</si>
  <si>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</si>
  <si>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</si>
  <si>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</si>
  <si>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CapexIntangibles</t>
  </si>
  <si>
    <t xml:space="preserve">CapexPPE</t>
  </si>
  <si>
    <t xml:space="preserve">CreditImpairmentCharge</t>
  </si>
  <si>
    <t xml:space="preserve">Deposits</t>
  </si>
  <si>
    <t xml:space="preserve">NetInterestIncome</t>
  </si>
  <si>
    <t xml:space="preserve">OperatingExpenses</t>
  </si>
  <si>
    <t xml:space="preserve">PrePCLProfit</t>
  </si>
  <si>
    <t xml:space="preserve">ProfitForPeriodTotal</t>
  </si>
  <si>
    <t xml:space="preserve">TotalEquityInclNCI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</si>
  <si>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</si>
  <si>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</si>
  <si>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</si>
  <si>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</si>
  <si>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</si>
  <si>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</si>
  <si>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</si>
  <si>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</si>
  <si>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</si>
  <si>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</si>
  <si>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</si>
  <si>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</si>
  <si>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</si>
  <si>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</si>
  <si>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</si>
  <si>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</si>
  <si>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</si>
  <si>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</si>
  <si>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</si>
  <si>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</si>
  <si>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</t>
  </si>
  <si>
    <t xml:space="preserve">Currency / units</t>
  </si>
  <si>
    <t xml:space="preserve">KRW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</si>
  <si>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</si>
  <si>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</si>
  <si>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</si>
  <si>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</si>
  <si>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</si>
  <si>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</si>
  <si>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</si>
  <si>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</si>
  <si>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</si>
  <si>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</si>
  <si>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</si>
  <si>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</si>
  <si>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</si>
  <si>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</si>
  <si>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</si>
  <si>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</si>
  <si>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</si>
  <si>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</si>
  <si>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</si>
  <si>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</si>
  <si>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</si>
  <si>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</si>
  <si>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</si>
  <si>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</si>
  <si>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</si>
  <si>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</si>
  <si>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KB owner-FCF component DCF: bear case (millions, KRW)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</si>
  <si>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</si>
  <si>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</si>
  <si>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</si>
  <si>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</si>
  <si>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</si>
  <si>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</si>
  <si>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</si>
  <si>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</si>
  <si>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</si>
  <si>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</si>
  <si>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</si>
  <si>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</si>
  <si>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</si>
  <si>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</si>
  <si>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</si>
  <si>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</si>
  <si>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</si>
  <si>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</si>
  <si>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</si>
  <si>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</si>
  <si>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</si>
  <si>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</si>
  <si>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</si>
  <si>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</si>
  <si>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</si>
  <si>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</si>
  <si>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</si>
  <si>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</si>
  <si>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</si>
  <si>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</si>
  <si>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KB owner-FCF component DCF: base case (millions, KRW)</t>
  </si>
  <si>
    <t xml:space="preserve">KB owner-FCF component DCF: bull case (millions, KRW)</t>
  </si>
  <si>
    <t xml:space="preserve">KB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</si>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</sst>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123.88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  <c r="AK1" s="2" t="s">
        <v>72</v>
      </c>
    </row>
    <row r="2" customFormat="false" ht="15" hidden="false" customHeight="false" outlineLevel="0" collapsed="false">
      <c r="A2" s="0" t="s">
        <v>73</v>
      </c>
      <c r="B2" s="0" t="n">
        <v>7381949</v>
      </c>
      <c r="F2" s="0" t="n">
        <v>1821134</v>
      </c>
      <c r="G2" s="0" t="n">
        <v>24.7</v>
      </c>
      <c r="I2" s="0" t="n">
        <v>1698318</v>
      </c>
      <c r="J2" s="0" t="n">
        <v>23</v>
      </c>
      <c r="K2" s="0" t="n">
        <v>4396</v>
      </c>
      <c r="L2" s="0" t="n">
        <v>2193631</v>
      </c>
      <c r="M2" s="0" t="n">
        <v>281336</v>
      </c>
      <c r="O2" s="0" t="n">
        <v>28680621</v>
      </c>
      <c r="P2" s="0" t="n">
        <v>329065467</v>
      </c>
      <c r="Q2" s="0" t="n">
        <v>300162745</v>
      </c>
      <c r="R2" s="0" t="n">
        <v>48841346</v>
      </c>
      <c r="S2" s="0" t="n">
        <v>16316066</v>
      </c>
      <c r="T2" s="0" t="n">
        <v>386.3</v>
      </c>
      <c r="U2" s="0" t="n">
        <v>17429</v>
      </c>
      <c r="AA2" s="0" t="s">
        <v>18</v>
      </c>
      <c r="AB2" s="0" t="s">
        <v>14</v>
      </c>
      <c r="AC2" s="0" t="n">
        <v>52126</v>
      </c>
      <c r="AD2" s="0" t="n">
        <v>229210</v>
      </c>
      <c r="AE2" s="0" t="n">
        <v>1037231</v>
      </c>
      <c r="AG2" s="0" t="n">
        <v>6203199</v>
      </c>
      <c r="AH2" s="0" t="n">
        <v>4523584</v>
      </c>
      <c r="AI2" s="0" t="n">
        <v>2858365</v>
      </c>
      <c r="AJ2" s="0" t="n">
        <v>1727306</v>
      </c>
      <c r="AK2" s="0" t="n">
        <v>28902722</v>
      </c>
    </row>
    <row r="3" customFormat="false" ht="15" hidden="false" customHeight="false" outlineLevel="0" collapsed="false">
      <c r="A3" s="0" t="s">
        <v>74</v>
      </c>
      <c r="B3" s="0" t="n">
        <v>7444942</v>
      </c>
      <c r="F3" s="0" t="n">
        <v>1676948</v>
      </c>
      <c r="G3" s="0" t="n">
        <v>22.5</v>
      </c>
      <c r="I3" s="0" t="n">
        <v>2143744</v>
      </c>
      <c r="J3" s="0" t="n">
        <v>28.8</v>
      </c>
      <c r="K3" s="0" t="n">
        <v>5588</v>
      </c>
      <c r="L3" s="0" t="n">
        <v>1124987</v>
      </c>
      <c r="M3" s="0" t="n">
        <v>508760</v>
      </c>
      <c r="O3" s="0" t="n">
        <v>30998044</v>
      </c>
      <c r="P3" s="0" t="n">
        <v>375673656</v>
      </c>
      <c r="Q3" s="0" t="n">
        <v>344412253</v>
      </c>
      <c r="R3" s="0" t="n">
        <v>61243543</v>
      </c>
      <c r="S3" s="0" t="n">
        <v>17884863</v>
      </c>
      <c r="T3" s="0" t="n">
        <v>383.6</v>
      </c>
      <c r="U3" s="0" t="n">
        <v>38190</v>
      </c>
      <c r="AA3" s="0" t="s">
        <v>18</v>
      </c>
      <c r="AB3" s="0" t="s">
        <v>14</v>
      </c>
      <c r="AC3" s="0" t="n">
        <v>111603</v>
      </c>
      <c r="AD3" s="0" t="n">
        <v>397157</v>
      </c>
      <c r="AE3" s="0" t="n">
        <v>539283</v>
      </c>
      <c r="AF3" s="0" t="n">
        <v>239729695</v>
      </c>
      <c r="AG3" s="0" t="n">
        <v>6402529</v>
      </c>
      <c r="AH3" s="0" t="n">
        <v>5228711</v>
      </c>
      <c r="AI3" s="0" t="n">
        <v>2216231</v>
      </c>
      <c r="AJ3" s="0" t="n">
        <v>2190180</v>
      </c>
      <c r="AK3" s="0" t="n">
        <v>31261403</v>
      </c>
    </row>
    <row r="4" customFormat="false" ht="15" hidden="false" customHeight="false" outlineLevel="0" collapsed="false">
      <c r="A4" s="0" t="s">
        <v>75</v>
      </c>
      <c r="B4" s="0" t="n">
        <v>10192182</v>
      </c>
      <c r="F4" s="0" t="n">
        <v>4015274</v>
      </c>
      <c r="G4" s="0" t="n">
        <v>39.4</v>
      </c>
      <c r="I4" s="0" t="n">
        <v>3311438</v>
      </c>
      <c r="J4" s="0" t="n">
        <v>32.5</v>
      </c>
      <c r="K4" s="0" t="n">
        <v>8305</v>
      </c>
      <c r="L4" s="0" t="n">
        <v>-4836025</v>
      </c>
      <c r="M4" s="0" t="n">
        <v>410262</v>
      </c>
      <c r="O4" s="0" t="n">
        <v>34038685</v>
      </c>
      <c r="P4" s="0" t="n">
        <v>436785609</v>
      </c>
      <c r="Q4" s="0" t="n">
        <v>402740780</v>
      </c>
      <c r="R4" s="0" t="n">
        <v>73813652</v>
      </c>
      <c r="S4" s="0" t="n">
        <v>19817825</v>
      </c>
      <c r="T4" s="0" t="n">
        <v>398.7</v>
      </c>
      <c r="U4" s="0" t="n">
        <v>73370</v>
      </c>
      <c r="AA4" s="0" t="s">
        <v>18</v>
      </c>
      <c r="AB4" s="0" t="s">
        <v>14</v>
      </c>
      <c r="AC4" s="0" t="n">
        <v>111894</v>
      </c>
      <c r="AD4" s="0" t="n">
        <v>298368</v>
      </c>
      <c r="AE4" s="0" t="n">
        <v>548244</v>
      </c>
      <c r="AF4" s="0" t="n">
        <v>255800048</v>
      </c>
      <c r="AG4" s="0" t="n">
        <v>8246614</v>
      </c>
      <c r="AH4" s="0" t="n">
        <v>5628664</v>
      </c>
      <c r="AI4" s="0" t="n">
        <v>4563518</v>
      </c>
      <c r="AJ4" s="0" t="n">
        <v>3343461</v>
      </c>
      <c r="AK4" s="0" t="n">
        <v>34044829</v>
      </c>
    </row>
    <row r="5" customFormat="false" ht="15" hidden="false" customHeight="false" outlineLevel="0" collapsed="false">
      <c r="A5" s="0" t="s">
        <v>76</v>
      </c>
      <c r="B5" s="0" t="n">
        <v>10859687</v>
      </c>
      <c r="F5" s="0" t="n">
        <v>4267481</v>
      </c>
      <c r="G5" s="0" t="n">
        <v>39.3</v>
      </c>
      <c r="I5" s="0" t="n">
        <v>3061191</v>
      </c>
      <c r="J5" s="0" t="n">
        <v>28.2</v>
      </c>
      <c r="K5" s="0" t="n">
        <v>7721</v>
      </c>
      <c r="L5" s="0" t="n">
        <v>-8957618</v>
      </c>
      <c r="M5" s="0" t="n">
        <v>578433</v>
      </c>
      <c r="O5" s="0" t="n">
        <v>35703916</v>
      </c>
      <c r="P5" s="0" t="n">
        <v>479588298</v>
      </c>
      <c r="Q5" s="0" t="n">
        <v>443875271</v>
      </c>
      <c r="R5" s="0" t="n">
        <v>86283531</v>
      </c>
      <c r="S5" s="0" t="n">
        <v>20274490</v>
      </c>
      <c r="T5" s="0" t="n">
        <v>396.5</v>
      </c>
      <c r="U5" s="0" t="n">
        <v>10930</v>
      </c>
      <c r="AA5" s="0" t="s">
        <v>18</v>
      </c>
      <c r="AB5" s="0" t="s">
        <v>14</v>
      </c>
      <c r="AC5" s="0" t="n">
        <v>126163</v>
      </c>
      <c r="AD5" s="0" t="n">
        <v>452270</v>
      </c>
      <c r="AE5" s="0" t="n">
        <v>673694</v>
      </c>
      <c r="AF5" s="0" t="n">
        <v>276770449</v>
      </c>
      <c r="AG5" s="0" t="n">
        <v>8904928</v>
      </c>
      <c r="AH5" s="0" t="n">
        <v>5918512</v>
      </c>
      <c r="AI5" s="0" t="n">
        <v>4941175</v>
      </c>
      <c r="AJ5" s="0" t="n">
        <v>3061946</v>
      </c>
      <c r="AK5" s="0" t="n">
        <v>35713027</v>
      </c>
    </row>
    <row r="6" customFormat="false" ht="15" hidden="false" customHeight="false" outlineLevel="0" collapsed="false">
      <c r="A6" s="0" t="s">
        <v>77</v>
      </c>
      <c r="B6" s="0" t="n">
        <v>11431851</v>
      </c>
      <c r="F6" s="0" t="n">
        <v>4490649</v>
      </c>
      <c r="G6" s="0" t="n">
        <v>39.3</v>
      </c>
      <c r="I6" s="0" t="n">
        <v>3311828</v>
      </c>
      <c r="J6" s="0" t="n">
        <v>29</v>
      </c>
      <c r="K6" s="0" t="n">
        <v>8451</v>
      </c>
      <c r="L6" s="0" t="n">
        <v>9400706</v>
      </c>
      <c r="M6" s="0" t="n">
        <v>942293</v>
      </c>
      <c r="O6" s="0" t="n">
        <v>38533918</v>
      </c>
      <c r="P6" s="0" t="n">
        <v>518538117</v>
      </c>
      <c r="Q6" s="0" t="n">
        <v>479418792</v>
      </c>
      <c r="R6" s="0" t="n">
        <v>88754443</v>
      </c>
      <c r="S6" s="0" t="n">
        <v>20837878</v>
      </c>
      <c r="T6" s="0" t="n">
        <v>391.9</v>
      </c>
      <c r="U6" s="0" t="n">
        <v>49418</v>
      </c>
      <c r="AA6" s="0" t="s">
        <v>18</v>
      </c>
      <c r="AB6" s="0" t="s">
        <v>14</v>
      </c>
      <c r="AC6" s="0" t="n">
        <v>333557</v>
      </c>
      <c r="AD6" s="0" t="n">
        <v>608736</v>
      </c>
      <c r="AE6" s="0" t="n">
        <v>670185</v>
      </c>
      <c r="AF6" s="0" t="n">
        <v>305592771</v>
      </c>
      <c r="AG6" s="0" t="n">
        <v>9196787</v>
      </c>
      <c r="AH6" s="0" t="n">
        <v>6271017</v>
      </c>
      <c r="AI6" s="0" t="n">
        <v>5160834</v>
      </c>
      <c r="AJ6" s="0" t="n">
        <v>3313199</v>
      </c>
      <c r="AK6" s="0" t="n">
        <v>39119325</v>
      </c>
    </row>
    <row r="7" customFormat="false" ht="15" hidden="false" customHeight="false" outlineLevel="0" collapsed="false">
      <c r="A7" s="0" t="s">
        <v>78</v>
      </c>
      <c r="B7" s="0" t="n">
        <v>12492642</v>
      </c>
      <c r="F7" s="0" t="n">
        <v>4634332</v>
      </c>
      <c r="G7" s="0" t="n">
        <v>37.1</v>
      </c>
      <c r="I7" s="0" t="n">
        <v>3468448</v>
      </c>
      <c r="J7" s="0" t="n">
        <v>27.8</v>
      </c>
      <c r="K7" s="0" t="n">
        <v>8843</v>
      </c>
      <c r="L7" s="0" t="n">
        <v>-8410972</v>
      </c>
      <c r="M7" s="0" t="n">
        <v>607721</v>
      </c>
      <c r="O7" s="0" t="n">
        <v>42544574</v>
      </c>
      <c r="P7" s="0" t="n">
        <v>610719944</v>
      </c>
      <c r="Q7" s="0" t="n">
        <v>567317587</v>
      </c>
      <c r="R7" s="0" t="n">
        <v>112587843</v>
      </c>
      <c r="S7" s="0" t="n">
        <v>25608842</v>
      </c>
      <c r="T7" s="0" t="n">
        <v>389.6</v>
      </c>
      <c r="U7" s="0" t="n">
        <v>49364</v>
      </c>
      <c r="AA7" s="0" t="s">
        <v>18</v>
      </c>
      <c r="AB7" s="0" t="s">
        <v>14</v>
      </c>
      <c r="AC7" s="0" t="n">
        <v>182859</v>
      </c>
      <c r="AD7" s="0" t="n">
        <v>424862</v>
      </c>
      <c r="AE7" s="0" t="n">
        <v>1043498</v>
      </c>
      <c r="AG7" s="0" t="n">
        <v>9722274</v>
      </c>
      <c r="AH7" s="0" t="n">
        <v>6814812</v>
      </c>
      <c r="AI7" s="0" t="n">
        <v>5677830</v>
      </c>
      <c r="AJ7" s="0" t="n">
        <v>3515578</v>
      </c>
      <c r="AK7" s="0" t="n">
        <v>43402357</v>
      </c>
    </row>
    <row r="8" customFormat="false" ht="15" hidden="false" customHeight="false" outlineLevel="0" collapsed="false">
      <c r="A8" s="0" t="s">
        <v>79</v>
      </c>
      <c r="B8" s="0" t="n">
        <v>14483603</v>
      </c>
      <c r="F8" s="0" t="n">
        <v>6097617</v>
      </c>
      <c r="G8" s="0" t="n">
        <v>42.1</v>
      </c>
      <c r="I8" s="0" t="n">
        <v>4409543</v>
      </c>
      <c r="J8" s="0" t="n">
        <v>30.4</v>
      </c>
      <c r="K8" s="0" t="n">
        <v>11134</v>
      </c>
      <c r="L8" s="0" t="n">
        <v>-2025390</v>
      </c>
      <c r="M8" s="0" t="n">
        <v>478309</v>
      </c>
      <c r="O8" s="0" t="n">
        <v>47460582</v>
      </c>
      <c r="P8" s="0" t="n">
        <v>663895834</v>
      </c>
      <c r="Q8" s="0" t="n">
        <v>615601914</v>
      </c>
      <c r="R8" s="0" t="n">
        <v>124342562</v>
      </c>
      <c r="S8" s="0" t="n">
        <v>31009374</v>
      </c>
      <c r="T8" s="0" t="n">
        <v>389.6</v>
      </c>
      <c r="U8" s="0" t="n">
        <v>101935</v>
      </c>
      <c r="AA8" s="0" t="s">
        <v>18</v>
      </c>
      <c r="AB8" s="0" t="s">
        <v>14</v>
      </c>
      <c r="AC8" s="0" t="n">
        <v>191696</v>
      </c>
      <c r="AD8" s="0" t="n">
        <v>286613</v>
      </c>
      <c r="AE8" s="0" t="n">
        <v>1185133</v>
      </c>
      <c r="AG8" s="0" t="n">
        <v>11229572</v>
      </c>
      <c r="AH8" s="0" t="n">
        <v>7200853</v>
      </c>
      <c r="AI8" s="0" t="n">
        <v>7282750</v>
      </c>
      <c r="AJ8" s="0" t="n">
        <v>4384381</v>
      </c>
      <c r="AK8" s="0" t="n">
        <v>48293920</v>
      </c>
    </row>
    <row r="9" customFormat="false" ht="15" hidden="false" customHeight="false" outlineLevel="0" collapsed="false">
      <c r="A9" s="0" t="s">
        <v>80</v>
      </c>
      <c r="B9" s="0" t="n">
        <v>15012645</v>
      </c>
      <c r="F9" s="0" t="n">
        <v>5638855</v>
      </c>
      <c r="G9" s="0" t="n">
        <v>37.6</v>
      </c>
      <c r="I9" s="0" t="n">
        <v>4394830</v>
      </c>
      <c r="J9" s="0" t="n">
        <v>29.3</v>
      </c>
      <c r="K9" s="0" t="n">
        <v>10955</v>
      </c>
      <c r="L9" s="0" t="n">
        <v>5686084</v>
      </c>
      <c r="M9" s="0" t="n">
        <v>534195</v>
      </c>
      <c r="O9" s="0" t="n">
        <v>52827699</v>
      </c>
      <c r="P9" s="0" t="n">
        <v>688664826</v>
      </c>
      <c r="Q9" s="0" t="n">
        <v>634557025</v>
      </c>
      <c r="R9" s="0" t="n">
        <v>140415569</v>
      </c>
      <c r="S9" s="0" t="n">
        <v>32474750</v>
      </c>
      <c r="T9" s="0" t="n">
        <v>389.6</v>
      </c>
      <c r="U9" s="0" t="n">
        <v>58275</v>
      </c>
      <c r="AA9" s="0" t="s">
        <v>18</v>
      </c>
      <c r="AB9" s="0" t="s">
        <v>14</v>
      </c>
      <c r="AC9" s="0" t="n">
        <v>237258</v>
      </c>
      <c r="AD9" s="0" t="n">
        <v>296937</v>
      </c>
      <c r="AE9" s="0" t="n">
        <v>1835988</v>
      </c>
      <c r="AG9" s="0" t="n">
        <v>13112934</v>
      </c>
      <c r="AH9" s="0" t="n">
        <v>7537802</v>
      </c>
      <c r="AI9" s="0" t="n">
        <v>7474843</v>
      </c>
      <c r="AJ9" s="0" t="n">
        <v>4173239</v>
      </c>
      <c r="AK9" s="0" t="n">
        <v>54107801</v>
      </c>
    </row>
    <row r="10" customFormat="false" ht="15" hidden="false" customHeight="false" outlineLevel="0" collapsed="false">
      <c r="A10" s="0" t="s">
        <v>81</v>
      </c>
      <c r="B10" s="0" t="n">
        <v>16178836</v>
      </c>
      <c r="F10" s="0" t="n">
        <v>6385021</v>
      </c>
      <c r="G10" s="0" t="n">
        <v>39.5</v>
      </c>
      <c r="I10" s="0" t="n">
        <v>4594835</v>
      </c>
      <c r="J10" s="0" t="n">
        <v>28.4</v>
      </c>
      <c r="K10" s="0" t="n">
        <v>11483</v>
      </c>
      <c r="L10" s="0" t="n">
        <v>4108816</v>
      </c>
      <c r="M10" s="0" t="n">
        <v>680565</v>
      </c>
      <c r="O10" s="0" t="n">
        <v>56929804</v>
      </c>
      <c r="P10" s="0" t="n">
        <v>715738152</v>
      </c>
      <c r="Q10" s="0" t="n">
        <v>656864842</v>
      </c>
      <c r="R10" s="0" t="n">
        <v>138760229</v>
      </c>
      <c r="S10" s="0" t="n">
        <v>29836311</v>
      </c>
      <c r="T10" s="0" t="n">
        <v>384</v>
      </c>
      <c r="U10" s="0" t="n">
        <v>69703</v>
      </c>
      <c r="AA10" s="0" t="s">
        <v>18</v>
      </c>
      <c r="AB10" s="0" t="s">
        <v>14</v>
      </c>
      <c r="AC10" s="0" t="n">
        <v>330427</v>
      </c>
      <c r="AD10" s="0" t="n">
        <v>350138</v>
      </c>
      <c r="AE10" s="0" t="n">
        <v>3146409</v>
      </c>
      <c r="AG10" s="0" t="n">
        <v>12180860</v>
      </c>
      <c r="AH10" s="0" t="n">
        <v>6647406</v>
      </c>
      <c r="AI10" s="0" t="n">
        <v>9531430</v>
      </c>
      <c r="AJ10" s="0" t="n">
        <v>4526334</v>
      </c>
      <c r="AK10" s="0" t="n">
        <v>58873310</v>
      </c>
    </row>
    <row r="11" customFormat="false" ht="15" hidden="false" customHeight="false" outlineLevel="0" collapsed="false">
      <c r="A11" s="0" t="s">
        <v>82</v>
      </c>
      <c r="B11" s="0" t="n">
        <v>17028171</v>
      </c>
      <c r="F11" s="0" t="n">
        <v>8045261</v>
      </c>
      <c r="G11" s="0" t="n">
        <v>47.2</v>
      </c>
      <c r="I11" s="0" t="n">
        <v>5078221</v>
      </c>
      <c r="J11" s="0" t="n">
        <v>29.8</v>
      </c>
      <c r="K11" s="0" t="n">
        <v>12880</v>
      </c>
      <c r="L11" s="0" t="n">
        <v>4020186</v>
      </c>
      <c r="M11" s="0" t="n">
        <v>626909</v>
      </c>
      <c r="O11" s="0" t="n">
        <v>57888952</v>
      </c>
      <c r="P11" s="0" t="n">
        <v>757845532</v>
      </c>
      <c r="Q11" s="0" t="n">
        <v>698030351</v>
      </c>
      <c r="R11" s="0" t="n">
        <v>144248269</v>
      </c>
      <c r="S11" s="0" t="n">
        <v>29869111</v>
      </c>
      <c r="T11" s="0" t="n">
        <v>378.8</v>
      </c>
      <c r="U11" s="0" t="n">
        <v>140453</v>
      </c>
      <c r="AA11" s="0" t="s">
        <v>18</v>
      </c>
      <c r="AB11" s="0" t="s">
        <v>14</v>
      </c>
      <c r="AC11" s="0" t="n">
        <v>289731</v>
      </c>
      <c r="AD11" s="0" t="n">
        <v>337178</v>
      </c>
      <c r="AE11" s="0" t="n">
        <v>2044286</v>
      </c>
      <c r="AF11" s="0" t="n">
        <v>435687897</v>
      </c>
      <c r="AG11" s="0" t="n">
        <v>12826714</v>
      </c>
      <c r="AH11" s="0" t="n">
        <v>6938624</v>
      </c>
      <c r="AI11" s="0" t="n">
        <v>10089547</v>
      </c>
      <c r="AJ11" s="0" t="n">
        <v>5028606</v>
      </c>
      <c r="AK11" s="0" t="n">
        <v>59815181</v>
      </c>
    </row>
    <row r="12" customFormat="false" ht="15" hidden="false" customHeight="false" outlineLevel="0" collapsed="false">
      <c r="A12" s="0" t="s">
        <v>83</v>
      </c>
      <c r="B12" s="0" t="n">
        <v>17945162</v>
      </c>
      <c r="F12" s="0" t="n">
        <v>8517711</v>
      </c>
      <c r="G12" s="0" t="n">
        <v>47.5</v>
      </c>
      <c r="I12" s="0" t="n">
        <v>5833162</v>
      </c>
      <c r="J12" s="0" t="n">
        <v>32.5</v>
      </c>
      <c r="K12" s="0" t="n">
        <v>15410</v>
      </c>
      <c r="L12" s="0" t="n">
        <v>4226378</v>
      </c>
      <c r="M12" s="0" t="n">
        <v>554969</v>
      </c>
      <c r="O12" s="0" t="n">
        <v>59048211</v>
      </c>
      <c r="P12" s="0" t="n">
        <v>797923033</v>
      </c>
      <c r="Q12" s="0" t="n">
        <v>737093044</v>
      </c>
      <c r="R12" s="0" t="n">
        <v>150777666</v>
      </c>
      <c r="S12" s="0" t="n">
        <v>34776877</v>
      </c>
      <c r="T12" s="0" t="n">
        <v>365.4</v>
      </c>
      <c r="U12" s="0" t="n">
        <v>153882</v>
      </c>
      <c r="AA12" s="0" t="s">
        <v>18</v>
      </c>
      <c r="AB12" s="0" t="s">
        <v>14</v>
      </c>
      <c r="AC12" s="0" t="n">
        <v>221529</v>
      </c>
      <c r="AD12" s="0" t="n">
        <v>333440</v>
      </c>
      <c r="AE12" s="0" t="n">
        <v>2362878</v>
      </c>
      <c r="AF12" s="0" t="n">
        <v>462397026</v>
      </c>
      <c r="AG12" s="0" t="n">
        <v>13073093</v>
      </c>
      <c r="AH12" s="0" t="n">
        <v>7064573</v>
      </c>
      <c r="AI12" s="0" t="n">
        <v>10880589</v>
      </c>
      <c r="AJ12" s="0" t="n">
        <v>5840715</v>
      </c>
      <c r="AK12" s="0" t="n">
        <v>60829989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84</v>
      </c>
      <c r="B1" s="2" t="s">
        <v>85</v>
      </c>
    </row>
    <row r="2" customFormat="false" ht="15" hidden="false" customHeight="false" outlineLevel="0" collapsed="false">
      <c r="A2" s="0" t="s">
        <v>86</v>
      </c>
      <c r="B2" s="3" t="n">
        <v>123.88</v>
      </c>
    </row>
    <row r="3" customFormat="false" ht="15" hidden="false" customHeight="false" outlineLevel="0" collapsed="false">
      <c r="A3" s="0" t="s">
        <v>87</v>
      </c>
      <c r="B3" s="3" t="n">
        <v>354.5</v>
      </c>
    </row>
    <row r="4" customFormat="false" ht="15" hidden="false" customHeight="false" outlineLevel="0" collapsed="false">
      <c r="A4" s="0" t="s">
        <v>88</v>
      </c>
      <c r="B4" s="3" t="n">
        <v>0</v>
      </c>
    </row>
    <row r="5" customFormat="false" ht="15" hidden="false" customHeight="false" outlineLevel="0" collapsed="false">
      <c r="A5" s="0" t="s">
        <v>89</v>
      </c>
      <c r="B5" s="3" t="n">
        <v>0</v>
      </c>
    </row>
    <row r="6" customFormat="false" ht="15" hidden="false" customHeight="false" outlineLevel="0" collapsed="false">
      <c r="A6" s="0" t="s">
        <v>90</v>
      </c>
      <c r="B6" s="3" t="n">
        <v>15</v>
      </c>
    </row>
    <row r="7" customFormat="false" ht="15" hidden="false" customHeight="false" outlineLevel="0" collapsed="false">
      <c r="A7" s="0" t="s">
        <v>91</v>
      </c>
      <c r="B7" s="3" t="n">
        <v>18960723</v>
      </c>
    </row>
    <row r="8" customFormat="false" ht="15" hidden="false" customHeight="false" outlineLevel="0" collapsed="false">
      <c r="A8" s="0" t="s">
        <v>92</v>
      </c>
      <c r="B8" s="3" t="s">
        <v>93</v>
      </c>
    </row>
    <row r="9" customFormat="false" ht="15" hidden="false" customHeight="false" outlineLevel="0" collapsed="false">
      <c r="A9" s="0" t="s">
        <v>94</v>
      </c>
      <c r="B9" s="3" t="s">
        <v>95</v>
      </c>
    </row>
    <row r="10" customFormat="false" ht="15" hidden="false" customHeight="false" outlineLevel="0" collapsed="false">
      <c r="A10" s="0" t="s">
        <v>96</v>
      </c>
      <c r="B10" s="3" t="n">
        <v>0.00074487</v>
      </c>
    </row>
    <row r="12" customFormat="false" ht="15" hidden="false" customHeight="false" outlineLevel="0" collapsed="false">
      <c r="A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</row>
    <row r="13" customFormat="false" ht="15" hidden="false" customHeight="false" outlineLevel="0" collapsed="false">
      <c r="A13" s="0" t="s">
        <v>108</v>
      </c>
      <c r="C13" s="3" t="n">
        <v>0</v>
      </c>
      <c r="D13" s="3" t="n">
        <v>1.5</v>
      </c>
      <c r="E13" s="3" t="n">
        <v>2.5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109</v>
      </c>
      <c r="C14" s="3" t="n">
        <v>41</v>
      </c>
      <c r="D14" s="3" t="n">
        <v>40.5</v>
      </c>
      <c r="E14" s="3" t="n">
        <v>40.5</v>
      </c>
      <c r="F14" s="3" t="n">
        <v>40.5</v>
      </c>
      <c r="G14" s="3" t="n">
        <v>40.5</v>
      </c>
      <c r="H14" s="3" t="n">
        <v>40.5</v>
      </c>
      <c r="I14" s="3" t="n">
        <v>40.5</v>
      </c>
      <c r="J14" s="3" t="n">
        <v>40.5</v>
      </c>
      <c r="K14" s="3" t="n">
        <v>40.5</v>
      </c>
      <c r="L14" s="3" t="n">
        <v>40.5</v>
      </c>
    </row>
    <row r="15" customFormat="false" ht="15" hidden="false" customHeight="false" outlineLevel="0" collapsed="false">
      <c r="A15" s="0" t="s">
        <v>110</v>
      </c>
      <c r="C15" s="3" t="n">
        <v>0.81</v>
      </c>
      <c r="D15" s="3" t="n">
        <v>0.81</v>
      </c>
      <c r="E15" s="3" t="n">
        <v>0.81</v>
      </c>
      <c r="F15" s="3" t="n">
        <v>0.81</v>
      </c>
      <c r="G15" s="3" t="n">
        <v>0.81</v>
      </c>
      <c r="H15" s="3" t="n">
        <v>0.81</v>
      </c>
      <c r="I15" s="3" t="n">
        <v>0.81</v>
      </c>
      <c r="J15" s="3" t="n">
        <v>0.81</v>
      </c>
      <c r="K15" s="3" t="n">
        <v>0.81</v>
      </c>
      <c r="L15" s="3" t="n">
        <v>0.81</v>
      </c>
    </row>
    <row r="16" customFormat="false" ht="15" hidden="false" customHeight="false" outlineLevel="0" collapsed="false">
      <c r="A16" s="0" t="s">
        <v>111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112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113</v>
      </c>
      <c r="C18" s="3" t="n">
        <v>0</v>
      </c>
      <c r="D18" s="3" t="n">
        <v>3.96</v>
      </c>
      <c r="E18" s="3" t="n">
        <v>6.54</v>
      </c>
      <c r="F18" s="3" t="n">
        <v>7.81</v>
      </c>
      <c r="G18" s="3" t="n">
        <v>7.81</v>
      </c>
      <c r="H18" s="3" t="n">
        <v>7.81</v>
      </c>
      <c r="I18" s="3" t="n">
        <v>6.54</v>
      </c>
      <c r="J18" s="3" t="n">
        <v>6.54</v>
      </c>
      <c r="K18" s="3" t="n">
        <v>5.25</v>
      </c>
      <c r="L18" s="3" t="n">
        <v>5.25</v>
      </c>
    </row>
    <row r="19" customFormat="false" ht="15" hidden="false" customHeight="false" outlineLevel="0" collapsed="false">
      <c r="A19" s="0" t="s">
        <v>114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115</v>
      </c>
      <c r="B20" s="3" t="n">
        <v>10</v>
      </c>
    </row>
    <row r="21" customFormat="false" ht="15" hidden="false" customHeight="false" outlineLevel="0" collapsed="false">
      <c r="A21" s="0" t="s">
        <v>116</v>
      </c>
      <c r="B21" s="3" t="n">
        <v>2</v>
      </c>
    </row>
    <row r="22" customFormat="false" ht="15" hidden="false" customHeight="false" outlineLevel="0" collapsed="false">
      <c r="A22" s="0" t="s">
        <v>117</v>
      </c>
      <c r="B22" s="3" t="n">
        <v>10</v>
      </c>
    </row>
    <row r="23" customFormat="false" ht="15" hidden="false" customHeight="false" outlineLevel="0" collapsed="false">
      <c r="A23" s="0" t="s">
        <v>118</v>
      </c>
      <c r="B23" s="3" t="n">
        <v>0</v>
      </c>
    </row>
    <row r="24" customFormat="false" ht="15" hidden="false" customHeight="false" outlineLevel="0" collapsed="false">
      <c r="A24" s="0" t="s">
        <v>119</v>
      </c>
      <c r="B24" s="3" t="n">
        <v>0.25</v>
      </c>
    </row>
    <row r="26" customFormat="false" ht="15" hidden="false" customHeight="false" outlineLevel="0" collapsed="false">
      <c r="A26" s="2" t="s">
        <v>120</v>
      </c>
      <c r="C26" s="2" t="s">
        <v>98</v>
      </c>
      <c r="D26" s="2" t="s">
        <v>99</v>
      </c>
      <c r="E26" s="2" t="s">
        <v>100</v>
      </c>
      <c r="F26" s="2" t="s">
        <v>101</v>
      </c>
      <c r="G26" s="2" t="s">
        <v>102</v>
      </c>
      <c r="H26" s="2" t="s">
        <v>103</v>
      </c>
      <c r="I26" s="2" t="s">
        <v>104</v>
      </c>
      <c r="J26" s="2" t="s">
        <v>105</v>
      </c>
      <c r="K26" s="2" t="s">
        <v>106</v>
      </c>
      <c r="L26" s="2" t="s">
        <v>107</v>
      </c>
    </row>
    <row r="27" customFormat="false" ht="15" hidden="false" customHeight="false" outlineLevel="0" collapsed="false">
      <c r="A27" s="0" t="s">
        <v>108</v>
      </c>
      <c r="C27" s="3" t="n">
        <v>3.5</v>
      </c>
      <c r="D27" s="3" t="n">
        <v>4.5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109</v>
      </c>
      <c r="C28" s="3" t="n">
        <v>45.5</v>
      </c>
      <c r="D28" s="3" t="n">
        <v>45</v>
      </c>
      <c r="E28" s="3" t="n">
        <v>44.8</v>
      </c>
      <c r="F28" s="3" t="n">
        <v>44.5</v>
      </c>
      <c r="G28" s="3" t="n">
        <v>44.5</v>
      </c>
      <c r="H28" s="3" t="n">
        <v>44.5</v>
      </c>
      <c r="I28" s="3" t="n">
        <v>44.5</v>
      </c>
      <c r="J28" s="3" t="n">
        <v>44.5</v>
      </c>
      <c r="K28" s="3" t="n">
        <v>44.5</v>
      </c>
      <c r="L28" s="3" t="n">
        <v>44.5</v>
      </c>
    </row>
    <row r="29" customFormat="false" ht="15" hidden="false" customHeight="false" outlineLevel="0" collapsed="false">
      <c r="A29" s="0" t="s">
        <v>110</v>
      </c>
      <c r="C29" s="3" t="n">
        <v>0.81</v>
      </c>
      <c r="D29" s="3" t="n">
        <v>0.81</v>
      </c>
      <c r="E29" s="3" t="n">
        <v>0.81</v>
      </c>
      <c r="F29" s="3" t="n">
        <v>0.81</v>
      </c>
      <c r="G29" s="3" t="n">
        <v>0.81</v>
      </c>
      <c r="H29" s="3" t="n">
        <v>0.81</v>
      </c>
      <c r="I29" s="3" t="n">
        <v>0.81</v>
      </c>
      <c r="J29" s="3" t="n">
        <v>0.81</v>
      </c>
      <c r="K29" s="3" t="n">
        <v>0.81</v>
      </c>
      <c r="L29" s="3" t="n">
        <v>0.81</v>
      </c>
    </row>
    <row r="30" customFormat="false" ht="15" hidden="false" customHeight="false" outlineLevel="0" collapsed="false">
      <c r="A30" s="0" t="s">
        <v>111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112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113</v>
      </c>
      <c r="C32" s="3" t="n">
        <v>9.06</v>
      </c>
      <c r="D32" s="3" t="n">
        <v>11.54</v>
      </c>
      <c r="E32" s="3" t="n">
        <v>11.54</v>
      </c>
      <c r="F32" s="3" t="n">
        <v>10.31</v>
      </c>
      <c r="G32" s="3" t="n">
        <v>10.31</v>
      </c>
      <c r="H32" s="3" t="n">
        <v>9.06</v>
      </c>
      <c r="I32" s="3" t="n">
        <v>9.06</v>
      </c>
      <c r="J32" s="3" t="n">
        <v>7.81</v>
      </c>
      <c r="K32" s="3" t="n">
        <v>7.81</v>
      </c>
      <c r="L32" s="3" t="n">
        <v>6.54</v>
      </c>
    </row>
    <row r="33" customFormat="false" ht="15" hidden="false" customHeight="false" outlineLevel="0" collapsed="false">
      <c r="A33" s="0" t="s">
        <v>114</v>
      </c>
      <c r="C33" s="3" t="n">
        <v>29</v>
      </c>
      <c r="D33" s="3" t="n">
        <v>29</v>
      </c>
      <c r="E33" s="3" t="n">
        <v>29</v>
      </c>
      <c r="F33" s="3" t="n">
        <v>29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115</v>
      </c>
      <c r="B34" s="3" t="n">
        <v>10</v>
      </c>
    </row>
    <row r="35" customFormat="false" ht="15" hidden="false" customHeight="false" outlineLevel="0" collapsed="false">
      <c r="A35" s="0" t="s">
        <v>116</v>
      </c>
      <c r="B35" s="3" t="n">
        <v>2.5</v>
      </c>
    </row>
    <row r="36" customFormat="false" ht="15" hidden="false" customHeight="false" outlineLevel="0" collapsed="false">
      <c r="A36" s="0" t="s">
        <v>117</v>
      </c>
      <c r="B36" s="3" t="n">
        <v>13</v>
      </c>
    </row>
    <row r="37" customFormat="false" ht="15" hidden="false" customHeight="false" outlineLevel="0" collapsed="false">
      <c r="A37" s="0" t="s">
        <v>118</v>
      </c>
      <c r="B37" s="3" t="n">
        <v>0</v>
      </c>
    </row>
    <row r="38" customFormat="false" ht="15" hidden="false" customHeight="false" outlineLevel="0" collapsed="false">
      <c r="A38" s="0" t="s">
        <v>119</v>
      </c>
      <c r="B38" s="3" t="n">
        <v>0.5</v>
      </c>
    </row>
    <row r="40" customFormat="false" ht="15" hidden="false" customHeight="false" outlineLevel="0" collapsed="false">
      <c r="A40" s="2" t="s">
        <v>121</v>
      </c>
      <c r="C40" s="2" t="s">
        <v>98</v>
      </c>
      <c r="D40" s="2" t="s">
        <v>99</v>
      </c>
      <c r="E40" s="2" t="s">
        <v>100</v>
      </c>
      <c r="F40" s="2" t="s">
        <v>101</v>
      </c>
      <c r="G40" s="2" t="s">
        <v>102</v>
      </c>
      <c r="H40" s="2" t="s">
        <v>103</v>
      </c>
      <c r="I40" s="2" t="s">
        <v>104</v>
      </c>
      <c r="J40" s="2" t="s">
        <v>105</v>
      </c>
      <c r="K40" s="2" t="s">
        <v>106</v>
      </c>
      <c r="L40" s="2" t="s">
        <v>107</v>
      </c>
    </row>
    <row r="41" customFormat="false" ht="15" hidden="false" customHeight="false" outlineLevel="0" collapsed="false">
      <c r="A41" s="0" t="s">
        <v>108</v>
      </c>
      <c r="C41" s="3" t="n">
        <v>5</v>
      </c>
      <c r="D41" s="3" t="n">
        <v>5.5</v>
      </c>
      <c r="E41" s="3" t="n">
        <v>5.5</v>
      </c>
      <c r="F41" s="3" t="n">
        <v>5</v>
      </c>
      <c r="G41" s="3" t="n">
        <v>4.5</v>
      </c>
      <c r="H41" s="3" t="n">
        <v>4.5</v>
      </c>
      <c r="I41" s="3" t="n">
        <v>4</v>
      </c>
      <c r="J41" s="3" t="n">
        <v>3.5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109</v>
      </c>
      <c r="C42" s="3" t="n">
        <v>47</v>
      </c>
      <c r="D42" s="3" t="n">
        <v>47.5</v>
      </c>
      <c r="E42" s="3" t="n">
        <v>47.8</v>
      </c>
      <c r="F42" s="3" t="n">
        <v>48</v>
      </c>
      <c r="G42" s="3" t="n">
        <v>48</v>
      </c>
      <c r="H42" s="3" t="n">
        <v>48</v>
      </c>
      <c r="I42" s="3" t="n">
        <v>48</v>
      </c>
      <c r="J42" s="3" t="n">
        <v>48</v>
      </c>
      <c r="K42" s="3" t="n">
        <v>48</v>
      </c>
      <c r="L42" s="3" t="n">
        <v>48</v>
      </c>
    </row>
    <row r="43" customFormat="false" ht="15" hidden="false" customHeight="false" outlineLevel="0" collapsed="false">
      <c r="A43" s="0" t="s">
        <v>110</v>
      </c>
      <c r="C43" s="3" t="n">
        <v>0.81</v>
      </c>
      <c r="D43" s="3" t="n">
        <v>0.81</v>
      </c>
      <c r="E43" s="3" t="n">
        <v>0.81</v>
      </c>
      <c r="F43" s="3" t="n">
        <v>0.81</v>
      </c>
      <c r="G43" s="3" t="n">
        <v>0.81</v>
      </c>
      <c r="H43" s="3" t="n">
        <v>0.81</v>
      </c>
      <c r="I43" s="3" t="n">
        <v>0.81</v>
      </c>
      <c r="J43" s="3" t="n">
        <v>0.81</v>
      </c>
      <c r="K43" s="3" t="n">
        <v>0.81</v>
      </c>
      <c r="L43" s="3" t="n">
        <v>0.81</v>
      </c>
    </row>
    <row r="44" customFormat="false" ht="15" hidden="false" customHeight="false" outlineLevel="0" collapsed="false">
      <c r="A44" s="0" t="s">
        <v>111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112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113</v>
      </c>
      <c r="C46" s="3" t="n">
        <v>12.76</v>
      </c>
      <c r="D46" s="3" t="n">
        <v>13.97</v>
      </c>
      <c r="E46" s="3" t="n">
        <v>13.97</v>
      </c>
      <c r="F46" s="3" t="n">
        <v>12.76</v>
      </c>
      <c r="G46" s="3" t="n">
        <v>11.54</v>
      </c>
      <c r="H46" s="3" t="n">
        <v>11.54</v>
      </c>
      <c r="I46" s="3" t="n">
        <v>10.31</v>
      </c>
      <c r="J46" s="3" t="n">
        <v>9.06</v>
      </c>
      <c r="K46" s="3" t="n">
        <v>9.06</v>
      </c>
      <c r="L46" s="3" t="n">
        <v>7.81</v>
      </c>
    </row>
    <row r="47" customFormat="false" ht="15" hidden="false" customHeight="false" outlineLevel="0" collapsed="false">
      <c r="A47" s="0" t="s">
        <v>114</v>
      </c>
      <c r="C47" s="3" t="n">
        <v>29</v>
      </c>
      <c r="D47" s="3" t="n">
        <v>29</v>
      </c>
      <c r="E47" s="3" t="n">
        <v>29</v>
      </c>
      <c r="F47" s="3" t="n">
        <v>29</v>
      </c>
      <c r="G47" s="3" t="n">
        <v>29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115</v>
      </c>
      <c r="B48" s="3" t="n">
        <v>10</v>
      </c>
    </row>
    <row r="49" customFormat="false" ht="15" hidden="false" customHeight="false" outlineLevel="0" collapsed="false">
      <c r="A49" s="0" t="s">
        <v>116</v>
      </c>
      <c r="B49" s="3" t="n">
        <v>3</v>
      </c>
    </row>
    <row r="50" customFormat="false" ht="15" hidden="false" customHeight="false" outlineLevel="0" collapsed="false">
      <c r="A50" s="0" t="s">
        <v>117</v>
      </c>
      <c r="B50" s="3" t="n">
        <v>15</v>
      </c>
    </row>
    <row r="51" customFormat="false" ht="15" hidden="false" customHeight="false" outlineLevel="0" collapsed="false">
      <c r="A51" s="0" t="s">
        <v>118</v>
      </c>
      <c r="B51" s="3" t="n">
        <v>0</v>
      </c>
    </row>
    <row r="52" customFormat="false" ht="15" hidden="false" customHeight="false" outlineLevel="0" collapsed="false">
      <c r="A52" s="0" t="s">
        <v>119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122</v>
      </c>
    </row>
    <row r="3" customFormat="false" ht="15" hidden="false" customHeight="false" outlineLevel="0" collapsed="false">
      <c r="A3" s="0" t="s">
        <v>123</v>
      </c>
      <c r="B3" s="0" t="s">
        <v>93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Assumptions!C13</f>
        <v>0</v>
      </c>
      <c r="D5" s="4" t="n">
        <f aca="false">Assumptions!D13</f>
        <v>1.5</v>
      </c>
      <c r="E5" s="4" t="n">
        <f aca="false">Assumptions!E13</f>
        <v>2.5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18960723</v>
      </c>
      <c r="C6" s="0" t="n">
        <f aca="false">B6*(1+C5/100)</f>
        <v>18960723</v>
      </c>
      <c r="D6" s="0" t="n">
        <f aca="false">C6*(1+D5/100)</f>
        <v>19245133.845</v>
      </c>
      <c r="E6" s="0" t="n">
        <f aca="false">D6*(1+E5/100)</f>
        <v>19726262.191125</v>
      </c>
      <c r="F6" s="0" t="n">
        <f aca="false">E6*(1+F5/100)</f>
        <v>20318050.0568588</v>
      </c>
      <c r="G6" s="0" t="n">
        <f aca="false">F6*(1+G5/100)</f>
        <v>20927591.5585645</v>
      </c>
      <c r="H6" s="0" t="n">
        <f aca="false">G6*(1+H5/100)</f>
        <v>21555419.3053214</v>
      </c>
      <c r="I6" s="0" t="n">
        <f aca="false">H6*(1+I5/100)</f>
        <v>22094304.7879545</v>
      </c>
      <c r="J6" s="0" t="n">
        <f aca="false">I6*(1+J5/100)</f>
        <v>22646662.4076533</v>
      </c>
      <c r="K6" s="0" t="n">
        <f aca="false">J6*(1+K5/100)</f>
        <v>23099595.6558064</v>
      </c>
      <c r="L6" s="0" t="n">
        <f aca="false">K6*(1+L5/100)</f>
        <v>23561587.5689225</v>
      </c>
    </row>
    <row r="7" customFormat="false" ht="15" hidden="false" customHeight="false" outlineLevel="0" collapsed="false">
      <c r="A7" s="0" t="s">
        <v>109</v>
      </c>
      <c r="C7" s="4" t="n">
        <f aca="false">Assumptions!C14</f>
        <v>41</v>
      </c>
      <c r="D7" s="4" t="n">
        <f aca="false">Assumptions!D14</f>
        <v>40.5</v>
      </c>
      <c r="E7" s="4" t="n">
        <f aca="false">Assumptions!E14</f>
        <v>40.5</v>
      </c>
      <c r="F7" s="4" t="n">
        <f aca="false">Assumptions!F14</f>
        <v>40.5</v>
      </c>
      <c r="G7" s="4" t="n">
        <f aca="false">Assumptions!G14</f>
        <v>40.5</v>
      </c>
      <c r="H7" s="4" t="n">
        <f aca="false">Assumptions!H14</f>
        <v>40.5</v>
      </c>
      <c r="I7" s="4" t="n">
        <f aca="false">Assumptions!I14</f>
        <v>40.5</v>
      </c>
      <c r="J7" s="4" t="n">
        <f aca="false">Assumptions!J14</f>
        <v>40.5</v>
      </c>
      <c r="K7" s="4" t="n">
        <f aca="false">Assumptions!K14</f>
        <v>40.5</v>
      </c>
      <c r="L7" s="4" t="n">
        <f aca="false">Assumptions!L14</f>
        <v>40.5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7773896.43</v>
      </c>
      <c r="D8" s="0" t="n">
        <f aca="false">D6*D7/100</f>
        <v>7794279.207225</v>
      </c>
      <c r="E8" s="0" t="n">
        <f aca="false">E6*E7/100</f>
        <v>7989136.18740562</v>
      </c>
      <c r="F8" s="0" t="n">
        <f aca="false">F6*F7/100</f>
        <v>8228810.27302779</v>
      </c>
      <c r="G8" s="0" t="n">
        <f aca="false">G6*G7/100</f>
        <v>8475674.58121863</v>
      </c>
      <c r="H8" s="0" t="n">
        <f aca="false">H6*H7/100</f>
        <v>8729944.81865519</v>
      </c>
      <c r="I8" s="0" t="n">
        <f aca="false">I6*I7/100</f>
        <v>8948193.43912157</v>
      </c>
      <c r="J8" s="0" t="n">
        <f aca="false">J6*J7/100</f>
        <v>9171898.2750996</v>
      </c>
      <c r="K8" s="0" t="n">
        <f aca="false">K6*K7/100</f>
        <v>9355336.2406016</v>
      </c>
      <c r="L8" s="0" t="n">
        <f aca="false">L6*L7/100</f>
        <v>9542442.96541363</v>
      </c>
    </row>
    <row r="9" customFormat="false" ht="15" hidden="false" customHeight="false" outlineLevel="0" collapsed="false">
      <c r="A9" s="0" t="s">
        <v>110</v>
      </c>
      <c r="C9" s="4" t="n">
        <f aca="false">Assumptions!C15</f>
        <v>0.81</v>
      </c>
      <c r="D9" s="4" t="n">
        <f aca="false">Assumptions!D15</f>
        <v>0.81</v>
      </c>
      <c r="E9" s="4" t="n">
        <f aca="false">Assumptions!E15</f>
        <v>0.81</v>
      </c>
      <c r="F9" s="4" t="n">
        <f aca="false">Assumptions!F15</f>
        <v>0.81</v>
      </c>
      <c r="G9" s="4" t="n">
        <f aca="false">Assumptions!G15</f>
        <v>0.81</v>
      </c>
      <c r="H9" s="4" t="n">
        <f aca="false">Assumptions!H15</f>
        <v>0.81</v>
      </c>
      <c r="I9" s="4" t="n">
        <f aca="false">Assumptions!I15</f>
        <v>0.81</v>
      </c>
      <c r="J9" s="4" t="n">
        <f aca="false">Assumptions!J15</f>
        <v>0.81</v>
      </c>
      <c r="K9" s="4" t="n">
        <f aca="false">Assumptions!K15</f>
        <v>0.81</v>
      </c>
      <c r="L9" s="4" t="n">
        <f aca="false">Assumptions!L15</f>
        <v>0.81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-153581.8563</v>
      </c>
      <c r="D10" s="0" t="n">
        <f aca="false">-D6*D9/100</f>
        <v>-155885.5841445</v>
      </c>
      <c r="E10" s="0" t="n">
        <f aca="false">-E6*E9/100</f>
        <v>-159782.723748112</v>
      </c>
      <c r="F10" s="0" t="n">
        <f aca="false">-F6*F9/100</f>
        <v>-164576.205460556</v>
      </c>
      <c r="G10" s="0" t="n">
        <f aca="false">-G6*G9/100</f>
        <v>-169513.491624373</v>
      </c>
      <c r="H10" s="0" t="n">
        <f aca="false">-H6*H9/100</f>
        <v>-174598.896373104</v>
      </c>
      <c r="I10" s="0" t="n">
        <f aca="false">-I6*I9/100</f>
        <v>-178963.868782431</v>
      </c>
      <c r="J10" s="0" t="n">
        <f aca="false">-J6*J9/100</f>
        <v>-183437.965501992</v>
      </c>
      <c r="K10" s="0" t="n">
        <f aca="false">-K6*K9/100</f>
        <v>-187106.724812032</v>
      </c>
      <c r="L10" s="0" t="n">
        <f aca="false">-L6*L9/100</f>
        <v>-190848.859308273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7620314.5737</v>
      </c>
      <c r="D11" s="0" t="n">
        <f aca="false">D8+D10+D24</f>
        <v>7638393.6230805</v>
      </c>
      <c r="E11" s="0" t="n">
        <f aca="false">E8+E10+E24</f>
        <v>7829353.46365751</v>
      </c>
      <c r="F11" s="0" t="n">
        <f aca="false">F8+F10+F24</f>
        <v>8064234.06756724</v>
      </c>
      <c r="G11" s="0" t="n">
        <f aca="false">G8+G10+G24</f>
        <v>8306161.08959425</v>
      </c>
      <c r="H11" s="0" t="n">
        <f aca="false">H8+H10+H24</f>
        <v>8555345.92228208</v>
      </c>
      <c r="I11" s="0" t="n">
        <f aca="false">I8+I10+I24</f>
        <v>8769229.57033914</v>
      </c>
      <c r="J11" s="0" t="n">
        <f aca="false">J8+J10+J24</f>
        <v>8988460.30959761</v>
      </c>
      <c r="K11" s="0" t="n">
        <f aca="false">K8+K10+K24</f>
        <v>9168229.51578957</v>
      </c>
      <c r="L11" s="0" t="n">
        <f aca="false">L8+L10+L24</f>
        <v>9351594.10610536</v>
      </c>
    </row>
    <row r="12" customFormat="false" ht="15" hidden="false" customHeight="false" outlineLevel="0" collapsed="false">
      <c r="A12" s="0" t="s">
        <v>127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7620314.5737</v>
      </c>
      <c r="D13" s="0" t="n">
        <f aca="false">D11+D12</f>
        <v>7638393.6230805</v>
      </c>
      <c r="E13" s="0" t="n">
        <f aca="false">E11+E12</f>
        <v>7829353.46365751</v>
      </c>
      <c r="F13" s="0" t="n">
        <f aca="false">F11+F12</f>
        <v>8064234.06756724</v>
      </c>
      <c r="G13" s="0" t="n">
        <f aca="false">G11+G12</f>
        <v>8306161.08959425</v>
      </c>
      <c r="H13" s="0" t="n">
        <f aca="false">H11+H12</f>
        <v>8555345.92228208</v>
      </c>
      <c r="I13" s="0" t="n">
        <f aca="false">I11+I12</f>
        <v>8769229.57033914</v>
      </c>
      <c r="J13" s="0" t="n">
        <f aca="false">J11+J12</f>
        <v>8988460.30959761</v>
      </c>
      <c r="K13" s="0" t="n">
        <f aca="false">K11+K12</f>
        <v>9168229.51578957</v>
      </c>
      <c r="L13" s="0" t="n">
        <f aca="false">L11+L12</f>
        <v>9351594.10610536</v>
      </c>
    </row>
    <row r="14" customFormat="false" ht="15" hidden="false" customHeight="false" outlineLevel="0" collapsed="false">
      <c r="A14" s="0" t="s">
        <v>114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5410423.347327</v>
      </c>
      <c r="D15" s="0" t="n">
        <f aca="false">D13-MAX(0,D13)*D14/100</f>
        <v>5423259.47238716</v>
      </c>
      <c r="E15" s="0" t="n">
        <f aca="false">E13-MAX(0,E13)*E14/100</f>
        <v>5558840.95919683</v>
      </c>
      <c r="F15" s="0" t="n">
        <f aca="false">F13-MAX(0,F13)*F14/100</f>
        <v>5725606.18797274</v>
      </c>
      <c r="G15" s="0" t="n">
        <f aca="false">G13-MAX(0,G13)*G14/100</f>
        <v>5897374.37361192</v>
      </c>
      <c r="H15" s="0" t="n">
        <f aca="false">H13-MAX(0,H13)*H14/100</f>
        <v>6074295.60482028</v>
      </c>
      <c r="I15" s="0" t="n">
        <f aca="false">I13-MAX(0,I13)*I14/100</f>
        <v>6226152.99494079</v>
      </c>
      <c r="J15" s="0" t="n">
        <f aca="false">J13-MAX(0,J13)*J14/100</f>
        <v>6381806.8198143</v>
      </c>
      <c r="K15" s="0" t="n">
        <f aca="false">K13-MAX(0,K13)*K14/100</f>
        <v>6509442.95621059</v>
      </c>
      <c r="L15" s="0" t="n">
        <f aca="false">L13-MAX(0,L13)*L14/100</f>
        <v>6639631.8153348</v>
      </c>
    </row>
    <row r="16" customFormat="false" ht="15" hidden="false" customHeight="false" outlineLevel="0" collapsed="false">
      <c r="A16" s="0" t="s">
        <v>130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131</v>
      </c>
      <c r="C17" s="4" t="n">
        <f aca="false">-C6*Assumptions!C18/100</f>
        <v>-0</v>
      </c>
      <c r="D17" s="4" t="n">
        <f aca="false">-D6*Assumptions!D18/100</f>
        <v>-762107.300262</v>
      </c>
      <c r="E17" s="4" t="n">
        <f aca="false">-E6*Assumptions!E18/100</f>
        <v>-1290097.54729957</v>
      </c>
      <c r="F17" s="4" t="n">
        <f aca="false">-F6*Assumptions!F18/100</f>
        <v>-1586839.70944067</v>
      </c>
      <c r="G17" s="4" t="n">
        <f aca="false">-G6*Assumptions!G18/100</f>
        <v>-1634444.90072389</v>
      </c>
      <c r="H17" s="4" t="n">
        <f aca="false">-H6*Assumptions!H18/100</f>
        <v>-1683478.24774561</v>
      </c>
      <c r="I17" s="4" t="n">
        <f aca="false">-I6*Assumptions!I18/100</f>
        <v>-1444967.53313222</v>
      </c>
      <c r="J17" s="4" t="n">
        <f aca="false">-J6*Assumptions!J18/100</f>
        <v>-1481091.72146053</v>
      </c>
      <c r="K17" s="4" t="n">
        <f aca="false">-K6*Assumptions!K18/100</f>
        <v>-1212728.77192984</v>
      </c>
      <c r="L17" s="4" t="n">
        <f aca="false">-L6*Assumptions!L18/100</f>
        <v>-1236983.34736843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5410423.347327</v>
      </c>
      <c r="D19" s="0" t="n">
        <f aca="false">D15+D16+D17+D18</f>
        <v>4661152.17212516</v>
      </c>
      <c r="E19" s="0" t="n">
        <f aca="false">E15+E16+E17+E18</f>
        <v>4268743.41189726</v>
      </c>
      <c r="F19" s="0" t="n">
        <f aca="false">F15+F16+F17+F18</f>
        <v>4138766.47853207</v>
      </c>
      <c r="G19" s="0" t="n">
        <f aca="false">G15+G16+G17+G18</f>
        <v>4262929.47288803</v>
      </c>
      <c r="H19" s="0" t="n">
        <f aca="false">H15+H16+H17+H18</f>
        <v>4390817.35707467</v>
      </c>
      <c r="I19" s="0" t="n">
        <f aca="false">I15+I16+I17+I18</f>
        <v>4781185.46180856</v>
      </c>
      <c r="J19" s="0" t="n">
        <f aca="false">J15+J16+J17+J18</f>
        <v>4900715.09835378</v>
      </c>
      <c r="K19" s="0" t="n">
        <f aca="false">K15+K16+K17+K18</f>
        <v>5296714.18428075</v>
      </c>
      <c r="L19" s="0" t="n">
        <f aca="false">L15+L16+L17+L18</f>
        <v>5402648.46796637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4918566.67938818</v>
      </c>
      <c r="D21" s="0" t="n">
        <f aca="false">D19*D20</f>
        <v>3852191.87778938</v>
      </c>
      <c r="E21" s="0" t="n">
        <f aca="false">E19*E20</f>
        <v>3207170.10660951</v>
      </c>
      <c r="F21" s="0" t="n">
        <f aca="false">F19*F20</f>
        <v>2826833.19345131</v>
      </c>
      <c r="G21" s="0" t="n">
        <f aca="false">G19*G20</f>
        <v>2646943.8084135</v>
      </c>
      <c r="H21" s="0" t="n">
        <f aca="false">H19*H20</f>
        <v>2478501.92969628</v>
      </c>
      <c r="I21" s="0" t="n">
        <f aca="false">I19*I20</f>
        <v>2453504.13449369</v>
      </c>
      <c r="J21" s="0" t="n">
        <f aca="false">J19*J20</f>
        <v>2286219.7616873</v>
      </c>
      <c r="K21" s="0" t="n">
        <f aca="false">K19*K20</f>
        <v>2246323.87075323</v>
      </c>
      <c r="L21" s="0" t="n">
        <f aca="false">L19*L20</f>
        <v>2082954.86197117</v>
      </c>
    </row>
    <row r="23" customFormat="false" ht="15" hidden="false" customHeight="false" outlineLevel="0" collapsed="false">
      <c r="A23" s="0" t="s">
        <v>111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117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28999210.2242536</v>
      </c>
    </row>
    <row r="31" customFormat="false" ht="15" hidden="false" customHeight="false" outlineLevel="0" collapsed="false">
      <c r="A31" s="0" t="s">
        <v>139</v>
      </c>
      <c r="B31" s="0" t="n">
        <f aca="false">L19</f>
        <v>5402648.46796637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68883767.9665712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54026484.6796637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54026484.6796637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20829548.6197117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49828758.8439653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49828758.8439653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104.699429055302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-0.154831861032438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1035060.82562632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938151.336770212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108.845512393537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42390011.0563515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71.7318996206256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123</v>
      </c>
      <c r="B3" s="0" t="s">
        <v>93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Assumptions!C27</f>
        <v>3.5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18960723</v>
      </c>
      <c r="C6" s="0" t="n">
        <f aca="false">B6*(1+C5/100)</f>
        <v>19624348.305</v>
      </c>
      <c r="D6" s="0" t="n">
        <f aca="false">C6*(1+D5/100)</f>
        <v>20507443.978725</v>
      </c>
      <c r="E6" s="0" t="n">
        <f aca="false">D6*(1+E5/100)</f>
        <v>21430278.9577676</v>
      </c>
      <c r="F6" s="0" t="n">
        <f aca="false">E6*(1+F5/100)</f>
        <v>22287490.1160783</v>
      </c>
      <c r="G6" s="0" t="n">
        <f aca="false">F6*(1+G5/100)</f>
        <v>23178989.7207215</v>
      </c>
      <c r="H6" s="0" t="n">
        <f aca="false">G6*(1+H5/100)</f>
        <v>23990254.3609467</v>
      </c>
      <c r="I6" s="0" t="n">
        <f aca="false">H6*(1+I5/100)</f>
        <v>24829913.2635798</v>
      </c>
      <c r="J6" s="0" t="n">
        <f aca="false">I6*(1+J5/100)</f>
        <v>25574810.6614872</v>
      </c>
      <c r="K6" s="0" t="n">
        <f aca="false">J6*(1+K5/100)</f>
        <v>26342054.9813319</v>
      </c>
      <c r="L6" s="0" t="n">
        <f aca="false">K6*(1+L5/100)</f>
        <v>27000606.3558652</v>
      </c>
    </row>
    <row r="7" customFormat="false" ht="15" hidden="false" customHeight="false" outlineLevel="0" collapsed="false">
      <c r="A7" s="0" t="s">
        <v>109</v>
      </c>
      <c r="C7" s="4" t="n">
        <f aca="false">Assumptions!C28</f>
        <v>45.5</v>
      </c>
      <c r="D7" s="4" t="n">
        <f aca="false">Assumptions!D28</f>
        <v>45</v>
      </c>
      <c r="E7" s="4" t="n">
        <f aca="false">Assumptions!E28</f>
        <v>44.8</v>
      </c>
      <c r="F7" s="4" t="n">
        <f aca="false">Assumptions!F28</f>
        <v>44.5</v>
      </c>
      <c r="G7" s="4" t="n">
        <f aca="false">Assumptions!G28</f>
        <v>44.5</v>
      </c>
      <c r="H7" s="4" t="n">
        <f aca="false">Assumptions!H28</f>
        <v>44.5</v>
      </c>
      <c r="I7" s="4" t="n">
        <f aca="false">Assumptions!I28</f>
        <v>44.5</v>
      </c>
      <c r="J7" s="4" t="n">
        <f aca="false">Assumptions!J28</f>
        <v>44.5</v>
      </c>
      <c r="K7" s="4" t="n">
        <f aca="false">Assumptions!K28</f>
        <v>44.5</v>
      </c>
      <c r="L7" s="4" t="n">
        <f aca="false">Assumptions!L28</f>
        <v>44.5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8929078.478775</v>
      </c>
      <c r="D8" s="0" t="n">
        <f aca="false">D6*D7/100</f>
        <v>9228349.79042625</v>
      </c>
      <c r="E8" s="0" t="n">
        <f aca="false">E6*E7/100</f>
        <v>9600764.97307989</v>
      </c>
      <c r="F8" s="0" t="n">
        <f aca="false">F6*F7/100</f>
        <v>9917933.10165486</v>
      </c>
      <c r="G8" s="0" t="n">
        <f aca="false">G6*G7/100</f>
        <v>10314650.425721</v>
      </c>
      <c r="H8" s="0" t="n">
        <f aca="false">H6*H7/100</f>
        <v>10675663.1906213</v>
      </c>
      <c r="I8" s="0" t="n">
        <f aca="false">I6*I7/100</f>
        <v>11049311.402293</v>
      </c>
      <c r="J8" s="0" t="n">
        <f aca="false">J6*J7/100</f>
        <v>11380790.7443618</v>
      </c>
      <c r="K8" s="0" t="n">
        <f aca="false">K6*K7/100</f>
        <v>11722214.4666927</v>
      </c>
      <c r="L8" s="0" t="n">
        <f aca="false">L6*L7/100</f>
        <v>12015269.82836</v>
      </c>
    </row>
    <row r="9" customFormat="false" ht="15" hidden="false" customHeight="false" outlineLevel="0" collapsed="false">
      <c r="A9" s="0" t="s">
        <v>110</v>
      </c>
      <c r="C9" s="4" t="n">
        <f aca="false">Assumptions!C29</f>
        <v>0.81</v>
      </c>
      <c r="D9" s="4" t="n">
        <f aca="false">Assumptions!D29</f>
        <v>0.81</v>
      </c>
      <c r="E9" s="4" t="n">
        <f aca="false">Assumptions!E29</f>
        <v>0.81</v>
      </c>
      <c r="F9" s="4" t="n">
        <f aca="false">Assumptions!F29</f>
        <v>0.81</v>
      </c>
      <c r="G9" s="4" t="n">
        <f aca="false">Assumptions!G29</f>
        <v>0.81</v>
      </c>
      <c r="H9" s="4" t="n">
        <f aca="false">Assumptions!H29</f>
        <v>0.81</v>
      </c>
      <c r="I9" s="4" t="n">
        <f aca="false">Assumptions!I29</f>
        <v>0.81</v>
      </c>
      <c r="J9" s="4" t="n">
        <f aca="false">Assumptions!J29</f>
        <v>0.81</v>
      </c>
      <c r="K9" s="4" t="n">
        <f aca="false">Assumptions!K29</f>
        <v>0.81</v>
      </c>
      <c r="L9" s="4" t="n">
        <f aca="false">Assumptions!L29</f>
        <v>0.81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-158957.2212705</v>
      </c>
      <c r="D10" s="0" t="n">
        <f aca="false">-D6*D9/100</f>
        <v>-166110.296227673</v>
      </c>
      <c r="E10" s="0" t="n">
        <f aca="false">-E6*E9/100</f>
        <v>-173585.259557918</v>
      </c>
      <c r="F10" s="0" t="n">
        <f aca="false">-F6*F9/100</f>
        <v>-180528.669940234</v>
      </c>
      <c r="G10" s="0" t="n">
        <f aca="false">-G6*G9/100</f>
        <v>-187749.816737844</v>
      </c>
      <c r="H10" s="0" t="n">
        <f aca="false">-H6*H9/100</f>
        <v>-194321.060323668</v>
      </c>
      <c r="I10" s="0" t="n">
        <f aca="false">-I6*I9/100</f>
        <v>-201122.297434997</v>
      </c>
      <c r="J10" s="0" t="n">
        <f aca="false">-J6*J9/100</f>
        <v>-207155.966358047</v>
      </c>
      <c r="K10" s="0" t="n">
        <f aca="false">-K6*K9/100</f>
        <v>-213370.645348788</v>
      </c>
      <c r="L10" s="0" t="n">
        <f aca="false">-L6*L9/100</f>
        <v>-218704.911482508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8770121.2575045</v>
      </c>
      <c r="D11" s="0" t="n">
        <f aca="false">D8+D10+D24</f>
        <v>9062239.49419858</v>
      </c>
      <c r="E11" s="0" t="n">
        <f aca="false">E8+E10+E24</f>
        <v>9427179.71352198</v>
      </c>
      <c r="F11" s="0" t="n">
        <f aca="false">F8+F10+F24</f>
        <v>9737404.43171462</v>
      </c>
      <c r="G11" s="0" t="n">
        <f aca="false">G8+G10+G24</f>
        <v>10126900.6089832</v>
      </c>
      <c r="H11" s="0" t="n">
        <f aca="false">H8+H10+H24</f>
        <v>10481342.1302976</v>
      </c>
      <c r="I11" s="0" t="n">
        <f aca="false">I8+I10+I24</f>
        <v>10848189.104858</v>
      </c>
      <c r="J11" s="0" t="n">
        <f aca="false">J8+J10+J24</f>
        <v>11173634.7780038</v>
      </c>
      <c r="K11" s="0" t="n">
        <f aca="false">K8+K10+K24</f>
        <v>11508843.8213439</v>
      </c>
      <c r="L11" s="0" t="n">
        <f aca="false">L8+L10+L24</f>
        <v>11796564.9168775</v>
      </c>
    </row>
    <row r="12" customFormat="false" ht="15" hidden="false" customHeight="false" outlineLevel="0" collapsed="false">
      <c r="A12" s="0" t="s">
        <v>127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8770121.2575045</v>
      </c>
      <c r="D13" s="0" t="n">
        <f aca="false">D11+D12</f>
        <v>9062239.49419858</v>
      </c>
      <c r="E13" s="0" t="n">
        <f aca="false">E11+E12</f>
        <v>9427179.71352198</v>
      </c>
      <c r="F13" s="0" t="n">
        <f aca="false">F11+F12</f>
        <v>9737404.43171462</v>
      </c>
      <c r="G13" s="0" t="n">
        <f aca="false">G11+G12</f>
        <v>10126900.6089832</v>
      </c>
      <c r="H13" s="0" t="n">
        <f aca="false">H11+H12</f>
        <v>10481342.1302976</v>
      </c>
      <c r="I13" s="0" t="n">
        <f aca="false">I11+I12</f>
        <v>10848189.104858</v>
      </c>
      <c r="J13" s="0" t="n">
        <f aca="false">J11+J12</f>
        <v>11173634.7780038</v>
      </c>
      <c r="K13" s="0" t="n">
        <f aca="false">K11+K12</f>
        <v>11508843.8213439</v>
      </c>
      <c r="L13" s="0" t="n">
        <f aca="false">L11+L12</f>
        <v>11796564.9168775</v>
      </c>
    </row>
    <row r="14" customFormat="false" ht="15" hidden="false" customHeight="false" outlineLevel="0" collapsed="false">
      <c r="A14" s="0" t="s">
        <v>114</v>
      </c>
      <c r="C14" s="4" t="n">
        <f aca="false">Assumptions!C33</f>
        <v>29</v>
      </c>
      <c r="D14" s="4" t="n">
        <f aca="false">Assumptions!D33</f>
        <v>29</v>
      </c>
      <c r="E14" s="4" t="n">
        <f aca="false">Assumptions!E33</f>
        <v>29</v>
      </c>
      <c r="F14" s="4" t="n">
        <f aca="false">Assumptions!F33</f>
        <v>29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6226786.0928282</v>
      </c>
      <c r="D15" s="0" t="n">
        <f aca="false">D13-MAX(0,D13)*D14/100</f>
        <v>6434190.04088099</v>
      </c>
      <c r="E15" s="0" t="n">
        <f aca="false">E13-MAX(0,E13)*E14/100</f>
        <v>6693297.5966006</v>
      </c>
      <c r="F15" s="0" t="n">
        <f aca="false">F13-MAX(0,F13)*F14/100</f>
        <v>6913557.14651738</v>
      </c>
      <c r="G15" s="0" t="n">
        <f aca="false">G13-MAX(0,G13)*G14/100</f>
        <v>7190099.43237807</v>
      </c>
      <c r="H15" s="0" t="n">
        <f aca="false">H13-MAX(0,H13)*H14/100</f>
        <v>7441752.91251131</v>
      </c>
      <c r="I15" s="0" t="n">
        <f aca="false">I13-MAX(0,I13)*I14/100</f>
        <v>7702214.2644492</v>
      </c>
      <c r="J15" s="0" t="n">
        <f aca="false">J13-MAX(0,J13)*J14/100</f>
        <v>7933280.69238268</v>
      </c>
      <c r="K15" s="0" t="n">
        <f aca="false">K13-MAX(0,K13)*K14/100</f>
        <v>8171279.11315416</v>
      </c>
      <c r="L15" s="0" t="n">
        <f aca="false">L13-MAX(0,L13)*L14/100</f>
        <v>8375561.09098302</v>
      </c>
    </row>
    <row r="16" customFormat="false" ht="15" hidden="false" customHeight="false" outlineLevel="0" collapsed="false">
      <c r="A16" s="0" t="s">
        <v>130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131</v>
      </c>
      <c r="C17" s="4" t="n">
        <f aca="false">-C6*Assumptions!C32/100</f>
        <v>-1777965.956433</v>
      </c>
      <c r="D17" s="4" t="n">
        <f aca="false">-D6*Assumptions!D32/100</f>
        <v>-2366559.03514486</v>
      </c>
      <c r="E17" s="4" t="n">
        <f aca="false">-E6*Assumptions!E32/100</f>
        <v>-2473054.19172638</v>
      </c>
      <c r="F17" s="4" t="n">
        <f aca="false">-F6*Assumptions!F32/100</f>
        <v>-2297840.23096768</v>
      </c>
      <c r="G17" s="4" t="n">
        <f aca="false">-G6*Assumptions!G32/100</f>
        <v>-2389753.84020638</v>
      </c>
      <c r="H17" s="4" t="n">
        <f aca="false">-H6*Assumptions!H32/100</f>
        <v>-2173517.04510177</v>
      </c>
      <c r="I17" s="4" t="n">
        <f aca="false">-I6*Assumptions!I32/100</f>
        <v>-2249590.14168033</v>
      </c>
      <c r="J17" s="4" t="n">
        <f aca="false">-J6*Assumptions!J32/100</f>
        <v>-1997392.71266215</v>
      </c>
      <c r="K17" s="4" t="n">
        <f aca="false">-K6*Assumptions!K32/100</f>
        <v>-2057314.49404202</v>
      </c>
      <c r="L17" s="4" t="n">
        <f aca="false">-L6*Assumptions!L32/100</f>
        <v>-1765839.65567358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4448820.1363952</v>
      </c>
      <c r="D19" s="0" t="n">
        <f aca="false">D15+D16+D17+D18</f>
        <v>4067631.00573612</v>
      </c>
      <c r="E19" s="0" t="n">
        <f aca="false">E15+E16+E17+E18</f>
        <v>4220243.40487422</v>
      </c>
      <c r="F19" s="0" t="n">
        <f aca="false">F15+F16+F17+F18</f>
        <v>4615716.91554971</v>
      </c>
      <c r="G19" s="0" t="n">
        <f aca="false">G15+G16+G17+G18</f>
        <v>4800345.59217169</v>
      </c>
      <c r="H19" s="0" t="n">
        <f aca="false">H15+H16+H17+H18</f>
        <v>5268235.86740954</v>
      </c>
      <c r="I19" s="0" t="n">
        <f aca="false">I15+I16+I17+I18</f>
        <v>5452624.12276887</v>
      </c>
      <c r="J19" s="0" t="n">
        <f aca="false">J15+J16+J17+J18</f>
        <v>5935887.97972053</v>
      </c>
      <c r="K19" s="0" t="n">
        <f aca="false">K15+K16+K17+K18</f>
        <v>6113964.61911214</v>
      </c>
      <c r="L19" s="0" t="n">
        <f aca="false">L15+L16+L17+L18</f>
        <v>6609721.43530943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4044381.94217745</v>
      </c>
      <c r="D21" s="0" t="n">
        <f aca="false">D19*D20</f>
        <v>3361678.51713729</v>
      </c>
      <c r="E21" s="0" t="n">
        <f aca="false">E19*E20</f>
        <v>3170731.33348927</v>
      </c>
      <c r="F21" s="0" t="n">
        <f aca="false">F19*F20</f>
        <v>3152596.75947661</v>
      </c>
      <c r="G21" s="0" t="n">
        <f aca="false">G19*G20</f>
        <v>2980636.93623243</v>
      </c>
      <c r="H21" s="0" t="n">
        <f aca="false">H19*H20</f>
        <v>2973781.80452693</v>
      </c>
      <c r="I21" s="0" t="n">
        <f aca="false">I19*I20</f>
        <v>2798058.33425943</v>
      </c>
      <c r="J21" s="0" t="n">
        <f aca="false">J19*J20</f>
        <v>2769135.55063787</v>
      </c>
      <c r="K21" s="0" t="n">
        <f aca="false">K19*K20</f>
        <v>2592917.8337791</v>
      </c>
      <c r="L21" s="0" t="n">
        <f aca="false">L19*L20</f>
        <v>2548333.74438208</v>
      </c>
    </row>
    <row r="23" customFormat="false" ht="15" hidden="false" customHeight="false" outlineLevel="0" collapsed="false">
      <c r="A23" s="0" t="s">
        <v>111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117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30392252.7560985</v>
      </c>
    </row>
    <row r="31" customFormat="false" ht="15" hidden="false" customHeight="false" outlineLevel="0" collapsed="false">
      <c r="A31" s="0" t="s">
        <v>139</v>
      </c>
      <c r="B31" s="0" t="n">
        <f aca="false">L19</f>
        <v>6609721.43530943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90332859.6158956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85926378.6590226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85926378.6590226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33128338.6769671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63520591.4330655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63520591.4330655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133.468499127638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0.0774015105556796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1136433.04429867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1152376.21682726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138.27771028232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54199715.7695374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79.3866164336202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123</v>
      </c>
      <c r="B3" s="0" t="s">
        <v>93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Assumptions!C41</f>
        <v>5</v>
      </c>
      <c r="D5" s="4" t="n">
        <f aca="false">Assumptions!D41</f>
        <v>5.5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18960723</v>
      </c>
      <c r="C6" s="0" t="n">
        <f aca="false">B6*(1+C5/100)</f>
        <v>19908759.15</v>
      </c>
      <c r="D6" s="0" t="n">
        <f aca="false">C6*(1+D5/100)</f>
        <v>21003740.90325</v>
      </c>
      <c r="E6" s="0" t="n">
        <f aca="false">D6*(1+E5/100)</f>
        <v>22158946.6529288</v>
      </c>
      <c r="F6" s="0" t="n">
        <f aca="false">E6*(1+F5/100)</f>
        <v>23266893.9855752</v>
      </c>
      <c r="G6" s="0" t="n">
        <f aca="false">F6*(1+G5/100)</f>
        <v>24313904.2149261</v>
      </c>
      <c r="H6" s="0" t="n">
        <f aca="false">G6*(1+H5/100)</f>
        <v>25408029.9045977</v>
      </c>
      <c r="I6" s="0" t="n">
        <f aca="false">H6*(1+I5/100)</f>
        <v>26424351.1007817</v>
      </c>
      <c r="J6" s="0" t="n">
        <f aca="false">I6*(1+J5/100)</f>
        <v>27349203.389309</v>
      </c>
      <c r="K6" s="0" t="n">
        <f aca="false">J6*(1+K5/100)</f>
        <v>28306425.5079348</v>
      </c>
      <c r="L6" s="0" t="n">
        <f aca="false">K6*(1+L5/100)</f>
        <v>29155618.2731729</v>
      </c>
    </row>
    <row r="7" customFormat="false" ht="15" hidden="false" customHeight="false" outlineLevel="0" collapsed="false">
      <c r="A7" s="0" t="s">
        <v>109</v>
      </c>
      <c r="C7" s="4" t="n">
        <f aca="false">Assumptions!C42</f>
        <v>47</v>
      </c>
      <c r="D7" s="4" t="n">
        <f aca="false">Assumptions!D42</f>
        <v>47.5</v>
      </c>
      <c r="E7" s="4" t="n">
        <f aca="false">Assumptions!E42</f>
        <v>47.8</v>
      </c>
      <c r="F7" s="4" t="n">
        <f aca="false">Assumptions!F42</f>
        <v>48</v>
      </c>
      <c r="G7" s="4" t="n">
        <f aca="false">Assumptions!G42</f>
        <v>48</v>
      </c>
      <c r="H7" s="4" t="n">
        <f aca="false">Assumptions!H42</f>
        <v>48</v>
      </c>
      <c r="I7" s="4" t="n">
        <f aca="false">Assumptions!I42</f>
        <v>48</v>
      </c>
      <c r="J7" s="4" t="n">
        <f aca="false">Assumptions!J42</f>
        <v>48</v>
      </c>
      <c r="K7" s="4" t="n">
        <f aca="false">Assumptions!K42</f>
        <v>48</v>
      </c>
      <c r="L7" s="4" t="n">
        <f aca="false">Assumptions!L42</f>
        <v>48</v>
      </c>
    </row>
    <row r="8" customFormat="false" ht="15" hidden="false" customHeight="false" outlineLevel="0" collapsed="false">
      <c r="A8" s="0" t="s">
        <v>44</v>
      </c>
      <c r="C8" s="0" t="n">
        <f aca="false">C6*C7/100</f>
        <v>9357116.8005</v>
      </c>
      <c r="D8" s="0" t="n">
        <f aca="false">D6*D7/100</f>
        <v>9976776.92904375</v>
      </c>
      <c r="E8" s="0" t="n">
        <f aca="false">E6*E7/100</f>
        <v>10591976.5000999</v>
      </c>
      <c r="F8" s="0" t="n">
        <f aca="false">F6*F7/100</f>
        <v>11168109.1130761</v>
      </c>
      <c r="G8" s="0" t="n">
        <f aca="false">G6*G7/100</f>
        <v>11670674.0231645</v>
      </c>
      <c r="H8" s="0" t="n">
        <f aca="false">H6*H7/100</f>
        <v>12195854.3542069</v>
      </c>
      <c r="I8" s="0" t="n">
        <f aca="false">I6*I7/100</f>
        <v>12683688.5283752</v>
      </c>
      <c r="J8" s="0" t="n">
        <f aca="false">J6*J7/100</f>
        <v>13127617.6268683</v>
      </c>
      <c r="K8" s="0" t="n">
        <f aca="false">K6*K7/100</f>
        <v>13587084.2438087</v>
      </c>
      <c r="L8" s="0" t="n">
        <f aca="false">L6*L7/100</f>
        <v>13994696.771123</v>
      </c>
    </row>
    <row r="9" customFormat="false" ht="15" hidden="false" customHeight="false" outlineLevel="0" collapsed="false">
      <c r="A9" s="0" t="s">
        <v>110</v>
      </c>
      <c r="C9" s="4" t="n">
        <f aca="false">Assumptions!C43</f>
        <v>0.81</v>
      </c>
      <c r="D9" s="4" t="n">
        <f aca="false">Assumptions!D43</f>
        <v>0.81</v>
      </c>
      <c r="E9" s="4" t="n">
        <f aca="false">Assumptions!E43</f>
        <v>0.81</v>
      </c>
      <c r="F9" s="4" t="n">
        <f aca="false">Assumptions!F43</f>
        <v>0.81</v>
      </c>
      <c r="G9" s="4" t="n">
        <f aca="false">Assumptions!G43</f>
        <v>0.81</v>
      </c>
      <c r="H9" s="4" t="n">
        <f aca="false">Assumptions!H43</f>
        <v>0.81</v>
      </c>
      <c r="I9" s="4" t="n">
        <f aca="false">Assumptions!I43</f>
        <v>0.81</v>
      </c>
      <c r="J9" s="4" t="n">
        <f aca="false">Assumptions!J43</f>
        <v>0.81</v>
      </c>
      <c r="K9" s="4" t="n">
        <f aca="false">Assumptions!K43</f>
        <v>0.81</v>
      </c>
      <c r="L9" s="4" t="n">
        <f aca="false">Assumptions!L43</f>
        <v>0.81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-161260.949115</v>
      </c>
      <c r="D10" s="0" t="n">
        <f aca="false">-D6*D9/100</f>
        <v>-170130.301316325</v>
      </c>
      <c r="E10" s="0" t="n">
        <f aca="false">-E6*E9/100</f>
        <v>-179487.467888723</v>
      </c>
      <c r="F10" s="0" t="n">
        <f aca="false">-F6*F9/100</f>
        <v>-188461.841283159</v>
      </c>
      <c r="G10" s="0" t="n">
        <f aca="false">-G6*G9/100</f>
        <v>-196942.624140901</v>
      </c>
      <c r="H10" s="0" t="n">
        <f aca="false">-H6*H9/100</f>
        <v>-205805.042227242</v>
      </c>
      <c r="I10" s="0" t="n">
        <f aca="false">-I6*I9/100</f>
        <v>-214037.243916331</v>
      </c>
      <c r="J10" s="0" t="n">
        <f aca="false">-J6*J9/100</f>
        <v>-221528.547453403</v>
      </c>
      <c r="K10" s="0" t="n">
        <f aca="false">-K6*K9/100</f>
        <v>-229282.046614272</v>
      </c>
      <c r="L10" s="0" t="n">
        <f aca="false">-L6*L9/100</f>
        <v>-236160.5080127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9195855.851385</v>
      </c>
      <c r="D11" s="0" t="n">
        <f aca="false">D8+D10+D24</f>
        <v>9806646.62772743</v>
      </c>
      <c r="E11" s="0" t="n">
        <f aca="false">E8+E10+E24</f>
        <v>10412489.0322112</v>
      </c>
      <c r="F11" s="0" t="n">
        <f aca="false">F8+F10+F24</f>
        <v>10979647.2717929</v>
      </c>
      <c r="G11" s="0" t="n">
        <f aca="false">G8+G10+G24</f>
        <v>11473731.3990236</v>
      </c>
      <c r="H11" s="0" t="n">
        <f aca="false">H8+H10+H24</f>
        <v>11990049.3119797</v>
      </c>
      <c r="I11" s="0" t="n">
        <f aca="false">I8+I10+I24</f>
        <v>12469651.2844589</v>
      </c>
      <c r="J11" s="0" t="n">
        <f aca="false">J8+J10+J24</f>
        <v>12906089.0794149</v>
      </c>
      <c r="K11" s="0" t="n">
        <f aca="false">K8+K10+K24</f>
        <v>13357802.1971944</v>
      </c>
      <c r="L11" s="0" t="n">
        <f aca="false">L8+L10+L24</f>
        <v>13758536.2631103</v>
      </c>
    </row>
    <row r="12" customFormat="false" ht="15" hidden="false" customHeight="false" outlineLevel="0" collapsed="false">
      <c r="A12" s="0" t="s">
        <v>127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9195855.851385</v>
      </c>
      <c r="D13" s="0" t="n">
        <f aca="false">D11+D12</f>
        <v>9806646.62772743</v>
      </c>
      <c r="E13" s="0" t="n">
        <f aca="false">E11+E12</f>
        <v>10412489.0322112</v>
      </c>
      <c r="F13" s="0" t="n">
        <f aca="false">F11+F12</f>
        <v>10979647.2717929</v>
      </c>
      <c r="G13" s="0" t="n">
        <f aca="false">G11+G12</f>
        <v>11473731.3990236</v>
      </c>
      <c r="H13" s="0" t="n">
        <f aca="false">H11+H12</f>
        <v>11990049.3119797</v>
      </c>
      <c r="I13" s="0" t="n">
        <f aca="false">I11+I12</f>
        <v>12469651.2844589</v>
      </c>
      <c r="J13" s="0" t="n">
        <f aca="false">J11+J12</f>
        <v>12906089.0794149</v>
      </c>
      <c r="K13" s="0" t="n">
        <f aca="false">K11+K12</f>
        <v>13357802.1971944</v>
      </c>
      <c r="L13" s="0" t="n">
        <f aca="false">L11+L12</f>
        <v>13758536.2631103</v>
      </c>
    </row>
    <row r="14" customFormat="false" ht="15" hidden="false" customHeight="false" outlineLevel="0" collapsed="false">
      <c r="A14" s="0" t="s">
        <v>114</v>
      </c>
      <c r="C14" s="4" t="n">
        <f aca="false">Assumptions!C47</f>
        <v>29</v>
      </c>
      <c r="D14" s="4" t="n">
        <f aca="false">Assumptions!D47</f>
        <v>29</v>
      </c>
      <c r="E14" s="4" t="n">
        <f aca="false">Assumptions!E47</f>
        <v>29</v>
      </c>
      <c r="F14" s="4" t="n">
        <f aca="false">Assumptions!F47</f>
        <v>29</v>
      </c>
      <c r="G14" s="4" t="n">
        <f aca="false">Assumptions!G47</f>
        <v>29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6529057.65448335</v>
      </c>
      <c r="D15" s="0" t="n">
        <f aca="false">D13-MAX(0,D13)*D14/100</f>
        <v>6962719.10568647</v>
      </c>
      <c r="E15" s="0" t="n">
        <f aca="false">E13-MAX(0,E13)*E14/100</f>
        <v>7392867.21286997</v>
      </c>
      <c r="F15" s="0" t="n">
        <f aca="false">F13-MAX(0,F13)*F14/100</f>
        <v>7795549.56297298</v>
      </c>
      <c r="G15" s="0" t="n">
        <f aca="false">G13-MAX(0,G13)*G14/100</f>
        <v>8146349.29330677</v>
      </c>
      <c r="H15" s="0" t="n">
        <f aca="false">H13-MAX(0,H13)*H14/100</f>
        <v>8512935.01150557</v>
      </c>
      <c r="I15" s="0" t="n">
        <f aca="false">I13-MAX(0,I13)*I14/100</f>
        <v>8853452.4119658</v>
      </c>
      <c r="J15" s="0" t="n">
        <f aca="false">J13-MAX(0,J13)*J14/100</f>
        <v>9163323.2463846</v>
      </c>
      <c r="K15" s="0" t="n">
        <f aca="false">K13-MAX(0,K13)*K14/100</f>
        <v>9484039.56000805</v>
      </c>
      <c r="L15" s="0" t="n">
        <f aca="false">L13-MAX(0,L13)*L14/100</f>
        <v>9768560.7468083</v>
      </c>
    </row>
    <row r="16" customFormat="false" ht="15" hidden="false" customHeight="false" outlineLevel="0" collapsed="false">
      <c r="A16" s="0" t="s">
        <v>130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131</v>
      </c>
      <c r="C17" s="4" t="n">
        <f aca="false">-C6*Assumptions!C46/100</f>
        <v>-2540357.66754</v>
      </c>
      <c r="D17" s="4" t="n">
        <f aca="false">-D6*Assumptions!D46/100</f>
        <v>-2934222.60418403</v>
      </c>
      <c r="E17" s="4" t="n">
        <f aca="false">-E6*Assumptions!E46/100</f>
        <v>-3095604.84741415</v>
      </c>
      <c r="F17" s="4" t="n">
        <f aca="false">-F6*Assumptions!F46/100</f>
        <v>-2968855.67255939</v>
      </c>
      <c r="G17" s="4" t="n">
        <f aca="false">-G6*Assumptions!G46/100</f>
        <v>-2805824.54640247</v>
      </c>
      <c r="H17" s="4" t="n">
        <f aca="false">-H6*Assumptions!H46/100</f>
        <v>-2932086.65099058</v>
      </c>
      <c r="I17" s="4" t="n">
        <f aca="false">-I6*Assumptions!I46/100</f>
        <v>-2724350.59849059</v>
      </c>
      <c r="J17" s="4" t="n">
        <f aca="false">-J6*Assumptions!J46/100</f>
        <v>-2477837.8270714</v>
      </c>
      <c r="K17" s="4" t="n">
        <f aca="false">-K6*Assumptions!K46/100</f>
        <v>-2564562.1510189</v>
      </c>
      <c r="L17" s="4" t="n">
        <f aca="false">-L6*Assumptions!L46/100</f>
        <v>-2277053.7871348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3988699.98694335</v>
      </c>
      <c r="D19" s="0" t="n">
        <f aca="false">D15+D16+D17+D18</f>
        <v>4028496.50150245</v>
      </c>
      <c r="E19" s="0" t="n">
        <f aca="false">E15+E16+E17+E18</f>
        <v>4297262.36545582</v>
      </c>
      <c r="F19" s="0" t="n">
        <f aca="false">F15+F16+F17+F18</f>
        <v>4826693.89041359</v>
      </c>
      <c r="G19" s="0" t="n">
        <f aca="false">G15+G16+G17+G18</f>
        <v>5340524.7469043</v>
      </c>
      <c r="H19" s="0" t="n">
        <f aca="false">H15+H16+H17+H18</f>
        <v>5580848.36051499</v>
      </c>
      <c r="I19" s="0" t="n">
        <f aca="false">I15+I16+I17+I18</f>
        <v>6129101.81347521</v>
      </c>
      <c r="J19" s="0" t="n">
        <f aca="false">J15+J16+J17+J18</f>
        <v>6685485.4193132</v>
      </c>
      <c r="K19" s="0" t="n">
        <f aca="false">K15+K16+K17+K18</f>
        <v>6919477.40898916</v>
      </c>
      <c r="L19" s="0" t="n">
        <f aca="false">L15+L16+L17+L18</f>
        <v>7491506.9596735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3626090.89722123</v>
      </c>
      <c r="D21" s="0" t="n">
        <f aca="false">D19*D20</f>
        <v>3329335.95165491</v>
      </c>
      <c r="E21" s="0" t="n">
        <f aca="false">E19*E20</f>
        <v>3228596.81852428</v>
      </c>
      <c r="F21" s="0" t="n">
        <f aca="false">F19*F20</f>
        <v>3296696.87208086</v>
      </c>
      <c r="G21" s="0" t="n">
        <f aca="false">G19*G20</f>
        <v>3316045.69167797</v>
      </c>
      <c r="H21" s="0" t="n">
        <f aca="false">H19*H20</f>
        <v>3150243.40709408</v>
      </c>
      <c r="I21" s="0" t="n">
        <f aca="false">I19*I20</f>
        <v>3145198.35304735</v>
      </c>
      <c r="J21" s="0" t="n">
        <f aca="false">J19*J20</f>
        <v>3118828.28839417</v>
      </c>
      <c r="K21" s="0" t="n">
        <f aca="false">K19*K20</f>
        <v>2934533.88953451</v>
      </c>
      <c r="L21" s="0" t="n">
        <f aca="false">L19*L20</f>
        <v>2888300.23601675</v>
      </c>
    </row>
    <row r="23" customFormat="false" ht="15" hidden="false" customHeight="false" outlineLevel="0" collapsed="false">
      <c r="A23" s="0" t="s">
        <v>111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32033870.4052461</v>
      </c>
    </row>
    <row r="31" customFormat="false" ht="15" hidden="false" customHeight="false" outlineLevel="0" collapsed="false">
      <c r="A31" s="0" t="s">
        <v>139</v>
      </c>
      <c r="B31" s="0" t="n">
        <f aca="false">L19</f>
        <v>7491506.9596735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110232173.835196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112372604.395102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110232173.835196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42499274.9013893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74533145.3066354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74533145.3066354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156.607909575609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0.264190422793101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1190703.15864911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1339737.17236204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161.924832253636</v>
      </c>
    </row>
    <row r="45" customFormat="false" ht="15" hidden="false" customHeight="false" outlineLevel="0" collapsed="false">
      <c r="A45" s="0" t="s">
        <v>90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64302101.4038642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86.927225616238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2" t="s">
        <v>156</v>
      </c>
      <c r="B3" s="2" t="s">
        <v>157</v>
      </c>
      <c r="C3" s="2" t="s">
        <v>147</v>
      </c>
      <c r="D3" s="2" t="s">
        <v>158</v>
      </c>
      <c r="E3" s="2" t="s">
        <v>150</v>
      </c>
      <c r="F3" s="2" t="s">
        <v>159</v>
      </c>
    </row>
    <row r="4" customFormat="false" ht="15" hidden="false" customHeight="false" outlineLevel="0" collapsed="false">
      <c r="A4" s="0" t="s">
        <v>160</v>
      </c>
      <c r="B4" s="4" t="n">
        <f aca="false">DCF_Bear!$B$38</f>
        <v>104.699429055302</v>
      </c>
      <c r="C4" s="0" t="n">
        <f aca="false">B4/Assumptions!$B$2-1</f>
        <v>-0.154831861032438</v>
      </c>
      <c r="D4" s="4" t="n">
        <f aca="false">Assumptions!$B$24</f>
        <v>0.25</v>
      </c>
      <c r="E4" s="4" t="n">
        <f aca="false">DCF_Bear!$B$43</f>
        <v>108.845512393537</v>
      </c>
      <c r="F4" s="4" t="n">
        <f aca="false">DCF_Bear!$B$47</f>
        <v>71.7318996206256</v>
      </c>
    </row>
    <row r="5" customFormat="false" ht="15" hidden="false" customHeight="false" outlineLevel="0" collapsed="false">
      <c r="A5" s="0" t="s">
        <v>161</v>
      </c>
      <c r="B5" s="4" t="n">
        <f aca="false">DCF_Base!$B$38</f>
        <v>133.468499127638</v>
      </c>
      <c r="C5" s="0" t="n">
        <f aca="false">B5/Assumptions!$B$2-1</f>
        <v>0.0774015105556796</v>
      </c>
      <c r="D5" s="4" t="n">
        <f aca="false">Assumptions!$B$38</f>
        <v>0.5</v>
      </c>
      <c r="E5" s="4" t="n">
        <f aca="false">DCF_Base!$B$43</f>
        <v>138.27771028232</v>
      </c>
      <c r="F5" s="4" t="n">
        <f aca="false">DCF_Base!$B$47</f>
        <v>79.3866164336202</v>
      </c>
    </row>
    <row r="6" customFormat="false" ht="15" hidden="false" customHeight="false" outlineLevel="0" collapsed="false">
      <c r="A6" s="0" t="s">
        <v>162</v>
      </c>
      <c r="B6" s="4" t="n">
        <f aca="false">DCF_Bull!$B$38</f>
        <v>156.607909575609</v>
      </c>
      <c r="C6" s="0" t="n">
        <f aca="false">B6/Assumptions!$B$2-1</f>
        <v>0.264190422793101</v>
      </c>
      <c r="D6" s="4" t="n">
        <f aca="false">Assumptions!$B$52</f>
        <v>0.25</v>
      </c>
      <c r="E6" s="4" t="n">
        <f aca="false">DCF_Bull!$B$43</f>
        <v>161.924832253636</v>
      </c>
      <c r="F6" s="4" t="n">
        <f aca="false">DCF_Bull!$B$47</f>
        <v>86.927225616238</v>
      </c>
    </row>
    <row r="8" customFormat="false" ht="15" hidden="false" customHeight="false" outlineLevel="0" collapsed="false">
      <c r="A8" s="0" t="s">
        <v>163</v>
      </c>
      <c r="B8" s="0" t="n">
        <f aca="false">SUMPRODUCT(B4:B6,D4:D6)</f>
        <v>132.061084221547</v>
      </c>
    </row>
    <row r="9" customFormat="false" ht="15" hidden="false" customHeight="false" outlineLevel="0" collapsed="false">
      <c r="A9" s="0" t="s">
        <v>164</v>
      </c>
      <c r="B9" s="0" t="n">
        <f aca="false">SUMPRODUCT(E4:E6,D4:D6)</f>
        <v>136.831441302953</v>
      </c>
    </row>
    <row r="10" customFormat="false" ht="15" hidden="false" customHeight="false" outlineLevel="0" collapsed="false">
      <c r="A10" s="0" t="s">
        <v>165</v>
      </c>
      <c r="B10" s="0" t="n">
        <f aca="false">1-Assumptions!$B$2/B8</f>
        <v>0.0619492431837218</v>
      </c>
    </row>
    <row r="11" customFormat="false" ht="15" hidden="false" customHeight="false" outlineLevel="0" collapsed="false">
      <c r="A11" s="0" t="s">
        <v>166</v>
      </c>
      <c r="B11" s="0" t="n">
        <f aca="false">IF(ABS(B9-B8)&gt;0.01*ABS(B8),(Assumptions!$B$2-B8)/(B9-B8)*100,"n/a")</f>
        <v>-171.498361274342</v>
      </c>
    </row>
    <row r="12" customFormat="false" ht="15" hidden="false" customHeight="false" outlineLevel="0" collapsed="false">
      <c r="A12" s="0" t="s">
        <v>167</v>
      </c>
      <c r="B12" s="0" t="n">
        <f aca="false">SUMPRODUCT(F4:F6,D4:D6)</f>
        <v>79.358089526026</v>
      </c>
    </row>
    <row r="14" customFormat="false" ht="15" hidden="false" customHeight="false" outlineLevel="0" collapsed="false">
      <c r="A14" s="2" t="s">
        <v>168</v>
      </c>
      <c r="C14" s="0" t="s">
        <v>169</v>
      </c>
    </row>
    <row r="15" customFormat="false" ht="15" hidden="false" customHeight="false" outlineLevel="0" collapsed="false">
      <c r="A15" s="0" t="s">
        <v>170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143.216914796911</v>
      </c>
      <c r="C15" s="3" t="n">
        <v>9</v>
      </c>
    </row>
    <row r="16" customFormat="false" ht="15" hidden="false" customHeight="false" outlineLevel="0" collapsed="false">
      <c r="A16" s="0" t="s">
        <v>171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133.468499127638</v>
      </c>
      <c r="C16" s="3" t="n">
        <v>10</v>
      </c>
    </row>
    <row r="17" customFormat="false" ht="15" hidden="false" customHeight="false" outlineLevel="0" collapsed="false">
      <c r="A17" s="0" t="s">
        <v>172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119.960932619792</v>
      </c>
      <c r="C17" s="3" t="n">
        <v>11</v>
      </c>
    </row>
    <row r="18" customFormat="false" ht="15" hidden="false" customHeight="false" outlineLevel="0" collapsed="false">
      <c r="A18" s="0" t="s">
        <v>173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106.537353313528</v>
      </c>
      <c r="C18" s="3" t="n">
        <v>12</v>
      </c>
    </row>
    <row r="19" customFormat="false" ht="15" hidden="false" customHeight="false" outlineLevel="0" collapsed="false">
      <c r="A19" s="0" t="s">
        <v>174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79.3866164336202</v>
      </c>
      <c r="C19" s="3" t="n">
        <v>15</v>
      </c>
    </row>
    <row r="21" customFormat="false" ht="15" hidden="false" customHeight="false" outlineLevel="0" collapsed="false">
      <c r="A21" s="2" t="s">
        <v>175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153.902413973295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153.902413973295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153.902413973295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153.902413973295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153.902413973295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143.216914796911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143.216914796911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143.216914796911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143.216914796911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143.216914796911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127.799007314611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132.129869116229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133.468499127638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133.468499127638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133.468499127638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113.237391577545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116.412397069717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119.960932619792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123.953035113626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124.564438198267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101.516560596231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103.901437136947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106.537353313528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109.466149065284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112.73950902313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2026-10-03T23:17:44Z</dcterms:created>
  <dc:creator>openpyxl</dc:creator>
  <dc:description/>
  <dc:language>en-NZ</dc:language>
  <cp:lastModifiedBy/>
  <dcterms:modified xsi:type="dcterms:W3CDTF">2026-10-03T23:17:44Z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