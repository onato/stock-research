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Info" sheetId="1" state="visible" r:id="rId1"/>
    <sheet xmlns:r="http://schemas.openxmlformats.org/officeDocument/2006/relationships" name="Actuals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DCF_Bear" sheetId="4" state="visible" r:id="rId4"/>
    <sheet xmlns:r="http://schemas.openxmlformats.org/officeDocument/2006/relationships" name="DCF_Base" sheetId="5" state="visible" r:id="rId5"/>
    <sheet xmlns:r="http://schemas.openxmlformats.org/officeDocument/2006/relationships" name="DCF_Bull" sheetId="6" state="visible" r:id="rId6"/>
    <sheet xmlns:r="http://schemas.openxmlformats.org/officeDocument/2006/relationships" name="FCF_Quality" sheetId="7" state="visible" r:id="rId7"/>
    <sheet xmlns:r="http://schemas.openxmlformats.org/officeDocument/2006/relationships" name="Valu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</font>
    <font>
      <color rgb="000000FF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FFFF99"/>
      </patternFill>
    </fill>
    <fill>
      <patternFill patternType="solid">
        <f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2" fillId="2" borderId="0" pivotButton="0" quotePrefix="0" xfId="0"/>
    <xf numFmtId="0" fontId="3" fillId="0" borderId="0" pivotButton="0" quotePrefix="0" xfId="0"/>
    <xf numFmtId="164" fontId="2" fillId="0" borderId="0" pivotButton="0" quotePrefix="0" xfId="0"/>
    <xf numFmtId="0" fontId="0" fillId="3" borderId="0" pivotButton="0" quotePrefix="0" xfId="0"/>
    <xf numFmtId="0" fontId="1" fillId="3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0" customWidth="1" min="1" max="1"/>
    <col width="140" customWidth="1" min="2" max="2"/>
  </cols>
  <sheetData>
    <row r="1">
      <c r="A1" s="1" t="inlineStr">
        <is>
          <t>BHP.AX owner-FCF DCF model</t>
        </is>
      </c>
      <c r="B1" t="inlineStr"/>
    </row>
    <row r="2">
      <c r="A2" s="1" t="inlineStr">
        <is>
          <t>Version</t>
        </is>
      </c>
      <c r="B2" t="inlineStr">
        <is>
          <t>v1 fresh build, 2026-09-22. Supersedes nothing (first valuation of this ticker).</t>
        </is>
      </c>
    </row>
    <row r="3">
      <c r="A3" s="1" t="inlineStr">
        <is>
          <t>Built by</t>
        </is>
      </c>
      <c r="B3" t="inlineStr">
        <is>
          <t>dcf-analyst agent (Claude Fable 5.1) at the research-stock orchestrator's request, 2026-09-22</t>
        </is>
      </c>
    </row>
    <row r="4">
      <c r="A4" s="1" t="inlineStr">
        <is>
          <t>Data vintage: price</t>
        </is>
      </c>
      <c r="B4" t="inlineStr">
        <is>
          <t>A$60.78 ASX, Yahoo 2026-09-21T06:18:34Z (ASX regular session; Yahoo regularMarketPrice)</t>
        </is>
      </c>
    </row>
    <row r="5">
      <c r="A5" s="1" t="inlineStr">
        <is>
          <t>Data vintage: FX</t>
        </is>
      </c>
      <c r="B5" t="inlineStr">
        <is>
          <t>AUD/USD 0.714 (Yahoo AUDUSD=X 2026-09-21); NYSE ADR parity check in JSON inputs.fx_note</t>
        </is>
      </c>
    </row>
    <row r="6">
      <c r="A6" s="1" t="inlineStr">
        <is>
          <t>Data vintage: balance sheet</t>
        </is>
      </c>
      <c r="B6" t="inlineStr">
        <is>
          <t>30 June 2026 (FY2026 Annual Report, approved 18-Aug-2026): net debt Bridge deduction US$18,150m = BHP-defined net debt US$8,694m (30-Jun-2026; borrowings 23,625 + leases 3,496 less 735 fre...</t>
        </is>
      </c>
    </row>
    <row r="7">
      <c r="A7" s="1" t="inlineStr">
        <is>
          <t>Data vintage: share count</t>
        </is>
      </c>
      <c r="B7" t="inlineStr">
        <is>
          <t>5,081.4m ordinary shares on issue at the report date + 11m dilutive awards = 5,092m, held flat</t>
        </is>
      </c>
    </row>
    <row r="8">
      <c r="A8" s="1" t="inlineStr">
        <is>
          <t>Data vintage: guidance</t>
        </is>
      </c>
      <c r="B8" t="inlineStr">
        <is>
          <t>FY2026 results (Aug-2026): ~US$11bn/yr capex medium term; copper growth capex US$1.4bn FY27, US$1.9bn FY28, ~US$3bn/yr FY29-31; Jansen S1 first potash mid-CY2027, S2 FY2031; WAIO &gt;305Mt by Q4 FY2028</t>
        </is>
      </c>
    </row>
    <row r="9">
      <c r="A9" s="1" t="inlineStr">
        <is>
          <t>Method: model</t>
        </is>
      </c>
      <c r="B9" t="inlineStr">
        <is>
          <t>Owner-FCF DCF (dcf-methods/references/owner-fcf.md) with section 7 cyclical adaptations; 10-year component build; end-of-year discounting</t>
        </is>
      </c>
    </row>
    <row r="10">
      <c r="A10" s="1" t="inlineStr">
        <is>
          <t>Method: mid-cycle</t>
        </is>
      </c>
      <c r="B10" t="inlineStr">
        <is>
          <t>FY2026 is a margin peak (56.1%); base fades to the 52% ten-year median and resets revenue ~5% before volume growth</t>
        </is>
      </c>
    </row>
    <row r="11">
      <c r="A11" s="1" t="inlineStr">
        <is>
          <t>Method: tax + NCI</t>
        </is>
      </c>
      <c r="B11" t="inlineStr">
        <is>
          <t>Row 14 'Tax + NCI leakage' = 1-(1-tax)(1-NCI): ~35% tax/royalty on EBIT and 19.5-23% NCI on PAT -&gt; 46-50%. Flows are attributable-only; book NCI NOT deducted in the bridge</t>
        </is>
      </c>
    </row>
    <row r="12">
      <c r="A12" s="1" t="inlineStr">
        <is>
          <t>Method: leases</t>
        </is>
      </c>
      <c r="B12" t="inlineStr">
        <is>
          <t>Treatment A: lease liabilities inside BHP net debt; lease additions folded into capex %</t>
        </is>
      </c>
    </row>
    <row r="13">
      <c r="A13" s="1" t="inlineStr">
        <is>
          <t>Method: bridge</t>
        </is>
      </c>
      <c r="B13" t="inlineStr">
        <is>
          <t>EV less BHP net debt 8,694 + Samarco provision 5,197 + Antamina silver-stream liability 4,259 = 18,150 (Assumptions!B9)</t>
        </is>
      </c>
    </row>
    <row r="14">
      <c r="A14" s="1" t="inlineStr">
        <is>
          <t>Method: terminal</t>
        </is>
      </c>
      <c r="B14" t="inlineStr">
        <is>
          <t>TV = MAX(0, MIN(Gordon, 15 x FCF_10)); entry price and required-return table rebuild TV at their own rate</t>
        </is>
      </c>
    </row>
    <row r="15">
      <c r="A15" s="1" t="inlineStr">
        <is>
          <t>Method: currency</t>
        </is>
      </c>
      <c r="B15" t="inlineStr">
        <is>
          <t>Flows and WACC in USD; value per share computed in USD then divided by AUD/USD to reach the ASX quote</t>
        </is>
      </c>
    </row>
    <row r="16">
      <c r="A16" s="1" t="inlineStr">
        <is>
          <t>Drivers</t>
        </is>
      </c>
      <c r="B16" t="inlineStr">
        <is>
          <t>Rows 5 (growth), 7 (EBITDA margin), 9 (SBC %), 14 (tax+NCI leakage) and 22 (capex % incl. leases) on each DCF tab are the agent's judgment set 2026-09-22; everything else is formula</t>
        </is>
      </c>
    </row>
    <row r="17">
      <c r="A17" s="1" t="inlineStr">
        <is>
          <t>Refresh after next print</t>
        </is>
      </c>
      <c r="B17" t="inlineStr">
        <is>
          <t>Price + timestamp, AUD/USD, net debt / Samarco provision / stream liability (H1 FY2027 in Feb-2027), share count, FY2027 capex guidance, FY2027 growth and margin drivers</t>
        </is>
      </c>
    </row>
    <row r="18">
      <c r="A18" s="1" t="inlineStr">
        <is>
          <t>Staleness</t>
        </is>
      </c>
      <c r="B18" t="inlineStr">
        <is>
          <t>Figures go stale: the price moves daily, the balance sheet half-yearly. Re-run scripts/refresh_price.py and re-judge FY2027E drivers after the H1 FY2027 result</t>
        </is>
      </c>
    </row>
    <row r="19">
      <c r="A19" s="1" t="inlineStr">
        <is>
          <t>Cell legend</t>
        </is>
      </c>
      <c r="B19" t="inlineStr">
        <is>
          <t>Blue font = hardcoded input; yellow fill = key lever; black = formula; green font = cross-sheet link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cols>
    <col width="58" customWidth="1" min="1" max="1"/>
  </cols>
  <sheetData>
    <row r="1">
      <c r="A1" s="1" t="inlineStr">
        <is>
          <t>Reported history, US$M (source: BHP.AX_Metrics.csv / FY2016-FY2026 Annual Reports; Employee share awards = note 5; interest income = net finance costs note)</t>
        </is>
      </c>
    </row>
    <row r="2">
      <c r="A2" t="inlineStr">
        <is>
          <t>Line</t>
        </is>
      </c>
      <c r="B2" s="1" t="inlineStr">
        <is>
          <t>FY2016</t>
        </is>
      </c>
      <c r="C2" s="1" t="inlineStr">
        <is>
          <t>FY2017</t>
        </is>
      </c>
      <c r="D2" s="1" t="inlineStr">
        <is>
          <t>FY2018</t>
        </is>
      </c>
      <c r="E2" s="1" t="inlineStr">
        <is>
          <t>FY2019</t>
        </is>
      </c>
      <c r="F2" s="1" t="inlineStr">
        <is>
          <t>FY2020</t>
        </is>
      </c>
      <c r="G2" s="1" t="inlineStr">
        <is>
          <t>FY2021</t>
        </is>
      </c>
      <c r="H2" s="1" t="inlineStr">
        <is>
          <t>FY2022</t>
        </is>
      </c>
      <c r="I2" s="1" t="inlineStr">
        <is>
          <t>FY2023</t>
        </is>
      </c>
      <c r="J2" s="1" t="inlineStr">
        <is>
          <t>FY2024</t>
        </is>
      </c>
      <c r="K2" s="1" t="inlineStr">
        <is>
          <t>FY2025</t>
        </is>
      </c>
      <c r="L2" s="1" t="inlineStr">
        <is>
          <t>FY2026</t>
        </is>
      </c>
    </row>
    <row r="3">
      <c r="A3" t="inlineStr">
        <is>
          <t>Revenue</t>
        </is>
      </c>
      <c r="B3" s="2" t="n">
        <v>30912</v>
      </c>
      <c r="C3" s="2" t="n">
        <v>38285</v>
      </c>
      <c r="D3" s="2" t="n">
        <v>43129</v>
      </c>
      <c r="E3" s="2" t="n">
        <v>44288</v>
      </c>
      <c r="F3" s="2" t="n">
        <v>42931</v>
      </c>
      <c r="G3" s="2" t="n">
        <v>60817</v>
      </c>
      <c r="H3" s="2" t="n">
        <v>65098</v>
      </c>
      <c r="I3" s="2" t="n">
        <v>53817</v>
      </c>
      <c r="J3" s="2" t="n">
        <v>55658</v>
      </c>
      <c r="K3" s="2" t="n">
        <v>51262</v>
      </c>
      <c r="L3" s="2" t="n">
        <v>58760</v>
      </c>
    </row>
    <row r="4">
      <c r="A4" t="inlineStr">
        <is>
          <t>Underlying EBITDA</t>
        </is>
      </c>
      <c r="B4" s="2" t="n">
        <v>12340</v>
      </c>
      <c r="C4" s="2" t="n">
        <v>20296</v>
      </c>
      <c r="D4" s="2" t="n">
        <v>23183</v>
      </c>
      <c r="E4" s="2" t="n">
        <v>23158</v>
      </c>
      <c r="F4" s="2" t="n">
        <v>22071</v>
      </c>
      <c r="G4" s="2" t="n">
        <v>37379</v>
      </c>
      <c r="H4" s="2" t="n">
        <v>40634</v>
      </c>
      <c r="I4" s="2" t="n">
        <v>27956</v>
      </c>
      <c r="J4" s="2" t="n">
        <v>29016</v>
      </c>
      <c r="K4" s="2" t="n">
        <v>25978</v>
      </c>
      <c r="L4" s="2" t="n">
        <v>32947</v>
      </c>
    </row>
    <row r="5">
      <c r="A5" t="inlineStr">
        <is>
          <t>Net operating cash flows</t>
        </is>
      </c>
      <c r="B5" s="2" t="n">
        <v>10625</v>
      </c>
      <c r="C5" s="2" t="n">
        <v>16804</v>
      </c>
      <c r="D5" s="2" t="n">
        <v>18461</v>
      </c>
      <c r="E5" s="2" t="n">
        <v>17871</v>
      </c>
      <c r="F5" s="2" t="n">
        <v>15706</v>
      </c>
      <c r="G5" s="2" t="n">
        <v>27234</v>
      </c>
      <c r="H5" s="2" t="n">
        <v>32174</v>
      </c>
      <c r="I5" s="2" t="n">
        <v>18701</v>
      </c>
      <c r="J5" s="2" t="n">
        <v>20665</v>
      </c>
      <c r="K5" s="2" t="n">
        <v>18692</v>
      </c>
      <c r="L5" s="2" t="n">
        <v>21778</v>
      </c>
    </row>
    <row r="6">
      <c r="A6" t="inlineStr">
        <is>
          <t>Capital &amp; exploration expenditure</t>
        </is>
      </c>
      <c r="B6" s="2" t="n">
        <v>7711</v>
      </c>
      <c r="C6" s="2" t="n">
        <v>5220</v>
      </c>
      <c r="D6" s="2" t="n">
        <v>6753</v>
      </c>
      <c r="E6" s="2" t="n">
        <v>7566</v>
      </c>
      <c r="F6" s="2" t="n">
        <v>7640</v>
      </c>
      <c r="G6" s="2" t="n">
        <v>7120</v>
      </c>
      <c r="H6" s="2" t="n">
        <v>7545</v>
      </c>
      <c r="I6" s="2" t="n">
        <v>7083</v>
      </c>
      <c r="J6" s="2" t="n">
        <v>9273</v>
      </c>
      <c r="K6" s="2" t="n">
        <v>9794</v>
      </c>
      <c r="L6" s="2" t="n">
        <v>10257</v>
      </c>
    </row>
    <row r="7">
      <c r="A7" t="inlineStr">
        <is>
          <t>Reported FCF (OCF - capex&amp;expl)</t>
        </is>
      </c>
      <c r="B7" s="2" t="n">
        <v>2914</v>
      </c>
      <c r="C7" s="2" t="n">
        <v>11584</v>
      </c>
      <c r="D7" s="2" t="n">
        <v>11708</v>
      </c>
      <c r="E7" s="2" t="n">
        <v>10305</v>
      </c>
      <c r="F7" s="2" t="n">
        <v>8066</v>
      </c>
      <c r="G7" s="2" t="n">
        <v>20114</v>
      </c>
      <c r="H7" s="2" t="n">
        <v>24629</v>
      </c>
      <c r="I7" s="2" t="n">
        <v>11618</v>
      </c>
      <c r="J7" s="2" t="n">
        <v>11392</v>
      </c>
      <c r="K7" s="2" t="n">
        <v>8898</v>
      </c>
      <c r="L7" s="2" t="n">
        <v>11521</v>
      </c>
    </row>
    <row r="8">
      <c r="A8" t="inlineStr">
        <is>
          <t>Employee share awards (SBC)</t>
        </is>
      </c>
      <c r="B8" s="2" t="n">
        <v>140</v>
      </c>
      <c r="C8" s="2" t="n">
        <v>105</v>
      </c>
      <c r="D8" s="2" t="n">
        <v>123</v>
      </c>
      <c r="E8" s="2" t="n">
        <v>138</v>
      </c>
      <c r="F8" s="2" t="n">
        <v>129</v>
      </c>
      <c r="G8" s="2" t="n">
        <v>88</v>
      </c>
      <c r="H8" s="2" t="n">
        <v>109</v>
      </c>
      <c r="I8" s="2" t="n">
        <v>97</v>
      </c>
      <c r="J8" s="2" t="n">
        <v>112</v>
      </c>
      <c r="K8" s="2" t="n">
        <v>127</v>
      </c>
      <c r="L8" s="2" t="n">
        <v>123</v>
      </c>
    </row>
    <row r="9">
      <c r="A9" t="inlineStr">
        <is>
          <t>Interest income</t>
        </is>
      </c>
      <c r="B9" s="2" t="n">
        <v>137</v>
      </c>
      <c r="C9" s="2" t="n">
        <v>143</v>
      </c>
      <c r="D9" s="2" t="n">
        <v>322</v>
      </c>
      <c r="E9" s="2" t="n">
        <v>446</v>
      </c>
      <c r="F9" s="2" t="n">
        <v>351</v>
      </c>
      <c r="G9" s="2" t="n">
        <v>73</v>
      </c>
      <c r="H9" s="2" t="n">
        <v>81</v>
      </c>
      <c r="I9" s="2" t="n">
        <v>529</v>
      </c>
      <c r="J9" s="2" t="n">
        <v>709</v>
      </c>
      <c r="K9" s="2" t="n">
        <v>603</v>
      </c>
      <c r="L9" s="2" t="n">
        <v>573</v>
      </c>
    </row>
    <row r="10">
      <c r="A10" t="inlineStr">
        <is>
          <t>Underlying attributable profit</t>
        </is>
      </c>
      <c r="B10" s="2" t="n">
        <v>1215</v>
      </c>
      <c r="C10" s="2" t="n">
        <v>6732</v>
      </c>
      <c r="D10" s="2" t="n">
        <v>8933</v>
      </c>
      <c r="E10" s="2" t="n">
        <v>9124</v>
      </c>
      <c r="F10" s="2" t="n">
        <v>9060</v>
      </c>
      <c r="G10" s="2" t="n">
        <v>17077</v>
      </c>
      <c r="H10" s="2" t="n">
        <v>23815</v>
      </c>
      <c r="I10" s="2" t="n">
        <v>13420</v>
      </c>
      <c r="J10" s="2" t="n">
        <v>13660</v>
      </c>
      <c r="K10" s="2" t="n">
        <v>10157</v>
      </c>
      <c r="L10" s="2" t="n">
        <v>13204</v>
      </c>
    </row>
    <row r="11">
      <c r="A11" t="inlineStr">
        <is>
          <t>Net debt (BHP definition)</t>
        </is>
      </c>
      <c r="B11" s="2" t="n">
        <v>26102</v>
      </c>
      <c r="C11" s="2" t="n">
        <v>16321</v>
      </c>
      <c r="D11" s="2" t="n">
        <v>11605</v>
      </c>
      <c r="E11" s="2" t="n">
        <v>9446</v>
      </c>
      <c r="F11" s="2" t="n">
        <v>12044</v>
      </c>
      <c r="G11" s="2" t="n">
        <v>4121</v>
      </c>
      <c r="H11" s="2" t="n">
        <v>333</v>
      </c>
      <c r="I11" s="2" t="n">
        <v>11166</v>
      </c>
      <c r="J11" s="2" t="n">
        <v>9120</v>
      </c>
      <c r="K11" s="2" t="n">
        <v>12924</v>
      </c>
      <c r="L11" s="2" t="n">
        <v>8694</v>
      </c>
    </row>
    <row r="13">
      <c r="A13" t="inlineStr">
        <is>
          <t>Underlying EBITDA margin %</t>
        </is>
      </c>
      <c r="B13">
        <f>B4/B3</f>
        <v/>
      </c>
      <c r="C13">
        <f>C4/C3</f>
        <v/>
      </c>
      <c r="D13">
        <f>D4/D3</f>
        <v/>
      </c>
      <c r="E13">
        <f>E4/E3</f>
        <v/>
      </c>
      <c r="F13">
        <f>F4/F3</f>
        <v/>
      </c>
      <c r="G13">
        <f>G4/G3</f>
        <v/>
      </c>
      <c r="H13">
        <f>H4/H3</f>
        <v/>
      </c>
      <c r="I13">
        <f>I4/I3</f>
        <v/>
      </c>
      <c r="J13">
        <f>J4/J3</f>
        <v/>
      </c>
      <c r="K13">
        <f>K4/K3</f>
        <v/>
      </c>
      <c r="L13">
        <f>L4/L3</f>
        <v/>
      </c>
    </row>
    <row r="15">
      <c r="A15" s="1" t="inlineStr">
        <is>
          <t>Balance sheet 30-Jun-2026 (US$M)</t>
        </is>
      </c>
    </row>
    <row r="16">
      <c r="A16" t="inlineStr">
        <is>
          <t>Borrowings</t>
        </is>
      </c>
      <c r="B16" s="2" t="n">
        <v>23625</v>
      </c>
    </row>
    <row r="17">
      <c r="A17" t="inlineStr">
        <is>
          <t>Lease liabilities</t>
        </is>
      </c>
      <c r="B17" s="2" t="n">
        <v>3496</v>
      </c>
    </row>
    <row r="18">
      <c r="A18" t="inlineStr">
        <is>
          <t>less freight-index leases</t>
        </is>
      </c>
      <c r="B18" s="2" t="n">
        <v>-735</v>
      </c>
    </row>
    <row r="19">
      <c r="A19" t="inlineStr">
        <is>
          <t>Cash and equivalents</t>
        </is>
      </c>
      <c r="B19" s="2" t="n">
        <v>18532</v>
      </c>
    </row>
    <row r="20">
      <c r="A20" t="inlineStr">
        <is>
          <t>Net debt-management derivatives</t>
        </is>
      </c>
      <c r="B20" s="2" t="n">
        <v>840</v>
      </c>
    </row>
    <row r="21">
      <c r="A21" t="inlineStr">
        <is>
          <t>BHP net debt</t>
        </is>
      </c>
      <c r="B21" s="2" t="n">
        <v>8694</v>
      </c>
    </row>
    <row r="22">
      <c r="A22" t="inlineStr">
        <is>
          <t>Samarco provision (current 1,653 / non-current 3,544)</t>
        </is>
      </c>
      <c r="B22" s="2" t="n">
        <v>5197</v>
      </c>
    </row>
    <row r="23">
      <c r="A23" t="inlineStr">
        <is>
          <t>Antamina silver-stream liability (4,300 - 41)</t>
        </is>
      </c>
      <c r="B23" s="2" t="n">
        <v>4259</v>
      </c>
    </row>
    <row r="24">
      <c r="A24" t="inlineStr">
        <is>
          <t>Book NCI (not deducted; charged in flows)</t>
        </is>
      </c>
      <c r="B24" s="2" t="n">
        <v>5398</v>
      </c>
    </row>
    <row r="25">
      <c r="A25" t="inlineStr">
        <is>
          <t>Shares on issue (m, report date)</t>
        </is>
      </c>
      <c r="B25" s="2" t="n">
        <v>5081.39</v>
      </c>
    </row>
    <row r="26">
      <c r="A26" t="inlineStr">
        <is>
          <t>Dilutive awards (m)</t>
        </is>
      </c>
      <c r="B26" s="2" t="n">
        <v>11</v>
      </c>
    </row>
    <row r="27">
      <c r="A27" t="inlineStr">
        <is>
          <t>Buy-back FY2024-26 (US$M)</t>
        </is>
      </c>
      <c r="B27" s="2" t="n">
        <v>0</v>
      </c>
    </row>
    <row r="29">
      <c r="A29" s="1" t="inlineStr">
        <is>
          <t>Guidance (FY2026 results, Aug-2026)</t>
        </is>
      </c>
    </row>
    <row r="30">
      <c r="A30" t="inlineStr">
        <is>
          <t>Capex ~US$11bn/yr medium term (FY2026 actual 10,257 + 1,111 lease additions)</t>
        </is>
      </c>
    </row>
    <row r="31">
      <c r="A31" t="inlineStr">
        <is>
          <t>Copper growth capex: US$1.4bn FY2027, US$1.9bn FY2028, ~US$3bn/yr FY2029-31</t>
        </is>
      </c>
    </row>
    <row r="32">
      <c r="A32" t="inlineStr">
        <is>
          <t>Copper production 1,900-2,000kt FY2026 (upper half); +900-1,000ktpa FY28-31</t>
        </is>
      </c>
    </row>
    <row r="33">
      <c r="A33" t="inlineStr">
        <is>
          <t>Jansen S1 first potash mid-CY2027 (4.15Mtpa); S2 FY2031 (8.5Mtpa combined, cost US$6.9bn)</t>
        </is>
      </c>
    </row>
    <row r="34">
      <c r="A34" t="inlineStr">
        <is>
          <t>WAIO &gt;305Mt/yr run-rate by Q4 FY2028</t>
        </is>
      </c>
    </row>
    <row r="35">
      <c r="A35" t="inlineStr">
        <is>
          <t>Dividend policy: minimum 50% of underlying attributable profit (FY2026: 172 US cents, US$8.7bn)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90" customWidth="1" min="3" max="3"/>
  </cols>
  <sheetData>
    <row r="1">
      <c r="A1" s="1" t="inlineStr">
        <is>
          <t>Global inputs (US$M unless stated)</t>
        </is>
      </c>
    </row>
    <row r="3">
      <c r="A3" t="inlineStr">
        <is>
          <t>WACC (nominal USD, all scenarios)</t>
        </is>
      </c>
      <c r="B3" s="3" t="n">
        <v>0.09</v>
      </c>
      <c r="C3" t="inlineStr">
        <is>
          <t>rf 4.2% + 1.05 x 5.0% ERP = 9.45% CoE; Kd 3.6% after tax; 11% debt -&gt; 8.8%, rounded 9.0%</t>
        </is>
      </c>
    </row>
    <row r="4">
      <c r="A4" t="inlineStr">
        <is>
          <t>D&amp;A % of revenue</t>
        </is>
      </c>
      <c r="B4" s="2" t="n">
        <v>0.11</v>
      </c>
      <c r="C4" t="inlineStr">
        <is>
          <t>FY2026 10.6%; rises with the capex programme</t>
        </is>
      </c>
    </row>
    <row r="5">
      <c r="A5" t="inlineStr">
        <is>
          <t>Working-capital capture (x change in revenue)</t>
        </is>
      </c>
      <c r="B5" s="2" t="n">
        <v>-0.1</v>
      </c>
      <c r="C5" t="inlineStr">
        <is>
          <t>negative: receivables + inventory &gt; payables</t>
        </is>
      </c>
    </row>
    <row r="6">
      <c r="A6" t="inlineStr">
        <is>
          <t>BHP net debt 30-Jun-2026</t>
        </is>
      </c>
      <c r="B6" s="2" t="n">
        <v>8694</v>
      </c>
      <c r="C6" t="inlineStr">
        <is>
          <t>note 21; includes leases ex freight-index, derivatives</t>
        </is>
      </c>
    </row>
    <row r="7">
      <c r="A7" t="inlineStr">
        <is>
          <t>Samarco dam-failure provision 30-Jun-2026</t>
        </is>
      </c>
      <c r="B7" s="2" t="n">
        <v>5197</v>
      </c>
      <c r="C7" t="inlineStr">
        <is>
          <t>note 4, discounted; paid over ~20 years via EAI funding (outside FCF)</t>
        </is>
      </c>
    </row>
    <row r="8">
      <c r="A8" t="inlineStr">
        <is>
          <t>Antamina silver-stream liability</t>
        </is>
      </c>
      <c r="B8" s="2" t="n">
        <v>4259</v>
      </c>
      <c r="C8" t="inlineStr">
        <is>
          <t>US$4,300m proceeds less US$41m settled; BHP excludes from net debt</t>
        </is>
      </c>
    </row>
    <row r="9">
      <c r="A9" t="inlineStr">
        <is>
          <t>Total bridge deduction</t>
        </is>
      </c>
      <c r="B9">
        <f>B6+B7+B8</f>
        <v/>
      </c>
      <c r="C9" t="inlineStr">
        <is>
          <t>EV less this = equity</t>
        </is>
      </c>
    </row>
    <row r="10">
      <c r="A10" t="inlineStr">
        <is>
          <t>Diluted shares (m), held flat</t>
        </is>
      </c>
      <c r="B10" s="2" t="n">
        <v>5092</v>
      </c>
      <c r="C10" t="inlineStr">
        <is>
          <t>5,081.4m on issue + 11m dilutive awards</t>
        </is>
      </c>
    </row>
    <row r="11">
      <c r="A11" t="inlineStr">
        <is>
          <t>Price (AUD)</t>
        </is>
      </c>
      <c r="B11" s="2" t="n">
        <v>60.78</v>
      </c>
      <c r="C11" t="inlineStr">
        <is>
          <t>2026-09-21T06:18:34Z (ASX regular session; Yahoo regularMarketPrice)</t>
        </is>
      </c>
    </row>
    <row r="12">
      <c r="A12" t="inlineStr">
        <is>
          <t>Price timestamp</t>
        </is>
      </c>
      <c r="B12" s="2" t="inlineStr">
        <is>
          <t>2026-09-21T06:18:34Z (ASX regular session; Yahoo regularMarketPrice)</t>
        </is>
      </c>
      <c r="C12" t="inlineStr">
        <is>
          <t>Yahoo regularMarketTime</t>
        </is>
      </c>
    </row>
    <row r="13">
      <c r="A13" t="inlineStr">
        <is>
          <t>AUD/USD (USD per AUD)</t>
        </is>
      </c>
      <c r="B13" s="2" t="n">
        <v>0.714</v>
      </c>
      <c r="C13" t="inlineStr">
        <is>
          <t>Yahoo AUDUSD=X 2026-09-21; ADR parity check in JSON</t>
        </is>
      </c>
    </row>
    <row r="14">
      <c r="A14" t="inlineStr">
        <is>
          <t>Terminal cap multiple (x FCF_10)</t>
        </is>
      </c>
      <c r="B14" s="3" t="n">
        <v>15</v>
      </c>
      <c r="C14" t="inlineStr">
        <is>
          <t>top of the 12-15x cyclical band; tier-1 cost position</t>
        </is>
      </c>
    </row>
    <row r="15">
      <c r="A15" t="inlineStr">
        <is>
          <t>Hurdle rate for entry price</t>
        </is>
      </c>
      <c r="B15" s="2" t="n">
        <v>0.15</v>
      </c>
      <c r="C15" t="inlineStr">
        <is>
          <t>TV rebuilt at this rate</t>
        </is>
      </c>
    </row>
    <row r="16">
      <c r="A16" t="inlineStr">
        <is>
          <t>FY2026 revenue (US$M)</t>
        </is>
      </c>
      <c r="B16" s="2" t="n">
        <v>58760</v>
      </c>
      <c r="C16" t="inlineStr">
        <is>
          <t>base for all scenario revenue paths</t>
        </is>
      </c>
    </row>
    <row r="19">
      <c r="A19" s="1" t="inlineStr">
        <is>
          <t>Scenario</t>
        </is>
      </c>
      <c r="B19" s="1" t="inlineStr">
        <is>
          <t>Terminal growth</t>
        </is>
      </c>
      <c r="C19" s="1" t="inlineStr">
        <is>
          <t>Probability</t>
        </is>
      </c>
    </row>
    <row r="20">
      <c r="A20" t="inlineStr">
        <is>
          <t>Bear</t>
        </is>
      </c>
      <c r="B20" s="3" t="n">
        <v>0.02</v>
      </c>
      <c r="C20" s="3" t="n">
        <v>0.25</v>
      </c>
    </row>
    <row r="21">
      <c r="A21" t="inlineStr">
        <is>
          <t>Base</t>
        </is>
      </c>
      <c r="B21" s="3" t="n">
        <v>0.025</v>
      </c>
      <c r="C21" s="3" t="n">
        <v>0.5</v>
      </c>
    </row>
    <row r="22">
      <c r="A22" t="inlineStr">
        <is>
          <t>Bull</t>
        </is>
      </c>
      <c r="B22" s="3" t="n">
        <v>0.03</v>
      </c>
      <c r="C22" s="3" t="n">
        <v>0.25</v>
      </c>
    </row>
    <row r="23">
      <c r="A23" t="inlineStr">
        <is>
          <t>Weights check (must be 1.0)</t>
        </is>
      </c>
      <c r="C23">
        <f>SUM(C20:C22)</f>
        <v/>
      </c>
    </row>
    <row r="24">
      <c r="A24" t="inlineStr">
        <is>
          <t>Weights rationale</t>
        </is>
      </c>
      <c r="B24" t="inlineStr">
        <is>
          <t>25% bear / 50% base / 25% bull, moved from the house 15/50/35. Bear raised to 25% because the FY2026 base year is a commodity-price peak (record copper, 56% margin) and mean reversion is the central risk for a price-taker, not a tail - management itself was wrong-footed on the last China steel call, and the Samarco UK causation trial (Oct-2026 to Mar-2027) is a dated, live liability catalyst. Bull cut to 25% because it needs two independent prices (copper AND iron ore) to hold near record simultaneously while Jansen and the Escondida concentrator execute on schedule. Balance sheet (13% gearing, US$18.5bn cash) rules out solvency-type bear weights above 25%.</t>
        </is>
      </c>
    </row>
    <row r="26">
      <c r="A26" s="1" t="inlineStr">
        <is>
          <t>Scenario narratives</t>
        </is>
      </c>
    </row>
    <row r="27">
      <c r="A27" t="inlineStr">
        <is>
          <t>Bear</t>
        </is>
      </c>
      <c r="B27" t="inlineStr">
        <is>
          <t>China steel peak, copper reset, and the liability tail bites. Iron ore falls to ~US$75/t as Chinese property-led steel demand finally rolls over (management has already been wrong-footed once on the timing), copper resets to ~US$3.75/lb as new supply (Anglo-Teck, Rio-Glencore scale, Kamoa, Oyu Tolgoi) arrives, and metallurgical coal stays weak. Revenue falls 15% in FY2027 and 6% in FY2028 before growing 2-3% on volume; margins compress to 46% (FY2016-style cost-curve pressure with AUD/CLP tailwinds partly offsetting). Capex cannot flex below ~US$11bn until Jansen S1/S2 and the copper program finish, so capex intensity peaks at 23% of revenue. The UK Samarco causation trial (Oct-2026 to Mar-2027) and a possible damages trial add unquantified cost beyond the US$5.2bn provision; Jansen Stage 2 shows a second overrun. Terminal growth 2%.</t>
        </is>
      </c>
    </row>
    <row r="28">
      <c r="A28" t="inlineStr">
        <is>
          <t>Base</t>
        </is>
      </c>
      <c r="B28" t="inlineStr">
        <is>
          <t>Mid-cycle reversion with volume growth. Copper fades from the FY2026 record toward a long-run ~US$4.25/lb and iron ore settles around US$90-95/t, so revenue slips ~5% over FY2027-28 even as volumes rise; from FY2029 the Escondida growth program, Copper SA, Jansen Stage 1 (first potash mid-CY2027 = FY2028) and Stage 2 (FY2031) plus WAIO &gt;305Mt lift nominal revenue 4-5%/yr, tapering to 2.5%. Underlying EBITDA margin fades from 56.1% (FY2026) to the 52% ten-year median by FY2029 and stays there (Jansen's &gt;65% margin is too small to move the group). Capex plus lease additions held at the US$11bn guidance run-rate (20% of revenue) through the Jansen/Escondida build, then declines to ~13.5% (sustaining plus depletion replacement) by FY2036. Tax+royalty at 35% of EBIT and NCI (42.5% of Escondida, Samarco-adjacent JV partners) at 19.5-21% of after-tax profit are combined into one 47.5-49% leakage driver that rises with copper mix. Samarco settlement (US$5.2bn provision, paid over 20 years), the US$4.3bn Antamina silver stream and BHP's own US$8.7bn net debt are deducted once in the bridge.</t>
        </is>
      </c>
    </row>
    <row r="29">
      <c r="A29" t="inlineStr">
        <is>
          <t>Bull</t>
        </is>
      </c>
      <c r="B29" t="inlineStr">
        <is>
          <t>Copper supercycle plus resilient China steel. Copper holds at or above US$5/lb on electrification, grid and AI data-centre demand; iron ore stays ~US$100/t because Chinese steel output has now exceeded 1bn t for six straight years; Jansen delivers on the revised schedule and the Escondida concentrator (230-270ktpa) is approved. Revenue grows 3-6%/yr through FY2032 with margins at 56-57%. Because copper (higher-NCI) drives the mix, the tax+NCI leakage rises to 50%. Same WACC as base: cyclicality is priced in the flows, not the discount rate.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Bear case - owner FCF component build (US$M). Drivers in blue rows 5, 7, 9, 14, 22.</t>
        </is>
      </c>
    </row>
    <row r="3">
      <c r="A3" t="inlineStr">
        <is>
          <t>Year</t>
        </is>
      </c>
      <c r="B3" s="1" t="inlineStr">
        <is>
          <t>FY2026A</t>
        </is>
      </c>
      <c r="C3" s="1" t="inlineStr">
        <is>
          <t>FY2027E</t>
        </is>
      </c>
      <c r="D3" s="1" t="inlineStr">
        <is>
          <t>FY2028E</t>
        </is>
      </c>
      <c r="E3" s="1" t="inlineStr">
        <is>
          <t>FY2029E</t>
        </is>
      </c>
      <c r="F3" s="1" t="inlineStr">
        <is>
          <t>FY2030E</t>
        </is>
      </c>
      <c r="G3" s="1" t="inlineStr">
        <is>
          <t>FY2031E</t>
        </is>
      </c>
      <c r="H3" s="1" t="inlineStr">
        <is>
          <t>FY2032E</t>
        </is>
      </c>
      <c r="I3" s="1" t="inlineStr">
        <is>
          <t>FY2033E</t>
        </is>
      </c>
      <c r="J3" s="1" t="inlineStr">
        <is>
          <t>FY2034E</t>
        </is>
      </c>
      <c r="K3" s="1" t="inlineStr">
        <is>
          <t>FY2035E</t>
        </is>
      </c>
      <c r="L3" s="1" t="inlineStr">
        <is>
          <t>FY2036E</t>
        </is>
      </c>
    </row>
    <row r="4">
      <c r="A4" t="inlineStr">
        <is>
          <t>Year index</t>
        </is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</row>
    <row r="5">
      <c r="A5" t="inlineStr">
        <is>
          <t>Revenue growth YoY (driver)</t>
        </is>
      </c>
      <c r="B5" s="4" t="n"/>
      <c r="C5" s="5" t="n">
        <v>-0.15</v>
      </c>
      <c r="D5" s="5" t="n">
        <v>-0.06</v>
      </c>
      <c r="E5" s="5" t="n">
        <v>0.02</v>
      </c>
      <c r="F5" s="5" t="n">
        <v>0.03</v>
      </c>
      <c r="G5" s="5" t="n">
        <v>0.03</v>
      </c>
      <c r="H5" s="5" t="n">
        <v>0.03</v>
      </c>
      <c r="I5" s="5" t="n">
        <v>0.025</v>
      </c>
      <c r="J5" s="5" t="n">
        <v>0.02</v>
      </c>
      <c r="K5" s="5" t="n">
        <v>0.02</v>
      </c>
      <c r="L5" s="5" t="n">
        <v>0.02</v>
      </c>
    </row>
    <row r="6">
      <c r="A6" t="inlineStr">
        <is>
          <t>Revenue</t>
        </is>
      </c>
      <c r="B6" s="6">
        <f>Assumptions!$B$16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  <c r="L6">
        <f>K6*(1+L5)</f>
        <v/>
      </c>
    </row>
    <row r="7">
      <c r="A7" t="inlineStr">
        <is>
          <t>Underlying EBITDA margin (driver)</t>
        </is>
      </c>
      <c r="B7" s="4">
        <f>B8/B6</f>
        <v/>
      </c>
      <c r="C7" s="5" t="n">
        <v>0.48</v>
      </c>
      <c r="D7" s="5" t="n">
        <v>0.46</v>
      </c>
      <c r="E7" s="5" t="n">
        <v>0.46</v>
      </c>
      <c r="F7" s="5" t="n">
        <v>0.46</v>
      </c>
      <c r="G7" s="5" t="n">
        <v>0.46</v>
      </c>
      <c r="H7" s="5" t="n">
        <v>0.46</v>
      </c>
      <c r="I7" s="5" t="n">
        <v>0.46</v>
      </c>
      <c r="J7" s="5" t="n">
        <v>0.46</v>
      </c>
      <c r="K7" s="5" t="n">
        <v>0.46</v>
      </c>
      <c r="L7" s="5" t="n">
        <v>0.46</v>
      </c>
    </row>
    <row r="8">
      <c r="A8" t="inlineStr">
        <is>
          <t>Underlying EBITDA</t>
        </is>
      </c>
      <c r="B8" s="2" t="n">
        <v>32947</v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  <c r="L8">
        <f>L6*L7</f>
        <v/>
      </c>
    </row>
    <row r="9">
      <c r="A9" t="inlineStr">
        <is>
          <t>SBC % of revenue (driver)</t>
        </is>
      </c>
      <c r="B9" s="4" t="n"/>
      <c r="C9" s="7" t="n">
        <v>0.002</v>
      </c>
      <c r="D9" s="7" t="n">
        <v>0.002</v>
      </c>
      <c r="E9" s="7" t="n">
        <v>0.002</v>
      </c>
      <c r="F9" s="7" t="n">
        <v>0.002</v>
      </c>
      <c r="G9" s="7" t="n">
        <v>0.002</v>
      </c>
      <c r="H9" s="7" t="n">
        <v>0.002</v>
      </c>
      <c r="I9" s="7" t="n">
        <v>0.002</v>
      </c>
      <c r="J9" s="7" t="n">
        <v>0.002</v>
      </c>
      <c r="K9" s="7" t="n">
        <v>0.002</v>
      </c>
      <c r="L9" s="7" t="n">
        <v>0.002</v>
      </c>
    </row>
    <row r="10">
      <c r="A10" t="inlineStr">
        <is>
          <t>SBC (negative)</t>
        </is>
      </c>
      <c r="C10">
        <f>-C6*C9</f>
        <v/>
      </c>
      <c r="D10">
        <f>-D6*D9</f>
        <v/>
      </c>
      <c r="E10">
        <f>-E6*E9</f>
        <v/>
      </c>
      <c r="F10">
        <f>-F6*F9</f>
        <v/>
      </c>
      <c r="G10">
        <f>-G6*G9</f>
        <v/>
      </c>
      <c r="H10">
        <f>-H6*H9</f>
        <v/>
      </c>
      <c r="I10">
        <f>-I6*I9</f>
        <v/>
      </c>
      <c r="J10">
        <f>-J6*J9</f>
        <v/>
      </c>
      <c r="K10">
        <f>-K6*K9</f>
        <v/>
      </c>
      <c r="L10">
        <f>-L6*L9</f>
        <v/>
      </c>
    </row>
    <row r="11">
      <c r="A11" t="inlineStr">
        <is>
          <t>Owner EBITDA</t>
        </is>
      </c>
      <c r="C11">
        <f>C8+C10</f>
        <v/>
      </c>
      <c r="D11">
        <f>D8+D10</f>
        <v/>
      </c>
      <c r="E11">
        <f>E8+E10</f>
        <v/>
      </c>
      <c r="F11">
        <f>F8+F10</f>
        <v/>
      </c>
      <c r="G11">
        <f>G8+G10</f>
        <v/>
      </c>
      <c r="H11">
        <f>H8+H10</f>
        <v/>
      </c>
      <c r="I11">
        <f>I8+I10</f>
        <v/>
      </c>
      <c r="J11">
        <f>J8+J10</f>
        <v/>
      </c>
      <c r="K11">
        <f>K8+K10</f>
        <v/>
      </c>
      <c r="L11">
        <f>L8+L10</f>
        <v/>
      </c>
    </row>
    <row r="12">
      <c r="A12" t="inlineStr">
        <is>
          <t>D&amp;A (negative)</t>
        </is>
      </c>
      <c r="C12" s="6">
        <f>-C6*Assumptions!$B$4</f>
        <v/>
      </c>
      <c r="D12" s="6">
        <f>-D6*Assumptions!$B$4</f>
        <v/>
      </c>
      <c r="E12" s="6">
        <f>-E6*Assumptions!$B$4</f>
        <v/>
      </c>
      <c r="F12" s="6">
        <f>-F6*Assumptions!$B$4</f>
        <v/>
      </c>
      <c r="G12" s="6">
        <f>-G6*Assumptions!$B$4</f>
        <v/>
      </c>
      <c r="H12" s="6">
        <f>-H6*Assumptions!$B$4</f>
        <v/>
      </c>
      <c r="I12" s="6">
        <f>-I6*Assumptions!$B$4</f>
        <v/>
      </c>
      <c r="J12" s="6">
        <f>-J6*Assumptions!$B$4</f>
        <v/>
      </c>
      <c r="K12" s="6">
        <f>-K6*Assumptions!$B$4</f>
        <v/>
      </c>
      <c r="L12" s="6">
        <f>-L6*Assumptions!$B$4</f>
        <v/>
      </c>
    </row>
    <row r="13">
      <c r="A13" t="inlineStr">
        <is>
          <t>EBIT, SBC expensed</t>
        </is>
      </c>
      <c r="C13">
        <f>C11+C12</f>
        <v/>
      </c>
      <c r="D13">
        <f>D11+D12</f>
        <v/>
      </c>
      <c r="E13">
        <f>E11+E12</f>
        <v/>
      </c>
      <c r="F13">
        <f>F11+F12</f>
        <v/>
      </c>
      <c r="G13">
        <f>G11+G12</f>
        <v/>
      </c>
      <c r="H13">
        <f>H11+H12</f>
        <v/>
      </c>
      <c r="I13">
        <f>I11+I12</f>
        <v/>
      </c>
      <c r="J13">
        <f>J11+J12</f>
        <v/>
      </c>
      <c r="K13">
        <f>K11+K12</f>
        <v/>
      </c>
      <c r="L13">
        <f>L11+L12</f>
        <v/>
      </c>
    </row>
    <row r="14">
      <c r="A14" t="inlineStr">
        <is>
          <t>Tax + NCI leakage rate on EBIT (driver)</t>
        </is>
      </c>
      <c r="B14" s="4" t="n"/>
      <c r="C14" s="5" t="n">
        <v>0.465</v>
      </c>
      <c r="D14" s="5" t="n">
        <v>0.46</v>
      </c>
      <c r="E14" s="5" t="n">
        <v>0.46</v>
      </c>
      <c r="F14" s="5" t="n">
        <v>0.46</v>
      </c>
      <c r="G14" s="5" t="n">
        <v>0.46</v>
      </c>
      <c r="H14" s="5" t="n">
        <v>0.46</v>
      </c>
      <c r="I14" s="5" t="n">
        <v>0.46</v>
      </c>
      <c r="J14" s="5" t="n">
        <v>0.46</v>
      </c>
      <c r="K14" s="5" t="n">
        <v>0.46</v>
      </c>
      <c r="L14" s="5" t="n">
        <v>0.46</v>
      </c>
    </row>
    <row r="15">
      <c r="A15" t="inlineStr">
        <is>
          <t>NOPAT attributable</t>
        </is>
      </c>
      <c r="C15">
        <f>C13-MAX(0,C13)*C14</f>
        <v/>
      </c>
      <c r="D15">
        <f>D13-MAX(0,D13)*D14</f>
        <v/>
      </c>
      <c r="E15">
        <f>E13-MAX(0,E13)*E14</f>
        <v/>
      </c>
      <c r="F15">
        <f>F13-MAX(0,F13)*F14</f>
        <v/>
      </c>
      <c r="G15">
        <f>G13-MAX(0,G13)*G14</f>
        <v/>
      </c>
      <c r="H15">
        <f>H13-MAX(0,H13)*H14</f>
        <v/>
      </c>
      <c r="I15">
        <f>I13-MAX(0,I13)*I14</f>
        <v/>
      </c>
      <c r="J15">
        <f>J13-MAX(0,J13)*J14</f>
        <v/>
      </c>
      <c r="K15">
        <f>K13-MAX(0,K13)*K14</f>
        <v/>
      </c>
      <c r="L15">
        <f>L13-MAX(0,L13)*L14</f>
        <v/>
      </c>
    </row>
    <row r="16">
      <c r="A16" t="inlineStr">
        <is>
          <t>add back D&amp;A</t>
        </is>
      </c>
      <c r="C16">
        <f>-C12</f>
        <v/>
      </c>
      <c r="D16">
        <f>-D12</f>
        <v/>
      </c>
      <c r="E16">
        <f>-E12</f>
        <v/>
      </c>
      <c r="F16">
        <f>-F12</f>
        <v/>
      </c>
      <c r="G16">
        <f>-G12</f>
        <v/>
      </c>
      <c r="H16">
        <f>-H12</f>
        <v/>
      </c>
      <c r="I16">
        <f>-I12</f>
        <v/>
      </c>
      <c r="J16">
        <f>-J12</f>
        <v/>
      </c>
      <c r="K16">
        <f>-K12</f>
        <v/>
      </c>
      <c r="L16">
        <f>-L12</f>
        <v/>
      </c>
    </row>
    <row r="17">
      <c r="A17" t="inlineStr">
        <is>
          <t>less capex incl. lease additions</t>
        </is>
      </c>
      <c r="C17">
        <f>-C6*C22</f>
        <v/>
      </c>
      <c r="D17">
        <f>-D6*D22</f>
        <v/>
      </c>
      <c r="E17">
        <f>-E6*E22</f>
        <v/>
      </c>
      <c r="F17">
        <f>-F6*F22</f>
        <v/>
      </c>
      <c r="G17">
        <f>-G6*G22</f>
        <v/>
      </c>
      <c r="H17">
        <f>-H6*H22</f>
        <v/>
      </c>
      <c r="I17">
        <f>-I6*I22</f>
        <v/>
      </c>
      <c r="J17">
        <f>-J6*J22</f>
        <v/>
      </c>
      <c r="K17">
        <f>-K6*K22</f>
        <v/>
      </c>
      <c r="L17">
        <f>-L6*L22</f>
        <v/>
      </c>
    </row>
    <row r="18">
      <c r="A18" t="inlineStr">
        <is>
          <t>add working capital (on change in revenue)</t>
        </is>
      </c>
      <c r="C18" s="6">
        <f>Assumptions!$B$5*(C6-B6)</f>
        <v/>
      </c>
      <c r="D18" s="6">
        <f>Assumptions!$B$5*(D6-C6)</f>
        <v/>
      </c>
      <c r="E18" s="6">
        <f>Assumptions!$B$5*(E6-D6)</f>
        <v/>
      </c>
      <c r="F18" s="6">
        <f>Assumptions!$B$5*(F6-E6)</f>
        <v/>
      </c>
      <c r="G18" s="6">
        <f>Assumptions!$B$5*(G6-F6)</f>
        <v/>
      </c>
      <c r="H18" s="6">
        <f>Assumptions!$B$5*(H6-G6)</f>
        <v/>
      </c>
      <c r="I18" s="6">
        <f>Assumptions!$B$5*(I6-H6)</f>
        <v/>
      </c>
      <c r="J18" s="6">
        <f>Assumptions!$B$5*(J6-I6)</f>
        <v/>
      </c>
      <c r="K18" s="6">
        <f>Assumptions!$B$5*(K6-J6)</f>
        <v/>
      </c>
      <c r="L18" s="6">
        <f>Assumptions!$B$5*(L6-K6)</f>
        <v/>
      </c>
    </row>
    <row r="19">
      <c r="A19" t="inlineStr">
        <is>
          <t>Unlevered owner FCF (attributable)</t>
        </is>
      </c>
      <c r="C19" s="1">
        <f>C15+C16+C17+C18</f>
        <v/>
      </c>
      <c r="D19" s="1">
        <f>D15+D16+D17+D18</f>
        <v/>
      </c>
      <c r="E19" s="1">
        <f>E15+E16+E17+E18</f>
        <v/>
      </c>
      <c r="F19" s="1">
        <f>F15+F16+F17+F18</f>
        <v/>
      </c>
      <c r="G19" s="1">
        <f>G15+G16+G17+G18</f>
        <v/>
      </c>
      <c r="H19" s="1">
        <f>H15+H16+H17+H18</f>
        <v/>
      </c>
      <c r="I19" s="1">
        <f>I15+I16+I17+I18</f>
        <v/>
      </c>
      <c r="J19" s="1">
        <f>J15+J16+J17+J18</f>
        <v/>
      </c>
      <c r="K19" s="1">
        <f>K15+K16+K17+K18</f>
        <v/>
      </c>
      <c r="L19" s="1">
        <f>L15+L16+L17+L18</f>
        <v/>
      </c>
    </row>
    <row r="20">
      <c r="A20" t="inlineStr">
        <is>
          <t>Discount factor</t>
        </is>
      </c>
      <c r="C20" s="6">
        <f>1/(1+Assumptions!$B$3)^C4</f>
        <v/>
      </c>
      <c r="D20" s="6">
        <f>1/(1+Assumptions!$B$3)^D4</f>
        <v/>
      </c>
      <c r="E20" s="6">
        <f>1/(1+Assumptions!$B$3)^E4</f>
        <v/>
      </c>
      <c r="F20" s="6">
        <f>1/(1+Assumptions!$B$3)^F4</f>
        <v/>
      </c>
      <c r="G20" s="6">
        <f>1/(1+Assumptions!$B$3)^G4</f>
        <v/>
      </c>
      <c r="H20" s="6">
        <f>1/(1+Assumptions!$B$3)^H4</f>
        <v/>
      </c>
      <c r="I20" s="6">
        <f>1/(1+Assumptions!$B$3)^I4</f>
        <v/>
      </c>
      <c r="J20" s="6">
        <f>1/(1+Assumptions!$B$3)^J4</f>
        <v/>
      </c>
      <c r="K20" s="6">
        <f>1/(1+Assumptions!$B$3)^K4</f>
        <v/>
      </c>
      <c r="L20" s="6">
        <f>1/(1+Assumptions!$B$3)^L4</f>
        <v/>
      </c>
    </row>
    <row r="21">
      <c r="A21" t="inlineStr">
        <is>
          <t>PV of FCF</t>
        </is>
      </c>
      <c r="C21">
        <f>C19*C20</f>
        <v/>
      </c>
      <c r="D21">
        <f>D19*D20</f>
        <v/>
      </c>
      <c r="E21">
        <f>E19*E20</f>
        <v/>
      </c>
      <c r="F21">
        <f>F19*F20</f>
        <v/>
      </c>
      <c r="G21">
        <f>G19*G20</f>
        <v/>
      </c>
      <c r="H21">
        <f>H19*H20</f>
        <v/>
      </c>
      <c r="I21">
        <f>I19*I20</f>
        <v/>
      </c>
      <c r="J21">
        <f>J19*J20</f>
        <v/>
      </c>
      <c r="K21">
        <f>K19*K20</f>
        <v/>
      </c>
      <c r="L21">
        <f>L19*L20</f>
        <v/>
      </c>
    </row>
    <row r="22">
      <c r="A22" t="inlineStr">
        <is>
          <t>Capex % of revenue (driver)</t>
        </is>
      </c>
      <c r="B22" s="4" t="n"/>
      <c r="C22" s="5" t="n">
        <v>0.23</v>
      </c>
      <c r="D22" s="5" t="n">
        <v>0.23</v>
      </c>
      <c r="E22" s="5" t="n">
        <v>0.21</v>
      </c>
      <c r="F22" s="5" t="n">
        <v>0.195</v>
      </c>
      <c r="G22" s="5" t="n">
        <v>0.185</v>
      </c>
      <c r="H22" s="5" t="n">
        <v>0.175</v>
      </c>
      <c r="I22" s="5" t="n">
        <v>0.165</v>
      </c>
      <c r="J22" s="5" t="n">
        <v>0.155</v>
      </c>
      <c r="K22" s="5" t="n">
        <v>0.145</v>
      </c>
      <c r="L22" s="5" t="n">
        <v>0.14</v>
      </c>
    </row>
    <row r="23">
      <c r="A23" t="inlineStr">
        <is>
          <t>Memo: FCF before SBC (company-style)</t>
        </is>
      </c>
      <c r="C23">
        <f>C19-C10</f>
        <v/>
      </c>
      <c r="D23">
        <f>D19-D10</f>
        <v/>
      </c>
      <c r="E23">
        <f>E19-E10</f>
        <v/>
      </c>
      <c r="F23">
        <f>F19-F10</f>
        <v/>
      </c>
      <c r="G23">
        <f>G19-G10</f>
        <v/>
      </c>
      <c r="H23">
        <f>H19-H10</f>
        <v/>
      </c>
      <c r="I23">
        <f>I19-I10</f>
        <v/>
      </c>
      <c r="J23">
        <f>J19-J10</f>
        <v/>
      </c>
      <c r="K23">
        <f>K19-K10</f>
        <v/>
      </c>
      <c r="L23">
        <f>L19-L10</f>
        <v/>
      </c>
    </row>
    <row r="24">
      <c r="A24" t="inlineStr">
        <is>
          <t>Memo: owner-FCF margin</t>
        </is>
      </c>
      <c r="B24" s="4" t="n"/>
      <c r="C24" s="4">
        <f>C19/C6</f>
        <v/>
      </c>
      <c r="D24" s="4">
        <f>D19/D6</f>
        <v/>
      </c>
      <c r="E24" s="4">
        <f>E19/E6</f>
        <v/>
      </c>
      <c r="F24" s="4">
        <f>F19/F6</f>
        <v/>
      </c>
      <c r="G24" s="4">
        <f>G19/G6</f>
        <v/>
      </c>
      <c r="H24" s="4">
        <f>H19/H6</f>
        <v/>
      </c>
      <c r="I24" s="4">
        <f>I19/I6</f>
        <v/>
      </c>
      <c r="J24" s="4">
        <f>J19/J6</f>
        <v/>
      </c>
      <c r="K24" s="4">
        <f>K19/K6</f>
        <v/>
      </c>
      <c r="L24" s="4">
        <f>L19/L6</f>
        <v/>
      </c>
    </row>
    <row r="26">
      <c r="A26" t="inlineStr">
        <is>
          <t>Sum of PV of FCF</t>
        </is>
      </c>
      <c r="B26">
        <f>SUM(C21:L21)</f>
        <v/>
      </c>
    </row>
    <row r="27">
      <c r="A27" t="inlineStr">
        <is>
          <t>Terminal growth</t>
        </is>
      </c>
      <c r="B27" s="6">
        <f>Assumptions!$B$20</f>
        <v/>
      </c>
    </row>
    <row r="28">
      <c r="A28" t="inlineStr">
        <is>
          <t>Terminal-year FCF x (1+g)</t>
        </is>
      </c>
      <c r="B28">
        <f>L19*(1+B27)</f>
        <v/>
      </c>
    </row>
    <row r="29">
      <c r="A29" t="inlineStr">
        <is>
          <t>Gordon TV</t>
        </is>
      </c>
      <c r="B29">
        <f>IF(Assumptions!$B$3&gt;B27,B28/(Assumptions!$B$3-B27),0)</f>
        <v/>
      </c>
    </row>
    <row r="30">
      <c r="A30" t="inlineStr">
        <is>
          <t>Cap TV (cap x FCF_10)</t>
        </is>
      </c>
      <c r="B30">
        <f>Assumptions!$B$14*L19</f>
        <v/>
      </c>
    </row>
    <row r="31">
      <c r="A31" t="inlineStr">
        <is>
          <t>TV used = MAX(0,MIN(Gordon,cap))</t>
        </is>
      </c>
      <c r="B31">
        <f>MAX(0,MIN(B29,B30))</f>
        <v/>
      </c>
    </row>
    <row r="32">
      <c r="A32" t="inlineStr">
        <is>
          <t>Implied exit multiple (TV / FCF_10)</t>
        </is>
      </c>
      <c r="B32">
        <f>IF(L19&lt;&gt;0,B31/L19,0)</f>
        <v/>
      </c>
    </row>
    <row r="33">
      <c r="A33" t="inlineStr">
        <is>
          <t>PV of TV</t>
        </is>
      </c>
      <c r="B33">
        <f>B31*L20</f>
        <v/>
      </c>
    </row>
    <row r="34">
      <c r="A34" t="inlineStr">
        <is>
          <t>Enterprise value</t>
        </is>
      </c>
      <c r="B34">
        <f>B26+B33</f>
        <v/>
      </c>
    </row>
    <row r="35">
      <c r="A35" t="inlineStr">
        <is>
          <t>less bridge (net debt + Samarco + stream)</t>
        </is>
      </c>
      <c r="B35" s="6">
        <f>-Assumptions!$B$9</f>
        <v/>
      </c>
    </row>
    <row r="36">
      <c r="A36" t="inlineStr">
        <is>
          <t>Equity value (US$M)</t>
        </is>
      </c>
      <c r="B36">
        <f>B34+B35</f>
        <v/>
      </c>
    </row>
    <row r="37">
      <c r="A37" t="inlineStr">
        <is>
          <t>Diluted shares (m)</t>
        </is>
      </c>
      <c r="B37" s="6">
        <f>Assumptions!$B$10</f>
        <v/>
      </c>
    </row>
    <row r="38">
      <c r="A38" t="inlineStr">
        <is>
          <t>Value per share (USD)</t>
        </is>
      </c>
      <c r="B38" s="8">
        <f>B36/B37</f>
        <v/>
      </c>
    </row>
    <row r="39">
      <c r="A39" t="inlineStr">
        <is>
          <t>Value per share (AUD)</t>
        </is>
      </c>
      <c r="B39" s="9">
        <f>B38/Assumptions!$B$13</f>
        <v/>
      </c>
    </row>
    <row r="40">
      <c r="A40" t="inlineStr">
        <is>
          <t>Upside vs price</t>
        </is>
      </c>
      <c r="B40" s="4">
        <f>B39/Assumptions!$B$11-1</f>
        <v/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</row>
    <row r="41">
      <c r="A41" t="inlineStr">
        <is>
          <t>Street memo: PV of explicit SBC</t>
        </is>
      </c>
      <c r="B41">
        <f>SUMPRODUCT(-C10:L10/(1+Assumptions!$B$3)^C4:L4)</f>
        <v/>
      </c>
    </row>
    <row r="42">
      <c r="A42" t="inlineStr">
        <is>
          <t>Street memo: PV of terminal SBC</t>
        </is>
      </c>
      <c r="B42">
        <f>IF(Assumptions!$B$3&gt;B27,(-L10*(1+B27)/(Assumptions!$B$3-B27))*L20,0)</f>
        <v/>
      </c>
    </row>
    <row r="43">
      <c r="A43" t="inlineStr">
        <is>
          <t>Street value per share (AUD)</t>
        </is>
      </c>
      <c r="B43">
        <f>(B36+B41+B42)/B37/Assumptions!$B$13</f>
        <v/>
      </c>
    </row>
    <row r="44">
      <c r="A44" t="inlineStr">
        <is>
          <t>Street value per share (USD)</t>
        </is>
      </c>
      <c r="B44">
        <f>(B36+B41+B42)/B37</f>
        <v/>
      </c>
    </row>
    <row r="45">
      <c r="A45" t="inlineStr">
        <is>
          <t>Terminal % of EV</t>
        </is>
      </c>
      <c r="B45" s="4">
        <f>B33/B34</f>
        <v/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Base case - owner FCF component build (US$M). Drivers in blue rows 5, 7, 9, 14, 22.</t>
        </is>
      </c>
    </row>
    <row r="3">
      <c r="A3" t="inlineStr">
        <is>
          <t>Year</t>
        </is>
      </c>
      <c r="B3" s="1" t="inlineStr">
        <is>
          <t>FY2026A</t>
        </is>
      </c>
      <c r="C3" s="1" t="inlineStr">
        <is>
          <t>FY2027E</t>
        </is>
      </c>
      <c r="D3" s="1" t="inlineStr">
        <is>
          <t>FY2028E</t>
        </is>
      </c>
      <c r="E3" s="1" t="inlineStr">
        <is>
          <t>FY2029E</t>
        </is>
      </c>
      <c r="F3" s="1" t="inlineStr">
        <is>
          <t>FY2030E</t>
        </is>
      </c>
      <c r="G3" s="1" t="inlineStr">
        <is>
          <t>FY2031E</t>
        </is>
      </c>
      <c r="H3" s="1" t="inlineStr">
        <is>
          <t>FY2032E</t>
        </is>
      </c>
      <c r="I3" s="1" t="inlineStr">
        <is>
          <t>FY2033E</t>
        </is>
      </c>
      <c r="J3" s="1" t="inlineStr">
        <is>
          <t>FY2034E</t>
        </is>
      </c>
      <c r="K3" s="1" t="inlineStr">
        <is>
          <t>FY2035E</t>
        </is>
      </c>
      <c r="L3" s="1" t="inlineStr">
        <is>
          <t>FY2036E</t>
        </is>
      </c>
    </row>
    <row r="4">
      <c r="A4" t="inlineStr">
        <is>
          <t>Year index</t>
        </is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</row>
    <row r="5">
      <c r="A5" t="inlineStr">
        <is>
          <t>Revenue growth YoY (driver)</t>
        </is>
      </c>
      <c r="B5" s="4" t="n"/>
      <c r="C5" s="5" t="n">
        <v>-0.04</v>
      </c>
      <c r="D5" s="5" t="n">
        <v>-0.01</v>
      </c>
      <c r="E5" s="5" t="n">
        <v>0.045</v>
      </c>
      <c r="F5" s="5" t="n">
        <v>0.05</v>
      </c>
      <c r="G5" s="5" t="n">
        <v>0.05</v>
      </c>
      <c r="H5" s="5" t="n">
        <v>0.045</v>
      </c>
      <c r="I5" s="5" t="n">
        <v>0.04</v>
      </c>
      <c r="J5" s="5" t="n">
        <v>0.03</v>
      </c>
      <c r="K5" s="5" t="n">
        <v>0.025</v>
      </c>
      <c r="L5" s="5" t="n">
        <v>0.025</v>
      </c>
    </row>
    <row r="6">
      <c r="A6" t="inlineStr">
        <is>
          <t>Revenue</t>
        </is>
      </c>
      <c r="B6" s="6">
        <f>Assumptions!$B$16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  <c r="L6">
        <f>K6*(1+L5)</f>
        <v/>
      </c>
    </row>
    <row r="7">
      <c r="A7" t="inlineStr">
        <is>
          <t>Underlying EBITDA margin (driver)</t>
        </is>
      </c>
      <c r="B7" s="4">
        <f>B8/B6</f>
        <v/>
      </c>
      <c r="C7" s="5" t="n">
        <v>0.54</v>
      </c>
      <c r="D7" s="5" t="n">
        <v>0.525</v>
      </c>
      <c r="E7" s="5" t="n">
        <v>0.52</v>
      </c>
      <c r="F7" s="5" t="n">
        <v>0.52</v>
      </c>
      <c r="G7" s="5" t="n">
        <v>0.52</v>
      </c>
      <c r="H7" s="5" t="n">
        <v>0.52</v>
      </c>
      <c r="I7" s="5" t="n">
        <v>0.52</v>
      </c>
      <c r="J7" s="5" t="n">
        <v>0.52</v>
      </c>
      <c r="K7" s="5" t="n">
        <v>0.52</v>
      </c>
      <c r="L7" s="5" t="n">
        <v>0.52</v>
      </c>
    </row>
    <row r="8">
      <c r="A8" t="inlineStr">
        <is>
          <t>Underlying EBITDA</t>
        </is>
      </c>
      <c r="B8" s="2" t="n">
        <v>32947</v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  <c r="L8">
        <f>L6*L7</f>
        <v/>
      </c>
    </row>
    <row r="9">
      <c r="A9" t="inlineStr">
        <is>
          <t>SBC % of revenue (driver)</t>
        </is>
      </c>
      <c r="B9" s="4" t="n"/>
      <c r="C9" s="7" t="n">
        <v>0.002</v>
      </c>
      <c r="D9" s="7" t="n">
        <v>0.002</v>
      </c>
      <c r="E9" s="7" t="n">
        <v>0.002</v>
      </c>
      <c r="F9" s="7" t="n">
        <v>0.002</v>
      </c>
      <c r="G9" s="7" t="n">
        <v>0.002</v>
      </c>
      <c r="H9" s="7" t="n">
        <v>0.002</v>
      </c>
      <c r="I9" s="7" t="n">
        <v>0.002</v>
      </c>
      <c r="J9" s="7" t="n">
        <v>0.002</v>
      </c>
      <c r="K9" s="7" t="n">
        <v>0.002</v>
      </c>
      <c r="L9" s="7" t="n">
        <v>0.002</v>
      </c>
    </row>
    <row r="10">
      <c r="A10" t="inlineStr">
        <is>
          <t>SBC (negative)</t>
        </is>
      </c>
      <c r="C10">
        <f>-C6*C9</f>
        <v/>
      </c>
      <c r="D10">
        <f>-D6*D9</f>
        <v/>
      </c>
      <c r="E10">
        <f>-E6*E9</f>
        <v/>
      </c>
      <c r="F10">
        <f>-F6*F9</f>
        <v/>
      </c>
      <c r="G10">
        <f>-G6*G9</f>
        <v/>
      </c>
      <c r="H10">
        <f>-H6*H9</f>
        <v/>
      </c>
      <c r="I10">
        <f>-I6*I9</f>
        <v/>
      </c>
      <c r="J10">
        <f>-J6*J9</f>
        <v/>
      </c>
      <c r="K10">
        <f>-K6*K9</f>
        <v/>
      </c>
      <c r="L10">
        <f>-L6*L9</f>
        <v/>
      </c>
    </row>
    <row r="11">
      <c r="A11" t="inlineStr">
        <is>
          <t>Owner EBITDA</t>
        </is>
      </c>
      <c r="C11">
        <f>C8+C10</f>
        <v/>
      </c>
      <c r="D11">
        <f>D8+D10</f>
        <v/>
      </c>
      <c r="E11">
        <f>E8+E10</f>
        <v/>
      </c>
      <c r="F11">
        <f>F8+F10</f>
        <v/>
      </c>
      <c r="G11">
        <f>G8+G10</f>
        <v/>
      </c>
      <c r="H11">
        <f>H8+H10</f>
        <v/>
      </c>
      <c r="I11">
        <f>I8+I10</f>
        <v/>
      </c>
      <c r="J11">
        <f>J8+J10</f>
        <v/>
      </c>
      <c r="K11">
        <f>K8+K10</f>
        <v/>
      </c>
      <c r="L11">
        <f>L8+L10</f>
        <v/>
      </c>
    </row>
    <row r="12">
      <c r="A12" t="inlineStr">
        <is>
          <t>D&amp;A (negative)</t>
        </is>
      </c>
      <c r="C12" s="6">
        <f>-C6*Assumptions!$B$4</f>
        <v/>
      </c>
      <c r="D12" s="6">
        <f>-D6*Assumptions!$B$4</f>
        <v/>
      </c>
      <c r="E12" s="6">
        <f>-E6*Assumptions!$B$4</f>
        <v/>
      </c>
      <c r="F12" s="6">
        <f>-F6*Assumptions!$B$4</f>
        <v/>
      </c>
      <c r="G12" s="6">
        <f>-G6*Assumptions!$B$4</f>
        <v/>
      </c>
      <c r="H12" s="6">
        <f>-H6*Assumptions!$B$4</f>
        <v/>
      </c>
      <c r="I12" s="6">
        <f>-I6*Assumptions!$B$4</f>
        <v/>
      </c>
      <c r="J12" s="6">
        <f>-J6*Assumptions!$B$4</f>
        <v/>
      </c>
      <c r="K12" s="6">
        <f>-K6*Assumptions!$B$4</f>
        <v/>
      </c>
      <c r="L12" s="6">
        <f>-L6*Assumptions!$B$4</f>
        <v/>
      </c>
    </row>
    <row r="13">
      <c r="A13" t="inlineStr">
        <is>
          <t>EBIT, SBC expensed</t>
        </is>
      </c>
      <c r="C13">
        <f>C11+C12</f>
        <v/>
      </c>
      <c r="D13">
        <f>D11+D12</f>
        <v/>
      </c>
      <c r="E13">
        <f>E11+E12</f>
        <v/>
      </c>
      <c r="F13">
        <f>F11+F12</f>
        <v/>
      </c>
      <c r="G13">
        <f>G11+G12</f>
        <v/>
      </c>
      <c r="H13">
        <f>H11+H12</f>
        <v/>
      </c>
      <c r="I13">
        <f>I11+I12</f>
        <v/>
      </c>
      <c r="J13">
        <f>J11+J12</f>
        <v/>
      </c>
      <c r="K13">
        <f>K11+K12</f>
        <v/>
      </c>
      <c r="L13">
        <f>L11+L12</f>
        <v/>
      </c>
    </row>
    <row r="14">
      <c r="A14" t="inlineStr">
        <is>
          <t>Tax + NCI leakage rate on EBIT (driver)</t>
        </is>
      </c>
      <c r="B14" s="4" t="n"/>
      <c r="C14" s="5" t="n">
        <v>0.475</v>
      </c>
      <c r="D14" s="5" t="n">
        <v>0.475</v>
      </c>
      <c r="E14" s="5" t="n">
        <v>0.48</v>
      </c>
      <c r="F14" s="5" t="n">
        <v>0.48</v>
      </c>
      <c r="G14" s="5" t="n">
        <v>0.485</v>
      </c>
      <c r="H14" s="5" t="n">
        <v>0.485</v>
      </c>
      <c r="I14" s="5" t="n">
        <v>0.49</v>
      </c>
      <c r="J14" s="5" t="n">
        <v>0.49</v>
      </c>
      <c r="K14" s="5" t="n">
        <v>0.49</v>
      </c>
      <c r="L14" s="5" t="n">
        <v>0.49</v>
      </c>
    </row>
    <row r="15">
      <c r="A15" t="inlineStr">
        <is>
          <t>NOPAT attributable</t>
        </is>
      </c>
      <c r="C15">
        <f>C13-MAX(0,C13)*C14</f>
        <v/>
      </c>
      <c r="D15">
        <f>D13-MAX(0,D13)*D14</f>
        <v/>
      </c>
      <c r="E15">
        <f>E13-MAX(0,E13)*E14</f>
        <v/>
      </c>
      <c r="F15">
        <f>F13-MAX(0,F13)*F14</f>
        <v/>
      </c>
      <c r="G15">
        <f>G13-MAX(0,G13)*G14</f>
        <v/>
      </c>
      <c r="H15">
        <f>H13-MAX(0,H13)*H14</f>
        <v/>
      </c>
      <c r="I15">
        <f>I13-MAX(0,I13)*I14</f>
        <v/>
      </c>
      <c r="J15">
        <f>J13-MAX(0,J13)*J14</f>
        <v/>
      </c>
      <c r="K15">
        <f>K13-MAX(0,K13)*K14</f>
        <v/>
      </c>
      <c r="L15">
        <f>L13-MAX(0,L13)*L14</f>
        <v/>
      </c>
    </row>
    <row r="16">
      <c r="A16" t="inlineStr">
        <is>
          <t>add back D&amp;A</t>
        </is>
      </c>
      <c r="C16">
        <f>-C12</f>
        <v/>
      </c>
      <c r="D16">
        <f>-D12</f>
        <v/>
      </c>
      <c r="E16">
        <f>-E12</f>
        <v/>
      </c>
      <c r="F16">
        <f>-F12</f>
        <v/>
      </c>
      <c r="G16">
        <f>-G12</f>
        <v/>
      </c>
      <c r="H16">
        <f>-H12</f>
        <v/>
      </c>
      <c r="I16">
        <f>-I12</f>
        <v/>
      </c>
      <c r="J16">
        <f>-J12</f>
        <v/>
      </c>
      <c r="K16">
        <f>-K12</f>
        <v/>
      </c>
      <c r="L16">
        <f>-L12</f>
        <v/>
      </c>
    </row>
    <row r="17">
      <c r="A17" t="inlineStr">
        <is>
          <t>less capex incl. lease additions</t>
        </is>
      </c>
      <c r="C17">
        <f>-C6*C22</f>
        <v/>
      </c>
      <c r="D17">
        <f>-D6*D22</f>
        <v/>
      </c>
      <c r="E17">
        <f>-E6*E22</f>
        <v/>
      </c>
      <c r="F17">
        <f>-F6*F22</f>
        <v/>
      </c>
      <c r="G17">
        <f>-G6*G22</f>
        <v/>
      </c>
      <c r="H17">
        <f>-H6*H22</f>
        <v/>
      </c>
      <c r="I17">
        <f>-I6*I22</f>
        <v/>
      </c>
      <c r="J17">
        <f>-J6*J22</f>
        <v/>
      </c>
      <c r="K17">
        <f>-K6*K22</f>
        <v/>
      </c>
      <c r="L17">
        <f>-L6*L22</f>
        <v/>
      </c>
    </row>
    <row r="18">
      <c r="A18" t="inlineStr">
        <is>
          <t>add working capital (on change in revenue)</t>
        </is>
      </c>
      <c r="C18" s="6">
        <f>Assumptions!$B$5*(C6-B6)</f>
        <v/>
      </c>
      <c r="D18" s="6">
        <f>Assumptions!$B$5*(D6-C6)</f>
        <v/>
      </c>
      <c r="E18" s="6">
        <f>Assumptions!$B$5*(E6-D6)</f>
        <v/>
      </c>
      <c r="F18" s="6">
        <f>Assumptions!$B$5*(F6-E6)</f>
        <v/>
      </c>
      <c r="G18" s="6">
        <f>Assumptions!$B$5*(G6-F6)</f>
        <v/>
      </c>
      <c r="H18" s="6">
        <f>Assumptions!$B$5*(H6-G6)</f>
        <v/>
      </c>
      <c r="I18" s="6">
        <f>Assumptions!$B$5*(I6-H6)</f>
        <v/>
      </c>
      <c r="J18" s="6">
        <f>Assumptions!$B$5*(J6-I6)</f>
        <v/>
      </c>
      <c r="K18" s="6">
        <f>Assumptions!$B$5*(K6-J6)</f>
        <v/>
      </c>
      <c r="L18" s="6">
        <f>Assumptions!$B$5*(L6-K6)</f>
        <v/>
      </c>
    </row>
    <row r="19">
      <c r="A19" t="inlineStr">
        <is>
          <t>Unlevered owner FCF (attributable)</t>
        </is>
      </c>
      <c r="C19" s="1">
        <f>C15+C16+C17+C18</f>
        <v/>
      </c>
      <c r="D19" s="1">
        <f>D15+D16+D17+D18</f>
        <v/>
      </c>
      <c r="E19" s="1">
        <f>E15+E16+E17+E18</f>
        <v/>
      </c>
      <c r="F19" s="1">
        <f>F15+F16+F17+F18</f>
        <v/>
      </c>
      <c r="G19" s="1">
        <f>G15+G16+G17+G18</f>
        <v/>
      </c>
      <c r="H19" s="1">
        <f>H15+H16+H17+H18</f>
        <v/>
      </c>
      <c r="I19" s="1">
        <f>I15+I16+I17+I18</f>
        <v/>
      </c>
      <c r="J19" s="1">
        <f>J15+J16+J17+J18</f>
        <v/>
      </c>
      <c r="K19" s="1">
        <f>K15+K16+K17+K18</f>
        <v/>
      </c>
      <c r="L19" s="1">
        <f>L15+L16+L17+L18</f>
        <v/>
      </c>
    </row>
    <row r="20">
      <c r="A20" t="inlineStr">
        <is>
          <t>Discount factor</t>
        </is>
      </c>
      <c r="C20" s="6">
        <f>1/(1+Assumptions!$B$3)^C4</f>
        <v/>
      </c>
      <c r="D20" s="6">
        <f>1/(1+Assumptions!$B$3)^D4</f>
        <v/>
      </c>
      <c r="E20" s="6">
        <f>1/(1+Assumptions!$B$3)^E4</f>
        <v/>
      </c>
      <c r="F20" s="6">
        <f>1/(1+Assumptions!$B$3)^F4</f>
        <v/>
      </c>
      <c r="G20" s="6">
        <f>1/(1+Assumptions!$B$3)^G4</f>
        <v/>
      </c>
      <c r="H20" s="6">
        <f>1/(1+Assumptions!$B$3)^H4</f>
        <v/>
      </c>
      <c r="I20" s="6">
        <f>1/(1+Assumptions!$B$3)^I4</f>
        <v/>
      </c>
      <c r="J20" s="6">
        <f>1/(1+Assumptions!$B$3)^J4</f>
        <v/>
      </c>
      <c r="K20" s="6">
        <f>1/(1+Assumptions!$B$3)^K4</f>
        <v/>
      </c>
      <c r="L20" s="6">
        <f>1/(1+Assumptions!$B$3)^L4</f>
        <v/>
      </c>
    </row>
    <row r="21">
      <c r="A21" t="inlineStr">
        <is>
          <t>PV of FCF</t>
        </is>
      </c>
      <c r="C21">
        <f>C19*C20</f>
        <v/>
      </c>
      <c r="D21">
        <f>D19*D20</f>
        <v/>
      </c>
      <c r="E21">
        <f>E19*E20</f>
        <v/>
      </c>
      <c r="F21">
        <f>F19*F20</f>
        <v/>
      </c>
      <c r="G21">
        <f>G19*G20</f>
        <v/>
      </c>
      <c r="H21">
        <f>H19*H20</f>
        <v/>
      </c>
      <c r="I21">
        <f>I19*I20</f>
        <v/>
      </c>
      <c r="J21">
        <f>J19*J20</f>
        <v/>
      </c>
      <c r="K21">
        <f>K19*K20</f>
        <v/>
      </c>
      <c r="L21">
        <f>L19*L20</f>
        <v/>
      </c>
    </row>
    <row r="22">
      <c r="A22" t="inlineStr">
        <is>
          <t>Capex % of revenue (driver)</t>
        </is>
      </c>
      <c r="B22" s="4" t="n"/>
      <c r="C22" s="5" t="n">
        <v>0.2</v>
      </c>
      <c r="D22" s="5" t="n">
        <v>0.2</v>
      </c>
      <c r="E22" s="5" t="n">
        <v>0.19</v>
      </c>
      <c r="F22" s="5" t="n">
        <v>0.18</v>
      </c>
      <c r="G22" s="5" t="n">
        <v>0.175</v>
      </c>
      <c r="H22" s="5" t="n">
        <v>0.17</v>
      </c>
      <c r="I22" s="5" t="n">
        <v>0.16</v>
      </c>
      <c r="J22" s="5" t="n">
        <v>0.15</v>
      </c>
      <c r="K22" s="5" t="n">
        <v>0.14</v>
      </c>
      <c r="L22" s="5" t="n">
        <v>0.135</v>
      </c>
    </row>
    <row r="23">
      <c r="A23" t="inlineStr">
        <is>
          <t>Memo: FCF before SBC (company-style)</t>
        </is>
      </c>
      <c r="C23">
        <f>C19-C10</f>
        <v/>
      </c>
      <c r="D23">
        <f>D19-D10</f>
        <v/>
      </c>
      <c r="E23">
        <f>E19-E10</f>
        <v/>
      </c>
      <c r="F23">
        <f>F19-F10</f>
        <v/>
      </c>
      <c r="G23">
        <f>G19-G10</f>
        <v/>
      </c>
      <c r="H23">
        <f>H19-H10</f>
        <v/>
      </c>
      <c r="I23">
        <f>I19-I10</f>
        <v/>
      </c>
      <c r="J23">
        <f>J19-J10</f>
        <v/>
      </c>
      <c r="K23">
        <f>K19-K10</f>
        <v/>
      </c>
      <c r="L23">
        <f>L19-L10</f>
        <v/>
      </c>
    </row>
    <row r="24">
      <c r="A24" t="inlineStr">
        <is>
          <t>Memo: owner-FCF margin</t>
        </is>
      </c>
      <c r="B24" s="4" t="n"/>
      <c r="C24" s="4">
        <f>C19/C6</f>
        <v/>
      </c>
      <c r="D24" s="4">
        <f>D19/D6</f>
        <v/>
      </c>
      <c r="E24" s="4">
        <f>E19/E6</f>
        <v/>
      </c>
      <c r="F24" s="4">
        <f>F19/F6</f>
        <v/>
      </c>
      <c r="G24" s="4">
        <f>G19/G6</f>
        <v/>
      </c>
      <c r="H24" s="4">
        <f>H19/H6</f>
        <v/>
      </c>
      <c r="I24" s="4">
        <f>I19/I6</f>
        <v/>
      </c>
      <c r="J24" s="4">
        <f>J19/J6</f>
        <v/>
      </c>
      <c r="K24" s="4">
        <f>K19/K6</f>
        <v/>
      </c>
      <c r="L24" s="4">
        <f>L19/L6</f>
        <v/>
      </c>
    </row>
    <row r="26">
      <c r="A26" t="inlineStr">
        <is>
          <t>Sum of PV of FCF</t>
        </is>
      </c>
      <c r="B26">
        <f>SUM(C21:L21)</f>
        <v/>
      </c>
    </row>
    <row r="27">
      <c r="A27" t="inlineStr">
        <is>
          <t>Terminal growth</t>
        </is>
      </c>
      <c r="B27" s="6">
        <f>Assumptions!$B$21</f>
        <v/>
      </c>
    </row>
    <row r="28">
      <c r="A28" t="inlineStr">
        <is>
          <t>Terminal-year FCF x (1+g)</t>
        </is>
      </c>
      <c r="B28">
        <f>L19*(1+B27)</f>
        <v/>
      </c>
    </row>
    <row r="29">
      <c r="A29" t="inlineStr">
        <is>
          <t>Gordon TV</t>
        </is>
      </c>
      <c r="B29">
        <f>IF(Assumptions!$B$3&gt;B27,B28/(Assumptions!$B$3-B27),0)</f>
        <v/>
      </c>
    </row>
    <row r="30">
      <c r="A30" t="inlineStr">
        <is>
          <t>Cap TV (cap x FCF_10)</t>
        </is>
      </c>
      <c r="B30">
        <f>Assumptions!$B$14*L19</f>
        <v/>
      </c>
    </row>
    <row r="31">
      <c r="A31" t="inlineStr">
        <is>
          <t>TV used = MAX(0,MIN(Gordon,cap))</t>
        </is>
      </c>
      <c r="B31">
        <f>MAX(0,MIN(B29,B30))</f>
        <v/>
      </c>
    </row>
    <row r="32">
      <c r="A32" t="inlineStr">
        <is>
          <t>Implied exit multiple (TV / FCF_10)</t>
        </is>
      </c>
      <c r="B32">
        <f>IF(L19&lt;&gt;0,B31/L19,0)</f>
        <v/>
      </c>
    </row>
    <row r="33">
      <c r="A33" t="inlineStr">
        <is>
          <t>PV of TV</t>
        </is>
      </c>
      <c r="B33">
        <f>B31*L20</f>
        <v/>
      </c>
    </row>
    <row r="34">
      <c r="A34" t="inlineStr">
        <is>
          <t>Enterprise value</t>
        </is>
      </c>
      <c r="B34">
        <f>B26+B33</f>
        <v/>
      </c>
    </row>
    <row r="35">
      <c r="A35" t="inlineStr">
        <is>
          <t>less bridge (net debt + Samarco + stream)</t>
        </is>
      </c>
      <c r="B35" s="6">
        <f>-Assumptions!$B$9</f>
        <v/>
      </c>
    </row>
    <row r="36">
      <c r="A36" t="inlineStr">
        <is>
          <t>Equity value (US$M)</t>
        </is>
      </c>
      <c r="B36">
        <f>B34+B35</f>
        <v/>
      </c>
    </row>
    <row r="37">
      <c r="A37" t="inlineStr">
        <is>
          <t>Diluted shares (m)</t>
        </is>
      </c>
      <c r="B37" s="6">
        <f>Assumptions!$B$10</f>
        <v/>
      </c>
    </row>
    <row r="38">
      <c r="A38" t="inlineStr">
        <is>
          <t>Value per share (USD)</t>
        </is>
      </c>
      <c r="B38" s="8">
        <f>B36/B37</f>
        <v/>
      </c>
    </row>
    <row r="39">
      <c r="A39" t="inlineStr">
        <is>
          <t>Value per share (AUD)</t>
        </is>
      </c>
      <c r="B39" s="9">
        <f>B38/Assumptions!$B$13</f>
        <v/>
      </c>
    </row>
    <row r="40">
      <c r="A40" t="inlineStr">
        <is>
          <t>Upside vs price</t>
        </is>
      </c>
      <c r="B40" s="4">
        <f>B39/Assumptions!$B$11-1</f>
        <v/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</row>
    <row r="41">
      <c r="A41" t="inlineStr">
        <is>
          <t>Street memo: PV of explicit SBC</t>
        </is>
      </c>
      <c r="B41">
        <f>SUMPRODUCT(-C10:L10/(1+Assumptions!$B$3)^C4:L4)</f>
        <v/>
      </c>
    </row>
    <row r="42">
      <c r="A42" t="inlineStr">
        <is>
          <t>Street memo: PV of terminal SBC</t>
        </is>
      </c>
      <c r="B42">
        <f>IF(Assumptions!$B$3&gt;B27,(-L10*(1+B27)/(Assumptions!$B$3-B27))*L20,0)</f>
        <v/>
      </c>
    </row>
    <row r="43">
      <c r="A43" t="inlineStr">
        <is>
          <t>Street value per share (AUD)</t>
        </is>
      </c>
      <c r="B43">
        <f>(B36+B41+B42)/B37/Assumptions!$B$13</f>
        <v/>
      </c>
    </row>
    <row r="44">
      <c r="A44" t="inlineStr">
        <is>
          <t>Street value per share (USD)</t>
        </is>
      </c>
      <c r="B44">
        <f>(B36+B41+B42)/B37</f>
        <v/>
      </c>
    </row>
    <row r="45">
      <c r="A45" t="inlineStr">
        <is>
          <t>Terminal % of EV</t>
        </is>
      </c>
      <c r="B45" s="4">
        <f>B33/B34</f>
        <v/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Bull case - owner FCF component build (US$M). Drivers in blue rows 5, 7, 9, 14, 22.</t>
        </is>
      </c>
    </row>
    <row r="3">
      <c r="A3" t="inlineStr">
        <is>
          <t>Year</t>
        </is>
      </c>
      <c r="B3" s="1" t="inlineStr">
        <is>
          <t>FY2026A</t>
        </is>
      </c>
      <c r="C3" s="1" t="inlineStr">
        <is>
          <t>FY2027E</t>
        </is>
      </c>
      <c r="D3" s="1" t="inlineStr">
        <is>
          <t>FY2028E</t>
        </is>
      </c>
      <c r="E3" s="1" t="inlineStr">
        <is>
          <t>FY2029E</t>
        </is>
      </c>
      <c r="F3" s="1" t="inlineStr">
        <is>
          <t>FY2030E</t>
        </is>
      </c>
      <c r="G3" s="1" t="inlineStr">
        <is>
          <t>FY2031E</t>
        </is>
      </c>
      <c r="H3" s="1" t="inlineStr">
        <is>
          <t>FY2032E</t>
        </is>
      </c>
      <c r="I3" s="1" t="inlineStr">
        <is>
          <t>FY2033E</t>
        </is>
      </c>
      <c r="J3" s="1" t="inlineStr">
        <is>
          <t>FY2034E</t>
        </is>
      </c>
      <c r="K3" s="1" t="inlineStr">
        <is>
          <t>FY2035E</t>
        </is>
      </c>
      <c r="L3" s="1" t="inlineStr">
        <is>
          <t>FY2036E</t>
        </is>
      </c>
    </row>
    <row r="4">
      <c r="A4" t="inlineStr">
        <is>
          <t>Year index</t>
        </is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</row>
    <row r="5">
      <c r="A5" t="inlineStr">
        <is>
          <t>Revenue growth YoY (driver)</t>
        </is>
      </c>
      <c r="B5" s="4" t="n"/>
      <c r="C5" s="5" t="n">
        <v>0.03</v>
      </c>
      <c r="D5" s="5" t="n">
        <v>0.04</v>
      </c>
      <c r="E5" s="5" t="n">
        <v>0.06</v>
      </c>
      <c r="F5" s="5" t="n">
        <v>0.06</v>
      </c>
      <c r="G5" s="5" t="n">
        <v>0.06</v>
      </c>
      <c r="H5" s="5" t="n">
        <v>0.05</v>
      </c>
      <c r="I5" s="5" t="n">
        <v>0.045</v>
      </c>
      <c r="J5" s="5" t="n">
        <v>0.035</v>
      </c>
      <c r="K5" s="5" t="n">
        <v>0.03</v>
      </c>
      <c r="L5" s="5" t="n">
        <v>0.03</v>
      </c>
    </row>
    <row r="6">
      <c r="A6" t="inlineStr">
        <is>
          <t>Revenue</t>
        </is>
      </c>
      <c r="B6" s="6">
        <f>Assumptions!$B$16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  <c r="L6">
        <f>K6*(1+L5)</f>
        <v/>
      </c>
    </row>
    <row r="7">
      <c r="A7" t="inlineStr">
        <is>
          <t>Underlying EBITDA margin (driver)</t>
        </is>
      </c>
      <c r="B7" s="4">
        <f>B8/B6</f>
        <v/>
      </c>
      <c r="C7" s="5" t="n">
        <v>0.57</v>
      </c>
      <c r="D7" s="5" t="n">
        <v>0.57</v>
      </c>
      <c r="E7" s="5" t="n">
        <v>0.57</v>
      </c>
      <c r="F7" s="5" t="n">
        <v>0.57</v>
      </c>
      <c r="G7" s="5" t="n">
        <v>0.5649999999999999</v>
      </c>
      <c r="H7" s="5" t="n">
        <v>0.5600000000000001</v>
      </c>
      <c r="I7" s="5" t="n">
        <v>0.5600000000000001</v>
      </c>
      <c r="J7" s="5" t="n">
        <v>0.5600000000000001</v>
      </c>
      <c r="K7" s="5" t="n">
        <v>0.5600000000000001</v>
      </c>
      <c r="L7" s="5" t="n">
        <v>0.5600000000000001</v>
      </c>
    </row>
    <row r="8">
      <c r="A8" t="inlineStr">
        <is>
          <t>Underlying EBITDA</t>
        </is>
      </c>
      <c r="B8" s="2" t="n">
        <v>32947</v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  <c r="L8">
        <f>L6*L7</f>
        <v/>
      </c>
    </row>
    <row r="9">
      <c r="A9" t="inlineStr">
        <is>
          <t>SBC % of revenue (driver)</t>
        </is>
      </c>
      <c r="B9" s="4" t="n"/>
      <c r="C9" s="7" t="n">
        <v>0.002</v>
      </c>
      <c r="D9" s="7" t="n">
        <v>0.002</v>
      </c>
      <c r="E9" s="7" t="n">
        <v>0.002</v>
      </c>
      <c r="F9" s="7" t="n">
        <v>0.002</v>
      </c>
      <c r="G9" s="7" t="n">
        <v>0.002</v>
      </c>
      <c r="H9" s="7" t="n">
        <v>0.002</v>
      </c>
      <c r="I9" s="7" t="n">
        <v>0.002</v>
      </c>
      <c r="J9" s="7" t="n">
        <v>0.002</v>
      </c>
      <c r="K9" s="7" t="n">
        <v>0.002</v>
      </c>
      <c r="L9" s="7" t="n">
        <v>0.002</v>
      </c>
    </row>
    <row r="10">
      <c r="A10" t="inlineStr">
        <is>
          <t>SBC (negative)</t>
        </is>
      </c>
      <c r="C10">
        <f>-C6*C9</f>
        <v/>
      </c>
      <c r="D10">
        <f>-D6*D9</f>
        <v/>
      </c>
      <c r="E10">
        <f>-E6*E9</f>
        <v/>
      </c>
      <c r="F10">
        <f>-F6*F9</f>
        <v/>
      </c>
      <c r="G10">
        <f>-G6*G9</f>
        <v/>
      </c>
      <c r="H10">
        <f>-H6*H9</f>
        <v/>
      </c>
      <c r="I10">
        <f>-I6*I9</f>
        <v/>
      </c>
      <c r="J10">
        <f>-J6*J9</f>
        <v/>
      </c>
      <c r="K10">
        <f>-K6*K9</f>
        <v/>
      </c>
      <c r="L10">
        <f>-L6*L9</f>
        <v/>
      </c>
    </row>
    <row r="11">
      <c r="A11" t="inlineStr">
        <is>
          <t>Owner EBITDA</t>
        </is>
      </c>
      <c r="C11">
        <f>C8+C10</f>
        <v/>
      </c>
      <c r="D11">
        <f>D8+D10</f>
        <v/>
      </c>
      <c r="E11">
        <f>E8+E10</f>
        <v/>
      </c>
      <c r="F11">
        <f>F8+F10</f>
        <v/>
      </c>
      <c r="G11">
        <f>G8+G10</f>
        <v/>
      </c>
      <c r="H11">
        <f>H8+H10</f>
        <v/>
      </c>
      <c r="I11">
        <f>I8+I10</f>
        <v/>
      </c>
      <c r="J11">
        <f>J8+J10</f>
        <v/>
      </c>
      <c r="K11">
        <f>K8+K10</f>
        <v/>
      </c>
      <c r="L11">
        <f>L8+L10</f>
        <v/>
      </c>
    </row>
    <row r="12">
      <c r="A12" t="inlineStr">
        <is>
          <t>D&amp;A (negative)</t>
        </is>
      </c>
      <c r="C12" s="6">
        <f>-C6*Assumptions!$B$4</f>
        <v/>
      </c>
      <c r="D12" s="6">
        <f>-D6*Assumptions!$B$4</f>
        <v/>
      </c>
      <c r="E12" s="6">
        <f>-E6*Assumptions!$B$4</f>
        <v/>
      </c>
      <c r="F12" s="6">
        <f>-F6*Assumptions!$B$4</f>
        <v/>
      </c>
      <c r="G12" s="6">
        <f>-G6*Assumptions!$B$4</f>
        <v/>
      </c>
      <c r="H12" s="6">
        <f>-H6*Assumptions!$B$4</f>
        <v/>
      </c>
      <c r="I12" s="6">
        <f>-I6*Assumptions!$B$4</f>
        <v/>
      </c>
      <c r="J12" s="6">
        <f>-J6*Assumptions!$B$4</f>
        <v/>
      </c>
      <c r="K12" s="6">
        <f>-K6*Assumptions!$B$4</f>
        <v/>
      </c>
      <c r="L12" s="6">
        <f>-L6*Assumptions!$B$4</f>
        <v/>
      </c>
    </row>
    <row r="13">
      <c r="A13" t="inlineStr">
        <is>
          <t>EBIT, SBC expensed</t>
        </is>
      </c>
      <c r="C13">
        <f>C11+C12</f>
        <v/>
      </c>
      <c r="D13">
        <f>D11+D12</f>
        <v/>
      </c>
      <c r="E13">
        <f>E11+E12</f>
        <v/>
      </c>
      <c r="F13">
        <f>F11+F12</f>
        <v/>
      </c>
      <c r="G13">
        <f>G11+G12</f>
        <v/>
      </c>
      <c r="H13">
        <f>H11+H12</f>
        <v/>
      </c>
      <c r="I13">
        <f>I11+I12</f>
        <v/>
      </c>
      <c r="J13">
        <f>J11+J12</f>
        <v/>
      </c>
      <c r="K13">
        <f>K11+K12</f>
        <v/>
      </c>
      <c r="L13">
        <f>L11+L12</f>
        <v/>
      </c>
    </row>
    <row r="14">
      <c r="A14" t="inlineStr">
        <is>
          <t>Tax + NCI leakage rate on EBIT (driver)</t>
        </is>
      </c>
      <c r="B14" s="4" t="n"/>
      <c r="C14" s="5" t="n">
        <v>0.48</v>
      </c>
      <c r="D14" s="5" t="n">
        <v>0.485</v>
      </c>
      <c r="E14" s="5" t="n">
        <v>0.49</v>
      </c>
      <c r="F14" s="5" t="n">
        <v>0.49</v>
      </c>
      <c r="G14" s="5" t="n">
        <v>0.495</v>
      </c>
      <c r="H14" s="5" t="n">
        <v>0.495</v>
      </c>
      <c r="I14" s="5" t="n">
        <v>0.5</v>
      </c>
      <c r="J14" s="5" t="n">
        <v>0.5</v>
      </c>
      <c r="K14" s="5" t="n">
        <v>0.5</v>
      </c>
      <c r="L14" s="5" t="n">
        <v>0.5</v>
      </c>
    </row>
    <row r="15">
      <c r="A15" t="inlineStr">
        <is>
          <t>NOPAT attributable</t>
        </is>
      </c>
      <c r="C15">
        <f>C13-MAX(0,C13)*C14</f>
        <v/>
      </c>
      <c r="D15">
        <f>D13-MAX(0,D13)*D14</f>
        <v/>
      </c>
      <c r="E15">
        <f>E13-MAX(0,E13)*E14</f>
        <v/>
      </c>
      <c r="F15">
        <f>F13-MAX(0,F13)*F14</f>
        <v/>
      </c>
      <c r="G15">
        <f>G13-MAX(0,G13)*G14</f>
        <v/>
      </c>
      <c r="H15">
        <f>H13-MAX(0,H13)*H14</f>
        <v/>
      </c>
      <c r="I15">
        <f>I13-MAX(0,I13)*I14</f>
        <v/>
      </c>
      <c r="J15">
        <f>J13-MAX(0,J13)*J14</f>
        <v/>
      </c>
      <c r="K15">
        <f>K13-MAX(0,K13)*K14</f>
        <v/>
      </c>
      <c r="L15">
        <f>L13-MAX(0,L13)*L14</f>
        <v/>
      </c>
    </row>
    <row r="16">
      <c r="A16" t="inlineStr">
        <is>
          <t>add back D&amp;A</t>
        </is>
      </c>
      <c r="C16">
        <f>-C12</f>
        <v/>
      </c>
      <c r="D16">
        <f>-D12</f>
        <v/>
      </c>
      <c r="E16">
        <f>-E12</f>
        <v/>
      </c>
      <c r="F16">
        <f>-F12</f>
        <v/>
      </c>
      <c r="G16">
        <f>-G12</f>
        <v/>
      </c>
      <c r="H16">
        <f>-H12</f>
        <v/>
      </c>
      <c r="I16">
        <f>-I12</f>
        <v/>
      </c>
      <c r="J16">
        <f>-J12</f>
        <v/>
      </c>
      <c r="K16">
        <f>-K12</f>
        <v/>
      </c>
      <c r="L16">
        <f>-L12</f>
        <v/>
      </c>
    </row>
    <row r="17">
      <c r="A17" t="inlineStr">
        <is>
          <t>less capex incl. lease additions</t>
        </is>
      </c>
      <c r="C17">
        <f>-C6*C22</f>
        <v/>
      </c>
      <c r="D17">
        <f>-D6*D22</f>
        <v/>
      </c>
      <c r="E17">
        <f>-E6*E22</f>
        <v/>
      </c>
      <c r="F17">
        <f>-F6*F22</f>
        <v/>
      </c>
      <c r="G17">
        <f>-G6*G22</f>
        <v/>
      </c>
      <c r="H17">
        <f>-H6*H22</f>
        <v/>
      </c>
      <c r="I17">
        <f>-I6*I22</f>
        <v/>
      </c>
      <c r="J17">
        <f>-J6*J22</f>
        <v/>
      </c>
      <c r="K17">
        <f>-K6*K22</f>
        <v/>
      </c>
      <c r="L17">
        <f>-L6*L22</f>
        <v/>
      </c>
    </row>
    <row r="18">
      <c r="A18" t="inlineStr">
        <is>
          <t>add working capital (on change in revenue)</t>
        </is>
      </c>
      <c r="C18" s="6">
        <f>Assumptions!$B$5*(C6-B6)</f>
        <v/>
      </c>
      <c r="D18" s="6">
        <f>Assumptions!$B$5*(D6-C6)</f>
        <v/>
      </c>
      <c r="E18" s="6">
        <f>Assumptions!$B$5*(E6-D6)</f>
        <v/>
      </c>
      <c r="F18" s="6">
        <f>Assumptions!$B$5*(F6-E6)</f>
        <v/>
      </c>
      <c r="G18" s="6">
        <f>Assumptions!$B$5*(G6-F6)</f>
        <v/>
      </c>
      <c r="H18" s="6">
        <f>Assumptions!$B$5*(H6-G6)</f>
        <v/>
      </c>
      <c r="I18" s="6">
        <f>Assumptions!$B$5*(I6-H6)</f>
        <v/>
      </c>
      <c r="J18" s="6">
        <f>Assumptions!$B$5*(J6-I6)</f>
        <v/>
      </c>
      <c r="K18" s="6">
        <f>Assumptions!$B$5*(K6-J6)</f>
        <v/>
      </c>
      <c r="L18" s="6">
        <f>Assumptions!$B$5*(L6-K6)</f>
        <v/>
      </c>
    </row>
    <row r="19">
      <c r="A19" t="inlineStr">
        <is>
          <t>Unlevered owner FCF (attributable)</t>
        </is>
      </c>
      <c r="C19" s="1">
        <f>C15+C16+C17+C18</f>
        <v/>
      </c>
      <c r="D19" s="1">
        <f>D15+D16+D17+D18</f>
        <v/>
      </c>
      <c r="E19" s="1">
        <f>E15+E16+E17+E18</f>
        <v/>
      </c>
      <c r="F19" s="1">
        <f>F15+F16+F17+F18</f>
        <v/>
      </c>
      <c r="G19" s="1">
        <f>G15+G16+G17+G18</f>
        <v/>
      </c>
      <c r="H19" s="1">
        <f>H15+H16+H17+H18</f>
        <v/>
      </c>
      <c r="I19" s="1">
        <f>I15+I16+I17+I18</f>
        <v/>
      </c>
      <c r="J19" s="1">
        <f>J15+J16+J17+J18</f>
        <v/>
      </c>
      <c r="K19" s="1">
        <f>K15+K16+K17+K18</f>
        <v/>
      </c>
      <c r="L19" s="1">
        <f>L15+L16+L17+L18</f>
        <v/>
      </c>
    </row>
    <row r="20">
      <c r="A20" t="inlineStr">
        <is>
          <t>Discount factor</t>
        </is>
      </c>
      <c r="C20" s="6">
        <f>1/(1+Assumptions!$B$3)^C4</f>
        <v/>
      </c>
      <c r="D20" s="6">
        <f>1/(1+Assumptions!$B$3)^D4</f>
        <v/>
      </c>
      <c r="E20" s="6">
        <f>1/(1+Assumptions!$B$3)^E4</f>
        <v/>
      </c>
      <c r="F20" s="6">
        <f>1/(1+Assumptions!$B$3)^F4</f>
        <v/>
      </c>
      <c r="G20" s="6">
        <f>1/(1+Assumptions!$B$3)^G4</f>
        <v/>
      </c>
      <c r="H20" s="6">
        <f>1/(1+Assumptions!$B$3)^H4</f>
        <v/>
      </c>
      <c r="I20" s="6">
        <f>1/(1+Assumptions!$B$3)^I4</f>
        <v/>
      </c>
      <c r="J20" s="6">
        <f>1/(1+Assumptions!$B$3)^J4</f>
        <v/>
      </c>
      <c r="K20" s="6">
        <f>1/(1+Assumptions!$B$3)^K4</f>
        <v/>
      </c>
      <c r="L20" s="6">
        <f>1/(1+Assumptions!$B$3)^L4</f>
        <v/>
      </c>
    </row>
    <row r="21">
      <c r="A21" t="inlineStr">
        <is>
          <t>PV of FCF</t>
        </is>
      </c>
      <c r="C21">
        <f>C19*C20</f>
        <v/>
      </c>
      <c r="D21">
        <f>D19*D20</f>
        <v/>
      </c>
      <c r="E21">
        <f>E19*E20</f>
        <v/>
      </c>
      <c r="F21">
        <f>F19*F20</f>
        <v/>
      </c>
      <c r="G21">
        <f>G19*G20</f>
        <v/>
      </c>
      <c r="H21">
        <f>H19*H20</f>
        <v/>
      </c>
      <c r="I21">
        <f>I19*I20</f>
        <v/>
      </c>
      <c r="J21">
        <f>J19*J20</f>
        <v/>
      </c>
      <c r="K21">
        <f>K19*K20</f>
        <v/>
      </c>
      <c r="L21">
        <f>L19*L20</f>
        <v/>
      </c>
    </row>
    <row r="22">
      <c r="A22" t="inlineStr">
        <is>
          <t>Capex % of revenue (driver)</t>
        </is>
      </c>
      <c r="B22" s="4" t="n"/>
      <c r="C22" s="5" t="n">
        <v>0.2</v>
      </c>
      <c r="D22" s="5" t="n">
        <v>0.2</v>
      </c>
      <c r="E22" s="5" t="n">
        <v>0.195</v>
      </c>
      <c r="F22" s="5" t="n">
        <v>0.19</v>
      </c>
      <c r="G22" s="5" t="n">
        <v>0.18</v>
      </c>
      <c r="H22" s="5" t="n">
        <v>0.17</v>
      </c>
      <c r="I22" s="5" t="n">
        <v>0.16</v>
      </c>
      <c r="J22" s="5" t="n">
        <v>0.15</v>
      </c>
      <c r="K22" s="5" t="n">
        <v>0.14</v>
      </c>
      <c r="L22" s="5" t="n">
        <v>0.135</v>
      </c>
    </row>
    <row r="23">
      <c r="A23" t="inlineStr">
        <is>
          <t>Memo: FCF before SBC (company-style)</t>
        </is>
      </c>
      <c r="C23">
        <f>C19-C10</f>
        <v/>
      </c>
      <c r="D23">
        <f>D19-D10</f>
        <v/>
      </c>
      <c r="E23">
        <f>E19-E10</f>
        <v/>
      </c>
      <c r="F23">
        <f>F19-F10</f>
        <v/>
      </c>
      <c r="G23">
        <f>G19-G10</f>
        <v/>
      </c>
      <c r="H23">
        <f>H19-H10</f>
        <v/>
      </c>
      <c r="I23">
        <f>I19-I10</f>
        <v/>
      </c>
      <c r="J23">
        <f>J19-J10</f>
        <v/>
      </c>
      <c r="K23">
        <f>K19-K10</f>
        <v/>
      </c>
      <c r="L23">
        <f>L19-L10</f>
        <v/>
      </c>
    </row>
    <row r="24">
      <c r="A24" t="inlineStr">
        <is>
          <t>Memo: owner-FCF margin</t>
        </is>
      </c>
      <c r="B24" s="4" t="n"/>
      <c r="C24" s="4">
        <f>C19/C6</f>
        <v/>
      </c>
      <c r="D24" s="4">
        <f>D19/D6</f>
        <v/>
      </c>
      <c r="E24" s="4">
        <f>E19/E6</f>
        <v/>
      </c>
      <c r="F24" s="4">
        <f>F19/F6</f>
        <v/>
      </c>
      <c r="G24" s="4">
        <f>G19/G6</f>
        <v/>
      </c>
      <c r="H24" s="4">
        <f>H19/H6</f>
        <v/>
      </c>
      <c r="I24" s="4">
        <f>I19/I6</f>
        <v/>
      </c>
      <c r="J24" s="4">
        <f>J19/J6</f>
        <v/>
      </c>
      <c r="K24" s="4">
        <f>K19/K6</f>
        <v/>
      </c>
      <c r="L24" s="4">
        <f>L19/L6</f>
        <v/>
      </c>
    </row>
    <row r="26">
      <c r="A26" t="inlineStr">
        <is>
          <t>Sum of PV of FCF</t>
        </is>
      </c>
      <c r="B26">
        <f>SUM(C21:L21)</f>
        <v/>
      </c>
    </row>
    <row r="27">
      <c r="A27" t="inlineStr">
        <is>
          <t>Terminal growth</t>
        </is>
      </c>
      <c r="B27" s="6">
        <f>Assumptions!$B$22</f>
        <v/>
      </c>
    </row>
    <row r="28">
      <c r="A28" t="inlineStr">
        <is>
          <t>Terminal-year FCF x (1+g)</t>
        </is>
      </c>
      <c r="B28">
        <f>L19*(1+B27)</f>
        <v/>
      </c>
    </row>
    <row r="29">
      <c r="A29" t="inlineStr">
        <is>
          <t>Gordon TV</t>
        </is>
      </c>
      <c r="B29">
        <f>IF(Assumptions!$B$3&gt;B27,B28/(Assumptions!$B$3-B27),0)</f>
        <v/>
      </c>
    </row>
    <row r="30">
      <c r="A30" t="inlineStr">
        <is>
          <t>Cap TV (cap x FCF_10)</t>
        </is>
      </c>
      <c r="B30">
        <f>Assumptions!$B$14*L19</f>
        <v/>
      </c>
    </row>
    <row r="31">
      <c r="A31" t="inlineStr">
        <is>
          <t>TV used = MAX(0,MIN(Gordon,cap))</t>
        </is>
      </c>
      <c r="B31">
        <f>MAX(0,MIN(B29,B30))</f>
        <v/>
      </c>
    </row>
    <row r="32">
      <c r="A32" t="inlineStr">
        <is>
          <t>Implied exit multiple (TV / FCF_10)</t>
        </is>
      </c>
      <c r="B32">
        <f>IF(L19&lt;&gt;0,B31/L19,0)</f>
        <v/>
      </c>
    </row>
    <row r="33">
      <c r="A33" t="inlineStr">
        <is>
          <t>PV of TV</t>
        </is>
      </c>
      <c r="B33">
        <f>B31*L20</f>
        <v/>
      </c>
    </row>
    <row r="34">
      <c r="A34" t="inlineStr">
        <is>
          <t>Enterprise value</t>
        </is>
      </c>
      <c r="B34">
        <f>B26+B33</f>
        <v/>
      </c>
    </row>
    <row r="35">
      <c r="A35" t="inlineStr">
        <is>
          <t>less bridge (net debt + Samarco + stream)</t>
        </is>
      </c>
      <c r="B35" s="6">
        <f>-Assumptions!$B$9</f>
        <v/>
      </c>
    </row>
    <row r="36">
      <c r="A36" t="inlineStr">
        <is>
          <t>Equity value (US$M)</t>
        </is>
      </c>
      <c r="B36">
        <f>B34+B35</f>
        <v/>
      </c>
    </row>
    <row r="37">
      <c r="A37" t="inlineStr">
        <is>
          <t>Diluted shares (m)</t>
        </is>
      </c>
      <c r="B37" s="6">
        <f>Assumptions!$B$10</f>
        <v/>
      </c>
    </row>
    <row r="38">
      <c r="A38" t="inlineStr">
        <is>
          <t>Value per share (USD)</t>
        </is>
      </c>
      <c r="B38" s="8">
        <f>B36/B37</f>
        <v/>
      </c>
    </row>
    <row r="39">
      <c r="A39" t="inlineStr">
        <is>
          <t>Value per share (AUD)</t>
        </is>
      </c>
      <c r="B39" s="9">
        <f>B38/Assumptions!$B$13</f>
        <v/>
      </c>
    </row>
    <row r="40">
      <c r="A40" t="inlineStr">
        <is>
          <t>Upside vs price</t>
        </is>
      </c>
      <c r="B40" s="4">
        <f>B39/Assumptions!$B$11-1</f>
        <v/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</row>
    <row r="41">
      <c r="A41" t="inlineStr">
        <is>
          <t>Street memo: PV of explicit SBC</t>
        </is>
      </c>
      <c r="B41">
        <f>SUMPRODUCT(-C10:L10/(1+Assumptions!$B$3)^C4:L4)</f>
        <v/>
      </c>
    </row>
    <row r="42">
      <c r="A42" t="inlineStr">
        <is>
          <t>Street memo: PV of terminal SBC</t>
        </is>
      </c>
      <c r="B42">
        <f>IF(Assumptions!$B$3&gt;B27,(-L10*(1+B27)/(Assumptions!$B$3-B27))*L20,0)</f>
        <v/>
      </c>
    </row>
    <row r="43">
      <c r="A43" t="inlineStr">
        <is>
          <t>Street value per share (AUD)</t>
        </is>
      </c>
      <c r="B43">
        <f>(B36+B41+B42)/B37/Assumptions!$B$13</f>
        <v/>
      </c>
    </row>
    <row r="44">
      <c r="A44" t="inlineStr">
        <is>
          <t>Street value per share (USD)</t>
        </is>
      </c>
      <c r="B44">
        <f>(B36+B41+B42)/B37</f>
        <v/>
      </c>
    </row>
    <row r="45">
      <c r="A45" t="inlineStr">
        <is>
          <t>Terminal % of EV</t>
        </is>
      </c>
      <c r="B45" s="4">
        <f>B33/B34</f>
        <v/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Reported FCF reconciled to owner FCF (US$M)</t>
        </is>
      </c>
    </row>
    <row r="2">
      <c r="B2" s="1" t="inlineStr">
        <is>
          <t>FY2016</t>
        </is>
      </c>
      <c r="C2" s="1" t="inlineStr">
        <is>
          <t>FY2017</t>
        </is>
      </c>
      <c r="D2" s="1" t="inlineStr">
        <is>
          <t>FY2018</t>
        </is>
      </c>
      <c r="E2" s="1" t="inlineStr">
        <is>
          <t>FY2019</t>
        </is>
      </c>
      <c r="F2" s="1" t="inlineStr">
        <is>
          <t>FY2020</t>
        </is>
      </c>
      <c r="G2" s="1" t="inlineStr">
        <is>
          <t>FY2021</t>
        </is>
      </c>
      <c r="H2" s="1" t="inlineStr">
        <is>
          <t>FY2022</t>
        </is>
      </c>
      <c r="I2" s="1" t="inlineStr">
        <is>
          <t>FY2023</t>
        </is>
      </c>
      <c r="J2" s="1" t="inlineStr">
        <is>
          <t>FY2024</t>
        </is>
      </c>
      <c r="K2" s="1" t="inlineStr">
        <is>
          <t>FY2025</t>
        </is>
      </c>
      <c r="L2" s="1" t="inlineStr">
        <is>
          <t>FY2026</t>
        </is>
      </c>
    </row>
    <row r="3">
      <c r="A3" t="inlineStr">
        <is>
          <t>Free cash flow (OCF - capital &amp; exploration)</t>
        </is>
      </c>
      <c r="B3" s="6">
        <f>Actuals!B7</f>
        <v/>
      </c>
      <c r="C3" s="6">
        <f>Actuals!C7</f>
        <v/>
      </c>
      <c r="D3" s="6">
        <f>Actuals!D7</f>
        <v/>
      </c>
      <c r="E3" s="6">
        <f>Actuals!E7</f>
        <v/>
      </c>
      <c r="F3" s="6">
        <f>Actuals!F7</f>
        <v/>
      </c>
      <c r="G3" s="6">
        <f>Actuals!G7</f>
        <v/>
      </c>
      <c r="H3" s="6">
        <f>Actuals!H7</f>
        <v/>
      </c>
      <c r="I3" s="6">
        <f>Actuals!I7</f>
        <v/>
      </c>
      <c r="J3" s="6">
        <f>Actuals!J7</f>
        <v/>
      </c>
      <c r="K3" s="6">
        <f>Actuals!K7</f>
        <v/>
      </c>
      <c r="L3" s="6">
        <f>Actuals!L7</f>
        <v/>
      </c>
    </row>
    <row r="4">
      <c r="A4" t="inlineStr">
        <is>
          <t>less: employee share awards (SBC)</t>
        </is>
      </c>
      <c r="B4" s="6">
        <f>-Actuals!B8</f>
        <v/>
      </c>
      <c r="C4" s="6">
        <f>-Actuals!C8</f>
        <v/>
      </c>
      <c r="D4" s="6">
        <f>-Actuals!D8</f>
        <v/>
      </c>
      <c r="E4" s="6">
        <f>-Actuals!E8</f>
        <v/>
      </c>
      <c r="F4" s="6">
        <f>-Actuals!F8</f>
        <v/>
      </c>
      <c r="G4" s="6">
        <f>-Actuals!G8</f>
        <v/>
      </c>
      <c r="H4" s="6">
        <f>-Actuals!H8</f>
        <v/>
      </c>
      <c r="I4" s="6">
        <f>-Actuals!I8</f>
        <v/>
      </c>
      <c r="J4" s="6">
        <f>-Actuals!J8</f>
        <v/>
      </c>
      <c r="K4" s="6">
        <f>-Actuals!K8</f>
        <v/>
      </c>
      <c r="L4" s="6">
        <f>-Actuals!L8</f>
        <v/>
      </c>
    </row>
    <row r="5">
      <c r="A5" t="inlineStr">
        <is>
          <t>less: interest income</t>
        </is>
      </c>
      <c r="B5" s="6">
        <f>-Actuals!B9</f>
        <v/>
      </c>
      <c r="C5" s="6">
        <f>-Actuals!C9</f>
        <v/>
      </c>
      <c r="D5" s="6">
        <f>-Actuals!D9</f>
        <v/>
      </c>
      <c r="E5" s="6">
        <f>-Actuals!E9</f>
        <v/>
      </c>
      <c r="F5" s="6">
        <f>-Actuals!F9</f>
        <v/>
      </c>
      <c r="G5" s="6">
        <f>-Actuals!G9</f>
        <v/>
      </c>
      <c r="H5" s="6">
        <f>-Actuals!H9</f>
        <v/>
      </c>
      <c r="I5" s="6">
        <f>-Actuals!I9</f>
        <v/>
      </c>
      <c r="J5" s="6">
        <f>-Actuals!J9</f>
        <v/>
      </c>
      <c r="K5" s="6">
        <f>-Actuals!K9</f>
        <v/>
      </c>
      <c r="L5" s="6">
        <f>-Actuals!L9</f>
        <v/>
      </c>
    </row>
    <row r="6">
      <c r="A6" t="inlineStr">
        <is>
          <t>Owner FCF (equals FCF less SBC less interest income)</t>
        </is>
      </c>
      <c r="B6">
        <f>B3+B4+B5</f>
        <v/>
      </c>
      <c r="C6">
        <f>C3+C4+C5</f>
        <v/>
      </c>
      <c r="D6">
        <f>D3+D4+D5</f>
        <v/>
      </c>
      <c r="E6">
        <f>E3+E4+E5</f>
        <v/>
      </c>
      <c r="F6">
        <f>F3+F4+F5</f>
        <v/>
      </c>
      <c r="G6">
        <f>G3+G4+G5</f>
        <v/>
      </c>
      <c r="H6">
        <f>H3+H4+H5</f>
        <v/>
      </c>
      <c r="I6">
        <f>I3+I4+I5</f>
        <v/>
      </c>
      <c r="J6">
        <f>J3+J4+J5</f>
        <v/>
      </c>
      <c r="K6">
        <f>K3+K4+K5</f>
        <v/>
      </c>
      <c r="L6">
        <f>L3+L4+L5</f>
        <v/>
      </c>
    </row>
    <row r="7">
      <c r="A7" t="inlineStr">
        <is>
          <t>Reported FCF margin</t>
        </is>
      </c>
      <c r="B7" s="4">
        <f>B3/Actuals!B3</f>
        <v/>
      </c>
      <c r="C7" s="4">
        <f>C3/Actuals!C3</f>
        <v/>
      </c>
      <c r="D7" s="4">
        <f>D3/Actuals!D3</f>
        <v/>
      </c>
      <c r="E7" s="4">
        <f>E3/Actuals!E3</f>
        <v/>
      </c>
      <c r="F7" s="4">
        <f>F3/Actuals!F3</f>
        <v/>
      </c>
      <c r="G7" s="4">
        <f>G3/Actuals!G3</f>
        <v/>
      </c>
      <c r="H7" s="4">
        <f>H3/Actuals!H3</f>
        <v/>
      </c>
      <c r="I7" s="4">
        <f>I3/Actuals!I3</f>
        <v/>
      </c>
      <c r="J7" s="4">
        <f>J3/Actuals!J3</f>
        <v/>
      </c>
      <c r="K7" s="4">
        <f>K3/Actuals!K3</f>
        <v/>
      </c>
      <c r="L7" s="4">
        <f>L3/Actuals!L3</f>
        <v/>
      </c>
    </row>
    <row r="8">
      <c r="A8" t="inlineStr">
        <is>
          <t>Owner FCF margin</t>
        </is>
      </c>
      <c r="B8" s="4">
        <f>B6/Actuals!B3</f>
        <v/>
      </c>
      <c r="C8" s="4">
        <f>C6/Actuals!C3</f>
        <v/>
      </c>
      <c r="D8" s="4">
        <f>D6/Actuals!D3</f>
        <v/>
      </c>
      <c r="E8" s="4">
        <f>E6/Actuals!E3</f>
        <v/>
      </c>
      <c r="F8" s="4">
        <f>F6/Actuals!F3</f>
        <v/>
      </c>
      <c r="G8" s="4">
        <f>G6/Actuals!G3</f>
        <v/>
      </c>
      <c r="H8" s="4">
        <f>H6/Actuals!H3</f>
        <v/>
      </c>
      <c r="I8" s="4">
        <f>I6/Actuals!I3</f>
        <v/>
      </c>
      <c r="J8" s="4">
        <f>J6/Actuals!J3</f>
        <v/>
      </c>
      <c r="K8" s="4">
        <f>K6/Actuals!K3</f>
        <v/>
      </c>
      <c r="L8" s="4">
        <f>L6/Actuals!L3</f>
        <v/>
      </c>
    </row>
    <row r="9">
      <c r="A9" t="inlineStr">
        <is>
          <t>Memo: Underlying EBITDA margin</t>
        </is>
      </c>
      <c r="B9" s="4">
        <f>Actuals!B13</f>
        <v/>
      </c>
      <c r="C9" s="4">
        <f>Actuals!C13</f>
        <v/>
      </c>
      <c r="D9" s="4">
        <f>Actuals!D13</f>
        <v/>
      </c>
      <c r="E9" s="4">
        <f>Actuals!E13</f>
        <v/>
      </c>
      <c r="F9" s="4">
        <f>Actuals!F13</f>
        <v/>
      </c>
      <c r="G9" s="4">
        <f>Actuals!G13</f>
        <v/>
      </c>
      <c r="H9" s="4">
        <f>Actuals!H13</f>
        <v/>
      </c>
      <c r="I9" s="4">
        <f>Actuals!I13</f>
        <v/>
      </c>
      <c r="J9" s="4">
        <f>Actuals!J13</f>
        <v/>
      </c>
      <c r="K9" s="4">
        <f>Actuals!K13</f>
        <v/>
      </c>
      <c r="L9" s="4">
        <f>Actuals!L13</f>
        <v/>
      </c>
    </row>
    <row r="10">
      <c r="A10" t="inlineStr">
        <is>
          <t>Memo: owner FCF / underlying attributable profit</t>
        </is>
      </c>
      <c r="B10" s="4">
        <f>B6/Actuals!B10</f>
        <v/>
      </c>
      <c r="C10" s="4">
        <f>C6/Actuals!C10</f>
        <v/>
      </c>
      <c r="D10" s="4">
        <f>D6/Actuals!D10</f>
        <v/>
      </c>
      <c r="E10" s="4">
        <f>E6/Actuals!E10</f>
        <v/>
      </c>
      <c r="F10" s="4">
        <f>F6/Actuals!F10</f>
        <v/>
      </c>
      <c r="G10" s="4">
        <f>G6/Actuals!G10</f>
        <v/>
      </c>
      <c r="H10" s="4">
        <f>H6/Actuals!H10</f>
        <v/>
      </c>
      <c r="I10" s="4">
        <f>I6/Actuals!I10</f>
        <v/>
      </c>
      <c r="J10" s="4">
        <f>J6/Actuals!J10</f>
        <v/>
      </c>
      <c r="K10" s="4">
        <f>K6/Actuals!K10</f>
        <v/>
      </c>
      <c r="L10" s="4">
        <f>L6/Actuals!L10</f>
        <v/>
      </c>
    </row>
    <row r="12">
      <c r="A12" t="inlineStr">
        <is>
          <t>Memo: net income tax and royalty-related taxation paid FY2024-26: 7,503 / 7,721 / 9,541 (34-36% of underlying EBIT); no abnormal cash-tax year. Samarco funding (US$2,030m FY2026) runs through investing (EAI funding), so it is outside both FCF lines above and is deducted in the bridge instead.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6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Valuation summary (per share, AUD unless stated)</t>
        </is>
      </c>
    </row>
    <row r="3">
      <c r="A3" s="1" t="inlineStr">
        <is>
          <t>Scenario</t>
        </is>
      </c>
      <c r="B3" s="1" t="inlineStr">
        <is>
          <t>Value/share AUD</t>
        </is>
      </c>
      <c r="C3" s="1" t="inlineStr">
        <is>
          <t>Value/share USD</t>
        </is>
      </c>
      <c r="D3" s="1" t="inlineStr">
        <is>
          <t>Upside vs price</t>
        </is>
      </c>
      <c r="E3" s="1" t="inlineStr">
        <is>
          <t>Probability</t>
        </is>
      </c>
      <c r="F3" s="1" t="inlineStr">
        <is>
          <t>Street value AUD</t>
        </is>
      </c>
      <c r="G3" s="1" t="inlineStr">
        <is>
          <t>Entry price AUD @15%</t>
        </is>
      </c>
      <c r="H3" s="1" t="inlineStr">
        <is>
          <t>Entry price USD @15%</t>
        </is>
      </c>
    </row>
    <row r="4">
      <c r="A4" t="inlineStr">
        <is>
          <t>Bear</t>
        </is>
      </c>
      <c r="B4" s="6">
        <f>DCF_Bear!$B$39</f>
        <v/>
      </c>
      <c r="C4" s="6">
        <f>DCF_Bear!$B$38</f>
        <v/>
      </c>
      <c r="D4" s="4">
        <f>B4/Assumptions!$B$11-1</f>
        <v/>
      </c>
      <c r="E4" s="6">
        <f>Assumptions!$C$20</f>
        <v/>
      </c>
      <c r="F4" s="6">
        <f>DCF_Bear!$B$43</f>
        <v/>
      </c>
      <c r="G4">
        <f>H4/Assumptions!$B$13</f>
        <v/>
      </c>
      <c r="H4">
        <f>((SUMPRODUCT(DCF_Bear!$C$19:$L$19/(1+Assumptions!$B$15)^DCF_Bear!$C$4:$L$4)+MAX(0,MIN(IF(Assumptions!$B$15&gt;Assumptions!$B$20,DCF_Bear!$L$19*(1+Assumptions!$B$20)/(Assumptions!$B$15-Assumptions!$B$20),0),Assumptions!$B$14*DCF_Bear!$L$19))/(1+Assumptions!$B$15)^10-Assumptions!$B$9)/Assumptions!$B$10</f>
        <v/>
      </c>
    </row>
    <row r="5">
      <c r="A5" t="inlineStr">
        <is>
          <t>Base</t>
        </is>
      </c>
      <c r="B5" s="6">
        <f>DCF_Base!$B$39</f>
        <v/>
      </c>
      <c r="C5" s="6">
        <f>DCF_Base!$B$38</f>
        <v/>
      </c>
      <c r="D5" s="4">
        <f>B5/Assumptions!$B$11-1</f>
        <v/>
      </c>
      <c r="E5" s="6">
        <f>Assumptions!$C$21</f>
        <v/>
      </c>
      <c r="F5" s="6">
        <f>DCF_Base!$B$43</f>
        <v/>
      </c>
      <c r="G5">
        <f>H5/Assumptions!$B$13</f>
        <v/>
      </c>
      <c r="H5">
        <f>((SUMPRODUCT(DCF_Base!$C$19:$L$19/(1+Assumptions!$B$15)^DCF_Base!$C$4:$L$4)+MAX(0,MIN(IF(Assumptions!$B$15&gt;Assumptions!$B$21,DCF_Base!$L$19*(1+Assumptions!$B$21)/(Assumptions!$B$15-Assumptions!$B$21),0),Assumptions!$B$14*DCF_Base!$L$19))/(1+Assumptions!$B$15)^10-Assumptions!$B$9)/Assumptions!$B$10</f>
        <v/>
      </c>
    </row>
    <row r="6">
      <c r="A6" t="inlineStr">
        <is>
          <t>Bull</t>
        </is>
      </c>
      <c r="B6" s="6">
        <f>DCF_Bull!$B$39</f>
        <v/>
      </c>
      <c r="C6" s="6">
        <f>DCF_Bull!$B$38</f>
        <v/>
      </c>
      <c r="D6" s="4">
        <f>B6/Assumptions!$B$11-1</f>
        <v/>
      </c>
      <c r="E6" s="6">
        <f>Assumptions!$C$22</f>
        <v/>
      </c>
      <c r="F6" s="6">
        <f>DCF_Bull!$B$43</f>
        <v/>
      </c>
      <c r="G6">
        <f>H6/Assumptions!$B$13</f>
        <v/>
      </c>
      <c r="H6">
        <f>((SUMPRODUCT(DCF_Bull!$C$19:$L$19/(1+Assumptions!$B$15)^DCF_Bull!$C$4:$L$4)+MAX(0,MIN(IF(Assumptions!$B$15&gt;Assumptions!$B$22,DCF_Bull!$L$19*(1+Assumptions!$B$22)/(Assumptions!$B$15-Assumptions!$B$22),0),Assumptions!$B$14*DCF_Bull!$L$19))/(1+Assumptions!$B$15)^10-Assumptions!$B$9)/Assumptions!$B$10</f>
        <v/>
      </c>
    </row>
    <row r="8">
      <c r="A8" s="1" t="inlineStr">
        <is>
          <t>Probability-weighted value (AUD)</t>
        </is>
      </c>
      <c r="B8" s="8">
        <f>SUMPRODUCT(B4:B6,E4:E6)</f>
        <v/>
      </c>
    </row>
    <row r="9">
      <c r="A9" t="inlineStr">
        <is>
          <t>Probability-weighted value (USD)</t>
        </is>
      </c>
      <c r="B9">
        <f>SUMPRODUCT(C4:C6,E4:E6)</f>
        <v/>
      </c>
    </row>
    <row r="10">
      <c r="A10" t="inlineStr">
        <is>
          <t>Margin of safety vs price</t>
        </is>
      </c>
      <c r="B10" s="4">
        <f>1-Assumptions!$B$11/B8</f>
        <v/>
      </c>
    </row>
    <row r="11">
      <c r="A11" t="inlineStr">
        <is>
          <t>Street weighted value (AUD)</t>
        </is>
      </c>
      <c r="B11">
        <f>SUMPRODUCT(F4:F6,E4:E6)</f>
        <v/>
      </c>
    </row>
    <row r="12">
      <c r="A12" t="inlineStr">
        <is>
          <t>Band position (0%=house, 100%=street) - degenerate, SBC 0.2% of revenue</t>
        </is>
      </c>
      <c r="B12">
        <f>IF(ABS(B11-B8)&lt;0.01,"n/a",(Assumptions!$B$11-B8)/(B11-B8))</f>
        <v/>
      </c>
    </row>
    <row r="13">
      <c r="A13" s="1" t="inlineStr">
        <is>
          <t>Weighted 15%-hurdle entry price (AUD)</t>
        </is>
      </c>
      <c r="B13" s="8">
        <f>SUMPRODUCT(G4:G6,E4:E6)</f>
        <v/>
      </c>
    </row>
    <row r="14">
      <c r="A14" t="inlineStr">
        <is>
          <t>Entry discount vs price</t>
        </is>
      </c>
      <c r="B14" s="4">
        <f>B13/Assumptions!$B$11-1</f>
        <v/>
      </c>
    </row>
    <row r="16">
      <c r="A16" s="1" t="inlineStr">
        <is>
          <t>Required-return table (base case, AUD; TV rebuilt at each rate)</t>
        </is>
      </c>
    </row>
    <row r="17">
      <c r="A17" t="inlineStr">
        <is>
          <t>Required return</t>
        </is>
      </c>
      <c r="B17" t="inlineStr">
        <is>
          <t>Value/share AUD</t>
        </is>
      </c>
      <c r="C17" t="inlineStr">
        <is>
          <t>Value/share USD</t>
        </is>
      </c>
    </row>
    <row r="18">
      <c r="A18" s="7" t="n">
        <v>0.09</v>
      </c>
      <c r="B18">
        <f>C18/Assumptions!$B$13</f>
        <v/>
      </c>
      <c r="C18">
        <f>((SUMPRODUCT(DCF_Base!$C$19:$L$19/(1+$A$18)^DCF_Base!$C$4:$L$4)+MAX(0,MIN(IF($A$18&gt;Assumptions!$B$21,DCF_Base!$L$19*(1+Assumptions!$B$21)/($A$18-Assumptions!$B$21),0),Assumptions!$B$14*DCF_Base!$L$19))/(1+$A$18)^10-Assumptions!$B$9)/Assumptions!$B$10</f>
        <v/>
      </c>
    </row>
    <row r="19">
      <c r="A19" s="7" t="n">
        <v>0.1</v>
      </c>
      <c r="B19">
        <f>C19/Assumptions!$B$13</f>
        <v/>
      </c>
      <c r="C19">
        <f>((SUMPRODUCT(DCF_Base!$C$19:$L$19/(1+$A$19)^DCF_Base!$C$4:$L$4)+MAX(0,MIN(IF($A$19&gt;Assumptions!$B$21,DCF_Base!$L$19*(1+Assumptions!$B$21)/($A$19-Assumptions!$B$21),0),Assumptions!$B$14*DCF_Base!$L$19))/(1+$A$19)^10-Assumptions!$B$9)/Assumptions!$B$10</f>
        <v/>
      </c>
    </row>
    <row r="20">
      <c r="A20" s="7" t="n">
        <v>0.11</v>
      </c>
      <c r="B20">
        <f>C20/Assumptions!$B$13</f>
        <v/>
      </c>
      <c r="C20">
        <f>((SUMPRODUCT(DCF_Base!$C$19:$L$19/(1+$A$20)^DCF_Base!$C$4:$L$4)+MAX(0,MIN(IF($A$20&gt;Assumptions!$B$21,DCF_Base!$L$19*(1+Assumptions!$B$21)/($A$20-Assumptions!$B$21),0),Assumptions!$B$14*DCF_Base!$L$19))/(1+$A$20)^10-Assumptions!$B$9)/Assumptions!$B$10</f>
        <v/>
      </c>
    </row>
    <row r="21">
      <c r="A21" s="7" t="n">
        <v>0.12</v>
      </c>
      <c r="B21">
        <f>C21/Assumptions!$B$13</f>
        <v/>
      </c>
      <c r="C21">
        <f>((SUMPRODUCT(DCF_Base!$C$19:$L$19/(1+$A$21)^DCF_Base!$C$4:$L$4)+MAX(0,MIN(IF($A$21&gt;Assumptions!$B$21,DCF_Base!$L$19*(1+Assumptions!$B$21)/($A$21-Assumptions!$B$21),0),Assumptions!$B$14*DCF_Base!$L$19))/(1+$A$21)^10-Assumptions!$B$9)/Assumptions!$B$10</f>
        <v/>
      </c>
    </row>
    <row r="22">
      <c r="A22" s="7" t="n">
        <v>0.15</v>
      </c>
      <c r="B22">
        <f>C22/Assumptions!$B$13</f>
        <v/>
      </c>
      <c r="C22">
        <f>((SUMPRODUCT(DCF_Base!$C$19:$L$19/(1+$A$22)^DCF_Base!$C$4:$L$4)+MAX(0,MIN(IF($A$22&gt;Assumptions!$B$21,DCF_Base!$L$19*(1+Assumptions!$B$21)/($A$22-Assumptions!$B$21),0),Assumptions!$B$14*DCF_Base!$L$19))/(1+$A$22)^10-Assumptions!$B$9)/Assumptions!$B$10</f>
        <v/>
      </c>
    </row>
    <row r="23">
      <c r="A23" s="10">
        <f>Assumptions!$B$3</f>
        <v/>
      </c>
      <c r="B23">
        <f>C23/Assumptions!$B$13</f>
        <v/>
      </c>
      <c r="C23">
        <f>((SUMPRODUCT(DCF_Base!$C$19:$L$19/(1+$A$23)^DCF_Base!$C$4:$L$4)+MAX(0,MIN(IF($A$23&gt;Assumptions!$B$21,DCF_Base!$L$19*(1+Assumptions!$B$21)/($A$23-Assumptions!$B$21),0),Assumptions!$B$14*DCF_Base!$L$19))/(1+$A$23)^10-Assumptions!$B$9)/Assumptions!$B$10</f>
        <v/>
      </c>
    </row>
    <row r="24">
      <c r="A24" t="inlineStr">
        <is>
          <t>Check: WACC row = DCF_Base!B39, 15% row = base entry price</t>
        </is>
      </c>
      <c r="B24">
        <f>AND(ABS(B23-DCF_Base!$B$39)&lt;0.01,ABS(B22-G5)&lt;0.01)</f>
        <v/>
      </c>
    </row>
    <row r="26">
      <c r="A26" s="1" t="inlineStr">
        <is>
          <t>Sensitivity: value/share AUD, base case. Rows = WACC, columns = terminal growth (TV re-capped in every cell; Gordon guarded to 0 when WACC &lt;= g, so the cap applies there)</t>
        </is>
      </c>
    </row>
    <row r="27">
      <c r="B27" s="7" t="n">
        <v>0.015</v>
      </c>
      <c r="C27" s="7" t="n">
        <v>0.02</v>
      </c>
      <c r="D27" s="7" t="n">
        <v>0.025</v>
      </c>
      <c r="E27" s="7" t="n">
        <v>0.03</v>
      </c>
      <c r="F27" s="7" t="n">
        <v>0.035</v>
      </c>
    </row>
    <row r="28">
      <c r="A28" s="7" t="n">
        <v>0.07000000000000001</v>
      </c>
      <c r="B28">
        <f>((SUMPRODUCT(DCF_Base!$C$19:$L$19/(1+$A28)^DCF_Base!$C$4:$L$4)+MAX(0,MIN(IF($A28&gt;B$27,DCF_Base!$L$19*(1+B$27)/($A28-B$27),0),Assumptions!$B$14*DCF_Base!$L$19))/(1+$A28)^10-Assumptions!$B$9)/Assumptions!$B$10/Assumptions!$B$13</f>
        <v/>
      </c>
      <c r="C28">
        <f>((SUMPRODUCT(DCF_Base!$C$19:$L$19/(1+$A28)^DCF_Base!$C$4:$L$4)+MAX(0,MIN(IF($A28&gt;C$27,DCF_Base!$L$19*(1+C$27)/($A28-C$27),0),Assumptions!$B$14*DCF_Base!$L$19))/(1+$A28)^10-Assumptions!$B$9)/Assumptions!$B$10/Assumptions!$B$13</f>
        <v/>
      </c>
      <c r="D28">
        <f>((SUMPRODUCT(DCF_Base!$C$19:$L$19/(1+$A28)^DCF_Base!$C$4:$L$4)+MAX(0,MIN(IF($A28&gt;D$27,DCF_Base!$L$19*(1+D$27)/($A28-D$27),0),Assumptions!$B$14*DCF_Base!$L$19))/(1+$A28)^10-Assumptions!$B$9)/Assumptions!$B$10/Assumptions!$B$13</f>
        <v/>
      </c>
      <c r="E28">
        <f>((SUMPRODUCT(DCF_Base!$C$19:$L$19/(1+$A28)^DCF_Base!$C$4:$L$4)+MAX(0,MIN(IF($A28&gt;E$27,DCF_Base!$L$19*(1+E$27)/($A28-E$27),0),Assumptions!$B$14*DCF_Base!$L$19))/(1+$A28)^10-Assumptions!$B$9)/Assumptions!$B$10/Assumptions!$B$13</f>
        <v/>
      </c>
      <c r="F28">
        <f>((SUMPRODUCT(DCF_Base!$C$19:$L$19/(1+$A28)^DCF_Base!$C$4:$L$4)+MAX(0,MIN(IF($A28&gt;F$27,DCF_Base!$L$19*(1+F$27)/($A28-F$27),0),Assumptions!$B$14*DCF_Base!$L$19))/(1+$A28)^10-Assumptions!$B$9)/Assumptions!$B$10/Assumptions!$B$13</f>
        <v/>
      </c>
    </row>
    <row r="29">
      <c r="A29" s="7" t="n">
        <v>0.08</v>
      </c>
      <c r="B29">
        <f>((SUMPRODUCT(DCF_Base!$C$19:$L$19/(1+$A29)^DCF_Base!$C$4:$L$4)+MAX(0,MIN(IF($A29&gt;B$27,DCF_Base!$L$19*(1+B$27)/($A29-B$27),0),Assumptions!$B$14*DCF_Base!$L$19))/(1+$A29)^10-Assumptions!$B$9)/Assumptions!$B$10/Assumptions!$B$13</f>
        <v/>
      </c>
      <c r="C29">
        <f>((SUMPRODUCT(DCF_Base!$C$19:$L$19/(1+$A29)^DCF_Base!$C$4:$L$4)+MAX(0,MIN(IF($A29&gt;C$27,DCF_Base!$L$19*(1+C$27)/($A29-C$27),0),Assumptions!$B$14*DCF_Base!$L$19))/(1+$A29)^10-Assumptions!$B$9)/Assumptions!$B$10/Assumptions!$B$13</f>
        <v/>
      </c>
      <c r="D29">
        <f>((SUMPRODUCT(DCF_Base!$C$19:$L$19/(1+$A29)^DCF_Base!$C$4:$L$4)+MAX(0,MIN(IF($A29&gt;D$27,DCF_Base!$L$19*(1+D$27)/($A29-D$27),0),Assumptions!$B$14*DCF_Base!$L$19))/(1+$A29)^10-Assumptions!$B$9)/Assumptions!$B$10/Assumptions!$B$13</f>
        <v/>
      </c>
      <c r="E29">
        <f>((SUMPRODUCT(DCF_Base!$C$19:$L$19/(1+$A29)^DCF_Base!$C$4:$L$4)+MAX(0,MIN(IF($A29&gt;E$27,DCF_Base!$L$19*(1+E$27)/($A29-E$27),0),Assumptions!$B$14*DCF_Base!$L$19))/(1+$A29)^10-Assumptions!$B$9)/Assumptions!$B$10/Assumptions!$B$13</f>
        <v/>
      </c>
      <c r="F29">
        <f>((SUMPRODUCT(DCF_Base!$C$19:$L$19/(1+$A29)^DCF_Base!$C$4:$L$4)+MAX(0,MIN(IF($A29&gt;F$27,DCF_Base!$L$19*(1+F$27)/($A29-F$27),0),Assumptions!$B$14*DCF_Base!$L$19))/(1+$A29)^10-Assumptions!$B$9)/Assumptions!$B$10/Assumptions!$B$13</f>
        <v/>
      </c>
    </row>
    <row r="30">
      <c r="A30" s="7" t="n">
        <v>0.09</v>
      </c>
      <c r="B30">
        <f>((SUMPRODUCT(DCF_Base!$C$19:$L$19/(1+$A30)^DCF_Base!$C$4:$L$4)+MAX(0,MIN(IF($A30&gt;B$27,DCF_Base!$L$19*(1+B$27)/($A30-B$27),0),Assumptions!$B$14*DCF_Base!$L$19))/(1+$A30)^10-Assumptions!$B$9)/Assumptions!$B$10/Assumptions!$B$13</f>
        <v/>
      </c>
      <c r="C30">
        <f>((SUMPRODUCT(DCF_Base!$C$19:$L$19/(1+$A30)^DCF_Base!$C$4:$L$4)+MAX(0,MIN(IF($A30&gt;C$27,DCF_Base!$L$19*(1+C$27)/($A30-C$27),0),Assumptions!$B$14*DCF_Base!$L$19))/(1+$A30)^10-Assumptions!$B$9)/Assumptions!$B$10/Assumptions!$B$13</f>
        <v/>
      </c>
      <c r="D30" s="8">
        <f>((SUMPRODUCT(DCF_Base!$C$19:$L$19/(1+$A30)^DCF_Base!$C$4:$L$4)+MAX(0,MIN(IF($A30&gt;D$27,DCF_Base!$L$19*(1+D$27)/($A30-D$27),0),Assumptions!$B$14*DCF_Base!$L$19))/(1+$A30)^10-Assumptions!$B$9)/Assumptions!$B$10/Assumptions!$B$13</f>
        <v/>
      </c>
      <c r="E30">
        <f>((SUMPRODUCT(DCF_Base!$C$19:$L$19/(1+$A30)^DCF_Base!$C$4:$L$4)+MAX(0,MIN(IF($A30&gt;E$27,DCF_Base!$L$19*(1+E$27)/($A30-E$27),0),Assumptions!$B$14*DCF_Base!$L$19))/(1+$A30)^10-Assumptions!$B$9)/Assumptions!$B$10/Assumptions!$B$13</f>
        <v/>
      </c>
      <c r="F30">
        <f>((SUMPRODUCT(DCF_Base!$C$19:$L$19/(1+$A30)^DCF_Base!$C$4:$L$4)+MAX(0,MIN(IF($A30&gt;F$27,DCF_Base!$L$19*(1+F$27)/($A30-F$27),0),Assumptions!$B$14*DCF_Base!$L$19))/(1+$A30)^10-Assumptions!$B$9)/Assumptions!$B$10/Assumptions!$B$13</f>
        <v/>
      </c>
    </row>
    <row r="31">
      <c r="A31" s="7" t="n">
        <v>0.1</v>
      </c>
      <c r="B31">
        <f>((SUMPRODUCT(DCF_Base!$C$19:$L$19/(1+$A31)^DCF_Base!$C$4:$L$4)+MAX(0,MIN(IF($A31&gt;B$27,DCF_Base!$L$19*(1+B$27)/($A31-B$27),0),Assumptions!$B$14*DCF_Base!$L$19))/(1+$A31)^10-Assumptions!$B$9)/Assumptions!$B$10/Assumptions!$B$13</f>
        <v/>
      </c>
      <c r="C31">
        <f>((SUMPRODUCT(DCF_Base!$C$19:$L$19/(1+$A31)^DCF_Base!$C$4:$L$4)+MAX(0,MIN(IF($A31&gt;C$27,DCF_Base!$L$19*(1+C$27)/($A31-C$27),0),Assumptions!$B$14*DCF_Base!$L$19))/(1+$A31)^10-Assumptions!$B$9)/Assumptions!$B$10/Assumptions!$B$13</f>
        <v/>
      </c>
      <c r="D31">
        <f>((SUMPRODUCT(DCF_Base!$C$19:$L$19/(1+$A31)^DCF_Base!$C$4:$L$4)+MAX(0,MIN(IF($A31&gt;D$27,DCF_Base!$L$19*(1+D$27)/($A31-D$27),0),Assumptions!$B$14*DCF_Base!$L$19))/(1+$A31)^10-Assumptions!$B$9)/Assumptions!$B$10/Assumptions!$B$13</f>
        <v/>
      </c>
      <c r="E31">
        <f>((SUMPRODUCT(DCF_Base!$C$19:$L$19/(1+$A31)^DCF_Base!$C$4:$L$4)+MAX(0,MIN(IF($A31&gt;E$27,DCF_Base!$L$19*(1+E$27)/($A31-E$27),0),Assumptions!$B$14*DCF_Base!$L$19))/(1+$A31)^10-Assumptions!$B$9)/Assumptions!$B$10/Assumptions!$B$13</f>
        <v/>
      </c>
      <c r="F31">
        <f>((SUMPRODUCT(DCF_Base!$C$19:$L$19/(1+$A31)^DCF_Base!$C$4:$L$4)+MAX(0,MIN(IF($A31&gt;F$27,DCF_Base!$L$19*(1+F$27)/($A31-F$27),0),Assumptions!$B$14*DCF_Base!$L$19))/(1+$A31)^10-Assumptions!$B$9)/Assumptions!$B$10/Assumptions!$B$13</f>
        <v/>
      </c>
    </row>
    <row r="32">
      <c r="A32" s="7" t="n">
        <v>0.11</v>
      </c>
      <c r="B32">
        <f>((SUMPRODUCT(DCF_Base!$C$19:$L$19/(1+$A32)^DCF_Base!$C$4:$L$4)+MAX(0,MIN(IF($A32&gt;B$27,DCF_Base!$L$19*(1+B$27)/($A32-B$27),0),Assumptions!$B$14*DCF_Base!$L$19))/(1+$A32)^10-Assumptions!$B$9)/Assumptions!$B$10/Assumptions!$B$13</f>
        <v/>
      </c>
      <c r="C32">
        <f>((SUMPRODUCT(DCF_Base!$C$19:$L$19/(1+$A32)^DCF_Base!$C$4:$L$4)+MAX(0,MIN(IF($A32&gt;C$27,DCF_Base!$L$19*(1+C$27)/($A32-C$27),0),Assumptions!$B$14*DCF_Base!$L$19))/(1+$A32)^10-Assumptions!$B$9)/Assumptions!$B$10/Assumptions!$B$13</f>
        <v/>
      </c>
      <c r="D32">
        <f>((SUMPRODUCT(DCF_Base!$C$19:$L$19/(1+$A32)^DCF_Base!$C$4:$L$4)+MAX(0,MIN(IF($A32&gt;D$27,DCF_Base!$L$19*(1+D$27)/($A32-D$27),0),Assumptions!$B$14*DCF_Base!$L$19))/(1+$A32)^10-Assumptions!$B$9)/Assumptions!$B$10/Assumptions!$B$13</f>
        <v/>
      </c>
      <c r="E32">
        <f>((SUMPRODUCT(DCF_Base!$C$19:$L$19/(1+$A32)^DCF_Base!$C$4:$L$4)+MAX(0,MIN(IF($A32&gt;E$27,DCF_Base!$L$19*(1+E$27)/($A32-E$27),0),Assumptions!$B$14*DCF_Base!$L$19))/(1+$A32)^10-Assumptions!$B$9)/Assumptions!$B$10/Assumptions!$B$13</f>
        <v/>
      </c>
      <c r="F32">
        <f>((SUMPRODUCT(DCF_Base!$C$19:$L$19/(1+$A32)^DCF_Base!$C$4:$L$4)+MAX(0,MIN(IF($A32&gt;F$27,DCF_Base!$L$19*(1+F$27)/($A32-F$27),0),Assumptions!$B$14*DCF_Base!$L$19))/(1+$A32)^10-Assumptions!$B$9)/Assumptions!$B$10/Assumptions!$B$13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2026-09-21T12:06:23Z</dcterms:created>
  <dcterms:modified xsi:type="dcterms:W3CDTF">2026-09-21T12:06:23Z</dcterms:modified>
</cp:coreProperties>
</file>