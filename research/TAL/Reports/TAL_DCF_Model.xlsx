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<sst xmlns="http://schemas.openxmlformats.org/spreadsheetml/2006/main" count="383" uniqueCount="172">
  <si>
    <t xml:space="preserve">Ticker</t>
  </si>
  <si>
    <t xml:space="preserve">TAL</t>
  </si>
  <si>
    <t xml:space="preserve">Company</t>
  </si>
  <si>
    <t xml:space="preserve">TAL Education Group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</si>
  <si>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</si>
  <si>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</si>
  <si>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</si>
  <si>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</si>
  <si>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(Yahoo chart API); 52-week range 8.88-13.37</t>
  </si>
  <si>
    <t xml:space="preserve">Balance sheet date</t>
  </si>
  <si>
    <t xml:space="preserve">2026-05-31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</si>
  <si>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</si>
  <si>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</si>
  <si>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</si>
  <si>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</si>
  <si>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</si>
  <si>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</si>
  <si>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</si>
  <si>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</si>
  <si>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</si>
  <si>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</si>
  <si>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2026-10-04T08:36:41Z</t>
  </si>
  <si>
    <t xml:space="preserve">Drivers file</t>
  </si>
  <si>
    <t xml:space="preserve">TAL_Drivers.json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</si>
  <si>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</si>
  <si>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</si>
  <si>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</si>
  <si>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the post-pivot business only, with SBC expensed and the share count held flat, interest and fair-value investment income stripped and their source assets added back in the bridge, growth decelerated hard against the demographic cliff, and the China regulatory axis carried in a 30% bear weight rather than in the discount rate. Roughly 40% of the weighted value is cash and investments; the market's ex-cash EV of ~$2.3B is about 5-6x FY2026 owner FCF, which is the regulatory discount being priced.
key_risks_to_valuation: Regulatory: a widening of the 2021 double-reduction perimeter to non-academic enrichment, learning devices or online content would reprice the operating franchise toward the bear case or below; TAL has no formal guidance and gives little disclosure of regulatory engagement.; Demographics: China births fell from 17.9M (2016) to ~9.0M (2023); the primary-school cohort shrinks sharply from ~2028. Every scenario decelerates for this, but the base case still assumes enrichment penetration and pricing partly offset it.; Investment marks: $1.74B of long-term investments (net $1.56B after DTL, ~$2.79/ADS) are largely fair-valued equity stakes; $405M of the carrying value is a single quarter's unrealised gain that can reverse.; Structure and listing: Cayman holdco with VIE contractual control of PRC operating entities, HFCAA/PCAOB exposure, capital controls on repatriating onshore cash; restricted tuition escrow ($306M) is excluded from net cash but a tightening of escrow rules could trap more.; Learning-device competition: Xueersi devices compete with ByteDance (Dali), Baidu, iFlytek and Youdao; product gross margins are lower than tutoring and the mix shift caps the mature EBITDA margin.; Seasonality and base effect: FY2027 is anchored on one quarter (+32%, 18% GAAP operating margin in the smallest revenue quarter); the full-year margin assumption of 16% could prove either conservative or, if summer marketing spend scales, generous.</t>
  </si>
  <si>
    <t xml:space="preserve">Data sources</t>
  </si>
  <si>
    <t xml:space="preserve">price: Yahoo Finance chart API at inputs.price_as_of (regular close, 2-Oct-2026); 52-week range 8.88-13.37; NYSE ADS quote in USD.
financials: FY2026 Form 20-F (filed 12-Jun-2026, SEC accession 0001104659-26-073410) via the SEC XBRL companyfacts API and the Item 5 text for interest income, lease cost, D&amp;A, SBC, tax and share data; Q1 FY2027 6-K press release (30-Jul-2026, accession 0001104659-26-088660) for the 31-May-2026 balance sheet, quarter P&amp;L, cash flow, ADS counts and buyback activity; research/TAL/Reports/TAL_Metrics.csv for the FY2010-FY2026 history.
qualitative: research/TAL/Reports/TAL_Analysis.json (2026-10-04: business mix ~55% learning services / 25% devices / 10% content / 10% overseas, VIE 79-83% of revenue, management guidance of decelerating growth and further non-GAAP margin expansion in FY2027, device-cost and competition caution), the FY2026 20-F Items 4 and 5, the Q1 FY2027 release, and research/TAL/info.json. Regulatory and demographic context from the 2021 PRC double-reduction opinion and NBS birth statistics.</t>
  </si>
  <si>
    <t xml:space="preserve">Scenario narrative: bear</t>
  </si>
  <si>
    <t xml:space="preserve">Beijing re-tightens: 'non-academic' enrichment is drawn into the double-reduction perimeter (licensing, fee and time caps) from FY2028, device margins are competed away, and the demographic cliff bites on schedule. Revenue peaks in FY2028 near $3.6B and settles near $3.3B; EBITDA margin 11%; deferred revenue unwinds. Terminal growth 1.5%, cap 12x. The cash and investment pile (~$7.90/ADS gross of the DTL) is most of the equity value in this path.</t>
  </si>
  <si>
    <t xml:space="preserve">Scenario narrative: base</t>
  </si>
  <si>
    <t xml:space="preserve">The post-pivot franchise (non-academic enrichment small classes, Xueersi learning devices and content, overseas) keeps compounding but decelerates fast: +24% in FY2027 on the Q1 run-rate, single digits by FY2030 and ~3% from FY2033 as the K-12 cohort shrinks with China's birth collapse. Operating leverage lifts the EBITDA margin from 13.0% (FY2026) to 16% in FY2027 and 19% at maturity. Cash tax ramps to the 25% PRC statutory rate; no NOL shelter is credited. The $2.9B of cash and short-term investments and $1.56B of long-term investments net of deferred tax are added to enterprise value; the interest and fair-value gains they produce are excluded from the flows.</t>
  </si>
  <si>
    <t xml:space="preserve">Scenario narrative: bull</t>
  </si>
  <si>
    <t xml:space="preserve">Enrichment-tutoring demand per child and pricing power offset the shrinking cohort; learning devices hold share in a market crowded by ByteDance, Baidu and iFlytek; overseas and content lines scale; EBITDA margin reaches 23%, consistent with the 19.6% non-GAAP operating margin already printed in Q1 FY2027 plus D&amp;A. Growth of 30%/22%/16% in FY2027-29 and 3% terminal, 16x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</si>
  <si>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</si>
  <si>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</si>
  <si>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</si>
  <si>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</si>
  <si>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</si>
  <si>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</si>
  <si>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</si>
  <si>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</si>
  <si>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</si>
  <si>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</si>
  <si>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</si>
  <si>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</si>
  <si>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</si>
  <si>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</si>
  <si>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</si>
  <si>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</si>
  <si>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</si>
  <si>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</si>
  <si>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</si>
  <si>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</si>
  <si>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</si>
  <si>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</si>
  <si>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</si>
  <si>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</si>
  <si>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</si>
  <si>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</si>
  <si>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</si>
  <si>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</si>
  <si>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</si>
  <si>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</si>
  <si>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</si>
  <si>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</si>
  <si>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</si>
  <si>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</si>
  <si>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</si>
  <si>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</si>
  <si>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</si>
  <si>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</si>
  <si>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</si>
  <si>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</si>
  <si>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</si>
  <si>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</si>
  <si>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</si>
  <si>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</si>
  <si>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</si>
  <si>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</si>
  <si>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</si>
  <si>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</si>
  <si>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</si>
  <si>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</si>
  <si>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</si>
  <si>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</si>
  <si>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</si>
  <si>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</si>
  <si>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</si>
  <si>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</si>
  <si>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</si>
  <si>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</si>
  <si>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</si>
  <si>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</si>
  <si>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</si>
  <si>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</si>
  <si>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</si>
  <si>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</si>
  <si>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</si>
  <si>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</si>
  <si>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</si>
  <si>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</si>
  <si>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</si>
  <si>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</si>
  <si>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</si>
  <si>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</si>
  <si>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</si>
  <si>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</si>
  <si>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</si>
  <si>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</si>
  <si>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</si>
  <si>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</si>
  <si>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</si>
  <si>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</si>
  <si>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</si>
  <si>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</si>
  <si>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TAL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</si>
  <si>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</si>
  <si>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</si>
  <si>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</si>
  <si>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</si>
  <si>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</si>
  <si>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</si>
  <si>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</si>
  <si>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</si>
  <si>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</si>
  <si>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</si>
  <si>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</si>
  <si>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</si>
  <si>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</si>
  <si>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</si>
  <si>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</si>
  <si>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</si>
  <si>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</si>
  <si>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</si>
  <si>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</si>
  <si>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</si>
  <si>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</si>
  <si>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</si>
  <si>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</si>
  <si>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</si>
  <si>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</si>
  <si>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</si>
  <si>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</si>
  <si>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</si>
  <si>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</si>
  <si>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</si>
  <si>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TAL owner-FCF component DCF: base case (millions, USD)</t>
  </si>
  <si>
    <t xml:space="preserve">TAL owner-FCF component DCF: bull case (millions, USD)</t>
  </si>
  <si>
    <t xml:space="preserve">TAL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</si>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</sst>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3.355345</v>
      </c>
      <c r="S2" s="0" t="n">
        <v>29.692901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69.288547</v>
      </c>
      <c r="C3" s="0" t="n">
        <v>37.433811</v>
      </c>
      <c r="D3" s="0" t="n">
        <v>31.854736</v>
      </c>
      <c r="E3" s="0" t="n">
        <v>45.9740280020593</v>
      </c>
      <c r="F3" s="0" t="n">
        <v>15.409953</v>
      </c>
      <c r="G3" s="0" t="n">
        <v>22.2402599956382</v>
      </c>
      <c r="I3" s="0" t="n">
        <v>14.244959</v>
      </c>
      <c r="J3" s="0" t="n">
        <v>20.5588940983277</v>
      </c>
      <c r="K3" s="0" t="n">
        <v>0.11</v>
      </c>
      <c r="L3" s="0" t="n">
        <v>27.175273</v>
      </c>
      <c r="M3" s="0" t="n">
        <v>3.781617</v>
      </c>
      <c r="N3" s="0" t="n">
        <v>23.393656</v>
      </c>
      <c r="O3" s="0" t="n">
        <v>17.926071</v>
      </c>
      <c r="S3" s="0" t="n">
        <v>50.752481</v>
      </c>
      <c r="T3" s="0" t="n">
        <v>125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110.588299</v>
      </c>
      <c r="C4" s="0" t="n">
        <v>56.142838</v>
      </c>
      <c r="D4" s="0" t="n">
        <v>54.445461</v>
      </c>
      <c r="E4" s="0" t="n">
        <v>49.2325693516635</v>
      </c>
      <c r="F4" s="0" t="n">
        <v>25.574046</v>
      </c>
      <c r="G4" s="0" t="n">
        <v>23.1254538059221</v>
      </c>
      <c r="I4" s="0" t="n">
        <v>24.04115</v>
      </c>
      <c r="J4" s="0" t="n">
        <v>21.7393252427185</v>
      </c>
      <c r="K4" s="0" t="n">
        <v>0.18</v>
      </c>
      <c r="L4" s="0" t="n">
        <v>53.822623</v>
      </c>
      <c r="M4" s="0" t="n">
        <v>5.164709</v>
      </c>
      <c r="N4" s="0" t="n">
        <v>48.657914</v>
      </c>
      <c r="O4" s="0" t="n">
        <v>155.051224</v>
      </c>
      <c r="P4" s="0" t="n">
        <v>217.770044</v>
      </c>
      <c r="Q4" s="0" t="n">
        <v>62.71882</v>
      </c>
      <c r="S4" s="0" t="n">
        <v>173.165661</v>
      </c>
      <c r="T4" s="0" t="n">
        <v>136.445635</v>
      </c>
      <c r="U4" s="0" t="n">
        <v>5.306472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177.519672</v>
      </c>
      <c r="C5" s="0" t="n">
        <v>95.587218</v>
      </c>
      <c r="D5" s="0" t="n">
        <v>81.932454</v>
      </c>
      <c r="E5" s="0" t="n">
        <v>46.154013849237</v>
      </c>
      <c r="F5" s="0" t="n">
        <v>21.024871</v>
      </c>
      <c r="G5" s="0" t="n">
        <v>11.8436851325413</v>
      </c>
      <c r="I5" s="0" t="n">
        <v>24.313653</v>
      </c>
      <c r="J5" s="0" t="n">
        <v>13.6963147385716</v>
      </c>
      <c r="K5" s="0" t="n">
        <v>0.16</v>
      </c>
      <c r="L5" s="0" t="n">
        <v>73.397671</v>
      </c>
      <c r="M5" s="0" t="n">
        <v>72.631938</v>
      </c>
      <c r="N5" s="0" t="n">
        <v>0.765732999999997</v>
      </c>
      <c r="O5" s="0" t="n">
        <v>190.117291</v>
      </c>
      <c r="P5" s="0" t="n">
        <v>294.652905</v>
      </c>
      <c r="Q5" s="0" t="n">
        <v>104.535614</v>
      </c>
      <c r="S5" s="0" t="n">
        <v>188.579767</v>
      </c>
      <c r="T5" s="0" t="n">
        <v>155.874381</v>
      </c>
      <c r="U5" s="0" t="n">
        <v>7.901243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225.931095</v>
      </c>
      <c r="C6" s="0" t="n">
        <v>115.74865</v>
      </c>
      <c r="D6" s="0" t="n">
        <v>110.182445</v>
      </c>
      <c r="E6" s="0" t="n">
        <v>48.7681631428379</v>
      </c>
      <c r="F6" s="0" t="n">
        <v>31.42142</v>
      </c>
      <c r="G6" s="0" t="n">
        <v>13.9075234420477</v>
      </c>
      <c r="I6" s="0" t="n">
        <v>33.440066</v>
      </c>
      <c r="J6" s="0" t="n">
        <v>14.8010020488769</v>
      </c>
      <c r="K6" s="0" t="n">
        <v>0.21</v>
      </c>
      <c r="L6" s="0" t="n">
        <v>65.409745</v>
      </c>
      <c r="M6" s="0" t="n">
        <v>6.163284</v>
      </c>
      <c r="N6" s="0" t="n">
        <v>59.246461</v>
      </c>
      <c r="O6" s="0" t="n">
        <v>191.445279</v>
      </c>
      <c r="P6" s="0" t="n">
        <v>316.041879</v>
      </c>
      <c r="Q6" s="0" t="n">
        <v>124.5966</v>
      </c>
      <c r="S6" s="0" t="n">
        <v>185.080673</v>
      </c>
      <c r="T6" s="0" t="n">
        <v>156.63109</v>
      </c>
      <c r="U6" s="0" t="n">
        <v>8.2839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313.895205</v>
      </c>
      <c r="C7" s="0" t="n">
        <v>151.543116</v>
      </c>
      <c r="D7" s="0" t="n">
        <v>162.352089</v>
      </c>
      <c r="E7" s="0" t="n">
        <v>51.7217486644946</v>
      </c>
      <c r="F7" s="0" t="n">
        <v>57.395931</v>
      </c>
      <c r="G7" s="0" t="n">
        <v>18.2850614108616</v>
      </c>
      <c r="I7" s="0" t="n">
        <v>60.605772</v>
      </c>
      <c r="J7" s="0" t="n">
        <v>19.3076450466964</v>
      </c>
      <c r="K7" s="0" t="n">
        <v>0.39</v>
      </c>
      <c r="M7" s="0" t="n">
        <v>10.835726</v>
      </c>
      <c r="O7" s="0" t="n">
        <v>259.996401</v>
      </c>
      <c r="P7" s="0" t="n">
        <v>427.598767</v>
      </c>
      <c r="Q7" s="0" t="n">
        <v>167.602366</v>
      </c>
      <c r="R7" s="0" t="n">
        <v>0.813696</v>
      </c>
      <c r="S7" s="0" t="n">
        <v>269.930571</v>
      </c>
      <c r="T7" s="0" t="n">
        <v>159.444928</v>
      </c>
      <c r="U7" s="0" t="n">
        <v>8.34529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433.969569</v>
      </c>
      <c r="C8" s="0" t="n">
        <v>203.073957</v>
      </c>
      <c r="D8" s="0" t="n">
        <v>230.895612</v>
      </c>
      <c r="E8" s="0" t="n">
        <v>53.2054845532268</v>
      </c>
      <c r="F8" s="0" t="n">
        <v>67.248114</v>
      </c>
      <c r="G8" s="0" t="n">
        <v>15.4960436868789</v>
      </c>
      <c r="I8" s="0" t="n">
        <v>67.156575</v>
      </c>
      <c r="J8" s="0" t="n">
        <v>15.4749502723773</v>
      </c>
      <c r="K8" s="0" t="n">
        <v>0.42</v>
      </c>
      <c r="M8" s="0" t="n">
        <v>30.696412</v>
      </c>
      <c r="O8" s="0" t="n">
        <v>313.570816</v>
      </c>
      <c r="P8" s="0" t="n">
        <v>772.414637</v>
      </c>
      <c r="Q8" s="0" t="n">
        <v>458.843821</v>
      </c>
      <c r="S8" s="0" t="n">
        <v>470.15743</v>
      </c>
      <c r="T8" s="0" t="n">
        <v>163.589649</v>
      </c>
      <c r="U8" s="0" t="n">
        <v>18.441076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619.948777</v>
      </c>
      <c r="C9" s="0" t="n">
        <v>303.634829</v>
      </c>
      <c r="D9" s="0" t="n">
        <v>316.313948</v>
      </c>
      <c r="E9" s="0" t="n">
        <v>51.0225940811881</v>
      </c>
      <c r="F9" s="0" t="n">
        <v>85.051863</v>
      </c>
      <c r="G9" s="0" t="n">
        <v>13.7191758666862</v>
      </c>
      <c r="I9" s="0" t="n">
        <v>102.878518</v>
      </c>
      <c r="J9" s="0" t="n">
        <v>16.594680369859</v>
      </c>
      <c r="K9" s="0" t="n">
        <v>0.64</v>
      </c>
      <c r="L9" s="0" t="n">
        <v>197.15486</v>
      </c>
      <c r="M9" s="0" t="n">
        <v>35.087893</v>
      </c>
      <c r="N9" s="0" t="n">
        <v>162.066967</v>
      </c>
      <c r="O9" s="0" t="n">
        <v>440.736</v>
      </c>
      <c r="P9" s="0" t="n">
        <v>1061.379033</v>
      </c>
      <c r="Q9" s="0" t="n">
        <v>620.641546</v>
      </c>
      <c r="R9" s="0" t="n">
        <v>0</v>
      </c>
      <c r="S9" s="0" t="n">
        <v>434.042036</v>
      </c>
      <c r="T9" s="0" t="n">
        <v>183.056255</v>
      </c>
      <c r="U9" s="0" t="n">
        <v>25.847497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1043.1</v>
      </c>
      <c r="C10" s="0" t="n">
        <v>522.327</v>
      </c>
      <c r="D10" s="0" t="n">
        <v>520.773</v>
      </c>
      <c r="E10" s="0" t="n">
        <v>49.9255104975554</v>
      </c>
      <c r="F10" s="0" t="n">
        <v>134.594</v>
      </c>
      <c r="G10" s="0" t="n">
        <v>12.903269101716</v>
      </c>
      <c r="I10" s="0" t="n">
        <v>116.88</v>
      </c>
      <c r="J10" s="0" t="n">
        <v>11.2050618349152</v>
      </c>
      <c r="K10" s="0" t="n">
        <v>0.72</v>
      </c>
      <c r="L10" s="0" t="n">
        <v>379.019</v>
      </c>
      <c r="M10" s="0" t="n">
        <v>71.112</v>
      </c>
      <c r="N10" s="0" t="n">
        <v>307.907</v>
      </c>
      <c r="O10" s="0" t="n">
        <v>680.864</v>
      </c>
      <c r="P10" s="0" t="n">
        <v>1828.905951</v>
      </c>
      <c r="Q10" s="0" t="n">
        <v>1148.04162</v>
      </c>
      <c r="R10" s="0" t="n">
        <v>225</v>
      </c>
      <c r="S10" s="0" t="n">
        <v>470.217004</v>
      </c>
      <c r="T10" s="0" t="n">
        <v>188.508419</v>
      </c>
      <c r="U10" s="0" t="n">
        <v>36.115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1715.016</v>
      </c>
      <c r="C11" s="0" t="n">
        <v>882.316</v>
      </c>
      <c r="D11" s="0" t="n">
        <v>832.7</v>
      </c>
      <c r="E11" s="0" t="n">
        <v>48.5534828829585</v>
      </c>
      <c r="F11" s="0" t="n">
        <v>208.604</v>
      </c>
      <c r="G11" s="0" t="n">
        <v>12.1633850646291</v>
      </c>
      <c r="I11" s="0" t="n">
        <v>198.44</v>
      </c>
      <c r="J11" s="0" t="n">
        <v>11.5707375324778</v>
      </c>
      <c r="K11" s="0" t="n">
        <v>1.13</v>
      </c>
      <c r="L11" s="0" t="n">
        <v>685.293</v>
      </c>
      <c r="M11" s="0" t="n">
        <v>126.344</v>
      </c>
      <c r="N11" s="0" t="n">
        <v>558.949</v>
      </c>
      <c r="O11" s="0" t="n">
        <v>1640.464</v>
      </c>
      <c r="P11" s="0" t="n">
        <v>3054.56</v>
      </c>
      <c r="Q11" s="0" t="n">
        <v>1414.096</v>
      </c>
      <c r="R11" s="0" t="n">
        <v>225</v>
      </c>
      <c r="S11" s="0" t="n">
        <v>711.519</v>
      </c>
      <c r="T11" s="0" t="n">
        <v>194.331305</v>
      </c>
      <c r="U11" s="0" t="n">
        <v>47.15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2562.984</v>
      </c>
      <c r="C12" s="0" t="n">
        <v>1164.454</v>
      </c>
      <c r="D12" s="0" t="n">
        <v>1398.53</v>
      </c>
      <c r="E12" s="0" t="n">
        <v>54.5664740786521</v>
      </c>
      <c r="F12" s="0" t="n">
        <v>341.582</v>
      </c>
      <c r="G12" s="0" t="n">
        <v>13.3275119938322</v>
      </c>
      <c r="I12" s="0" t="n">
        <v>367.236</v>
      </c>
      <c r="J12" s="0" t="n">
        <v>14.3284546450544</v>
      </c>
      <c r="K12" s="0" t="n">
        <v>1.93</v>
      </c>
      <c r="L12" s="0" t="n">
        <v>194.361</v>
      </c>
      <c r="M12" s="0" t="n">
        <v>138.406</v>
      </c>
      <c r="N12" s="0" t="n">
        <v>55.955</v>
      </c>
      <c r="O12" s="0" t="n">
        <v>2530.477</v>
      </c>
      <c r="P12" s="0" t="n">
        <v>3735.091</v>
      </c>
      <c r="Q12" s="0" t="n">
        <v>1204.614</v>
      </c>
      <c r="R12" s="0" t="n">
        <v>0</v>
      </c>
      <c r="S12" s="0" t="n">
        <v>538.364</v>
      </c>
      <c r="T12" s="0" t="n">
        <v>200.224934</v>
      </c>
      <c r="U12" s="0" t="n">
        <v>77.277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3273.308</v>
      </c>
      <c r="C13" s="0" t="n">
        <v>1468.569</v>
      </c>
      <c r="D13" s="0" t="n">
        <v>1804.739</v>
      </c>
      <c r="E13" s="0" t="n">
        <v>55.1350193748954</v>
      </c>
      <c r="F13" s="0" t="n">
        <v>137.443</v>
      </c>
      <c r="G13" s="0" t="n">
        <v>4.19890215036288</v>
      </c>
      <c r="I13" s="0" t="n">
        <v>-127.651</v>
      </c>
      <c r="J13" s="0" t="n">
        <v>-3.89975523232155</v>
      </c>
      <c r="K13" s="0" t="n">
        <v>-0.56</v>
      </c>
      <c r="L13" s="0" t="n">
        <v>855.85</v>
      </c>
      <c r="M13" s="0" t="n">
        <v>178.071</v>
      </c>
      <c r="N13" s="0" t="n">
        <v>677.779</v>
      </c>
      <c r="O13" s="0" t="n">
        <v>2544.197</v>
      </c>
      <c r="P13" s="0" t="n">
        <v>5571.246</v>
      </c>
      <c r="Q13" s="0" t="n">
        <v>3027.049</v>
      </c>
      <c r="R13" s="0" t="n">
        <v>261.95</v>
      </c>
      <c r="S13" s="0" t="n">
        <v>1435.739</v>
      </c>
      <c r="T13" s="0" t="n">
        <v>198.18437</v>
      </c>
      <c r="U13" s="0" t="n">
        <v>117.943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4495.755</v>
      </c>
      <c r="C14" s="0" t="n">
        <v>2048.561</v>
      </c>
      <c r="D14" s="0" t="n">
        <v>2447.194</v>
      </c>
      <c r="E14" s="0" t="n">
        <v>54.4334377651807</v>
      </c>
      <c r="F14" s="0" t="n">
        <v>-438.224</v>
      </c>
      <c r="G14" s="0" t="n">
        <v>-9.7475062586818</v>
      </c>
      <c r="I14" s="0" t="n">
        <v>-143.05</v>
      </c>
      <c r="J14" s="0" t="n">
        <v>-3.18189047223436</v>
      </c>
      <c r="K14" s="0" t="n">
        <v>-0.57</v>
      </c>
      <c r="L14" s="0" t="n">
        <v>954.732</v>
      </c>
      <c r="M14" s="0" t="n">
        <v>245.058</v>
      </c>
      <c r="N14" s="0" t="n">
        <v>709.674</v>
      </c>
      <c r="O14" s="0" t="n">
        <v>5202.781</v>
      </c>
      <c r="P14" s="0" t="n">
        <v>12112.309</v>
      </c>
      <c r="Q14" s="0" t="n">
        <v>6907.753</v>
      </c>
      <c r="R14" s="0" t="n">
        <v>270</v>
      </c>
      <c r="S14" s="0" t="n">
        <v>1754.509</v>
      </c>
      <c r="T14" s="0" t="n">
        <v>203.603391</v>
      </c>
      <c r="U14" s="0" t="n">
        <v>204.945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4390.907</v>
      </c>
      <c r="C15" s="0" t="n">
        <v>2203.336</v>
      </c>
      <c r="D15" s="0" t="n">
        <v>2187.571</v>
      </c>
      <c r="E15" s="0" t="n">
        <v>49.8204812809745</v>
      </c>
      <c r="F15" s="0" t="n">
        <v>-614.516</v>
      </c>
      <c r="G15" s="0" t="n">
        <v>-13.9951950701757</v>
      </c>
      <c r="I15" s="0" t="n">
        <v>-1164.335</v>
      </c>
      <c r="J15" s="0" t="n">
        <v>-26.5169587968955</v>
      </c>
      <c r="K15" s="0" t="n">
        <v>-5.29</v>
      </c>
      <c r="L15" s="0" t="n">
        <v>-939.184</v>
      </c>
      <c r="M15" s="0" t="n">
        <v>246.297</v>
      </c>
      <c r="N15" s="0" t="n">
        <v>-1185.481</v>
      </c>
      <c r="O15" s="0" t="n">
        <v>4002.262</v>
      </c>
      <c r="P15" s="0" t="n">
        <v>5082.528</v>
      </c>
      <c r="Q15" s="0" t="n">
        <v>1080.266</v>
      </c>
      <c r="S15" s="0" t="n">
        <v>1638.189</v>
      </c>
      <c r="T15" s="0" t="n">
        <v>214.82547</v>
      </c>
      <c r="U15" s="0" t="n">
        <v>174.832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1019.772</v>
      </c>
      <c r="C16" s="0" t="n">
        <v>436.358</v>
      </c>
      <c r="D16" s="0" t="n">
        <v>583.414</v>
      </c>
      <c r="E16" s="0" t="n">
        <v>57.2102391514966</v>
      </c>
      <c r="F16" s="0" t="n">
        <v>-90.73</v>
      </c>
      <c r="G16" s="0" t="n">
        <v>-8.89708679979446</v>
      </c>
      <c r="I16" s="0" t="n">
        <v>-135.612</v>
      </c>
      <c r="J16" s="0" t="n">
        <v>-13.2982666713736</v>
      </c>
      <c r="K16" s="0" t="n">
        <v>-0.64</v>
      </c>
      <c r="L16" s="0" t="n">
        <v>7.358</v>
      </c>
      <c r="M16" s="0" t="n">
        <v>110.326</v>
      </c>
      <c r="N16" s="0" t="n">
        <v>-102.968</v>
      </c>
      <c r="O16" s="0" t="n">
        <v>3820.913</v>
      </c>
      <c r="P16" s="0" t="n">
        <v>4724.354</v>
      </c>
      <c r="Q16" s="0" t="n">
        <v>903.441</v>
      </c>
      <c r="S16" s="0" t="n">
        <v>2021.927</v>
      </c>
      <c r="T16" s="0" t="n">
        <v>212.575277</v>
      </c>
      <c r="U16" s="0" t="n">
        <v>108.571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1490.44</v>
      </c>
      <c r="C17" s="0" t="n">
        <v>684.316</v>
      </c>
      <c r="D17" s="0" t="n">
        <v>806.124</v>
      </c>
      <c r="E17" s="0" t="n">
        <v>54.0863100829285</v>
      </c>
      <c r="F17" s="0" t="n">
        <v>-69.229</v>
      </c>
      <c r="G17" s="0" t="n">
        <v>-4.64486997128365</v>
      </c>
      <c r="I17" s="0" t="n">
        <v>-4.138</v>
      </c>
      <c r="J17" s="0" t="n">
        <v>-0.277636134295913</v>
      </c>
      <c r="K17" s="0" t="n">
        <v>-0.02</v>
      </c>
      <c r="L17" s="0" t="n">
        <v>306.172</v>
      </c>
      <c r="M17" s="0" t="n">
        <v>112.737</v>
      </c>
      <c r="N17" s="0" t="n">
        <v>193.435</v>
      </c>
      <c r="O17" s="0" t="n">
        <v>3638.764</v>
      </c>
      <c r="P17" s="0" t="n">
        <v>4927.949</v>
      </c>
      <c r="Q17" s="0" t="n">
        <v>1289.185</v>
      </c>
      <c r="S17" s="0" t="n">
        <v>2208.756</v>
      </c>
      <c r="T17" s="0" t="n">
        <v>203.304744</v>
      </c>
      <c r="U17" s="0" t="n">
        <v>88.898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2250.233</v>
      </c>
      <c r="C18" s="0" t="n">
        <v>1049.975</v>
      </c>
      <c r="D18" s="0" t="n">
        <v>1200.258</v>
      </c>
      <c r="E18" s="0" t="n">
        <v>53.3392764215972</v>
      </c>
      <c r="F18" s="0" t="n">
        <v>-3.155</v>
      </c>
      <c r="G18" s="0" t="n">
        <v>-0.140207702935652</v>
      </c>
      <c r="I18" s="0" t="n">
        <v>84.591</v>
      </c>
      <c r="J18" s="0" t="n">
        <v>3.75921071284618</v>
      </c>
      <c r="K18" s="0" t="n">
        <v>0.42</v>
      </c>
      <c r="L18" s="0" t="n">
        <v>397.923</v>
      </c>
      <c r="M18" s="0" t="n">
        <v>111.728</v>
      </c>
      <c r="N18" s="0" t="n">
        <v>286.195</v>
      </c>
      <c r="O18" s="0" t="n">
        <v>3766.567</v>
      </c>
      <c r="P18" s="0" t="n">
        <v>5503.067</v>
      </c>
      <c r="Q18" s="0" t="n">
        <v>1736.669</v>
      </c>
      <c r="S18" s="0" t="n">
        <v>1771.26</v>
      </c>
      <c r="T18" s="0" t="n">
        <v>205.222753</v>
      </c>
      <c r="U18" s="0" t="n">
        <v>64.939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3008.908</v>
      </c>
      <c r="C19" s="0" t="n">
        <v>1343.43</v>
      </c>
      <c r="D19" s="0" t="n">
        <v>1665.478</v>
      </c>
      <c r="E19" s="0" t="n">
        <v>55.3515760535051</v>
      </c>
      <c r="F19" s="0" t="n">
        <v>276.039</v>
      </c>
      <c r="G19" s="0" t="n">
        <v>9.17405916033325</v>
      </c>
      <c r="I19" s="0" t="n">
        <v>530.751</v>
      </c>
      <c r="J19" s="0" t="n">
        <v>17.6393229703268</v>
      </c>
      <c r="K19" s="0" t="n">
        <v>2.79</v>
      </c>
      <c r="L19" s="0" t="n">
        <v>601.467</v>
      </c>
      <c r="M19" s="0" t="n">
        <v>93.191</v>
      </c>
      <c r="N19" s="0" t="n">
        <v>508.276</v>
      </c>
      <c r="O19" s="0" t="n">
        <v>3774.437</v>
      </c>
      <c r="P19" s="0" t="n">
        <v>5936.289</v>
      </c>
      <c r="Q19" s="0" t="n">
        <v>2162.603</v>
      </c>
      <c r="S19" s="0" t="n">
        <v>1523.879</v>
      </c>
      <c r="T19" s="0" t="n">
        <v>192.925293</v>
      </c>
      <c r="U19" s="0" t="n">
        <v>43.093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12.06</v>
      </c>
    </row>
    <row r="3" customFormat="false" ht="15" hidden="false" customHeight="false" outlineLevel="0" collapsed="false">
      <c r="A3" s="0" t="s">
        <v>84</v>
      </c>
      <c r="B3" s="3" t="n">
        <v>558.86</v>
      </c>
    </row>
    <row r="4" customFormat="false" ht="15" hidden="false" customHeight="false" outlineLevel="0" collapsed="false">
      <c r="A4" s="0" t="s">
        <v>85</v>
      </c>
      <c r="B4" s="3" t="n">
        <v>-2874.565</v>
      </c>
    </row>
    <row r="5" customFormat="false" ht="15" hidden="false" customHeight="false" outlineLevel="0" collapsed="false">
      <c r="A5" s="0" t="s">
        <v>86</v>
      </c>
      <c r="B5" s="3" t="n">
        <v>1558.242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3008.908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15</v>
      </c>
      <c r="D13" s="3" t="n">
        <v>4</v>
      </c>
      <c r="E13" s="3" t="n">
        <v>-2</v>
      </c>
      <c r="F13" s="3" t="n">
        <v>-4</v>
      </c>
      <c r="G13" s="3" t="n">
        <v>-2</v>
      </c>
      <c r="H13" s="3" t="n">
        <v>0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105</v>
      </c>
      <c r="C14" s="3" t="n">
        <v>14</v>
      </c>
      <c r="D14" s="3" t="n">
        <v>13</v>
      </c>
      <c r="E14" s="3" t="n">
        <v>12</v>
      </c>
      <c r="F14" s="3" t="n">
        <v>11.5</v>
      </c>
      <c r="G14" s="3" t="n">
        <v>11</v>
      </c>
      <c r="H14" s="3" t="n">
        <v>11</v>
      </c>
      <c r="I14" s="3" t="n">
        <v>11</v>
      </c>
      <c r="J14" s="3" t="n">
        <v>11</v>
      </c>
      <c r="K14" s="3" t="n">
        <v>11</v>
      </c>
      <c r="L14" s="3" t="n">
        <v>11</v>
      </c>
    </row>
    <row r="15" customFormat="false" ht="15" hidden="false" customHeight="false" outlineLevel="0" collapsed="false">
      <c r="A15" s="0" t="s">
        <v>106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2.4</v>
      </c>
      <c r="D17" s="3" t="n">
        <v>2.4</v>
      </c>
      <c r="E17" s="3" t="n">
        <v>2.4</v>
      </c>
      <c r="F17" s="3" t="n">
        <v>2.4</v>
      </c>
      <c r="G17" s="3" t="n">
        <v>2.4</v>
      </c>
      <c r="H17" s="3" t="n">
        <v>2.4</v>
      </c>
      <c r="I17" s="3" t="n">
        <v>2.4</v>
      </c>
      <c r="J17" s="3" t="n">
        <v>2.4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109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110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111</v>
      </c>
      <c r="B20" s="3" t="n">
        <v>11</v>
      </c>
    </row>
    <row r="21" customFormat="false" ht="15" hidden="false" customHeight="false" outlineLevel="0" collapsed="false">
      <c r="A21" s="0" t="s">
        <v>112</v>
      </c>
      <c r="B21" s="3" t="n">
        <v>1.5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15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24</v>
      </c>
      <c r="D27" s="3" t="n">
        <v>16</v>
      </c>
      <c r="E27" s="3" t="n">
        <v>11</v>
      </c>
      <c r="F27" s="3" t="n">
        <v>8</v>
      </c>
      <c r="G27" s="3" t="n">
        <v>6</v>
      </c>
      <c r="H27" s="3" t="n">
        <v>4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16</v>
      </c>
      <c r="D28" s="3" t="n">
        <v>17</v>
      </c>
      <c r="E28" s="3" t="n">
        <v>18</v>
      </c>
      <c r="F28" s="3" t="n">
        <v>18.5</v>
      </c>
      <c r="G28" s="3" t="n">
        <v>19</v>
      </c>
      <c r="H28" s="3" t="n">
        <v>19</v>
      </c>
      <c r="I28" s="3" t="n">
        <v>19</v>
      </c>
      <c r="J28" s="3" t="n">
        <v>19</v>
      </c>
      <c r="K28" s="3" t="n">
        <v>19</v>
      </c>
      <c r="L28" s="3" t="n">
        <v>19</v>
      </c>
    </row>
    <row r="29" customFormat="false" ht="15" hidden="false" customHeight="false" outlineLevel="0" collapsed="false">
      <c r="A29" s="0" t="s">
        <v>106</v>
      </c>
      <c r="C29" s="3" t="n">
        <v>1.5</v>
      </c>
      <c r="D29" s="3" t="n">
        <v>1.4</v>
      </c>
      <c r="E29" s="3" t="n">
        <v>1.4</v>
      </c>
      <c r="F29" s="3" t="n">
        <v>1.3</v>
      </c>
      <c r="G29" s="3" t="n">
        <v>1.3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2.4</v>
      </c>
      <c r="D31" s="3" t="n">
        <v>2.4</v>
      </c>
      <c r="E31" s="3" t="n">
        <v>2.4</v>
      </c>
      <c r="F31" s="3" t="n">
        <v>2.4</v>
      </c>
      <c r="G31" s="3" t="n">
        <v>2.4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109</v>
      </c>
      <c r="C32" s="3" t="n">
        <v>3.5</v>
      </c>
      <c r="D32" s="3" t="n">
        <v>3.5</v>
      </c>
      <c r="E32" s="3" t="n">
        <v>3.5</v>
      </c>
      <c r="F32" s="3" t="n">
        <v>3.5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110</v>
      </c>
      <c r="C33" s="3" t="n">
        <v>23</v>
      </c>
      <c r="D33" s="3" t="n">
        <v>23</v>
      </c>
      <c r="E33" s="3" t="n">
        <v>24</v>
      </c>
      <c r="F33" s="3" t="n">
        <v>24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111</v>
      </c>
      <c r="B34" s="3" t="n">
        <v>11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15</v>
      </c>
    </row>
    <row r="37" customFormat="false" ht="15" hidden="false" customHeight="false" outlineLevel="0" collapsed="false">
      <c r="A37" s="0" t="s">
        <v>114</v>
      </c>
      <c r="B37" s="3" t="n">
        <v>20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30</v>
      </c>
      <c r="D41" s="3" t="n">
        <v>22</v>
      </c>
      <c r="E41" s="3" t="n">
        <v>16</v>
      </c>
      <c r="F41" s="3" t="n">
        <v>12</v>
      </c>
      <c r="G41" s="3" t="n">
        <v>9</v>
      </c>
      <c r="H41" s="3" t="n">
        <v>7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18</v>
      </c>
      <c r="D42" s="3" t="n">
        <v>20</v>
      </c>
      <c r="E42" s="3" t="n">
        <v>21.5</v>
      </c>
      <c r="F42" s="3" t="n">
        <v>22.5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106</v>
      </c>
      <c r="C43" s="3" t="n">
        <v>1.5</v>
      </c>
      <c r="D43" s="3" t="n">
        <v>1.4</v>
      </c>
      <c r="E43" s="3" t="n">
        <v>1.3</v>
      </c>
      <c r="F43" s="3" t="n">
        <v>1.2</v>
      </c>
      <c r="G43" s="3" t="n">
        <v>1.2</v>
      </c>
      <c r="H43" s="3" t="n">
        <v>1.1</v>
      </c>
      <c r="I43" s="3" t="n">
        <v>1.1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2.4</v>
      </c>
      <c r="D45" s="3" t="n">
        <v>2.4</v>
      </c>
      <c r="E45" s="3" t="n">
        <v>2.4</v>
      </c>
      <c r="F45" s="3" t="n">
        <v>2.4</v>
      </c>
      <c r="G45" s="3" t="n">
        <v>2.4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109</v>
      </c>
      <c r="C46" s="3" t="n">
        <v>3.5</v>
      </c>
      <c r="D46" s="3" t="n">
        <v>3.5</v>
      </c>
      <c r="E46" s="3" t="n">
        <v>3.5</v>
      </c>
      <c r="F46" s="3" t="n">
        <v>3.5</v>
      </c>
      <c r="G46" s="3" t="n">
        <v>3.5</v>
      </c>
      <c r="H46" s="3" t="n">
        <v>3.5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110</v>
      </c>
      <c r="C47" s="3" t="n">
        <v>22</v>
      </c>
      <c r="D47" s="3" t="n">
        <v>22</v>
      </c>
      <c r="E47" s="3" t="n">
        <v>23</v>
      </c>
      <c r="F47" s="3" t="n">
        <v>23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111</v>
      </c>
      <c r="B48" s="3" t="n">
        <v>11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16</v>
      </c>
    </row>
    <row r="51" customFormat="false" ht="15" hidden="false" customHeight="false" outlineLevel="0" collapsed="false">
      <c r="A51" s="0" t="s">
        <v>114</v>
      </c>
      <c r="B51" s="3" t="n">
        <v>22</v>
      </c>
    </row>
    <row r="52" customFormat="false" ht="15" hidden="false" customHeight="false" outlineLevel="0" collapsed="false">
      <c r="A52" s="0" t="s">
        <v>115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15</v>
      </c>
      <c r="D5" s="4" t="n">
        <f aca="false">Assumptions!D13</f>
        <v>4</v>
      </c>
      <c r="E5" s="4" t="n">
        <f aca="false">Assumptions!E13</f>
        <v>-2</v>
      </c>
      <c r="F5" s="4" t="n">
        <f aca="false">Assumptions!F13</f>
        <v>-4</v>
      </c>
      <c r="G5" s="4" t="n">
        <f aca="false">Assumptions!G13</f>
        <v>-2</v>
      </c>
      <c r="H5" s="4" t="n">
        <f aca="false">Assumptions!H13</f>
        <v>0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3008.908</v>
      </c>
      <c r="C6" s="0" t="n">
        <f aca="false">B6*(1+C5/100)</f>
        <v>3460.2442</v>
      </c>
      <c r="D6" s="0" t="n">
        <f aca="false">C6*(1+D5/100)</f>
        <v>3598.653968</v>
      </c>
      <c r="E6" s="0" t="n">
        <f aca="false">D6*(1+E5/100)</f>
        <v>3526.68088864</v>
      </c>
      <c r="F6" s="0" t="n">
        <f aca="false">E6*(1+F5/100)</f>
        <v>3385.6136530944</v>
      </c>
      <c r="G6" s="0" t="n">
        <f aca="false">F6*(1+G5/100)</f>
        <v>3317.90138003251</v>
      </c>
      <c r="H6" s="0" t="n">
        <f aca="false">G6*(1+H5/100)</f>
        <v>3317.90138003251</v>
      </c>
      <c r="I6" s="0" t="n">
        <f aca="false">H6*(1+I5/100)</f>
        <v>3351.08039383284</v>
      </c>
      <c r="J6" s="0" t="n">
        <f aca="false">I6*(1+J5/100)</f>
        <v>3384.59119777117</v>
      </c>
      <c r="K6" s="0" t="n">
        <f aca="false">J6*(1+K5/100)</f>
        <v>3418.43710974888</v>
      </c>
      <c r="L6" s="0" t="n">
        <f aca="false">K6*(1+L5/100)</f>
        <v>3452.62148084637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14</v>
      </c>
      <c r="D7" s="4" t="n">
        <f aca="false">Assumptions!D14</f>
        <v>13</v>
      </c>
      <c r="E7" s="4" t="n">
        <f aca="false">Assumptions!E14</f>
        <v>12</v>
      </c>
      <c r="F7" s="4" t="n">
        <f aca="false">Assumptions!F14</f>
        <v>11.5</v>
      </c>
      <c r="G7" s="4" t="n">
        <f aca="false">Assumptions!G14</f>
        <v>11</v>
      </c>
      <c r="H7" s="4" t="n">
        <f aca="false">Assumptions!H14</f>
        <v>11</v>
      </c>
      <c r="I7" s="4" t="n">
        <f aca="false">Assumptions!I14</f>
        <v>11</v>
      </c>
      <c r="J7" s="4" t="n">
        <f aca="false">Assumptions!J14</f>
        <v>11</v>
      </c>
      <c r="K7" s="4" t="n">
        <f aca="false">Assumptions!K14</f>
        <v>11</v>
      </c>
      <c r="L7" s="4" t="n">
        <f aca="false">Assumptions!L14</f>
        <v>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484.434188</v>
      </c>
      <c r="D8" s="0" t="n">
        <f aca="false">D6*D7/100</f>
        <v>467.82501584</v>
      </c>
      <c r="E8" s="0" t="n">
        <f aca="false">E6*E7/100</f>
        <v>423.2017066368</v>
      </c>
      <c r="F8" s="0" t="n">
        <f aca="false">F6*F7/100</f>
        <v>389.345570105856</v>
      </c>
      <c r="G8" s="0" t="n">
        <f aca="false">G6*G7/100</f>
        <v>364.969151803576</v>
      </c>
      <c r="H8" s="0" t="n">
        <f aca="false">H6*H7/100</f>
        <v>364.969151803576</v>
      </c>
      <c r="I8" s="0" t="n">
        <f aca="false">I6*I7/100</f>
        <v>368.618843321612</v>
      </c>
      <c r="J8" s="0" t="n">
        <f aca="false">J6*J7/100</f>
        <v>372.305031754828</v>
      </c>
      <c r="K8" s="0" t="n">
        <f aca="false">K6*K7/100</f>
        <v>376.028082072377</v>
      </c>
      <c r="L8" s="0" t="n">
        <f aca="false">L6*L7/100</f>
        <v>379.7883628931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-51.903663</v>
      </c>
      <c r="D10" s="0" t="n">
        <f aca="false">-D6*D9/100</f>
        <v>-53.97980952</v>
      </c>
      <c r="E10" s="0" t="n">
        <f aca="false">-E6*E9/100</f>
        <v>-52.9002133296</v>
      </c>
      <c r="F10" s="0" t="n">
        <f aca="false">-F6*F9/100</f>
        <v>-50.784204796416</v>
      </c>
      <c r="G10" s="0" t="n">
        <f aca="false">-G6*G9/100</f>
        <v>-49.7685207004877</v>
      </c>
      <c r="H10" s="0" t="n">
        <f aca="false">-H6*H9/100</f>
        <v>-49.7685207004877</v>
      </c>
      <c r="I10" s="0" t="n">
        <f aca="false">-I6*I9/100</f>
        <v>-50.2662059074926</v>
      </c>
      <c r="J10" s="0" t="n">
        <f aca="false">-J6*J9/100</f>
        <v>-50.7688679665675</v>
      </c>
      <c r="K10" s="0" t="n">
        <f aca="false">-K6*K9/100</f>
        <v>-51.2765566462332</v>
      </c>
      <c r="L10" s="0" t="n">
        <f aca="false">-L6*L9/100</f>
        <v>-51.7893222126955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432.530525</v>
      </c>
      <c r="D11" s="0" t="n">
        <f aca="false">D8+D10+D24</f>
        <v>413.84520632</v>
      </c>
      <c r="E11" s="0" t="n">
        <f aca="false">E8+E10+E24</f>
        <v>370.3014933072</v>
      </c>
      <c r="F11" s="0" t="n">
        <f aca="false">F8+F10+F24</f>
        <v>338.56136530944</v>
      </c>
      <c r="G11" s="0" t="n">
        <f aca="false">G8+G10+G24</f>
        <v>315.200631103089</v>
      </c>
      <c r="H11" s="0" t="n">
        <f aca="false">H8+H10+H24</f>
        <v>315.200631103089</v>
      </c>
      <c r="I11" s="0" t="n">
        <f aca="false">I8+I10+I24</f>
        <v>318.35263741412</v>
      </c>
      <c r="J11" s="0" t="n">
        <f aca="false">J8+J10+J24</f>
        <v>321.536163788261</v>
      </c>
      <c r="K11" s="0" t="n">
        <f aca="false">K8+K10+K24</f>
        <v>324.751525426143</v>
      </c>
      <c r="L11" s="0" t="n">
        <f aca="false">L8+L10+L24</f>
        <v>327.999040680405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-83.0458608</v>
      </c>
      <c r="D12" s="4" t="n">
        <f aca="false">-D6*Assumptions!D17/100</f>
        <v>-86.367695232</v>
      </c>
      <c r="E12" s="4" t="n">
        <f aca="false">-E6*Assumptions!E17/100</f>
        <v>-84.64034132736</v>
      </c>
      <c r="F12" s="4" t="n">
        <f aca="false">-F6*Assumptions!F17/100</f>
        <v>-81.2547276742656</v>
      </c>
      <c r="G12" s="4" t="n">
        <f aca="false">-G6*Assumptions!G17/100</f>
        <v>-79.6296331207803</v>
      </c>
      <c r="H12" s="4" t="n">
        <f aca="false">-H6*Assumptions!H17/100</f>
        <v>-79.6296331207803</v>
      </c>
      <c r="I12" s="4" t="n">
        <f aca="false">-I6*Assumptions!I17/100</f>
        <v>-80.4259294519881</v>
      </c>
      <c r="J12" s="4" t="n">
        <f aca="false">-J6*Assumptions!J17/100</f>
        <v>-81.230188746508</v>
      </c>
      <c r="K12" s="4" t="n">
        <f aca="false">-K6*Assumptions!K17/100</f>
        <v>-82.0424906339731</v>
      </c>
      <c r="L12" s="4" t="n">
        <f aca="false">-L6*Assumptions!L17/100</f>
        <v>-82.8629155403128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349.4846642</v>
      </c>
      <c r="D13" s="0" t="n">
        <f aca="false">D11+D12</f>
        <v>327.477511088</v>
      </c>
      <c r="E13" s="0" t="n">
        <f aca="false">E11+E12</f>
        <v>285.66115197984</v>
      </c>
      <c r="F13" s="0" t="n">
        <f aca="false">F11+F12</f>
        <v>257.306637635174</v>
      </c>
      <c r="G13" s="0" t="n">
        <f aca="false">G11+G12</f>
        <v>235.570997982308</v>
      </c>
      <c r="H13" s="0" t="n">
        <f aca="false">H11+H12</f>
        <v>235.570997982308</v>
      </c>
      <c r="I13" s="0" t="n">
        <f aca="false">I11+I12</f>
        <v>237.926707962131</v>
      </c>
      <c r="J13" s="0" t="n">
        <f aca="false">J11+J12</f>
        <v>240.305975041753</v>
      </c>
      <c r="K13" s="0" t="n">
        <f aca="false">K11+K12</f>
        <v>242.70903479217</v>
      </c>
      <c r="L13" s="0" t="n">
        <f aca="false">L11+L12</f>
        <v>245.136125140092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262.11349815</v>
      </c>
      <c r="D15" s="0" t="n">
        <f aca="false">D13-MAX(0,D13)*D14/100</f>
        <v>245.608133316</v>
      </c>
      <c r="E15" s="0" t="n">
        <f aca="false">E13-MAX(0,E13)*E14/100</f>
        <v>214.24586398488</v>
      </c>
      <c r="F15" s="0" t="n">
        <f aca="false">F13-MAX(0,F13)*F14/100</f>
        <v>192.979978226381</v>
      </c>
      <c r="G15" s="0" t="n">
        <f aca="false">G13-MAX(0,G13)*G14/100</f>
        <v>176.678248486731</v>
      </c>
      <c r="H15" s="0" t="n">
        <f aca="false">H13-MAX(0,H13)*H14/100</f>
        <v>176.678248486731</v>
      </c>
      <c r="I15" s="0" t="n">
        <f aca="false">I13-MAX(0,I13)*I14/100</f>
        <v>178.445030971599</v>
      </c>
      <c r="J15" s="0" t="n">
        <f aca="false">J13-MAX(0,J13)*J14/100</f>
        <v>180.229481281315</v>
      </c>
      <c r="K15" s="0" t="n">
        <f aca="false">K13-MAX(0,K13)*K14/100</f>
        <v>182.031776094128</v>
      </c>
      <c r="L15" s="0" t="n">
        <f aca="false">L13-MAX(0,L13)*L14/100</f>
        <v>183.852093855069</v>
      </c>
    </row>
    <row r="16" customFormat="false" ht="15" hidden="false" customHeight="false" outlineLevel="0" collapsed="false">
      <c r="A16" s="0" t="s">
        <v>126</v>
      </c>
      <c r="C16" s="0" t="n">
        <f aca="false">-C12</f>
        <v>83.0458608</v>
      </c>
      <c r="D16" s="0" t="n">
        <f aca="false">-D12</f>
        <v>86.367695232</v>
      </c>
      <c r="E16" s="0" t="n">
        <f aca="false">-E12</f>
        <v>84.64034132736</v>
      </c>
      <c r="F16" s="0" t="n">
        <f aca="false">-F12</f>
        <v>81.2547276742656</v>
      </c>
      <c r="G16" s="0" t="n">
        <f aca="false">-G12</f>
        <v>79.6296331207803</v>
      </c>
      <c r="H16" s="0" t="n">
        <f aca="false">-H12</f>
        <v>79.6296331207803</v>
      </c>
      <c r="I16" s="0" t="n">
        <f aca="false">-I12</f>
        <v>80.4259294519881</v>
      </c>
      <c r="J16" s="0" t="n">
        <f aca="false">-J12</f>
        <v>81.230188746508</v>
      </c>
      <c r="K16" s="0" t="n">
        <f aca="false">-K12</f>
        <v>82.0424906339731</v>
      </c>
      <c r="L16" s="0" t="n">
        <f aca="false">-L12</f>
        <v>82.8629155403128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-103.807326</v>
      </c>
      <c r="D17" s="4" t="n">
        <f aca="false">-D6*Assumptions!D18/100</f>
        <v>-107.95961904</v>
      </c>
      <c r="E17" s="4" t="n">
        <f aca="false">-E6*Assumptions!E18/100</f>
        <v>-105.8004266592</v>
      </c>
      <c r="F17" s="4" t="n">
        <f aca="false">-F6*Assumptions!F18/100</f>
        <v>-101.568409592832</v>
      </c>
      <c r="G17" s="4" t="n">
        <f aca="false">-G6*Assumptions!G18/100</f>
        <v>-99.5370414009753</v>
      </c>
      <c r="H17" s="4" t="n">
        <f aca="false">-H6*Assumptions!H18/100</f>
        <v>-99.5370414009753</v>
      </c>
      <c r="I17" s="4" t="n">
        <f aca="false">-I6*Assumptions!I18/100</f>
        <v>-100.532411814985</v>
      </c>
      <c r="J17" s="4" t="n">
        <f aca="false">-J6*Assumptions!J18/100</f>
        <v>-101.537735933135</v>
      </c>
      <c r="K17" s="4" t="n">
        <f aca="false">-K6*Assumptions!K18/100</f>
        <v>-102.553113292466</v>
      </c>
      <c r="L17" s="4" t="n">
        <f aca="false">-L6*Assumptions!L18/100</f>
        <v>-103.578644425391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67.70043</v>
      </c>
      <c r="D18" s="4" t="n">
        <f aca="false">(D6-C6)*Assumptions!$B$23/100</f>
        <v>20.7614652</v>
      </c>
      <c r="E18" s="4" t="n">
        <f aca="false">(E6-D6)*Assumptions!$B$23/100</f>
        <v>-10.795961904</v>
      </c>
      <c r="F18" s="4" t="n">
        <f aca="false">(F6-E6)*Assumptions!$B$23/100</f>
        <v>-21.16008533184</v>
      </c>
      <c r="G18" s="4" t="n">
        <f aca="false">(G6-F6)*Assumptions!$B$23/100</f>
        <v>-10.1568409592832</v>
      </c>
      <c r="H18" s="4" t="n">
        <f aca="false">(H6-G6)*Assumptions!$B$23/100</f>
        <v>0</v>
      </c>
      <c r="I18" s="4" t="n">
        <f aca="false">(I6-H6)*Assumptions!$B$23/100</f>
        <v>4.97685207004879</v>
      </c>
      <c r="J18" s="4" t="n">
        <f aca="false">(J6-I6)*Assumptions!$B$23/100</f>
        <v>5.02662059074928</v>
      </c>
      <c r="K18" s="4" t="n">
        <f aca="false">(K6-J6)*Assumptions!$B$23/100</f>
        <v>5.07688679665675</v>
      </c>
      <c r="L18" s="4" t="n">
        <f aca="false">(L6-K6)*Assumptions!$B$23/100</f>
        <v>5.12765566462335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309.05246295</v>
      </c>
      <c r="D19" s="0" t="n">
        <f aca="false">D15+D16+D17+D18</f>
        <v>244.777674708</v>
      </c>
      <c r="E19" s="0" t="n">
        <f aca="false">E15+E16+E17+E18</f>
        <v>182.28981674904</v>
      </c>
      <c r="F19" s="0" t="n">
        <f aca="false">F15+F16+F17+F18</f>
        <v>151.506210975974</v>
      </c>
      <c r="G19" s="0" t="n">
        <f aca="false">G15+G16+G17+G18</f>
        <v>146.613999247253</v>
      </c>
      <c r="H19" s="0" t="n">
        <f aca="false">H15+H16+H17+H18</f>
        <v>156.770840206536</v>
      </c>
      <c r="I19" s="0" t="n">
        <f aca="false">I15+I16+I17+I18</f>
        <v>163.31540067865</v>
      </c>
      <c r="J19" s="0" t="n">
        <f aca="false">J15+J16+J17+J18</f>
        <v>164.948554685437</v>
      </c>
      <c r="K19" s="0" t="n">
        <f aca="false">K15+K16+K17+K18</f>
        <v>166.598040232291</v>
      </c>
      <c r="L19" s="0" t="n">
        <f aca="false">L15+L16+L17+L18</f>
        <v>168.264020634614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278.425642297297</v>
      </c>
      <c r="D21" s="0" t="n">
        <f aca="false">D19*D20</f>
        <v>198.667051950329</v>
      </c>
      <c r="E21" s="0" t="n">
        <f aca="false">E19*E20</f>
        <v>133.288742905828</v>
      </c>
      <c r="F21" s="0" t="n">
        <f aca="false">F19*F20</f>
        <v>99.8018339452215</v>
      </c>
      <c r="G21" s="0" t="n">
        <f aca="false">G19*G20</f>
        <v>87.0082725652588</v>
      </c>
      <c r="H21" s="0" t="n">
        <f aca="false">H19*H20</f>
        <v>83.8160930823648</v>
      </c>
      <c r="I21" s="0" t="n">
        <f aca="false">I19*I20</f>
        <v>78.6622363648735</v>
      </c>
      <c r="J21" s="0" t="n">
        <f aca="false">J19*J20</f>
        <v>71.5755484040741</v>
      </c>
      <c r="K21" s="0" t="n">
        <f aca="false">K19*K20</f>
        <v>65.1273008001034</v>
      </c>
      <c r="L21" s="0" t="n">
        <f aca="false">L19*L20</f>
        <v>59.2599764036977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1155.63269871905</v>
      </c>
    </row>
    <row r="31" customFormat="false" ht="15" hidden="false" customHeight="false" outlineLevel="0" collapsed="false">
      <c r="A31" s="0" t="s">
        <v>135</v>
      </c>
      <c r="B31" s="0" t="n">
        <f aca="false">L19</f>
        <v>168.264020634614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1797.76822046456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2019.16824761537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1797.76822046456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633.146063681613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1788.77876240066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6221.58576240066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11.1326374447995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-0.076895734262063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303.373837574527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194.873540855837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12.024179831856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1265.09615514173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10.2901764844112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24</v>
      </c>
      <c r="D5" s="4" t="n">
        <f aca="false">Assumptions!D27</f>
        <v>16</v>
      </c>
      <c r="E5" s="4" t="n">
        <f aca="false">Assumptions!E27</f>
        <v>11</v>
      </c>
      <c r="F5" s="4" t="n">
        <f aca="false">Assumptions!F27</f>
        <v>8</v>
      </c>
      <c r="G5" s="4" t="n">
        <f aca="false">Assumptions!G27</f>
        <v>6</v>
      </c>
      <c r="H5" s="4" t="n">
        <f aca="false">Assumptions!H27</f>
        <v>4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3008.908</v>
      </c>
      <c r="C6" s="0" t="n">
        <f aca="false">B6*(1+C5/100)</f>
        <v>3731.04592</v>
      </c>
      <c r="D6" s="0" t="n">
        <f aca="false">C6*(1+D5/100)</f>
        <v>4328.0132672</v>
      </c>
      <c r="E6" s="0" t="n">
        <f aca="false">D6*(1+E5/100)</f>
        <v>4804.094726592</v>
      </c>
      <c r="F6" s="0" t="n">
        <f aca="false">E6*(1+F5/100)</f>
        <v>5188.42230471936</v>
      </c>
      <c r="G6" s="0" t="n">
        <f aca="false">F6*(1+G5/100)</f>
        <v>5499.72764300252</v>
      </c>
      <c r="H6" s="0" t="n">
        <f aca="false">G6*(1+H5/100)</f>
        <v>5719.71674872262</v>
      </c>
      <c r="I6" s="0" t="n">
        <f aca="false">H6*(1+I5/100)</f>
        <v>5891.3082511843</v>
      </c>
      <c r="J6" s="0" t="n">
        <f aca="false">I6*(1+J5/100)</f>
        <v>6068.04749871983</v>
      </c>
      <c r="K6" s="0" t="n">
        <f aca="false">J6*(1+K5/100)</f>
        <v>6219.74868618783</v>
      </c>
      <c r="L6" s="0" t="n">
        <f aca="false">K6*(1+L5/100)</f>
        <v>6375.24240334252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16</v>
      </c>
      <c r="D7" s="4" t="n">
        <f aca="false">Assumptions!D28</f>
        <v>17</v>
      </c>
      <c r="E7" s="4" t="n">
        <f aca="false">Assumptions!E28</f>
        <v>18</v>
      </c>
      <c r="F7" s="4" t="n">
        <f aca="false">Assumptions!F28</f>
        <v>18.5</v>
      </c>
      <c r="G7" s="4" t="n">
        <f aca="false">Assumptions!G28</f>
        <v>19</v>
      </c>
      <c r="H7" s="4" t="n">
        <f aca="false">Assumptions!H28</f>
        <v>19</v>
      </c>
      <c r="I7" s="4" t="n">
        <f aca="false">Assumptions!I28</f>
        <v>19</v>
      </c>
      <c r="J7" s="4" t="n">
        <f aca="false">Assumptions!J28</f>
        <v>19</v>
      </c>
      <c r="K7" s="4" t="n">
        <f aca="false">Assumptions!K28</f>
        <v>19</v>
      </c>
      <c r="L7" s="4" t="n">
        <f aca="false">Assumptions!L28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596.9673472</v>
      </c>
      <c r="D8" s="0" t="n">
        <f aca="false">D6*D7/100</f>
        <v>735.762255424</v>
      </c>
      <c r="E8" s="0" t="n">
        <f aca="false">E6*E7/100</f>
        <v>864.73705078656</v>
      </c>
      <c r="F8" s="0" t="n">
        <f aca="false">F6*F7/100</f>
        <v>959.858126373082</v>
      </c>
      <c r="G8" s="0" t="n">
        <f aca="false">G6*G7/100</f>
        <v>1044.94825217048</v>
      </c>
      <c r="H8" s="0" t="n">
        <f aca="false">H6*H7/100</f>
        <v>1086.7461822573</v>
      </c>
      <c r="I8" s="0" t="n">
        <f aca="false">I6*I7/100</f>
        <v>1119.34856772502</v>
      </c>
      <c r="J8" s="0" t="n">
        <f aca="false">J6*J7/100</f>
        <v>1152.92902475677</v>
      </c>
      <c r="K8" s="0" t="n">
        <f aca="false">K6*K7/100</f>
        <v>1181.75225037569</v>
      </c>
      <c r="L8" s="0" t="n">
        <f aca="false">L6*L7/100</f>
        <v>1211.29605663508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1.5</v>
      </c>
      <c r="D9" s="4" t="n">
        <f aca="false">Assumptions!D29</f>
        <v>1.4</v>
      </c>
      <c r="E9" s="4" t="n">
        <f aca="false">Assumptions!E29</f>
        <v>1.4</v>
      </c>
      <c r="F9" s="4" t="n">
        <f aca="false">Assumptions!F29</f>
        <v>1.3</v>
      </c>
      <c r="G9" s="4" t="n">
        <f aca="false">Assumptions!G29</f>
        <v>1.3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-55.9656888</v>
      </c>
      <c r="D10" s="0" t="n">
        <f aca="false">-D6*D9/100</f>
        <v>-60.5921857408</v>
      </c>
      <c r="E10" s="0" t="n">
        <f aca="false">-E6*E9/100</f>
        <v>-67.257326172288</v>
      </c>
      <c r="F10" s="0" t="n">
        <f aca="false">-F6*F9/100</f>
        <v>-67.4494899613517</v>
      </c>
      <c r="G10" s="0" t="n">
        <f aca="false">-G6*G9/100</f>
        <v>-71.4964593590328</v>
      </c>
      <c r="H10" s="0" t="n">
        <f aca="false">-H6*H9/100</f>
        <v>-68.6366009846715</v>
      </c>
      <c r="I10" s="0" t="n">
        <f aca="false">-I6*I9/100</f>
        <v>-70.6956990142116</v>
      </c>
      <c r="J10" s="0" t="n">
        <f aca="false">-J6*J9/100</f>
        <v>-72.816569984638</v>
      </c>
      <c r="K10" s="0" t="n">
        <f aca="false">-K6*K9/100</f>
        <v>-74.6369842342539</v>
      </c>
      <c r="L10" s="0" t="n">
        <f aca="false">-L6*L9/100</f>
        <v>-76.5029088401103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541.0016584</v>
      </c>
      <c r="D11" s="0" t="n">
        <f aca="false">D8+D10+D24</f>
        <v>675.1700696832</v>
      </c>
      <c r="E11" s="0" t="n">
        <f aca="false">E8+E10+E24</f>
        <v>797.479724614272</v>
      </c>
      <c r="F11" s="0" t="n">
        <f aca="false">F8+F10+F24</f>
        <v>892.40863641173</v>
      </c>
      <c r="G11" s="0" t="n">
        <f aca="false">G8+G10+G24</f>
        <v>973.451792811447</v>
      </c>
      <c r="H11" s="0" t="n">
        <f aca="false">H8+H10+H24</f>
        <v>1018.10958127263</v>
      </c>
      <c r="I11" s="0" t="n">
        <f aca="false">I8+I10+I24</f>
        <v>1048.65286871081</v>
      </c>
      <c r="J11" s="0" t="n">
        <f aca="false">J8+J10+J24</f>
        <v>1080.11245477213</v>
      </c>
      <c r="K11" s="0" t="n">
        <f aca="false">K8+K10+K24</f>
        <v>1107.11526614143</v>
      </c>
      <c r="L11" s="0" t="n">
        <f aca="false">L8+L10+L24</f>
        <v>1134.79314779497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-89.54510208</v>
      </c>
      <c r="D12" s="4" t="n">
        <f aca="false">-D6*Assumptions!D31/100</f>
        <v>-103.8723184128</v>
      </c>
      <c r="E12" s="4" t="n">
        <f aca="false">-E6*Assumptions!E31/100</f>
        <v>-115.298273438208</v>
      </c>
      <c r="F12" s="4" t="n">
        <f aca="false">-F6*Assumptions!F31/100</f>
        <v>-124.522135313265</v>
      </c>
      <c r="G12" s="4" t="n">
        <f aca="false">-G6*Assumptions!G31/100</f>
        <v>-131.993463432061</v>
      </c>
      <c r="H12" s="4" t="n">
        <f aca="false">-H6*Assumptions!H31/100</f>
        <v>-137.273201969343</v>
      </c>
      <c r="I12" s="4" t="n">
        <f aca="false">-I6*Assumptions!I31/100</f>
        <v>-141.391398028423</v>
      </c>
      <c r="J12" s="4" t="n">
        <f aca="false">-J6*Assumptions!J31/100</f>
        <v>-145.633139969276</v>
      </c>
      <c r="K12" s="4" t="n">
        <f aca="false">-K6*Assumptions!K31/100</f>
        <v>-149.273968468508</v>
      </c>
      <c r="L12" s="4" t="n">
        <f aca="false">-L6*Assumptions!L31/100</f>
        <v>-153.005817680221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451.45655632</v>
      </c>
      <c r="D13" s="0" t="n">
        <f aca="false">D11+D12</f>
        <v>571.2977512704</v>
      </c>
      <c r="E13" s="0" t="n">
        <f aca="false">E11+E12</f>
        <v>682.181451176064</v>
      </c>
      <c r="F13" s="0" t="n">
        <f aca="false">F11+F12</f>
        <v>767.886501098465</v>
      </c>
      <c r="G13" s="0" t="n">
        <f aca="false">G11+G12</f>
        <v>841.458329379386</v>
      </c>
      <c r="H13" s="0" t="n">
        <f aca="false">H11+H12</f>
        <v>880.836379303284</v>
      </c>
      <c r="I13" s="0" t="n">
        <f aca="false">I11+I12</f>
        <v>907.261470682383</v>
      </c>
      <c r="J13" s="0" t="n">
        <f aca="false">J11+J12</f>
        <v>934.479314802854</v>
      </c>
      <c r="K13" s="0" t="n">
        <f aca="false">K11+K12</f>
        <v>957.841297672925</v>
      </c>
      <c r="L13" s="0" t="n">
        <f aca="false">L11+L12</f>
        <v>981.787330114749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347.6215483664</v>
      </c>
      <c r="D15" s="0" t="n">
        <f aca="false">D13-MAX(0,D13)*D14/100</f>
        <v>439.899268478208</v>
      </c>
      <c r="E15" s="0" t="n">
        <f aca="false">E13-MAX(0,E13)*E14/100</f>
        <v>518.457902893809</v>
      </c>
      <c r="F15" s="0" t="n">
        <f aca="false">F13-MAX(0,F13)*F14/100</f>
        <v>583.593740834834</v>
      </c>
      <c r="G15" s="0" t="n">
        <f aca="false">G13-MAX(0,G13)*G14/100</f>
        <v>631.09374703454</v>
      </c>
      <c r="H15" s="0" t="n">
        <f aca="false">H13-MAX(0,H13)*H14/100</f>
        <v>660.627284477463</v>
      </c>
      <c r="I15" s="0" t="n">
        <f aca="false">I13-MAX(0,I13)*I14/100</f>
        <v>680.446103011787</v>
      </c>
      <c r="J15" s="0" t="n">
        <f aca="false">J13-MAX(0,J13)*J14/100</f>
        <v>700.859486102141</v>
      </c>
      <c r="K15" s="0" t="n">
        <f aca="false">K13-MAX(0,K13)*K14/100</f>
        <v>718.380973254694</v>
      </c>
      <c r="L15" s="0" t="n">
        <f aca="false">L13-MAX(0,L13)*L14/100</f>
        <v>736.340497586061</v>
      </c>
    </row>
    <row r="16" customFormat="false" ht="15" hidden="false" customHeight="false" outlineLevel="0" collapsed="false">
      <c r="A16" s="0" t="s">
        <v>126</v>
      </c>
      <c r="C16" s="0" t="n">
        <f aca="false">-C12</f>
        <v>89.54510208</v>
      </c>
      <c r="D16" s="0" t="n">
        <f aca="false">-D12</f>
        <v>103.8723184128</v>
      </c>
      <c r="E16" s="0" t="n">
        <f aca="false">-E12</f>
        <v>115.298273438208</v>
      </c>
      <c r="F16" s="0" t="n">
        <f aca="false">-F12</f>
        <v>124.522135313265</v>
      </c>
      <c r="G16" s="0" t="n">
        <f aca="false">-G12</f>
        <v>131.993463432061</v>
      </c>
      <c r="H16" s="0" t="n">
        <f aca="false">-H12</f>
        <v>137.273201969343</v>
      </c>
      <c r="I16" s="0" t="n">
        <f aca="false">-I12</f>
        <v>141.391398028423</v>
      </c>
      <c r="J16" s="0" t="n">
        <f aca="false">-J12</f>
        <v>145.633139969276</v>
      </c>
      <c r="K16" s="0" t="n">
        <f aca="false">-K12</f>
        <v>149.273968468508</v>
      </c>
      <c r="L16" s="0" t="n">
        <f aca="false">-L12</f>
        <v>153.005817680221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-130.5866072</v>
      </c>
      <c r="D17" s="4" t="n">
        <f aca="false">-D6*Assumptions!D32/100</f>
        <v>-151.480464352</v>
      </c>
      <c r="E17" s="4" t="n">
        <f aca="false">-E6*Assumptions!E32/100</f>
        <v>-168.14331543072</v>
      </c>
      <c r="F17" s="4" t="n">
        <f aca="false">-F6*Assumptions!F32/100</f>
        <v>-181.594780665178</v>
      </c>
      <c r="G17" s="4" t="n">
        <f aca="false">-G6*Assumptions!G32/100</f>
        <v>-192.490467505088</v>
      </c>
      <c r="H17" s="4" t="n">
        <f aca="false">-H6*Assumptions!H32/100</f>
        <v>-200.190086205292</v>
      </c>
      <c r="I17" s="4" t="n">
        <f aca="false">-I6*Assumptions!I32/100</f>
        <v>-206.195788791451</v>
      </c>
      <c r="J17" s="4" t="n">
        <f aca="false">-J6*Assumptions!J32/100</f>
        <v>-212.381662455194</v>
      </c>
      <c r="K17" s="4" t="n">
        <f aca="false">-K6*Assumptions!K32/100</f>
        <v>-217.691204016574</v>
      </c>
      <c r="L17" s="4" t="n">
        <f aca="false">-L6*Assumptions!L32/100</f>
        <v>-223.133484116988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144.427584</v>
      </c>
      <c r="D18" s="4" t="n">
        <f aca="false">(D6-C6)*Assumptions!$B$37/100</f>
        <v>119.39346944</v>
      </c>
      <c r="E18" s="4" t="n">
        <f aca="false">(E6-D6)*Assumptions!$B$37/100</f>
        <v>95.2162918784001</v>
      </c>
      <c r="F18" s="4" t="n">
        <f aca="false">(F6-E6)*Assumptions!$B$37/100</f>
        <v>76.8655156254721</v>
      </c>
      <c r="G18" s="4" t="n">
        <f aca="false">(G6-F6)*Assumptions!$B$37/100</f>
        <v>62.2610676566324</v>
      </c>
      <c r="H18" s="4" t="n">
        <f aca="false">(H6-G6)*Assumptions!$B$37/100</f>
        <v>43.9978211440202</v>
      </c>
      <c r="I18" s="4" t="n">
        <f aca="false">(I6-H6)*Assumptions!$B$37/100</f>
        <v>34.3183004923358</v>
      </c>
      <c r="J18" s="4" t="n">
        <f aca="false">(J6-I6)*Assumptions!$B$37/100</f>
        <v>35.3478495071058</v>
      </c>
      <c r="K18" s="4" t="n">
        <f aca="false">(K6-J6)*Assumptions!$B$37/100</f>
        <v>30.3402374935991</v>
      </c>
      <c r="L18" s="4" t="n">
        <f aca="false">(L6-K6)*Assumptions!$B$37/100</f>
        <v>31.0987434309391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451.0076272464</v>
      </c>
      <c r="D19" s="0" t="n">
        <f aca="false">D15+D16+D17+D18</f>
        <v>511.684591979008</v>
      </c>
      <c r="E19" s="0" t="n">
        <f aca="false">E15+E16+E17+E18</f>
        <v>560.829152779697</v>
      </c>
      <c r="F19" s="0" t="n">
        <f aca="false">F15+F16+F17+F18</f>
        <v>603.386611108393</v>
      </c>
      <c r="G19" s="0" t="n">
        <f aca="false">G15+G16+G17+G18</f>
        <v>632.857810618144</v>
      </c>
      <c r="H19" s="0" t="n">
        <f aca="false">H15+H16+H17+H18</f>
        <v>641.708221385534</v>
      </c>
      <c r="I19" s="0" t="n">
        <f aca="false">I15+I16+I17+I18</f>
        <v>649.960012741096</v>
      </c>
      <c r="J19" s="0" t="n">
        <f aca="false">J15+J16+J17+J18</f>
        <v>669.458813123329</v>
      </c>
      <c r="K19" s="0" t="n">
        <f aca="false">K15+K16+K17+K18</f>
        <v>680.303975200227</v>
      </c>
      <c r="L19" s="0" t="n">
        <f aca="false">L15+L16+L17+L18</f>
        <v>697.311574580233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406.313177699459</v>
      </c>
      <c r="D21" s="0" t="n">
        <f aca="false">D19*D20</f>
        <v>415.294693595494</v>
      </c>
      <c r="E21" s="0" t="n">
        <f aca="false">E19*E20</f>
        <v>410.073442894828</v>
      </c>
      <c r="F21" s="0" t="n">
        <f aca="false">F19*F20</f>
        <v>397.469450121482</v>
      </c>
      <c r="G21" s="0" t="n">
        <f aca="false">G19*G20</f>
        <v>375.57030818357</v>
      </c>
      <c r="H21" s="0" t="n">
        <f aca="false">H19*H20</f>
        <v>343.083420006613</v>
      </c>
      <c r="I21" s="0" t="n">
        <f aca="false">I19*I20</f>
        <v>313.058706879442</v>
      </c>
      <c r="J21" s="0" t="n">
        <f aca="false">J19*J20</f>
        <v>290.495917194437</v>
      </c>
      <c r="K21" s="0" t="n">
        <f aca="false">K19*K20</f>
        <v>265.94767601464</v>
      </c>
      <c r="L21" s="0" t="n">
        <f aca="false">L19*L20</f>
        <v>245.582313436942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3462.88910602691</v>
      </c>
    </row>
    <row r="31" customFormat="false" ht="15" hidden="false" customHeight="false" outlineLevel="0" collapsed="false">
      <c r="A31" s="0" t="s">
        <v>135</v>
      </c>
      <c r="B31" s="0" t="n">
        <f aca="false">L19</f>
        <v>697.311574580233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8408.75722287927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10459.6736187035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8408.75722287927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2961.43377968077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6424.32288570768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10857.1298857077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19.4272803308658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0.610885599574282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394.100960842351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324.90253531117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20.7138342015195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5717.95491155791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15.6748370141312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30</v>
      </c>
      <c r="D5" s="4" t="n">
        <f aca="false">Assumptions!D41</f>
        <v>22</v>
      </c>
      <c r="E5" s="4" t="n">
        <f aca="false">Assumptions!E41</f>
        <v>16</v>
      </c>
      <c r="F5" s="4" t="n">
        <f aca="false">Assumptions!F41</f>
        <v>12</v>
      </c>
      <c r="G5" s="4" t="n">
        <f aca="false">Assumptions!G41</f>
        <v>9</v>
      </c>
      <c r="H5" s="4" t="n">
        <f aca="false">Assumptions!H41</f>
        <v>7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3008.908</v>
      </c>
      <c r="C6" s="0" t="n">
        <f aca="false">B6*(1+C5/100)</f>
        <v>3911.5804</v>
      </c>
      <c r="D6" s="0" t="n">
        <f aca="false">C6*(1+D5/100)</f>
        <v>4772.128088</v>
      </c>
      <c r="E6" s="0" t="n">
        <f aca="false">D6*(1+E5/100)</f>
        <v>5535.66858208</v>
      </c>
      <c r="F6" s="0" t="n">
        <f aca="false">E6*(1+F5/100)</f>
        <v>6199.9488119296</v>
      </c>
      <c r="G6" s="0" t="n">
        <f aca="false">F6*(1+G5/100)</f>
        <v>6757.94420500327</v>
      </c>
      <c r="H6" s="0" t="n">
        <f aca="false">G6*(1+H5/100)</f>
        <v>7231.00029935349</v>
      </c>
      <c r="I6" s="0" t="n">
        <f aca="false">H6*(1+I5/100)</f>
        <v>7592.55031432117</v>
      </c>
      <c r="J6" s="0" t="n">
        <f aca="false">I6*(1+J5/100)</f>
        <v>7896.25232689402</v>
      </c>
      <c r="K6" s="0" t="n">
        <f aca="false">J6*(1+K5/100)</f>
        <v>8172.62115833531</v>
      </c>
      <c r="L6" s="0" t="n">
        <f aca="false">K6*(1+L5/100)</f>
        <v>8417.79979308537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18</v>
      </c>
      <c r="D7" s="4" t="n">
        <f aca="false">Assumptions!D42</f>
        <v>20</v>
      </c>
      <c r="E7" s="4" t="n">
        <f aca="false">Assumptions!E42</f>
        <v>21.5</v>
      </c>
      <c r="F7" s="4" t="n">
        <f aca="false">Assumptions!F42</f>
        <v>22.5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704.084472</v>
      </c>
      <c r="D8" s="0" t="n">
        <f aca="false">D6*D7/100</f>
        <v>954.4256176</v>
      </c>
      <c r="E8" s="0" t="n">
        <f aca="false">E6*E7/100</f>
        <v>1190.1687451472</v>
      </c>
      <c r="F8" s="0" t="n">
        <f aca="false">F6*F7/100</f>
        <v>1394.98848268416</v>
      </c>
      <c r="G8" s="0" t="n">
        <f aca="false">G6*G7/100</f>
        <v>1554.32716715075</v>
      </c>
      <c r="H8" s="0" t="n">
        <f aca="false">H6*H7/100</f>
        <v>1663.1300688513</v>
      </c>
      <c r="I8" s="0" t="n">
        <f aca="false">I6*I7/100</f>
        <v>1746.28657229387</v>
      </c>
      <c r="J8" s="0" t="n">
        <f aca="false">J6*J7/100</f>
        <v>1816.13803518562</v>
      </c>
      <c r="K8" s="0" t="n">
        <f aca="false">K6*K7/100</f>
        <v>1879.70286641712</v>
      </c>
      <c r="L8" s="0" t="n">
        <f aca="false">L6*L7/100</f>
        <v>1936.09395240963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1.5</v>
      </c>
      <c r="D9" s="4" t="n">
        <f aca="false">Assumptions!D43</f>
        <v>1.4</v>
      </c>
      <c r="E9" s="4" t="n">
        <f aca="false">Assumptions!E43</f>
        <v>1.3</v>
      </c>
      <c r="F9" s="4" t="n">
        <f aca="false">Assumptions!F43</f>
        <v>1.2</v>
      </c>
      <c r="G9" s="4" t="n">
        <f aca="false">Assumptions!G43</f>
        <v>1.2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-58.673706</v>
      </c>
      <c r="D10" s="0" t="n">
        <f aca="false">-D6*D9/100</f>
        <v>-66.809793232</v>
      </c>
      <c r="E10" s="0" t="n">
        <f aca="false">-E6*E9/100</f>
        <v>-71.96369156704</v>
      </c>
      <c r="F10" s="0" t="n">
        <f aca="false">-F6*F9/100</f>
        <v>-74.3993857431552</v>
      </c>
      <c r="G10" s="0" t="n">
        <f aca="false">-G6*G9/100</f>
        <v>-81.0953304600392</v>
      </c>
      <c r="H10" s="0" t="n">
        <f aca="false">-H6*H9/100</f>
        <v>-79.5410032928884</v>
      </c>
      <c r="I10" s="0" t="n">
        <f aca="false">-I6*I9/100</f>
        <v>-83.5180534575329</v>
      </c>
      <c r="J10" s="0" t="n">
        <f aca="false">-J6*J9/100</f>
        <v>-78.9625232689402</v>
      </c>
      <c r="K10" s="0" t="n">
        <f aca="false">-K6*K9/100</f>
        <v>-81.7262115833531</v>
      </c>
      <c r="L10" s="0" t="n">
        <f aca="false">-L6*L9/100</f>
        <v>-84.1779979308537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645.410766</v>
      </c>
      <c r="D11" s="0" t="n">
        <f aca="false">D8+D10+D24</f>
        <v>887.615824368</v>
      </c>
      <c r="E11" s="0" t="n">
        <f aca="false">E8+E10+E24</f>
        <v>1118.20505358016</v>
      </c>
      <c r="F11" s="0" t="n">
        <f aca="false">F8+F10+F24</f>
        <v>1320.58909694101</v>
      </c>
      <c r="G11" s="0" t="n">
        <f aca="false">G8+G10+G24</f>
        <v>1473.23183669071</v>
      </c>
      <c r="H11" s="0" t="n">
        <f aca="false">H8+H10+H24</f>
        <v>1583.58906555842</v>
      </c>
      <c r="I11" s="0" t="n">
        <f aca="false">I8+I10+I24</f>
        <v>1662.76851883634</v>
      </c>
      <c r="J11" s="0" t="n">
        <f aca="false">J8+J10+J24</f>
        <v>1737.17551191668</v>
      </c>
      <c r="K11" s="0" t="n">
        <f aca="false">K8+K10+K24</f>
        <v>1797.97665483377</v>
      </c>
      <c r="L11" s="0" t="n">
        <f aca="false">L8+L10+L24</f>
        <v>1851.91595447878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-93.8779296</v>
      </c>
      <c r="D12" s="4" t="n">
        <f aca="false">-D6*Assumptions!D45/100</f>
        <v>-114.531074112</v>
      </c>
      <c r="E12" s="4" t="n">
        <f aca="false">-E6*Assumptions!E45/100</f>
        <v>-132.85604596992</v>
      </c>
      <c r="F12" s="4" t="n">
        <f aca="false">-F6*Assumptions!F45/100</f>
        <v>-148.79877148631</v>
      </c>
      <c r="G12" s="4" t="n">
        <f aca="false">-G6*Assumptions!G45/100</f>
        <v>-162.190660920078</v>
      </c>
      <c r="H12" s="4" t="n">
        <f aca="false">-H6*Assumptions!H45/100</f>
        <v>-173.544007184484</v>
      </c>
      <c r="I12" s="4" t="n">
        <f aca="false">-I6*Assumptions!I45/100</f>
        <v>-182.221207543708</v>
      </c>
      <c r="J12" s="4" t="n">
        <f aca="false">-J6*Assumptions!J45/100</f>
        <v>-189.510055845456</v>
      </c>
      <c r="K12" s="4" t="n">
        <f aca="false">-K6*Assumptions!K45/100</f>
        <v>-196.142907800047</v>
      </c>
      <c r="L12" s="4" t="n">
        <f aca="false">-L6*Assumptions!L45/100</f>
        <v>-202.027195034049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551.5328364</v>
      </c>
      <c r="D13" s="0" t="n">
        <f aca="false">D11+D12</f>
        <v>773.084750256</v>
      </c>
      <c r="E13" s="0" t="n">
        <f aca="false">E11+E12</f>
        <v>985.34900761024</v>
      </c>
      <c r="F13" s="0" t="n">
        <f aca="false">F11+F12</f>
        <v>1171.79032545469</v>
      </c>
      <c r="G13" s="0" t="n">
        <f aca="false">G11+G12</f>
        <v>1311.04117577063</v>
      </c>
      <c r="H13" s="0" t="n">
        <f aca="false">H11+H12</f>
        <v>1410.04505837393</v>
      </c>
      <c r="I13" s="0" t="n">
        <f aca="false">I11+I12</f>
        <v>1480.54731129263</v>
      </c>
      <c r="J13" s="0" t="n">
        <f aca="false">J11+J12</f>
        <v>1547.66545607123</v>
      </c>
      <c r="K13" s="0" t="n">
        <f aca="false">K11+K12</f>
        <v>1601.83374703372</v>
      </c>
      <c r="L13" s="0" t="n">
        <f aca="false">L11+L12</f>
        <v>1649.88875944473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430.195612392</v>
      </c>
      <c r="D15" s="0" t="n">
        <f aca="false">D13-MAX(0,D13)*D14/100</f>
        <v>603.00610519968</v>
      </c>
      <c r="E15" s="0" t="n">
        <f aca="false">E13-MAX(0,E13)*E14/100</f>
        <v>758.718735859885</v>
      </c>
      <c r="F15" s="0" t="n">
        <f aca="false">F13-MAX(0,F13)*F14/100</f>
        <v>902.278550600115</v>
      </c>
      <c r="G15" s="0" t="n">
        <f aca="false">G13-MAX(0,G13)*G14/100</f>
        <v>996.391293585681</v>
      </c>
      <c r="H15" s="0" t="n">
        <f aca="false">H13-MAX(0,H13)*H14/100</f>
        <v>1071.63424436419</v>
      </c>
      <c r="I15" s="0" t="n">
        <f aca="false">I13-MAX(0,I13)*I14/100</f>
        <v>1125.2159565824</v>
      </c>
      <c r="J15" s="0" t="n">
        <f aca="false">J13-MAX(0,J13)*J14/100</f>
        <v>1176.22574661413</v>
      </c>
      <c r="K15" s="0" t="n">
        <f aca="false">K13-MAX(0,K13)*K14/100</f>
        <v>1217.39364774563</v>
      </c>
      <c r="L15" s="0" t="n">
        <f aca="false">L13-MAX(0,L13)*L14/100</f>
        <v>1253.915457178</v>
      </c>
    </row>
    <row r="16" customFormat="false" ht="15" hidden="false" customHeight="false" outlineLevel="0" collapsed="false">
      <c r="A16" s="0" t="s">
        <v>126</v>
      </c>
      <c r="C16" s="0" t="n">
        <f aca="false">-C12</f>
        <v>93.8779296</v>
      </c>
      <c r="D16" s="0" t="n">
        <f aca="false">-D12</f>
        <v>114.531074112</v>
      </c>
      <c r="E16" s="0" t="n">
        <f aca="false">-E12</f>
        <v>132.85604596992</v>
      </c>
      <c r="F16" s="0" t="n">
        <f aca="false">-F12</f>
        <v>148.79877148631</v>
      </c>
      <c r="G16" s="0" t="n">
        <f aca="false">-G12</f>
        <v>162.190660920078</v>
      </c>
      <c r="H16" s="0" t="n">
        <f aca="false">-H12</f>
        <v>173.544007184484</v>
      </c>
      <c r="I16" s="0" t="n">
        <f aca="false">-I12</f>
        <v>182.221207543708</v>
      </c>
      <c r="J16" s="0" t="n">
        <f aca="false">-J12</f>
        <v>189.510055845456</v>
      </c>
      <c r="K16" s="0" t="n">
        <f aca="false">-K12</f>
        <v>196.142907800047</v>
      </c>
      <c r="L16" s="0" t="n">
        <f aca="false">-L12</f>
        <v>202.027195034049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-136.905314</v>
      </c>
      <c r="D17" s="4" t="n">
        <f aca="false">-D6*Assumptions!D46/100</f>
        <v>-167.02448308</v>
      </c>
      <c r="E17" s="4" t="n">
        <f aca="false">-E6*Assumptions!E46/100</f>
        <v>-193.7484003728</v>
      </c>
      <c r="F17" s="4" t="n">
        <f aca="false">-F6*Assumptions!F46/100</f>
        <v>-216.998208417536</v>
      </c>
      <c r="G17" s="4" t="n">
        <f aca="false">-G6*Assumptions!G46/100</f>
        <v>-236.528047175114</v>
      </c>
      <c r="H17" s="4" t="n">
        <f aca="false">-H6*Assumptions!H46/100</f>
        <v>-253.085010477372</v>
      </c>
      <c r="I17" s="4" t="n">
        <f aca="false">-I6*Assumptions!I46/100</f>
        <v>-265.739261001241</v>
      </c>
      <c r="J17" s="4" t="n">
        <f aca="false">-J6*Assumptions!J46/100</f>
        <v>-276.368831441291</v>
      </c>
      <c r="K17" s="4" t="n">
        <f aca="false">-K6*Assumptions!K46/100</f>
        <v>-286.041740541736</v>
      </c>
      <c r="L17" s="4" t="n">
        <f aca="false">-L6*Assumptions!L46/100</f>
        <v>-294.622992757988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198.587928</v>
      </c>
      <c r="D18" s="4" t="n">
        <f aca="false">(D6-C6)*Assumptions!$B$51/100</f>
        <v>189.32049136</v>
      </c>
      <c r="E18" s="4" t="n">
        <f aca="false">(E6-D6)*Assumptions!$B$51/100</f>
        <v>167.9789086976</v>
      </c>
      <c r="F18" s="4" t="n">
        <f aca="false">(F6-E6)*Assumptions!$B$51/100</f>
        <v>146.141650566912</v>
      </c>
      <c r="G18" s="4" t="n">
        <f aca="false">(G6-F6)*Assumptions!$B$51/100</f>
        <v>122.758986476206</v>
      </c>
      <c r="H18" s="4" t="n">
        <f aca="false">(H6-G6)*Assumptions!$B$51/100</f>
        <v>104.07234075705</v>
      </c>
      <c r="I18" s="4" t="n">
        <f aca="false">(I6-H6)*Assumptions!$B$51/100</f>
        <v>79.5410032928886</v>
      </c>
      <c r="J18" s="4" t="n">
        <f aca="false">(J6-I6)*Assumptions!$B$51/100</f>
        <v>66.8144427660263</v>
      </c>
      <c r="K18" s="4" t="n">
        <f aca="false">(K6-J6)*Assumptions!$B$51/100</f>
        <v>60.8011429170839</v>
      </c>
      <c r="L18" s="4" t="n">
        <f aca="false">(L6-K6)*Assumptions!$B$51/100</f>
        <v>53.939299645013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585.756155992</v>
      </c>
      <c r="D19" s="0" t="n">
        <f aca="false">D15+D16+D17+D18</f>
        <v>739.83318759168</v>
      </c>
      <c r="E19" s="0" t="n">
        <f aca="false">E15+E16+E17+E18</f>
        <v>865.805290154605</v>
      </c>
      <c r="F19" s="0" t="n">
        <f aca="false">F15+F16+F17+F18</f>
        <v>980.220764235801</v>
      </c>
      <c r="G19" s="0" t="n">
        <f aca="false">G15+G16+G17+G18</f>
        <v>1044.81289380685</v>
      </c>
      <c r="H19" s="0" t="n">
        <f aca="false">H15+H16+H17+H18</f>
        <v>1096.16558182835</v>
      </c>
      <c r="I19" s="0" t="n">
        <f aca="false">I15+I16+I17+I18</f>
        <v>1121.23890641775</v>
      </c>
      <c r="J19" s="0" t="n">
        <f aca="false">J15+J16+J17+J18</f>
        <v>1156.18141378432</v>
      </c>
      <c r="K19" s="0" t="n">
        <f aca="false">K15+K16+K17+K18</f>
        <v>1188.29595792102</v>
      </c>
      <c r="L19" s="0" t="n">
        <f aca="false">L15+L16+L17+L18</f>
        <v>1215.25895909907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527.708248641441</v>
      </c>
      <c r="D21" s="0" t="n">
        <f aca="false">D19*D20</f>
        <v>600.465211907864</v>
      </c>
      <c r="E21" s="0" t="n">
        <f aca="false">E19*E20</f>
        <v>633.069366045815</v>
      </c>
      <c r="F21" s="0" t="n">
        <f aca="false">F19*F20</f>
        <v>645.701778902206</v>
      </c>
      <c r="G21" s="0" t="n">
        <f aca="false">G19*G20</f>
        <v>620.045599402382</v>
      </c>
      <c r="H21" s="0" t="n">
        <f aca="false">H19*H20</f>
        <v>586.054883160465</v>
      </c>
      <c r="I21" s="0" t="n">
        <f aca="false">I19*I20</f>
        <v>540.054149894117</v>
      </c>
      <c r="J21" s="0" t="n">
        <f aca="false">J19*J20</f>
        <v>501.697749968324</v>
      </c>
      <c r="K21" s="0" t="n">
        <f aca="false">K19*K20</f>
        <v>464.534325752946</v>
      </c>
      <c r="L21" s="0" t="n">
        <f aca="false">L19*L20</f>
        <v>427.995343086307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5547.32665676187</v>
      </c>
    </row>
    <row r="31" customFormat="false" ht="15" hidden="false" customHeight="false" outlineLevel="0" collapsed="false">
      <c r="A31" s="0" t="s">
        <v>135</v>
      </c>
      <c r="B31" s="0" t="n">
        <f aca="false">L19</f>
        <v>1215.25895909907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15646.4590984005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19444.1433455851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15646.4590984005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5510.44004223621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11057.7666989981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15490.5736989981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27.718165012701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1.29835530785249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435.450021372987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381.694623191532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29.1803284249411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10430.972732267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20.8293603275148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11.1326374447995</v>
      </c>
      <c r="C4" s="0" t="n">
        <f aca="false">B4/Assumptions!$B$2-1</f>
        <v>-0.076895734262063</v>
      </c>
      <c r="D4" s="4" t="n">
        <f aca="false">Assumptions!$B$24</f>
        <v>0.3</v>
      </c>
      <c r="E4" s="4" t="n">
        <f aca="false">DCF_Bear!$B$43</f>
        <v>12.024179831856</v>
      </c>
      <c r="F4" s="4" t="n">
        <f aca="false">DCF_Bear!$B$47</f>
        <v>10.2901764844112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19.4272803308658</v>
      </c>
      <c r="C5" s="0" t="n">
        <f aca="false">B5/Assumptions!$B$2-1</f>
        <v>0.610885599574282</v>
      </c>
      <c r="D5" s="4" t="n">
        <f aca="false">Assumptions!$B$38</f>
        <v>0.5</v>
      </c>
      <c r="E5" s="4" t="n">
        <f aca="false">DCF_Base!$B$43</f>
        <v>20.7138342015195</v>
      </c>
      <c r="F5" s="4" t="n">
        <f aca="false">DCF_Base!$B$47</f>
        <v>15.6748370141312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27.718165012701</v>
      </c>
      <c r="C6" s="0" t="n">
        <f aca="false">B6/Assumptions!$B$2-1</f>
        <v>1.29835530785249</v>
      </c>
      <c r="D6" s="4" t="n">
        <f aca="false">Assumptions!$B$52</f>
        <v>0.2</v>
      </c>
      <c r="E6" s="4" t="n">
        <f aca="false">DCF_Bull!$B$43</f>
        <v>29.1803284249411</v>
      </c>
      <c r="F6" s="4" t="n">
        <f aca="false">DCF_Bull!$B$47</f>
        <v>20.8293603275148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18.597064401413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19.8002367353048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0.351510553510601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-543.319042274523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15.0903435178919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22.6341165925701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20.9922951254668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19.4272803308658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18.1922168926507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15.6748370141312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21.8610973763949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22.4082343540774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22.6341165925701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22.6341165925701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22.6341165925701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20.162235113824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20.5513257442816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20.9922951254668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21.4962601325357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21.6337051344636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18.8232280791734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19.108474975806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19.4272803308658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19.7859363553082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20.1924131830095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17.7411419119066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17.95540252776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18.1922168926507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18.4553439647515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18.7494271629817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16.8488537885085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17.0130251255286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17.1928318279792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17.3906192006748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17.6092262968121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2026-10-04T08:36:41Z</dcterms:created>
  <dc:creator>openpyxl</dc:creator>
  <dc:description/>
  <dc:language>en-NZ</dc:language>
  <cp:lastModifiedBy/>
  <dcterms:modified xsi:type="dcterms:W3CDTF">2026-10-04T08:36:41Z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