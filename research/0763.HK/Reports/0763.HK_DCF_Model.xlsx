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<sst xmlns="http://schemas.openxmlformats.org/spreadsheetml/2006/main" count="358" uniqueCount="166">
  <si>
    <t xml:space="preserve">Ticker</t>
  </si>
  <si>
    <t xml:space="preserve">0763.HK</t>
  </si>
  <si>
    <t xml:space="preserve">Company</t>
  </si>
  <si>
    <t xml:space="preserve">ZTE Corporation</t>
  </si>
  <si>
    <t xml:space="preserve">Valuation date</t>
  </si>
  <si>
    <t xml:space="preserve">2026-10-11</t>
  </si>
  <si>
    <t xml:space="preserve">Current price</t>
  </si>
  <si>
    <t xml:space="preserve">Price as of</t>
  </si>
  <si>
    <t xml:space="preserve">2026-10-09T08:08:06Z HKEX regular close (Friday); valuation date is the Saturday after, no after-hours print</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</si>
  <si>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</si>
  <si>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</si>
  <si>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</si>
  <si>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</si>
  <si>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</si>
  <si>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</si>
  <si>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</si>
  <si>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</si>
  <si>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</si>
  <si>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</si>
  <si>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</si>
  <si>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</si>
  <si>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</si>
  <si>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2026-10-11T07:19:01Z</t>
  </si>
  <si>
    <t xml:space="preserve">Drivers file</t>
  </si>
  <si>
    <t xml:space="preserve">0763.HK_Drivers.json</t>
  </si>
  <si>
    <t xml:space="preserve">Convention</t>
  </si>
  <si>
    <t xml:space="preserve">Percents stored as percents; formulas divide by 100. Blue = input, green = link, black = formula.</t>
  </si>
  <si>
    <t xml:space="preserve">Methodology</t>
  </si>
  <si>
    <t xml:space="preserve">summary: ZTE is valued as a cyclical ICT-hardware manufacturer in transition, on a strict owner-FCF basis: interest income on the RMB80bn deposit book is stripped from the flows and the deposits are credited in the bridge; leases are an operating cost; the convertible is debt. The forward margin is built from components anchored to H1 FY2026, not carried from the FY2024 peak, and working capital is charged on growth because the balance sheet shows growth consuming cash. The scenarios differ on the two axes that matter -- whether the computing mix ever earns a margin, and whether carrier decline plus a possible AI-capex pause stall revenue -- with the bear weighted at 30%. The 12x terminal cap reflects a name that has never re-rated and will not while it is shut out of Western networks.
key_risks_to_valuation: Margin path: every 1pt of terminal EBITDA margin is roughly RMB2.4bn of year-10 EBITDA; the base assumes a recovery to 9% that management has not guided to; Working-capital capture: at -16% on growth, a faster ramp of low-margin computing hardware DESTROYS near-term cash; a stall in growth paradoxically releases it; US export controls: a new restriction on ZTE's access to AI accelerators or a fresh Entity-List action would hit the computing segment that provides all of the growth; Customer concentration: top customer ~20%, top five ~45% of revenue, all Chinese state-linked carriers and internet companies whose capex is policy-driven; Government grants and VAT refunds (~2.2% of revenue) sit inside EBITDA; a policy change removes a third of FY2025 EBIT; Net-cash definition: RMB60bn of the RMB81bn cash figure is wealth-management products and bank CDs; the bridge assumes they are recoverable at par; Convertible bond: if the H-share re-rated above HK$29.72 the 132m conversion shares would dilute 2.8% (offset by RMB3.4bn less debt); FX: a 1% move in CNY/HKD moves the HKD intrinsic value 1%; the rate is at a 52-week high (1.0822-1.1723)</t>
  </si>
  <si>
    <t xml:space="preserve">Data sources</t>
  </si>
  <si>
    <t xml:space="preserve">price: Yahoo Finance chart API for 0763.HK at inputs.price_as_of; 52-week range HK$20.14-46.46. CNY/HKD from Yahoo CNYHKD=X, cross-checked against USDCNY=X and USDHKD=X.
financials: 0763.HK_Metrics.csv (FY2017-FY2025 annual, interims to H1 FY2026, PRC ASBEs, RMB millions); FY2025 Annual Report (0763.HK_Annual_FY2025.txt: income statement 7995-8060, balance sheet 7880-7990, cash flow 8157-8235, D&amp;A reconciliation 13600-13610, convertible note 12753-12795, diluted EPS 13479-13505); H1 FY2026 Interim Report (0763.HK_HalfYear_H1-2026.txt: balance sheet 4660-4760, income statement 4800-4850, notes V.2/V.9/V.21/V.32 at 7735/8359/9059/9443).
qualitative: 0763.HK_Analysis.json (2026-10-11): segment mix and margins, guidance tone, bull/bear axes, export-control history.</t>
  </si>
  <si>
    <t xml:space="preserve">Scenario narrative: bear</t>
  </si>
  <si>
    <t xml:space="preserve">The computing contracts are the 'double-edged sword' analysts have called them. Carrier capex keeps falling, the domestic AI-server market turns into a price war with Huawei, Inspur and H3C, and memory/component inflation squeezes a business reselling hardware at an 11% gross margin; consolidated EBITDA margin settles at 5.5%, below H1 FY2026's 6.5%. Revenue stalls (+3%, 0%, -2%) as internet-company AI capex pauses in 2027-28 after the initial buildout. Working capital intensity rises (-20% capture) as stretched receivables and inventory for low-margin contracts absorb cash -- the FY2025/H1 FY2026 pattern of negative operating cash flow persists. A renewed US action (chip-access tightening or a fresh Entity-List step, given the 2016-2018 history and the 10-year probation period) is not modelled as a shutdown but as the reason margins never recover and government support becomes the profit line. Terminal growth 2%. Net cash of RMB13bn plus the associate stakes keep equity value well above zero even here.</t>
  </si>
  <si>
    <t xml:space="preserve">Scenario narrative: base</t>
  </si>
  <si>
    <t xml:space="preserve">The computing pivot works as a volume story but not as a margin story. Government/Corporate (servers, storage, switches to Chinese internet companies and state agencies) keeps growing 30-50% a year off a 35% revenue mix while Carriers' Network shrinks ~10% a year as China's 5G build matures; consolidated revenue grows 8% in FY2026 fading to 2.5%. Consolidated EBITDA margin troughs at ~6.3% in FY2026 and climbs only to 9% by FY2032 -- never back to FY2024's 11.7% -- because computing hardware earns an 11% gross margin against the carrier business's 48%, and Huawei's Ascend ecosystem sets the price. Working capital stays heavy (16% of revenue) because internet-giant customers pay slowly and the hardware is inventory-intensive, so owner FCF margins only reach ~4%. Government grants and VAT refunds (~2% of revenue) continue. No new US export-control action against ZTE itself; chip restrictions constrain product performance but not sales. Terminal value is bound by the 12x cap, not Gordon.</t>
  </si>
  <si>
    <t xml:space="preserve">Scenario narrative: bull</t>
  </si>
  <si>
    <t xml:space="preserve">'Connectivity + computing' delivers both legs. Domestic-substitution policy and the East-to-West Computing programme push intelligent-computing revenue up 50%+ for two more years, overseas carrier and terminal business grows in 'large-nation' markets, and consolidated revenue compounds 12/10/8%. Scale in servers, a rising software/platform share (GoldenDB, Nebula models, Co-Sight agent) and the in-house DPU/switch silicon lift the computing gross margin off 11%, so the consolidated EBITDA margin recovers to 11% by FY2031 -- essentially FY2024's level on a larger base. Payment terms improve as ZTE becomes a must-have supplier (wc_capture -12%). The 5G-A/6G cycle gives Carriers' Network a floor from FY2028. Even here the terminal multiple is capped at 12x: a Chinese telecom-equipment vendor excluded from Western 5G markets does not re-rate to a global tech multiple.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</si>
  <si>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</si>
  <si>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</si>
  <si>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</si>
  <si>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</si>
  <si>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</si>
  <si>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</si>
  <si>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</si>
  <si>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</si>
  <si>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</si>
  <si>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</si>
  <si>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</si>
  <si>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</si>
  <si>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</si>
  <si>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</si>
  <si>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</si>
  <si>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</si>
  <si>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</si>
  <si>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</si>
  <si>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</si>
  <si>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</si>
  <si>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</si>
  <si>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</si>
  <si>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</si>
  <si>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</si>
  <si>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</si>
  <si>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</si>
  <si>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</si>
  <si>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DilutedEPS</t>
  </si>
  <si>
    <t xml:space="preserve">ResearchAndDevelopment</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</si>
  <si>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</si>
  <si>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</si>
  <si>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</si>
  <si>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</si>
  <si>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</si>
  <si>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</si>
  <si>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</si>
  <si>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</si>
  <si>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</si>
  <si>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</si>
  <si>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</si>
  <si>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</si>
  <si>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</si>
  <si>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</si>
  <si>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</si>
  <si>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</si>
  <si>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</si>
  <si>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</si>
  <si>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</si>
  <si>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</si>
  <si>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</si>
  <si>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</si>
  <si>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</si>
  <si>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</si>
  <si>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</si>
  <si>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</si>
  <si>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</si>
  <si>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</si>
  <si>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</si>
  <si>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</si>
  <si>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</si>
  <si>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</si>
  <si>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</si>
  <si>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</si>
  <si>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</si>
  <si>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</si>
  <si>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</si>
  <si>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</si>
  <si>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</si>
  <si>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</si>
  <si>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</si>
  <si>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</si>
  <si>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</si>
  <si>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</si>
  <si>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</si>
  <si>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</si>
  <si>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0763.HK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</si>
  <si>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</si>
  <si>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</si>
  <si>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</si>
  <si>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</si>
  <si>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</si>
  <si>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</si>
  <si>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</si>
  <si>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</si>
  <si>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</si>
  <si>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</si>
  <si>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</si>
  <si>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</si>
  <si>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</si>
  <si>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</si>
  <si>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</si>
  <si>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</si>
  <si>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</si>
  <si>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</si>
  <si>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</si>
  <si>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</si>
  <si>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</si>
  <si>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</si>
  <si>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</si>
  <si>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</si>
  <si>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</si>
  <si>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</si>
  <si>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</si>
  <si>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</si>
  <si>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</si>
  <si>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</si>
  <si>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0763.HK owner-FCF component DCF: base case (millions, CNY)</t>
  </si>
  <si>
    <t xml:space="preserve">0763.HK owner-FCF component DCF: bull case (millions, CNY)</t>
  </si>
  <si>
    <t xml:space="preserve">0763.HK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</si>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</sst>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20.76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108815.273</v>
      </c>
      <c r="C2" s="0" t="n">
        <v>75005.818</v>
      </c>
      <c r="D2" s="0" t="n">
        <v>33809.455</v>
      </c>
      <c r="E2" s="0" t="n">
        <v>31.1</v>
      </c>
      <c r="F2" s="0" t="n">
        <v>6781</v>
      </c>
      <c r="G2" s="0" t="n">
        <v>6.2</v>
      </c>
      <c r="I2" s="0" t="n">
        <v>4568.172</v>
      </c>
      <c r="J2" s="0" t="n">
        <v>4.2</v>
      </c>
      <c r="K2" s="0" t="n">
        <v>1.09</v>
      </c>
      <c r="L2" s="0" t="n">
        <v>7219.974</v>
      </c>
      <c r="M2" s="0" t="n">
        <v>5984.005</v>
      </c>
      <c r="N2" s="0" t="n">
        <v>1235.969</v>
      </c>
      <c r="O2" s="0" t="n">
        <v>31646.9</v>
      </c>
      <c r="P2" s="0" t="n">
        <v>143962.215</v>
      </c>
      <c r="Q2" s="0" t="n">
        <v>98582.068</v>
      </c>
      <c r="R2" s="0" t="n">
        <v>21538.013</v>
      </c>
      <c r="S2" s="0" t="n">
        <v>33407.879</v>
      </c>
      <c r="T2" s="0" t="n">
        <v>4192.672</v>
      </c>
      <c r="U2" s="0" t="n">
        <v>220.209</v>
      </c>
      <c r="AA2" s="0" t="s">
        <v>18</v>
      </c>
      <c r="AB2" s="0" t="s">
        <v>14</v>
      </c>
      <c r="AC2" s="0" t="n">
        <v>1.08</v>
      </c>
      <c r="AD2" s="0" t="n">
        <v>12962.245</v>
      </c>
    </row>
    <row r="3" customFormat="false" ht="15" hidden="false" customHeight="false" outlineLevel="0" collapsed="false">
      <c r="A3" s="0" t="s">
        <v>67</v>
      </c>
      <c r="B3" s="0" t="n">
        <v>85513.15</v>
      </c>
      <c r="C3" s="0" t="n">
        <v>57367.578</v>
      </c>
      <c r="D3" s="0" t="n">
        <v>28145.572</v>
      </c>
      <c r="E3" s="0" t="n">
        <v>32.9</v>
      </c>
      <c r="F3" s="0" t="n">
        <v>-611.951</v>
      </c>
      <c r="G3" s="0" t="n">
        <v>-0.7</v>
      </c>
      <c r="I3" s="0" t="n">
        <v>-6983.662</v>
      </c>
      <c r="J3" s="0" t="n">
        <v>-8.2</v>
      </c>
      <c r="K3" s="0" t="n">
        <v>-1.67</v>
      </c>
      <c r="L3" s="0" t="n">
        <v>-9215.386</v>
      </c>
      <c r="M3" s="0" t="n">
        <v>4881.872</v>
      </c>
      <c r="N3" s="0" t="n">
        <v>-14097.258</v>
      </c>
      <c r="O3" s="0" t="n">
        <v>22897.576</v>
      </c>
      <c r="P3" s="0" t="n">
        <v>129350.749</v>
      </c>
      <c r="Q3" s="0" t="n">
        <v>96390.074</v>
      </c>
      <c r="R3" s="0" t="n">
        <v>27349.891</v>
      </c>
      <c r="S3" s="0" t="n">
        <v>24289.798</v>
      </c>
      <c r="T3" s="0" t="n">
        <v>4192.672</v>
      </c>
      <c r="U3" s="0" t="n">
        <v>193.188</v>
      </c>
      <c r="AA3" s="0" t="s">
        <v>18</v>
      </c>
      <c r="AB3" s="0" t="s">
        <v>14</v>
      </c>
      <c r="AC3" s="0" t="n">
        <v>-1.67</v>
      </c>
      <c r="AD3" s="0" t="n">
        <v>10905.584</v>
      </c>
    </row>
    <row r="4" customFormat="false" ht="15" hidden="false" customHeight="false" outlineLevel="0" collapsed="false">
      <c r="A4" s="0" t="s">
        <v>68</v>
      </c>
      <c r="B4" s="0" t="n">
        <v>90736.582</v>
      </c>
      <c r="C4" s="0" t="n">
        <v>57008.377</v>
      </c>
      <c r="D4" s="0" t="n">
        <v>33728.205</v>
      </c>
      <c r="E4" s="0" t="n">
        <v>37.2</v>
      </c>
      <c r="F4" s="0" t="n">
        <v>7552.182</v>
      </c>
      <c r="G4" s="0" t="n">
        <v>8.3</v>
      </c>
      <c r="I4" s="0" t="n">
        <v>5147.877</v>
      </c>
      <c r="J4" s="0" t="n">
        <v>5.7</v>
      </c>
      <c r="K4" s="0" t="n">
        <v>1.22</v>
      </c>
      <c r="L4" s="0" t="n">
        <v>7446.554</v>
      </c>
      <c r="M4" s="0" t="n">
        <v>6550.62</v>
      </c>
      <c r="N4" s="0" t="n">
        <v>895.934</v>
      </c>
      <c r="O4" s="0" t="n">
        <v>28826.868</v>
      </c>
      <c r="P4" s="0" t="n">
        <v>141202.135</v>
      </c>
      <c r="Q4" s="0" t="n">
        <v>103247.837</v>
      </c>
      <c r="R4" s="0" t="n">
        <v>37303.32</v>
      </c>
      <c r="S4" s="0" t="n">
        <v>33309.347</v>
      </c>
      <c r="T4" s="0" t="n">
        <v>4227.53</v>
      </c>
      <c r="U4" s="0" t="n">
        <v>-148.435</v>
      </c>
      <c r="AA4" s="0" t="s">
        <v>18</v>
      </c>
      <c r="AB4" s="0" t="s">
        <v>14</v>
      </c>
      <c r="AC4" s="0" t="n">
        <v>1.22</v>
      </c>
      <c r="AD4" s="0" t="n">
        <v>12547.898</v>
      </c>
    </row>
    <row r="5" customFormat="false" ht="15" hidden="false" customHeight="false" outlineLevel="0" collapsed="false">
      <c r="A5" s="0" t="s">
        <v>69</v>
      </c>
      <c r="B5" s="0" t="n">
        <v>101450.67</v>
      </c>
      <c r="C5" s="0" t="n">
        <v>69379.215</v>
      </c>
      <c r="D5" s="0" t="n">
        <v>32071.455</v>
      </c>
      <c r="E5" s="0" t="n">
        <v>31.6</v>
      </c>
      <c r="F5" s="0" t="n">
        <v>5470.72</v>
      </c>
      <c r="G5" s="0" t="n">
        <v>5.4</v>
      </c>
      <c r="I5" s="0" t="n">
        <v>4259.752</v>
      </c>
      <c r="J5" s="0" t="n">
        <v>4.2</v>
      </c>
      <c r="K5" s="0" t="n">
        <v>0.92</v>
      </c>
      <c r="L5" s="0" t="n">
        <v>10232.651</v>
      </c>
      <c r="M5" s="0" t="n">
        <v>6471.652</v>
      </c>
      <c r="N5" s="0" t="n">
        <v>3760.999</v>
      </c>
      <c r="O5" s="0" t="n">
        <v>43296.808</v>
      </c>
      <c r="P5" s="0" t="n">
        <v>150634.906</v>
      </c>
      <c r="Q5" s="0" t="n">
        <v>104512.4</v>
      </c>
      <c r="R5" s="0" t="n">
        <v>35278.141</v>
      </c>
      <c r="S5" s="0" t="n">
        <v>35659.832</v>
      </c>
      <c r="T5" s="0" t="n">
        <v>4613.435</v>
      </c>
      <c r="U5" s="0" t="n">
        <v>188.797</v>
      </c>
      <c r="AA5" s="0" t="s">
        <v>18</v>
      </c>
      <c r="AB5" s="0" t="s">
        <v>14</v>
      </c>
      <c r="AC5" s="0" t="n">
        <v>0.92</v>
      </c>
      <c r="AD5" s="0" t="n">
        <v>14797.025</v>
      </c>
    </row>
    <row r="6" customFormat="false" ht="15" hidden="false" customHeight="false" outlineLevel="0" collapsed="false">
      <c r="A6" s="0" t="s">
        <v>70</v>
      </c>
      <c r="B6" s="0" t="n">
        <v>114521.641</v>
      </c>
      <c r="C6" s="0" t="n">
        <v>74159.846</v>
      </c>
      <c r="D6" s="0" t="n">
        <v>40361.795</v>
      </c>
      <c r="E6" s="0" t="n">
        <v>35.2</v>
      </c>
      <c r="F6" s="0" t="n">
        <v>8676.105</v>
      </c>
      <c r="G6" s="0" t="n">
        <v>7.6</v>
      </c>
      <c r="I6" s="0" t="n">
        <v>6812.941</v>
      </c>
      <c r="J6" s="0" t="n">
        <v>5.9</v>
      </c>
      <c r="K6" s="0" t="n">
        <v>1.47</v>
      </c>
      <c r="L6" s="0" t="n">
        <v>15723.527</v>
      </c>
      <c r="M6" s="0" t="n">
        <v>5686.369</v>
      </c>
      <c r="N6" s="0" t="n">
        <v>10037.158</v>
      </c>
      <c r="O6" s="0" t="n">
        <v>51482.089</v>
      </c>
      <c r="P6" s="0" t="n">
        <v>168763.425</v>
      </c>
      <c r="Q6" s="0" t="n">
        <v>115475.765</v>
      </c>
      <c r="R6" s="0" t="n">
        <v>39832.712</v>
      </c>
      <c r="S6" s="0" t="n">
        <v>50713.31</v>
      </c>
      <c r="T6" s="0" t="n">
        <v>4730.796</v>
      </c>
      <c r="U6" s="0" t="n">
        <v>517.266</v>
      </c>
      <c r="AA6" s="0" t="s">
        <v>18</v>
      </c>
      <c r="AB6" s="0" t="s">
        <v>14</v>
      </c>
      <c r="AC6" s="0" t="n">
        <v>1.47</v>
      </c>
      <c r="AD6" s="0" t="n">
        <v>18804.012</v>
      </c>
    </row>
    <row r="7" customFormat="false" ht="15" hidden="false" customHeight="false" outlineLevel="0" collapsed="false">
      <c r="A7" s="0" t="s">
        <v>71</v>
      </c>
      <c r="B7" s="0" t="n">
        <v>122954.418</v>
      </c>
      <c r="C7" s="0" t="n">
        <v>77227.569</v>
      </c>
      <c r="D7" s="0" t="n">
        <v>45726.849</v>
      </c>
      <c r="E7" s="0" t="n">
        <v>37.2</v>
      </c>
      <c r="F7" s="0" t="n">
        <v>8794.834</v>
      </c>
      <c r="G7" s="0" t="n">
        <v>7.2</v>
      </c>
      <c r="I7" s="0" t="n">
        <v>8080.295</v>
      </c>
      <c r="J7" s="0" t="n">
        <v>6.6</v>
      </c>
      <c r="K7" s="0" t="n">
        <v>1.71</v>
      </c>
      <c r="L7" s="0" t="n">
        <v>7577.7</v>
      </c>
      <c r="M7" s="0" t="n">
        <v>4951.916</v>
      </c>
      <c r="N7" s="0" t="n">
        <v>2625.784</v>
      </c>
      <c r="O7" s="0" t="n">
        <v>58641.187</v>
      </c>
      <c r="P7" s="0" t="n">
        <v>180953.574</v>
      </c>
      <c r="Q7" s="0" t="n">
        <v>121410.351</v>
      </c>
      <c r="R7" s="0" t="n">
        <v>45750.047</v>
      </c>
      <c r="S7" s="0" t="n">
        <v>56346.367</v>
      </c>
      <c r="T7" s="0" t="n">
        <v>4736.113</v>
      </c>
      <c r="U7" s="0" t="n">
        <v>414.024</v>
      </c>
      <c r="AA7" s="0" t="s">
        <v>18</v>
      </c>
      <c r="AB7" s="0" t="s">
        <v>14</v>
      </c>
      <c r="AC7" s="0" t="n">
        <v>1.71</v>
      </c>
      <c r="AD7" s="0" t="n">
        <v>21602.3</v>
      </c>
    </row>
    <row r="8" customFormat="false" ht="15" hidden="false" customHeight="false" outlineLevel="0" collapsed="false">
      <c r="A8" s="0" t="s">
        <v>72</v>
      </c>
      <c r="B8" s="0" t="n">
        <v>124250.878</v>
      </c>
      <c r="C8" s="0" t="n">
        <v>72688.7</v>
      </c>
      <c r="D8" s="0" t="n">
        <v>51562.178</v>
      </c>
      <c r="E8" s="0" t="n">
        <v>41.5</v>
      </c>
      <c r="F8" s="0" t="n">
        <v>10258.379</v>
      </c>
      <c r="G8" s="0" t="n">
        <v>8.3</v>
      </c>
      <c r="I8" s="0" t="n">
        <v>9325.753</v>
      </c>
      <c r="J8" s="0" t="n">
        <v>7.5</v>
      </c>
      <c r="K8" s="0" t="n">
        <v>1.96</v>
      </c>
      <c r="L8" s="0" t="n">
        <v>17405.699</v>
      </c>
      <c r="M8" s="0" t="n">
        <v>4004.683</v>
      </c>
      <c r="N8" s="0" t="n">
        <v>13401.016</v>
      </c>
      <c r="O8" s="0" t="n">
        <v>68008.307</v>
      </c>
      <c r="P8" s="0" t="n">
        <v>200958.318</v>
      </c>
      <c r="Q8" s="0" t="n">
        <v>132626.873</v>
      </c>
      <c r="R8" s="0" t="n">
        <v>53138.013</v>
      </c>
      <c r="S8" s="0" t="n">
        <v>78543.219</v>
      </c>
      <c r="T8" s="0" t="n">
        <v>4783.252</v>
      </c>
      <c r="U8" s="0" t="n">
        <v>-290.383</v>
      </c>
      <c r="AA8" s="0" t="s">
        <v>18</v>
      </c>
      <c r="AB8" s="0" t="s">
        <v>14</v>
      </c>
      <c r="AC8" s="0" t="n">
        <v>1.96</v>
      </c>
      <c r="AD8" s="0" t="n">
        <v>25289.211</v>
      </c>
    </row>
    <row r="9" customFormat="false" ht="15" hidden="false" customHeight="false" outlineLevel="0" collapsed="false">
      <c r="A9" s="0" t="s">
        <v>73</v>
      </c>
      <c r="B9" s="0" t="n">
        <v>121298.752</v>
      </c>
      <c r="C9" s="0" t="n">
        <v>75311.066</v>
      </c>
      <c r="D9" s="0" t="n">
        <v>45987.686</v>
      </c>
      <c r="E9" s="0" t="n">
        <v>37.9</v>
      </c>
      <c r="F9" s="0" t="n">
        <v>9342.181</v>
      </c>
      <c r="G9" s="0" t="n">
        <v>7.7</v>
      </c>
      <c r="I9" s="0" t="n">
        <v>8424.792</v>
      </c>
      <c r="J9" s="0" t="n">
        <v>6.9</v>
      </c>
      <c r="K9" s="0" t="n">
        <v>1.76</v>
      </c>
      <c r="L9" s="0" t="n">
        <v>11479.844</v>
      </c>
      <c r="M9" s="0" t="n">
        <v>4014.73</v>
      </c>
      <c r="N9" s="0" t="n">
        <v>7465.114</v>
      </c>
      <c r="O9" s="0" t="n">
        <v>72808.483</v>
      </c>
      <c r="P9" s="0" t="n">
        <v>207323.23</v>
      </c>
      <c r="Q9" s="0" t="n">
        <v>134212.948</v>
      </c>
      <c r="R9" s="0" t="n">
        <v>57683.605</v>
      </c>
      <c r="S9" s="0" t="n">
        <v>43885.348</v>
      </c>
      <c r="T9" s="0" t="n">
        <v>4783.535</v>
      </c>
      <c r="U9" s="0" t="n">
        <v>-3.251</v>
      </c>
      <c r="AA9" s="0" t="s">
        <v>18</v>
      </c>
      <c r="AB9" s="0" t="s">
        <v>14</v>
      </c>
      <c r="AC9" s="0" t="n">
        <v>1.76</v>
      </c>
      <c r="AD9" s="0" t="n">
        <v>24031.499</v>
      </c>
    </row>
    <row r="10" customFormat="false" ht="15" hidden="false" customHeight="false" outlineLevel="0" collapsed="false">
      <c r="A10" s="0" t="s">
        <v>74</v>
      </c>
      <c r="B10" s="0" t="n">
        <v>133895.46</v>
      </c>
      <c r="C10" s="0" t="n">
        <v>93391.318</v>
      </c>
      <c r="D10" s="0" t="n">
        <v>40504.142</v>
      </c>
      <c r="E10" s="0" t="n">
        <v>30.3</v>
      </c>
      <c r="F10" s="0" t="n">
        <v>6361.809</v>
      </c>
      <c r="G10" s="0" t="n">
        <v>4.8</v>
      </c>
      <c r="I10" s="0" t="n">
        <v>5617.745</v>
      </c>
      <c r="J10" s="0" t="n">
        <v>4.2</v>
      </c>
      <c r="K10" s="0" t="n">
        <v>1.17</v>
      </c>
      <c r="L10" s="0" t="n">
        <v>3918.746</v>
      </c>
      <c r="M10" s="0" t="n">
        <v>3892.988</v>
      </c>
      <c r="N10" s="0" t="n">
        <v>25.758</v>
      </c>
      <c r="O10" s="0" t="n">
        <v>75425.601</v>
      </c>
      <c r="P10" s="0" t="n">
        <v>217739.375</v>
      </c>
      <c r="Q10" s="0" t="n">
        <v>142098.134</v>
      </c>
      <c r="R10" s="0" t="n">
        <v>65051.26</v>
      </c>
      <c r="S10" s="0" t="n">
        <v>33751.116</v>
      </c>
      <c r="T10" s="0" t="n">
        <v>4783.535</v>
      </c>
      <c r="U10" s="0" t="n">
        <v>0</v>
      </c>
      <c r="AA10" s="0" t="s">
        <v>18</v>
      </c>
      <c r="AB10" s="0" t="s">
        <v>14</v>
      </c>
      <c r="AC10" s="0" t="n">
        <v>1.16</v>
      </c>
      <c r="AD10" s="0" t="n">
        <v>22754.978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20.76</v>
      </c>
    </row>
    <row r="3" customFormat="false" ht="15" hidden="false" customHeight="false" outlineLevel="0" collapsed="false">
      <c r="A3" s="0" t="s">
        <v>78</v>
      </c>
      <c r="B3" s="3" t="n">
        <v>4783.535</v>
      </c>
    </row>
    <row r="4" customFormat="false" ht="15" hidden="false" customHeight="false" outlineLevel="0" collapsed="false">
      <c r="A4" s="0" t="s">
        <v>79</v>
      </c>
      <c r="B4" s="3" t="n">
        <v>-13367.2</v>
      </c>
    </row>
    <row r="5" customFormat="false" ht="15" hidden="false" customHeight="false" outlineLevel="0" collapsed="false">
      <c r="A5" s="0" t="s">
        <v>80</v>
      </c>
      <c r="B5" s="3" t="n">
        <v>4683</v>
      </c>
    </row>
    <row r="6" customFormat="false" ht="15" hidden="false" customHeight="false" outlineLevel="0" collapsed="false">
      <c r="A6" s="0" t="s">
        <v>81</v>
      </c>
      <c r="B6" s="3" t="n">
        <v>15</v>
      </c>
    </row>
    <row r="7" customFormat="false" ht="15" hidden="false" customHeight="false" outlineLevel="0" collapsed="false">
      <c r="A7" s="0" t="s">
        <v>82</v>
      </c>
      <c r="B7" s="3" t="n">
        <v>133895.46</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1.1721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3</v>
      </c>
      <c r="D13" s="3" t="n">
        <v>0</v>
      </c>
      <c r="E13" s="3" t="n">
        <v>-2</v>
      </c>
      <c r="F13" s="3" t="n">
        <v>1</v>
      </c>
      <c r="G13" s="3" t="n">
        <v>2</v>
      </c>
      <c r="H13" s="3" t="n">
        <v>2</v>
      </c>
      <c r="I13" s="3" t="n">
        <v>2</v>
      </c>
      <c r="J13" s="3" t="n">
        <v>2</v>
      </c>
      <c r="K13" s="3" t="n">
        <v>2</v>
      </c>
      <c r="L13" s="3" t="n">
        <v>2</v>
      </c>
    </row>
    <row r="14" customFormat="false" ht="15" hidden="false" customHeight="false" outlineLevel="0" collapsed="false">
      <c r="A14" s="0" t="s">
        <v>99</v>
      </c>
      <c r="C14" s="3" t="n">
        <v>5.8</v>
      </c>
      <c r="D14" s="3" t="n">
        <v>5.5</v>
      </c>
      <c r="E14" s="3" t="n">
        <v>5.3</v>
      </c>
      <c r="F14" s="3" t="n">
        <v>5.3</v>
      </c>
      <c r="G14" s="3" t="n">
        <v>5.5</v>
      </c>
      <c r="H14" s="3" t="n">
        <v>5.5</v>
      </c>
      <c r="I14" s="3" t="n">
        <v>5.5</v>
      </c>
      <c r="J14" s="3" t="n">
        <v>5.5</v>
      </c>
      <c r="K14" s="3" t="n">
        <v>5.5</v>
      </c>
      <c r="L14" s="3" t="n">
        <v>5.5</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0.45</v>
      </c>
      <c r="D16" s="3" t="n">
        <v>0.45</v>
      </c>
      <c r="E16" s="3" t="n">
        <v>0.45</v>
      </c>
      <c r="F16" s="3" t="n">
        <v>0.45</v>
      </c>
      <c r="G16" s="3" t="n">
        <v>0.45</v>
      </c>
      <c r="H16" s="3" t="n">
        <v>0.45</v>
      </c>
      <c r="I16" s="3" t="n">
        <v>0.45</v>
      </c>
      <c r="J16" s="3" t="n">
        <v>0.45</v>
      </c>
      <c r="K16" s="3" t="n">
        <v>0.45</v>
      </c>
      <c r="L16" s="3" t="n">
        <v>0.45</v>
      </c>
    </row>
    <row r="17" customFormat="false" ht="15" hidden="false" customHeight="false" outlineLevel="0" collapsed="false">
      <c r="A17" s="0" t="s">
        <v>102</v>
      </c>
      <c r="C17" s="3" t="n">
        <v>3.15</v>
      </c>
      <c r="D17" s="3" t="n">
        <v>3.1</v>
      </c>
      <c r="E17" s="3" t="n">
        <v>3.1</v>
      </c>
      <c r="F17" s="3" t="n">
        <v>3.05</v>
      </c>
      <c r="G17" s="3" t="n">
        <v>3.05</v>
      </c>
      <c r="H17" s="3" t="n">
        <v>3</v>
      </c>
      <c r="I17" s="3" t="n">
        <v>3</v>
      </c>
      <c r="J17" s="3" t="n">
        <v>3</v>
      </c>
      <c r="K17" s="3" t="n">
        <v>3</v>
      </c>
      <c r="L17" s="3" t="n">
        <v>3</v>
      </c>
    </row>
    <row r="18" customFormat="false" ht="15" hidden="false" customHeight="false" outlineLevel="0" collapsed="false">
      <c r="A18" s="0" t="s">
        <v>103</v>
      </c>
      <c r="C18" s="3" t="n">
        <v>3</v>
      </c>
      <c r="D18" s="3" t="n">
        <v>3</v>
      </c>
      <c r="E18" s="3" t="n">
        <v>3</v>
      </c>
      <c r="F18" s="3" t="n">
        <v>3</v>
      </c>
      <c r="G18" s="3" t="n">
        <v>3</v>
      </c>
      <c r="H18" s="3" t="n">
        <v>3</v>
      </c>
      <c r="I18" s="3" t="n">
        <v>3</v>
      </c>
      <c r="J18" s="3" t="n">
        <v>3</v>
      </c>
      <c r="K18" s="3" t="n">
        <v>3</v>
      </c>
      <c r="L18" s="3" t="n">
        <v>3</v>
      </c>
    </row>
    <row r="19" customFormat="false" ht="15" hidden="false" customHeight="false" outlineLevel="0" collapsed="false">
      <c r="A19" s="0" t="s">
        <v>104</v>
      </c>
      <c r="C19" s="3" t="n">
        <v>12</v>
      </c>
      <c r="D19" s="3" t="n">
        <v>12.5</v>
      </c>
      <c r="E19" s="3" t="n">
        <v>13</v>
      </c>
      <c r="F19" s="3" t="n">
        <v>14</v>
      </c>
      <c r="G19" s="3" t="n">
        <v>15</v>
      </c>
      <c r="H19" s="3" t="n">
        <v>15</v>
      </c>
      <c r="I19" s="3" t="n">
        <v>15</v>
      </c>
      <c r="J19" s="3" t="n">
        <v>15</v>
      </c>
      <c r="K19" s="3" t="n">
        <v>15</v>
      </c>
      <c r="L19" s="3" t="n">
        <v>15</v>
      </c>
    </row>
    <row r="20" customFormat="false" ht="15" hidden="false" customHeight="false" outlineLevel="0" collapsed="false">
      <c r="A20" s="0" t="s">
        <v>105</v>
      </c>
      <c r="B20" s="3" t="n">
        <v>9</v>
      </c>
    </row>
    <row r="21" customFormat="false" ht="15" hidden="false" customHeight="false" outlineLevel="0" collapsed="false">
      <c r="A21" s="0" t="s">
        <v>106</v>
      </c>
      <c r="B21" s="3" t="n">
        <v>2</v>
      </c>
    </row>
    <row r="22" customFormat="false" ht="15" hidden="false" customHeight="false" outlineLevel="0" collapsed="false">
      <c r="A22" s="0" t="s">
        <v>107</v>
      </c>
      <c r="B22" s="3" t="n">
        <v>12</v>
      </c>
    </row>
    <row r="23" customFormat="false" ht="15" hidden="false" customHeight="false" outlineLevel="0" collapsed="false">
      <c r="A23" s="0" t="s">
        <v>108</v>
      </c>
      <c r="B23" s="3" t="n">
        <v>-20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8</v>
      </c>
      <c r="D27" s="3" t="n">
        <v>6</v>
      </c>
      <c r="E27" s="3" t="n">
        <v>5</v>
      </c>
      <c r="F27" s="3" t="n">
        <v>4</v>
      </c>
      <c r="G27" s="3" t="n">
        <v>3.5</v>
      </c>
      <c r="H27" s="3" t="n">
        <v>3</v>
      </c>
      <c r="I27" s="3" t="n">
        <v>3</v>
      </c>
      <c r="J27" s="3" t="n">
        <v>2.5</v>
      </c>
      <c r="K27" s="3" t="n">
        <v>2.5</v>
      </c>
      <c r="L27" s="3" t="n">
        <v>2.5</v>
      </c>
    </row>
    <row r="28" customFormat="false" ht="15" hidden="false" customHeight="false" outlineLevel="0" collapsed="false">
      <c r="A28" s="0" t="s">
        <v>99</v>
      </c>
      <c r="C28" s="3" t="n">
        <v>6.3</v>
      </c>
      <c r="D28" s="3" t="n">
        <v>6.8</v>
      </c>
      <c r="E28" s="3" t="n">
        <v>7.4</v>
      </c>
      <c r="F28" s="3" t="n">
        <v>8</v>
      </c>
      <c r="G28" s="3" t="n">
        <v>8.5</v>
      </c>
      <c r="H28" s="3" t="n">
        <v>8.8</v>
      </c>
      <c r="I28" s="3" t="n">
        <v>9</v>
      </c>
      <c r="J28" s="3" t="n">
        <v>9</v>
      </c>
      <c r="K28" s="3" t="n">
        <v>9</v>
      </c>
      <c r="L28" s="3" t="n">
        <v>9</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0.45</v>
      </c>
      <c r="D30" s="3" t="n">
        <v>0.45</v>
      </c>
      <c r="E30" s="3" t="n">
        <v>0.45</v>
      </c>
      <c r="F30" s="3" t="n">
        <v>0.45</v>
      </c>
      <c r="G30" s="3" t="n">
        <v>0.45</v>
      </c>
      <c r="H30" s="3" t="n">
        <v>0.45</v>
      </c>
      <c r="I30" s="3" t="n">
        <v>0.45</v>
      </c>
      <c r="J30" s="3" t="n">
        <v>0.45</v>
      </c>
      <c r="K30" s="3" t="n">
        <v>0.45</v>
      </c>
      <c r="L30" s="3" t="n">
        <v>0.45</v>
      </c>
    </row>
    <row r="31" customFormat="false" ht="15" hidden="false" customHeight="false" outlineLevel="0" collapsed="false">
      <c r="A31" s="0" t="s">
        <v>102</v>
      </c>
      <c r="C31" s="3" t="n">
        <v>3.15</v>
      </c>
      <c r="D31" s="3" t="n">
        <v>3.1</v>
      </c>
      <c r="E31" s="3" t="n">
        <v>3.1</v>
      </c>
      <c r="F31" s="3" t="n">
        <v>3.05</v>
      </c>
      <c r="G31" s="3" t="n">
        <v>3.05</v>
      </c>
      <c r="H31" s="3" t="n">
        <v>3</v>
      </c>
      <c r="I31" s="3" t="n">
        <v>3</v>
      </c>
      <c r="J31" s="3" t="n">
        <v>3</v>
      </c>
      <c r="K31" s="3" t="n">
        <v>3</v>
      </c>
      <c r="L31" s="3" t="n">
        <v>3</v>
      </c>
    </row>
    <row r="32" customFormat="false" ht="15" hidden="false" customHeight="false" outlineLevel="0" collapsed="false">
      <c r="A32" s="0" t="s">
        <v>103</v>
      </c>
      <c r="C32" s="3" t="n">
        <v>3.2</v>
      </c>
      <c r="D32" s="3" t="n">
        <v>3.2</v>
      </c>
      <c r="E32" s="3" t="n">
        <v>3.2</v>
      </c>
      <c r="F32" s="3" t="n">
        <v>3.2</v>
      </c>
      <c r="G32" s="3" t="n">
        <v>3.2</v>
      </c>
      <c r="H32" s="3" t="n">
        <v>3.2</v>
      </c>
      <c r="I32" s="3" t="n">
        <v>3.2</v>
      </c>
      <c r="J32" s="3" t="n">
        <v>3.2</v>
      </c>
      <c r="K32" s="3" t="n">
        <v>3.2</v>
      </c>
      <c r="L32" s="3" t="n">
        <v>3.2</v>
      </c>
    </row>
    <row r="33" customFormat="false" ht="15" hidden="false" customHeight="false" outlineLevel="0" collapsed="false">
      <c r="A33" s="0" t="s">
        <v>104</v>
      </c>
      <c r="C33" s="3" t="n">
        <v>12</v>
      </c>
      <c r="D33" s="3" t="n">
        <v>12.5</v>
      </c>
      <c r="E33" s="3" t="n">
        <v>13</v>
      </c>
      <c r="F33" s="3" t="n">
        <v>14</v>
      </c>
      <c r="G33" s="3" t="n">
        <v>15</v>
      </c>
      <c r="H33" s="3" t="n">
        <v>15</v>
      </c>
      <c r="I33" s="3" t="n">
        <v>15</v>
      </c>
      <c r="J33" s="3" t="n">
        <v>15</v>
      </c>
      <c r="K33" s="3" t="n">
        <v>15</v>
      </c>
      <c r="L33" s="3" t="n">
        <v>15</v>
      </c>
    </row>
    <row r="34" customFormat="false" ht="15" hidden="false" customHeight="false" outlineLevel="0" collapsed="false">
      <c r="A34" s="0" t="s">
        <v>105</v>
      </c>
      <c r="B34" s="3" t="n">
        <v>9</v>
      </c>
    </row>
    <row r="35" customFormat="false" ht="15" hidden="false" customHeight="false" outlineLevel="0" collapsed="false">
      <c r="A35" s="0" t="s">
        <v>106</v>
      </c>
      <c r="B35" s="3" t="n">
        <v>2.5</v>
      </c>
    </row>
    <row r="36" customFormat="false" ht="15" hidden="false" customHeight="false" outlineLevel="0" collapsed="false">
      <c r="A36" s="0" t="s">
        <v>107</v>
      </c>
      <c r="B36" s="3" t="n">
        <v>12</v>
      </c>
    </row>
    <row r="37" customFormat="false" ht="15" hidden="false" customHeight="false" outlineLevel="0" collapsed="false">
      <c r="A37" s="0" t="s">
        <v>108</v>
      </c>
      <c r="B37" s="3" t="n">
        <v>-16</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12</v>
      </c>
      <c r="D41" s="3" t="n">
        <v>10</v>
      </c>
      <c r="E41" s="3" t="n">
        <v>8</v>
      </c>
      <c r="F41" s="3" t="n">
        <v>7</v>
      </c>
      <c r="G41" s="3" t="n">
        <v>6</v>
      </c>
      <c r="H41" s="3" t="n">
        <v>5</v>
      </c>
      <c r="I41" s="3" t="n">
        <v>4</v>
      </c>
      <c r="J41" s="3" t="n">
        <v>3.5</v>
      </c>
      <c r="K41" s="3" t="n">
        <v>3</v>
      </c>
      <c r="L41" s="3" t="n">
        <v>3</v>
      </c>
    </row>
    <row r="42" customFormat="false" ht="15" hidden="false" customHeight="false" outlineLevel="0" collapsed="false">
      <c r="A42" s="0" t="s">
        <v>99</v>
      </c>
      <c r="C42" s="3" t="n">
        <v>6.8</v>
      </c>
      <c r="D42" s="3" t="n">
        <v>7.8</v>
      </c>
      <c r="E42" s="3" t="n">
        <v>8.8</v>
      </c>
      <c r="F42" s="3" t="n">
        <v>9.8</v>
      </c>
      <c r="G42" s="3" t="n">
        <v>10.5</v>
      </c>
      <c r="H42" s="3" t="n">
        <v>11</v>
      </c>
      <c r="I42" s="3" t="n">
        <v>11</v>
      </c>
      <c r="J42" s="3" t="n">
        <v>11</v>
      </c>
      <c r="K42" s="3" t="n">
        <v>11</v>
      </c>
      <c r="L42" s="3" t="n">
        <v>11</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0.45</v>
      </c>
      <c r="D44" s="3" t="n">
        <v>0.45</v>
      </c>
      <c r="E44" s="3" t="n">
        <v>0.45</v>
      </c>
      <c r="F44" s="3" t="n">
        <v>0.45</v>
      </c>
      <c r="G44" s="3" t="n">
        <v>0.45</v>
      </c>
      <c r="H44" s="3" t="n">
        <v>0.45</v>
      </c>
      <c r="I44" s="3" t="n">
        <v>0.45</v>
      </c>
      <c r="J44" s="3" t="n">
        <v>0.45</v>
      </c>
      <c r="K44" s="3" t="n">
        <v>0.45</v>
      </c>
      <c r="L44" s="3" t="n">
        <v>0.45</v>
      </c>
    </row>
    <row r="45" customFormat="false" ht="15" hidden="false" customHeight="false" outlineLevel="0" collapsed="false">
      <c r="A45" s="0" t="s">
        <v>102</v>
      </c>
      <c r="C45" s="3" t="n">
        <v>3.15</v>
      </c>
      <c r="D45" s="3" t="n">
        <v>3.1</v>
      </c>
      <c r="E45" s="3" t="n">
        <v>3.1</v>
      </c>
      <c r="F45" s="3" t="n">
        <v>3.05</v>
      </c>
      <c r="G45" s="3" t="n">
        <v>3.05</v>
      </c>
      <c r="H45" s="3" t="n">
        <v>3</v>
      </c>
      <c r="I45" s="3" t="n">
        <v>3</v>
      </c>
      <c r="J45" s="3" t="n">
        <v>3</v>
      </c>
      <c r="K45" s="3" t="n">
        <v>3</v>
      </c>
      <c r="L45" s="3" t="n">
        <v>3</v>
      </c>
    </row>
    <row r="46" customFormat="false" ht="15" hidden="false" customHeight="false" outlineLevel="0" collapsed="false">
      <c r="A46" s="0" t="s">
        <v>103</v>
      </c>
      <c r="C46" s="3" t="n">
        <v>3.3</v>
      </c>
      <c r="D46" s="3" t="n">
        <v>3.3</v>
      </c>
      <c r="E46" s="3" t="n">
        <v>3.3</v>
      </c>
      <c r="F46" s="3" t="n">
        <v>3.3</v>
      </c>
      <c r="G46" s="3" t="n">
        <v>3.3</v>
      </c>
      <c r="H46" s="3" t="n">
        <v>3.2</v>
      </c>
      <c r="I46" s="3" t="n">
        <v>3.2</v>
      </c>
      <c r="J46" s="3" t="n">
        <v>3.2</v>
      </c>
      <c r="K46" s="3" t="n">
        <v>3.2</v>
      </c>
      <c r="L46" s="3" t="n">
        <v>3.2</v>
      </c>
    </row>
    <row r="47" customFormat="false" ht="15" hidden="false" customHeight="false" outlineLevel="0" collapsed="false">
      <c r="A47" s="0" t="s">
        <v>104</v>
      </c>
      <c r="C47" s="3" t="n">
        <v>12</v>
      </c>
      <c r="D47" s="3" t="n">
        <v>12.5</v>
      </c>
      <c r="E47" s="3" t="n">
        <v>13</v>
      </c>
      <c r="F47" s="3" t="n">
        <v>14</v>
      </c>
      <c r="G47" s="3" t="n">
        <v>15</v>
      </c>
      <c r="H47" s="3" t="n">
        <v>15</v>
      </c>
      <c r="I47" s="3" t="n">
        <v>15</v>
      </c>
      <c r="J47" s="3" t="n">
        <v>15</v>
      </c>
      <c r="K47" s="3" t="n">
        <v>15</v>
      </c>
      <c r="L47" s="3" t="n">
        <v>15</v>
      </c>
    </row>
    <row r="48" customFormat="false" ht="15" hidden="false" customHeight="false" outlineLevel="0" collapsed="false">
      <c r="A48" s="0" t="s">
        <v>105</v>
      </c>
      <c r="B48" s="3" t="n">
        <v>9</v>
      </c>
    </row>
    <row r="49" customFormat="false" ht="15" hidden="false" customHeight="false" outlineLevel="0" collapsed="false">
      <c r="A49" s="0" t="s">
        <v>106</v>
      </c>
      <c r="B49" s="3" t="n">
        <v>2.5</v>
      </c>
    </row>
    <row r="50" customFormat="false" ht="15" hidden="false" customHeight="false" outlineLevel="0" collapsed="false">
      <c r="A50" s="0" t="s">
        <v>107</v>
      </c>
      <c r="B50" s="3" t="n">
        <v>12</v>
      </c>
    </row>
    <row r="51" customFormat="false" ht="15" hidden="false" customHeight="false" outlineLevel="0" collapsed="false">
      <c r="A51" s="0" t="s">
        <v>108</v>
      </c>
      <c r="B51" s="3" t="n">
        <v>-12</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3</v>
      </c>
      <c r="D5" s="4" t="n">
        <f aca="false">Assumptions!D13</f>
        <v>0</v>
      </c>
      <c r="E5" s="4" t="n">
        <f aca="false">Assumptions!E13</f>
        <v>-2</v>
      </c>
      <c r="F5" s="4" t="n">
        <f aca="false">Assumptions!F13</f>
        <v>1</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133895.46</v>
      </c>
      <c r="C6" s="0" t="n">
        <f aca="false">B6*(1+C5/100)</f>
        <v>137912.3238</v>
      </c>
      <c r="D6" s="0" t="n">
        <f aca="false">C6*(1+D5/100)</f>
        <v>137912.3238</v>
      </c>
      <c r="E6" s="0" t="n">
        <f aca="false">D6*(1+E5/100)</f>
        <v>135154.077324</v>
      </c>
      <c r="F6" s="0" t="n">
        <f aca="false">E6*(1+F5/100)</f>
        <v>136505.61809724</v>
      </c>
      <c r="G6" s="0" t="n">
        <f aca="false">F6*(1+G5/100)</f>
        <v>139235.730459185</v>
      </c>
      <c r="H6" s="0" t="n">
        <f aca="false">G6*(1+H5/100)</f>
        <v>142020.445068368</v>
      </c>
      <c r="I6" s="0" t="n">
        <f aca="false">H6*(1+I5/100)</f>
        <v>144860.853969736</v>
      </c>
      <c r="J6" s="0" t="n">
        <f aca="false">I6*(1+J5/100)</f>
        <v>147758.071049131</v>
      </c>
      <c r="K6" s="0" t="n">
        <f aca="false">J6*(1+K5/100)</f>
        <v>150713.232470113</v>
      </c>
      <c r="L6" s="0" t="n">
        <f aca="false">K6*(1+L5/100)</f>
        <v>153727.497119515</v>
      </c>
    </row>
    <row r="7" customFormat="false" ht="15" hidden="false" customHeight="false" outlineLevel="0" collapsed="false">
      <c r="A7" s="0" t="s">
        <v>99</v>
      </c>
      <c r="C7" s="4" t="n">
        <f aca="false">Assumptions!C14</f>
        <v>5.8</v>
      </c>
      <c r="D7" s="4" t="n">
        <f aca="false">Assumptions!D14</f>
        <v>5.5</v>
      </c>
      <c r="E7" s="4" t="n">
        <f aca="false">Assumptions!E14</f>
        <v>5.3</v>
      </c>
      <c r="F7" s="4" t="n">
        <f aca="false">Assumptions!F14</f>
        <v>5.3</v>
      </c>
      <c r="G7" s="4" t="n">
        <f aca="false">Assumptions!G14</f>
        <v>5.5</v>
      </c>
      <c r="H7" s="4" t="n">
        <f aca="false">Assumptions!H14</f>
        <v>5.5</v>
      </c>
      <c r="I7" s="4" t="n">
        <f aca="false">Assumptions!I14</f>
        <v>5.5</v>
      </c>
      <c r="J7" s="4" t="n">
        <f aca="false">Assumptions!J14</f>
        <v>5.5</v>
      </c>
      <c r="K7" s="4" t="n">
        <f aca="false">Assumptions!K14</f>
        <v>5.5</v>
      </c>
      <c r="L7" s="4" t="n">
        <f aca="false">Assumptions!L14</f>
        <v>5.5</v>
      </c>
    </row>
    <row r="8" customFormat="false" ht="15" hidden="false" customHeight="false" outlineLevel="0" collapsed="false">
      <c r="A8" s="0" t="s">
        <v>44</v>
      </c>
      <c r="C8" s="0" t="n">
        <f aca="false">C6*C7/100</f>
        <v>7998.9147804</v>
      </c>
      <c r="D8" s="0" t="n">
        <f aca="false">D6*D7/100</f>
        <v>7585.177809</v>
      </c>
      <c r="E8" s="0" t="n">
        <f aca="false">E6*E7/100</f>
        <v>7163.166098172</v>
      </c>
      <c r="F8" s="0" t="n">
        <f aca="false">F6*F7/100</f>
        <v>7234.79775915372</v>
      </c>
      <c r="G8" s="0" t="n">
        <f aca="false">G6*G7/100</f>
        <v>7657.96517525516</v>
      </c>
      <c r="H8" s="0" t="n">
        <f aca="false">H6*H7/100</f>
        <v>7811.12447876027</v>
      </c>
      <c r="I8" s="0" t="n">
        <f aca="false">I6*I7/100</f>
        <v>7967.34696833547</v>
      </c>
      <c r="J8" s="0" t="n">
        <f aca="false">J6*J7/100</f>
        <v>8126.69390770218</v>
      </c>
      <c r="K8" s="0" t="n">
        <f aca="false">K6*K7/100</f>
        <v>8289.22778585623</v>
      </c>
      <c r="L8" s="0" t="n">
        <f aca="false">L6*L7/100</f>
        <v>8455.01234157335</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7378.3093233</v>
      </c>
      <c r="D11" s="0" t="n">
        <f aca="false">D8+D10+D24</f>
        <v>6964.5723519</v>
      </c>
      <c r="E11" s="0" t="n">
        <f aca="false">E8+E10+E24</f>
        <v>6554.972750214</v>
      </c>
      <c r="F11" s="0" t="n">
        <f aca="false">F8+F10+F24</f>
        <v>6620.52247771614</v>
      </c>
      <c r="G11" s="0" t="n">
        <f aca="false">G8+G10+G24</f>
        <v>7031.40438818883</v>
      </c>
      <c r="H11" s="0" t="n">
        <f aca="false">H8+H10+H24</f>
        <v>7172.03247595261</v>
      </c>
      <c r="I11" s="0" t="n">
        <f aca="false">I8+I10+I24</f>
        <v>7315.47312547166</v>
      </c>
      <c r="J11" s="0" t="n">
        <f aca="false">J8+J10+J24</f>
        <v>7461.7825879811</v>
      </c>
      <c r="K11" s="0" t="n">
        <f aca="false">K8+K10+K24</f>
        <v>7611.01823974072</v>
      </c>
      <c r="L11" s="0" t="n">
        <f aca="false">L8+L10+L24</f>
        <v>7763.23860453553</v>
      </c>
    </row>
    <row r="12" customFormat="false" ht="15" hidden="false" customHeight="false" outlineLevel="0" collapsed="false">
      <c r="A12" s="0" t="s">
        <v>117</v>
      </c>
      <c r="C12" s="4" t="n">
        <f aca="false">-C6*Assumptions!C17/100</f>
        <v>-4344.2381997</v>
      </c>
      <c r="D12" s="4" t="n">
        <f aca="false">-D6*Assumptions!D17/100</f>
        <v>-4275.2820378</v>
      </c>
      <c r="E12" s="4" t="n">
        <f aca="false">-E6*Assumptions!E17/100</f>
        <v>-4189.776397044</v>
      </c>
      <c r="F12" s="4" t="n">
        <f aca="false">-F6*Assumptions!F17/100</f>
        <v>-4163.42135196582</v>
      </c>
      <c r="G12" s="4" t="n">
        <f aca="false">-G6*Assumptions!G17/100</f>
        <v>-4246.68977900514</v>
      </c>
      <c r="H12" s="4" t="n">
        <f aca="false">-H6*Assumptions!H17/100</f>
        <v>-4260.61335205106</v>
      </c>
      <c r="I12" s="4" t="n">
        <f aca="false">-I6*Assumptions!I17/100</f>
        <v>-4345.82561909208</v>
      </c>
      <c r="J12" s="4" t="n">
        <f aca="false">-J6*Assumptions!J17/100</f>
        <v>-4432.74213147392</v>
      </c>
      <c r="K12" s="4" t="n">
        <f aca="false">-K6*Assumptions!K17/100</f>
        <v>-4521.3969741034</v>
      </c>
      <c r="L12" s="4" t="n">
        <f aca="false">-L6*Assumptions!L17/100</f>
        <v>-4611.82491358546</v>
      </c>
    </row>
    <row r="13" customFormat="false" ht="15" hidden="false" customHeight="false" outlineLevel="0" collapsed="false">
      <c r="A13" s="0" t="s">
        <v>118</v>
      </c>
      <c r="C13" s="0" t="n">
        <f aca="false">C11+C12</f>
        <v>3034.0711236</v>
      </c>
      <c r="D13" s="0" t="n">
        <f aca="false">D11+D12</f>
        <v>2689.2903141</v>
      </c>
      <c r="E13" s="0" t="n">
        <f aca="false">E11+E12</f>
        <v>2365.19635317</v>
      </c>
      <c r="F13" s="0" t="n">
        <f aca="false">F11+F12</f>
        <v>2457.10112575032</v>
      </c>
      <c r="G13" s="0" t="n">
        <f aca="false">G11+G12</f>
        <v>2784.7146091837</v>
      </c>
      <c r="H13" s="0" t="n">
        <f aca="false">H11+H12</f>
        <v>2911.41912390155</v>
      </c>
      <c r="I13" s="0" t="n">
        <f aca="false">I11+I12</f>
        <v>2969.64750637959</v>
      </c>
      <c r="J13" s="0" t="n">
        <f aca="false">J11+J12</f>
        <v>3029.04045650718</v>
      </c>
      <c r="K13" s="0" t="n">
        <f aca="false">K11+K12</f>
        <v>3089.62126563732</v>
      </c>
      <c r="L13" s="0" t="n">
        <f aca="false">L11+L12</f>
        <v>3151.41369095007</v>
      </c>
    </row>
    <row r="14" customFormat="false" ht="15" hidden="false" customHeight="false" outlineLevel="0" collapsed="false">
      <c r="A14" s="0" t="s">
        <v>104</v>
      </c>
      <c r="C14" s="4" t="n">
        <f aca="false">Assumptions!C19</f>
        <v>12</v>
      </c>
      <c r="D14" s="4" t="n">
        <f aca="false">Assumptions!D19</f>
        <v>12.5</v>
      </c>
      <c r="E14" s="4" t="n">
        <f aca="false">Assumptions!E19</f>
        <v>13</v>
      </c>
      <c r="F14" s="4" t="n">
        <f aca="false">Assumptions!F19</f>
        <v>14</v>
      </c>
      <c r="G14" s="4" t="n">
        <f aca="false">Assumptions!G19</f>
        <v>15</v>
      </c>
      <c r="H14" s="4" t="n">
        <f aca="false">Assumptions!H19</f>
        <v>15</v>
      </c>
      <c r="I14" s="4" t="n">
        <f aca="false">Assumptions!I19</f>
        <v>15</v>
      </c>
      <c r="J14" s="4" t="n">
        <f aca="false">Assumptions!J19</f>
        <v>15</v>
      </c>
      <c r="K14" s="4" t="n">
        <f aca="false">Assumptions!K19</f>
        <v>15</v>
      </c>
      <c r="L14" s="4" t="n">
        <f aca="false">Assumptions!L19</f>
        <v>15</v>
      </c>
    </row>
    <row r="15" customFormat="false" ht="15" hidden="false" customHeight="false" outlineLevel="0" collapsed="false">
      <c r="A15" s="0" t="s">
        <v>119</v>
      </c>
      <c r="C15" s="0" t="n">
        <f aca="false">C13-MAX(0,C13)*C14/100</f>
        <v>2669.982588768</v>
      </c>
      <c r="D15" s="0" t="n">
        <f aca="false">D13-MAX(0,D13)*D14/100</f>
        <v>2353.1290248375</v>
      </c>
      <c r="E15" s="0" t="n">
        <f aca="false">E13-MAX(0,E13)*E14/100</f>
        <v>2057.7208272579</v>
      </c>
      <c r="F15" s="0" t="n">
        <f aca="false">F13-MAX(0,F13)*F14/100</f>
        <v>2113.10696814528</v>
      </c>
      <c r="G15" s="0" t="n">
        <f aca="false">G13-MAX(0,G13)*G14/100</f>
        <v>2367.00741780614</v>
      </c>
      <c r="H15" s="0" t="n">
        <f aca="false">H13-MAX(0,H13)*H14/100</f>
        <v>2474.70625531632</v>
      </c>
      <c r="I15" s="0" t="n">
        <f aca="false">I13-MAX(0,I13)*I14/100</f>
        <v>2524.20038042265</v>
      </c>
      <c r="J15" s="0" t="n">
        <f aca="false">J13-MAX(0,J13)*J14/100</f>
        <v>2574.6843880311</v>
      </c>
      <c r="K15" s="0" t="n">
        <f aca="false">K13-MAX(0,K13)*K14/100</f>
        <v>2626.17807579172</v>
      </c>
      <c r="L15" s="0" t="n">
        <f aca="false">L13-MAX(0,L13)*L14/100</f>
        <v>2678.70163730756</v>
      </c>
    </row>
    <row r="16" customFormat="false" ht="15" hidden="false" customHeight="false" outlineLevel="0" collapsed="false">
      <c r="A16" s="0" t="s">
        <v>120</v>
      </c>
      <c r="C16" s="0" t="n">
        <f aca="false">-C12</f>
        <v>4344.2381997</v>
      </c>
      <c r="D16" s="0" t="n">
        <f aca="false">-D12</f>
        <v>4275.2820378</v>
      </c>
      <c r="E16" s="0" t="n">
        <f aca="false">-E12</f>
        <v>4189.776397044</v>
      </c>
      <c r="F16" s="0" t="n">
        <f aca="false">-F12</f>
        <v>4163.42135196582</v>
      </c>
      <c r="G16" s="0" t="n">
        <f aca="false">-G12</f>
        <v>4246.68977900514</v>
      </c>
      <c r="H16" s="0" t="n">
        <f aca="false">-H12</f>
        <v>4260.61335205106</v>
      </c>
      <c r="I16" s="0" t="n">
        <f aca="false">-I12</f>
        <v>4345.82561909208</v>
      </c>
      <c r="J16" s="0" t="n">
        <f aca="false">-J12</f>
        <v>4432.74213147392</v>
      </c>
      <c r="K16" s="0" t="n">
        <f aca="false">-K12</f>
        <v>4521.3969741034</v>
      </c>
      <c r="L16" s="0" t="n">
        <f aca="false">-L12</f>
        <v>4611.82491358546</v>
      </c>
    </row>
    <row r="17" customFormat="false" ht="15" hidden="false" customHeight="false" outlineLevel="0" collapsed="false">
      <c r="A17" s="0" t="s">
        <v>121</v>
      </c>
      <c r="C17" s="4" t="n">
        <f aca="false">-C6*Assumptions!C18/100</f>
        <v>-4137.369714</v>
      </c>
      <c r="D17" s="4" t="n">
        <f aca="false">-D6*Assumptions!D18/100</f>
        <v>-4137.369714</v>
      </c>
      <c r="E17" s="4" t="n">
        <f aca="false">-E6*Assumptions!E18/100</f>
        <v>-4054.62231972</v>
      </c>
      <c r="F17" s="4" t="n">
        <f aca="false">-F6*Assumptions!F18/100</f>
        <v>-4095.1685429172</v>
      </c>
      <c r="G17" s="4" t="n">
        <f aca="false">-G6*Assumptions!G18/100</f>
        <v>-4177.07191377554</v>
      </c>
      <c r="H17" s="4" t="n">
        <f aca="false">-H6*Assumptions!H18/100</f>
        <v>-4260.61335205106</v>
      </c>
      <c r="I17" s="4" t="n">
        <f aca="false">-I6*Assumptions!I18/100</f>
        <v>-4345.82561909208</v>
      </c>
      <c r="J17" s="4" t="n">
        <f aca="false">-J6*Assumptions!J18/100</f>
        <v>-4432.74213147392</v>
      </c>
      <c r="K17" s="4" t="n">
        <f aca="false">-K6*Assumptions!K18/100</f>
        <v>-4521.3969741034</v>
      </c>
      <c r="L17" s="4" t="n">
        <f aca="false">-L6*Assumptions!L18/100</f>
        <v>-4611.82491358546</v>
      </c>
    </row>
    <row r="18" customFormat="false" ht="15" hidden="false" customHeight="false" outlineLevel="0" collapsed="false">
      <c r="A18" s="0" t="s">
        <v>122</v>
      </c>
      <c r="C18" s="4" t="n">
        <f aca="false">(C6-B6)*Assumptions!$B$23/100</f>
        <v>-803.372759999998</v>
      </c>
      <c r="D18" s="4" t="n">
        <f aca="false">(D6-C6)*Assumptions!$B$23/100</f>
        <v>-0</v>
      </c>
      <c r="E18" s="4" t="n">
        <f aca="false">(E6-D6)*Assumptions!$B$23/100</f>
        <v>551.6492952</v>
      </c>
      <c r="F18" s="4" t="n">
        <f aca="false">(F6-E6)*Assumptions!$B$23/100</f>
        <v>-270.308154648001</v>
      </c>
      <c r="G18" s="4" t="n">
        <f aca="false">(G6-F6)*Assumptions!$B$23/100</f>
        <v>-546.022472388961</v>
      </c>
      <c r="H18" s="4" t="n">
        <f aca="false">(H6-G6)*Assumptions!$B$23/100</f>
        <v>-556.942921836738</v>
      </c>
      <c r="I18" s="4" t="n">
        <f aca="false">(I6-H6)*Assumptions!$B$23/100</f>
        <v>-568.081780273473</v>
      </c>
      <c r="J18" s="4" t="n">
        <f aca="false">(J6-I6)*Assumptions!$B$23/100</f>
        <v>-579.443415878946</v>
      </c>
      <c r="K18" s="4" t="n">
        <f aca="false">(K6-J6)*Assumptions!$B$23/100</f>
        <v>-591.032284196524</v>
      </c>
      <c r="L18" s="4" t="n">
        <f aca="false">(L6-K6)*Assumptions!$B$23/100</f>
        <v>-602.852929880453</v>
      </c>
    </row>
    <row r="19" customFormat="false" ht="15" hidden="false" customHeight="false" outlineLevel="0" collapsed="false">
      <c r="A19" s="0" t="s">
        <v>123</v>
      </c>
      <c r="C19" s="0" t="n">
        <f aca="false">C15+C16+C17+C18</f>
        <v>2073.478314468</v>
      </c>
      <c r="D19" s="0" t="n">
        <f aca="false">D15+D16+D17+D18</f>
        <v>2491.0413486375</v>
      </c>
      <c r="E19" s="0" t="n">
        <f aca="false">E15+E16+E17+E18</f>
        <v>2744.5241997819</v>
      </c>
      <c r="F19" s="0" t="n">
        <f aca="false">F15+F16+F17+F18</f>
        <v>1911.05162254589</v>
      </c>
      <c r="G19" s="0" t="n">
        <f aca="false">G15+G16+G17+G18</f>
        <v>1890.60281064677</v>
      </c>
      <c r="H19" s="0" t="n">
        <f aca="false">H15+H16+H17+H18</f>
        <v>1917.76333347958</v>
      </c>
      <c r="I19" s="0" t="n">
        <f aca="false">I15+I16+I17+I18</f>
        <v>1956.11860014917</v>
      </c>
      <c r="J19" s="0" t="n">
        <f aca="false">J15+J16+J17+J18</f>
        <v>1995.24097215215</v>
      </c>
      <c r="K19" s="0" t="n">
        <f aca="false">K15+K16+K17+K18</f>
        <v>2035.1457915952</v>
      </c>
      <c r="L19" s="0" t="n">
        <f aca="false">L15+L16+L17+L18</f>
        <v>2075.8487074271</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1902.27368299817</v>
      </c>
      <c r="D21" s="0" t="n">
        <f aca="false">D19*D20</f>
        <v>2096.65966554793</v>
      </c>
      <c r="E21" s="0" t="n">
        <f aca="false">E19*E20</f>
        <v>2119.27624769939</v>
      </c>
      <c r="F21" s="0" t="n">
        <f aca="false">F19*F20</f>
        <v>1353.83714905856</v>
      </c>
      <c r="G21" s="0" t="n">
        <f aca="false">G19*G20</f>
        <v>1228.7621056632</v>
      </c>
      <c r="H21" s="0" t="n">
        <f aca="false">H19*H20</f>
        <v>1143.49961644084</v>
      </c>
      <c r="I21" s="0" t="n">
        <f aca="false">I19*I20</f>
        <v>1070.06386125657</v>
      </c>
      <c r="J21" s="0" t="n">
        <f aca="false">J19*J20</f>
        <v>1001.34416374468</v>
      </c>
      <c r="K21" s="0" t="n">
        <f aca="false">K19*K20</f>
        <v>937.037657816121</v>
      </c>
      <c r="L21" s="0" t="n">
        <f aca="false">L19*L20</f>
        <v>876.860927497656</v>
      </c>
    </row>
    <row r="23" customFormat="false" ht="15" hidden="false" customHeight="false" outlineLevel="0" collapsed="false">
      <c r="A23" s="0" t="s">
        <v>101</v>
      </c>
      <c r="C23" s="4" t="n">
        <f aca="false">Assumptions!C16</f>
        <v>0.45</v>
      </c>
      <c r="D23" s="4" t="n">
        <f aca="false">Assumptions!D16</f>
        <v>0.45</v>
      </c>
      <c r="E23" s="4" t="n">
        <f aca="false">Assumptions!E16</f>
        <v>0.45</v>
      </c>
      <c r="F23" s="4" t="n">
        <f aca="false">Assumptions!F16</f>
        <v>0.45</v>
      </c>
      <c r="G23" s="4" t="n">
        <f aca="false">Assumptions!G16</f>
        <v>0.45</v>
      </c>
      <c r="H23" s="4" t="n">
        <f aca="false">Assumptions!H16</f>
        <v>0.45</v>
      </c>
      <c r="I23" s="4" t="n">
        <f aca="false">Assumptions!I16</f>
        <v>0.45</v>
      </c>
      <c r="J23" s="4" t="n">
        <f aca="false">Assumptions!J16</f>
        <v>0.45</v>
      </c>
      <c r="K23" s="4" t="n">
        <f aca="false">Assumptions!K16</f>
        <v>0.45</v>
      </c>
      <c r="L23" s="4" t="n">
        <f aca="false">Assumptions!L16</f>
        <v>0.45</v>
      </c>
    </row>
    <row r="24" customFormat="false" ht="15" hidden="false" customHeight="false" outlineLevel="0" collapsed="false">
      <c r="A24" s="0" t="s">
        <v>126</v>
      </c>
      <c r="C24" s="0" t="n">
        <f aca="false">-C6*C23/100</f>
        <v>-620.6054571</v>
      </c>
      <c r="D24" s="0" t="n">
        <f aca="false">-D6*D23/100</f>
        <v>-620.6054571</v>
      </c>
      <c r="E24" s="0" t="n">
        <f aca="false">-E6*E23/100</f>
        <v>-608.193347958</v>
      </c>
      <c r="F24" s="0" t="n">
        <f aca="false">-F6*F23/100</f>
        <v>-614.27528143758</v>
      </c>
      <c r="G24" s="0" t="n">
        <f aca="false">-G6*G23/100</f>
        <v>-626.560787066332</v>
      </c>
      <c r="H24" s="0" t="n">
        <f aca="false">-H6*H23/100</f>
        <v>-639.092002807658</v>
      </c>
      <c r="I24" s="0" t="n">
        <f aca="false">-I6*I23/100</f>
        <v>-651.873842863811</v>
      </c>
      <c r="J24" s="0" t="n">
        <f aca="false">-J6*J23/100</f>
        <v>-664.911319721088</v>
      </c>
      <c r="K24" s="0" t="n">
        <f aca="false">-K6*K23/100</f>
        <v>-678.209546115509</v>
      </c>
      <c r="L24" s="0" t="n">
        <f aca="false">-L6*L23/100</f>
        <v>-691.77373703782</v>
      </c>
    </row>
    <row r="26" customFormat="false" ht="15" hidden="false" customHeight="false" outlineLevel="0" collapsed="false">
      <c r="A26" s="2" t="s">
        <v>127</v>
      </c>
    </row>
    <row r="27" customFormat="false" ht="15" hidden="false" customHeight="false" outlineLevel="0" collapsed="false">
      <c r="A27" s="0" t="s">
        <v>105</v>
      </c>
      <c r="B27" s="4" t="n">
        <f aca="false">Assumptions!$B$20</f>
        <v>9</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13729.6150777231</v>
      </c>
    </row>
    <row r="31" customFormat="false" ht="15" hidden="false" customHeight="false" outlineLevel="0" collapsed="false">
      <c r="A31" s="0" t="s">
        <v>129</v>
      </c>
      <c r="B31" s="0" t="n">
        <f aca="false">L19</f>
        <v>2075.8487074271</v>
      </c>
    </row>
    <row r="32" customFormat="false" ht="15" hidden="false" customHeight="false" outlineLevel="0" collapsed="false">
      <c r="A32" s="0" t="s">
        <v>130</v>
      </c>
      <c r="B32" s="0" t="n">
        <f aca="false">IF(B27&gt;B28,B31*(1+B28/100)/((B27-B28)/100),B31*B29)</f>
        <v>30248.0811653664</v>
      </c>
    </row>
    <row r="33" customFormat="false" ht="15" hidden="false" customHeight="false" outlineLevel="0" collapsed="false">
      <c r="A33" s="0" t="s">
        <v>131</v>
      </c>
      <c r="B33" s="0" t="n">
        <f aca="false">B31*B29</f>
        <v>24910.1844891253</v>
      </c>
    </row>
    <row r="34" customFormat="false" ht="15" hidden="false" customHeight="false" outlineLevel="0" collapsed="false">
      <c r="A34" s="0" t="s">
        <v>132</v>
      </c>
      <c r="B34" s="0" t="n">
        <f aca="false">MAX(0,MIN(B32,B33))</f>
        <v>24910.1844891253</v>
      </c>
    </row>
    <row r="35" customFormat="false" ht="15" hidden="false" customHeight="false" outlineLevel="0" collapsed="false">
      <c r="A35" s="0" t="s">
        <v>133</v>
      </c>
      <c r="B35" s="0" t="n">
        <f aca="false">B34/(1+B27/100)^L4</f>
        <v>10522.3311299719</v>
      </c>
    </row>
    <row r="36" customFormat="false" ht="15" hidden="false" customHeight="false" outlineLevel="0" collapsed="false">
      <c r="A36" s="0" t="s">
        <v>134</v>
      </c>
      <c r="B36" s="0" t="n">
        <f aca="false">B30+B35</f>
        <v>24251.946207695</v>
      </c>
    </row>
    <row r="37" customFormat="false" ht="15" hidden="false" customHeight="false" outlineLevel="0" collapsed="false">
      <c r="A37" s="0" t="s">
        <v>135</v>
      </c>
      <c r="B37" s="0" t="n">
        <f aca="false">B36+Assumptions!$B$5-Assumptions!$B$4</f>
        <v>42302.146207695</v>
      </c>
    </row>
    <row r="38" customFormat="false" ht="15" hidden="false" customHeight="false" outlineLevel="0" collapsed="false">
      <c r="A38" s="0" t="s">
        <v>136</v>
      </c>
      <c r="B38" s="0" t="n">
        <f aca="false">B37/Assumptions!$B$3*Assumptions!$B$10</f>
        <v>10.36521015735</v>
      </c>
    </row>
    <row r="39" customFormat="false" ht="15" hidden="false" customHeight="false" outlineLevel="0" collapsed="false">
      <c r="A39" s="0" t="s">
        <v>137</v>
      </c>
      <c r="B39" s="4" t="n">
        <f aca="false">B38/Assumptions!$B$2-1</f>
        <v>-0.500712420166184</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10.36521015735</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16287.4283198127</v>
      </c>
    </row>
    <row r="47" customFormat="false" ht="15" hidden="false" customHeight="false" outlineLevel="0" collapsed="false">
      <c r="A47" s="0" t="s">
        <v>142</v>
      </c>
      <c r="B47" s="0" t="n">
        <f aca="false">(SUMPRODUCT(C19:L19/(1+B45/100)^C4:L4)+B46/(1+B45/100)^L4+Assumptions!$B$5-Assumptions!$B$4)/Assumptions!$B$3*Assumptions!$B$10</f>
        <v>8.0634687102766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8</v>
      </c>
      <c r="D5" s="4" t="n">
        <f aca="false">Assumptions!D27</f>
        <v>6</v>
      </c>
      <c r="E5" s="4" t="n">
        <f aca="false">Assumptions!E27</f>
        <v>5</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133895.46</v>
      </c>
      <c r="C6" s="0" t="n">
        <f aca="false">B6*(1+C5/100)</f>
        <v>144607.0968</v>
      </c>
      <c r="D6" s="0" t="n">
        <f aca="false">C6*(1+D5/100)</f>
        <v>153283.522608</v>
      </c>
      <c r="E6" s="0" t="n">
        <f aca="false">D6*(1+E5/100)</f>
        <v>160947.6987384</v>
      </c>
      <c r="F6" s="0" t="n">
        <f aca="false">E6*(1+F5/100)</f>
        <v>167385.606687936</v>
      </c>
      <c r="G6" s="0" t="n">
        <f aca="false">F6*(1+G5/100)</f>
        <v>173244.102922014</v>
      </c>
      <c r="H6" s="0" t="n">
        <f aca="false">G6*(1+H5/100)</f>
        <v>178441.426009674</v>
      </c>
      <c r="I6" s="0" t="n">
        <f aca="false">H6*(1+I5/100)</f>
        <v>183794.668789964</v>
      </c>
      <c r="J6" s="0" t="n">
        <f aca="false">I6*(1+J5/100)</f>
        <v>188389.535509714</v>
      </c>
      <c r="K6" s="0" t="n">
        <f aca="false">J6*(1+K5/100)</f>
        <v>193099.273897456</v>
      </c>
      <c r="L6" s="0" t="n">
        <f aca="false">K6*(1+L5/100)</f>
        <v>197926.755744893</v>
      </c>
    </row>
    <row r="7" customFormat="false" ht="15" hidden="false" customHeight="false" outlineLevel="0" collapsed="false">
      <c r="A7" s="0" t="s">
        <v>99</v>
      </c>
      <c r="C7" s="4" t="n">
        <f aca="false">Assumptions!C28</f>
        <v>6.3</v>
      </c>
      <c r="D7" s="4" t="n">
        <f aca="false">Assumptions!D28</f>
        <v>6.8</v>
      </c>
      <c r="E7" s="4" t="n">
        <f aca="false">Assumptions!E28</f>
        <v>7.4</v>
      </c>
      <c r="F7" s="4" t="n">
        <f aca="false">Assumptions!F28</f>
        <v>8</v>
      </c>
      <c r="G7" s="4" t="n">
        <f aca="false">Assumptions!G28</f>
        <v>8.5</v>
      </c>
      <c r="H7" s="4" t="n">
        <f aca="false">Assumptions!H28</f>
        <v>8.8</v>
      </c>
      <c r="I7" s="4" t="n">
        <f aca="false">Assumptions!I28</f>
        <v>9</v>
      </c>
      <c r="J7" s="4" t="n">
        <f aca="false">Assumptions!J28</f>
        <v>9</v>
      </c>
      <c r="K7" s="4" t="n">
        <f aca="false">Assumptions!K28</f>
        <v>9</v>
      </c>
      <c r="L7" s="4" t="n">
        <f aca="false">Assumptions!L28</f>
        <v>9</v>
      </c>
    </row>
    <row r="8" customFormat="false" ht="15" hidden="false" customHeight="false" outlineLevel="0" collapsed="false">
      <c r="A8" s="0" t="s">
        <v>44</v>
      </c>
      <c r="C8" s="0" t="n">
        <f aca="false">C6*C7/100</f>
        <v>9110.2470984</v>
      </c>
      <c r="D8" s="0" t="n">
        <f aca="false">D6*D7/100</f>
        <v>10423.279537344</v>
      </c>
      <c r="E8" s="0" t="n">
        <f aca="false">E6*E7/100</f>
        <v>11910.1297066416</v>
      </c>
      <c r="F8" s="0" t="n">
        <f aca="false">F6*F7/100</f>
        <v>13390.8485350349</v>
      </c>
      <c r="G8" s="0" t="n">
        <f aca="false">G6*G7/100</f>
        <v>14725.7487483712</v>
      </c>
      <c r="H8" s="0" t="n">
        <f aca="false">H6*H7/100</f>
        <v>15702.8454888513</v>
      </c>
      <c r="I8" s="0" t="n">
        <f aca="false">I6*I7/100</f>
        <v>16541.5201910968</v>
      </c>
      <c r="J8" s="0" t="n">
        <f aca="false">J6*J7/100</f>
        <v>16955.0581958742</v>
      </c>
      <c r="K8" s="0" t="n">
        <f aca="false">K6*K7/100</f>
        <v>17378.9346507711</v>
      </c>
      <c r="L8" s="0" t="n">
        <f aca="false">L6*L7/100</f>
        <v>17813.4080170403</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8459.5151628</v>
      </c>
      <c r="D11" s="0" t="n">
        <f aca="false">D8+D10+D24</f>
        <v>9733.503685608</v>
      </c>
      <c r="E11" s="0" t="n">
        <f aca="false">E8+E10+E24</f>
        <v>11185.8650623188</v>
      </c>
      <c r="F11" s="0" t="n">
        <f aca="false">F8+F10+F24</f>
        <v>12637.6133049392</v>
      </c>
      <c r="G11" s="0" t="n">
        <f aca="false">G8+G10+G24</f>
        <v>13946.1502852221</v>
      </c>
      <c r="H11" s="0" t="n">
        <f aca="false">H8+H10+H24</f>
        <v>14899.8590718078</v>
      </c>
      <c r="I11" s="0" t="n">
        <f aca="false">I8+I10+I24</f>
        <v>15714.444181542</v>
      </c>
      <c r="J11" s="0" t="n">
        <f aca="false">J8+J10+J24</f>
        <v>16107.3052860805</v>
      </c>
      <c r="K11" s="0" t="n">
        <f aca="false">K8+K10+K24</f>
        <v>16509.9879182325</v>
      </c>
      <c r="L11" s="0" t="n">
        <f aca="false">L8+L10+L24</f>
        <v>16922.7376161883</v>
      </c>
    </row>
    <row r="12" customFormat="false" ht="15" hidden="false" customHeight="false" outlineLevel="0" collapsed="false">
      <c r="A12" s="0" t="s">
        <v>117</v>
      </c>
      <c r="C12" s="4" t="n">
        <f aca="false">-C6*Assumptions!C31/100</f>
        <v>-4555.1235492</v>
      </c>
      <c r="D12" s="4" t="n">
        <f aca="false">-D6*Assumptions!D31/100</f>
        <v>-4751.789200848</v>
      </c>
      <c r="E12" s="4" t="n">
        <f aca="false">-E6*Assumptions!E31/100</f>
        <v>-4989.3786608904</v>
      </c>
      <c r="F12" s="4" t="n">
        <f aca="false">-F6*Assumptions!F31/100</f>
        <v>-5105.26100398205</v>
      </c>
      <c r="G12" s="4" t="n">
        <f aca="false">-G6*Assumptions!G31/100</f>
        <v>-5283.94513912142</v>
      </c>
      <c r="H12" s="4" t="n">
        <f aca="false">-H6*Assumptions!H31/100</f>
        <v>-5353.24278029023</v>
      </c>
      <c r="I12" s="4" t="n">
        <f aca="false">-I6*Assumptions!I31/100</f>
        <v>-5513.84006369893</v>
      </c>
      <c r="J12" s="4" t="n">
        <f aca="false">-J6*Assumptions!J31/100</f>
        <v>-5651.68606529141</v>
      </c>
      <c r="K12" s="4" t="n">
        <f aca="false">-K6*Assumptions!K31/100</f>
        <v>-5792.97821692369</v>
      </c>
      <c r="L12" s="4" t="n">
        <f aca="false">-L6*Assumptions!L31/100</f>
        <v>-5937.80267234678</v>
      </c>
    </row>
    <row r="13" customFormat="false" ht="15" hidden="false" customHeight="false" outlineLevel="0" collapsed="false">
      <c r="A13" s="0" t="s">
        <v>118</v>
      </c>
      <c r="C13" s="0" t="n">
        <f aca="false">C11+C12</f>
        <v>3904.3916136</v>
      </c>
      <c r="D13" s="0" t="n">
        <f aca="false">D11+D12</f>
        <v>4981.71448476</v>
      </c>
      <c r="E13" s="0" t="n">
        <f aca="false">E11+E12</f>
        <v>6196.4864014284</v>
      </c>
      <c r="F13" s="0" t="n">
        <f aca="false">F11+F12</f>
        <v>7532.35230095712</v>
      </c>
      <c r="G13" s="0" t="n">
        <f aca="false">G11+G12</f>
        <v>8662.20514610069</v>
      </c>
      <c r="H13" s="0" t="n">
        <f aca="false">H11+H12</f>
        <v>9546.61629151757</v>
      </c>
      <c r="I13" s="0" t="n">
        <f aca="false">I11+I12</f>
        <v>10200.604117843</v>
      </c>
      <c r="J13" s="0" t="n">
        <f aca="false">J11+J12</f>
        <v>10455.6192207891</v>
      </c>
      <c r="K13" s="0" t="n">
        <f aca="false">K11+K12</f>
        <v>10717.0097013088</v>
      </c>
      <c r="L13" s="0" t="n">
        <f aca="false">L11+L12</f>
        <v>10984.9349438415</v>
      </c>
    </row>
    <row r="14" customFormat="false" ht="15" hidden="false" customHeight="false" outlineLevel="0" collapsed="false">
      <c r="A14" s="0" t="s">
        <v>104</v>
      </c>
      <c r="C14" s="4" t="n">
        <f aca="false">Assumptions!C33</f>
        <v>12</v>
      </c>
      <c r="D14" s="4" t="n">
        <f aca="false">Assumptions!D33</f>
        <v>12.5</v>
      </c>
      <c r="E14" s="4" t="n">
        <f aca="false">Assumptions!E33</f>
        <v>13</v>
      </c>
      <c r="F14" s="4" t="n">
        <f aca="false">Assumptions!F33</f>
        <v>14</v>
      </c>
      <c r="G14" s="4" t="n">
        <f aca="false">Assumptions!G33</f>
        <v>15</v>
      </c>
      <c r="H14" s="4" t="n">
        <f aca="false">Assumptions!H33</f>
        <v>15</v>
      </c>
      <c r="I14" s="4" t="n">
        <f aca="false">Assumptions!I33</f>
        <v>15</v>
      </c>
      <c r="J14" s="4" t="n">
        <f aca="false">Assumptions!J33</f>
        <v>15</v>
      </c>
      <c r="K14" s="4" t="n">
        <f aca="false">Assumptions!K33</f>
        <v>15</v>
      </c>
      <c r="L14" s="4" t="n">
        <f aca="false">Assumptions!L33</f>
        <v>15</v>
      </c>
    </row>
    <row r="15" customFormat="false" ht="15" hidden="false" customHeight="false" outlineLevel="0" collapsed="false">
      <c r="A15" s="0" t="s">
        <v>119</v>
      </c>
      <c r="C15" s="0" t="n">
        <f aca="false">C13-MAX(0,C13)*C14/100</f>
        <v>3435.864619968</v>
      </c>
      <c r="D15" s="0" t="n">
        <f aca="false">D13-MAX(0,D13)*D14/100</f>
        <v>4359.000174165</v>
      </c>
      <c r="E15" s="0" t="n">
        <f aca="false">E13-MAX(0,E13)*E14/100</f>
        <v>5390.94316924271</v>
      </c>
      <c r="F15" s="0" t="n">
        <f aca="false">F13-MAX(0,F13)*F14/100</f>
        <v>6477.82297882313</v>
      </c>
      <c r="G15" s="0" t="n">
        <f aca="false">G13-MAX(0,G13)*G14/100</f>
        <v>7362.87437418559</v>
      </c>
      <c r="H15" s="0" t="n">
        <f aca="false">H13-MAX(0,H13)*H14/100</f>
        <v>8114.62384778993</v>
      </c>
      <c r="I15" s="0" t="n">
        <f aca="false">I13-MAX(0,I13)*I14/100</f>
        <v>8670.51350016657</v>
      </c>
      <c r="J15" s="0" t="n">
        <f aca="false">J13-MAX(0,J13)*J14/100</f>
        <v>8887.27633767073</v>
      </c>
      <c r="K15" s="0" t="n">
        <f aca="false">K13-MAX(0,K13)*K14/100</f>
        <v>9109.4582461125</v>
      </c>
      <c r="L15" s="0" t="n">
        <f aca="false">L13-MAX(0,L13)*L14/100</f>
        <v>9337.19470226531</v>
      </c>
    </row>
    <row r="16" customFormat="false" ht="15" hidden="false" customHeight="false" outlineLevel="0" collapsed="false">
      <c r="A16" s="0" t="s">
        <v>120</v>
      </c>
      <c r="C16" s="0" t="n">
        <f aca="false">-C12</f>
        <v>4555.1235492</v>
      </c>
      <c r="D16" s="0" t="n">
        <f aca="false">-D12</f>
        <v>4751.789200848</v>
      </c>
      <c r="E16" s="0" t="n">
        <f aca="false">-E12</f>
        <v>4989.3786608904</v>
      </c>
      <c r="F16" s="0" t="n">
        <f aca="false">-F12</f>
        <v>5105.26100398205</v>
      </c>
      <c r="G16" s="0" t="n">
        <f aca="false">-G12</f>
        <v>5283.94513912142</v>
      </c>
      <c r="H16" s="0" t="n">
        <f aca="false">-H12</f>
        <v>5353.24278029023</v>
      </c>
      <c r="I16" s="0" t="n">
        <f aca="false">-I12</f>
        <v>5513.84006369893</v>
      </c>
      <c r="J16" s="0" t="n">
        <f aca="false">-J12</f>
        <v>5651.68606529141</v>
      </c>
      <c r="K16" s="0" t="n">
        <f aca="false">-K12</f>
        <v>5792.97821692369</v>
      </c>
      <c r="L16" s="0" t="n">
        <f aca="false">-L12</f>
        <v>5937.80267234678</v>
      </c>
    </row>
    <row r="17" customFormat="false" ht="15" hidden="false" customHeight="false" outlineLevel="0" collapsed="false">
      <c r="A17" s="0" t="s">
        <v>121</v>
      </c>
      <c r="C17" s="4" t="n">
        <f aca="false">-C6*Assumptions!C32/100</f>
        <v>-4627.4270976</v>
      </c>
      <c r="D17" s="4" t="n">
        <f aca="false">-D6*Assumptions!D32/100</f>
        <v>-4905.072723456</v>
      </c>
      <c r="E17" s="4" t="n">
        <f aca="false">-E6*Assumptions!E32/100</f>
        <v>-5150.3263596288</v>
      </c>
      <c r="F17" s="4" t="n">
        <f aca="false">-F6*Assumptions!F32/100</f>
        <v>-5356.33941401395</v>
      </c>
      <c r="G17" s="4" t="n">
        <f aca="false">-G6*Assumptions!G32/100</f>
        <v>-5543.81129350444</v>
      </c>
      <c r="H17" s="4" t="n">
        <f aca="false">-H6*Assumptions!H32/100</f>
        <v>-5710.12563230958</v>
      </c>
      <c r="I17" s="4" t="n">
        <f aca="false">-I6*Assumptions!I32/100</f>
        <v>-5881.42940127886</v>
      </c>
      <c r="J17" s="4" t="n">
        <f aca="false">-J6*Assumptions!J32/100</f>
        <v>-6028.46513631083</v>
      </c>
      <c r="K17" s="4" t="n">
        <f aca="false">-K6*Assumptions!K32/100</f>
        <v>-6179.1767647186</v>
      </c>
      <c r="L17" s="4" t="n">
        <f aca="false">-L6*Assumptions!L32/100</f>
        <v>-6333.65618383657</v>
      </c>
    </row>
    <row r="18" customFormat="false" ht="15" hidden="false" customHeight="false" outlineLevel="0" collapsed="false">
      <c r="A18" s="0" t="s">
        <v>122</v>
      </c>
      <c r="C18" s="4" t="n">
        <f aca="false">(C6-B6)*Assumptions!$B$37/100</f>
        <v>-1713.861888</v>
      </c>
      <c r="D18" s="4" t="n">
        <f aca="false">(D6-C6)*Assumptions!$B$37/100</f>
        <v>-1388.22812928</v>
      </c>
      <c r="E18" s="4" t="n">
        <f aca="false">(E6-D6)*Assumptions!$B$37/100</f>
        <v>-1226.268180864</v>
      </c>
      <c r="F18" s="4" t="n">
        <f aca="false">(F6-E6)*Assumptions!$B$37/100</f>
        <v>-1030.06527192576</v>
      </c>
      <c r="G18" s="4" t="n">
        <f aca="false">(G6-F6)*Assumptions!$B$37/100</f>
        <v>-937.359397452441</v>
      </c>
      <c r="H18" s="4" t="n">
        <f aca="false">(H6-G6)*Assumptions!$B$37/100</f>
        <v>-831.571694025667</v>
      </c>
      <c r="I18" s="4" t="n">
        <f aca="false">(I6-H6)*Assumptions!$B$37/100</f>
        <v>-856.518844846436</v>
      </c>
      <c r="J18" s="4" t="n">
        <f aca="false">(J6-I6)*Assumptions!$B$37/100</f>
        <v>-735.178675159854</v>
      </c>
      <c r="K18" s="4" t="n">
        <f aca="false">(K6-J6)*Assumptions!$B$37/100</f>
        <v>-753.558142038849</v>
      </c>
      <c r="L18" s="4" t="n">
        <f aca="false">(L6-K6)*Assumptions!$B$37/100</f>
        <v>-772.397095589824</v>
      </c>
    </row>
    <row r="19" customFormat="false" ht="15" hidden="false" customHeight="false" outlineLevel="0" collapsed="false">
      <c r="A19" s="0" t="s">
        <v>123</v>
      </c>
      <c r="C19" s="0" t="n">
        <f aca="false">C15+C16+C17+C18</f>
        <v>1649.699183568</v>
      </c>
      <c r="D19" s="0" t="n">
        <f aca="false">D15+D16+D17+D18</f>
        <v>2817.488522277</v>
      </c>
      <c r="E19" s="0" t="n">
        <f aca="false">E15+E16+E17+E18</f>
        <v>4003.72728964031</v>
      </c>
      <c r="F19" s="0" t="n">
        <f aca="false">F15+F16+F17+F18</f>
        <v>5196.67929686546</v>
      </c>
      <c r="G19" s="0" t="n">
        <f aca="false">G15+G16+G17+G18</f>
        <v>6165.64882235012</v>
      </c>
      <c r="H19" s="0" t="n">
        <f aca="false">H15+H16+H17+H18</f>
        <v>6926.16930174492</v>
      </c>
      <c r="I19" s="0" t="n">
        <f aca="false">I15+I16+I17+I18</f>
        <v>7446.40531774021</v>
      </c>
      <c r="J19" s="0" t="n">
        <f aca="false">J15+J16+J17+J18</f>
        <v>7775.31859149145</v>
      </c>
      <c r="K19" s="0" t="n">
        <f aca="false">K15+K16+K17+K18</f>
        <v>7969.70155627874</v>
      </c>
      <c r="L19" s="0" t="n">
        <f aca="false">L15+L16+L17+L18</f>
        <v>8168.9440951857</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1513.48548951193</v>
      </c>
      <c r="D21" s="0" t="n">
        <f aca="false">D19*D20</f>
        <v>2371.42372045872</v>
      </c>
      <c r="E21" s="0" t="n">
        <f aca="false">E19*E20</f>
        <v>3091.6120717299</v>
      </c>
      <c r="F21" s="0" t="n">
        <f aca="false">F19*F20</f>
        <v>3681.45862772005</v>
      </c>
      <c r="G21" s="0" t="n">
        <f aca="false">G19*G20</f>
        <v>4007.24868653878</v>
      </c>
      <c r="H21" s="0" t="n">
        <f aca="false">H19*H20</f>
        <v>4129.84845506433</v>
      </c>
      <c r="I21" s="0" t="n">
        <f aca="false">I19*I20</f>
        <v>4073.43870978728</v>
      </c>
      <c r="J21" s="0" t="n">
        <f aca="false">J19*J20</f>
        <v>3902.17021478232</v>
      </c>
      <c r="K21" s="0" t="n">
        <f aca="false">K19*K20</f>
        <v>3669.47199096503</v>
      </c>
      <c r="L21" s="0" t="n">
        <f aca="false">L19*L20</f>
        <v>3450.65026673317</v>
      </c>
    </row>
    <row r="23" customFormat="false" ht="15" hidden="false" customHeight="false" outlineLevel="0" collapsed="false">
      <c r="A23" s="0" t="s">
        <v>101</v>
      </c>
      <c r="C23" s="4" t="n">
        <f aca="false">Assumptions!C30</f>
        <v>0.45</v>
      </c>
      <c r="D23" s="4" t="n">
        <f aca="false">Assumptions!D30</f>
        <v>0.45</v>
      </c>
      <c r="E23" s="4" t="n">
        <f aca="false">Assumptions!E30</f>
        <v>0.45</v>
      </c>
      <c r="F23" s="4" t="n">
        <f aca="false">Assumptions!F30</f>
        <v>0.45</v>
      </c>
      <c r="G23" s="4" t="n">
        <f aca="false">Assumptions!G30</f>
        <v>0.45</v>
      </c>
      <c r="H23" s="4" t="n">
        <f aca="false">Assumptions!H30</f>
        <v>0.45</v>
      </c>
      <c r="I23" s="4" t="n">
        <f aca="false">Assumptions!I30</f>
        <v>0.45</v>
      </c>
      <c r="J23" s="4" t="n">
        <f aca="false">Assumptions!J30</f>
        <v>0.45</v>
      </c>
      <c r="K23" s="4" t="n">
        <f aca="false">Assumptions!K30</f>
        <v>0.45</v>
      </c>
      <c r="L23" s="4" t="n">
        <f aca="false">Assumptions!L30</f>
        <v>0.45</v>
      </c>
    </row>
    <row r="24" customFormat="false" ht="15" hidden="false" customHeight="false" outlineLevel="0" collapsed="false">
      <c r="A24" s="0" t="s">
        <v>126</v>
      </c>
      <c r="C24" s="0" t="n">
        <f aca="false">-C6*C23/100</f>
        <v>-650.7319356</v>
      </c>
      <c r="D24" s="0" t="n">
        <f aca="false">-D6*D23/100</f>
        <v>-689.775851736</v>
      </c>
      <c r="E24" s="0" t="n">
        <f aca="false">-E6*E23/100</f>
        <v>-724.2646443228</v>
      </c>
      <c r="F24" s="0" t="n">
        <f aca="false">-F6*F23/100</f>
        <v>-753.235230095712</v>
      </c>
      <c r="G24" s="0" t="n">
        <f aca="false">-G6*G23/100</f>
        <v>-779.598463149062</v>
      </c>
      <c r="H24" s="0" t="n">
        <f aca="false">-H6*H23/100</f>
        <v>-802.986417043534</v>
      </c>
      <c r="I24" s="0" t="n">
        <f aca="false">-I6*I23/100</f>
        <v>-827.07600955484</v>
      </c>
      <c r="J24" s="0" t="n">
        <f aca="false">-J6*J23/100</f>
        <v>-847.752909793711</v>
      </c>
      <c r="K24" s="0" t="n">
        <f aca="false">-K6*K23/100</f>
        <v>-868.946732538554</v>
      </c>
      <c r="L24" s="0" t="n">
        <f aca="false">-L6*L23/100</f>
        <v>-890.670400852017</v>
      </c>
    </row>
    <row r="26" customFormat="false" ht="15" hidden="false" customHeight="false" outlineLevel="0" collapsed="false">
      <c r="A26" s="2" t="s">
        <v>127</v>
      </c>
    </row>
    <row r="27" customFormat="false" ht="15" hidden="false" customHeight="false" outlineLevel="0" collapsed="false">
      <c r="A27" s="0" t="s">
        <v>105</v>
      </c>
      <c r="B27" s="4" t="n">
        <f aca="false">Assumptions!$B$34</f>
        <v>9</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33890.8082332915</v>
      </c>
    </row>
    <row r="31" customFormat="false" ht="15" hidden="false" customHeight="false" outlineLevel="0" collapsed="false">
      <c r="A31" s="0" t="s">
        <v>129</v>
      </c>
      <c r="B31" s="0" t="n">
        <f aca="false">L19</f>
        <v>8168.9440951857</v>
      </c>
    </row>
    <row r="32" customFormat="false" ht="15" hidden="false" customHeight="false" outlineLevel="0" collapsed="false">
      <c r="A32" s="0" t="s">
        <v>130</v>
      </c>
      <c r="B32" s="0" t="n">
        <f aca="false">IF(B27&gt;B28,B31*(1+B28/100)/((B27-B28)/100),B31*B29)</f>
        <v>128817.964577928</v>
      </c>
    </row>
    <row r="33" customFormat="false" ht="15" hidden="false" customHeight="false" outlineLevel="0" collapsed="false">
      <c r="A33" s="0" t="s">
        <v>131</v>
      </c>
      <c r="B33" s="0" t="n">
        <f aca="false">B31*B29</f>
        <v>98027.3291422284</v>
      </c>
    </row>
    <row r="34" customFormat="false" ht="15" hidden="false" customHeight="false" outlineLevel="0" collapsed="false">
      <c r="A34" s="0" t="s">
        <v>132</v>
      </c>
      <c r="B34" s="0" t="n">
        <f aca="false">MAX(0,MIN(B32,B33))</f>
        <v>98027.3291422284</v>
      </c>
    </row>
    <row r="35" customFormat="false" ht="15" hidden="false" customHeight="false" outlineLevel="0" collapsed="false">
      <c r="A35" s="0" t="s">
        <v>133</v>
      </c>
      <c r="B35" s="0" t="n">
        <f aca="false">B34/(1+B27/100)^L4</f>
        <v>41407.803200798</v>
      </c>
    </row>
    <row r="36" customFormat="false" ht="15" hidden="false" customHeight="false" outlineLevel="0" collapsed="false">
      <c r="A36" s="0" t="s">
        <v>134</v>
      </c>
      <c r="B36" s="0" t="n">
        <f aca="false">B30+B35</f>
        <v>75298.6114340895</v>
      </c>
    </row>
    <row r="37" customFormat="false" ht="15" hidden="false" customHeight="false" outlineLevel="0" collapsed="false">
      <c r="A37" s="0" t="s">
        <v>135</v>
      </c>
      <c r="B37" s="0" t="n">
        <f aca="false">B36+Assumptions!$B$5-Assumptions!$B$4</f>
        <v>93348.8114340895</v>
      </c>
    </row>
    <row r="38" customFormat="false" ht="15" hidden="false" customHeight="false" outlineLevel="0" collapsed="false">
      <c r="A38" s="0" t="s">
        <v>136</v>
      </c>
      <c r="B38" s="0" t="n">
        <f aca="false">B37/Assumptions!$B$3*Assumptions!$B$10</f>
        <v>22.8730722952579</v>
      </c>
    </row>
    <row r="39" customFormat="false" ht="15" hidden="false" customHeight="false" outlineLevel="0" collapsed="false">
      <c r="A39" s="0" t="s">
        <v>137</v>
      </c>
      <c r="B39" s="4" t="n">
        <f aca="false">B38/Assumptions!$B$2-1</f>
        <v>0.101785756033615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22.8730722952579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66985.3415805228</v>
      </c>
    </row>
    <row r="47" customFormat="false" ht="15" hidden="false" customHeight="false" outlineLevel="0" collapsed="false">
      <c r="A47" s="0" t="s">
        <v>142</v>
      </c>
      <c r="B47" s="0" t="n">
        <f aca="false">(SUMPRODUCT(C19:L19/(1+B45/100)^C4:L4)+B46/(1+B45/100)^L4+Assumptions!$B$5-Assumptions!$B$4)/Assumptions!$B$3*Assumptions!$B$10</f>
        <v>14.5699267919284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12</v>
      </c>
      <c r="D5" s="4" t="n">
        <f aca="false">Assumptions!D41</f>
        <v>10</v>
      </c>
      <c r="E5" s="4" t="n">
        <f aca="false">Assumptions!E41</f>
        <v>8</v>
      </c>
      <c r="F5" s="4" t="n">
        <f aca="false">Assumptions!F41</f>
        <v>7</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133895.46</v>
      </c>
      <c r="C6" s="0" t="n">
        <f aca="false">B6*(1+C5/100)</f>
        <v>149962.9152</v>
      </c>
      <c r="D6" s="0" t="n">
        <f aca="false">C6*(1+D5/100)</f>
        <v>164959.20672</v>
      </c>
      <c r="E6" s="0" t="n">
        <f aca="false">D6*(1+E5/100)</f>
        <v>178155.9432576</v>
      </c>
      <c r="F6" s="0" t="n">
        <f aca="false">E6*(1+F5/100)</f>
        <v>190626.859285632</v>
      </c>
      <c r="G6" s="0" t="n">
        <f aca="false">F6*(1+G5/100)</f>
        <v>202064.47084277</v>
      </c>
      <c r="H6" s="0" t="n">
        <f aca="false">G6*(1+H5/100)</f>
        <v>212167.694384909</v>
      </c>
      <c r="I6" s="0" t="n">
        <f aca="false">H6*(1+I5/100)</f>
        <v>220654.402160305</v>
      </c>
      <c r="J6" s="0" t="n">
        <f aca="false">I6*(1+J5/100)</f>
        <v>228377.306235916</v>
      </c>
      <c r="K6" s="0" t="n">
        <f aca="false">J6*(1+K5/100)</f>
        <v>235228.625422993</v>
      </c>
      <c r="L6" s="0" t="n">
        <f aca="false">K6*(1+L5/100)</f>
        <v>242285.484185683</v>
      </c>
    </row>
    <row r="7" customFormat="false" ht="15" hidden="false" customHeight="false" outlineLevel="0" collapsed="false">
      <c r="A7" s="0" t="s">
        <v>99</v>
      </c>
      <c r="C7" s="4" t="n">
        <f aca="false">Assumptions!C42</f>
        <v>6.8</v>
      </c>
      <c r="D7" s="4" t="n">
        <f aca="false">Assumptions!D42</f>
        <v>7.8</v>
      </c>
      <c r="E7" s="4" t="n">
        <f aca="false">Assumptions!E42</f>
        <v>8.8</v>
      </c>
      <c r="F7" s="4" t="n">
        <f aca="false">Assumptions!F42</f>
        <v>9.8</v>
      </c>
      <c r="G7" s="4" t="n">
        <f aca="false">Assumptions!G42</f>
        <v>10.5</v>
      </c>
      <c r="H7" s="4" t="n">
        <f aca="false">Assumptions!H42</f>
        <v>11</v>
      </c>
      <c r="I7" s="4" t="n">
        <f aca="false">Assumptions!I42</f>
        <v>11</v>
      </c>
      <c r="J7" s="4" t="n">
        <f aca="false">Assumptions!J42</f>
        <v>11</v>
      </c>
      <c r="K7" s="4" t="n">
        <f aca="false">Assumptions!K42</f>
        <v>11</v>
      </c>
      <c r="L7" s="4" t="n">
        <f aca="false">Assumptions!L42</f>
        <v>11</v>
      </c>
    </row>
    <row r="8" customFormat="false" ht="15" hidden="false" customHeight="false" outlineLevel="0" collapsed="false">
      <c r="A8" s="0" t="s">
        <v>44</v>
      </c>
      <c r="C8" s="0" t="n">
        <f aca="false">C6*C7/100</f>
        <v>10197.4782336</v>
      </c>
      <c r="D8" s="0" t="n">
        <f aca="false">D6*D7/100</f>
        <v>12866.81812416</v>
      </c>
      <c r="E8" s="0" t="n">
        <f aca="false">E6*E7/100</f>
        <v>15677.7230066688</v>
      </c>
      <c r="F8" s="0" t="n">
        <f aca="false">F6*F7/100</f>
        <v>18681.4322099919</v>
      </c>
      <c r="G8" s="0" t="n">
        <f aca="false">G6*G7/100</f>
        <v>21216.7694384909</v>
      </c>
      <c r="H8" s="0" t="n">
        <f aca="false">H6*H7/100</f>
        <v>23338.4463823399</v>
      </c>
      <c r="I8" s="0" t="n">
        <f aca="false">I6*I7/100</f>
        <v>24271.9842376335</v>
      </c>
      <c r="J8" s="0" t="n">
        <f aca="false">J6*J7/100</f>
        <v>25121.5036859507</v>
      </c>
      <c r="K8" s="0" t="n">
        <f aca="false">K6*K7/100</f>
        <v>25875.1487965292</v>
      </c>
      <c r="L8" s="0" t="n">
        <f aca="false">L6*L7/100</f>
        <v>26651.4032604251</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9522.6451152</v>
      </c>
      <c r="D11" s="0" t="n">
        <f aca="false">D8+D10+D24</f>
        <v>12124.50169392</v>
      </c>
      <c r="E11" s="0" t="n">
        <f aca="false">E8+E10+E24</f>
        <v>14876.0212620096</v>
      </c>
      <c r="F11" s="0" t="n">
        <f aca="false">F8+F10+F24</f>
        <v>17823.6113432066</v>
      </c>
      <c r="G11" s="0" t="n">
        <f aca="false">G8+G10+G24</f>
        <v>20307.4793196984</v>
      </c>
      <c r="H11" s="0" t="n">
        <f aca="false">H8+H10+H24</f>
        <v>22383.6917576079</v>
      </c>
      <c r="I11" s="0" t="n">
        <f aca="false">I8+I10+I24</f>
        <v>23279.0394279122</v>
      </c>
      <c r="J11" s="0" t="n">
        <f aca="false">J8+J10+J24</f>
        <v>24093.8058078891</v>
      </c>
      <c r="K11" s="0" t="n">
        <f aca="false">K8+K10+K24</f>
        <v>24816.6199821258</v>
      </c>
      <c r="L11" s="0" t="n">
        <f aca="false">L8+L10+L24</f>
        <v>25561.1185815895</v>
      </c>
    </row>
    <row r="12" customFormat="false" ht="15" hidden="false" customHeight="false" outlineLevel="0" collapsed="false">
      <c r="A12" s="0" t="s">
        <v>117</v>
      </c>
      <c r="C12" s="4" t="n">
        <f aca="false">-C6*Assumptions!C45/100</f>
        <v>-4723.8318288</v>
      </c>
      <c r="D12" s="4" t="n">
        <f aca="false">-D6*Assumptions!D45/100</f>
        <v>-5113.73540832</v>
      </c>
      <c r="E12" s="4" t="n">
        <f aca="false">-E6*Assumptions!E45/100</f>
        <v>-5522.8342409856</v>
      </c>
      <c r="F12" s="4" t="n">
        <f aca="false">-F6*Assumptions!F45/100</f>
        <v>-5814.11920821178</v>
      </c>
      <c r="G12" s="4" t="n">
        <f aca="false">-G6*Assumptions!G45/100</f>
        <v>-6162.96636070449</v>
      </c>
      <c r="H12" s="4" t="n">
        <f aca="false">-H6*Assumptions!H45/100</f>
        <v>-6365.03083154726</v>
      </c>
      <c r="I12" s="4" t="n">
        <f aca="false">-I6*Assumptions!I45/100</f>
        <v>-6619.63206480915</v>
      </c>
      <c r="J12" s="4" t="n">
        <f aca="false">-J6*Assumptions!J45/100</f>
        <v>-6851.31918707747</v>
      </c>
      <c r="K12" s="4" t="n">
        <f aca="false">-K6*Assumptions!K45/100</f>
        <v>-7056.85876268979</v>
      </c>
      <c r="L12" s="4" t="n">
        <f aca="false">-L6*Assumptions!L45/100</f>
        <v>-7268.56452557048</v>
      </c>
    </row>
    <row r="13" customFormat="false" ht="15" hidden="false" customHeight="false" outlineLevel="0" collapsed="false">
      <c r="A13" s="0" t="s">
        <v>118</v>
      </c>
      <c r="C13" s="0" t="n">
        <f aca="false">C11+C12</f>
        <v>4798.8132864</v>
      </c>
      <c r="D13" s="0" t="n">
        <f aca="false">D11+D12</f>
        <v>7010.7662856</v>
      </c>
      <c r="E13" s="0" t="n">
        <f aca="false">E11+E12</f>
        <v>9353.18702102401</v>
      </c>
      <c r="F13" s="0" t="n">
        <f aca="false">F11+F12</f>
        <v>12009.4921349948</v>
      </c>
      <c r="G13" s="0" t="n">
        <f aca="false">G11+G12</f>
        <v>14144.5129589939</v>
      </c>
      <c r="H13" s="0" t="n">
        <f aca="false">H11+H12</f>
        <v>16018.6609260606</v>
      </c>
      <c r="I13" s="0" t="n">
        <f aca="false">I11+I12</f>
        <v>16659.407363103</v>
      </c>
      <c r="J13" s="0" t="n">
        <f aca="false">J11+J12</f>
        <v>17242.4866208116</v>
      </c>
      <c r="K13" s="0" t="n">
        <f aca="false">K11+K12</f>
        <v>17759.761219436</v>
      </c>
      <c r="L13" s="0" t="n">
        <f aca="false">L11+L12</f>
        <v>18292.5540560191</v>
      </c>
    </row>
    <row r="14" customFormat="false" ht="15" hidden="false" customHeight="false" outlineLevel="0" collapsed="false">
      <c r="A14" s="0" t="s">
        <v>104</v>
      </c>
      <c r="C14" s="4" t="n">
        <f aca="false">Assumptions!C47</f>
        <v>12</v>
      </c>
      <c r="D14" s="4" t="n">
        <f aca="false">Assumptions!D47</f>
        <v>12.5</v>
      </c>
      <c r="E14" s="4" t="n">
        <f aca="false">Assumptions!E47</f>
        <v>13</v>
      </c>
      <c r="F14" s="4" t="n">
        <f aca="false">Assumptions!F47</f>
        <v>14</v>
      </c>
      <c r="G14" s="4" t="n">
        <f aca="false">Assumptions!G47</f>
        <v>15</v>
      </c>
      <c r="H14" s="4" t="n">
        <f aca="false">Assumptions!H47</f>
        <v>15</v>
      </c>
      <c r="I14" s="4" t="n">
        <f aca="false">Assumptions!I47</f>
        <v>15</v>
      </c>
      <c r="J14" s="4" t="n">
        <f aca="false">Assumptions!J47</f>
        <v>15</v>
      </c>
      <c r="K14" s="4" t="n">
        <f aca="false">Assumptions!K47</f>
        <v>15</v>
      </c>
      <c r="L14" s="4" t="n">
        <f aca="false">Assumptions!L47</f>
        <v>15</v>
      </c>
    </row>
    <row r="15" customFormat="false" ht="15" hidden="false" customHeight="false" outlineLevel="0" collapsed="false">
      <c r="A15" s="0" t="s">
        <v>119</v>
      </c>
      <c r="C15" s="0" t="n">
        <f aca="false">C13-MAX(0,C13)*C14/100</f>
        <v>4222.955692032</v>
      </c>
      <c r="D15" s="0" t="n">
        <f aca="false">D13-MAX(0,D13)*D14/100</f>
        <v>6134.4204999</v>
      </c>
      <c r="E15" s="0" t="n">
        <f aca="false">E13-MAX(0,E13)*E14/100</f>
        <v>8137.27270829088</v>
      </c>
      <c r="F15" s="0" t="n">
        <f aca="false">F13-MAX(0,F13)*F14/100</f>
        <v>10328.1632360955</v>
      </c>
      <c r="G15" s="0" t="n">
        <f aca="false">G13-MAX(0,G13)*G14/100</f>
        <v>12022.8360151448</v>
      </c>
      <c r="H15" s="0" t="n">
        <f aca="false">H13-MAX(0,H13)*H14/100</f>
        <v>13615.8617871515</v>
      </c>
      <c r="I15" s="0" t="n">
        <f aca="false">I13-MAX(0,I13)*I14/100</f>
        <v>14160.4962586376</v>
      </c>
      <c r="J15" s="0" t="n">
        <f aca="false">J13-MAX(0,J13)*J14/100</f>
        <v>14656.1136276899</v>
      </c>
      <c r="K15" s="0" t="n">
        <f aca="false">K13-MAX(0,K13)*K14/100</f>
        <v>15095.7970365206</v>
      </c>
      <c r="L15" s="0" t="n">
        <f aca="false">L13-MAX(0,L13)*L14/100</f>
        <v>15548.6709476162</v>
      </c>
    </row>
    <row r="16" customFormat="false" ht="15" hidden="false" customHeight="false" outlineLevel="0" collapsed="false">
      <c r="A16" s="0" t="s">
        <v>120</v>
      </c>
      <c r="C16" s="0" t="n">
        <f aca="false">-C12</f>
        <v>4723.8318288</v>
      </c>
      <c r="D16" s="0" t="n">
        <f aca="false">-D12</f>
        <v>5113.73540832</v>
      </c>
      <c r="E16" s="0" t="n">
        <f aca="false">-E12</f>
        <v>5522.8342409856</v>
      </c>
      <c r="F16" s="0" t="n">
        <f aca="false">-F12</f>
        <v>5814.11920821178</v>
      </c>
      <c r="G16" s="0" t="n">
        <f aca="false">-G12</f>
        <v>6162.96636070449</v>
      </c>
      <c r="H16" s="0" t="n">
        <f aca="false">-H12</f>
        <v>6365.03083154726</v>
      </c>
      <c r="I16" s="0" t="n">
        <f aca="false">-I12</f>
        <v>6619.63206480915</v>
      </c>
      <c r="J16" s="0" t="n">
        <f aca="false">-J12</f>
        <v>6851.31918707747</v>
      </c>
      <c r="K16" s="0" t="n">
        <f aca="false">-K12</f>
        <v>7056.85876268979</v>
      </c>
      <c r="L16" s="0" t="n">
        <f aca="false">-L12</f>
        <v>7268.56452557048</v>
      </c>
    </row>
    <row r="17" customFormat="false" ht="15" hidden="false" customHeight="false" outlineLevel="0" collapsed="false">
      <c r="A17" s="0" t="s">
        <v>121</v>
      </c>
      <c r="C17" s="4" t="n">
        <f aca="false">-C6*Assumptions!C46/100</f>
        <v>-4948.7762016</v>
      </c>
      <c r="D17" s="4" t="n">
        <f aca="false">-D6*Assumptions!D46/100</f>
        <v>-5443.65382176</v>
      </c>
      <c r="E17" s="4" t="n">
        <f aca="false">-E6*Assumptions!E46/100</f>
        <v>-5879.1461275008</v>
      </c>
      <c r="F17" s="4" t="n">
        <f aca="false">-F6*Assumptions!F46/100</f>
        <v>-6290.68635642586</v>
      </c>
      <c r="G17" s="4" t="n">
        <f aca="false">-G6*Assumptions!G46/100</f>
        <v>-6668.12753781141</v>
      </c>
      <c r="H17" s="4" t="n">
        <f aca="false">-H6*Assumptions!H46/100</f>
        <v>-6789.36622031707</v>
      </c>
      <c r="I17" s="4" t="n">
        <f aca="false">-I6*Assumptions!I46/100</f>
        <v>-7060.94086912976</v>
      </c>
      <c r="J17" s="4" t="n">
        <f aca="false">-J6*Assumptions!J46/100</f>
        <v>-7308.0737995493</v>
      </c>
      <c r="K17" s="4" t="n">
        <f aca="false">-K6*Assumptions!K46/100</f>
        <v>-7527.31601353578</v>
      </c>
      <c r="L17" s="4" t="n">
        <f aca="false">-L6*Assumptions!L46/100</f>
        <v>-7753.13549394185</v>
      </c>
    </row>
    <row r="18" customFormat="false" ht="15" hidden="false" customHeight="false" outlineLevel="0" collapsed="false">
      <c r="A18" s="0" t="s">
        <v>122</v>
      </c>
      <c r="C18" s="4" t="n">
        <f aca="false">(C6-B6)*Assumptions!$B$51/100</f>
        <v>-1928.094624</v>
      </c>
      <c r="D18" s="4" t="n">
        <f aca="false">(D6-C6)*Assumptions!$B$51/100</f>
        <v>-1799.5549824</v>
      </c>
      <c r="E18" s="4" t="n">
        <f aca="false">(E6-D6)*Assumptions!$B$51/100</f>
        <v>-1583.608384512</v>
      </c>
      <c r="F18" s="4" t="n">
        <f aca="false">(F6-E6)*Assumptions!$B$51/100</f>
        <v>-1496.50992336384</v>
      </c>
      <c r="G18" s="4" t="n">
        <f aca="false">(G6-F6)*Assumptions!$B$51/100</f>
        <v>-1372.51338685655</v>
      </c>
      <c r="H18" s="4" t="n">
        <f aca="false">(H6-G6)*Assumptions!$B$51/100</f>
        <v>-1212.38682505662</v>
      </c>
      <c r="I18" s="4" t="n">
        <f aca="false">(I6-H6)*Assumptions!$B$51/100</f>
        <v>-1018.40493304756</v>
      </c>
      <c r="J18" s="4" t="n">
        <f aca="false">(J6-I6)*Assumptions!$B$51/100</f>
        <v>-926.748489073279</v>
      </c>
      <c r="K18" s="4" t="n">
        <f aca="false">(K6-J6)*Assumptions!$B$51/100</f>
        <v>-822.158302449295</v>
      </c>
      <c r="L18" s="4" t="n">
        <f aca="false">(L6-K6)*Assumptions!$B$51/100</f>
        <v>-846.823051522777</v>
      </c>
    </row>
    <row r="19" customFormat="false" ht="15" hidden="false" customHeight="false" outlineLevel="0" collapsed="false">
      <c r="A19" s="0" t="s">
        <v>123</v>
      </c>
      <c r="C19" s="0" t="n">
        <f aca="false">C15+C16+C17+C18</f>
        <v>2069.916695232</v>
      </c>
      <c r="D19" s="0" t="n">
        <f aca="false">D15+D16+D17+D18</f>
        <v>4004.94710406</v>
      </c>
      <c r="E19" s="0" t="n">
        <f aca="false">E15+E16+E17+E18</f>
        <v>6197.35243726368</v>
      </c>
      <c r="F19" s="0" t="n">
        <f aca="false">F15+F16+F17+F18</f>
        <v>8355.08616451763</v>
      </c>
      <c r="G19" s="0" t="n">
        <f aca="false">G15+G16+G17+G18</f>
        <v>10145.1614511813</v>
      </c>
      <c r="H19" s="0" t="n">
        <f aca="false">H15+H16+H17+H18</f>
        <v>11979.1395733251</v>
      </c>
      <c r="I19" s="0" t="n">
        <f aca="false">I15+I16+I17+I18</f>
        <v>12700.7825212694</v>
      </c>
      <c r="J19" s="0" t="n">
        <f aca="false">J15+J16+J17+J18</f>
        <v>13272.6105261448</v>
      </c>
      <c r="K19" s="0" t="n">
        <f aca="false">K15+K16+K17+K18</f>
        <v>13803.1814832253</v>
      </c>
      <c r="L19" s="0" t="n">
        <f aca="false">L15+L16+L17+L18</f>
        <v>14217.2769277221</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1899.00614241468</v>
      </c>
      <c r="D21" s="0" t="n">
        <f aca="false">D19*D20</f>
        <v>3370.88385157815</v>
      </c>
      <c r="E21" s="0" t="n">
        <f aca="false">E19*E20</f>
        <v>4785.49317217119</v>
      </c>
      <c r="F21" s="0" t="n">
        <f aca="false">F19*F20</f>
        <v>5918.9536795663</v>
      </c>
      <c r="G21" s="0" t="n">
        <f aca="false">G19*G20</f>
        <v>6593.65884618682</v>
      </c>
      <c r="H21" s="0" t="n">
        <f aca="false">H19*H20</f>
        <v>7142.76953169957</v>
      </c>
      <c r="I21" s="0" t="n">
        <f aca="false">I19*I20</f>
        <v>6947.76297544181</v>
      </c>
      <c r="J21" s="0" t="n">
        <f aca="false">J19*J20</f>
        <v>6661.0756663019</v>
      </c>
      <c r="K21" s="0" t="n">
        <f aca="false">K19*K20</f>
        <v>6355.36820058194</v>
      </c>
      <c r="L21" s="0" t="n">
        <f aca="false">L19*L20</f>
        <v>6005.53141889853</v>
      </c>
    </row>
    <row r="23" customFormat="false" ht="15" hidden="false" customHeight="false" outlineLevel="0" collapsed="false">
      <c r="A23" s="0" t="s">
        <v>101</v>
      </c>
      <c r="C23" s="4" t="n">
        <f aca="false">Assumptions!C44</f>
        <v>0.45</v>
      </c>
      <c r="D23" s="4" t="n">
        <f aca="false">Assumptions!D44</f>
        <v>0.45</v>
      </c>
      <c r="E23" s="4" t="n">
        <f aca="false">Assumptions!E44</f>
        <v>0.45</v>
      </c>
      <c r="F23" s="4" t="n">
        <f aca="false">Assumptions!F44</f>
        <v>0.45</v>
      </c>
      <c r="G23" s="4" t="n">
        <f aca="false">Assumptions!G44</f>
        <v>0.45</v>
      </c>
      <c r="H23" s="4" t="n">
        <f aca="false">Assumptions!H44</f>
        <v>0.45</v>
      </c>
      <c r="I23" s="4" t="n">
        <f aca="false">Assumptions!I44</f>
        <v>0.45</v>
      </c>
      <c r="J23" s="4" t="n">
        <f aca="false">Assumptions!J44</f>
        <v>0.45</v>
      </c>
      <c r="K23" s="4" t="n">
        <f aca="false">Assumptions!K44</f>
        <v>0.45</v>
      </c>
      <c r="L23" s="4" t="n">
        <f aca="false">Assumptions!L44</f>
        <v>0.45</v>
      </c>
    </row>
    <row r="24" customFormat="false" ht="15" hidden="false" customHeight="false" outlineLevel="0" collapsed="false">
      <c r="A24" s="0" t="s">
        <v>126</v>
      </c>
      <c r="C24" s="0" t="n">
        <f aca="false">-C6*C23/100</f>
        <v>-674.8331184</v>
      </c>
      <c r="D24" s="0" t="n">
        <f aca="false">-D6*D23/100</f>
        <v>-742.31643024</v>
      </c>
      <c r="E24" s="0" t="n">
        <f aca="false">-E6*E23/100</f>
        <v>-801.7017446592</v>
      </c>
      <c r="F24" s="0" t="n">
        <f aca="false">-F6*F23/100</f>
        <v>-857.820866785344</v>
      </c>
      <c r="G24" s="0" t="n">
        <f aca="false">-G6*G23/100</f>
        <v>-909.290118792465</v>
      </c>
      <c r="H24" s="0" t="n">
        <f aca="false">-H6*H23/100</f>
        <v>-954.754624732088</v>
      </c>
      <c r="I24" s="0" t="n">
        <f aca="false">-I6*I23/100</f>
        <v>-992.944809721372</v>
      </c>
      <c r="J24" s="0" t="n">
        <f aca="false">-J6*J23/100</f>
        <v>-1027.69787806162</v>
      </c>
      <c r="K24" s="0" t="n">
        <f aca="false">-K6*K23/100</f>
        <v>-1058.52881440347</v>
      </c>
      <c r="L24" s="0" t="n">
        <f aca="false">-L6*L23/100</f>
        <v>-1090.28467883557</v>
      </c>
    </row>
    <row r="26" customFormat="false" ht="15" hidden="false" customHeight="false" outlineLevel="0" collapsed="false">
      <c r="A26" s="2" t="s">
        <v>127</v>
      </c>
    </row>
    <row r="27" customFormat="false" ht="15" hidden="false" customHeight="false" outlineLevel="0" collapsed="false">
      <c r="A27" s="0" t="s">
        <v>105</v>
      </c>
      <c r="B27" s="4" t="n">
        <f aca="false">Assumptions!$B$48</f>
        <v>9</v>
      </c>
    </row>
    <row r="28" customFormat="false" ht="15" hidden="false" customHeight="false" outlineLevel="0" collapsed="false">
      <c r="A28" s="0" t="s">
        <v>106</v>
      </c>
      <c r="B28" s="4" t="n">
        <f aca="false">Assumptions!$B$49</f>
        <v>2.5</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55680.5034848409</v>
      </c>
    </row>
    <row r="31" customFormat="false" ht="15" hidden="false" customHeight="false" outlineLevel="0" collapsed="false">
      <c r="A31" s="0" t="s">
        <v>129</v>
      </c>
      <c r="B31" s="0" t="n">
        <f aca="false">L19</f>
        <v>14217.2769277221</v>
      </c>
    </row>
    <row r="32" customFormat="false" ht="15" hidden="false" customHeight="false" outlineLevel="0" collapsed="false">
      <c r="A32" s="0" t="s">
        <v>130</v>
      </c>
      <c r="B32" s="0" t="n">
        <f aca="false">IF(B27&gt;B28,B31*(1+B28/100)/((B27-B28)/100),B31*B29)</f>
        <v>224195.520783309</v>
      </c>
    </row>
    <row r="33" customFormat="false" ht="15" hidden="false" customHeight="false" outlineLevel="0" collapsed="false">
      <c r="A33" s="0" t="s">
        <v>131</v>
      </c>
      <c r="B33" s="0" t="n">
        <f aca="false">B31*B29</f>
        <v>170607.323132665</v>
      </c>
    </row>
    <row r="34" customFormat="false" ht="15" hidden="false" customHeight="false" outlineLevel="0" collapsed="false">
      <c r="A34" s="0" t="s">
        <v>132</v>
      </c>
      <c r="B34" s="0" t="n">
        <f aca="false">MAX(0,MIN(B32,B33))</f>
        <v>170607.323132665</v>
      </c>
    </row>
    <row r="35" customFormat="false" ht="15" hidden="false" customHeight="false" outlineLevel="0" collapsed="false">
      <c r="A35" s="0" t="s">
        <v>133</v>
      </c>
      <c r="B35" s="0" t="n">
        <f aca="false">B34/(1+B27/100)^L4</f>
        <v>72066.3770267824</v>
      </c>
    </row>
    <row r="36" customFormat="false" ht="15" hidden="false" customHeight="false" outlineLevel="0" collapsed="false">
      <c r="A36" s="0" t="s">
        <v>134</v>
      </c>
      <c r="B36" s="0" t="n">
        <f aca="false">B30+B35</f>
        <v>127746.880511623</v>
      </c>
    </row>
    <row r="37" customFormat="false" ht="15" hidden="false" customHeight="false" outlineLevel="0" collapsed="false">
      <c r="A37" s="0" t="s">
        <v>135</v>
      </c>
      <c r="B37" s="0" t="n">
        <f aca="false">B36+Assumptions!$B$5-Assumptions!$B$4</f>
        <v>145797.080511623</v>
      </c>
    </row>
    <row r="38" customFormat="false" ht="15" hidden="false" customHeight="false" outlineLevel="0" collapsed="false">
      <c r="A38" s="0" t="s">
        <v>136</v>
      </c>
      <c r="B38" s="0" t="n">
        <f aca="false">B37/Assumptions!$B$3*Assumptions!$B$10</f>
        <v>35.7243666175064</v>
      </c>
    </row>
    <row r="39" customFormat="false" ht="15" hidden="false" customHeight="false" outlineLevel="0" collapsed="false">
      <c r="A39" s="0" t="s">
        <v>137</v>
      </c>
      <c r="B39" s="4" t="n">
        <f aca="false">B38/Assumptions!$B$2-1</f>
        <v>0.720826908357728</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35.7243666175064</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116581.670807321</v>
      </c>
    </row>
    <row r="47" customFormat="false" ht="15" hidden="false" customHeight="false" outlineLevel="0" collapsed="false">
      <c r="A47" s="0" t="s">
        <v>142</v>
      </c>
      <c r="B47" s="0" t="n">
        <f aca="false">(SUMPRODUCT(C19:L19/(1+B45/100)^C4:L4)+B46/(1+B45/100)^L4+Assumptions!$B$5-Assumptions!$B$4)/Assumptions!$B$3*Assumptions!$B$10</f>
        <v>21.3963251803863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10.36521015735</v>
      </c>
      <c r="C4" s="0" t="n">
        <f aca="false">B4/Assumptions!$B$2-1</f>
        <v>-0.500712420166184</v>
      </c>
      <c r="D4" s="4" t="n">
        <f aca="false">Assumptions!$B$24</f>
        <v>0.3</v>
      </c>
      <c r="E4" s="4" t="n">
        <f aca="false">DCF_Bear!$B$43</f>
        <v>10.36521015735</v>
      </c>
      <c r="F4" s="4" t="n">
        <f aca="false">DCF_Bear!$B$47</f>
        <v>8.0634687102766</v>
      </c>
    </row>
    <row r="5" customFormat="false" ht="15" hidden="false" customHeight="false" outlineLevel="0" collapsed="false">
      <c r="A5" s="0" t="s">
        <v>151</v>
      </c>
      <c r="B5" s="4" t="n">
        <f aca="false">DCF_Base!$B$38</f>
        <v>22.8730722952579</v>
      </c>
      <c r="C5" s="0" t="n">
        <f aca="false">B5/Assumptions!$B$2-1</f>
        <v>0.101785756033615</v>
      </c>
      <c r="D5" s="4" t="n">
        <f aca="false">Assumptions!$B$38</f>
        <v>0.5</v>
      </c>
      <c r="E5" s="4" t="n">
        <f aca="false">DCF_Base!$B$43</f>
        <v>22.8730722952579</v>
      </c>
      <c r="F5" s="4" t="n">
        <f aca="false">DCF_Base!$B$47</f>
        <v>14.5699267919284</v>
      </c>
    </row>
    <row r="6" customFormat="false" ht="15" hidden="false" customHeight="false" outlineLevel="0" collapsed="false">
      <c r="A6" s="0" t="s">
        <v>152</v>
      </c>
      <c r="B6" s="4" t="n">
        <f aca="false">DCF_Bull!$B$38</f>
        <v>35.7243666175064</v>
      </c>
      <c r="C6" s="0" t="n">
        <f aca="false">B6/Assumptions!$B$2-1</f>
        <v>0.720826908357728</v>
      </c>
      <c r="D6" s="4" t="n">
        <f aca="false">Assumptions!$B$52</f>
        <v>0.2</v>
      </c>
      <c r="E6" s="4" t="n">
        <f aca="false">DCF_Bull!$B$43</f>
        <v>35.7243666175064</v>
      </c>
      <c r="F6" s="4" t="n">
        <f aca="false">DCF_Bull!$B$47</f>
        <v>21.3963251803863</v>
      </c>
    </row>
    <row r="8" customFormat="false" ht="15" hidden="false" customHeight="false" outlineLevel="0" collapsed="false">
      <c r="A8" s="0" t="s">
        <v>153</v>
      </c>
      <c r="B8" s="0" t="n">
        <f aca="false">SUMPRODUCT(B4:B6,D4:D6)</f>
        <v>21.6909725183352</v>
      </c>
    </row>
    <row r="9" customFormat="false" ht="15" hidden="false" customHeight="false" outlineLevel="0" collapsed="false">
      <c r="A9" s="0" t="s">
        <v>154</v>
      </c>
      <c r="B9" s="0" t="n">
        <f aca="false">SUMPRODUCT(E4:E6,D4:D6)</f>
        <v>21.6909725183352</v>
      </c>
    </row>
    <row r="10" customFormat="false" ht="15" hidden="false" customHeight="false" outlineLevel="0" collapsed="false">
      <c r="A10" s="0" t="s">
        <v>155</v>
      </c>
      <c r="B10" s="0" t="n">
        <f aca="false">1-Assumptions!$B$2/B8</f>
        <v>0.0429198145702445</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13.9832690451244</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22.8730722952579</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21.5491181781187</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20.3404247595687</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18.4555725162981</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14.5699267919284</v>
      </c>
      <c r="C19" s="3" t="n">
        <v>15</v>
      </c>
    </row>
    <row r="21" customFormat="false" ht="15" hidden="false" customHeight="false" outlineLevel="0" collapsed="false">
      <c r="A21" s="2" t="s">
        <v>165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25.9188652502194</v>
      </c>
      <c r="C23" s="0" t="n">
        <f aca="false">(SUMPRODUCT(DCF_Base!$C$19:$L$19/(1+$A$23/100)^DCF_Base!$C$4:$L$4)+MAX(0,MIN(IF($A$23&gt;$C$22,DCF_Base!$L$19*(1+$C$22/100)/(($A$23-$C$22)/100),DCF_Base!$L$19*DCF_Base!$B$29),DCF_Base!$L$19*DCF_Base!$B$29))/(1+$A$23/100)^DCF_Base!$L$4+Assumptions!$B$5-Assumptions!$B$4)/Assumptions!$B$3*Assumptions!$B$10</f>
        <v>25.9188652502194</v>
      </c>
      <c r="D23" s="0" t="n">
        <f aca="false">(SUMPRODUCT(DCF_Base!$C$19:$L$19/(1+$A$23/100)^DCF_Base!$C$4:$L$4)+MAX(0,MIN(IF($A$23&gt;$D$22,DCF_Base!$L$19*(1+$D$22/100)/(($A$23-$D$22)/100),DCF_Base!$L$19*DCF_Base!$B$29),DCF_Base!$L$19*DCF_Base!$B$29))/(1+$A$23/100)^DCF_Base!$L$4+Assumptions!$B$5-Assumptions!$B$4)/Assumptions!$B$3*Assumptions!$B$10</f>
        <v>25.9188652502194</v>
      </c>
      <c r="E23" s="0" t="n">
        <f aca="false">(SUMPRODUCT(DCF_Base!$C$19:$L$19/(1+$A$23/100)^DCF_Base!$C$4:$L$4)+MAX(0,MIN(IF($A$23&gt;$E$22,DCF_Base!$L$19*(1+$E$22/100)/(($A$23-$E$22)/100),DCF_Base!$L$19*DCF_Base!$B$29),DCF_Base!$L$19*DCF_Base!$B$29))/(1+$A$23/100)^DCF_Base!$L$4+Assumptions!$B$5-Assumptions!$B$4)/Assumptions!$B$3*Assumptions!$B$10</f>
        <v>25.9188652502194</v>
      </c>
      <c r="F23" s="0" t="n">
        <f aca="false">(SUMPRODUCT(DCF_Base!$C$19:$L$19/(1+$A$23/100)^DCF_Base!$C$4:$L$4)+MAX(0,MIN(IF($A$23&gt;$F$22,DCF_Base!$L$19*(1+$F$22/100)/(($A$23-$F$22)/100),DCF_Base!$L$19*DCF_Base!$B$29),DCF_Base!$L$19*DCF_Base!$B$29))/(1+$A$23/100)^DCF_Base!$L$4+Assumptions!$B$5-Assumptions!$B$4)/Assumptions!$B$3*Assumptions!$B$10</f>
        <v>25.9188652502194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24.3249260794842</v>
      </c>
      <c r="C24" s="0" t="n">
        <f aca="false">(SUMPRODUCT(DCF_Base!$C$19:$L$19/(1+$A$24/100)^DCF_Base!$C$4:$L$4)+MAX(0,MIN(IF($A$24&gt;$C$22,DCF_Base!$L$19*(1+$C$22/100)/(($A$24-$C$22)/100),DCF_Base!$L$19*DCF_Base!$B$29),DCF_Base!$L$19*DCF_Base!$B$29))/(1+$A$24/100)^DCF_Base!$L$4+Assumptions!$B$5-Assumptions!$B$4)/Assumptions!$B$3*Assumptions!$B$10</f>
        <v>24.3249260794842</v>
      </c>
      <c r="D24" s="0" t="n">
        <f aca="false">(SUMPRODUCT(DCF_Base!$C$19:$L$19/(1+$A$24/100)^DCF_Base!$C$4:$L$4)+MAX(0,MIN(IF($A$24&gt;$D$22,DCF_Base!$L$19*(1+$D$22/100)/(($A$24-$D$22)/100),DCF_Base!$L$19*DCF_Base!$B$29),DCF_Base!$L$19*DCF_Base!$B$29))/(1+$A$24/100)^DCF_Base!$L$4+Assumptions!$B$5-Assumptions!$B$4)/Assumptions!$B$3*Assumptions!$B$10</f>
        <v>24.3249260794842</v>
      </c>
      <c r="E24" s="0" t="n">
        <f aca="false">(SUMPRODUCT(DCF_Base!$C$19:$L$19/(1+$A$24/100)^DCF_Base!$C$4:$L$4)+MAX(0,MIN(IF($A$24&gt;$E$22,DCF_Base!$L$19*(1+$E$22/100)/(($A$24-$E$22)/100),DCF_Base!$L$19*DCF_Base!$B$29),DCF_Base!$L$19*DCF_Base!$B$29))/(1+$A$24/100)^DCF_Base!$L$4+Assumptions!$B$5-Assumptions!$B$4)/Assumptions!$B$3*Assumptions!$B$10</f>
        <v>24.3249260794842</v>
      </c>
      <c r="F24" s="0" t="n">
        <f aca="false">(SUMPRODUCT(DCF_Base!$C$19:$L$19/(1+$A$24/100)^DCF_Base!$C$4:$L$4)+MAX(0,MIN(IF($A$24&gt;$F$22,DCF_Base!$L$19*(1+$F$22/100)/(($A$24-$F$22)/100),DCF_Base!$L$19*DCF_Base!$B$29),DCF_Base!$L$19*DCF_Base!$B$29))/(1+$A$24/100)^DCF_Base!$L$4+Assumptions!$B$5-Assumptions!$B$4)/Assumptions!$B$3*Assumptions!$B$10</f>
        <v>24.3249260794842</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22.8730722952579</v>
      </c>
      <c r="C25" s="0" t="n">
        <f aca="false">(SUMPRODUCT(DCF_Base!$C$19:$L$19/(1+$A$25/100)^DCF_Base!$C$4:$L$4)+MAX(0,MIN(IF($A$25&gt;$C$22,DCF_Base!$L$19*(1+$C$22/100)/(($A$25-$C$22)/100),DCF_Base!$L$19*DCF_Base!$B$29),DCF_Base!$L$19*DCF_Base!$B$29))/(1+$A$25/100)^DCF_Base!$L$4+Assumptions!$B$5-Assumptions!$B$4)/Assumptions!$B$3*Assumptions!$B$10</f>
        <v>22.8730722952579</v>
      </c>
      <c r="D25" s="0" t="n">
        <f aca="false">(SUMPRODUCT(DCF_Base!$C$19:$L$19/(1+$A$25/100)^DCF_Base!$C$4:$L$4)+MAX(0,MIN(IF($A$25&gt;$D$22,DCF_Base!$L$19*(1+$D$22/100)/(($A$25-$D$22)/100),DCF_Base!$L$19*DCF_Base!$B$29),DCF_Base!$L$19*DCF_Base!$B$29))/(1+$A$25/100)^DCF_Base!$L$4+Assumptions!$B$5-Assumptions!$B$4)/Assumptions!$B$3*Assumptions!$B$10</f>
        <v>22.8730722952579</v>
      </c>
      <c r="E25" s="0" t="n">
        <f aca="false">(SUMPRODUCT(DCF_Base!$C$19:$L$19/(1+$A$25/100)^DCF_Base!$C$4:$L$4)+MAX(0,MIN(IF($A$25&gt;$E$22,DCF_Base!$L$19*(1+$E$22/100)/(($A$25-$E$22)/100),DCF_Base!$L$19*DCF_Base!$B$29),DCF_Base!$L$19*DCF_Base!$B$29))/(1+$A$25/100)^DCF_Base!$L$4+Assumptions!$B$5-Assumptions!$B$4)/Assumptions!$B$3*Assumptions!$B$10</f>
        <v>22.8730722952579</v>
      </c>
      <c r="F25" s="0" t="n">
        <f aca="false">(SUMPRODUCT(DCF_Base!$C$19:$L$19/(1+$A$25/100)^DCF_Base!$C$4:$L$4)+MAX(0,MIN(IF($A$25&gt;$F$22,DCF_Base!$L$19*(1+$F$22/100)/(($A$25-$F$22)/100),DCF_Base!$L$19*DCF_Base!$B$29),DCF_Base!$L$19*DCF_Base!$B$29))/(1+$A$25/100)^DCF_Base!$L$4+Assumptions!$B$5-Assumptions!$B$4)/Assumptions!$B$3*Assumptions!$B$10</f>
        <v>22.8730722952579</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21.5037234038365</v>
      </c>
      <c r="C26" s="0" t="n">
        <f aca="false">(SUMPRODUCT(DCF_Base!$C$19:$L$19/(1+$A$26/100)^DCF_Base!$C$4:$L$4)+MAX(0,MIN(IF($A$26&gt;$C$22,DCF_Base!$L$19*(1+$C$22/100)/(($A$26-$C$22)/100),DCF_Base!$L$19*DCF_Base!$B$29),DCF_Base!$L$19*DCF_Base!$B$29))/(1+$A$26/100)^DCF_Base!$L$4+Assumptions!$B$5-Assumptions!$B$4)/Assumptions!$B$3*Assumptions!$B$10</f>
        <v>21.5491181781187</v>
      </c>
      <c r="D26" s="0" t="n">
        <f aca="false">(SUMPRODUCT(DCF_Base!$C$19:$L$19/(1+$A$26/100)^DCF_Base!$C$4:$L$4)+MAX(0,MIN(IF($A$26&gt;$D$22,DCF_Base!$L$19*(1+$D$22/100)/(($A$26-$D$22)/100),DCF_Base!$L$19*DCF_Base!$B$29),DCF_Base!$L$19*DCF_Base!$B$29))/(1+$A$26/100)^DCF_Base!$L$4+Assumptions!$B$5-Assumptions!$B$4)/Assumptions!$B$3*Assumptions!$B$10</f>
        <v>21.5491181781187</v>
      </c>
      <c r="E26" s="0" t="n">
        <f aca="false">(SUMPRODUCT(DCF_Base!$C$19:$L$19/(1+$A$26/100)^DCF_Base!$C$4:$L$4)+MAX(0,MIN(IF($A$26&gt;$E$22,DCF_Base!$L$19*(1+$E$22/100)/(($A$26-$E$22)/100),DCF_Base!$L$19*DCF_Base!$B$29),DCF_Base!$L$19*DCF_Base!$B$29))/(1+$A$26/100)^DCF_Base!$L$4+Assumptions!$B$5-Assumptions!$B$4)/Assumptions!$B$3*Assumptions!$B$10</f>
        <v>21.5491181781187</v>
      </c>
      <c r="F26" s="0" t="n">
        <f aca="false">(SUMPRODUCT(DCF_Base!$C$19:$L$19/(1+$A$26/100)^DCF_Base!$C$4:$L$4)+MAX(0,MIN(IF($A$26&gt;$F$22,DCF_Base!$L$19*(1+$F$22/100)/(($A$26-$F$22)/100),DCF_Base!$L$19*DCF_Base!$B$29),DCF_Base!$L$19*DCF_Base!$B$29))/(1+$A$26/100)^DCF_Base!$L$4+Assumptions!$B$5-Assumptions!$B$4)/Assumptions!$B$3*Assumptions!$B$10</f>
        <v>21.5491181781187</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19.4128727860364</v>
      </c>
      <c r="C27" s="0" t="n">
        <f aca="false">(SUMPRODUCT(DCF_Base!$C$19:$L$19/(1+$A$27/100)^DCF_Base!$C$4:$L$4)+MAX(0,MIN(IF($A$27&gt;$C$22,DCF_Base!$L$19*(1+$C$22/100)/(($A$27-$C$22)/100),DCF_Base!$L$19*DCF_Base!$B$29),DCF_Base!$L$19*DCF_Base!$B$29))/(1+$A$27/100)^DCF_Base!$L$4+Assumptions!$B$5-Assumptions!$B$4)/Assumptions!$B$3*Assumptions!$B$10</f>
        <v>19.870465092979</v>
      </c>
      <c r="D27" s="0" t="n">
        <f aca="false">(SUMPRODUCT(DCF_Base!$C$19:$L$19/(1+$A$27/100)^DCF_Base!$C$4:$L$4)+MAX(0,MIN(IF($A$27&gt;$D$22,DCF_Base!$L$19*(1+$D$22/100)/(($A$27-$D$22)/100),DCF_Base!$L$19*DCF_Base!$B$29),DCF_Base!$L$19*DCF_Base!$B$29))/(1+$A$27/100)^DCF_Base!$L$4+Assumptions!$B$5-Assumptions!$B$4)/Assumptions!$B$3*Assumptions!$B$10</f>
        <v>20.3404247595687</v>
      </c>
      <c r="E27" s="0" t="n">
        <f aca="false">(SUMPRODUCT(DCF_Base!$C$19:$L$19/(1+$A$27/100)^DCF_Base!$C$4:$L$4)+MAX(0,MIN(IF($A$27&gt;$E$22,DCF_Base!$L$19*(1+$E$22/100)/(($A$27-$E$22)/100),DCF_Base!$L$19*DCF_Base!$B$29),DCF_Base!$L$19*DCF_Base!$B$29))/(1+$A$27/100)^DCF_Base!$L$4+Assumptions!$B$5-Assumptions!$B$4)/Assumptions!$B$3*Assumptions!$B$10</f>
        <v>20.3404247595687</v>
      </c>
      <c r="F27" s="0" t="n">
        <f aca="false">(SUMPRODUCT(DCF_Base!$C$19:$L$19/(1+$A$27/100)^DCF_Base!$C$4:$L$4)+MAX(0,MIN(IF($A$27&gt;$F$22,DCF_Base!$L$19*(1+$F$22/100)/(($A$27-$F$22)/100),DCF_Base!$L$19*DCF_Base!$B$29),DCF_Base!$L$19*DCF_Base!$B$29))/(1+$A$27/100)^DCF_Base!$L$4+Assumptions!$B$5-Assumptions!$B$4)/Assumptions!$B$3*Assumptions!$B$10</f>
        <v>20.3404247595687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2026-10-11T07:19:01Z</dcterms:created>
  <dc:creator>openpyxl</dc:creator>
  <dc:description/>
  <dc:language>en-NZ</dc:language>
  <cp:lastModifiedBy/>
  <dcterms:modified xsi:type="dcterms:W3CDTF">2026-10-11T07:19:01Z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