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<sst xmlns="http://schemas.openxmlformats.org/spreadsheetml/2006/main" count="378" uniqueCount="172">
  <si>
    <t xml:space="preserve">Ticker</t>
  </si>
  <si>
    <t xml:space="preserve">ICE</t>
  </si>
  <si>
    <t xml:space="preserve">Company</t>
  </si>
  <si>
    <t xml:space="preserve">Intercontinental Exchange,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</si>
  <si>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</si>
  <si>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</si>
  <si>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</si>
  <si>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</si>
  <si>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2026-09-28T20:00:03Z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</si>
  <si>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</si>
  <si>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</si>
  <si>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</si>
  <si>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</si>
  <si>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</si>
  <si>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</si>
  <si>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</si>
  <si>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</si>
  <si>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</si>
  <si>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</si>
  <si>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</si>
  <si>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</si>
  <si>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2026-09-28T21:46:37Z</t>
  </si>
  <si>
    <t xml:space="preserve">Drivers file</t>
  </si>
  <si>
    <t xml:space="preserve">ICE_Drivers.json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</si>
  <si>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</si>
  <si>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</si>
  <si>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</si>
  <si>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ICE as a stream of unlevered owner free cash flow, built from components (gross revenue -&gt; GAAP EBITDA -&gt; SBC incl. withholding -&gt; D&amp;A -&gt; 25% cash tax -&gt; capex incl. capitalised software) over a 10-year horizon, discounted at an 8% USD WACC, with net debt of $18.8bn deducted and a flat 568m diluted share count. SBC is charged once, in the flows. The record FY2026 volume year is the base, so year-1 growth is deliberately below trend and the bear case starts at zero growth. MarketAxess is treated as value-neutral and left outside the model until close.
key_risks_to_valuation: FY0 embeds a record derivatives-volume year; if transaction revenue reverts harder than the 4%/0% year-1 paths assume, base and bear values fall together; Terminal value is ~60% of EV: each 50bp on WACC or terminal growth moves value ~8-10%; Net debt rises by ~$5.7bn on MarketAxess close (H1 2027); if synergies or MarketAxess growth disappoint, the unmodelled deal becomes value-destructive rather than neutral; Gross-revenue basis: a rise in pass-through Section 31 fees inflates revenue growth without adding EBITDA, so margin on this basis can drift down for non-economic reasons; Prediction-market/event-contract regulation could reprice the derivatives-exchange franchise faster than a bear margin path captures; The 25% cash tax rate rests on FY2025 cash taxes; a change in the deductibility of acquisition amortisation or in US corporate tax policy moves NOPAT directly</t>
  </si>
  <si>
    <t xml:space="preserve">Data sources</t>
  </si>
  <si>
    <t xml:space="preserve">price: Yahoo Finance chart API at inputs.price_as_of; 52-week range 121.79-176.05
financials: SEC XBRL companyfacts (CIK 1571949) via ICE_Metrics.csv / metrics_normalized and kpis (buybacks, equity_award_taxes, ebitda_da, cash_taxes); TTM constructed as FY2025 + H1-2026 - H1-2025
qualitative: ICE_Analysis.json (2026-09-29): segment mix, FY2026 guidance raised on Q2-26 call, MarketAxess deal terms and financing, FTC Black Knight consent order, prediction-market competitive overhang</t>
  </si>
  <si>
    <t xml:space="preserve">Scenario narrative: bear</t>
  </si>
  <si>
    <t xml:space="preserve">The volume boom unwinds into a calm-market regime, prediction-market entrants erode derivatives economics, the mortgage recovery stalls on higher rates, and leverage (~3x post-MarketAxess) plus the FTC prior-approval order leave no room for offsetting M&amp;A. Growth 0-3%, margin compresses to 49.5%, 16x cap, terminal growth 2%.</t>
  </si>
  <si>
    <t xml:space="preserve">Scenario narrative: base</t>
  </si>
  <si>
    <t xml:space="preserve">ICE compounds as a diversified financial-infrastructure operator: ~60% recurring revenue (data, connectivity, listings, mortgage SaaS) growing 6-8%, transaction revenue mean-reverting from the record 2026 derivatives year and then growing with the cycle, and Mortgage Technology recovering slowly as affordability improves. Gross-revenue growth of 4% in year 1 rising to 5.5% and fading to 3%; EBITDA margin (gross basis) 52% -&gt; 54% on Black Knight synergies and data operating leverage; acquisition amortisation runs off; cash tax 25%; SBC ~2.7% of revenue; 20x terminal cap not binding (Gordon at 2.5% binds).</t>
  </si>
  <si>
    <t xml:space="preserve">Scenario narrative: bull</t>
  </si>
  <si>
    <t xml:space="preserve">Volatility stays high across rates and energy, the US mortgage cycle turns decisively (origination tech +10%, closing solutions +20% already in H1-26), FIDS recurring revenue sustains 8%+, and fixed-income electronification (MarketAxess) adds a growth leg. Growth 6-8% for five years, margin to 57%,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</si>
  <si>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</si>
  <si>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</si>
  <si>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</si>
  <si>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</si>
  <si>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</si>
  <si>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</si>
  <si>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</si>
  <si>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</si>
  <si>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</si>
  <si>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</si>
  <si>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</si>
  <si>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</si>
  <si>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</si>
  <si>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</si>
  <si>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</si>
  <si>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</si>
  <si>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</si>
  <si>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</si>
  <si>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</si>
  <si>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</si>
  <si>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</si>
  <si>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</si>
  <si>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</si>
  <si>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</si>
  <si>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</si>
  <si>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</si>
  <si>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</si>
  <si>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</si>
  <si>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</si>
  <si>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</si>
  <si>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</si>
  <si>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</si>
  <si>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</si>
  <si>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</si>
  <si>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</si>
  <si>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</si>
  <si>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</si>
  <si>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</si>
  <si>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</si>
  <si>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</si>
  <si>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</si>
  <si>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</si>
  <si>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</si>
  <si>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</si>
  <si>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</si>
  <si>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</si>
  <si>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</si>
  <si>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</si>
  <si>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</si>
  <si>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</si>
  <si>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</si>
  <si>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</si>
  <si>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 (FY2025 + H1-2026 - H1-2025)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</si>
  <si>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</si>
  <si>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</si>
  <si>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</si>
  <si>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</si>
  <si>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</si>
  <si>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</si>
  <si>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</si>
  <si>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</si>
  <si>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</si>
  <si>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</si>
  <si>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</si>
  <si>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</si>
  <si>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</si>
  <si>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</si>
  <si>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</si>
  <si>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</si>
  <si>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</si>
  <si>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</si>
  <si>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</si>
  <si>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</si>
  <si>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</si>
  <si>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</si>
  <si>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</si>
  <si>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</si>
  <si>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</si>
  <si>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</si>
  <si>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</si>
  <si>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</si>
  <si>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ICE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</si>
  <si>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</si>
  <si>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</si>
  <si>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</si>
  <si>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</si>
  <si>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</si>
  <si>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</si>
  <si>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</si>
  <si>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</si>
  <si>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</si>
  <si>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</si>
  <si>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</si>
  <si>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</si>
  <si>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</si>
  <si>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</si>
  <si>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</si>
  <si>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</si>
  <si>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</si>
  <si>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</si>
  <si>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</si>
  <si>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</si>
  <si>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</si>
  <si>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</si>
  <si>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</si>
  <si>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</si>
  <si>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</si>
  <si>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</si>
  <si>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</si>
  <si>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</si>
  <si>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</si>
  <si>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</si>
  <si>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ICE owner-FCF component DCF: base case (millions, USD)</t>
  </si>
  <si>
    <t xml:space="preserve">ICE owner-FCF component DCF: bull case (millions, USD)</t>
  </si>
  <si>
    <t xml:space="preserve">ICE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</si>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</sst>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152.91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2816</v>
      </c>
      <c r="S2" s="0" t="n">
        <v>961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1327</v>
      </c>
      <c r="F3" s="0" t="n">
        <v>793</v>
      </c>
      <c r="G3" s="0" t="n">
        <v>59.758854559156</v>
      </c>
      <c r="H3" s="0" t="n">
        <v>925</v>
      </c>
      <c r="I3" s="0" t="n">
        <v>522</v>
      </c>
      <c r="J3" s="0" t="n">
        <v>39.336850037679</v>
      </c>
      <c r="K3" s="0" t="n">
        <v>6.97</v>
      </c>
      <c r="L3" s="0" t="n">
        <v>713</v>
      </c>
      <c r="M3" s="0" t="n">
        <v>57</v>
      </c>
      <c r="N3" s="0" t="n">
        <v>656</v>
      </c>
      <c r="O3" s="0" t="n">
        <v>3162</v>
      </c>
      <c r="S3" s="0" t="n">
        <v>823</v>
      </c>
      <c r="T3" s="0" t="n">
        <v>74</v>
      </c>
      <c r="U3" s="0" t="n">
        <v>53</v>
      </c>
      <c r="V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1363</v>
      </c>
      <c r="F4" s="0" t="n">
        <v>827</v>
      </c>
      <c r="G4" s="0" t="n">
        <v>60.6749816581071</v>
      </c>
      <c r="H4" s="0" t="n">
        <v>958</v>
      </c>
      <c r="I4" s="0" t="n">
        <v>562</v>
      </c>
      <c r="J4" s="0" t="n">
        <v>41.2325752017608</v>
      </c>
      <c r="K4" s="0" t="n">
        <v>7.59</v>
      </c>
      <c r="L4" s="0" t="n">
        <v>733</v>
      </c>
      <c r="M4" s="0" t="n">
        <v>32</v>
      </c>
      <c r="N4" s="0" t="n">
        <v>701</v>
      </c>
      <c r="O4" s="0" t="n">
        <v>3677</v>
      </c>
      <c r="P4" s="0" t="n">
        <v>37215</v>
      </c>
      <c r="Q4" s="0" t="n">
        <v>33538</v>
      </c>
      <c r="R4" s="0" t="n">
        <v>1132</v>
      </c>
      <c r="S4" s="0" t="n">
        <v>961</v>
      </c>
      <c r="T4" s="0" t="n">
        <v>73</v>
      </c>
      <c r="U4" s="0" t="n">
        <v>52</v>
      </c>
      <c r="V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1730</v>
      </c>
      <c r="F5" s="0" t="n">
        <v>790</v>
      </c>
      <c r="G5" s="0" t="n">
        <v>45.6647398843931</v>
      </c>
      <c r="H5" s="0" t="n">
        <v>946</v>
      </c>
      <c r="I5" s="0" t="n">
        <v>270</v>
      </c>
      <c r="J5" s="0" t="n">
        <v>15.606936416185</v>
      </c>
      <c r="K5" s="0" t="n">
        <v>3.24</v>
      </c>
      <c r="L5" s="0" t="n">
        <v>714</v>
      </c>
      <c r="M5" s="0" t="n">
        <v>134</v>
      </c>
      <c r="N5" s="0" t="n">
        <v>580</v>
      </c>
      <c r="O5" s="0" t="n">
        <v>12381</v>
      </c>
      <c r="P5" s="0" t="n">
        <v>64422</v>
      </c>
      <c r="Q5" s="0" t="n">
        <v>51719</v>
      </c>
      <c r="R5" s="0" t="n">
        <v>5058</v>
      </c>
      <c r="S5" s="0" t="n">
        <v>961</v>
      </c>
      <c r="T5" s="0" t="n">
        <v>115</v>
      </c>
      <c r="U5" s="0" t="n">
        <v>64</v>
      </c>
      <c r="V5" s="0" t="n">
        <v>0.65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4352</v>
      </c>
      <c r="F6" s="0" t="n">
        <v>1448</v>
      </c>
      <c r="G6" s="0" t="n">
        <v>33.2720588235294</v>
      </c>
      <c r="H6" s="0" t="n">
        <v>1781</v>
      </c>
      <c r="I6" s="0" t="n">
        <v>1016</v>
      </c>
      <c r="J6" s="0" t="n">
        <v>23.3455882352941</v>
      </c>
      <c r="K6" s="0" t="n">
        <v>1.72</v>
      </c>
      <c r="L6" s="0" t="n">
        <v>1463</v>
      </c>
      <c r="M6" s="0" t="n">
        <v>172</v>
      </c>
      <c r="N6" s="0" t="n">
        <v>1291</v>
      </c>
      <c r="O6" s="0" t="n">
        <v>12392</v>
      </c>
      <c r="P6" s="0" t="n">
        <v>68254</v>
      </c>
      <c r="Q6" s="0" t="n">
        <v>55697</v>
      </c>
      <c r="R6" s="0" t="n">
        <v>4277</v>
      </c>
      <c r="S6" s="0" t="n">
        <v>1278</v>
      </c>
      <c r="T6" s="0" t="n">
        <v>573</v>
      </c>
      <c r="U6" s="0" t="n">
        <v>97</v>
      </c>
      <c r="V6" s="0" t="n">
        <v>0.52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4682</v>
      </c>
      <c r="F7" s="0" t="n">
        <v>1750</v>
      </c>
      <c r="G7" s="0" t="n">
        <v>37.3771892353695</v>
      </c>
      <c r="H7" s="0" t="n">
        <v>2124</v>
      </c>
      <c r="I7" s="0" t="n">
        <v>1295</v>
      </c>
      <c r="J7" s="0" t="n">
        <v>27.6591200341734</v>
      </c>
      <c r="K7" s="0" t="n">
        <v>2.29</v>
      </c>
      <c r="L7" s="0" t="n">
        <v>1311</v>
      </c>
      <c r="M7" s="0" t="n">
        <v>190</v>
      </c>
      <c r="N7" s="0" t="n">
        <v>1121</v>
      </c>
      <c r="O7" s="0" t="n">
        <v>14853</v>
      </c>
      <c r="P7" s="0" t="n">
        <v>77987</v>
      </c>
      <c r="Q7" s="0" t="n">
        <v>63112</v>
      </c>
      <c r="R7" s="0" t="n">
        <v>7308</v>
      </c>
      <c r="S7" s="0" t="n">
        <v>1547</v>
      </c>
      <c r="T7" s="0" t="n">
        <v>594</v>
      </c>
      <c r="U7" s="0" t="n">
        <v>111</v>
      </c>
      <c r="V7" s="0" t="n">
        <v>0.58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5958</v>
      </c>
      <c r="F8" s="0" t="n">
        <v>2172</v>
      </c>
      <c r="G8" s="0" t="n">
        <v>36.4551863041289</v>
      </c>
      <c r="H8" s="0" t="n">
        <v>2782</v>
      </c>
      <c r="I8" s="0" t="n">
        <v>1457</v>
      </c>
      <c r="J8" s="0" t="n">
        <v>24.4545149378986</v>
      </c>
      <c r="K8" s="0" t="n">
        <v>2.4</v>
      </c>
      <c r="L8" s="0" t="n">
        <v>2149</v>
      </c>
      <c r="M8" s="0" t="n">
        <v>250</v>
      </c>
      <c r="N8" s="0" t="n">
        <v>1899</v>
      </c>
      <c r="O8" s="0" t="n">
        <v>15775</v>
      </c>
      <c r="P8" s="0" t="n">
        <v>82003</v>
      </c>
      <c r="Q8" s="0" t="n">
        <v>66213</v>
      </c>
      <c r="R8" s="0" t="n">
        <v>6364</v>
      </c>
      <c r="S8" s="0" t="n">
        <v>1350</v>
      </c>
      <c r="T8" s="0" t="n">
        <v>599</v>
      </c>
      <c r="U8" s="0" t="n">
        <v>124</v>
      </c>
      <c r="V8" s="0" t="n">
        <v>0.68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5834</v>
      </c>
      <c r="F9" s="0" t="n">
        <v>2379</v>
      </c>
      <c r="G9" s="0" t="n">
        <v>40.7781967775111</v>
      </c>
      <c r="H9" s="0" t="n">
        <v>2914</v>
      </c>
      <c r="I9" s="0" t="n">
        <v>2554</v>
      </c>
      <c r="J9" s="0" t="n">
        <v>43.7778539595475</v>
      </c>
      <c r="K9" s="0" t="n">
        <v>4.29</v>
      </c>
      <c r="L9" s="0" t="n">
        <v>2085</v>
      </c>
      <c r="M9" s="0" t="n">
        <v>220</v>
      </c>
      <c r="N9" s="0" t="n">
        <v>1865</v>
      </c>
      <c r="O9" s="0" t="n">
        <v>16985</v>
      </c>
      <c r="P9" s="0" t="n">
        <v>78264</v>
      </c>
      <c r="Q9" s="0" t="n">
        <v>61279</v>
      </c>
      <c r="R9" s="0" t="n">
        <v>6100</v>
      </c>
      <c r="S9" s="0" t="n">
        <v>1568</v>
      </c>
      <c r="T9" s="0" t="n">
        <v>594</v>
      </c>
      <c r="U9" s="0" t="n">
        <v>135</v>
      </c>
      <c r="V9" s="0" t="n">
        <v>0.8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6276</v>
      </c>
      <c r="F10" s="0" t="n">
        <v>2583</v>
      </c>
      <c r="G10" s="0" t="n">
        <v>41.1567877629063</v>
      </c>
      <c r="H10" s="0" t="n">
        <v>3169</v>
      </c>
      <c r="I10" s="0" t="n">
        <v>2020</v>
      </c>
      <c r="J10" s="0" t="n">
        <v>32.1861057998725</v>
      </c>
      <c r="K10" s="0" t="n">
        <v>3.46</v>
      </c>
      <c r="L10" s="0" t="n">
        <v>2533</v>
      </c>
      <c r="M10" s="0" t="n">
        <v>134</v>
      </c>
      <c r="N10" s="0" t="n">
        <v>2399</v>
      </c>
      <c r="O10" s="0" t="n">
        <v>17231</v>
      </c>
      <c r="P10" s="0" t="n">
        <v>92791</v>
      </c>
      <c r="Q10" s="0" t="n">
        <v>75489</v>
      </c>
      <c r="R10" s="0" t="n">
        <v>7441</v>
      </c>
      <c r="S10" s="0" t="n">
        <v>724</v>
      </c>
      <c r="T10" s="0" t="n">
        <v>579</v>
      </c>
      <c r="U10" s="0" t="n">
        <v>130</v>
      </c>
      <c r="V10" s="0" t="n">
        <v>0.96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6547</v>
      </c>
      <c r="F11" s="0" t="n">
        <v>2673</v>
      </c>
      <c r="G11" s="0" t="n">
        <v>40.8278600885902</v>
      </c>
      <c r="H11" s="0" t="n">
        <v>3335</v>
      </c>
      <c r="I11" s="0" t="n">
        <v>1960</v>
      </c>
      <c r="J11" s="0" t="n">
        <v>29.9373758973576</v>
      </c>
      <c r="K11" s="0" t="n">
        <v>3.44</v>
      </c>
      <c r="L11" s="0" t="n">
        <v>2659</v>
      </c>
      <c r="M11" s="0" t="n">
        <v>153</v>
      </c>
      <c r="N11" s="0" t="n">
        <v>2506</v>
      </c>
      <c r="O11" s="0" t="n">
        <v>17286</v>
      </c>
      <c r="P11" s="0" t="n">
        <v>94493</v>
      </c>
      <c r="Q11" s="0" t="n">
        <v>77129</v>
      </c>
      <c r="R11" s="0" t="n">
        <v>7819</v>
      </c>
      <c r="S11" s="0" t="n">
        <v>841</v>
      </c>
      <c r="T11" s="0" t="n">
        <v>565</v>
      </c>
      <c r="U11" s="0" t="n">
        <v>139</v>
      </c>
      <c r="V11" s="0" t="n">
        <v>1.1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8244</v>
      </c>
      <c r="F12" s="0" t="n">
        <v>3033</v>
      </c>
      <c r="G12" s="0" t="n">
        <v>36.7903930131004</v>
      </c>
      <c r="H12" s="0" t="n">
        <v>3784</v>
      </c>
      <c r="I12" s="0" t="n">
        <v>2108</v>
      </c>
      <c r="J12" s="0" t="n">
        <v>25.5701115963125</v>
      </c>
      <c r="K12" s="0" t="n">
        <v>3.79</v>
      </c>
      <c r="L12" s="0" t="n">
        <v>2881</v>
      </c>
      <c r="M12" s="0" t="n">
        <v>207</v>
      </c>
      <c r="N12" s="0" t="n">
        <v>2674</v>
      </c>
      <c r="O12" s="0" t="n">
        <v>19534</v>
      </c>
      <c r="P12" s="0" t="n">
        <v>126200</v>
      </c>
      <c r="Q12" s="0" t="n">
        <v>106573</v>
      </c>
      <c r="R12" s="0" t="n">
        <v>16537</v>
      </c>
      <c r="S12" s="0" t="n">
        <v>583</v>
      </c>
      <c r="T12" s="0" t="n">
        <v>561</v>
      </c>
      <c r="U12" s="0" t="n">
        <v>139</v>
      </c>
      <c r="V12" s="0" t="n">
        <v>1.2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9168</v>
      </c>
      <c r="F13" s="0" t="n">
        <v>3449</v>
      </c>
      <c r="G13" s="0" t="n">
        <v>37.619982547993</v>
      </c>
      <c r="H13" s="0" t="n">
        <v>4458</v>
      </c>
      <c r="I13" s="0" t="n">
        <v>4069</v>
      </c>
      <c r="J13" s="0" t="n">
        <v>44.3826352530541</v>
      </c>
      <c r="K13" s="0" t="n">
        <v>7.22</v>
      </c>
      <c r="L13" s="0" t="n">
        <v>3123</v>
      </c>
      <c r="M13" s="0" t="n">
        <v>179</v>
      </c>
      <c r="N13" s="0" t="n">
        <v>2944</v>
      </c>
      <c r="O13" s="0" t="n">
        <v>22748</v>
      </c>
      <c r="P13" s="0" t="n">
        <v>193502</v>
      </c>
      <c r="Q13" s="0" t="n">
        <v>170754</v>
      </c>
      <c r="R13" s="0" t="n">
        <v>13918</v>
      </c>
      <c r="S13" s="0" t="n">
        <v>607</v>
      </c>
      <c r="T13" s="0" t="n">
        <v>565</v>
      </c>
      <c r="U13" s="0" t="n">
        <v>188</v>
      </c>
      <c r="V13" s="0" t="n">
        <v>1.32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9636</v>
      </c>
      <c r="F14" s="0" t="n">
        <v>3638</v>
      </c>
      <c r="G14" s="0" t="n">
        <v>37.7542548775426</v>
      </c>
      <c r="H14" s="0" t="n">
        <v>4669</v>
      </c>
      <c r="I14" s="0" t="n">
        <v>1498</v>
      </c>
      <c r="J14" s="0" t="n">
        <v>15.5458696554587</v>
      </c>
      <c r="K14" s="0" t="n">
        <v>2.59</v>
      </c>
      <c r="L14" s="0" t="n">
        <v>3554</v>
      </c>
      <c r="M14" s="0" t="n">
        <v>225</v>
      </c>
      <c r="N14" s="0" t="n">
        <v>3329</v>
      </c>
      <c r="O14" s="0" t="n">
        <v>22761</v>
      </c>
      <c r="P14" s="0" t="n">
        <v>194338</v>
      </c>
      <c r="Q14" s="0" t="n">
        <v>171577</v>
      </c>
      <c r="R14" s="0" t="n">
        <v>18122</v>
      </c>
      <c r="S14" s="0" t="n">
        <v>1799</v>
      </c>
      <c r="T14" s="0" t="n">
        <v>561</v>
      </c>
      <c r="U14" s="0" t="n">
        <v>155</v>
      </c>
      <c r="V14" s="0" t="n">
        <v>1.52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9903</v>
      </c>
      <c r="F15" s="0" t="n">
        <v>3694</v>
      </c>
      <c r="G15" s="0" t="n">
        <v>37.301827728971</v>
      </c>
      <c r="H15" s="0" t="n">
        <v>4909</v>
      </c>
      <c r="I15" s="0" t="n">
        <v>2438</v>
      </c>
      <c r="J15" s="0" t="n">
        <v>24.6188023831162</v>
      </c>
      <c r="K15" s="0" t="n">
        <v>4.2</v>
      </c>
      <c r="L15" s="0" t="n">
        <v>3542</v>
      </c>
      <c r="M15" s="0" t="n">
        <v>190</v>
      </c>
      <c r="N15" s="0" t="n">
        <v>3352</v>
      </c>
      <c r="O15" s="0" t="n">
        <v>25786</v>
      </c>
      <c r="P15" s="0" t="n">
        <v>136084</v>
      </c>
      <c r="Q15" s="0" t="n">
        <v>110298</v>
      </c>
      <c r="R15" s="0" t="n">
        <v>22613</v>
      </c>
      <c r="S15" s="0" t="n">
        <v>899</v>
      </c>
      <c r="T15" s="0" t="n">
        <v>573</v>
      </c>
      <c r="U15" s="0" t="n">
        <v>257</v>
      </c>
      <c r="V15" s="0" t="n">
        <v>1.68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11761</v>
      </c>
      <c r="F16" s="0" t="n">
        <v>4309</v>
      </c>
      <c r="G16" s="0" t="n">
        <v>36.6380409829096</v>
      </c>
      <c r="H16" s="0" t="n">
        <v>5846</v>
      </c>
      <c r="I16" s="0" t="n">
        <v>2802</v>
      </c>
      <c r="J16" s="0" t="n">
        <v>23.8245047189865</v>
      </c>
      <c r="K16" s="0" t="n">
        <v>4.8</v>
      </c>
      <c r="L16" s="0" t="n">
        <v>4609</v>
      </c>
      <c r="M16" s="0" t="n">
        <v>406</v>
      </c>
      <c r="N16" s="0" t="n">
        <v>4203</v>
      </c>
      <c r="O16" s="0" t="n">
        <v>27698</v>
      </c>
      <c r="P16" s="0" t="n">
        <v>139428</v>
      </c>
      <c r="Q16" s="0" t="n">
        <v>111708</v>
      </c>
      <c r="R16" s="0" t="n">
        <v>20368</v>
      </c>
      <c r="S16" s="0" t="n">
        <v>844</v>
      </c>
      <c r="T16" s="0" t="n">
        <v>576</v>
      </c>
      <c r="U16" s="0" t="n">
        <v>231</v>
      </c>
      <c r="V16" s="0" t="n">
        <v>1.8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12640</v>
      </c>
      <c r="F17" s="0" t="n">
        <v>4929</v>
      </c>
      <c r="G17" s="0" t="n">
        <v>38.995253164557</v>
      </c>
      <c r="H17" s="0" t="n">
        <v>6489</v>
      </c>
      <c r="I17" s="0" t="n">
        <v>3370</v>
      </c>
      <c r="J17" s="0" t="n">
        <v>26.6613924050633</v>
      </c>
      <c r="K17" s="0" t="n">
        <v>5.79</v>
      </c>
      <c r="L17" s="0" t="n">
        <v>4662</v>
      </c>
      <c r="M17" s="0" t="n">
        <v>373</v>
      </c>
      <c r="N17" s="0" t="n">
        <v>4289</v>
      </c>
      <c r="O17" s="0" t="n">
        <v>28969</v>
      </c>
      <c r="P17" s="0" t="n">
        <v>136887</v>
      </c>
      <c r="Q17" s="0" t="n">
        <v>107896</v>
      </c>
      <c r="R17" s="0" t="n">
        <v>19644</v>
      </c>
      <c r="S17" s="0" t="n">
        <v>837</v>
      </c>
      <c r="T17" s="0" t="n">
        <v>575</v>
      </c>
      <c r="U17" s="0" t="n">
        <v>238</v>
      </c>
      <c r="V17" s="0" t="n">
        <v>1.92</v>
      </c>
      <c r="AA17" s="0" t="s">
        <v>17</v>
      </c>
      <c r="AB17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152.91</v>
      </c>
    </row>
    <row r="3" customFormat="false" ht="15" hidden="false" customHeight="false" outlineLevel="0" collapsed="false">
      <c r="A3" s="0" t="s">
        <v>82</v>
      </c>
      <c r="B3" s="3" t="n">
        <v>568</v>
      </c>
    </row>
    <row r="4" customFormat="false" ht="15" hidden="false" customHeight="false" outlineLevel="0" collapsed="false">
      <c r="A4" s="0" t="s">
        <v>83</v>
      </c>
      <c r="B4" s="3" t="n">
        <v>18779</v>
      </c>
    </row>
    <row r="5" customFormat="false" ht="15" hidden="false" customHeight="false" outlineLevel="0" collapsed="false">
      <c r="A5" s="0" t="s">
        <v>84</v>
      </c>
      <c r="B5" s="3" t="n">
        <v>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13426</v>
      </c>
    </row>
    <row r="8" customFormat="false" ht="15" hidden="false" customHeight="false" outlineLevel="0" collapsed="false">
      <c r="A8" s="0" t="s">
        <v>87</v>
      </c>
      <c r="B8" s="3" t="s">
        <v>88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0</v>
      </c>
      <c r="D13" s="3" t="n">
        <v>2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104</v>
      </c>
      <c r="C14" s="3" t="n">
        <v>51.5</v>
      </c>
      <c r="D14" s="3" t="n">
        <v>51</v>
      </c>
      <c r="E14" s="3" t="n">
        <v>50.5</v>
      </c>
      <c r="F14" s="3" t="n">
        <v>50.2</v>
      </c>
      <c r="G14" s="3" t="n">
        <v>50</v>
      </c>
      <c r="H14" s="3" t="n">
        <v>49.8</v>
      </c>
      <c r="I14" s="3" t="n">
        <v>49.6</v>
      </c>
      <c r="J14" s="3" t="n">
        <v>49.5</v>
      </c>
      <c r="K14" s="3" t="n">
        <v>49.5</v>
      </c>
      <c r="L14" s="3" t="n">
        <v>49.5</v>
      </c>
    </row>
    <row r="15" customFormat="false" ht="15" hidden="false" customHeight="false" outlineLevel="0" collapsed="false">
      <c r="A15" s="0" t="s">
        <v>105</v>
      </c>
      <c r="C15" s="3" t="n">
        <v>2.9</v>
      </c>
      <c r="D15" s="3" t="n">
        <v>2.9</v>
      </c>
      <c r="E15" s="3" t="n">
        <v>2.9</v>
      </c>
      <c r="F15" s="3" t="n">
        <v>2.9</v>
      </c>
      <c r="G15" s="3" t="n">
        <v>2.9</v>
      </c>
      <c r="H15" s="3" t="n">
        <v>2.9</v>
      </c>
      <c r="I15" s="3" t="n">
        <v>2.9</v>
      </c>
      <c r="J15" s="3" t="n">
        <v>2.9</v>
      </c>
      <c r="K15" s="3" t="n">
        <v>2.9</v>
      </c>
      <c r="L15" s="3" t="n">
        <v>2.9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11.5</v>
      </c>
      <c r="D17" s="3" t="n">
        <v>11.2</v>
      </c>
      <c r="E17" s="3" t="n">
        <v>10.9</v>
      </c>
      <c r="F17" s="3" t="n">
        <v>10.6</v>
      </c>
      <c r="G17" s="3" t="n">
        <v>10.3</v>
      </c>
      <c r="H17" s="3" t="n">
        <v>10</v>
      </c>
      <c r="I17" s="3" t="n">
        <v>9.8</v>
      </c>
      <c r="J17" s="3" t="n">
        <v>9.6</v>
      </c>
      <c r="K17" s="3" t="n">
        <v>9.5</v>
      </c>
      <c r="L17" s="3" t="n">
        <v>9.5</v>
      </c>
    </row>
    <row r="18" customFormat="false" ht="15" hidden="false" customHeight="false" outlineLevel="0" collapsed="false">
      <c r="A18" s="0" t="s">
        <v>108</v>
      </c>
      <c r="C18" s="3" t="n">
        <v>3.5</v>
      </c>
      <c r="D18" s="3" t="n">
        <v>3.5</v>
      </c>
      <c r="E18" s="3" t="n">
        <v>3.5</v>
      </c>
      <c r="F18" s="3" t="n">
        <v>3.5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109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110</v>
      </c>
      <c r="B20" s="3" t="n">
        <v>8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16</v>
      </c>
    </row>
    <row r="23" customFormat="false" ht="15" hidden="false" customHeight="false" outlineLevel="0" collapsed="false">
      <c r="A23" s="0" t="s">
        <v>113</v>
      </c>
      <c r="B23" s="3" t="n">
        <v>0</v>
      </c>
    </row>
    <row r="24" customFormat="false" ht="15" hidden="false" customHeight="false" outlineLevel="0" collapsed="false">
      <c r="A24" s="0" t="s">
        <v>114</v>
      </c>
      <c r="B24" s="3" t="n">
        <v>0.2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4</v>
      </c>
      <c r="D27" s="3" t="n">
        <v>5.5</v>
      </c>
      <c r="E27" s="3" t="n">
        <v>5.5</v>
      </c>
      <c r="F27" s="3" t="n">
        <v>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104</v>
      </c>
      <c r="C28" s="3" t="n">
        <v>52.2</v>
      </c>
      <c r="D28" s="3" t="n">
        <v>52.5</v>
      </c>
      <c r="E28" s="3" t="n">
        <v>52.8</v>
      </c>
      <c r="F28" s="3" t="n">
        <v>53</v>
      </c>
      <c r="G28" s="3" t="n">
        <v>53.2</v>
      </c>
      <c r="H28" s="3" t="n">
        <v>53.4</v>
      </c>
      <c r="I28" s="3" t="n">
        <v>53.6</v>
      </c>
      <c r="J28" s="3" t="n">
        <v>53.8</v>
      </c>
      <c r="K28" s="3" t="n">
        <v>54</v>
      </c>
      <c r="L28" s="3" t="n">
        <v>54</v>
      </c>
    </row>
    <row r="29" customFormat="false" ht="15" hidden="false" customHeight="false" outlineLevel="0" collapsed="false">
      <c r="A29" s="0" t="s">
        <v>105</v>
      </c>
      <c r="C29" s="3" t="n">
        <v>2.75</v>
      </c>
      <c r="D29" s="3" t="n">
        <v>2.75</v>
      </c>
      <c r="E29" s="3" t="n">
        <v>2.7</v>
      </c>
      <c r="F29" s="3" t="n">
        <v>2.7</v>
      </c>
      <c r="G29" s="3" t="n">
        <v>2.65</v>
      </c>
      <c r="H29" s="3" t="n">
        <v>2.65</v>
      </c>
      <c r="I29" s="3" t="n">
        <v>2.6</v>
      </c>
      <c r="J29" s="3" t="n">
        <v>2.6</v>
      </c>
      <c r="K29" s="3" t="n">
        <v>2.6</v>
      </c>
      <c r="L29" s="3" t="n">
        <v>2.6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11.5</v>
      </c>
      <c r="D31" s="3" t="n">
        <v>11.2</v>
      </c>
      <c r="E31" s="3" t="n">
        <v>10.9</v>
      </c>
      <c r="F31" s="3" t="n">
        <v>10.6</v>
      </c>
      <c r="G31" s="3" t="n">
        <v>10.3</v>
      </c>
      <c r="H31" s="3" t="n">
        <v>10</v>
      </c>
      <c r="I31" s="3" t="n">
        <v>9.8</v>
      </c>
      <c r="J31" s="3" t="n">
        <v>9.6</v>
      </c>
      <c r="K31" s="3" t="n">
        <v>9.5</v>
      </c>
      <c r="L31" s="3" t="n">
        <v>9.5</v>
      </c>
    </row>
    <row r="32" customFormat="false" ht="15" hidden="false" customHeight="false" outlineLevel="0" collapsed="false">
      <c r="A32" s="0" t="s">
        <v>108</v>
      </c>
      <c r="C32" s="3" t="n">
        <v>3.3</v>
      </c>
      <c r="D32" s="3" t="n">
        <v>3.3</v>
      </c>
      <c r="E32" s="3" t="n">
        <v>3.3</v>
      </c>
      <c r="F32" s="3" t="n">
        <v>3.3</v>
      </c>
      <c r="G32" s="3" t="n">
        <v>3.3</v>
      </c>
      <c r="H32" s="3" t="n">
        <v>3.3</v>
      </c>
      <c r="I32" s="3" t="n">
        <v>3.3</v>
      </c>
      <c r="J32" s="3" t="n">
        <v>3.3</v>
      </c>
      <c r="K32" s="3" t="n">
        <v>3.3</v>
      </c>
      <c r="L32" s="3" t="n">
        <v>3.3</v>
      </c>
    </row>
    <row r="33" customFormat="false" ht="15" hidden="false" customHeight="false" outlineLevel="0" collapsed="false">
      <c r="A33" s="0" t="s">
        <v>109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110</v>
      </c>
      <c r="B34" s="3" t="n">
        <v>8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20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6</v>
      </c>
      <c r="D41" s="3" t="n">
        <v>8</v>
      </c>
      <c r="E41" s="3" t="n">
        <v>8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104</v>
      </c>
      <c r="C42" s="3" t="n">
        <v>52.5</v>
      </c>
      <c r="D42" s="3" t="n">
        <v>53.2</v>
      </c>
      <c r="E42" s="3" t="n">
        <v>53.9</v>
      </c>
      <c r="F42" s="3" t="n">
        <v>54.6</v>
      </c>
      <c r="G42" s="3" t="n">
        <v>55.2</v>
      </c>
      <c r="H42" s="3" t="n">
        <v>55.8</v>
      </c>
      <c r="I42" s="3" t="n">
        <v>56.3</v>
      </c>
      <c r="J42" s="3" t="n">
        <v>56.7</v>
      </c>
      <c r="K42" s="3" t="n">
        <v>57</v>
      </c>
      <c r="L42" s="3" t="n">
        <v>57</v>
      </c>
    </row>
    <row r="43" customFormat="false" ht="15" hidden="false" customHeight="false" outlineLevel="0" collapsed="false">
      <c r="A43" s="0" t="s">
        <v>105</v>
      </c>
      <c r="C43" s="3" t="n">
        <v>2.75</v>
      </c>
      <c r="D43" s="3" t="n">
        <v>2.7</v>
      </c>
      <c r="E43" s="3" t="n">
        <v>2.65</v>
      </c>
      <c r="F43" s="3" t="n">
        <v>2.6</v>
      </c>
      <c r="G43" s="3" t="n">
        <v>2.55</v>
      </c>
      <c r="H43" s="3" t="n">
        <v>2.5</v>
      </c>
      <c r="I43" s="3" t="n">
        <v>2.45</v>
      </c>
      <c r="J43" s="3" t="n">
        <v>2.4</v>
      </c>
      <c r="K43" s="3" t="n">
        <v>2.4</v>
      </c>
      <c r="L43" s="3" t="n">
        <v>2.4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11.5</v>
      </c>
      <c r="D45" s="3" t="n">
        <v>11.2</v>
      </c>
      <c r="E45" s="3" t="n">
        <v>10.9</v>
      </c>
      <c r="F45" s="3" t="n">
        <v>10.6</v>
      </c>
      <c r="G45" s="3" t="n">
        <v>10.3</v>
      </c>
      <c r="H45" s="3" t="n">
        <v>10</v>
      </c>
      <c r="I45" s="3" t="n">
        <v>9.8</v>
      </c>
      <c r="J45" s="3" t="n">
        <v>9.6</v>
      </c>
      <c r="K45" s="3" t="n">
        <v>9.5</v>
      </c>
      <c r="L45" s="3" t="n">
        <v>9.5</v>
      </c>
    </row>
    <row r="46" customFormat="false" ht="15" hidden="false" customHeight="false" outlineLevel="0" collapsed="false">
      <c r="A46" s="0" t="s">
        <v>108</v>
      </c>
      <c r="C46" s="3" t="n">
        <v>3.2</v>
      </c>
      <c r="D46" s="3" t="n">
        <v>3.2</v>
      </c>
      <c r="E46" s="3" t="n">
        <v>3.2</v>
      </c>
      <c r="F46" s="3" t="n">
        <v>3.2</v>
      </c>
      <c r="G46" s="3" t="n">
        <v>3.2</v>
      </c>
      <c r="H46" s="3" t="n">
        <v>3.2</v>
      </c>
      <c r="I46" s="3" t="n">
        <v>3.2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109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110</v>
      </c>
      <c r="B48" s="3" t="n">
        <v>8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20</v>
      </c>
    </row>
    <row r="51" customFormat="false" ht="15" hidden="false" customHeight="false" outlineLevel="0" collapsed="false">
      <c r="A51" s="0" t="s">
        <v>113</v>
      </c>
      <c r="B51" s="3" t="n">
        <v>0</v>
      </c>
    </row>
    <row r="52" customFormat="false" ht="15" hidden="false" customHeight="false" outlineLevel="0" collapsed="false">
      <c r="A52" s="0" t="s">
        <v>114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88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0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13426</v>
      </c>
      <c r="C6" s="0" t="n">
        <f aca="false">B6*(1+C5/100)</f>
        <v>13426</v>
      </c>
      <c r="D6" s="0" t="n">
        <f aca="false">C6*(1+D5/100)</f>
        <v>13694.52</v>
      </c>
      <c r="E6" s="0" t="n">
        <f aca="false">D6*(1+E5/100)</f>
        <v>14105.3556</v>
      </c>
      <c r="F6" s="0" t="n">
        <f aca="false">E6*(1+F5/100)</f>
        <v>14528.516268</v>
      </c>
      <c r="G6" s="0" t="n">
        <f aca="false">F6*(1+G5/100)</f>
        <v>14964.37175604</v>
      </c>
      <c r="H6" s="0" t="n">
        <f aca="false">G6*(1+H5/100)</f>
        <v>15413.3029087212</v>
      </c>
      <c r="I6" s="0" t="n">
        <f aca="false">H6*(1+I5/100)</f>
        <v>15798.6354814392</v>
      </c>
      <c r="J6" s="0" t="n">
        <f aca="false">I6*(1+J5/100)</f>
        <v>16193.6013684752</v>
      </c>
      <c r="K6" s="0" t="n">
        <f aca="false">J6*(1+K5/100)</f>
        <v>16598.4414026871</v>
      </c>
      <c r="L6" s="0" t="n">
        <f aca="false">K6*(1+L5/100)</f>
        <v>17013.4024377543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51.5</v>
      </c>
      <c r="D7" s="4" t="n">
        <f aca="false">Assumptions!D14</f>
        <v>51</v>
      </c>
      <c r="E7" s="4" t="n">
        <f aca="false">Assumptions!E14</f>
        <v>50.5</v>
      </c>
      <c r="F7" s="4" t="n">
        <f aca="false">Assumptions!F14</f>
        <v>50.2</v>
      </c>
      <c r="G7" s="4" t="n">
        <f aca="false">Assumptions!G14</f>
        <v>50</v>
      </c>
      <c r="H7" s="4" t="n">
        <f aca="false">Assumptions!H14</f>
        <v>49.8</v>
      </c>
      <c r="I7" s="4" t="n">
        <f aca="false">Assumptions!I14</f>
        <v>49.6</v>
      </c>
      <c r="J7" s="4" t="n">
        <f aca="false">Assumptions!J14</f>
        <v>49.5</v>
      </c>
      <c r="K7" s="4" t="n">
        <f aca="false">Assumptions!K14</f>
        <v>49.5</v>
      </c>
      <c r="L7" s="4" t="n">
        <f aca="false">Assumptions!L14</f>
        <v>49.5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6914.39</v>
      </c>
      <c r="D8" s="0" t="n">
        <f aca="false">D6*D7/100</f>
        <v>6984.2052</v>
      </c>
      <c r="E8" s="0" t="n">
        <f aca="false">E6*E7/100</f>
        <v>7123.204578</v>
      </c>
      <c r="F8" s="0" t="n">
        <f aca="false">F6*F7/100</f>
        <v>7293.315166536</v>
      </c>
      <c r="G8" s="0" t="n">
        <f aca="false">G6*G7/100</f>
        <v>7482.18587802</v>
      </c>
      <c r="H8" s="0" t="n">
        <f aca="false">H6*H7/100</f>
        <v>7675.82484854316</v>
      </c>
      <c r="I8" s="0" t="n">
        <f aca="false">I6*I7/100</f>
        <v>7836.12319879386</v>
      </c>
      <c r="J8" s="0" t="n">
        <f aca="false">J6*J7/100</f>
        <v>8015.83267739523</v>
      </c>
      <c r="K8" s="0" t="n">
        <f aca="false">K6*K7/100</f>
        <v>8216.22849433011</v>
      </c>
      <c r="L8" s="0" t="n">
        <f aca="false">L6*L7/100</f>
        <v>8421.63420668836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2.9</v>
      </c>
      <c r="D9" s="4" t="n">
        <f aca="false">Assumptions!D15</f>
        <v>2.9</v>
      </c>
      <c r="E9" s="4" t="n">
        <f aca="false">Assumptions!E15</f>
        <v>2.9</v>
      </c>
      <c r="F9" s="4" t="n">
        <f aca="false">Assumptions!F15</f>
        <v>2.9</v>
      </c>
      <c r="G9" s="4" t="n">
        <f aca="false">Assumptions!G15</f>
        <v>2.9</v>
      </c>
      <c r="H9" s="4" t="n">
        <f aca="false">Assumptions!H15</f>
        <v>2.9</v>
      </c>
      <c r="I9" s="4" t="n">
        <f aca="false">Assumptions!I15</f>
        <v>2.9</v>
      </c>
      <c r="J9" s="4" t="n">
        <f aca="false">Assumptions!J15</f>
        <v>2.9</v>
      </c>
      <c r="K9" s="4" t="n">
        <f aca="false">Assumptions!K15</f>
        <v>2.9</v>
      </c>
      <c r="L9" s="4" t="n">
        <f aca="false">Assumptions!L15</f>
        <v>2.9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-389.354</v>
      </c>
      <c r="D10" s="0" t="n">
        <f aca="false">-D6*D9/100</f>
        <v>-397.14108</v>
      </c>
      <c r="E10" s="0" t="n">
        <f aca="false">-E6*E9/100</f>
        <v>-409.0553124</v>
      </c>
      <c r="F10" s="0" t="n">
        <f aca="false">-F6*F9/100</f>
        <v>-421.326971772</v>
      </c>
      <c r="G10" s="0" t="n">
        <f aca="false">-G6*G9/100</f>
        <v>-433.96678092516</v>
      </c>
      <c r="H10" s="0" t="n">
        <f aca="false">-H6*H9/100</f>
        <v>-446.985784352915</v>
      </c>
      <c r="I10" s="0" t="n">
        <f aca="false">-I6*I9/100</f>
        <v>-458.160428961738</v>
      </c>
      <c r="J10" s="0" t="n">
        <f aca="false">-J6*J9/100</f>
        <v>-469.614439685781</v>
      </c>
      <c r="K10" s="0" t="n">
        <f aca="false">-K6*K9/100</f>
        <v>-481.354800677926</v>
      </c>
      <c r="L10" s="0" t="n">
        <f aca="false">-L6*L9/100</f>
        <v>-493.388670694874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6525.036</v>
      </c>
      <c r="D11" s="0" t="n">
        <f aca="false">D8+D10+D24</f>
        <v>6587.06412</v>
      </c>
      <c r="E11" s="0" t="n">
        <f aca="false">E8+E10+E24</f>
        <v>6714.1492656</v>
      </c>
      <c r="F11" s="0" t="n">
        <f aca="false">F8+F10+F24</f>
        <v>6871.988194764</v>
      </c>
      <c r="G11" s="0" t="n">
        <f aca="false">G8+G10+G24</f>
        <v>7048.21909709484</v>
      </c>
      <c r="H11" s="0" t="n">
        <f aca="false">H8+H10+H24</f>
        <v>7228.83906419024</v>
      </c>
      <c r="I11" s="0" t="n">
        <f aca="false">I8+I10+I24</f>
        <v>7377.96276983212</v>
      </c>
      <c r="J11" s="0" t="n">
        <f aca="false">J8+J10+J24</f>
        <v>7546.21823770945</v>
      </c>
      <c r="K11" s="0" t="n">
        <f aca="false">K8+K10+K24</f>
        <v>7734.87369365219</v>
      </c>
      <c r="L11" s="0" t="n">
        <f aca="false">L8+L10+L24</f>
        <v>7928.24553599349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-1543.99</v>
      </c>
      <c r="D12" s="4" t="n">
        <f aca="false">-D6*Assumptions!D17/100</f>
        <v>-1533.78624</v>
      </c>
      <c r="E12" s="4" t="n">
        <f aca="false">-E6*Assumptions!E17/100</f>
        <v>-1537.4837604</v>
      </c>
      <c r="F12" s="4" t="n">
        <f aca="false">-F6*Assumptions!F17/100</f>
        <v>-1540.022724408</v>
      </c>
      <c r="G12" s="4" t="n">
        <f aca="false">-G6*Assumptions!G17/100</f>
        <v>-1541.33029087212</v>
      </c>
      <c r="H12" s="4" t="n">
        <f aca="false">-H6*Assumptions!H17/100</f>
        <v>-1541.33029087212</v>
      </c>
      <c r="I12" s="4" t="n">
        <f aca="false">-I6*Assumptions!I17/100</f>
        <v>-1548.26627718104</v>
      </c>
      <c r="J12" s="4" t="n">
        <f aca="false">-J6*Assumptions!J17/100</f>
        <v>-1554.58573137362</v>
      </c>
      <c r="K12" s="4" t="n">
        <f aca="false">-K6*Assumptions!K17/100</f>
        <v>-1576.85193325527</v>
      </c>
      <c r="L12" s="4" t="n">
        <f aca="false">-L6*Assumptions!L17/100</f>
        <v>-1616.27323158666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4981.046</v>
      </c>
      <c r="D13" s="0" t="n">
        <f aca="false">D11+D12</f>
        <v>5053.27788</v>
      </c>
      <c r="E13" s="0" t="n">
        <f aca="false">E11+E12</f>
        <v>5176.6655052</v>
      </c>
      <c r="F13" s="0" t="n">
        <f aca="false">F11+F12</f>
        <v>5331.965470356</v>
      </c>
      <c r="G13" s="0" t="n">
        <f aca="false">G11+G12</f>
        <v>5506.88880622272</v>
      </c>
      <c r="H13" s="0" t="n">
        <f aca="false">H11+H12</f>
        <v>5687.50877331812</v>
      </c>
      <c r="I13" s="0" t="n">
        <f aca="false">I11+I12</f>
        <v>5829.69649265108</v>
      </c>
      <c r="J13" s="0" t="n">
        <f aca="false">J11+J12</f>
        <v>5991.63250633583</v>
      </c>
      <c r="K13" s="0" t="n">
        <f aca="false">K11+K12</f>
        <v>6158.02176039691</v>
      </c>
      <c r="L13" s="0" t="n">
        <f aca="false">L11+L12</f>
        <v>6311.97230440683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3685.97404</v>
      </c>
      <c r="D15" s="0" t="n">
        <f aca="false">D13-MAX(0,D13)*D14/100</f>
        <v>3739.4256312</v>
      </c>
      <c r="E15" s="0" t="n">
        <f aca="false">E13-MAX(0,E13)*E14/100</f>
        <v>3830.732473848</v>
      </c>
      <c r="F15" s="0" t="n">
        <f aca="false">F13-MAX(0,F13)*F14/100</f>
        <v>3945.65444806344</v>
      </c>
      <c r="G15" s="0" t="n">
        <f aca="false">G13-MAX(0,G13)*G14/100</f>
        <v>4075.09771660481</v>
      </c>
      <c r="H15" s="0" t="n">
        <f aca="false">H13-MAX(0,H13)*H14/100</f>
        <v>4208.75649225541</v>
      </c>
      <c r="I15" s="0" t="n">
        <f aca="false">I13-MAX(0,I13)*I14/100</f>
        <v>4313.9754045618</v>
      </c>
      <c r="J15" s="0" t="n">
        <f aca="false">J13-MAX(0,J13)*J14/100</f>
        <v>4433.80805468851</v>
      </c>
      <c r="K15" s="0" t="n">
        <f aca="false">K13-MAX(0,K13)*K14/100</f>
        <v>4556.93610269372</v>
      </c>
      <c r="L15" s="0" t="n">
        <f aca="false">L13-MAX(0,L13)*L14/100</f>
        <v>4670.85950526106</v>
      </c>
    </row>
    <row r="16" customFormat="false" ht="15" hidden="false" customHeight="false" outlineLevel="0" collapsed="false">
      <c r="A16" s="0" t="s">
        <v>125</v>
      </c>
      <c r="C16" s="0" t="n">
        <f aca="false">-C12</f>
        <v>1543.99</v>
      </c>
      <c r="D16" s="0" t="n">
        <f aca="false">-D12</f>
        <v>1533.78624</v>
      </c>
      <c r="E16" s="0" t="n">
        <f aca="false">-E12</f>
        <v>1537.4837604</v>
      </c>
      <c r="F16" s="0" t="n">
        <f aca="false">-F12</f>
        <v>1540.022724408</v>
      </c>
      <c r="G16" s="0" t="n">
        <f aca="false">-G12</f>
        <v>1541.33029087212</v>
      </c>
      <c r="H16" s="0" t="n">
        <f aca="false">-H12</f>
        <v>1541.33029087212</v>
      </c>
      <c r="I16" s="0" t="n">
        <f aca="false">-I12</f>
        <v>1548.26627718104</v>
      </c>
      <c r="J16" s="0" t="n">
        <f aca="false">-J12</f>
        <v>1554.58573137362</v>
      </c>
      <c r="K16" s="0" t="n">
        <f aca="false">-K12</f>
        <v>1576.85193325527</v>
      </c>
      <c r="L16" s="0" t="n">
        <f aca="false">-L12</f>
        <v>1616.27323158666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-469.91</v>
      </c>
      <c r="D17" s="4" t="n">
        <f aca="false">-D6*Assumptions!D18/100</f>
        <v>-479.3082</v>
      </c>
      <c r="E17" s="4" t="n">
        <f aca="false">-E6*Assumptions!E18/100</f>
        <v>-493.687446</v>
      </c>
      <c r="F17" s="4" t="n">
        <f aca="false">-F6*Assumptions!F18/100</f>
        <v>-508.49806938</v>
      </c>
      <c r="G17" s="4" t="n">
        <f aca="false">-G6*Assumptions!G18/100</f>
        <v>-523.7530114614</v>
      </c>
      <c r="H17" s="4" t="n">
        <f aca="false">-H6*Assumptions!H18/100</f>
        <v>-539.465601805242</v>
      </c>
      <c r="I17" s="4" t="n">
        <f aca="false">-I6*Assumptions!I18/100</f>
        <v>-552.952241850373</v>
      </c>
      <c r="J17" s="4" t="n">
        <f aca="false">-J6*Assumptions!J18/100</f>
        <v>-566.776047896632</v>
      </c>
      <c r="K17" s="4" t="n">
        <f aca="false">-K6*Assumptions!K18/100</f>
        <v>-580.945449094048</v>
      </c>
      <c r="L17" s="4" t="n">
        <f aca="false">-L6*Assumptions!L18/100</f>
        <v>-595.469085321399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4760.05404</v>
      </c>
      <c r="D19" s="0" t="n">
        <f aca="false">D15+D16+D17+D18</f>
        <v>4793.9036712</v>
      </c>
      <c r="E19" s="0" t="n">
        <f aca="false">E15+E16+E17+E18</f>
        <v>4874.528788248</v>
      </c>
      <c r="F19" s="0" t="n">
        <f aca="false">F15+F16+F17+F18</f>
        <v>4977.17910309144</v>
      </c>
      <c r="G19" s="0" t="n">
        <f aca="false">G15+G16+G17+G18</f>
        <v>5092.67499601553</v>
      </c>
      <c r="H19" s="0" t="n">
        <f aca="false">H15+H16+H17+H18</f>
        <v>5210.62118132229</v>
      </c>
      <c r="I19" s="0" t="n">
        <f aca="false">I15+I16+I17+I18</f>
        <v>5309.28943989247</v>
      </c>
      <c r="J19" s="0" t="n">
        <f aca="false">J15+J16+J17+J18</f>
        <v>5421.6177381655</v>
      </c>
      <c r="K19" s="0" t="n">
        <f aca="false">K15+K16+K17+K18</f>
        <v>5552.84258685494</v>
      </c>
      <c r="L19" s="0" t="n">
        <f aca="false">L15+L16+L17+L18</f>
        <v>5691.66365152631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4407.45744444444</v>
      </c>
      <c r="D21" s="0" t="n">
        <f aca="false">D19*D20</f>
        <v>4109.999718107</v>
      </c>
      <c r="E21" s="0" t="n">
        <f aca="false">E19*E20</f>
        <v>3869.55811189224</v>
      </c>
      <c r="F21" s="0" t="n">
        <f aca="false">F19*F20</f>
        <v>3658.37522348689</v>
      </c>
      <c r="G21" s="0" t="n">
        <f aca="false">G19*G20</f>
        <v>3465.98903024211</v>
      </c>
      <c r="H21" s="0" t="n">
        <f aca="false">H19*H20</f>
        <v>3283.57520566307</v>
      </c>
      <c r="I21" s="0" t="n">
        <f aca="false">I19*I20</f>
        <v>3097.91939384393</v>
      </c>
      <c r="J21" s="0" t="n">
        <f aca="false">J19*J20</f>
        <v>2929.1313675948</v>
      </c>
      <c r="K21" s="0" t="n">
        <f aca="false">K19*K20</f>
        <v>2777.80376871776</v>
      </c>
      <c r="L21" s="0" t="n">
        <f aca="false">L19*L20</f>
        <v>2636.34153975528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34236.1508037475</v>
      </c>
    </row>
    <row r="31" customFormat="false" ht="15" hidden="false" customHeight="false" outlineLevel="0" collapsed="false">
      <c r="A31" s="0" t="s">
        <v>134</v>
      </c>
      <c r="B31" s="0" t="n">
        <f aca="false">L19</f>
        <v>5691.66365152631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96758.2820759473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91066.618424421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91066.618424421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42181.4646360845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76417.615439832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57638.615439832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101.476435633507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-0.336364949097462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2902.81592997114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3885.08512913061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113.426965667137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44657.6686504372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31.0085504282731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88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4</v>
      </c>
      <c r="D5" s="4" t="n">
        <f aca="false">Assumptions!D27</f>
        <v>5.5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13426</v>
      </c>
      <c r="C6" s="0" t="n">
        <f aca="false">B6*(1+C5/100)</f>
        <v>13963.04</v>
      </c>
      <c r="D6" s="0" t="n">
        <f aca="false">C6*(1+D5/100)</f>
        <v>14731.0072</v>
      </c>
      <c r="E6" s="0" t="n">
        <f aca="false">D6*(1+E5/100)</f>
        <v>15541.212596</v>
      </c>
      <c r="F6" s="0" t="n">
        <f aca="false">E6*(1+F5/100)</f>
        <v>16318.2732258</v>
      </c>
      <c r="G6" s="0" t="n">
        <f aca="false">F6*(1+G5/100)</f>
        <v>17134.18688709</v>
      </c>
      <c r="H6" s="0" t="n">
        <f aca="false">G6*(1+H5/100)</f>
        <v>17905.2252970091</v>
      </c>
      <c r="I6" s="0" t="n">
        <f aca="false">H6*(1+I5/100)</f>
        <v>18621.4343088894</v>
      </c>
      <c r="J6" s="0" t="n">
        <f aca="false">I6*(1+J5/100)</f>
        <v>19273.1845097005</v>
      </c>
      <c r="K6" s="0" t="n">
        <f aca="false">J6*(1+K5/100)</f>
        <v>19851.3800449916</v>
      </c>
      <c r="L6" s="0" t="n">
        <f aca="false">K6*(1+L5/100)</f>
        <v>20446.9214463413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52.2</v>
      </c>
      <c r="D7" s="4" t="n">
        <f aca="false">Assumptions!D28</f>
        <v>52.5</v>
      </c>
      <c r="E7" s="4" t="n">
        <f aca="false">Assumptions!E28</f>
        <v>52.8</v>
      </c>
      <c r="F7" s="4" t="n">
        <f aca="false">Assumptions!F28</f>
        <v>53</v>
      </c>
      <c r="G7" s="4" t="n">
        <f aca="false">Assumptions!G28</f>
        <v>53.2</v>
      </c>
      <c r="H7" s="4" t="n">
        <f aca="false">Assumptions!H28</f>
        <v>53.4</v>
      </c>
      <c r="I7" s="4" t="n">
        <f aca="false">Assumptions!I28</f>
        <v>53.6</v>
      </c>
      <c r="J7" s="4" t="n">
        <f aca="false">Assumptions!J28</f>
        <v>53.8</v>
      </c>
      <c r="K7" s="4" t="n">
        <f aca="false">Assumptions!K28</f>
        <v>54</v>
      </c>
      <c r="L7" s="4" t="n">
        <f aca="false">Assumptions!L28</f>
        <v>54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7288.70688</v>
      </c>
      <c r="D8" s="0" t="n">
        <f aca="false">D6*D7/100</f>
        <v>7733.77878</v>
      </c>
      <c r="E8" s="0" t="n">
        <f aca="false">E6*E7/100</f>
        <v>8205.760250688</v>
      </c>
      <c r="F8" s="0" t="n">
        <f aca="false">F6*F7/100</f>
        <v>8648.684809674</v>
      </c>
      <c r="G8" s="0" t="n">
        <f aca="false">G6*G7/100</f>
        <v>9115.38742393188</v>
      </c>
      <c r="H8" s="0" t="n">
        <f aca="false">H6*H7/100</f>
        <v>9561.39030860283</v>
      </c>
      <c r="I8" s="0" t="n">
        <f aca="false">I6*I7/100</f>
        <v>9981.08878956473</v>
      </c>
      <c r="J8" s="0" t="n">
        <f aca="false">J6*J7/100</f>
        <v>10368.9732662189</v>
      </c>
      <c r="K8" s="0" t="n">
        <f aca="false">K6*K7/100</f>
        <v>10719.7452242954</v>
      </c>
      <c r="L8" s="0" t="n">
        <f aca="false">L6*L7/100</f>
        <v>11041.3375810243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2.75</v>
      </c>
      <c r="D9" s="4" t="n">
        <f aca="false">Assumptions!D29</f>
        <v>2.75</v>
      </c>
      <c r="E9" s="4" t="n">
        <f aca="false">Assumptions!E29</f>
        <v>2.7</v>
      </c>
      <c r="F9" s="4" t="n">
        <f aca="false">Assumptions!F29</f>
        <v>2.7</v>
      </c>
      <c r="G9" s="4" t="n">
        <f aca="false">Assumptions!G29</f>
        <v>2.65</v>
      </c>
      <c r="H9" s="4" t="n">
        <f aca="false">Assumptions!H29</f>
        <v>2.65</v>
      </c>
      <c r="I9" s="4" t="n">
        <f aca="false">Assumptions!I29</f>
        <v>2.6</v>
      </c>
      <c r="J9" s="4" t="n">
        <f aca="false">Assumptions!J29</f>
        <v>2.6</v>
      </c>
      <c r="K9" s="4" t="n">
        <f aca="false">Assumptions!K29</f>
        <v>2.6</v>
      </c>
      <c r="L9" s="4" t="n">
        <f aca="false">Assumptions!L29</f>
        <v>2.6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-383.9836</v>
      </c>
      <c r="D10" s="0" t="n">
        <f aca="false">-D6*D9/100</f>
        <v>-405.102698</v>
      </c>
      <c r="E10" s="0" t="n">
        <f aca="false">-E6*E9/100</f>
        <v>-419.612740092</v>
      </c>
      <c r="F10" s="0" t="n">
        <f aca="false">-F6*F9/100</f>
        <v>-440.5933770966</v>
      </c>
      <c r="G10" s="0" t="n">
        <f aca="false">-G6*G9/100</f>
        <v>-454.055952507885</v>
      </c>
      <c r="H10" s="0" t="n">
        <f aca="false">-H6*H9/100</f>
        <v>-474.48847037074</v>
      </c>
      <c r="I10" s="0" t="n">
        <f aca="false">-I6*I9/100</f>
        <v>-484.157292031125</v>
      </c>
      <c r="J10" s="0" t="n">
        <f aca="false">-J6*J9/100</f>
        <v>-501.102797252214</v>
      </c>
      <c r="K10" s="0" t="n">
        <f aca="false">-K6*K9/100</f>
        <v>-516.13588116978</v>
      </c>
      <c r="L10" s="0" t="n">
        <f aca="false">-L6*L9/100</f>
        <v>-531.619957604874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6904.72328</v>
      </c>
      <c r="D11" s="0" t="n">
        <f aca="false">D8+D10+D24</f>
        <v>7328.676082</v>
      </c>
      <c r="E11" s="0" t="n">
        <f aca="false">E8+E10+E24</f>
        <v>7786.147510596</v>
      </c>
      <c r="F11" s="0" t="n">
        <f aca="false">F8+F10+F24</f>
        <v>8208.0914325774</v>
      </c>
      <c r="G11" s="0" t="n">
        <f aca="false">G8+G10+G24</f>
        <v>8661.331471424</v>
      </c>
      <c r="H11" s="0" t="n">
        <f aca="false">H8+H10+H24</f>
        <v>9086.90183823209</v>
      </c>
      <c r="I11" s="0" t="n">
        <f aca="false">I8+I10+I24</f>
        <v>9496.9314975336</v>
      </c>
      <c r="J11" s="0" t="n">
        <f aca="false">J8+J10+J24</f>
        <v>9867.87046896668</v>
      </c>
      <c r="K11" s="0" t="n">
        <f aca="false">K8+K10+K24</f>
        <v>10203.6093431257</v>
      </c>
      <c r="L11" s="0" t="n">
        <f aca="false">L8+L10+L24</f>
        <v>10509.7176234194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-1605.7496</v>
      </c>
      <c r="D12" s="4" t="n">
        <f aca="false">-D6*Assumptions!D31/100</f>
        <v>-1649.8728064</v>
      </c>
      <c r="E12" s="4" t="n">
        <f aca="false">-E6*Assumptions!E31/100</f>
        <v>-1693.992172964</v>
      </c>
      <c r="F12" s="4" t="n">
        <f aca="false">-F6*Assumptions!F31/100</f>
        <v>-1729.7369619348</v>
      </c>
      <c r="G12" s="4" t="n">
        <f aca="false">-G6*Assumptions!G31/100</f>
        <v>-1764.82124937027</v>
      </c>
      <c r="H12" s="4" t="n">
        <f aca="false">-H6*Assumptions!H31/100</f>
        <v>-1790.52252970091</v>
      </c>
      <c r="I12" s="4" t="n">
        <f aca="false">-I6*Assumptions!I31/100</f>
        <v>-1824.90056227116</v>
      </c>
      <c r="J12" s="4" t="n">
        <f aca="false">-J6*Assumptions!J31/100</f>
        <v>-1850.22571293125</v>
      </c>
      <c r="K12" s="4" t="n">
        <f aca="false">-K6*Assumptions!K31/100</f>
        <v>-1885.8811042742</v>
      </c>
      <c r="L12" s="4" t="n">
        <f aca="false">-L6*Assumptions!L31/100</f>
        <v>-1942.45753740242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5298.97368</v>
      </c>
      <c r="D13" s="0" t="n">
        <f aca="false">D11+D12</f>
        <v>5678.8032756</v>
      </c>
      <c r="E13" s="0" t="n">
        <f aca="false">E11+E12</f>
        <v>6092.155337632</v>
      </c>
      <c r="F13" s="0" t="n">
        <f aca="false">F11+F12</f>
        <v>6478.3544706426</v>
      </c>
      <c r="G13" s="0" t="n">
        <f aca="false">G11+G12</f>
        <v>6896.51022205373</v>
      </c>
      <c r="H13" s="0" t="n">
        <f aca="false">H11+H12</f>
        <v>7296.37930853119</v>
      </c>
      <c r="I13" s="0" t="n">
        <f aca="false">I11+I12</f>
        <v>7672.03093526244</v>
      </c>
      <c r="J13" s="0" t="n">
        <f aca="false">J11+J12</f>
        <v>8017.64475603542</v>
      </c>
      <c r="K13" s="0" t="n">
        <f aca="false">K11+K12</f>
        <v>8317.72823885146</v>
      </c>
      <c r="L13" s="0" t="n">
        <f aca="false">L11+L12</f>
        <v>8567.26008601701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3974.23026</v>
      </c>
      <c r="D15" s="0" t="n">
        <f aca="false">D13-MAX(0,D13)*D14/100</f>
        <v>4259.1024567</v>
      </c>
      <c r="E15" s="0" t="n">
        <f aca="false">E13-MAX(0,E13)*E14/100</f>
        <v>4569.116503224</v>
      </c>
      <c r="F15" s="0" t="n">
        <f aca="false">F13-MAX(0,F13)*F14/100</f>
        <v>4858.76585298195</v>
      </c>
      <c r="G15" s="0" t="n">
        <f aca="false">G13-MAX(0,G13)*G14/100</f>
        <v>5172.3826665403</v>
      </c>
      <c r="H15" s="0" t="n">
        <f aca="false">H13-MAX(0,H13)*H14/100</f>
        <v>5472.28448139839</v>
      </c>
      <c r="I15" s="0" t="n">
        <f aca="false">I13-MAX(0,I13)*I14/100</f>
        <v>5754.02320144683</v>
      </c>
      <c r="J15" s="0" t="n">
        <f aca="false">J13-MAX(0,J13)*J14/100</f>
        <v>6013.23356702657</v>
      </c>
      <c r="K15" s="0" t="n">
        <f aca="false">K13-MAX(0,K13)*K14/100</f>
        <v>6238.2961791386</v>
      </c>
      <c r="L15" s="0" t="n">
        <f aca="false">L13-MAX(0,L13)*L14/100</f>
        <v>6425.44506451275</v>
      </c>
    </row>
    <row r="16" customFormat="false" ht="15" hidden="false" customHeight="false" outlineLevel="0" collapsed="false">
      <c r="A16" s="0" t="s">
        <v>125</v>
      </c>
      <c r="C16" s="0" t="n">
        <f aca="false">-C12</f>
        <v>1605.7496</v>
      </c>
      <c r="D16" s="0" t="n">
        <f aca="false">-D12</f>
        <v>1649.8728064</v>
      </c>
      <c r="E16" s="0" t="n">
        <f aca="false">-E12</f>
        <v>1693.992172964</v>
      </c>
      <c r="F16" s="0" t="n">
        <f aca="false">-F12</f>
        <v>1729.7369619348</v>
      </c>
      <c r="G16" s="0" t="n">
        <f aca="false">-G12</f>
        <v>1764.82124937027</v>
      </c>
      <c r="H16" s="0" t="n">
        <f aca="false">-H12</f>
        <v>1790.52252970091</v>
      </c>
      <c r="I16" s="0" t="n">
        <f aca="false">-I12</f>
        <v>1824.90056227116</v>
      </c>
      <c r="J16" s="0" t="n">
        <f aca="false">-J12</f>
        <v>1850.22571293125</v>
      </c>
      <c r="K16" s="0" t="n">
        <f aca="false">-K12</f>
        <v>1885.8811042742</v>
      </c>
      <c r="L16" s="0" t="n">
        <f aca="false">-L12</f>
        <v>1942.45753740242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-460.78032</v>
      </c>
      <c r="D17" s="4" t="n">
        <f aca="false">-D6*Assumptions!D32/100</f>
        <v>-486.1232376</v>
      </c>
      <c r="E17" s="4" t="n">
        <f aca="false">-E6*Assumptions!E32/100</f>
        <v>-512.860015668</v>
      </c>
      <c r="F17" s="4" t="n">
        <f aca="false">-F6*Assumptions!F32/100</f>
        <v>-538.5030164514</v>
      </c>
      <c r="G17" s="4" t="n">
        <f aca="false">-G6*Assumptions!G32/100</f>
        <v>-565.42816727397</v>
      </c>
      <c r="H17" s="4" t="n">
        <f aca="false">-H6*Assumptions!H32/100</f>
        <v>-590.872434801299</v>
      </c>
      <c r="I17" s="4" t="n">
        <f aca="false">-I6*Assumptions!I32/100</f>
        <v>-614.50733219335</v>
      </c>
      <c r="J17" s="4" t="n">
        <f aca="false">-J6*Assumptions!J32/100</f>
        <v>-636.015088820118</v>
      </c>
      <c r="K17" s="4" t="n">
        <f aca="false">-K6*Assumptions!K32/100</f>
        <v>-655.095541484721</v>
      </c>
      <c r="L17" s="4" t="n">
        <f aca="false">-L6*Assumptions!L32/100</f>
        <v>-674.748407729263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5119.19954</v>
      </c>
      <c r="D19" s="0" t="n">
        <f aca="false">D15+D16+D17+D18</f>
        <v>5422.8520255</v>
      </c>
      <c r="E19" s="0" t="n">
        <f aca="false">E15+E16+E17+E18</f>
        <v>5750.24866052</v>
      </c>
      <c r="F19" s="0" t="n">
        <f aca="false">F15+F16+F17+F18</f>
        <v>6049.99979846535</v>
      </c>
      <c r="G19" s="0" t="n">
        <f aca="false">G15+G16+G17+G18</f>
        <v>6371.7757486366</v>
      </c>
      <c r="H19" s="0" t="n">
        <f aca="false">H15+H16+H17+H18</f>
        <v>6671.934576298</v>
      </c>
      <c r="I19" s="0" t="n">
        <f aca="false">I15+I16+I17+I18</f>
        <v>6964.41643152464</v>
      </c>
      <c r="J19" s="0" t="n">
        <f aca="false">J15+J16+J17+J18</f>
        <v>7227.4441911377</v>
      </c>
      <c r="K19" s="0" t="n">
        <f aca="false">K15+K16+K17+K18</f>
        <v>7469.08174192807</v>
      </c>
      <c r="L19" s="0" t="n">
        <f aca="false">L15+L16+L17+L18</f>
        <v>7693.15419418592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4739.99957407407</v>
      </c>
      <c r="D21" s="0" t="n">
        <f aca="false">D19*D20</f>
        <v>4649.22155821331</v>
      </c>
      <c r="E21" s="0" t="n">
        <f aca="false">E19*E20</f>
        <v>4564.73278060382</v>
      </c>
      <c r="F21" s="0" t="n">
        <f aca="false">F19*F20</f>
        <v>4446.93046128456</v>
      </c>
      <c r="G21" s="0" t="n">
        <f aca="false">G19*G20</f>
        <v>4336.52350978923</v>
      </c>
      <c r="H21" s="0" t="n">
        <f aca="false">H19*H20</f>
        <v>4204.45052253419</v>
      </c>
      <c r="I21" s="0" t="n">
        <f aca="false">I19*I20</f>
        <v>4063.67009640041</v>
      </c>
      <c r="J21" s="0" t="n">
        <f aca="false">J19*J20</f>
        <v>3904.76321094625</v>
      </c>
      <c r="K21" s="0" t="n">
        <f aca="false">K19*K20</f>
        <v>3736.40042681996</v>
      </c>
      <c r="L21" s="0" t="n">
        <f aca="false">L19*L20</f>
        <v>3563.41892557829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42210.1110662441</v>
      </c>
    </row>
    <row r="31" customFormat="false" ht="15" hidden="false" customHeight="false" outlineLevel="0" collapsed="false">
      <c r="A31" s="0" t="s">
        <v>134</v>
      </c>
      <c r="B31" s="0" t="n">
        <f aca="false">L19</f>
        <v>7693.15419418592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143372.419073465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153863.083883718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143372.419073465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66409.1708857773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108619.281952021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89840.2819520214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158.169510478911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0.0343961184939563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3025.50384357856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4589.07227383444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171.575454347596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63083.8643923245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48.7047608978188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88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6</v>
      </c>
      <c r="D5" s="4" t="n">
        <f aca="false">Assumptions!D41</f>
        <v>8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13426</v>
      </c>
      <c r="C6" s="0" t="n">
        <f aca="false">B6*(1+C5/100)</f>
        <v>14231.56</v>
      </c>
      <c r="D6" s="0" t="n">
        <f aca="false">C6*(1+D5/100)</f>
        <v>15370.0848</v>
      </c>
      <c r="E6" s="0" t="n">
        <f aca="false">D6*(1+E5/100)</f>
        <v>16599.691584</v>
      </c>
      <c r="F6" s="0" t="n">
        <f aca="false">E6*(1+F5/100)</f>
        <v>17761.66999488</v>
      </c>
      <c r="G6" s="0" t="n">
        <f aca="false">F6*(1+G5/100)</f>
        <v>18916.1785445472</v>
      </c>
      <c r="H6" s="0" t="n">
        <f aca="false">G6*(1+H5/100)</f>
        <v>20051.14925722</v>
      </c>
      <c r="I6" s="0" t="n">
        <f aca="false">H6*(1+I5/100)</f>
        <v>21053.706720081</v>
      </c>
      <c r="J6" s="0" t="n">
        <f aca="false">I6*(1+J5/100)</f>
        <v>22001.1235224847</v>
      </c>
      <c r="K6" s="0" t="n">
        <f aca="false">J6*(1+K5/100)</f>
        <v>22881.1684633841</v>
      </c>
      <c r="L6" s="0" t="n">
        <f aca="false">K6*(1+L5/100)</f>
        <v>23682.0093596025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52.5</v>
      </c>
      <c r="D7" s="4" t="n">
        <f aca="false">Assumptions!D42</f>
        <v>53.2</v>
      </c>
      <c r="E7" s="4" t="n">
        <f aca="false">Assumptions!E42</f>
        <v>53.9</v>
      </c>
      <c r="F7" s="4" t="n">
        <f aca="false">Assumptions!F42</f>
        <v>54.6</v>
      </c>
      <c r="G7" s="4" t="n">
        <f aca="false">Assumptions!G42</f>
        <v>55.2</v>
      </c>
      <c r="H7" s="4" t="n">
        <f aca="false">Assumptions!H42</f>
        <v>55.8</v>
      </c>
      <c r="I7" s="4" t="n">
        <f aca="false">Assumptions!I42</f>
        <v>56.3</v>
      </c>
      <c r="J7" s="4" t="n">
        <f aca="false">Assumptions!J42</f>
        <v>56.7</v>
      </c>
      <c r="K7" s="4" t="n">
        <f aca="false">Assumptions!K42</f>
        <v>57</v>
      </c>
      <c r="L7" s="4" t="n">
        <f aca="false">Assumptions!L42</f>
        <v>57</v>
      </c>
    </row>
    <row r="8" customFormat="false" ht="15" hidden="false" customHeight="false" outlineLevel="0" collapsed="false">
      <c r="A8" s="0" t="s">
        <v>43</v>
      </c>
      <c r="C8" s="0" t="n">
        <f aca="false">C6*C7/100</f>
        <v>7471.569</v>
      </c>
      <c r="D8" s="0" t="n">
        <f aca="false">D6*D7/100</f>
        <v>8176.8851136</v>
      </c>
      <c r="E8" s="0" t="n">
        <f aca="false">E6*E7/100</f>
        <v>8947.233763776</v>
      </c>
      <c r="F8" s="0" t="n">
        <f aca="false">F6*F7/100</f>
        <v>9697.87181720448</v>
      </c>
      <c r="G8" s="0" t="n">
        <f aca="false">G6*G7/100</f>
        <v>10441.7305565901</v>
      </c>
      <c r="H8" s="0" t="n">
        <f aca="false">H6*H7/100</f>
        <v>11188.5412855288</v>
      </c>
      <c r="I8" s="0" t="n">
        <f aca="false">I6*I7/100</f>
        <v>11853.2368834056</v>
      </c>
      <c r="J8" s="0" t="n">
        <f aca="false">J6*J7/100</f>
        <v>12474.6370372488</v>
      </c>
      <c r="K8" s="0" t="n">
        <f aca="false">K6*K7/100</f>
        <v>13042.2660241289</v>
      </c>
      <c r="L8" s="0" t="n">
        <f aca="false">L6*L7/100</f>
        <v>13498.7453349734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2.75</v>
      </c>
      <c r="D9" s="4" t="n">
        <f aca="false">Assumptions!D43</f>
        <v>2.7</v>
      </c>
      <c r="E9" s="4" t="n">
        <f aca="false">Assumptions!E43</f>
        <v>2.65</v>
      </c>
      <c r="F9" s="4" t="n">
        <f aca="false">Assumptions!F43</f>
        <v>2.6</v>
      </c>
      <c r="G9" s="4" t="n">
        <f aca="false">Assumptions!G43</f>
        <v>2.55</v>
      </c>
      <c r="H9" s="4" t="n">
        <f aca="false">Assumptions!H43</f>
        <v>2.5</v>
      </c>
      <c r="I9" s="4" t="n">
        <f aca="false">Assumptions!I43</f>
        <v>2.45</v>
      </c>
      <c r="J9" s="4" t="n">
        <f aca="false">Assumptions!J43</f>
        <v>2.4</v>
      </c>
      <c r="K9" s="4" t="n">
        <f aca="false">Assumptions!K43</f>
        <v>2.4</v>
      </c>
      <c r="L9" s="4" t="n">
        <f aca="false">Assumptions!L43</f>
        <v>2.4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-391.3679</v>
      </c>
      <c r="D10" s="0" t="n">
        <f aca="false">-D6*D9/100</f>
        <v>-414.9922896</v>
      </c>
      <c r="E10" s="0" t="n">
        <f aca="false">-E6*E9/100</f>
        <v>-439.891826976</v>
      </c>
      <c r="F10" s="0" t="n">
        <f aca="false">-F6*F9/100</f>
        <v>-461.80341986688</v>
      </c>
      <c r="G10" s="0" t="n">
        <f aca="false">-G6*G9/100</f>
        <v>-482.362552885954</v>
      </c>
      <c r="H10" s="0" t="n">
        <f aca="false">-H6*H9/100</f>
        <v>-501.278731430501</v>
      </c>
      <c r="I10" s="0" t="n">
        <f aca="false">-I6*I9/100</f>
        <v>-515.815814641986</v>
      </c>
      <c r="J10" s="0" t="n">
        <f aca="false">-J6*J9/100</f>
        <v>-528.026964539632</v>
      </c>
      <c r="K10" s="0" t="n">
        <f aca="false">-K6*K9/100</f>
        <v>-549.148043121218</v>
      </c>
      <c r="L10" s="0" t="n">
        <f aca="false">-L6*L9/100</f>
        <v>-568.36822463046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7080.2011</v>
      </c>
      <c r="D11" s="0" t="n">
        <f aca="false">D8+D10+D24</f>
        <v>7761.892824</v>
      </c>
      <c r="E11" s="0" t="n">
        <f aca="false">E8+E10+E24</f>
        <v>8507.3419368</v>
      </c>
      <c r="F11" s="0" t="n">
        <f aca="false">F8+F10+F24</f>
        <v>9236.0683973376</v>
      </c>
      <c r="G11" s="0" t="n">
        <f aca="false">G8+G10+G24</f>
        <v>9959.3680037041</v>
      </c>
      <c r="H11" s="0" t="n">
        <f aca="false">H8+H10+H24</f>
        <v>10687.2625540983</v>
      </c>
      <c r="I11" s="0" t="n">
        <f aca="false">I8+I10+I24</f>
        <v>11337.4210687636</v>
      </c>
      <c r="J11" s="0" t="n">
        <f aca="false">J8+J10+J24</f>
        <v>11946.6100727092</v>
      </c>
      <c r="K11" s="0" t="n">
        <f aca="false">K8+K10+K24</f>
        <v>12493.1179810077</v>
      </c>
      <c r="L11" s="0" t="n">
        <f aca="false">L8+L10+L24</f>
        <v>12930.377110343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-1636.6294</v>
      </c>
      <c r="D12" s="4" t="n">
        <f aca="false">-D6*Assumptions!D45/100</f>
        <v>-1721.4494976</v>
      </c>
      <c r="E12" s="4" t="n">
        <f aca="false">-E6*Assumptions!E45/100</f>
        <v>-1809.366382656</v>
      </c>
      <c r="F12" s="4" t="n">
        <f aca="false">-F6*Assumptions!F45/100</f>
        <v>-1882.73701945728</v>
      </c>
      <c r="G12" s="4" t="n">
        <f aca="false">-G6*Assumptions!G45/100</f>
        <v>-1948.36639008836</v>
      </c>
      <c r="H12" s="4" t="n">
        <f aca="false">-H6*Assumptions!H45/100</f>
        <v>-2005.114925722</v>
      </c>
      <c r="I12" s="4" t="n">
        <f aca="false">-I6*Assumptions!I45/100</f>
        <v>-2063.26325856794</v>
      </c>
      <c r="J12" s="4" t="n">
        <f aca="false">-J6*Assumptions!J45/100</f>
        <v>-2112.10785815853</v>
      </c>
      <c r="K12" s="4" t="n">
        <f aca="false">-K6*Assumptions!K45/100</f>
        <v>-2173.71100402149</v>
      </c>
      <c r="L12" s="4" t="n">
        <f aca="false">-L6*Assumptions!L45/100</f>
        <v>-2249.79088916224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5443.5717</v>
      </c>
      <c r="D13" s="0" t="n">
        <f aca="false">D11+D12</f>
        <v>6040.4433264</v>
      </c>
      <c r="E13" s="0" t="n">
        <f aca="false">E11+E12</f>
        <v>6697.975554144</v>
      </c>
      <c r="F13" s="0" t="n">
        <f aca="false">F11+F12</f>
        <v>7353.33137788032</v>
      </c>
      <c r="G13" s="0" t="n">
        <f aca="false">G11+G12</f>
        <v>8011.00161361574</v>
      </c>
      <c r="H13" s="0" t="n">
        <f aca="false">H11+H12</f>
        <v>8682.14762837628</v>
      </c>
      <c r="I13" s="0" t="n">
        <f aca="false">I11+I12</f>
        <v>9274.1578101957</v>
      </c>
      <c r="J13" s="0" t="n">
        <f aca="false">J11+J12</f>
        <v>9834.50221455065</v>
      </c>
      <c r="K13" s="0" t="n">
        <f aca="false">K11+K12</f>
        <v>10319.4069769862</v>
      </c>
      <c r="L13" s="0" t="n">
        <f aca="false">L11+L12</f>
        <v>10680.5862211807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4137.114492</v>
      </c>
      <c r="D15" s="0" t="n">
        <f aca="false">D13-MAX(0,D13)*D14/100</f>
        <v>4590.736928064</v>
      </c>
      <c r="E15" s="0" t="n">
        <f aca="false">E13-MAX(0,E13)*E14/100</f>
        <v>5090.46142114944</v>
      </c>
      <c r="F15" s="0" t="n">
        <f aca="false">F13-MAX(0,F13)*F14/100</f>
        <v>5588.53184718905</v>
      </c>
      <c r="G15" s="0" t="n">
        <f aca="false">G13-MAX(0,G13)*G14/100</f>
        <v>6088.36122634796</v>
      </c>
      <c r="H15" s="0" t="n">
        <f aca="false">H13-MAX(0,H13)*H14/100</f>
        <v>6598.43219756597</v>
      </c>
      <c r="I15" s="0" t="n">
        <f aca="false">I13-MAX(0,I13)*I14/100</f>
        <v>7048.35993574873</v>
      </c>
      <c r="J15" s="0" t="n">
        <f aca="false">J13-MAX(0,J13)*J14/100</f>
        <v>7474.2216830585</v>
      </c>
      <c r="K15" s="0" t="n">
        <f aca="false">K13-MAX(0,K13)*K14/100</f>
        <v>7842.74930250952</v>
      </c>
      <c r="L15" s="0" t="n">
        <f aca="false">L13-MAX(0,L13)*L14/100</f>
        <v>8117.24552809736</v>
      </c>
    </row>
    <row r="16" customFormat="false" ht="15" hidden="false" customHeight="false" outlineLevel="0" collapsed="false">
      <c r="A16" s="0" t="s">
        <v>125</v>
      </c>
      <c r="C16" s="0" t="n">
        <f aca="false">-C12</f>
        <v>1636.6294</v>
      </c>
      <c r="D16" s="0" t="n">
        <f aca="false">-D12</f>
        <v>1721.4494976</v>
      </c>
      <c r="E16" s="0" t="n">
        <f aca="false">-E12</f>
        <v>1809.366382656</v>
      </c>
      <c r="F16" s="0" t="n">
        <f aca="false">-F12</f>
        <v>1882.73701945728</v>
      </c>
      <c r="G16" s="0" t="n">
        <f aca="false">-G12</f>
        <v>1948.36639008836</v>
      </c>
      <c r="H16" s="0" t="n">
        <f aca="false">-H12</f>
        <v>2005.114925722</v>
      </c>
      <c r="I16" s="0" t="n">
        <f aca="false">-I12</f>
        <v>2063.26325856794</v>
      </c>
      <c r="J16" s="0" t="n">
        <f aca="false">-J12</f>
        <v>2112.10785815853</v>
      </c>
      <c r="K16" s="0" t="n">
        <f aca="false">-K12</f>
        <v>2173.71100402149</v>
      </c>
      <c r="L16" s="0" t="n">
        <f aca="false">-L12</f>
        <v>2249.79088916224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-455.40992</v>
      </c>
      <c r="D17" s="4" t="n">
        <f aca="false">-D6*Assumptions!D46/100</f>
        <v>-491.8427136</v>
      </c>
      <c r="E17" s="4" t="n">
        <f aca="false">-E6*Assumptions!E46/100</f>
        <v>-531.190130688</v>
      </c>
      <c r="F17" s="4" t="n">
        <f aca="false">-F6*Assumptions!F46/100</f>
        <v>-568.37343983616</v>
      </c>
      <c r="G17" s="4" t="n">
        <f aca="false">-G6*Assumptions!G46/100</f>
        <v>-605.317713425511</v>
      </c>
      <c r="H17" s="4" t="n">
        <f aca="false">-H6*Assumptions!H46/100</f>
        <v>-641.636776231041</v>
      </c>
      <c r="I17" s="4" t="n">
        <f aca="false">-I6*Assumptions!I46/100</f>
        <v>-673.718615042593</v>
      </c>
      <c r="J17" s="4" t="n">
        <f aca="false">-J6*Assumptions!J46/100</f>
        <v>-704.03595271951</v>
      </c>
      <c r="K17" s="4" t="n">
        <f aca="false">-K6*Assumptions!K46/100</f>
        <v>-732.19739082829</v>
      </c>
      <c r="L17" s="4" t="n">
        <f aca="false">-L6*Assumptions!L46/100</f>
        <v>-757.82429950728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5318.333972</v>
      </c>
      <c r="D19" s="0" t="n">
        <f aca="false">D15+D16+D17+D18</f>
        <v>5820.343712064</v>
      </c>
      <c r="E19" s="0" t="n">
        <f aca="false">E15+E16+E17+E18</f>
        <v>6368.63767311744</v>
      </c>
      <c r="F19" s="0" t="n">
        <f aca="false">F15+F16+F17+F18</f>
        <v>6902.89542681017</v>
      </c>
      <c r="G19" s="0" t="n">
        <f aca="false">G15+G16+G17+G18</f>
        <v>7431.40990301082</v>
      </c>
      <c r="H19" s="0" t="n">
        <f aca="false">H15+H16+H17+H18</f>
        <v>7961.91034705693</v>
      </c>
      <c r="I19" s="0" t="n">
        <f aca="false">I15+I16+I17+I18</f>
        <v>8437.90457927408</v>
      </c>
      <c r="J19" s="0" t="n">
        <f aca="false">J15+J16+J17+J18</f>
        <v>8882.29358849752</v>
      </c>
      <c r="K19" s="0" t="n">
        <f aca="false">K15+K16+K17+K18</f>
        <v>9284.26291570272</v>
      </c>
      <c r="L19" s="0" t="n">
        <f aca="false">L15+L16+L17+L18</f>
        <v>9609.21211775232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4924.38330740741</v>
      </c>
      <c r="D21" s="0" t="n">
        <f aca="false">D19*D20</f>
        <v>4990.00661185185</v>
      </c>
      <c r="E21" s="0" t="n">
        <f aca="false">E19*E20</f>
        <v>5055.6299162963</v>
      </c>
      <c r="F21" s="0" t="n">
        <f aca="false">F19*F20</f>
        <v>5073.83420943759</v>
      </c>
      <c r="G21" s="0" t="n">
        <f aca="false">G19*G20</f>
        <v>5057.69271025939</v>
      </c>
      <c r="H21" s="0" t="n">
        <f aca="false">H19*H20</f>
        <v>5017.3540726816</v>
      </c>
      <c r="I21" s="0" t="n">
        <f aca="false">I19*I20</f>
        <v>4923.4362781448</v>
      </c>
      <c r="J21" s="0" t="n">
        <f aca="false">J19*J20</f>
        <v>4798.8268488766</v>
      </c>
      <c r="K21" s="0" t="n">
        <f aca="false">K19*K20</f>
        <v>4644.44293415719</v>
      </c>
      <c r="L21" s="0" t="n">
        <f aca="false">L19*L20</f>
        <v>4450.92447856731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48936.53136768</v>
      </c>
    </row>
    <row r="31" customFormat="false" ht="15" hidden="false" customHeight="false" outlineLevel="0" collapsed="false">
      <c r="A31" s="0" t="s">
        <v>134</v>
      </c>
      <c r="B31" s="0" t="n">
        <f aca="false">L19</f>
        <v>9609.21211775232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197949.769625698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192184.242355046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192184.242355046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89018.4895713462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137955.020939026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119176.020939026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209.816938272934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0.372159690490704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3175.21009379157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5423.24788595149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224.95506851896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82479.070677374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65.1329365372539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101.476435633507</v>
      </c>
      <c r="C4" s="0" t="n">
        <f aca="false">B4/Assumptions!$B$2-1</f>
        <v>-0.336364949097462</v>
      </c>
      <c r="D4" s="4" t="n">
        <f aca="false">Assumptions!$B$24</f>
        <v>0.2</v>
      </c>
      <c r="E4" s="4" t="n">
        <f aca="false">DCF_Bear!$B$43</f>
        <v>113.426965667137</v>
      </c>
      <c r="F4" s="4" t="n">
        <f aca="false">DCF_Bear!$B$47</f>
        <v>31.0085504282731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158.169510478911</v>
      </c>
      <c r="C5" s="0" t="n">
        <f aca="false">B5/Assumptions!$B$2-1</f>
        <v>0.0343961184939563</v>
      </c>
      <c r="D5" s="4" t="n">
        <f aca="false">Assumptions!$B$38</f>
        <v>0.5</v>
      </c>
      <c r="E5" s="4" t="n">
        <f aca="false">DCF_Base!$B$43</f>
        <v>171.575454347596</v>
      </c>
      <c r="F5" s="4" t="n">
        <f aca="false">DCF_Base!$B$47</f>
        <v>48.7047608978188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209.816938272934</v>
      </c>
      <c r="C6" s="0" t="n">
        <f aca="false">B6/Assumptions!$B$2-1</f>
        <v>0.372159690490704</v>
      </c>
      <c r="D6" s="4" t="n">
        <f aca="false">Assumptions!$B$52</f>
        <v>0.3</v>
      </c>
      <c r="E6" s="4" t="n">
        <f aca="false">DCF_Bull!$B$43</f>
        <v>224.95506851896</v>
      </c>
      <c r="F6" s="4" t="n">
        <f aca="false">DCF_Bull!$B$47</f>
        <v>65.1329365372539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162.325123848037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175.959640862913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0.0580016427823644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-69.0535927144633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50.0939714957402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158.169510478911</v>
      </c>
      <c r="C15" s="3" t="n">
        <v>8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127.989367591294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105.891896756553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89.0223251834675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75.7280377371003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48.7047608978188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200.283751604409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200.283751604409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200.283751604409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200.283751604409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200.283751604409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172.058578245314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182.699385113313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182.699385113313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182.699385113313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182.699385113313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139.217021364242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147.903578875132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158.169510478911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166.72445348206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166.72445348206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115.197233596691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121.136438665614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127.989367591294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135.984451337921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145.433186674843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96.8815449986779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101.105147385182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105.891896756553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111.362467466691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117.674664439928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2026-09-28T21:46:37Z</dcterms:created>
  <dc:creator>openpyxl</dc:creator>
  <dc:description/>
  <dc:language>en-NZ</dc:language>
  <cp:lastModifiedBy/>
  <dcterms:modified xsi:type="dcterms:W3CDTF">2026-09-28T21:46:37Z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