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<sst xmlns="http://schemas.openxmlformats.org/spreadsheetml/2006/main" count="348" uniqueCount="162">
  <si>
    <t xml:space="preserve">Ticker</t>
  </si>
  <si>
    <t xml:space="preserve">MNSO</t>
  </si>
  <si>
    <t xml:space="preserve">Company</t>
  </si>
  <si>
    <t xml:space="preserve">MINISO Group Holding Limited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</si>
  <si>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</si>
  <si>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</si>
  <si>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</si>
  <si>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</si>
  <si>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</si>
  <si>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</si>
  <si>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</si>
  <si>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</si>
  <si>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</si>
  <si>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</si>
  <si>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</si>
  <si>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</si>
  <si>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</si>
  <si>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</si>
  <si>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</si>
  <si>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</si>
  <si>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</si>
  <si>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</si>
  <si>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2026-10-03T23:44:47Z</t>
  </si>
  <si>
    <t xml:space="preserve">Drivers file</t>
  </si>
  <si>
    <t xml:space="preserve">MNSO_Drivers.json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</si>
  <si>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</si>
  <si>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</si>
  <si>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</si>
  <si>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core MINISO/TOP TOY retail franchise on owner FCF after leases and SBC, in RMB per ADS, and add the non-operating stakes (Yonghui at market less a discount, the AI LP at fair value) separately rather than letting their mark-to-market noise drive the operating base. Leverage that funded those stakes is deducted in full, with the Equity Linked Securities at principal.
key_risks_to_valuation: Yonghui stake value: RMB6.8bn in the bridge is ~1/3 of the market cap; Yonghui fell from RMB4.69 (Dec-25) to RMB2.99 and the stake is pledged against the acquisition loans; Margin reset: each 1pp of pre-lease EBITDA margin is ~RMB1bn+ of terminal EV; FY2024's 25.5% is not assumed to return; Lease load rising with directly-operated overseas stores (lease liabilities +25% in 26H1); treatment (B) charges it in the flows; China ADS holding-structure risk (HFCAA, RMB conversion, tariffs) -- charged once in the 10.5% CNY WACC; Equity Linked Securities put at par Jan-2028 (US$550M) -- refinancing need alongside the Yonghui loans</t>
  </si>
  <si>
    <t xml:space="preserve">Data sources</t>
  </si>
  <si>
    <t xml:space="preserve">price: Yahoo Finance chart API (MNSO, USD per ADS) at inputs.price_as_of; 52-week range 8.55-23.10. FX Yahoo CNY=X / HKDCNY=X; parity vs 9896.HK. Yonghui 601933.SS close 2026-09-30.
financials: MNSO_Metrics.csv / MNSO.duckdb (core_metrics, kpis); 20-F FY2025 (lease note 20(c), ROU depreciation note, EPS note, Yonghui associate note, ELS terms); 6-K FY2025-Dec and H1-2026 (non-IFRS reconciliations, balance sheet at 2026-06-30).
qualitative: MNSO_Analysis.json (2026-10-04), incl. Q2 2026 earnings-call guidance (H2 revenue high-single-digit growth, adjusted operating margin -3 to -4pp).</t>
  </si>
  <si>
    <t xml:space="preserve">Scenario narrative: bear</t>
  </si>
  <si>
    <t xml:space="preserve">The 2026 guide-down is the start of structural margin erosion: overseas same-store GMV keeps falling, tariffs and licensing costs bite, China competition (KKV, e-commerce value retail) caps SSSG, and the debt-funded Yonghui stake continues to be marked down -- capital that earned nothing for MINISO's owners.</t>
  </si>
  <si>
    <t xml:space="preserve">Scenario narrative: base</t>
  </si>
  <si>
    <t xml:space="preserve">Core MINISO keeps growing low-double-digits as China (+26% in 26H1) and North America (+37%) carry the group, but the 2026 margin reset proves only partly temporary: pre-lease EBITDA ~20% in FY2026, recovering to 21.5% -- about 4pp below FY2024 because the overseas directly-operated model carries rent, labour and IP licensing that the franchise model did not. Yonghui is valued at its depressed market price less a block discount, not on management's turnaround narrative.</t>
  </si>
  <si>
    <t xml:space="preserve">Scenario narrative: bull</t>
  </si>
  <si>
    <t xml:space="preserve">IP + large-format pivot works: YOYO and other proprietary IP scale (RMB100M+/month), MINISO Land stores lift GMV density, US stores mature into profitable growth and TOP TOY keeps 30%+ growth. Margins recover most of the 2026 dip; the market's ~8x adjusted-earnings multiple re-rates as the leverage is shown to be serviceable.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</si>
  <si>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</si>
  <si>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</si>
  <si>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</si>
  <si>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</si>
  <si>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</si>
  <si>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</si>
  <si>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</si>
  <si>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</si>
  <si>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</si>
  <si>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</si>
  <si>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</si>
  <si>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</si>
  <si>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</si>
  <si>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</si>
  <si>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</si>
  <si>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</si>
  <si>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</si>
  <si>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</si>
  <si>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</si>
  <si>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</si>
  <si>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</si>
  <si>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</si>
  <si>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</si>
  <si>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</si>
  <si>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</si>
  <si>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</si>
  <si>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</si>
  <si>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</si>
  <si>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</si>
  <si>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</si>
  <si>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</si>
  <si>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</si>
  <si>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</si>
  <si>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</si>
  <si>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</si>
  <si>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</si>
  <si>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</si>
  <si>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</si>
  <si>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</si>
  <si>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</si>
  <si>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</si>
  <si>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</si>
  <si>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</si>
  <si>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</si>
  <si>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</si>
  <si>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</si>
  <si>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</si>
  <si>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</si>
  <si>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</si>
  <si>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</si>
  <si>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</si>
  <si>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</si>
  <si>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</si>
  <si>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</si>
  <si>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</si>
  <si>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</si>
  <si>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</si>
  <si>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</si>
  <si>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</si>
  <si>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</si>
  <si>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</si>
  <si>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</si>
  <si>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</si>
  <si>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</si>
  <si>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</si>
  <si>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</si>
  <si>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</si>
  <si>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</si>
  <si>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</si>
  <si>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</si>
  <si>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MNSO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</si>
  <si>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</si>
  <si>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</si>
  <si>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</si>
  <si>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</si>
  <si>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</si>
  <si>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</si>
  <si>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</si>
  <si>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</si>
  <si>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</si>
  <si>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</si>
  <si>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</si>
  <si>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</si>
  <si>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</si>
  <si>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</si>
  <si>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</si>
  <si>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</si>
  <si>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</si>
  <si>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</si>
  <si>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</si>
  <si>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</si>
  <si>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</si>
  <si>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</si>
  <si>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</si>
  <si>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</si>
  <si>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</si>
  <si>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</si>
  <si>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</si>
  <si>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</si>
  <si>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</si>
  <si>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</si>
  <si>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MNSO owner-FCF component DCF: base case (millions, CNY)</t>
  </si>
  <si>
    <t xml:space="preserve">MNSO owner-FCF component DCF: bull case (millions, CNY)</t>
  </si>
  <si>
    <t xml:space="preserve">MNSO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</si>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</sst>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8978.986</v>
      </c>
      <c r="C2" s="0" t="n">
        <v>6246.488</v>
      </c>
      <c r="D2" s="0" t="n">
        <v>2732.498</v>
      </c>
      <c r="E2" s="0" t="n">
        <v>30.4</v>
      </c>
      <c r="F2" s="0" t="n">
        <v>766.581</v>
      </c>
      <c r="G2" s="0" t="n">
        <v>8.5</v>
      </c>
      <c r="H2" s="0" t="n">
        <v>1035.25</v>
      </c>
      <c r="I2" s="0" t="n">
        <v>-260.176</v>
      </c>
      <c r="J2" s="0" t="n">
        <v>-2.9</v>
      </c>
      <c r="K2" s="0" t="n">
        <v>-0.26</v>
      </c>
      <c r="L2" s="0" t="n">
        <v>826.484</v>
      </c>
      <c r="M2" s="0" t="n">
        <v>56.974</v>
      </c>
      <c r="N2" s="0" t="n">
        <v>769.51</v>
      </c>
      <c r="O2" s="0" t="n">
        <v>-336.629</v>
      </c>
      <c r="P2" s="0" t="n">
        <v>5836.251</v>
      </c>
      <c r="Q2" s="0" t="n">
        <v>6159.297</v>
      </c>
      <c r="R2" s="0" t="n">
        <v>416.389</v>
      </c>
      <c r="S2" s="0" t="n">
        <v>2853.98</v>
      </c>
      <c r="U2" s="0" t="n">
        <v>364.38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9071.659</v>
      </c>
      <c r="C3" s="0" t="n">
        <v>6640.973</v>
      </c>
      <c r="D3" s="0" t="n">
        <v>2430.686</v>
      </c>
      <c r="E3" s="0" t="n">
        <v>26.8</v>
      </c>
      <c r="F3" s="0" t="n">
        <v>401.035</v>
      </c>
      <c r="G3" s="0" t="n">
        <v>4.4</v>
      </c>
      <c r="H3" s="0" t="n">
        <v>666.054</v>
      </c>
      <c r="I3" s="0" t="n">
        <v>-1429.447</v>
      </c>
      <c r="J3" s="0" t="n">
        <v>-15.8</v>
      </c>
      <c r="K3" s="0" t="n">
        <v>-1.18</v>
      </c>
      <c r="L3" s="0" t="n">
        <v>916.32</v>
      </c>
      <c r="M3" s="0" t="n">
        <v>180.279</v>
      </c>
      <c r="N3" s="0" t="n">
        <v>736.041</v>
      </c>
      <c r="O3" s="0" t="n">
        <v>6658.966</v>
      </c>
      <c r="P3" s="0" t="n">
        <v>10705.03</v>
      </c>
      <c r="Q3" s="0" t="n">
        <v>4052.876</v>
      </c>
      <c r="R3" s="0" t="n">
        <v>20.594</v>
      </c>
      <c r="S3" s="0" t="n">
        <v>6771.653</v>
      </c>
      <c r="T3" s="0" t="n">
        <v>1104.371</v>
      </c>
      <c r="U3" s="0" t="n">
        <v>281.319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10085.649</v>
      </c>
      <c r="C4" s="0" t="n">
        <v>7015.888</v>
      </c>
      <c r="D4" s="0" t="n">
        <v>3069.761</v>
      </c>
      <c r="E4" s="0" t="n">
        <v>30.4</v>
      </c>
      <c r="F4" s="0" t="n">
        <v>882.027</v>
      </c>
      <c r="G4" s="0" t="n">
        <v>8.7</v>
      </c>
      <c r="H4" s="0" t="n">
        <v>1271.898</v>
      </c>
      <c r="I4" s="0" t="n">
        <v>639.743</v>
      </c>
      <c r="J4" s="0" t="n">
        <v>6.3</v>
      </c>
      <c r="K4" s="0" t="n">
        <v>0.52</v>
      </c>
      <c r="L4" s="0" t="n">
        <v>1406.262</v>
      </c>
      <c r="M4" s="0" t="n">
        <v>1234.207</v>
      </c>
      <c r="N4" s="0" t="n">
        <v>172.055</v>
      </c>
      <c r="O4" s="0" t="n">
        <v>7031.642</v>
      </c>
      <c r="P4" s="0" t="n">
        <v>11281.788</v>
      </c>
      <c r="Q4" s="0" t="n">
        <v>4254.388</v>
      </c>
      <c r="R4" s="0" t="n">
        <v>6.948</v>
      </c>
      <c r="S4" s="0" t="n">
        <v>5348.492</v>
      </c>
      <c r="T4" s="0" t="n">
        <v>1216.637</v>
      </c>
      <c r="U4" s="0" t="n">
        <v>82.835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11473.208</v>
      </c>
      <c r="C5" s="0" t="n">
        <v>7030.156</v>
      </c>
      <c r="D5" s="0" t="n">
        <v>4443.052</v>
      </c>
      <c r="E5" s="0" t="n">
        <v>38.7</v>
      </c>
      <c r="F5" s="0" t="n">
        <v>2223.011</v>
      </c>
      <c r="G5" s="0" t="n">
        <v>19.4</v>
      </c>
      <c r="H5" s="0" t="n">
        <v>2614.178</v>
      </c>
      <c r="I5" s="0" t="n">
        <v>1781.829</v>
      </c>
      <c r="J5" s="0" t="n">
        <v>15.5</v>
      </c>
      <c r="K5" s="0" t="n">
        <v>1.41</v>
      </c>
      <c r="L5" s="0" t="n">
        <v>1666.03</v>
      </c>
      <c r="M5" s="0" t="n">
        <v>174.147</v>
      </c>
      <c r="N5" s="0" t="n">
        <v>1491.883</v>
      </c>
      <c r="O5" s="0" t="n">
        <v>8901.015</v>
      </c>
      <c r="P5" s="0" t="n">
        <v>13447.713</v>
      </c>
      <c r="Q5" s="0" t="n">
        <v>4529.445</v>
      </c>
      <c r="R5" s="0" t="n">
        <v>7.215</v>
      </c>
      <c r="S5" s="0" t="n">
        <v>6489.213</v>
      </c>
      <c r="T5" s="0" t="n">
        <v>1250.545</v>
      </c>
      <c r="U5" s="0" t="n">
        <v>62.882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16994.025</v>
      </c>
      <c r="C6" s="0" t="n">
        <v>9356.965</v>
      </c>
      <c r="D6" s="0" t="n">
        <v>7637.06</v>
      </c>
      <c r="E6" s="0" t="n">
        <v>44.9</v>
      </c>
      <c r="F6" s="0" t="n">
        <v>3315.789</v>
      </c>
      <c r="G6" s="0" t="n">
        <v>19.5</v>
      </c>
      <c r="H6" s="0" t="n">
        <v>4124.483</v>
      </c>
      <c r="I6" s="0" t="n">
        <v>2635.428</v>
      </c>
      <c r="J6" s="0" t="n">
        <v>15.5</v>
      </c>
      <c r="K6" s="0" t="n">
        <v>2.1</v>
      </c>
      <c r="L6" s="0" t="n">
        <v>2168.334</v>
      </c>
      <c r="M6" s="0" t="n">
        <v>762.538</v>
      </c>
      <c r="N6" s="0" t="n">
        <v>1405.796</v>
      </c>
      <c r="O6" s="0" t="n">
        <v>10314.974</v>
      </c>
      <c r="P6" s="0" t="n">
        <v>18120.128</v>
      </c>
      <c r="Q6" s="0" t="n">
        <v>7764.606</v>
      </c>
      <c r="R6" s="0" t="n">
        <v>571.265</v>
      </c>
      <c r="S6" s="0" t="n">
        <v>6328.121</v>
      </c>
      <c r="T6" s="0" t="n">
        <v>1246.818</v>
      </c>
      <c r="U6" s="0" t="n">
        <v>85.184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21443.827</v>
      </c>
      <c r="C7" s="0" t="n">
        <v>11795.708</v>
      </c>
      <c r="D7" s="0" t="n">
        <v>9648.119</v>
      </c>
      <c r="E7" s="0" t="n">
        <v>45</v>
      </c>
      <c r="F7" s="0" t="n">
        <v>3303.123</v>
      </c>
      <c r="G7" s="0" t="n">
        <v>15.4</v>
      </c>
      <c r="H7" s="0" t="n">
        <v>4509.428</v>
      </c>
      <c r="I7" s="0" t="n">
        <v>1209.814</v>
      </c>
      <c r="J7" s="0" t="n">
        <v>5.6</v>
      </c>
      <c r="K7" s="0" t="n">
        <v>0.98</v>
      </c>
      <c r="L7" s="0" t="n">
        <v>2577.891</v>
      </c>
      <c r="M7" s="0" t="n">
        <v>997.651</v>
      </c>
      <c r="N7" s="0" t="n">
        <v>1580.24</v>
      </c>
      <c r="O7" s="0" t="n">
        <v>10618.763</v>
      </c>
      <c r="P7" s="0" t="n">
        <v>28633.522</v>
      </c>
      <c r="Q7" s="0" t="n">
        <v>17914.251</v>
      </c>
      <c r="R7" s="0" t="n">
        <v>7166.434</v>
      </c>
      <c r="S7" s="0" t="n">
        <v>6817.129</v>
      </c>
      <c r="T7" s="0" t="n">
        <v>1233.538</v>
      </c>
      <c r="U7" s="0" t="n">
        <v>367.869</v>
      </c>
      <c r="AA7" s="0" t="s">
        <v>18</v>
      </c>
      <c r="AB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8.83</v>
      </c>
    </row>
    <row r="3" customFormat="false" ht="15" hidden="false" customHeight="false" outlineLevel="0" collapsed="false">
      <c r="A3" s="0" t="s">
        <v>73</v>
      </c>
      <c r="B3" s="3" t="n">
        <v>303.75</v>
      </c>
    </row>
    <row r="4" customFormat="false" ht="15" hidden="false" customHeight="false" outlineLevel="0" collapsed="false">
      <c r="A4" s="0" t="s">
        <v>74</v>
      </c>
      <c r="B4" s="3" t="n">
        <v>1246.7</v>
      </c>
    </row>
    <row r="5" customFormat="false" ht="15" hidden="false" customHeight="false" outlineLevel="0" collapsed="false">
      <c r="A5" s="0" t="s">
        <v>75</v>
      </c>
      <c r="B5" s="3" t="n">
        <v>5251.4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21443.8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0.149283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13</v>
      </c>
      <c r="D13" s="3" t="n">
        <v>7</v>
      </c>
      <c r="E13" s="3" t="n">
        <v>6</v>
      </c>
      <c r="F13" s="3" t="n">
        <v>5</v>
      </c>
      <c r="G13" s="3" t="n">
        <v>4.5</v>
      </c>
      <c r="H13" s="3" t="n">
        <v>4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94</v>
      </c>
      <c r="C14" s="3" t="n">
        <v>19.5</v>
      </c>
      <c r="D14" s="3" t="n">
        <v>18.5</v>
      </c>
      <c r="E14" s="3" t="n">
        <v>18.5</v>
      </c>
      <c r="F14" s="3" t="n">
        <v>18.5</v>
      </c>
      <c r="G14" s="3" t="n">
        <v>18.5</v>
      </c>
      <c r="H14" s="3" t="n">
        <v>18.5</v>
      </c>
      <c r="I14" s="3" t="n">
        <v>18.5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95</v>
      </c>
      <c r="C15" s="3" t="n">
        <v>1.3</v>
      </c>
      <c r="D15" s="3" t="n">
        <v>1.3</v>
      </c>
      <c r="E15" s="3" t="n">
        <v>1.3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96</v>
      </c>
      <c r="C16" s="3" t="n">
        <v>4.8</v>
      </c>
      <c r="D16" s="3" t="n">
        <v>5.3</v>
      </c>
      <c r="E16" s="3" t="n">
        <v>5.5</v>
      </c>
      <c r="F16" s="3" t="n">
        <v>5.6</v>
      </c>
      <c r="G16" s="3" t="n">
        <v>5.6</v>
      </c>
      <c r="H16" s="3" t="n">
        <v>5.6</v>
      </c>
      <c r="I16" s="3" t="n">
        <v>5.6</v>
      </c>
      <c r="J16" s="3" t="n">
        <v>5.6</v>
      </c>
      <c r="K16" s="3" t="n">
        <v>5.6</v>
      </c>
      <c r="L16" s="3" t="n">
        <v>5.6</v>
      </c>
    </row>
    <row r="17" customFormat="false" ht="15" hidden="false" customHeight="false" outlineLevel="0" collapsed="false">
      <c r="A17" s="0" t="s">
        <v>97</v>
      </c>
      <c r="C17" s="3" t="n">
        <v>1.5</v>
      </c>
      <c r="D17" s="3" t="n">
        <v>1.7</v>
      </c>
      <c r="E17" s="3" t="n">
        <v>1.9</v>
      </c>
      <c r="F17" s="3" t="n">
        <v>2.1</v>
      </c>
      <c r="G17" s="3" t="n">
        <v>2.2</v>
      </c>
      <c r="H17" s="3" t="n">
        <v>2.3</v>
      </c>
      <c r="I17" s="3" t="n">
        <v>2.4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98</v>
      </c>
      <c r="C18" s="3" t="n">
        <v>5.5</v>
      </c>
      <c r="D18" s="3" t="n">
        <v>4.5</v>
      </c>
      <c r="E18" s="3" t="n">
        <v>4</v>
      </c>
      <c r="F18" s="3" t="n">
        <v>3.8</v>
      </c>
      <c r="G18" s="3" t="n">
        <v>3.6</v>
      </c>
      <c r="H18" s="3" t="n">
        <v>3.5</v>
      </c>
      <c r="I18" s="3" t="n">
        <v>3.4</v>
      </c>
      <c r="J18" s="3" t="n">
        <v>3.3</v>
      </c>
      <c r="K18" s="3" t="n">
        <v>3.3</v>
      </c>
      <c r="L18" s="3" t="n">
        <v>3.3</v>
      </c>
    </row>
    <row r="19" customFormat="false" ht="15" hidden="false" customHeight="false" outlineLevel="0" collapsed="false">
      <c r="A19" s="0" t="s">
        <v>99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100</v>
      </c>
      <c r="B20" s="3" t="n">
        <v>10.5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10</v>
      </c>
    </row>
    <row r="23" customFormat="false" ht="15" hidden="false" customHeight="false" outlineLevel="0" collapsed="false">
      <c r="A23" s="0" t="s">
        <v>103</v>
      </c>
      <c r="B23" s="3" t="n">
        <v>-12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14.5</v>
      </c>
      <c r="D27" s="3" t="n">
        <v>11</v>
      </c>
      <c r="E27" s="3" t="n">
        <v>10</v>
      </c>
      <c r="F27" s="3" t="n">
        <v>9</v>
      </c>
      <c r="G27" s="3" t="n">
        <v>8</v>
      </c>
      <c r="H27" s="3" t="n">
        <v>7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94</v>
      </c>
      <c r="C28" s="3" t="n">
        <v>20</v>
      </c>
      <c r="D28" s="3" t="n">
        <v>20.5</v>
      </c>
      <c r="E28" s="3" t="n">
        <v>21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95</v>
      </c>
      <c r="C29" s="3" t="n">
        <v>1.3</v>
      </c>
      <c r="D29" s="3" t="n">
        <v>1.3</v>
      </c>
      <c r="E29" s="3" t="n">
        <v>1.2</v>
      </c>
      <c r="F29" s="3" t="n">
        <v>1.2</v>
      </c>
      <c r="G29" s="3" t="n">
        <v>1.1</v>
      </c>
      <c r="H29" s="3" t="n">
        <v>1.1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96</v>
      </c>
      <c r="C30" s="3" t="n">
        <v>4.7</v>
      </c>
      <c r="D30" s="3" t="n">
        <v>5</v>
      </c>
      <c r="E30" s="3" t="n">
        <v>5.2</v>
      </c>
      <c r="F30" s="3" t="n">
        <v>5.3</v>
      </c>
      <c r="G30" s="3" t="n">
        <v>5.3</v>
      </c>
      <c r="H30" s="3" t="n">
        <v>5.3</v>
      </c>
      <c r="I30" s="3" t="n">
        <v>5.3</v>
      </c>
      <c r="J30" s="3" t="n">
        <v>5.3</v>
      </c>
      <c r="K30" s="3" t="n">
        <v>5.3</v>
      </c>
      <c r="L30" s="3" t="n">
        <v>5.3</v>
      </c>
    </row>
    <row r="31" customFormat="false" ht="15" hidden="false" customHeight="false" outlineLevel="0" collapsed="false">
      <c r="A31" s="0" t="s">
        <v>97</v>
      </c>
      <c r="C31" s="3" t="n">
        <v>1.5</v>
      </c>
      <c r="D31" s="3" t="n">
        <v>1.7</v>
      </c>
      <c r="E31" s="3" t="n">
        <v>1.9</v>
      </c>
      <c r="F31" s="3" t="n">
        <v>2.1</v>
      </c>
      <c r="G31" s="3" t="n">
        <v>2.2</v>
      </c>
      <c r="H31" s="3" t="n">
        <v>2.3</v>
      </c>
      <c r="I31" s="3" t="n">
        <v>2.4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98</v>
      </c>
      <c r="C32" s="3" t="n">
        <v>5.5</v>
      </c>
      <c r="D32" s="3" t="n">
        <v>4.5</v>
      </c>
      <c r="E32" s="3" t="n">
        <v>4</v>
      </c>
      <c r="F32" s="3" t="n">
        <v>3.7</v>
      </c>
      <c r="G32" s="3" t="n">
        <v>3.5</v>
      </c>
      <c r="H32" s="3" t="n">
        <v>3.3</v>
      </c>
      <c r="I32" s="3" t="n">
        <v>3.2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99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100</v>
      </c>
      <c r="B34" s="3" t="n">
        <v>10.5</v>
      </c>
    </row>
    <row r="35" customFormat="false" ht="15" hidden="false" customHeight="false" outlineLevel="0" collapsed="false">
      <c r="A35" s="0" t="s">
        <v>101</v>
      </c>
      <c r="B35" s="3" t="n">
        <v>2.5</v>
      </c>
    </row>
    <row r="36" customFormat="false" ht="15" hidden="false" customHeight="false" outlineLevel="0" collapsed="false">
      <c r="A36" s="0" t="s">
        <v>102</v>
      </c>
      <c r="B36" s="3" t="n">
        <v>12</v>
      </c>
    </row>
    <row r="37" customFormat="false" ht="15" hidden="false" customHeight="false" outlineLevel="0" collapsed="false">
      <c r="A37" s="0" t="s">
        <v>103</v>
      </c>
      <c r="B37" s="3" t="n">
        <v>-10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16</v>
      </c>
      <c r="D41" s="3" t="n">
        <v>14</v>
      </c>
      <c r="E41" s="3" t="n">
        <v>12</v>
      </c>
      <c r="F41" s="3" t="n">
        <v>11</v>
      </c>
      <c r="G41" s="3" t="n">
        <v>10</v>
      </c>
      <c r="H41" s="3" t="n">
        <v>9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94</v>
      </c>
      <c r="C42" s="3" t="n">
        <v>20.5</v>
      </c>
      <c r="D42" s="3" t="n">
        <v>21.5</v>
      </c>
      <c r="E42" s="3" t="n">
        <v>22.5</v>
      </c>
      <c r="F42" s="3" t="n">
        <v>23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95</v>
      </c>
      <c r="C43" s="3" t="n">
        <v>1.3</v>
      </c>
      <c r="D43" s="3" t="n">
        <v>1.3</v>
      </c>
      <c r="E43" s="3" t="n">
        <v>1.2</v>
      </c>
      <c r="F43" s="3" t="n">
        <v>1.2</v>
      </c>
      <c r="G43" s="3" t="n">
        <v>1.1</v>
      </c>
      <c r="H43" s="3" t="n">
        <v>1.1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96</v>
      </c>
      <c r="C44" s="3" t="n">
        <v>4.7</v>
      </c>
      <c r="D44" s="3" t="n">
        <v>5</v>
      </c>
      <c r="E44" s="3" t="n">
        <v>5.2</v>
      </c>
      <c r="F44" s="3" t="n">
        <v>5.3</v>
      </c>
      <c r="G44" s="3" t="n">
        <v>5.3</v>
      </c>
      <c r="H44" s="3" t="n">
        <v>5.3</v>
      </c>
      <c r="I44" s="3" t="n">
        <v>5.3</v>
      </c>
      <c r="J44" s="3" t="n">
        <v>5.3</v>
      </c>
      <c r="K44" s="3" t="n">
        <v>5.3</v>
      </c>
      <c r="L44" s="3" t="n">
        <v>5.3</v>
      </c>
    </row>
    <row r="45" customFormat="false" ht="15" hidden="false" customHeight="false" outlineLevel="0" collapsed="false">
      <c r="A45" s="0" t="s">
        <v>97</v>
      </c>
      <c r="C45" s="3" t="n">
        <v>1.5</v>
      </c>
      <c r="D45" s="3" t="n">
        <v>1.7</v>
      </c>
      <c r="E45" s="3" t="n">
        <v>1.9</v>
      </c>
      <c r="F45" s="3" t="n">
        <v>2.1</v>
      </c>
      <c r="G45" s="3" t="n">
        <v>2.2</v>
      </c>
      <c r="H45" s="3" t="n">
        <v>2.3</v>
      </c>
      <c r="I45" s="3" t="n">
        <v>2.4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98</v>
      </c>
      <c r="C46" s="3" t="n">
        <v>5.5</v>
      </c>
      <c r="D46" s="3" t="n">
        <v>4.5</v>
      </c>
      <c r="E46" s="3" t="n">
        <v>4</v>
      </c>
      <c r="F46" s="3" t="n">
        <v>3.7</v>
      </c>
      <c r="G46" s="3" t="n">
        <v>3.5</v>
      </c>
      <c r="H46" s="3" t="n">
        <v>3.3</v>
      </c>
      <c r="I46" s="3" t="n">
        <v>3.2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99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100</v>
      </c>
      <c r="B48" s="3" t="n">
        <v>10.5</v>
      </c>
    </row>
    <row r="49" customFormat="false" ht="15" hidden="false" customHeight="false" outlineLevel="0" collapsed="false">
      <c r="A49" s="0" t="s">
        <v>101</v>
      </c>
      <c r="B49" s="3" t="n">
        <v>2.5</v>
      </c>
    </row>
    <row r="50" customFormat="false" ht="15" hidden="false" customHeight="false" outlineLevel="0" collapsed="false">
      <c r="A50" s="0" t="s">
        <v>102</v>
      </c>
      <c r="B50" s="3" t="n">
        <v>14</v>
      </c>
    </row>
    <row r="51" customFormat="false" ht="15" hidden="false" customHeight="false" outlineLevel="0" collapsed="false">
      <c r="A51" s="0" t="s">
        <v>103</v>
      </c>
      <c r="B51" s="3" t="n">
        <v>-10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13</v>
      </c>
      <c r="D5" s="4" t="n">
        <f aca="false">Assumptions!D13</f>
        <v>7</v>
      </c>
      <c r="E5" s="4" t="n">
        <f aca="false">Assumptions!E13</f>
        <v>6</v>
      </c>
      <c r="F5" s="4" t="n">
        <f aca="false">Assumptions!F13</f>
        <v>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21443.8</v>
      </c>
      <c r="C6" s="0" t="n">
        <f aca="false">B6*(1+C5/100)</f>
        <v>24231.494</v>
      </c>
      <c r="D6" s="0" t="n">
        <f aca="false">C6*(1+D5/100)</f>
        <v>25927.69858</v>
      </c>
      <c r="E6" s="0" t="n">
        <f aca="false">D6*(1+E5/100)</f>
        <v>27483.3604948</v>
      </c>
      <c r="F6" s="0" t="n">
        <f aca="false">E6*(1+F5/100)</f>
        <v>28857.52851954</v>
      </c>
      <c r="G6" s="0" t="n">
        <f aca="false">F6*(1+G5/100)</f>
        <v>30156.1173029193</v>
      </c>
      <c r="H6" s="0" t="n">
        <f aca="false">G6*(1+H5/100)</f>
        <v>31362.3619950361</v>
      </c>
      <c r="I6" s="0" t="n">
        <f aca="false">H6*(1+I5/100)</f>
        <v>32460.0446648623</v>
      </c>
      <c r="J6" s="0" t="n">
        <f aca="false">I6*(1+J5/100)</f>
        <v>33433.8460048082</v>
      </c>
      <c r="K6" s="0" t="n">
        <f aca="false">J6*(1+K5/100)</f>
        <v>34436.8613849525</v>
      </c>
      <c r="L6" s="0" t="n">
        <f aca="false">K6*(1+L5/100)</f>
        <v>35297.7829195763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19.5</v>
      </c>
      <c r="D7" s="4" t="n">
        <f aca="false">Assumptions!D14</f>
        <v>18.5</v>
      </c>
      <c r="E7" s="4" t="n">
        <f aca="false">Assumptions!E14</f>
        <v>18.5</v>
      </c>
      <c r="F7" s="4" t="n">
        <f aca="false">Assumptions!F14</f>
        <v>18.5</v>
      </c>
      <c r="G7" s="4" t="n">
        <f aca="false">Assumptions!G14</f>
        <v>18.5</v>
      </c>
      <c r="H7" s="4" t="n">
        <f aca="false">Assumptions!H14</f>
        <v>18.5</v>
      </c>
      <c r="I7" s="4" t="n">
        <f aca="false">Assumptions!I14</f>
        <v>18.5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4725.14133</v>
      </c>
      <c r="D8" s="0" t="n">
        <f aca="false">D6*D7/100</f>
        <v>4796.6242373</v>
      </c>
      <c r="E8" s="0" t="n">
        <f aca="false">E6*E7/100</f>
        <v>5084.421691538</v>
      </c>
      <c r="F8" s="0" t="n">
        <f aca="false">F6*F7/100</f>
        <v>5338.6427761149</v>
      </c>
      <c r="G8" s="0" t="n">
        <f aca="false">G6*G7/100</f>
        <v>5578.88170104007</v>
      </c>
      <c r="H8" s="0" t="n">
        <f aca="false">H6*H7/100</f>
        <v>5802.03696908167</v>
      </c>
      <c r="I8" s="0" t="n">
        <f aca="false">I6*I7/100</f>
        <v>6005.10826299953</v>
      </c>
      <c r="J8" s="0" t="n">
        <f aca="false">J6*J7/100</f>
        <v>6185.26151088952</v>
      </c>
      <c r="K8" s="0" t="n">
        <f aca="false">K6*K7/100</f>
        <v>6370.8193562162</v>
      </c>
      <c r="L8" s="0" t="n">
        <f aca="false">L6*L7/100</f>
        <v>6530.08984012161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1.3</v>
      </c>
      <c r="D9" s="4" t="n">
        <f aca="false">Assumptions!D15</f>
        <v>1.3</v>
      </c>
      <c r="E9" s="4" t="n">
        <f aca="false">Assumptions!E15</f>
        <v>1.3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-315.009422</v>
      </c>
      <c r="D10" s="0" t="n">
        <f aca="false">-D6*D9/100</f>
        <v>-337.06008154</v>
      </c>
      <c r="E10" s="0" t="n">
        <f aca="false">-E6*E9/100</f>
        <v>-357.2836864324</v>
      </c>
      <c r="F10" s="0" t="n">
        <f aca="false">-F6*F9/100</f>
        <v>-346.29034223448</v>
      </c>
      <c r="G10" s="0" t="n">
        <f aca="false">-G6*G9/100</f>
        <v>-361.873407635032</v>
      </c>
      <c r="H10" s="0" t="n">
        <f aca="false">-H6*H9/100</f>
        <v>-376.348343940433</v>
      </c>
      <c r="I10" s="0" t="n">
        <f aca="false">-I6*I9/100</f>
        <v>-389.520535978348</v>
      </c>
      <c r="J10" s="0" t="n">
        <f aca="false">-J6*J9/100</f>
        <v>-401.206152057698</v>
      </c>
      <c r="K10" s="0" t="n">
        <f aca="false">-K6*K9/100</f>
        <v>-413.242336619429</v>
      </c>
      <c r="L10" s="0" t="n">
        <f aca="false">-L6*L9/100</f>
        <v>-423.573395034915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3247.020196</v>
      </c>
      <c r="D11" s="0" t="n">
        <f aca="false">D8+D10+D24</f>
        <v>3085.39613102</v>
      </c>
      <c r="E11" s="0" t="n">
        <f aca="false">E8+E10+E24</f>
        <v>3215.5531778916</v>
      </c>
      <c r="F11" s="0" t="n">
        <f aca="false">F8+F10+F24</f>
        <v>3376.33083678618</v>
      </c>
      <c r="G11" s="0" t="n">
        <f aca="false">G8+G10+G24</f>
        <v>3528.26572444156</v>
      </c>
      <c r="H11" s="0" t="n">
        <f aca="false">H8+H10+H24</f>
        <v>3669.39635341922</v>
      </c>
      <c r="I11" s="0" t="n">
        <f aca="false">I8+I10+I24</f>
        <v>3797.82522578889</v>
      </c>
      <c r="J11" s="0" t="n">
        <f aca="false">J8+J10+J24</f>
        <v>3911.75998256256</v>
      </c>
      <c r="K11" s="0" t="n">
        <f aca="false">K8+K10+K24</f>
        <v>4029.11278203944</v>
      </c>
      <c r="L11" s="0" t="n">
        <f aca="false">L8+L10+L24</f>
        <v>4129.84060159042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-363.47241</v>
      </c>
      <c r="D12" s="4" t="n">
        <f aca="false">-D6*Assumptions!D17/100</f>
        <v>-440.77087586</v>
      </c>
      <c r="E12" s="4" t="n">
        <f aca="false">-E6*Assumptions!E17/100</f>
        <v>-522.1838494012</v>
      </c>
      <c r="F12" s="4" t="n">
        <f aca="false">-F6*Assumptions!F17/100</f>
        <v>-606.00809891034</v>
      </c>
      <c r="G12" s="4" t="n">
        <f aca="false">-G6*Assumptions!G17/100</f>
        <v>-663.434580664225</v>
      </c>
      <c r="H12" s="4" t="n">
        <f aca="false">-H6*Assumptions!H17/100</f>
        <v>-721.33432588583</v>
      </c>
      <c r="I12" s="4" t="n">
        <f aca="false">-I6*Assumptions!I17/100</f>
        <v>-779.041071956696</v>
      </c>
      <c r="J12" s="4" t="n">
        <f aca="false">-J6*Assumptions!J17/100</f>
        <v>-835.846150120205</v>
      </c>
      <c r="K12" s="4" t="n">
        <f aca="false">-K6*Assumptions!K17/100</f>
        <v>-860.921534623811</v>
      </c>
      <c r="L12" s="4" t="n">
        <f aca="false">-L6*Assumptions!L17/100</f>
        <v>-882.444572989406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2883.547786</v>
      </c>
      <c r="D13" s="0" t="n">
        <f aca="false">D11+D12</f>
        <v>2644.62525516</v>
      </c>
      <c r="E13" s="0" t="n">
        <f aca="false">E11+E12</f>
        <v>2693.3693284904</v>
      </c>
      <c r="F13" s="0" t="n">
        <f aca="false">F11+F12</f>
        <v>2770.32273787584</v>
      </c>
      <c r="G13" s="0" t="n">
        <f aca="false">G11+G12</f>
        <v>2864.83114377733</v>
      </c>
      <c r="H13" s="0" t="n">
        <f aca="false">H11+H12</f>
        <v>2948.06202753339</v>
      </c>
      <c r="I13" s="0" t="n">
        <f aca="false">I11+I12</f>
        <v>3018.7841538322</v>
      </c>
      <c r="J13" s="0" t="n">
        <f aca="false">J11+J12</f>
        <v>3075.91383244235</v>
      </c>
      <c r="K13" s="0" t="n">
        <f aca="false">K11+K12</f>
        <v>3168.19124741562</v>
      </c>
      <c r="L13" s="0" t="n">
        <f aca="false">L11+L12</f>
        <v>3247.39602860102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2191.49631736</v>
      </c>
      <c r="D15" s="0" t="n">
        <f aca="false">D13-MAX(0,D13)*D14/100</f>
        <v>2009.9151939216</v>
      </c>
      <c r="E15" s="0" t="n">
        <f aca="false">E13-MAX(0,E13)*E14/100</f>
        <v>2046.9606896527</v>
      </c>
      <c r="F15" s="0" t="n">
        <f aca="false">F13-MAX(0,F13)*F14/100</f>
        <v>2105.44528078564</v>
      </c>
      <c r="G15" s="0" t="n">
        <f aca="false">G13-MAX(0,G13)*G14/100</f>
        <v>2177.27166927077</v>
      </c>
      <c r="H15" s="0" t="n">
        <f aca="false">H13-MAX(0,H13)*H14/100</f>
        <v>2240.52714092538</v>
      </c>
      <c r="I15" s="0" t="n">
        <f aca="false">I13-MAX(0,I13)*I14/100</f>
        <v>2294.27595691247</v>
      </c>
      <c r="J15" s="0" t="n">
        <f aca="false">J13-MAX(0,J13)*J14/100</f>
        <v>2337.69451265619</v>
      </c>
      <c r="K15" s="0" t="n">
        <f aca="false">K13-MAX(0,K13)*K14/100</f>
        <v>2407.82534803587</v>
      </c>
      <c r="L15" s="0" t="n">
        <f aca="false">L13-MAX(0,L13)*L14/100</f>
        <v>2468.02098173677</v>
      </c>
    </row>
    <row r="16" customFormat="false" ht="15" hidden="false" customHeight="false" outlineLevel="0" collapsed="false">
      <c r="A16" s="0" t="s">
        <v>115</v>
      </c>
      <c r="C16" s="0" t="n">
        <f aca="false">-C12</f>
        <v>363.47241</v>
      </c>
      <c r="D16" s="0" t="n">
        <f aca="false">-D12</f>
        <v>440.77087586</v>
      </c>
      <c r="E16" s="0" t="n">
        <f aca="false">-E12</f>
        <v>522.1838494012</v>
      </c>
      <c r="F16" s="0" t="n">
        <f aca="false">-F12</f>
        <v>606.00809891034</v>
      </c>
      <c r="G16" s="0" t="n">
        <f aca="false">-G12</f>
        <v>663.434580664225</v>
      </c>
      <c r="H16" s="0" t="n">
        <f aca="false">-H12</f>
        <v>721.33432588583</v>
      </c>
      <c r="I16" s="0" t="n">
        <f aca="false">-I12</f>
        <v>779.041071956696</v>
      </c>
      <c r="J16" s="0" t="n">
        <f aca="false">-J12</f>
        <v>835.846150120205</v>
      </c>
      <c r="K16" s="0" t="n">
        <f aca="false">-K12</f>
        <v>860.921534623811</v>
      </c>
      <c r="L16" s="0" t="n">
        <f aca="false">-L12</f>
        <v>882.444572989406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-1332.73217</v>
      </c>
      <c r="D17" s="4" t="n">
        <f aca="false">-D6*Assumptions!D18/100</f>
        <v>-1166.7464361</v>
      </c>
      <c r="E17" s="4" t="n">
        <f aca="false">-E6*Assumptions!E18/100</f>
        <v>-1099.334419792</v>
      </c>
      <c r="F17" s="4" t="n">
        <f aca="false">-F6*Assumptions!F18/100</f>
        <v>-1096.58608374252</v>
      </c>
      <c r="G17" s="4" t="n">
        <f aca="false">-G6*Assumptions!G18/100</f>
        <v>-1085.62022290509</v>
      </c>
      <c r="H17" s="4" t="n">
        <f aca="false">-H6*Assumptions!H18/100</f>
        <v>-1097.68266982626</v>
      </c>
      <c r="I17" s="4" t="n">
        <f aca="false">-I6*Assumptions!I18/100</f>
        <v>-1103.64151860532</v>
      </c>
      <c r="J17" s="4" t="n">
        <f aca="false">-J6*Assumptions!J18/100</f>
        <v>-1103.31691815867</v>
      </c>
      <c r="K17" s="4" t="n">
        <f aca="false">-K6*Assumptions!K18/100</f>
        <v>-1136.41642570343</v>
      </c>
      <c r="L17" s="4" t="n">
        <f aca="false">-L6*Assumptions!L18/100</f>
        <v>-1164.82683634602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-334.52328</v>
      </c>
      <c r="D18" s="4" t="n">
        <f aca="false">(D6-C6)*Assumptions!$B$23/100</f>
        <v>-203.5445496</v>
      </c>
      <c r="E18" s="4" t="n">
        <f aca="false">(E6-D6)*Assumptions!$B$23/100</f>
        <v>-186.679429776</v>
      </c>
      <c r="F18" s="4" t="n">
        <f aca="false">(F6-E6)*Assumptions!$B$23/100</f>
        <v>-164.9001629688</v>
      </c>
      <c r="G18" s="4" t="n">
        <f aca="false">(G6-F6)*Assumptions!$B$23/100</f>
        <v>-155.830654005516</v>
      </c>
      <c r="H18" s="4" t="n">
        <f aca="false">(H6-G6)*Assumptions!$B$23/100</f>
        <v>-144.749363054013</v>
      </c>
      <c r="I18" s="4" t="n">
        <f aca="false">(I6-H6)*Assumptions!$B$23/100</f>
        <v>-131.721920379151</v>
      </c>
      <c r="J18" s="4" t="n">
        <f aca="false">(J6-I6)*Assumptions!$B$23/100</f>
        <v>-116.856160793504</v>
      </c>
      <c r="K18" s="4" t="n">
        <f aca="false">(K6-J6)*Assumptions!$B$23/100</f>
        <v>-120.36184561731</v>
      </c>
      <c r="L18" s="4" t="n">
        <f aca="false">(L6-K6)*Assumptions!$B$23/100</f>
        <v>-103.310584154857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887.713277360001</v>
      </c>
      <c r="D19" s="0" t="n">
        <f aca="false">D15+D16+D17+D18</f>
        <v>1080.3950840816</v>
      </c>
      <c r="E19" s="0" t="n">
        <f aca="false">E15+E16+E17+E18</f>
        <v>1283.1306894859</v>
      </c>
      <c r="F19" s="0" t="n">
        <f aca="false">F15+F16+F17+F18</f>
        <v>1449.96713298466</v>
      </c>
      <c r="G19" s="0" t="n">
        <f aca="false">G15+G16+G17+G18</f>
        <v>1599.25537302439</v>
      </c>
      <c r="H19" s="0" t="n">
        <f aca="false">H15+H16+H17+H18</f>
        <v>1719.42943393093</v>
      </c>
      <c r="I19" s="0" t="n">
        <f aca="false">I15+I16+I17+I18</f>
        <v>1837.9535898847</v>
      </c>
      <c r="J19" s="0" t="n">
        <f aca="false">J15+J16+J17+J18</f>
        <v>1953.36758382422</v>
      </c>
      <c r="K19" s="0" t="n">
        <f aca="false">K15+K16+K17+K18</f>
        <v>2011.96861133894</v>
      </c>
      <c r="L19" s="0" t="n">
        <f aca="false">L15+L16+L17+L18</f>
        <v>2082.32813422531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803.360432000001</v>
      </c>
      <c r="D21" s="0" t="n">
        <f aca="false">D19*D20</f>
        <v>884.826341869822</v>
      </c>
      <c r="E21" s="0" t="n">
        <f aca="false">E19*E20</f>
        <v>951.007754860585</v>
      </c>
      <c r="F21" s="0" t="n">
        <f aca="false">F19*F20</f>
        <v>972.543523148834</v>
      </c>
      <c r="G21" s="0" t="n">
        <f aca="false">G19*G20</f>
        <v>970.747829967834</v>
      </c>
      <c r="H21" s="0" t="n">
        <f aca="false">H19*H20</f>
        <v>944.518978554455</v>
      </c>
      <c r="I21" s="0" t="n">
        <f aca="false">I19*I20</f>
        <v>913.689417103153</v>
      </c>
      <c r="J21" s="0" t="n">
        <f aca="false">J19*J20</f>
        <v>878.791306832157</v>
      </c>
      <c r="K21" s="0" t="n">
        <f aca="false">K19*K20</f>
        <v>819.144838042643</v>
      </c>
      <c r="L21" s="0" t="n">
        <f aca="false">L19*L20</f>
        <v>767.23143189621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4.8</v>
      </c>
      <c r="D23" s="4" t="n">
        <f aca="false">Assumptions!D16</f>
        <v>5.3</v>
      </c>
      <c r="E23" s="4" t="n">
        <f aca="false">Assumptions!E16</f>
        <v>5.5</v>
      </c>
      <c r="F23" s="4" t="n">
        <f aca="false">Assumptions!F16</f>
        <v>5.6</v>
      </c>
      <c r="G23" s="4" t="n">
        <f aca="false">Assumptions!G16</f>
        <v>5.6</v>
      </c>
      <c r="H23" s="4" t="n">
        <f aca="false">Assumptions!H16</f>
        <v>5.6</v>
      </c>
      <c r="I23" s="4" t="n">
        <f aca="false">Assumptions!I16</f>
        <v>5.6</v>
      </c>
      <c r="J23" s="4" t="n">
        <f aca="false">Assumptions!J16</f>
        <v>5.6</v>
      </c>
      <c r="K23" s="4" t="n">
        <f aca="false">Assumptions!K16</f>
        <v>5.6</v>
      </c>
      <c r="L23" s="4" t="n">
        <f aca="false">Assumptions!L16</f>
        <v>5.6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-1163.111712</v>
      </c>
      <c r="D24" s="0" t="n">
        <f aca="false">-D6*D23/100</f>
        <v>-1374.16802474</v>
      </c>
      <c r="E24" s="0" t="n">
        <f aca="false">-E6*E23/100</f>
        <v>-1511.584827214</v>
      </c>
      <c r="F24" s="0" t="n">
        <f aca="false">-F6*F23/100</f>
        <v>-1616.02159709424</v>
      </c>
      <c r="G24" s="0" t="n">
        <f aca="false">-G6*G23/100</f>
        <v>-1688.74256896348</v>
      </c>
      <c r="H24" s="0" t="n">
        <f aca="false">-H6*H23/100</f>
        <v>-1756.29227172202</v>
      </c>
      <c r="I24" s="0" t="n">
        <f aca="false">-I6*I23/100</f>
        <v>-1817.76250123229</v>
      </c>
      <c r="J24" s="0" t="n">
        <f aca="false">-J6*J23/100</f>
        <v>-1872.29537626926</v>
      </c>
      <c r="K24" s="0" t="n">
        <f aca="false">-K6*K23/100</f>
        <v>-1928.46423755734</v>
      </c>
      <c r="L24" s="0" t="n">
        <f aca="false">-L6*L23/100</f>
        <v>-1976.67584349627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8905.86185427569</v>
      </c>
    </row>
    <row r="31" customFormat="false" ht="15" hidden="false" customHeight="false" outlineLevel="0" collapsed="false">
      <c r="A31" s="0" t="s">
        <v>124</v>
      </c>
      <c r="B31" s="0" t="n">
        <f aca="false">L19</f>
        <v>2082.32813422531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24987.9376107037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20823.2813422531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20823.2813422531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7672.3143189621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16578.1761732378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20582.8761732378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10.1157975432739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0.145616935818112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2183.03798113299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1872.78162578356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12.1090976860865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16338.2668993062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7.49951648211157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14.5</v>
      </c>
      <c r="D5" s="4" t="n">
        <f aca="false">Assumptions!D27</f>
        <v>11</v>
      </c>
      <c r="E5" s="4" t="n">
        <f aca="false">Assumptions!E27</f>
        <v>10</v>
      </c>
      <c r="F5" s="4" t="n">
        <f aca="false">Assumptions!F27</f>
        <v>9</v>
      </c>
      <c r="G5" s="4" t="n">
        <f aca="false">Assumptions!G27</f>
        <v>8</v>
      </c>
      <c r="H5" s="4" t="n">
        <f aca="false">Assumptions!H27</f>
        <v>7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21443.8</v>
      </c>
      <c r="C6" s="0" t="n">
        <f aca="false">B6*(1+C5/100)</f>
        <v>24553.151</v>
      </c>
      <c r="D6" s="0" t="n">
        <f aca="false">C6*(1+D5/100)</f>
        <v>27253.99761</v>
      </c>
      <c r="E6" s="0" t="n">
        <f aca="false">D6*(1+E5/100)</f>
        <v>29979.397371</v>
      </c>
      <c r="F6" s="0" t="n">
        <f aca="false">E6*(1+F5/100)</f>
        <v>32677.54313439</v>
      </c>
      <c r="G6" s="0" t="n">
        <f aca="false">F6*(1+G5/100)</f>
        <v>35291.7465851412</v>
      </c>
      <c r="H6" s="0" t="n">
        <f aca="false">G6*(1+H5/100)</f>
        <v>37762.1688461011</v>
      </c>
      <c r="I6" s="0" t="n">
        <f aca="false">H6*(1+I5/100)</f>
        <v>40027.8989768672</v>
      </c>
      <c r="J6" s="0" t="n">
        <f aca="false">I6*(1+J5/100)</f>
        <v>42029.2939257105</v>
      </c>
      <c r="K6" s="0" t="n">
        <f aca="false">J6*(1+K5/100)</f>
        <v>43710.4656827389</v>
      </c>
      <c r="L6" s="0" t="n">
        <f aca="false">K6*(1+L5/100)</f>
        <v>45240.3319816348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20</v>
      </c>
      <c r="D7" s="4" t="n">
        <f aca="false">Assumptions!D28</f>
        <v>20.5</v>
      </c>
      <c r="E7" s="4" t="n">
        <f aca="false">Assumptions!E28</f>
        <v>21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4910.6302</v>
      </c>
      <c r="D8" s="0" t="n">
        <f aca="false">D6*D7/100</f>
        <v>5587.06951005</v>
      </c>
      <c r="E8" s="0" t="n">
        <f aca="false">E6*E7/100</f>
        <v>6295.67344791</v>
      </c>
      <c r="F8" s="0" t="n">
        <f aca="false">F6*F7/100</f>
        <v>7025.67177389385</v>
      </c>
      <c r="G8" s="0" t="n">
        <f aca="false">G6*G7/100</f>
        <v>7587.72551580536</v>
      </c>
      <c r="H8" s="0" t="n">
        <f aca="false">H6*H7/100</f>
        <v>8118.86630191174</v>
      </c>
      <c r="I8" s="0" t="n">
        <f aca="false">I6*I7/100</f>
        <v>8605.99828002644</v>
      </c>
      <c r="J8" s="0" t="n">
        <f aca="false">J6*J7/100</f>
        <v>9036.29819402776</v>
      </c>
      <c r="K8" s="0" t="n">
        <f aca="false">K6*K7/100</f>
        <v>9397.75012178887</v>
      </c>
      <c r="L8" s="0" t="n">
        <f aca="false">L6*L7/100</f>
        <v>9726.67137605148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-319.190963</v>
      </c>
      <c r="D10" s="0" t="n">
        <f aca="false">-D6*D9/100</f>
        <v>-354.30196893</v>
      </c>
      <c r="E10" s="0" t="n">
        <f aca="false">-E6*E9/100</f>
        <v>-359.752768452</v>
      </c>
      <c r="F10" s="0" t="n">
        <f aca="false">-F6*F9/100</f>
        <v>-392.13051761268</v>
      </c>
      <c r="G10" s="0" t="n">
        <f aca="false">-G6*G9/100</f>
        <v>-388.209212436553</v>
      </c>
      <c r="H10" s="0" t="n">
        <f aca="false">-H6*H9/100</f>
        <v>-415.383857307112</v>
      </c>
      <c r="I10" s="0" t="n">
        <f aca="false">-I6*I9/100</f>
        <v>-400.278989768672</v>
      </c>
      <c r="J10" s="0" t="n">
        <f aca="false">-J6*J9/100</f>
        <v>-420.292939257105</v>
      </c>
      <c r="K10" s="0" t="n">
        <f aca="false">-K6*K9/100</f>
        <v>-437.104656827389</v>
      </c>
      <c r="L10" s="0" t="n">
        <f aca="false">-L6*L9/100</f>
        <v>-452.403319816348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3437.44114</v>
      </c>
      <c r="D11" s="0" t="n">
        <f aca="false">D8+D10+D24</f>
        <v>3870.06766062</v>
      </c>
      <c r="E11" s="0" t="n">
        <f aca="false">E8+E10+E24</f>
        <v>4376.992016166</v>
      </c>
      <c r="F11" s="0" t="n">
        <f aca="false">F8+F10+F24</f>
        <v>4901.6314701585</v>
      </c>
      <c r="G11" s="0" t="n">
        <f aca="false">G8+G10+G24</f>
        <v>5329.05373435632</v>
      </c>
      <c r="H11" s="0" t="n">
        <f aca="false">H8+H10+H24</f>
        <v>5702.08749576126</v>
      </c>
      <c r="I11" s="0" t="n">
        <f aca="false">I8+I10+I24</f>
        <v>6084.24064448381</v>
      </c>
      <c r="J11" s="0" t="n">
        <f aca="false">J8+J10+J24</f>
        <v>6388.452676708</v>
      </c>
      <c r="K11" s="0" t="n">
        <f aca="false">K8+K10+K24</f>
        <v>6643.99078377632</v>
      </c>
      <c r="L11" s="0" t="n">
        <f aca="false">L8+L10+L24</f>
        <v>6876.53046120849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-368.297265</v>
      </c>
      <c r="D12" s="4" t="n">
        <f aca="false">-D6*Assumptions!D31/100</f>
        <v>-463.31795937</v>
      </c>
      <c r="E12" s="4" t="n">
        <f aca="false">-E6*Assumptions!E31/100</f>
        <v>-569.608550049</v>
      </c>
      <c r="F12" s="4" t="n">
        <f aca="false">-F6*Assumptions!F31/100</f>
        <v>-686.22840582219</v>
      </c>
      <c r="G12" s="4" t="n">
        <f aca="false">-G6*Assumptions!G31/100</f>
        <v>-776.418424873107</v>
      </c>
      <c r="H12" s="4" t="n">
        <f aca="false">-H6*Assumptions!H31/100</f>
        <v>-868.529883460325</v>
      </c>
      <c r="I12" s="4" t="n">
        <f aca="false">-I6*Assumptions!I31/100</f>
        <v>-960.669575444812</v>
      </c>
      <c r="J12" s="4" t="n">
        <f aca="false">-J6*Assumptions!J31/100</f>
        <v>-1050.73234814276</v>
      </c>
      <c r="K12" s="4" t="n">
        <f aca="false">-K6*Assumptions!K31/100</f>
        <v>-1092.76164206847</v>
      </c>
      <c r="L12" s="4" t="n">
        <f aca="false">-L6*Assumptions!L31/100</f>
        <v>-1131.00829954087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3069.143875</v>
      </c>
      <c r="D13" s="0" t="n">
        <f aca="false">D11+D12</f>
        <v>3406.74970125</v>
      </c>
      <c r="E13" s="0" t="n">
        <f aca="false">E11+E12</f>
        <v>3807.383466117</v>
      </c>
      <c r="F13" s="0" t="n">
        <f aca="false">F11+F12</f>
        <v>4215.40306433631</v>
      </c>
      <c r="G13" s="0" t="n">
        <f aca="false">G11+G12</f>
        <v>4552.63530948322</v>
      </c>
      <c r="H13" s="0" t="n">
        <f aca="false">H11+H12</f>
        <v>4833.55761230094</v>
      </c>
      <c r="I13" s="0" t="n">
        <f aca="false">I11+I12</f>
        <v>5123.571069039</v>
      </c>
      <c r="J13" s="0" t="n">
        <f aca="false">J11+J12</f>
        <v>5337.72032856523</v>
      </c>
      <c r="K13" s="0" t="n">
        <f aca="false">K11+K12</f>
        <v>5551.22914170785</v>
      </c>
      <c r="L13" s="0" t="n">
        <f aca="false">L11+L12</f>
        <v>5745.52216166762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2332.549345</v>
      </c>
      <c r="D15" s="0" t="n">
        <f aca="false">D13-MAX(0,D13)*D14/100</f>
        <v>2589.12977295</v>
      </c>
      <c r="E15" s="0" t="n">
        <f aca="false">E13-MAX(0,E13)*E14/100</f>
        <v>2893.61143424892</v>
      </c>
      <c r="F15" s="0" t="n">
        <f aca="false">F13-MAX(0,F13)*F14/100</f>
        <v>3203.7063288956</v>
      </c>
      <c r="G15" s="0" t="n">
        <f aca="false">G13-MAX(0,G13)*G14/100</f>
        <v>3460.00283520724</v>
      </c>
      <c r="H15" s="0" t="n">
        <f aca="false">H13-MAX(0,H13)*H14/100</f>
        <v>3673.50378534871</v>
      </c>
      <c r="I15" s="0" t="n">
        <f aca="false">I13-MAX(0,I13)*I14/100</f>
        <v>3893.91401246964</v>
      </c>
      <c r="J15" s="0" t="n">
        <f aca="false">J13-MAX(0,J13)*J14/100</f>
        <v>4056.66744970958</v>
      </c>
      <c r="K15" s="0" t="n">
        <f aca="false">K13-MAX(0,K13)*K14/100</f>
        <v>4218.93414769796</v>
      </c>
      <c r="L15" s="0" t="n">
        <f aca="false">L13-MAX(0,L13)*L14/100</f>
        <v>4366.59684286739</v>
      </c>
    </row>
    <row r="16" customFormat="false" ht="15" hidden="false" customHeight="false" outlineLevel="0" collapsed="false">
      <c r="A16" s="0" t="s">
        <v>115</v>
      </c>
      <c r="C16" s="0" t="n">
        <f aca="false">-C12</f>
        <v>368.297265</v>
      </c>
      <c r="D16" s="0" t="n">
        <f aca="false">-D12</f>
        <v>463.31795937</v>
      </c>
      <c r="E16" s="0" t="n">
        <f aca="false">-E12</f>
        <v>569.608550049</v>
      </c>
      <c r="F16" s="0" t="n">
        <f aca="false">-F12</f>
        <v>686.22840582219</v>
      </c>
      <c r="G16" s="0" t="n">
        <f aca="false">-G12</f>
        <v>776.418424873107</v>
      </c>
      <c r="H16" s="0" t="n">
        <f aca="false">-H12</f>
        <v>868.529883460325</v>
      </c>
      <c r="I16" s="0" t="n">
        <f aca="false">-I12</f>
        <v>960.669575444812</v>
      </c>
      <c r="J16" s="0" t="n">
        <f aca="false">-J12</f>
        <v>1050.73234814276</v>
      </c>
      <c r="K16" s="0" t="n">
        <f aca="false">-K12</f>
        <v>1092.76164206847</v>
      </c>
      <c r="L16" s="0" t="n">
        <f aca="false">-L12</f>
        <v>1131.00829954087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-1350.423305</v>
      </c>
      <c r="D17" s="4" t="n">
        <f aca="false">-D6*Assumptions!D32/100</f>
        <v>-1226.42989245</v>
      </c>
      <c r="E17" s="4" t="n">
        <f aca="false">-E6*Assumptions!E32/100</f>
        <v>-1199.17589484</v>
      </c>
      <c r="F17" s="4" t="n">
        <f aca="false">-F6*Assumptions!F32/100</f>
        <v>-1209.06909597243</v>
      </c>
      <c r="G17" s="4" t="n">
        <f aca="false">-G6*Assumptions!G32/100</f>
        <v>-1235.21113047994</v>
      </c>
      <c r="H17" s="4" t="n">
        <f aca="false">-H6*Assumptions!H32/100</f>
        <v>-1246.15157192134</v>
      </c>
      <c r="I17" s="4" t="n">
        <f aca="false">-I6*Assumptions!I32/100</f>
        <v>-1280.89276725975</v>
      </c>
      <c r="J17" s="4" t="n">
        <f aca="false">-J6*Assumptions!J32/100</f>
        <v>-1260.87881777132</v>
      </c>
      <c r="K17" s="4" t="n">
        <f aca="false">-K6*Assumptions!K32/100</f>
        <v>-1311.31397048217</v>
      </c>
      <c r="L17" s="4" t="n">
        <f aca="false">-L6*Assumptions!L32/100</f>
        <v>-1357.20995944904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-310.9351</v>
      </c>
      <c r="D18" s="4" t="n">
        <f aca="false">(D6-C6)*Assumptions!$B$37/100</f>
        <v>-270.084661</v>
      </c>
      <c r="E18" s="4" t="n">
        <f aca="false">(E6-D6)*Assumptions!$B$37/100</f>
        <v>-272.5399761</v>
      </c>
      <c r="F18" s="4" t="n">
        <f aca="false">(F6-E6)*Assumptions!$B$37/100</f>
        <v>-269.814576339</v>
      </c>
      <c r="G18" s="4" t="n">
        <f aca="false">(G6-F6)*Assumptions!$B$37/100</f>
        <v>-261.42034507512</v>
      </c>
      <c r="H18" s="4" t="n">
        <f aca="false">(H6-G6)*Assumptions!$B$37/100</f>
        <v>-247.042226095989</v>
      </c>
      <c r="I18" s="4" t="n">
        <f aca="false">(I6-H6)*Assumptions!$B$37/100</f>
        <v>-226.573013076607</v>
      </c>
      <c r="J18" s="4" t="n">
        <f aca="false">(J6-I6)*Assumptions!$B$37/100</f>
        <v>-200.139494884336</v>
      </c>
      <c r="K18" s="4" t="n">
        <f aca="false">(K6-J6)*Assumptions!$B$37/100</f>
        <v>-168.117175702842</v>
      </c>
      <c r="L18" s="4" t="n">
        <f aca="false">(L6-K6)*Assumptions!$B$37/100</f>
        <v>-152.986629889586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1039.488205</v>
      </c>
      <c r="D19" s="0" t="n">
        <f aca="false">D15+D16+D17+D18</f>
        <v>1555.93317887</v>
      </c>
      <c r="E19" s="0" t="n">
        <f aca="false">E15+E16+E17+E18</f>
        <v>1991.50411335792</v>
      </c>
      <c r="F19" s="0" t="n">
        <f aca="false">F15+F16+F17+F18</f>
        <v>2411.05106240636</v>
      </c>
      <c r="G19" s="0" t="n">
        <f aca="false">G15+G16+G17+G18</f>
        <v>2739.78978452529</v>
      </c>
      <c r="H19" s="0" t="n">
        <f aca="false">H15+H16+H17+H18</f>
        <v>3048.83987079171</v>
      </c>
      <c r="I19" s="0" t="n">
        <f aca="false">I15+I16+I17+I18</f>
        <v>3347.11780757809</v>
      </c>
      <c r="J19" s="0" t="n">
        <f aca="false">J15+J16+J17+J18</f>
        <v>3646.38148519669</v>
      </c>
      <c r="K19" s="0" t="n">
        <f aca="false">K15+K16+K17+K18</f>
        <v>3832.26464358143</v>
      </c>
      <c r="L19" s="0" t="n">
        <f aca="false">L15+L16+L17+L18</f>
        <v>3987.40855306963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940.713307692308</v>
      </c>
      <c r="D21" s="0" t="n">
        <f aca="false">D19*D20</f>
        <v>1274.28445680473</v>
      </c>
      <c r="E21" s="0" t="n">
        <f aca="false">E19*E20</f>
        <v>1476.02724426999</v>
      </c>
      <c r="F21" s="0" t="n">
        <f aca="false">F19*F20</f>
        <v>1617.17603205095</v>
      </c>
      <c r="G21" s="0" t="n">
        <f aca="false">G19*G20</f>
        <v>1663.05208833924</v>
      </c>
      <c r="H21" s="0" t="n">
        <f aca="false">H19*H20</f>
        <v>1674.7922675447</v>
      </c>
      <c r="I21" s="0" t="n">
        <f aca="false">I19*I20</f>
        <v>1663.93000096018</v>
      </c>
      <c r="J21" s="0" t="n">
        <f aca="false">J19*J20</f>
        <v>1640.45332640932</v>
      </c>
      <c r="K21" s="0" t="n">
        <f aca="false">K19*K20</f>
        <v>1560.25287030396</v>
      </c>
      <c r="L21" s="0" t="n">
        <f aca="false">L19*L20</f>
        <v>1469.15614472306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4.7</v>
      </c>
      <c r="D23" s="4" t="n">
        <f aca="false">Assumptions!D30</f>
        <v>5</v>
      </c>
      <c r="E23" s="4" t="n">
        <f aca="false">Assumptions!E30</f>
        <v>5.2</v>
      </c>
      <c r="F23" s="4" t="n">
        <f aca="false">Assumptions!F30</f>
        <v>5.3</v>
      </c>
      <c r="G23" s="4" t="n">
        <f aca="false">Assumptions!G30</f>
        <v>5.3</v>
      </c>
      <c r="H23" s="4" t="n">
        <f aca="false">Assumptions!H30</f>
        <v>5.3</v>
      </c>
      <c r="I23" s="4" t="n">
        <f aca="false">Assumptions!I30</f>
        <v>5.3</v>
      </c>
      <c r="J23" s="4" t="n">
        <f aca="false">Assumptions!J30</f>
        <v>5.3</v>
      </c>
      <c r="K23" s="4" t="n">
        <f aca="false">Assumptions!K30</f>
        <v>5.3</v>
      </c>
      <c r="L23" s="4" t="n">
        <f aca="false">Assumptions!L30</f>
        <v>5.3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-1153.998097</v>
      </c>
      <c r="D24" s="0" t="n">
        <f aca="false">-D6*D23/100</f>
        <v>-1362.6998805</v>
      </c>
      <c r="E24" s="0" t="n">
        <f aca="false">-E6*E23/100</f>
        <v>-1558.928663292</v>
      </c>
      <c r="F24" s="0" t="n">
        <f aca="false">-F6*F23/100</f>
        <v>-1731.90978612267</v>
      </c>
      <c r="G24" s="0" t="n">
        <f aca="false">-G6*G23/100</f>
        <v>-1870.46256901248</v>
      </c>
      <c r="H24" s="0" t="n">
        <f aca="false">-H6*H23/100</f>
        <v>-2001.39494884336</v>
      </c>
      <c r="I24" s="0" t="n">
        <f aca="false">-I6*I23/100</f>
        <v>-2121.47864577396</v>
      </c>
      <c r="J24" s="0" t="n">
        <f aca="false">-J6*J23/100</f>
        <v>-2227.55257806266</v>
      </c>
      <c r="K24" s="0" t="n">
        <f aca="false">-K6*K23/100</f>
        <v>-2316.65468118516</v>
      </c>
      <c r="L24" s="0" t="n">
        <f aca="false">-L6*L23/100</f>
        <v>-2397.73759502664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14979.8377390984</v>
      </c>
    </row>
    <row r="31" customFormat="false" ht="15" hidden="false" customHeight="false" outlineLevel="0" collapsed="false">
      <c r="A31" s="0" t="s">
        <v>124</v>
      </c>
      <c r="B31" s="0" t="n">
        <f aca="false">L19</f>
        <v>3987.40855306963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51088.6720862046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47848.9026368356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47848.9026368356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17629.8737366767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32609.7114757751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36614.4114757751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17.994762759961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1.03791197734552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2305.2211743374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2135.68344597793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20.1773193506919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32696.750135171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11.8250750904821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16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9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21443.8</v>
      </c>
      <c r="C6" s="0" t="n">
        <f aca="false">B6*(1+C5/100)</f>
        <v>24874.808</v>
      </c>
      <c r="D6" s="0" t="n">
        <f aca="false">C6*(1+D5/100)</f>
        <v>28357.28112</v>
      </c>
      <c r="E6" s="0" t="n">
        <f aca="false">D6*(1+E5/100)</f>
        <v>31760.1548544</v>
      </c>
      <c r="F6" s="0" t="n">
        <f aca="false">E6*(1+F5/100)</f>
        <v>35253.771888384</v>
      </c>
      <c r="G6" s="0" t="n">
        <f aca="false">F6*(1+G5/100)</f>
        <v>38779.1490772224</v>
      </c>
      <c r="H6" s="0" t="n">
        <f aca="false">G6*(1+H5/100)</f>
        <v>42269.2724941724</v>
      </c>
      <c r="I6" s="0" t="n">
        <f aca="false">H6*(1+I5/100)</f>
        <v>45650.8142937062</v>
      </c>
      <c r="J6" s="0" t="n">
        <f aca="false">I6*(1+J5/100)</f>
        <v>48389.8631513286</v>
      </c>
      <c r="K6" s="0" t="n">
        <f aca="false">J6*(1+K5/100)</f>
        <v>50809.356308895</v>
      </c>
      <c r="L6" s="0" t="n">
        <f aca="false">K6*(1+L5/100)</f>
        <v>52841.7305612508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20.5</v>
      </c>
      <c r="D7" s="4" t="n">
        <f aca="false">Assumptions!D42</f>
        <v>21.5</v>
      </c>
      <c r="E7" s="4" t="n">
        <f aca="false">Assumptions!E42</f>
        <v>22.5</v>
      </c>
      <c r="F7" s="4" t="n">
        <f aca="false">Assumptions!F42</f>
        <v>23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5099.33564</v>
      </c>
      <c r="D8" s="0" t="n">
        <f aca="false">D6*D7/100</f>
        <v>6096.8154408</v>
      </c>
      <c r="E8" s="0" t="n">
        <f aca="false">E6*E7/100</f>
        <v>7146.03484224</v>
      </c>
      <c r="F8" s="0" t="n">
        <f aca="false">F6*F7/100</f>
        <v>8108.36753432832</v>
      </c>
      <c r="G8" s="0" t="n">
        <f aca="false">G6*G7/100</f>
        <v>9113.10003314727</v>
      </c>
      <c r="H8" s="0" t="n">
        <f aca="false">H6*H7/100</f>
        <v>9933.27903613052</v>
      </c>
      <c r="I8" s="0" t="n">
        <f aca="false">I6*I7/100</f>
        <v>10727.941359021</v>
      </c>
      <c r="J8" s="0" t="n">
        <f aca="false">J6*J7/100</f>
        <v>11371.6178405622</v>
      </c>
      <c r="K8" s="0" t="n">
        <f aca="false">K6*K7/100</f>
        <v>11940.1987325903</v>
      </c>
      <c r="L8" s="0" t="n">
        <f aca="false">L6*L7/100</f>
        <v>12417.8066818939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-323.372504</v>
      </c>
      <c r="D10" s="0" t="n">
        <f aca="false">-D6*D9/100</f>
        <v>-368.64465456</v>
      </c>
      <c r="E10" s="0" t="n">
        <f aca="false">-E6*E9/100</f>
        <v>-381.1218582528</v>
      </c>
      <c r="F10" s="0" t="n">
        <f aca="false">-F6*F9/100</f>
        <v>-423.045262660608</v>
      </c>
      <c r="G10" s="0" t="n">
        <f aca="false">-G6*G9/100</f>
        <v>-426.570639849447</v>
      </c>
      <c r="H10" s="0" t="n">
        <f aca="false">-H6*H9/100</f>
        <v>-464.961997435897</v>
      </c>
      <c r="I10" s="0" t="n">
        <f aca="false">-I6*I9/100</f>
        <v>-456.508142937062</v>
      </c>
      <c r="J10" s="0" t="n">
        <f aca="false">-J6*J9/100</f>
        <v>-483.898631513286</v>
      </c>
      <c r="K10" s="0" t="n">
        <f aca="false">-K6*K9/100</f>
        <v>-508.09356308895</v>
      </c>
      <c r="L10" s="0" t="n">
        <f aca="false">-L6*L9/100</f>
        <v>-528.417305612509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3606.84716</v>
      </c>
      <c r="D11" s="0" t="n">
        <f aca="false">D8+D10+D24</f>
        <v>4310.30673024</v>
      </c>
      <c r="E11" s="0" t="n">
        <f aca="false">E8+E10+E24</f>
        <v>5113.3849315584</v>
      </c>
      <c r="F11" s="0" t="n">
        <f aca="false">F8+F10+F24</f>
        <v>5816.87236158336</v>
      </c>
      <c r="G11" s="0" t="n">
        <f aca="false">G8+G10+G24</f>
        <v>6631.23449220503</v>
      </c>
      <c r="H11" s="0" t="n">
        <f aca="false">H8+H10+H24</f>
        <v>7228.04559650349</v>
      </c>
      <c r="I11" s="0" t="n">
        <f aca="false">I8+I10+I24</f>
        <v>7851.94005851747</v>
      </c>
      <c r="J11" s="0" t="n">
        <f aca="false">J8+J10+J24</f>
        <v>8323.05646202852</v>
      </c>
      <c r="K11" s="0" t="n">
        <f aca="false">K8+K10+K24</f>
        <v>8739.20928512995</v>
      </c>
      <c r="L11" s="0" t="n">
        <f aca="false">L8+L10+L24</f>
        <v>9088.77765653515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-373.12212</v>
      </c>
      <c r="D12" s="4" t="n">
        <f aca="false">-D6*Assumptions!D45/100</f>
        <v>-482.07377904</v>
      </c>
      <c r="E12" s="4" t="n">
        <f aca="false">-E6*Assumptions!E45/100</f>
        <v>-603.4429422336</v>
      </c>
      <c r="F12" s="4" t="n">
        <f aca="false">-F6*Assumptions!F45/100</f>
        <v>-740.329209656064</v>
      </c>
      <c r="G12" s="4" t="n">
        <f aca="false">-G6*Assumptions!G45/100</f>
        <v>-853.141279698893</v>
      </c>
      <c r="H12" s="4" t="n">
        <f aca="false">-H6*Assumptions!H45/100</f>
        <v>-972.193267365966</v>
      </c>
      <c r="I12" s="4" t="n">
        <f aca="false">-I6*Assumptions!I45/100</f>
        <v>-1095.61954304895</v>
      </c>
      <c r="J12" s="4" t="n">
        <f aca="false">-J6*Assumptions!J45/100</f>
        <v>-1209.74657878322</v>
      </c>
      <c r="K12" s="4" t="n">
        <f aca="false">-K6*Assumptions!K45/100</f>
        <v>-1270.23390772238</v>
      </c>
      <c r="L12" s="4" t="n">
        <f aca="false">-L6*Assumptions!L45/100</f>
        <v>-1321.04326403127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3233.72504</v>
      </c>
      <c r="D13" s="0" t="n">
        <f aca="false">D11+D12</f>
        <v>3828.2329512</v>
      </c>
      <c r="E13" s="0" t="n">
        <f aca="false">E11+E12</f>
        <v>4509.9419893248</v>
      </c>
      <c r="F13" s="0" t="n">
        <f aca="false">F11+F12</f>
        <v>5076.5431519273</v>
      </c>
      <c r="G13" s="0" t="n">
        <f aca="false">G11+G12</f>
        <v>5778.09321250614</v>
      </c>
      <c r="H13" s="0" t="n">
        <f aca="false">H11+H12</f>
        <v>6255.85232913752</v>
      </c>
      <c r="I13" s="0" t="n">
        <f aca="false">I11+I12</f>
        <v>6756.32051546852</v>
      </c>
      <c r="J13" s="0" t="n">
        <f aca="false">J11+J12</f>
        <v>7113.30988324531</v>
      </c>
      <c r="K13" s="0" t="n">
        <f aca="false">K11+K12</f>
        <v>7468.97537740757</v>
      </c>
      <c r="L13" s="0" t="n">
        <f aca="false">L11+L12</f>
        <v>7767.73439250387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2457.6310304</v>
      </c>
      <c r="D15" s="0" t="n">
        <f aca="false">D13-MAX(0,D13)*D14/100</f>
        <v>2909.457042912</v>
      </c>
      <c r="E15" s="0" t="n">
        <f aca="false">E13-MAX(0,E13)*E14/100</f>
        <v>3427.55591188685</v>
      </c>
      <c r="F15" s="0" t="n">
        <f aca="false">F13-MAX(0,F13)*F14/100</f>
        <v>3858.17279546475</v>
      </c>
      <c r="G15" s="0" t="n">
        <f aca="false">G13-MAX(0,G13)*G14/100</f>
        <v>4391.35084150467</v>
      </c>
      <c r="H15" s="0" t="n">
        <f aca="false">H13-MAX(0,H13)*H14/100</f>
        <v>4754.44777014452</v>
      </c>
      <c r="I15" s="0" t="n">
        <f aca="false">I13-MAX(0,I13)*I14/100</f>
        <v>5134.80359175608</v>
      </c>
      <c r="J15" s="0" t="n">
        <f aca="false">J13-MAX(0,J13)*J14/100</f>
        <v>5406.11551126643</v>
      </c>
      <c r="K15" s="0" t="n">
        <f aca="false">K13-MAX(0,K13)*K14/100</f>
        <v>5676.42128682975</v>
      </c>
      <c r="L15" s="0" t="n">
        <f aca="false">L13-MAX(0,L13)*L14/100</f>
        <v>5903.47813830294</v>
      </c>
    </row>
    <row r="16" customFormat="false" ht="15" hidden="false" customHeight="false" outlineLevel="0" collapsed="false">
      <c r="A16" s="0" t="s">
        <v>115</v>
      </c>
      <c r="C16" s="0" t="n">
        <f aca="false">-C12</f>
        <v>373.12212</v>
      </c>
      <c r="D16" s="0" t="n">
        <f aca="false">-D12</f>
        <v>482.07377904</v>
      </c>
      <c r="E16" s="0" t="n">
        <f aca="false">-E12</f>
        <v>603.4429422336</v>
      </c>
      <c r="F16" s="0" t="n">
        <f aca="false">-F12</f>
        <v>740.329209656064</v>
      </c>
      <c r="G16" s="0" t="n">
        <f aca="false">-G12</f>
        <v>853.141279698893</v>
      </c>
      <c r="H16" s="0" t="n">
        <f aca="false">-H12</f>
        <v>972.193267365966</v>
      </c>
      <c r="I16" s="0" t="n">
        <f aca="false">-I12</f>
        <v>1095.61954304895</v>
      </c>
      <c r="J16" s="0" t="n">
        <f aca="false">-J12</f>
        <v>1209.74657878322</v>
      </c>
      <c r="K16" s="0" t="n">
        <f aca="false">-K12</f>
        <v>1270.23390772238</v>
      </c>
      <c r="L16" s="0" t="n">
        <f aca="false">-L12</f>
        <v>1321.04326403127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-1368.11444</v>
      </c>
      <c r="D17" s="4" t="n">
        <f aca="false">-D6*Assumptions!D46/100</f>
        <v>-1276.0776504</v>
      </c>
      <c r="E17" s="4" t="n">
        <f aca="false">-E6*Assumptions!E46/100</f>
        <v>-1270.406194176</v>
      </c>
      <c r="F17" s="4" t="n">
        <f aca="false">-F6*Assumptions!F46/100</f>
        <v>-1304.38955987021</v>
      </c>
      <c r="G17" s="4" t="n">
        <f aca="false">-G6*Assumptions!G46/100</f>
        <v>-1357.27021770278</v>
      </c>
      <c r="H17" s="4" t="n">
        <f aca="false">-H6*Assumptions!H46/100</f>
        <v>-1394.88599230769</v>
      </c>
      <c r="I17" s="4" t="n">
        <f aca="false">-I6*Assumptions!I46/100</f>
        <v>-1460.8260573986</v>
      </c>
      <c r="J17" s="4" t="n">
        <f aca="false">-J6*Assumptions!J46/100</f>
        <v>-1451.69589453986</v>
      </c>
      <c r="K17" s="4" t="n">
        <f aca="false">-K6*Assumptions!K46/100</f>
        <v>-1524.28068926685</v>
      </c>
      <c r="L17" s="4" t="n">
        <f aca="false">-L6*Assumptions!L46/100</f>
        <v>-1585.25191683753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-343.1008</v>
      </c>
      <c r="D18" s="4" t="n">
        <f aca="false">(D6-C6)*Assumptions!$B$51/100</f>
        <v>-348.247312</v>
      </c>
      <c r="E18" s="4" t="n">
        <f aca="false">(E6-D6)*Assumptions!$B$51/100</f>
        <v>-340.28737344</v>
      </c>
      <c r="F18" s="4" t="n">
        <f aca="false">(F6-E6)*Assumptions!$B$51/100</f>
        <v>-349.3617033984</v>
      </c>
      <c r="G18" s="4" t="n">
        <f aca="false">(G6-F6)*Assumptions!$B$51/100</f>
        <v>-352.537718883841</v>
      </c>
      <c r="H18" s="4" t="n">
        <f aca="false">(H6-G6)*Assumptions!$B$51/100</f>
        <v>-349.012341695002</v>
      </c>
      <c r="I18" s="4" t="n">
        <f aca="false">(I6-H6)*Assumptions!$B$51/100</f>
        <v>-338.15417995338</v>
      </c>
      <c r="J18" s="4" t="n">
        <f aca="false">(J6-I6)*Assumptions!$B$51/100</f>
        <v>-273.904885762238</v>
      </c>
      <c r="K18" s="4" t="n">
        <f aca="false">(K6-J6)*Assumptions!$B$51/100</f>
        <v>-241.949315756643</v>
      </c>
      <c r="L18" s="4" t="n">
        <f aca="false">(L6-K6)*Assumptions!$B$51/100</f>
        <v>-203.23742523558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1119.5379104</v>
      </c>
      <c r="D19" s="0" t="n">
        <f aca="false">D15+D16+D17+D18</f>
        <v>1767.205859552</v>
      </c>
      <c r="E19" s="0" t="n">
        <f aca="false">E15+E16+E17+E18</f>
        <v>2420.30528650445</v>
      </c>
      <c r="F19" s="0" t="n">
        <f aca="false">F15+F16+F17+F18</f>
        <v>2944.7507418522</v>
      </c>
      <c r="G19" s="0" t="n">
        <f aca="false">G15+G16+G17+G18</f>
        <v>3534.68418461694</v>
      </c>
      <c r="H19" s="0" t="n">
        <f aca="false">H15+H16+H17+H18</f>
        <v>3982.74270350779</v>
      </c>
      <c r="I19" s="0" t="n">
        <f aca="false">I15+I16+I17+I18</f>
        <v>4431.44289745305</v>
      </c>
      <c r="J19" s="0" t="n">
        <f aca="false">J15+J16+J17+J18</f>
        <v>4890.26130974755</v>
      </c>
      <c r="K19" s="0" t="n">
        <f aca="false">K15+K16+K17+K18</f>
        <v>5180.42518952864</v>
      </c>
      <c r="L19" s="0" t="n">
        <f aca="false">L15+L16+L17+L18</f>
        <v>5436.03206026111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1013.15648</v>
      </c>
      <c r="D21" s="0" t="n">
        <f aca="false">D19*D20</f>
        <v>1447.31341254438</v>
      </c>
      <c r="E21" s="0" t="n">
        <f aca="false">E19*E20</f>
        <v>1793.83839499467</v>
      </c>
      <c r="F21" s="0" t="n">
        <f aca="false">F19*F20</f>
        <v>1975.14701962999</v>
      </c>
      <c r="G21" s="0" t="n">
        <f aca="false">G19*G20</f>
        <v>2145.55289900295</v>
      </c>
      <c r="H21" s="0" t="n">
        <f aca="false">H19*H20</f>
        <v>2187.80485894223</v>
      </c>
      <c r="I21" s="0" t="n">
        <f aca="false">I19*I20</f>
        <v>2202.97318723581</v>
      </c>
      <c r="J21" s="0" t="n">
        <f aca="false">J19*J20</f>
        <v>2200.05653965563</v>
      </c>
      <c r="K21" s="0" t="n">
        <f aca="false">K19*K20</f>
        <v>2109.13755262039</v>
      </c>
      <c r="L21" s="0" t="n">
        <f aca="false">L19*L20</f>
        <v>2002.89982778313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4.7</v>
      </c>
      <c r="D23" s="4" t="n">
        <f aca="false">Assumptions!D44</f>
        <v>5</v>
      </c>
      <c r="E23" s="4" t="n">
        <f aca="false">Assumptions!E44</f>
        <v>5.2</v>
      </c>
      <c r="F23" s="4" t="n">
        <f aca="false">Assumptions!F44</f>
        <v>5.3</v>
      </c>
      <c r="G23" s="4" t="n">
        <f aca="false">Assumptions!G44</f>
        <v>5.3</v>
      </c>
      <c r="H23" s="4" t="n">
        <f aca="false">Assumptions!H44</f>
        <v>5.3</v>
      </c>
      <c r="I23" s="4" t="n">
        <f aca="false">Assumptions!I44</f>
        <v>5.3</v>
      </c>
      <c r="J23" s="4" t="n">
        <f aca="false">Assumptions!J44</f>
        <v>5.3</v>
      </c>
      <c r="K23" s="4" t="n">
        <f aca="false">Assumptions!K44</f>
        <v>5.3</v>
      </c>
      <c r="L23" s="4" t="n">
        <f aca="false">Assumptions!L44</f>
        <v>5.3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-1169.115976</v>
      </c>
      <c r="D24" s="0" t="n">
        <f aca="false">-D6*D23/100</f>
        <v>-1417.864056</v>
      </c>
      <c r="E24" s="0" t="n">
        <f aca="false">-E6*E23/100</f>
        <v>-1651.5280524288</v>
      </c>
      <c r="F24" s="0" t="n">
        <f aca="false">-F6*F23/100</f>
        <v>-1868.44991008435</v>
      </c>
      <c r="G24" s="0" t="n">
        <f aca="false">-G6*G23/100</f>
        <v>-2055.29490109279</v>
      </c>
      <c r="H24" s="0" t="n">
        <f aca="false">-H6*H23/100</f>
        <v>-2240.27144219114</v>
      </c>
      <c r="I24" s="0" t="n">
        <f aca="false">-I6*I23/100</f>
        <v>-2419.49315756643</v>
      </c>
      <c r="J24" s="0" t="n">
        <f aca="false">-J6*J23/100</f>
        <v>-2564.66274702042</v>
      </c>
      <c r="K24" s="0" t="n">
        <f aca="false">-K6*K23/100</f>
        <v>-2692.89588437144</v>
      </c>
      <c r="L24" s="0" t="n">
        <f aca="false">-L6*L23/100</f>
        <v>-2800.61171974629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19077.8801724092</v>
      </c>
    </row>
    <row r="31" customFormat="false" ht="15" hidden="false" customHeight="false" outlineLevel="0" collapsed="false">
      <c r="A31" s="0" t="s">
        <v>124</v>
      </c>
      <c r="B31" s="0" t="n">
        <f aca="false">L19</f>
        <v>5436.03206026111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69649.1607720955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76104.4488436555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69649.1607720955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25662.1540434714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44740.0342158805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48744.7342158806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23.9564120426314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1.71307044650413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2521.32255217934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2494.5265490603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26.4215346809207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44575.4628941411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14.8265670584236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10.1157975432739</v>
      </c>
      <c r="C4" s="0" t="n">
        <f aca="false">B4/Assumptions!$B$2-1</f>
        <v>0.145616935818112</v>
      </c>
      <c r="D4" s="4" t="n">
        <f aca="false">Assumptions!$B$24</f>
        <v>0.3</v>
      </c>
      <c r="E4" s="4" t="n">
        <f aca="false">DCF_Bear!$B$43</f>
        <v>12.1090976860865</v>
      </c>
      <c r="F4" s="4" t="n">
        <f aca="false">DCF_Bear!$B$47</f>
        <v>7.49951648211157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17.994762759961</v>
      </c>
      <c r="C5" s="0" t="n">
        <f aca="false">B5/Assumptions!$B$2-1</f>
        <v>1.03791197734552</v>
      </c>
      <c r="D5" s="4" t="n">
        <f aca="false">Assumptions!$B$38</f>
        <v>0.5</v>
      </c>
      <c r="E5" s="4" t="n">
        <f aca="false">DCF_Base!$B$43</f>
        <v>20.1773193506919</v>
      </c>
      <c r="F5" s="4" t="n">
        <f aca="false">DCF_Base!$B$47</f>
        <v>11.8250750904821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23.9564120426314</v>
      </c>
      <c r="C6" s="0" t="n">
        <f aca="false">B6/Assumptions!$B$2-1</f>
        <v>1.71307044650413</v>
      </c>
      <c r="D6" s="4" t="n">
        <f aca="false">Assumptions!$B$52</f>
        <v>0.2</v>
      </c>
      <c r="E6" s="4" t="n">
        <f aca="false">DCF_Bull!$B$43</f>
        <v>26.4215346809207</v>
      </c>
      <c r="F6" s="4" t="n">
        <f aca="false">DCF_Bull!$B$47</f>
        <v>14.8265670584236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16.8234030514889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19.0056959173561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0.475135917924851</v>
      </c>
    </row>
    <row r="11" customFormat="false" ht="15" hidden="false" customHeight="false" outlineLevel="0" collapsed="false">
      <c r="A11" s="0" t="s">
        <v>151</v>
      </c>
      <c r="B11" s="0" t="n">
        <f aca="false">IF(ABS(B9-B8)&gt;0.01*ABS(B8),(Assumptions!$B$2-B8)/(B9-B8)*100,"n/a")</f>
        <v>-366.284616355232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11.1277059015593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19.8720097652526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18.5921135275251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17.994762759961</v>
      </c>
      <c r="C17" s="3" t="n">
        <v>10.5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17.4239074694792</v>
      </c>
      <c r="C18" s="3" t="n">
        <v>11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15.5926439213785</v>
      </c>
      <c r="C19" s="3" t="n">
        <v>12</v>
      </c>
    </row>
    <row r="20" customFormat="false" ht="15" hidden="false" customHeight="false" outlineLevel="0" collapsed="false">
      <c r="A20" s="0" t="s">
        <v>160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11.8250750904821</v>
      </c>
      <c r="C20" s="3" t="n">
        <v>15</v>
      </c>
    </row>
    <row r="22" customFormat="false" ht="15" hidden="false" customHeight="false" outlineLevel="0" collapsed="false">
      <c r="A22" s="2" t="s">
        <v>161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20.5576217857784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20.5576217857784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20.5576217857784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20.5576217857784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20.5576217857784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19.2173661319016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19.2173661319016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19.2173661319016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19.2173661319016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19.2173661319016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17.473288507051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17.994762759961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17.994762759961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17.994762759961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17.994762759961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15.6575221949787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16.0447418522094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16.474985915799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16.8782191413157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16.8782191413157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14.1841181158299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14.4780184782882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14.8013088769923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15.158629843981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15.5556531406352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2026-10-03T23:44:47Z</dcterms:created>
  <dc:creator>openpyxl</dc:creator>
  <dc:description/>
  <dc:language>en-NZ</dc:language>
  <cp:lastModifiedBy/>
  <dcterms:modified xsi:type="dcterms:W3CDTF">2026-10-03T23:44:47Z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