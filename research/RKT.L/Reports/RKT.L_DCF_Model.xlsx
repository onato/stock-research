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<sst xmlns="http://schemas.openxmlformats.org/spreadsheetml/2006/main" count="354" uniqueCount="169">
  <si>
    <t xml:space="preserve">Ticker</t>
  </si>
  <si>
    <t xml:space="preserve">RKT.L</t>
  </si>
  <si>
    <t xml:space="preserve">Company</t>
  </si>
  <si>
    <t xml:space="preserve">Reckitt Benckiser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</si>
  <si>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</si>
  <si>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</si>
  <si>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</si>
  <si>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</si>
  <si>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2026-10-09T15:49:18Z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</si>
  <si>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</si>
  <si>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</si>
  <si>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</si>
  <si>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</si>
  <si>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</si>
  <si>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</si>
  <si>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</si>
  <si>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</si>
  <si>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</si>
  <si>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</si>
  <si>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</si>
  <si>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</si>
  <si>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</si>
  <si>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2026-10-10T01:15:26Z</t>
  </si>
  <si>
    <t xml:space="preserve">Drivers file</t>
  </si>
  <si>
    <t xml:space="preserve">RKT.L_Drivers.json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</si>
  <si>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</si>
  <si>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</si>
  <si>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</si>
  <si>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Reckitt on the continuing Core Reckitt + MJN perimeter only, from an FY2026E revenue base built on H1 actuals and the reiterated FY2026 outlook, with SBC expensed, leases as debt, NCI and the non-operating Essential Home consideration (vendor loan note, 30% Vestacy stake) handled once in the bridge, and all discounting in GBP at a single 7% WACC. Reported history is a different perimeter and is shown for audit, not extrapolated. The three scenarios differ on volume growth, the margin trajectory versus the H1 2026 trough, and whether NEC litigation costs cash; risk is carried in the bear flows and the 25% bear weight, not in the discount rate.
key_risks_to_valuation: NEC (necrotizing enterocolitis) product-liability litigation against Mead Johnson in US federal MDL and state courts: no outstanding verdicts after the Aug 2026 Inman defence win, but hundreds of cases remain; a settlement in the low billions is the bear case; Europe (33% of Core) has been in LFL decline since 2025 on Auto Dish promotional intensity and value-seeking consumers; the base case needs the guided H2 2026 return to growth to hold; FY2026 margin guidance (24.9-25.6% Core+MJN AOP) requires an H2 well above the 23.6% H1 print; stranded costs from Essential Home and oil-linked input inflation are only partly mitigated; MJN (17%) is explicitly non-core and may be sold; a disposal at a low multiple or a resumed structural decline removes a fifth of the cash flow base; Net debt rose to 2.5x EBITDA after the GBP 1.6bn special dividend and GBP 3bn of H1 returns; a USD 2.5bn bond is now current and refinancing cost drives the guided GBP 320-340m finance expense; Terminal value is capped at 18x FCF in base; the valuation is ~60% terminal and moves ~10% per 1pt of WACC; Vestacy transitional-services revenue (GBP 235m in H1 2026) is excluded from the base and valued at zero; the FY2026 reported group revenue will therefore print ~GBP 13.1bn against the 12.7bn used here</t>
  </si>
  <si>
    <t xml:space="preserve">Data sources</t>
  </si>
  <si>
    <t xml:space="preserve">price: Yahoo Finance chart API regular-session close at inputs.price_as_of; 52-week range 3,664-6,523p
financials: RKT.L_Metrics.csv / core_metrics and kpis (FY2020-FY2025 annual, H1 FY2025, H1 FY2026); RKT.L_Annual_FY2025.txt (segment revenue note p.206, cash flow statement, adjusted-measures reconciliation); RKT.L_HalfYear_H1-2026.txt (balance sheet, net debt reconciliation, note 8 borrowings, note 9 share capital, note 14 associates, fair-value table, EPS footnote 646.4m/648.2m)
qualitative: H1 2026 results outlook and medium-term guidance (29 Jul 2026); Q3 2026 pre-close aide memoire (29 Sep 2026) incl. Inman NEC verdict, Barclays conference commentary and the GBP 500m buyback; RKT.L_Analysis.json not yet present at build time, business-risk judgment is the analyst's own</t>
  </si>
  <si>
    <t xml:space="preserve">Scenario narrative: bear</t>
  </si>
  <si>
    <t xml:space="preserve">Structural volume weakness in Europe and North America, MJN decline, China VMS disruption and an NEC settlement in the low billions of pounds compress growth to 1-2% and the margin back toward the H1 2026 trough; the market pays a 15x FCF exit multiple for a de-rated staple.</t>
  </si>
  <si>
    <t xml:space="preserve">Scenario narrative: base</t>
  </si>
  <si>
    <t xml:space="preserve">Reckitt as a 3-4% grower with a slowly rising high-20s EBITDA margin: Core Reckitt at the low end of its 4-5% medium-term LFL guidance, MJN flat-to-low-single-digit, Fuel for Growth absorbing the Essential Home stranded costs, capex easing from the FY2025 investment peak, cash returned through a progressive dividend and rolling buybacks.</t>
  </si>
  <si>
    <t xml:space="preserve">Scenario narrative: bull</t>
  </si>
  <si>
    <t xml:space="preserve">Top-of-range execution: Emerging Markets and innovation (Activ Botany, Mucinex 12HR, Durex Intensity) carry 5% growth for three years, Europe recovers, margin expands 2.5pp, NEC litigation closes without material cost after the Inman defence verdict, and the 2.5-year portfolio clean-up earns a re-rating.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</si>
  <si>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</si>
  <si>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</si>
  <si>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</si>
  <si>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</si>
  <si>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</si>
  <si>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</si>
  <si>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</si>
  <si>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</si>
  <si>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</si>
  <si>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</si>
  <si>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</si>
  <si>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</si>
  <si>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</si>
  <si>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</si>
  <si>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</si>
  <si>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</si>
  <si>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</si>
  <si>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</si>
  <si>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</si>
  <si>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</si>
  <si>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</si>
  <si>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</si>
  <si>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</si>
  <si>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</si>
  <si>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</si>
  <si>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</si>
  <si>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</si>
  <si>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</si>
  <si>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AdjustedEBITMargin</t>
  </si>
  <si>
    <t xml:space="preserve">AdjustedEPS</t>
  </si>
  <si>
    <t xml:space="preserve">AdjustedOperatingProfit</t>
  </si>
  <si>
    <t xml:space="preserve">CompanyFreeCashFlow</t>
  </si>
  <si>
    <t xml:space="preserve">OrganicRevenueGrowth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</si>
  <si>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</si>
  <si>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</si>
  <si>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</si>
  <si>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</si>
  <si>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</si>
  <si>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</si>
  <si>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</si>
  <si>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</si>
  <si>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</si>
  <si>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</si>
  <si>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</si>
  <si>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</si>
  <si>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</si>
  <si>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</si>
  <si>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</si>
  <si>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</si>
  <si>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</si>
  <si>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</si>
  <si>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</si>
  <si>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</si>
  <si>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</si>
  <si>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</si>
  <si>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</si>
  <si>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</si>
  <si>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</si>
  <si>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</si>
  <si>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</si>
  <si>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</si>
  <si>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</si>
  <si>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</si>
  <si>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</si>
  <si>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</si>
  <si>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</si>
  <si>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</si>
  <si>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</si>
  <si>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</si>
  <si>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</si>
  <si>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</si>
  <si>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</si>
  <si>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</si>
  <si>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</si>
  <si>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</si>
  <si>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</si>
  <si>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</si>
  <si>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RKT.L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</si>
  <si>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</si>
  <si>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</si>
  <si>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</si>
  <si>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</si>
  <si>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</si>
  <si>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</si>
  <si>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</si>
  <si>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</si>
  <si>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</si>
  <si>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</si>
  <si>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</si>
  <si>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</si>
  <si>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</si>
  <si>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</si>
  <si>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</si>
  <si>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</si>
  <si>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</si>
  <si>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</si>
  <si>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</si>
  <si>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</si>
  <si>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</si>
  <si>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</si>
  <si>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</si>
  <si>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</si>
  <si>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</si>
  <si>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</si>
  <si>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</si>
  <si>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</si>
  <si>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</si>
  <si>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</si>
  <si>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RKT.L owner-FCF component DCF: base case (millions, GBP)</t>
  </si>
  <si>
    <t xml:space="preserve">RKT.L owner-FCF component DCF: bull case (millions, GBP)</t>
  </si>
  <si>
    <t xml:space="preserve">RKT.L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</si>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</sst>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5132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13993</v>
      </c>
      <c r="C2" s="0" t="n">
        <v>5558</v>
      </c>
      <c r="D2" s="0" t="n">
        <v>8435</v>
      </c>
      <c r="E2" s="0" t="n">
        <v>60.3</v>
      </c>
      <c r="F2" s="0" t="n">
        <v>2160</v>
      </c>
      <c r="G2" s="0" t="n">
        <v>15.4</v>
      </c>
      <c r="H2" s="0" t="n">
        <v>3693</v>
      </c>
      <c r="I2" s="0" t="n">
        <v>1187</v>
      </c>
      <c r="J2" s="0" t="n">
        <v>8.5</v>
      </c>
      <c r="K2" s="0" t="n">
        <v>1.663</v>
      </c>
      <c r="L2" s="0" t="n">
        <v>3518</v>
      </c>
      <c r="M2" s="0" t="n">
        <v>486</v>
      </c>
      <c r="N2" s="0" t="n">
        <v>3032</v>
      </c>
      <c r="O2" s="0" t="n">
        <v>9159</v>
      </c>
      <c r="P2" s="0" t="n">
        <v>31292</v>
      </c>
      <c r="Q2" s="0" t="n">
        <v>22133</v>
      </c>
      <c r="R2" s="0" t="n">
        <v>10557</v>
      </c>
      <c r="S2" s="0" t="n">
        <v>1646</v>
      </c>
      <c r="T2" s="0" t="n">
        <v>713.8</v>
      </c>
      <c r="U2" s="0" t="n">
        <v>15</v>
      </c>
      <c r="AA2" s="0" t="s">
        <v>18</v>
      </c>
      <c r="AB2" s="0" t="s">
        <v>14</v>
      </c>
      <c r="AC2" s="0" t="n">
        <v>3693</v>
      </c>
      <c r="AD2" s="0" t="n">
        <v>23.6</v>
      </c>
      <c r="AF2" s="0" t="n">
        <v>3301</v>
      </c>
    </row>
    <row r="3" customFormat="false" ht="15" hidden="false" customHeight="false" outlineLevel="0" collapsed="false">
      <c r="A3" s="0" t="s">
        <v>71</v>
      </c>
      <c r="B3" s="0" t="n">
        <v>13234</v>
      </c>
      <c r="C3" s="0" t="n">
        <v>5558</v>
      </c>
      <c r="D3" s="0" t="n">
        <v>7676</v>
      </c>
      <c r="E3" s="0" t="n">
        <v>58</v>
      </c>
      <c r="F3" s="0" t="n">
        <v>-804</v>
      </c>
      <c r="G3" s="0" t="n">
        <v>-6.1</v>
      </c>
      <c r="H3" s="0" t="n">
        <v>3239</v>
      </c>
      <c r="I3" s="0" t="n">
        <v>-32</v>
      </c>
      <c r="J3" s="0" t="n">
        <v>-0.2</v>
      </c>
      <c r="K3" s="0" t="n">
        <v>-0.045</v>
      </c>
      <c r="L3" s="0" t="n">
        <v>1697</v>
      </c>
      <c r="M3" s="0" t="n">
        <v>450</v>
      </c>
      <c r="N3" s="0" t="n">
        <v>1247</v>
      </c>
      <c r="O3" s="0" t="n">
        <v>7453</v>
      </c>
      <c r="P3" s="0" t="n">
        <v>26946</v>
      </c>
      <c r="Q3" s="0" t="n">
        <v>19493</v>
      </c>
      <c r="R3" s="0" t="n">
        <v>9563</v>
      </c>
      <c r="S3" s="0" t="n">
        <v>1261</v>
      </c>
      <c r="T3" s="0" t="n">
        <v>713.8</v>
      </c>
      <c r="U3" s="0" t="n">
        <v>30</v>
      </c>
      <c r="AA3" s="0" t="s">
        <v>18</v>
      </c>
      <c r="AB3" s="0" t="s">
        <v>14</v>
      </c>
      <c r="AC3" s="0" t="n">
        <v>3239</v>
      </c>
      <c r="AD3" s="0" t="n">
        <v>21.7</v>
      </c>
      <c r="AF3" s="0" t="n">
        <v>2877</v>
      </c>
    </row>
    <row r="4" customFormat="false" ht="15" hidden="false" customHeight="false" outlineLevel="0" collapsed="false">
      <c r="A4" s="0" t="s">
        <v>72</v>
      </c>
      <c r="B4" s="0" t="n">
        <v>14453</v>
      </c>
      <c r="C4" s="0" t="n">
        <v>6092</v>
      </c>
      <c r="D4" s="0" t="n">
        <v>8361</v>
      </c>
      <c r="E4" s="0" t="n">
        <v>57.8</v>
      </c>
      <c r="F4" s="0" t="n">
        <v>3249</v>
      </c>
      <c r="G4" s="0" t="n">
        <v>22.5</v>
      </c>
      <c r="H4" s="0" t="n">
        <v>3841</v>
      </c>
      <c r="I4" s="0" t="n">
        <v>2330</v>
      </c>
      <c r="J4" s="0" t="n">
        <v>16.1</v>
      </c>
      <c r="K4" s="0" t="n">
        <v>3.247</v>
      </c>
      <c r="L4" s="0" t="n">
        <v>2397</v>
      </c>
      <c r="M4" s="0" t="n">
        <v>443</v>
      </c>
      <c r="N4" s="0" t="n">
        <v>1954</v>
      </c>
      <c r="O4" s="0" t="n">
        <v>9483</v>
      </c>
      <c r="P4" s="0" t="n">
        <v>28742</v>
      </c>
      <c r="Q4" s="0" t="n">
        <v>19259</v>
      </c>
      <c r="R4" s="0" t="n">
        <v>8884</v>
      </c>
      <c r="S4" s="0" t="n">
        <v>1157</v>
      </c>
      <c r="T4" s="0" t="n">
        <v>717.6</v>
      </c>
      <c r="U4" s="0" t="n">
        <v>78</v>
      </c>
      <c r="AA4" s="0" t="s">
        <v>18</v>
      </c>
      <c r="AB4" s="0" t="s">
        <v>14</v>
      </c>
      <c r="AC4" s="0" t="n">
        <v>3841</v>
      </c>
      <c r="AD4" s="0" t="n">
        <v>23.8</v>
      </c>
      <c r="AF4" s="0" t="n">
        <v>3439</v>
      </c>
      <c r="AG4" s="0" t="n">
        <v>2031</v>
      </c>
    </row>
    <row r="5" customFormat="false" ht="15" hidden="false" customHeight="false" outlineLevel="0" collapsed="false">
      <c r="A5" s="0" t="s">
        <v>73</v>
      </c>
      <c r="B5" s="0" t="n">
        <v>14607</v>
      </c>
      <c r="C5" s="0" t="n">
        <v>5847</v>
      </c>
      <c r="D5" s="0" t="n">
        <v>8760</v>
      </c>
      <c r="E5" s="0" t="n">
        <v>60</v>
      </c>
      <c r="F5" s="0" t="n">
        <v>2531</v>
      </c>
      <c r="G5" s="0" t="n">
        <v>17.3</v>
      </c>
      <c r="H5" s="0" t="n">
        <v>3817</v>
      </c>
      <c r="I5" s="0" t="n">
        <v>1643</v>
      </c>
      <c r="J5" s="0" t="n">
        <v>11.2</v>
      </c>
      <c r="K5" s="0" t="n">
        <v>2.287</v>
      </c>
      <c r="L5" s="0" t="n">
        <v>2636</v>
      </c>
      <c r="M5" s="0" t="n">
        <v>449</v>
      </c>
      <c r="N5" s="0" t="n">
        <v>2187</v>
      </c>
      <c r="O5" s="0" t="n">
        <v>8469</v>
      </c>
      <c r="P5" s="0" t="n">
        <v>27136</v>
      </c>
      <c r="Q5" s="0" t="n">
        <v>18667</v>
      </c>
      <c r="R5" s="0" t="n">
        <v>8537</v>
      </c>
      <c r="S5" s="0" t="n">
        <v>1387</v>
      </c>
      <c r="T5" s="0" t="n">
        <v>718.4</v>
      </c>
      <c r="U5" s="0" t="n">
        <v>102</v>
      </c>
      <c r="AA5" s="0" t="s">
        <v>18</v>
      </c>
      <c r="AB5" s="0" t="s">
        <v>14</v>
      </c>
      <c r="AC5" s="0" t="n">
        <v>3817</v>
      </c>
      <c r="AD5" s="0" t="n">
        <v>23.1</v>
      </c>
      <c r="AF5" s="0" t="n">
        <v>3373</v>
      </c>
      <c r="AG5" s="0" t="n">
        <v>2258</v>
      </c>
    </row>
    <row r="6" customFormat="false" ht="15" hidden="false" customHeight="false" outlineLevel="0" collapsed="false">
      <c r="A6" s="0" t="s">
        <v>74</v>
      </c>
      <c r="B6" s="0" t="n">
        <v>14169</v>
      </c>
      <c r="C6" s="0" t="n">
        <v>5574</v>
      </c>
      <c r="D6" s="0" t="n">
        <v>8595</v>
      </c>
      <c r="E6" s="0" t="n">
        <v>60.7</v>
      </c>
      <c r="F6" s="0" t="n">
        <v>2425</v>
      </c>
      <c r="G6" s="0" t="n">
        <v>17.1</v>
      </c>
      <c r="H6" s="0" t="n">
        <v>3911</v>
      </c>
      <c r="I6" s="0" t="n">
        <v>1426</v>
      </c>
      <c r="J6" s="0" t="n">
        <v>10.1</v>
      </c>
      <c r="K6" s="0" t="n">
        <v>2.032</v>
      </c>
      <c r="L6" s="0" t="n">
        <v>2682</v>
      </c>
      <c r="M6" s="0" t="n">
        <v>465</v>
      </c>
      <c r="N6" s="0" t="n">
        <v>2217</v>
      </c>
      <c r="O6" s="0" t="n">
        <v>6720</v>
      </c>
      <c r="P6" s="0" t="n">
        <v>25298</v>
      </c>
      <c r="Q6" s="0" t="n">
        <v>18578</v>
      </c>
      <c r="R6" s="0" t="n">
        <v>8658</v>
      </c>
      <c r="S6" s="0" t="n">
        <v>880</v>
      </c>
      <c r="T6" s="0" t="n">
        <v>701.8</v>
      </c>
      <c r="U6" s="0" t="n">
        <v>85</v>
      </c>
      <c r="AA6" s="0" t="s">
        <v>18</v>
      </c>
      <c r="AB6" s="0" t="s">
        <v>14</v>
      </c>
      <c r="AC6" s="0" t="n">
        <v>3911</v>
      </c>
      <c r="AD6" s="0" t="n">
        <v>24.5</v>
      </c>
      <c r="AF6" s="0" t="n">
        <v>3475</v>
      </c>
      <c r="AG6" s="0" t="n">
        <v>2232</v>
      </c>
    </row>
    <row r="7" customFormat="false" ht="15" hidden="false" customHeight="false" outlineLevel="0" collapsed="false">
      <c r="A7" s="0" t="s">
        <v>75</v>
      </c>
      <c r="B7" s="0" t="n">
        <v>14205</v>
      </c>
      <c r="C7" s="0" t="n">
        <v>5571</v>
      </c>
      <c r="D7" s="0" t="n">
        <v>8634</v>
      </c>
      <c r="E7" s="0" t="n">
        <v>60.8</v>
      </c>
      <c r="F7" s="0" t="n">
        <v>4217</v>
      </c>
      <c r="G7" s="0" t="n">
        <v>29.7</v>
      </c>
      <c r="H7" s="0" t="n">
        <v>3979</v>
      </c>
      <c r="I7" s="0" t="n">
        <v>3182</v>
      </c>
      <c r="J7" s="0" t="n">
        <v>22.4</v>
      </c>
      <c r="K7" s="0" t="n">
        <v>4.672</v>
      </c>
      <c r="L7" s="0" t="n">
        <v>2297</v>
      </c>
      <c r="M7" s="0" t="n">
        <v>615</v>
      </c>
      <c r="N7" s="0" t="n">
        <v>1682</v>
      </c>
      <c r="O7" s="0" t="n">
        <v>7781</v>
      </c>
      <c r="P7" s="0" t="n">
        <v>25068</v>
      </c>
      <c r="Q7" s="0" t="n">
        <v>17287</v>
      </c>
      <c r="R7" s="0" t="n">
        <v>8430</v>
      </c>
      <c r="S7" s="0" t="n">
        <v>1952</v>
      </c>
      <c r="T7" s="0" t="n">
        <v>681.1</v>
      </c>
      <c r="U7" s="0" t="n">
        <v>101</v>
      </c>
      <c r="AA7" s="0" t="s">
        <v>18</v>
      </c>
      <c r="AB7" s="0" t="s">
        <v>14</v>
      </c>
      <c r="AC7" s="0" t="n">
        <v>3979</v>
      </c>
      <c r="AD7" s="0" t="n">
        <v>24.9</v>
      </c>
      <c r="AF7" s="0" t="n">
        <v>3543</v>
      </c>
      <c r="AG7" s="0" t="n">
        <v>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5132</v>
      </c>
    </row>
    <row r="3" customFormat="false" ht="15" hidden="false" customHeight="false" outlineLevel="0" collapsed="false">
      <c r="A3" s="0" t="s">
        <v>79</v>
      </c>
      <c r="B3" s="3" t="n">
        <v>636</v>
      </c>
    </row>
    <row r="4" customFormat="false" ht="15" hidden="false" customHeight="false" outlineLevel="0" collapsed="false">
      <c r="A4" s="0" t="s">
        <v>80</v>
      </c>
      <c r="B4" s="3" t="n">
        <v>9380</v>
      </c>
    </row>
    <row r="5" customFormat="false" ht="15" hidden="false" customHeight="false" outlineLevel="0" collapsed="false">
      <c r="A5" s="0" t="s">
        <v>81</v>
      </c>
      <c r="B5" s="3" t="n">
        <v>187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12700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100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1.5</v>
      </c>
      <c r="D13" s="3" t="n">
        <v>1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27.5</v>
      </c>
      <c r="D14" s="3" t="n">
        <v>26.5</v>
      </c>
      <c r="E14" s="3" t="n">
        <v>26.5</v>
      </c>
      <c r="F14" s="3" t="n">
        <v>26.8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102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3.1</v>
      </c>
      <c r="D17" s="3" t="n">
        <v>3.1</v>
      </c>
      <c r="E17" s="3" t="n">
        <v>3.1</v>
      </c>
      <c r="F17" s="3" t="n">
        <v>3.1</v>
      </c>
      <c r="G17" s="3" t="n">
        <v>3.1</v>
      </c>
      <c r="H17" s="3" t="n">
        <v>3.1</v>
      </c>
      <c r="I17" s="3" t="n">
        <v>3.1</v>
      </c>
      <c r="J17" s="3" t="n">
        <v>3.1</v>
      </c>
      <c r="K17" s="3" t="n">
        <v>3.1</v>
      </c>
      <c r="L17" s="3" t="n">
        <v>3.1</v>
      </c>
    </row>
    <row r="18" customFormat="false" ht="15" hidden="false" customHeight="false" outlineLevel="0" collapsed="false">
      <c r="A18" s="0" t="s">
        <v>105</v>
      </c>
      <c r="C18" s="3" t="n">
        <v>4.5</v>
      </c>
      <c r="D18" s="3" t="n">
        <v>4.5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106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107</v>
      </c>
      <c r="B20" s="3" t="n">
        <v>7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3.5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29</v>
      </c>
      <c r="D28" s="3" t="n">
        <v>29.3</v>
      </c>
      <c r="E28" s="3" t="n">
        <v>29.5</v>
      </c>
      <c r="F28" s="3" t="n">
        <v>29.8</v>
      </c>
      <c r="G28" s="3" t="n">
        <v>30</v>
      </c>
      <c r="H28" s="3" t="n">
        <v>30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102</v>
      </c>
      <c r="C29" s="3" t="n">
        <v>0.7</v>
      </c>
      <c r="D29" s="3" t="n">
        <v>0.7</v>
      </c>
      <c r="E29" s="3" t="n">
        <v>0.7</v>
      </c>
      <c r="F29" s="3" t="n">
        <v>0.7</v>
      </c>
      <c r="G29" s="3" t="n">
        <v>0.7</v>
      </c>
      <c r="H29" s="3" t="n">
        <v>0.7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3.1</v>
      </c>
      <c r="D31" s="3" t="n">
        <v>3.1</v>
      </c>
      <c r="E31" s="3" t="n">
        <v>3.1</v>
      </c>
      <c r="F31" s="3" t="n">
        <v>3.1</v>
      </c>
      <c r="G31" s="3" t="n">
        <v>3.1</v>
      </c>
      <c r="H31" s="3" t="n">
        <v>3.1</v>
      </c>
      <c r="I31" s="3" t="n">
        <v>3.1</v>
      </c>
      <c r="J31" s="3" t="n">
        <v>3.1</v>
      </c>
      <c r="K31" s="3" t="n">
        <v>3.1</v>
      </c>
      <c r="L31" s="3" t="n">
        <v>3.1</v>
      </c>
    </row>
    <row r="32" customFormat="false" ht="15" hidden="false" customHeight="false" outlineLevel="0" collapsed="false">
      <c r="A32" s="0" t="s">
        <v>105</v>
      </c>
      <c r="C32" s="3" t="n">
        <v>4.5</v>
      </c>
      <c r="D32" s="3" t="n">
        <v>4.5</v>
      </c>
      <c r="E32" s="3" t="n">
        <v>4.3</v>
      </c>
      <c r="F32" s="3" t="n">
        <v>4.3</v>
      </c>
      <c r="G32" s="3" t="n">
        <v>4.2</v>
      </c>
      <c r="H32" s="3" t="n">
        <v>4.2</v>
      </c>
      <c r="I32" s="3" t="n">
        <v>4.2</v>
      </c>
      <c r="J32" s="3" t="n">
        <v>4.2</v>
      </c>
      <c r="K32" s="3" t="n">
        <v>4.2</v>
      </c>
      <c r="L32" s="3" t="n">
        <v>4.2</v>
      </c>
    </row>
    <row r="33" customFormat="false" ht="15" hidden="false" customHeight="false" outlineLevel="0" collapsed="false">
      <c r="A33" s="0" t="s">
        <v>106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107</v>
      </c>
      <c r="B34" s="3" t="n">
        <v>7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18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5</v>
      </c>
      <c r="D41" s="3" t="n">
        <v>5</v>
      </c>
      <c r="E41" s="3" t="n">
        <v>5</v>
      </c>
      <c r="F41" s="3" t="n">
        <v>4.5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29.3</v>
      </c>
      <c r="D42" s="3" t="n">
        <v>29.8</v>
      </c>
      <c r="E42" s="3" t="n">
        <v>30.3</v>
      </c>
      <c r="F42" s="3" t="n">
        <v>30.8</v>
      </c>
      <c r="G42" s="3" t="n">
        <v>31.2</v>
      </c>
      <c r="H42" s="3" t="n">
        <v>31.5</v>
      </c>
      <c r="I42" s="3" t="n">
        <v>31.5</v>
      </c>
      <c r="J42" s="3" t="n">
        <v>31.5</v>
      </c>
      <c r="K42" s="3" t="n">
        <v>31.5</v>
      </c>
      <c r="L42" s="3" t="n">
        <v>31.5</v>
      </c>
    </row>
    <row r="43" customFormat="false" ht="15" hidden="false" customHeight="false" outlineLevel="0" collapsed="false">
      <c r="A43" s="0" t="s">
        <v>102</v>
      </c>
      <c r="C43" s="3" t="n">
        <v>0.7</v>
      </c>
      <c r="D43" s="3" t="n">
        <v>0.7</v>
      </c>
      <c r="E43" s="3" t="n">
        <v>0.7</v>
      </c>
      <c r="F43" s="3" t="n">
        <v>0.7</v>
      </c>
      <c r="G43" s="3" t="n">
        <v>0.7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3.1</v>
      </c>
      <c r="D45" s="3" t="n">
        <v>3.1</v>
      </c>
      <c r="E45" s="3" t="n">
        <v>3.1</v>
      </c>
      <c r="F45" s="3" t="n">
        <v>3.1</v>
      </c>
      <c r="G45" s="3" t="n">
        <v>3.1</v>
      </c>
      <c r="H45" s="3" t="n">
        <v>3.1</v>
      </c>
      <c r="I45" s="3" t="n">
        <v>3.1</v>
      </c>
      <c r="J45" s="3" t="n">
        <v>3.1</v>
      </c>
      <c r="K45" s="3" t="n">
        <v>3.1</v>
      </c>
      <c r="L45" s="3" t="n">
        <v>3.1</v>
      </c>
    </row>
    <row r="46" customFormat="false" ht="15" hidden="false" customHeight="false" outlineLevel="0" collapsed="false">
      <c r="A46" s="0" t="s">
        <v>105</v>
      </c>
      <c r="C46" s="3" t="n">
        <v>4.5</v>
      </c>
      <c r="D46" s="3" t="n">
        <v>4.3</v>
      </c>
      <c r="E46" s="3" t="n">
        <v>4.2</v>
      </c>
      <c r="F46" s="3" t="n">
        <v>4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106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107</v>
      </c>
      <c r="B48" s="3" t="n">
        <v>7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5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12700</v>
      </c>
      <c r="C6" s="0" t="n">
        <f aca="false">B6*(1+C5/100)</f>
        <v>12890.5</v>
      </c>
      <c r="D6" s="0" t="n">
        <f aca="false">C6*(1+D5/100)</f>
        <v>13019.405</v>
      </c>
      <c r="E6" s="0" t="n">
        <f aca="false">D6*(1+E5/100)</f>
        <v>13149.59905</v>
      </c>
      <c r="F6" s="0" t="n">
        <f aca="false">E6*(1+F5/100)</f>
        <v>13346.84303575</v>
      </c>
      <c r="G6" s="0" t="n">
        <f aca="false">F6*(1+G5/100)</f>
        <v>13613.779896465</v>
      </c>
      <c r="H6" s="0" t="n">
        <f aca="false">G6*(1+H5/100)</f>
        <v>13886.0554943943</v>
      </c>
      <c r="I6" s="0" t="n">
        <f aca="false">H6*(1+I5/100)</f>
        <v>14163.7766042822</v>
      </c>
      <c r="J6" s="0" t="n">
        <f aca="false">I6*(1+J5/100)</f>
        <v>14447.0521363678</v>
      </c>
      <c r="K6" s="0" t="n">
        <f aca="false">J6*(1+K5/100)</f>
        <v>14735.9931790952</v>
      </c>
      <c r="L6" s="0" t="n">
        <f aca="false">K6*(1+L5/100)</f>
        <v>15030.7130426771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27.5</v>
      </c>
      <c r="D7" s="4" t="n">
        <f aca="false">Assumptions!D14</f>
        <v>26.5</v>
      </c>
      <c r="E7" s="4" t="n">
        <f aca="false">Assumptions!E14</f>
        <v>26.5</v>
      </c>
      <c r="F7" s="4" t="n">
        <f aca="false">Assumptions!F14</f>
        <v>26.8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3544.8875</v>
      </c>
      <c r="D8" s="0" t="n">
        <f aca="false">D6*D7/100</f>
        <v>3450.142325</v>
      </c>
      <c r="E8" s="0" t="n">
        <f aca="false">E6*E7/100</f>
        <v>3484.64374825</v>
      </c>
      <c r="F8" s="0" t="n">
        <f aca="false">F6*F7/100</f>
        <v>3576.953933581</v>
      </c>
      <c r="G8" s="0" t="n">
        <f aca="false">G6*G7/100</f>
        <v>3675.72057204555</v>
      </c>
      <c r="H8" s="0" t="n">
        <f aca="false">H6*H7/100</f>
        <v>3749.23498348646</v>
      </c>
      <c r="I8" s="0" t="n">
        <f aca="false">I6*I7/100</f>
        <v>3824.21968315619</v>
      </c>
      <c r="J8" s="0" t="n">
        <f aca="false">J6*J7/100</f>
        <v>3900.70407681931</v>
      </c>
      <c r="K8" s="0" t="n">
        <f aca="false">K6*K7/100</f>
        <v>3978.7181583557</v>
      </c>
      <c r="L8" s="0" t="n">
        <f aca="false">L6*L7/100</f>
        <v>4058.29252152281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-90.2335</v>
      </c>
      <c r="D10" s="0" t="n">
        <f aca="false">-D6*D9/100</f>
        <v>-91.135835</v>
      </c>
      <c r="E10" s="0" t="n">
        <f aca="false">-E6*E9/100</f>
        <v>-92.04719335</v>
      </c>
      <c r="F10" s="0" t="n">
        <f aca="false">-F6*F9/100</f>
        <v>-93.42790125025</v>
      </c>
      <c r="G10" s="0" t="n">
        <f aca="false">-G6*G9/100</f>
        <v>-95.296459275255</v>
      </c>
      <c r="H10" s="0" t="n">
        <f aca="false">-H6*H9/100</f>
        <v>-97.2023884607601</v>
      </c>
      <c r="I10" s="0" t="n">
        <f aca="false">-I6*I9/100</f>
        <v>-99.1464362299753</v>
      </c>
      <c r="J10" s="0" t="n">
        <f aca="false">-J6*J9/100</f>
        <v>-101.129364954575</v>
      </c>
      <c r="K10" s="0" t="n">
        <f aca="false">-K6*K9/100</f>
        <v>-103.151952253666</v>
      </c>
      <c r="L10" s="0" t="n">
        <f aca="false">-L6*L9/100</f>
        <v>-105.21499129874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3454.654</v>
      </c>
      <c r="D11" s="0" t="n">
        <f aca="false">D8+D10+D24</f>
        <v>3359.00649</v>
      </c>
      <c r="E11" s="0" t="n">
        <f aca="false">E8+E10+E24</f>
        <v>3392.5965549</v>
      </c>
      <c r="F11" s="0" t="n">
        <f aca="false">F8+F10+F24</f>
        <v>3483.52603233075</v>
      </c>
      <c r="G11" s="0" t="n">
        <f aca="false">G8+G10+G24</f>
        <v>3580.42411277029</v>
      </c>
      <c r="H11" s="0" t="n">
        <f aca="false">H8+H10+H24</f>
        <v>3652.0325950257</v>
      </c>
      <c r="I11" s="0" t="n">
        <f aca="false">I8+I10+I24</f>
        <v>3725.07324692622</v>
      </c>
      <c r="J11" s="0" t="n">
        <f aca="false">J8+J10+J24</f>
        <v>3799.57471186474</v>
      </c>
      <c r="K11" s="0" t="n">
        <f aca="false">K8+K10+K24</f>
        <v>3875.56620610203</v>
      </c>
      <c r="L11" s="0" t="n">
        <f aca="false">L8+L10+L24</f>
        <v>3953.07753022407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-399.6055</v>
      </c>
      <c r="D12" s="4" t="n">
        <f aca="false">-D6*Assumptions!D17/100</f>
        <v>-403.601555</v>
      </c>
      <c r="E12" s="4" t="n">
        <f aca="false">-E6*Assumptions!E17/100</f>
        <v>-407.63757055</v>
      </c>
      <c r="F12" s="4" t="n">
        <f aca="false">-F6*Assumptions!F17/100</f>
        <v>-413.75213410825</v>
      </c>
      <c r="G12" s="4" t="n">
        <f aca="false">-G6*Assumptions!G17/100</f>
        <v>-422.027176790415</v>
      </c>
      <c r="H12" s="4" t="n">
        <f aca="false">-H6*Assumptions!H17/100</f>
        <v>-430.467720326223</v>
      </c>
      <c r="I12" s="4" t="n">
        <f aca="false">-I6*Assumptions!I17/100</f>
        <v>-439.077074732748</v>
      </c>
      <c r="J12" s="4" t="n">
        <f aca="false">-J6*Assumptions!J17/100</f>
        <v>-447.858616227403</v>
      </c>
      <c r="K12" s="4" t="n">
        <f aca="false">-K6*Assumptions!K17/100</f>
        <v>-456.815788551951</v>
      </c>
      <c r="L12" s="4" t="n">
        <f aca="false">-L6*Assumptions!L17/100</f>
        <v>-465.95210432299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3055.0485</v>
      </c>
      <c r="D13" s="0" t="n">
        <f aca="false">D11+D12</f>
        <v>2955.404935</v>
      </c>
      <c r="E13" s="0" t="n">
        <f aca="false">E11+E12</f>
        <v>2984.95898435</v>
      </c>
      <c r="F13" s="0" t="n">
        <f aca="false">F11+F12</f>
        <v>3069.7738982225</v>
      </c>
      <c r="G13" s="0" t="n">
        <f aca="false">G11+G12</f>
        <v>3158.39693597988</v>
      </c>
      <c r="H13" s="0" t="n">
        <f aca="false">H11+H12</f>
        <v>3221.56487469948</v>
      </c>
      <c r="I13" s="0" t="n">
        <f aca="false">I11+I12</f>
        <v>3285.99617219347</v>
      </c>
      <c r="J13" s="0" t="n">
        <f aca="false">J11+J12</f>
        <v>3351.71609563734</v>
      </c>
      <c r="K13" s="0" t="n">
        <f aca="false">K11+K12</f>
        <v>3418.75041755008</v>
      </c>
      <c r="L13" s="0" t="n">
        <f aca="false">L11+L12</f>
        <v>3487.12542590109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2199.63492</v>
      </c>
      <c r="D15" s="0" t="n">
        <f aca="false">D13-MAX(0,D13)*D14/100</f>
        <v>2127.8915532</v>
      </c>
      <c r="E15" s="0" t="n">
        <f aca="false">E13-MAX(0,E13)*E14/100</f>
        <v>2149.170468732</v>
      </c>
      <c r="F15" s="0" t="n">
        <f aca="false">F13-MAX(0,F13)*F14/100</f>
        <v>2210.2372067202</v>
      </c>
      <c r="G15" s="0" t="n">
        <f aca="false">G13-MAX(0,G13)*G14/100</f>
        <v>2274.04579390551</v>
      </c>
      <c r="H15" s="0" t="n">
        <f aca="false">H13-MAX(0,H13)*H14/100</f>
        <v>2319.52670978362</v>
      </c>
      <c r="I15" s="0" t="n">
        <f aca="false">I13-MAX(0,I13)*I14/100</f>
        <v>2365.9172439793</v>
      </c>
      <c r="J15" s="0" t="n">
        <f aca="false">J13-MAX(0,J13)*J14/100</f>
        <v>2413.23558885888</v>
      </c>
      <c r="K15" s="0" t="n">
        <f aca="false">K13-MAX(0,K13)*K14/100</f>
        <v>2461.50030063606</v>
      </c>
      <c r="L15" s="0" t="n">
        <f aca="false">L13-MAX(0,L13)*L14/100</f>
        <v>2510.73030664878</v>
      </c>
    </row>
    <row r="16" customFormat="false" ht="15" hidden="false" customHeight="false" outlineLevel="0" collapsed="false">
      <c r="A16" s="0" t="s">
        <v>122</v>
      </c>
      <c r="C16" s="0" t="n">
        <f aca="false">-C12</f>
        <v>399.6055</v>
      </c>
      <c r="D16" s="0" t="n">
        <f aca="false">-D12</f>
        <v>403.601555</v>
      </c>
      <c r="E16" s="0" t="n">
        <f aca="false">-E12</f>
        <v>407.63757055</v>
      </c>
      <c r="F16" s="0" t="n">
        <f aca="false">-F12</f>
        <v>413.75213410825</v>
      </c>
      <c r="G16" s="0" t="n">
        <f aca="false">-G12</f>
        <v>422.027176790415</v>
      </c>
      <c r="H16" s="0" t="n">
        <f aca="false">-H12</f>
        <v>430.467720326223</v>
      </c>
      <c r="I16" s="0" t="n">
        <f aca="false">-I12</f>
        <v>439.077074732748</v>
      </c>
      <c r="J16" s="0" t="n">
        <f aca="false">-J12</f>
        <v>447.858616227403</v>
      </c>
      <c r="K16" s="0" t="n">
        <f aca="false">-K12</f>
        <v>456.815788551951</v>
      </c>
      <c r="L16" s="0" t="n">
        <f aca="false">-L12</f>
        <v>465.95210432299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-580.0725</v>
      </c>
      <c r="D17" s="4" t="n">
        <f aca="false">-D6*Assumptions!D18/100</f>
        <v>-585.873225</v>
      </c>
      <c r="E17" s="4" t="n">
        <f aca="false">-E6*Assumptions!E18/100</f>
        <v>-591.73195725</v>
      </c>
      <c r="F17" s="4" t="n">
        <f aca="false">-F6*Assumptions!F18/100</f>
        <v>-600.60793660875</v>
      </c>
      <c r="G17" s="4" t="n">
        <f aca="false">-G6*Assumptions!G18/100</f>
        <v>-612.620095340925</v>
      </c>
      <c r="H17" s="4" t="n">
        <f aca="false">-H6*Assumptions!H18/100</f>
        <v>-624.872497247744</v>
      </c>
      <c r="I17" s="4" t="n">
        <f aca="false">-I6*Assumptions!I18/100</f>
        <v>-637.369947192698</v>
      </c>
      <c r="J17" s="4" t="n">
        <f aca="false">-J6*Assumptions!J18/100</f>
        <v>-650.117346136552</v>
      </c>
      <c r="K17" s="4" t="n">
        <f aca="false">-K6*Assumptions!K18/100</f>
        <v>-663.119693059283</v>
      </c>
      <c r="L17" s="4" t="n">
        <f aca="false">-L6*Assumptions!L18/100</f>
        <v>-676.382086920469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-9.52499999999991</v>
      </c>
      <c r="D18" s="4" t="n">
        <f aca="false">(D6-C6)*Assumptions!$B$23/100</f>
        <v>-6.44525000000003</v>
      </c>
      <c r="E18" s="4" t="n">
        <f aca="false">(E6-D6)*Assumptions!$B$23/100</f>
        <v>-6.5097025</v>
      </c>
      <c r="F18" s="4" t="n">
        <f aca="false">(F6-E6)*Assumptions!$B$23/100</f>
        <v>-9.86219928749997</v>
      </c>
      <c r="G18" s="4" t="n">
        <f aca="false">(G6-F6)*Assumptions!$B$23/100</f>
        <v>-13.34684303575</v>
      </c>
      <c r="H18" s="4" t="n">
        <f aca="false">(H6-G6)*Assumptions!$B$23/100</f>
        <v>-13.613779896465</v>
      </c>
      <c r="I18" s="4" t="n">
        <f aca="false">(I6-H6)*Assumptions!$B$23/100</f>
        <v>-13.8860554943944</v>
      </c>
      <c r="J18" s="4" t="n">
        <f aca="false">(J6-I6)*Assumptions!$B$23/100</f>
        <v>-14.1637766042822</v>
      </c>
      <c r="K18" s="4" t="n">
        <f aca="false">(K6-J6)*Assumptions!$B$23/100</f>
        <v>-14.4470521363678</v>
      </c>
      <c r="L18" s="4" t="n">
        <f aca="false">(L6-K6)*Assumptions!$B$23/100</f>
        <v>-14.7359931790952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2009.64292</v>
      </c>
      <c r="D19" s="0" t="n">
        <f aca="false">D15+D16+D17+D18</f>
        <v>1939.1746332</v>
      </c>
      <c r="E19" s="0" t="n">
        <f aca="false">E15+E16+E17+E18</f>
        <v>1958.566379532</v>
      </c>
      <c r="F19" s="0" t="n">
        <f aca="false">F15+F16+F17+F18</f>
        <v>2013.5192049322</v>
      </c>
      <c r="G19" s="0" t="n">
        <f aca="false">G15+G16+G17+G18</f>
        <v>2070.10603231925</v>
      </c>
      <c r="H19" s="0" t="n">
        <f aca="false">H15+H16+H17+H18</f>
        <v>2111.50815296564</v>
      </c>
      <c r="I19" s="0" t="n">
        <f aca="false">I15+I16+I17+I18</f>
        <v>2153.73831602495</v>
      </c>
      <c r="J19" s="0" t="n">
        <f aca="false">J15+J16+J17+J18</f>
        <v>2196.81308234545</v>
      </c>
      <c r="K19" s="0" t="n">
        <f aca="false">K15+K16+K17+K18</f>
        <v>2240.74934399236</v>
      </c>
      <c r="L19" s="0" t="n">
        <f aca="false">L15+L16+L17+L18</f>
        <v>2285.56433087221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1878.17095327103</v>
      </c>
      <c r="D21" s="0" t="n">
        <f aca="false">D19*D20</f>
        <v>1693.75022552188</v>
      </c>
      <c r="E21" s="0" t="n">
        <f aca="false">E19*E20</f>
        <v>1598.77357736177</v>
      </c>
      <c r="F21" s="0" t="n">
        <f aca="false">F19*F20</f>
        <v>1536.10416080851</v>
      </c>
      <c r="G21" s="0" t="n">
        <f aca="false">G19*G20</f>
        <v>1475.9569911094</v>
      </c>
      <c r="H21" s="0" t="n">
        <f aca="false">H19*H20</f>
        <v>1406.98703825382</v>
      </c>
      <c r="I21" s="0" t="n">
        <f aca="false">I19*I20</f>
        <v>1341.23998039149</v>
      </c>
      <c r="J21" s="0" t="n">
        <f aca="false">J19*J20</f>
        <v>1278.56521495264</v>
      </c>
      <c r="K21" s="0" t="n">
        <f aca="false">K19*K20</f>
        <v>1218.81917687074</v>
      </c>
      <c r="L21" s="0" t="n">
        <f aca="false">L19*L20</f>
        <v>1161.86500972725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14590.2323282685</v>
      </c>
    </row>
    <row r="31" customFormat="false" ht="15" hidden="false" customHeight="false" outlineLevel="0" collapsed="false">
      <c r="A31" s="0" t="s">
        <v>131</v>
      </c>
      <c r="B31" s="0" t="n">
        <f aca="false">L19</f>
        <v>2285.56433087221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46625.512349793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34283.4649630831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34283.4649630831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17427.9751459087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32018.2074741772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22825.2074741772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3588.8690997134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-0.300688016423734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673.256105305639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1091.11371351297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3866.28573789242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17932.889365305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874.901380526346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3.5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12700</v>
      </c>
      <c r="C6" s="0" t="n">
        <f aca="false">B6*(1+C5/100)</f>
        <v>13144.5</v>
      </c>
      <c r="D6" s="0" t="n">
        <f aca="false">C6*(1+D5/100)</f>
        <v>13604.5575</v>
      </c>
      <c r="E6" s="0" t="n">
        <f aca="false">D6*(1+E5/100)</f>
        <v>14080.7170125</v>
      </c>
      <c r="F6" s="0" t="n">
        <f aca="false">E6*(1+F5/100)</f>
        <v>14573.5421079375</v>
      </c>
      <c r="G6" s="0" t="n">
        <f aca="false">F6*(1+G5/100)</f>
        <v>15010.7483711756</v>
      </c>
      <c r="H6" s="0" t="n">
        <f aca="false">G6*(1+H5/100)</f>
        <v>15461.0708223109</v>
      </c>
      <c r="I6" s="0" t="n">
        <f aca="false">H6*(1+I5/100)</f>
        <v>15847.5975928687</v>
      </c>
      <c r="J6" s="0" t="n">
        <f aca="false">I6*(1+J5/100)</f>
        <v>16243.7875326904</v>
      </c>
      <c r="K6" s="0" t="n">
        <f aca="false">J6*(1+K5/100)</f>
        <v>16649.8822210076</v>
      </c>
      <c r="L6" s="0" t="n">
        <f aca="false">K6*(1+L5/100)</f>
        <v>17066.1292765328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29</v>
      </c>
      <c r="D7" s="4" t="n">
        <f aca="false">Assumptions!D28</f>
        <v>29.3</v>
      </c>
      <c r="E7" s="4" t="n">
        <f aca="false">Assumptions!E28</f>
        <v>29.5</v>
      </c>
      <c r="F7" s="4" t="n">
        <f aca="false">Assumptions!F28</f>
        <v>29.8</v>
      </c>
      <c r="G7" s="4" t="n">
        <f aca="false">Assumptions!G28</f>
        <v>30</v>
      </c>
      <c r="H7" s="4" t="n">
        <f aca="false">Assumptions!H28</f>
        <v>30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3811.905</v>
      </c>
      <c r="D8" s="0" t="n">
        <f aca="false">D6*D7/100</f>
        <v>3986.1353475</v>
      </c>
      <c r="E8" s="0" t="n">
        <f aca="false">E6*E7/100</f>
        <v>4153.8115186875</v>
      </c>
      <c r="F8" s="0" t="n">
        <f aca="false">F6*F7/100</f>
        <v>4342.91554816537</v>
      </c>
      <c r="G8" s="0" t="n">
        <f aca="false">G6*G7/100</f>
        <v>4503.22451135269</v>
      </c>
      <c r="H8" s="0" t="n">
        <f aca="false">H6*H7/100</f>
        <v>4638.32124669327</v>
      </c>
      <c r="I8" s="0" t="n">
        <f aca="false">I6*I7/100</f>
        <v>4754.2792778606</v>
      </c>
      <c r="J8" s="0" t="n">
        <f aca="false">J6*J7/100</f>
        <v>4873.13625980711</v>
      </c>
      <c r="K8" s="0" t="n">
        <f aca="false">K6*K7/100</f>
        <v>4994.96466630229</v>
      </c>
      <c r="L8" s="0" t="n">
        <f aca="false">L6*L7/100</f>
        <v>5119.83878295985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0.7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0.7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-92.0115</v>
      </c>
      <c r="D10" s="0" t="n">
        <f aca="false">-D6*D9/100</f>
        <v>-95.2319025</v>
      </c>
      <c r="E10" s="0" t="n">
        <f aca="false">-E6*E9/100</f>
        <v>-98.5650190875</v>
      </c>
      <c r="F10" s="0" t="n">
        <f aca="false">-F6*F9/100</f>
        <v>-102.014794755562</v>
      </c>
      <c r="G10" s="0" t="n">
        <f aca="false">-G6*G9/100</f>
        <v>-105.075238598229</v>
      </c>
      <c r="H10" s="0" t="n">
        <f aca="false">-H6*H9/100</f>
        <v>-108.227495756176</v>
      </c>
      <c r="I10" s="0" t="n">
        <f aca="false">-I6*I9/100</f>
        <v>-110.933183150081</v>
      </c>
      <c r="J10" s="0" t="n">
        <f aca="false">-J6*J9/100</f>
        <v>-113.706512728833</v>
      </c>
      <c r="K10" s="0" t="n">
        <f aca="false">-K6*K9/100</f>
        <v>-116.549175547053</v>
      </c>
      <c r="L10" s="0" t="n">
        <f aca="false">-L6*L9/100</f>
        <v>-119.46290493573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3719.8935</v>
      </c>
      <c r="D11" s="0" t="n">
        <f aca="false">D8+D10+D24</f>
        <v>3890.903445</v>
      </c>
      <c r="E11" s="0" t="n">
        <f aca="false">E8+E10+E24</f>
        <v>4055.2464996</v>
      </c>
      <c r="F11" s="0" t="n">
        <f aca="false">F8+F10+F24</f>
        <v>4240.90075340981</v>
      </c>
      <c r="G11" s="0" t="n">
        <f aca="false">G8+G10+G24</f>
        <v>4398.14927275446</v>
      </c>
      <c r="H11" s="0" t="n">
        <f aca="false">H8+H10+H24</f>
        <v>4530.09375093709</v>
      </c>
      <c r="I11" s="0" t="n">
        <f aca="false">I8+I10+I24</f>
        <v>4643.34609471052</v>
      </c>
      <c r="J11" s="0" t="n">
        <f aca="false">J8+J10+J24</f>
        <v>4759.42974707828</v>
      </c>
      <c r="K11" s="0" t="n">
        <f aca="false">K8+K10+K24</f>
        <v>4878.41549075524</v>
      </c>
      <c r="L11" s="0" t="n">
        <f aca="false">L8+L10+L24</f>
        <v>5000.37587802412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-407.4795</v>
      </c>
      <c r="D12" s="4" t="n">
        <f aca="false">-D6*Assumptions!D31/100</f>
        <v>-421.7412825</v>
      </c>
      <c r="E12" s="4" t="n">
        <f aca="false">-E6*Assumptions!E31/100</f>
        <v>-436.5022273875</v>
      </c>
      <c r="F12" s="4" t="n">
        <f aca="false">-F6*Assumptions!F31/100</f>
        <v>-451.779805346062</v>
      </c>
      <c r="G12" s="4" t="n">
        <f aca="false">-G6*Assumptions!G31/100</f>
        <v>-465.333199506444</v>
      </c>
      <c r="H12" s="4" t="n">
        <f aca="false">-H6*Assumptions!H31/100</f>
        <v>-479.293195491638</v>
      </c>
      <c r="I12" s="4" t="n">
        <f aca="false">-I6*Assumptions!I31/100</f>
        <v>-491.275525378929</v>
      </c>
      <c r="J12" s="4" t="n">
        <f aca="false">-J6*Assumptions!J31/100</f>
        <v>-503.557413513402</v>
      </c>
      <c r="K12" s="4" t="n">
        <f aca="false">-K6*Assumptions!K31/100</f>
        <v>-516.146348851237</v>
      </c>
      <c r="L12" s="4" t="n">
        <f aca="false">-L6*Assumptions!L31/100</f>
        <v>-529.050007572518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3312.414</v>
      </c>
      <c r="D13" s="0" t="n">
        <f aca="false">D11+D12</f>
        <v>3469.1621625</v>
      </c>
      <c r="E13" s="0" t="n">
        <f aca="false">E11+E12</f>
        <v>3618.7442722125</v>
      </c>
      <c r="F13" s="0" t="n">
        <f aca="false">F11+F12</f>
        <v>3789.12094806375</v>
      </c>
      <c r="G13" s="0" t="n">
        <f aca="false">G11+G12</f>
        <v>3932.81607324801</v>
      </c>
      <c r="H13" s="0" t="n">
        <f aca="false">H11+H12</f>
        <v>4050.80055544545</v>
      </c>
      <c r="I13" s="0" t="n">
        <f aca="false">I11+I12</f>
        <v>4152.07056933159</v>
      </c>
      <c r="J13" s="0" t="n">
        <f aca="false">J11+J12</f>
        <v>4255.87233356488</v>
      </c>
      <c r="K13" s="0" t="n">
        <f aca="false">K11+K12</f>
        <v>4362.269141904</v>
      </c>
      <c r="L13" s="0" t="n">
        <f aca="false">L11+L12</f>
        <v>4471.3258704516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2418.06222</v>
      </c>
      <c r="D15" s="0" t="n">
        <f aca="false">D13-MAX(0,D13)*D14/100</f>
        <v>2532.488378625</v>
      </c>
      <c r="E15" s="0" t="n">
        <f aca="false">E13-MAX(0,E13)*E14/100</f>
        <v>2641.68331871512</v>
      </c>
      <c r="F15" s="0" t="n">
        <f aca="false">F13-MAX(0,F13)*F14/100</f>
        <v>2766.05829208654</v>
      </c>
      <c r="G15" s="0" t="n">
        <f aca="false">G13-MAX(0,G13)*G14/100</f>
        <v>2870.95573347105</v>
      </c>
      <c r="H15" s="0" t="n">
        <f aca="false">H13-MAX(0,H13)*H14/100</f>
        <v>2957.08440547518</v>
      </c>
      <c r="I15" s="0" t="n">
        <f aca="false">I13-MAX(0,I13)*I14/100</f>
        <v>3031.01151561206</v>
      </c>
      <c r="J15" s="0" t="n">
        <f aca="false">J13-MAX(0,J13)*J14/100</f>
        <v>3106.78680350236</v>
      </c>
      <c r="K15" s="0" t="n">
        <f aca="false">K13-MAX(0,K13)*K14/100</f>
        <v>3184.45647358992</v>
      </c>
      <c r="L15" s="0" t="n">
        <f aca="false">L13-MAX(0,L13)*L14/100</f>
        <v>3264.06788542967</v>
      </c>
    </row>
    <row r="16" customFormat="false" ht="15" hidden="false" customHeight="false" outlineLevel="0" collapsed="false">
      <c r="A16" s="0" t="s">
        <v>122</v>
      </c>
      <c r="C16" s="0" t="n">
        <f aca="false">-C12</f>
        <v>407.4795</v>
      </c>
      <c r="D16" s="0" t="n">
        <f aca="false">-D12</f>
        <v>421.7412825</v>
      </c>
      <c r="E16" s="0" t="n">
        <f aca="false">-E12</f>
        <v>436.5022273875</v>
      </c>
      <c r="F16" s="0" t="n">
        <f aca="false">-F12</f>
        <v>451.779805346062</v>
      </c>
      <c r="G16" s="0" t="n">
        <f aca="false">-G12</f>
        <v>465.333199506444</v>
      </c>
      <c r="H16" s="0" t="n">
        <f aca="false">-H12</f>
        <v>479.293195491638</v>
      </c>
      <c r="I16" s="0" t="n">
        <f aca="false">-I12</f>
        <v>491.275525378929</v>
      </c>
      <c r="J16" s="0" t="n">
        <f aca="false">-J12</f>
        <v>503.557413513402</v>
      </c>
      <c r="K16" s="0" t="n">
        <f aca="false">-K12</f>
        <v>516.146348851237</v>
      </c>
      <c r="L16" s="0" t="n">
        <f aca="false">-L12</f>
        <v>529.050007572518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-591.5025</v>
      </c>
      <c r="D17" s="4" t="n">
        <f aca="false">-D6*Assumptions!D32/100</f>
        <v>-612.2050875</v>
      </c>
      <c r="E17" s="4" t="n">
        <f aca="false">-E6*Assumptions!E32/100</f>
        <v>-605.4708315375</v>
      </c>
      <c r="F17" s="4" t="n">
        <f aca="false">-F6*Assumptions!F32/100</f>
        <v>-626.662310641312</v>
      </c>
      <c r="G17" s="4" t="n">
        <f aca="false">-G6*Assumptions!G32/100</f>
        <v>-630.451431589376</v>
      </c>
      <c r="H17" s="4" t="n">
        <f aca="false">-H6*Assumptions!H32/100</f>
        <v>-649.364974537057</v>
      </c>
      <c r="I17" s="4" t="n">
        <f aca="false">-I6*Assumptions!I32/100</f>
        <v>-665.599098900484</v>
      </c>
      <c r="J17" s="4" t="n">
        <f aca="false">-J6*Assumptions!J32/100</f>
        <v>-682.239076372996</v>
      </c>
      <c r="K17" s="4" t="n">
        <f aca="false">-K6*Assumptions!K32/100</f>
        <v>-699.295053282321</v>
      </c>
      <c r="L17" s="4" t="n">
        <f aca="false">-L6*Assumptions!L32/100</f>
        <v>-716.777429614378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2234.03922</v>
      </c>
      <c r="D19" s="0" t="n">
        <f aca="false">D15+D16+D17+D18</f>
        <v>2342.024573625</v>
      </c>
      <c r="E19" s="0" t="n">
        <f aca="false">E15+E16+E17+E18</f>
        <v>2472.71471456512</v>
      </c>
      <c r="F19" s="0" t="n">
        <f aca="false">F15+F16+F17+F18</f>
        <v>2591.17578679129</v>
      </c>
      <c r="G19" s="0" t="n">
        <f aca="false">G15+G16+G17+G18</f>
        <v>2705.83750138812</v>
      </c>
      <c r="H19" s="0" t="n">
        <f aca="false">H15+H16+H17+H18</f>
        <v>2787.01262642976</v>
      </c>
      <c r="I19" s="0" t="n">
        <f aca="false">I15+I16+I17+I18</f>
        <v>2856.6879420905</v>
      </c>
      <c r="J19" s="0" t="n">
        <f aca="false">J15+J16+J17+J18</f>
        <v>2928.10514064277</v>
      </c>
      <c r="K19" s="0" t="n">
        <f aca="false">K15+K16+K17+K18</f>
        <v>3001.30776915884</v>
      </c>
      <c r="L19" s="0" t="n">
        <f aca="false">L15+L16+L17+L18</f>
        <v>3076.34046338781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2087.88712149533</v>
      </c>
      <c r="D21" s="0" t="n">
        <f aca="false">D19*D20</f>
        <v>2045.61496517163</v>
      </c>
      <c r="E21" s="0" t="n">
        <f aca="false">E19*E20</f>
        <v>2018.47177165628</v>
      </c>
      <c r="F21" s="0" t="n">
        <f aca="false">F19*F20</f>
        <v>1976.79560131655</v>
      </c>
      <c r="G21" s="0" t="n">
        <f aca="false">G19*G20</f>
        <v>1929.22474241835</v>
      </c>
      <c r="H21" s="0" t="n">
        <f aca="false">H19*H20</f>
        <v>1857.10419129991</v>
      </c>
      <c r="I21" s="0" t="n">
        <f aca="false">I19*I20</f>
        <v>1779.00167858169</v>
      </c>
      <c r="J21" s="0" t="n">
        <f aca="false">J19*J20</f>
        <v>1704.18385097778</v>
      </c>
      <c r="K21" s="0" t="n">
        <f aca="false">K19*K20</f>
        <v>1632.51256752545</v>
      </c>
      <c r="L21" s="0" t="n">
        <f aca="false">L19*L20</f>
        <v>1563.85549692858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18594.6519873715</v>
      </c>
    </row>
    <row r="31" customFormat="false" ht="15" hidden="false" customHeight="false" outlineLevel="0" collapsed="false">
      <c r="A31" s="0" t="s">
        <v>131</v>
      </c>
      <c r="B31" s="0" t="n">
        <f aca="false">L19</f>
        <v>3076.34046338781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70072.1994438334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55374.1283409805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55374.1283409805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28149.3989447145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46744.050932086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37551.050932086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5904.25329120849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0.150478038037507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733.875794546527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1383.26900532103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6237.13769370339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25225.99179978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1581.49296304018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12700</v>
      </c>
      <c r="C6" s="0" t="n">
        <f aca="false">B6*(1+C5/100)</f>
        <v>13335</v>
      </c>
      <c r="D6" s="0" t="n">
        <f aca="false">C6*(1+D5/100)</f>
        <v>14001.75</v>
      </c>
      <c r="E6" s="0" t="n">
        <f aca="false">D6*(1+E5/100)</f>
        <v>14701.8375</v>
      </c>
      <c r="F6" s="0" t="n">
        <f aca="false">E6*(1+F5/100)</f>
        <v>15363.4201875</v>
      </c>
      <c r="G6" s="0" t="n">
        <f aca="false">F6*(1+G5/100)</f>
        <v>16054.7740959375</v>
      </c>
      <c r="H6" s="0" t="n">
        <f aca="false">G6*(1+H5/100)</f>
        <v>16696.965059775</v>
      </c>
      <c r="I6" s="0" t="n">
        <f aca="false">H6*(1+I5/100)</f>
        <v>17281.3588368671</v>
      </c>
      <c r="J6" s="0" t="n">
        <f aca="false">I6*(1+J5/100)</f>
        <v>17799.7996019731</v>
      </c>
      <c r="K6" s="0" t="n">
        <f aca="false">J6*(1+K5/100)</f>
        <v>18333.7935900323</v>
      </c>
      <c r="L6" s="0" t="n">
        <f aca="false">K6*(1+L5/100)</f>
        <v>18883.8073977333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29.3</v>
      </c>
      <c r="D7" s="4" t="n">
        <f aca="false">Assumptions!D42</f>
        <v>29.8</v>
      </c>
      <c r="E7" s="4" t="n">
        <f aca="false">Assumptions!E42</f>
        <v>30.3</v>
      </c>
      <c r="F7" s="4" t="n">
        <f aca="false">Assumptions!F42</f>
        <v>30.8</v>
      </c>
      <c r="G7" s="4" t="n">
        <f aca="false">Assumptions!G42</f>
        <v>31.2</v>
      </c>
      <c r="H7" s="4" t="n">
        <f aca="false">Assumptions!H42</f>
        <v>31.5</v>
      </c>
      <c r="I7" s="4" t="n">
        <f aca="false">Assumptions!I42</f>
        <v>31.5</v>
      </c>
      <c r="J7" s="4" t="n">
        <f aca="false">Assumptions!J42</f>
        <v>31.5</v>
      </c>
      <c r="K7" s="4" t="n">
        <f aca="false">Assumptions!K42</f>
        <v>31.5</v>
      </c>
      <c r="L7" s="4" t="n">
        <f aca="false">Assumptions!L42</f>
        <v>31.5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3907.155</v>
      </c>
      <c r="D8" s="0" t="n">
        <f aca="false">D6*D7/100</f>
        <v>4172.5215</v>
      </c>
      <c r="E8" s="0" t="n">
        <f aca="false">E6*E7/100</f>
        <v>4454.6567625</v>
      </c>
      <c r="F8" s="0" t="n">
        <f aca="false">F6*F7/100</f>
        <v>4731.93341775</v>
      </c>
      <c r="G8" s="0" t="n">
        <f aca="false">G6*G7/100</f>
        <v>5009.0895179325</v>
      </c>
      <c r="H8" s="0" t="n">
        <f aca="false">H6*H7/100</f>
        <v>5259.54399382913</v>
      </c>
      <c r="I8" s="0" t="n">
        <f aca="false">I6*I7/100</f>
        <v>5443.62803361314</v>
      </c>
      <c r="J8" s="0" t="n">
        <f aca="false">J6*J7/100</f>
        <v>5606.93687462154</v>
      </c>
      <c r="K8" s="0" t="n">
        <f aca="false">K6*K7/100</f>
        <v>5775.14498086019</v>
      </c>
      <c r="L8" s="0" t="n">
        <f aca="false">L6*L7/100</f>
        <v>5948.39933028599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-93.345</v>
      </c>
      <c r="D10" s="0" t="n">
        <f aca="false">-D6*D9/100</f>
        <v>-98.01225</v>
      </c>
      <c r="E10" s="0" t="n">
        <f aca="false">-E6*E9/100</f>
        <v>-102.9128625</v>
      </c>
      <c r="F10" s="0" t="n">
        <f aca="false">-F6*F9/100</f>
        <v>-107.5439413125</v>
      </c>
      <c r="G10" s="0" t="n">
        <f aca="false">-G6*G9/100</f>
        <v>-112.383418671562</v>
      </c>
      <c r="H10" s="0" t="n">
        <f aca="false">-H6*H9/100</f>
        <v>-116.878755418425</v>
      </c>
      <c r="I10" s="0" t="n">
        <f aca="false">-I6*I9/100</f>
        <v>-120.96951185807</v>
      </c>
      <c r="J10" s="0" t="n">
        <f aca="false">-J6*J9/100</f>
        <v>-124.598597213812</v>
      </c>
      <c r="K10" s="0" t="n">
        <f aca="false">-K6*K9/100</f>
        <v>-128.336555130226</v>
      </c>
      <c r="L10" s="0" t="n">
        <f aca="false">-L6*L9/100</f>
        <v>-132.186651784133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3813.81</v>
      </c>
      <c r="D11" s="0" t="n">
        <f aca="false">D8+D10+D24</f>
        <v>4074.50925</v>
      </c>
      <c r="E11" s="0" t="n">
        <f aca="false">E8+E10+E24</f>
        <v>4351.7439</v>
      </c>
      <c r="F11" s="0" t="n">
        <f aca="false">F8+F10+F24</f>
        <v>4624.3894764375</v>
      </c>
      <c r="G11" s="0" t="n">
        <f aca="false">G8+G10+G24</f>
        <v>4896.70609926094</v>
      </c>
      <c r="H11" s="0" t="n">
        <f aca="false">H8+H10+H24</f>
        <v>5142.6652384107</v>
      </c>
      <c r="I11" s="0" t="n">
        <f aca="false">I8+I10+I24</f>
        <v>5322.65852175507</v>
      </c>
      <c r="J11" s="0" t="n">
        <f aca="false">J8+J10+J24</f>
        <v>5482.33827740773</v>
      </c>
      <c r="K11" s="0" t="n">
        <f aca="false">K8+K10+K24</f>
        <v>5646.80842572996</v>
      </c>
      <c r="L11" s="0" t="n">
        <f aca="false">L8+L10+L24</f>
        <v>5816.21267850186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-413.385</v>
      </c>
      <c r="D12" s="4" t="n">
        <f aca="false">-D6*Assumptions!D45/100</f>
        <v>-434.05425</v>
      </c>
      <c r="E12" s="4" t="n">
        <f aca="false">-E6*Assumptions!E45/100</f>
        <v>-455.7569625</v>
      </c>
      <c r="F12" s="4" t="n">
        <f aca="false">-F6*Assumptions!F45/100</f>
        <v>-476.2660258125</v>
      </c>
      <c r="G12" s="4" t="n">
        <f aca="false">-G6*Assumptions!G45/100</f>
        <v>-497.697996974063</v>
      </c>
      <c r="H12" s="4" t="n">
        <f aca="false">-H6*Assumptions!H45/100</f>
        <v>-517.605916853025</v>
      </c>
      <c r="I12" s="4" t="n">
        <f aca="false">-I6*Assumptions!I45/100</f>
        <v>-535.722123942881</v>
      </c>
      <c r="J12" s="4" t="n">
        <f aca="false">-J6*Assumptions!J45/100</f>
        <v>-551.793787661167</v>
      </c>
      <c r="K12" s="4" t="n">
        <f aca="false">-K6*Assumptions!K45/100</f>
        <v>-568.347601291002</v>
      </c>
      <c r="L12" s="4" t="n">
        <f aca="false">-L6*Assumptions!L45/100</f>
        <v>-585.398029329732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3400.425</v>
      </c>
      <c r="D13" s="0" t="n">
        <f aca="false">D11+D12</f>
        <v>3640.455</v>
      </c>
      <c r="E13" s="0" t="n">
        <f aca="false">E11+E12</f>
        <v>3895.9869375</v>
      </c>
      <c r="F13" s="0" t="n">
        <f aca="false">F11+F12</f>
        <v>4148.123450625</v>
      </c>
      <c r="G13" s="0" t="n">
        <f aca="false">G11+G12</f>
        <v>4399.00810228687</v>
      </c>
      <c r="H13" s="0" t="n">
        <f aca="false">H11+H12</f>
        <v>4625.05932155768</v>
      </c>
      <c r="I13" s="0" t="n">
        <f aca="false">I11+I12</f>
        <v>4786.93639781219</v>
      </c>
      <c r="J13" s="0" t="n">
        <f aca="false">J11+J12</f>
        <v>4930.54448974656</v>
      </c>
      <c r="K13" s="0" t="n">
        <f aca="false">K11+K12</f>
        <v>5078.46082443896</v>
      </c>
      <c r="L13" s="0" t="n">
        <f aca="false">L11+L12</f>
        <v>5230.81464917213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2482.31025</v>
      </c>
      <c r="D15" s="0" t="n">
        <f aca="false">D13-MAX(0,D13)*D14/100</f>
        <v>2657.53215</v>
      </c>
      <c r="E15" s="0" t="n">
        <f aca="false">E13-MAX(0,E13)*E14/100</f>
        <v>2844.070464375</v>
      </c>
      <c r="F15" s="0" t="n">
        <f aca="false">F13-MAX(0,F13)*F14/100</f>
        <v>3028.13011895625</v>
      </c>
      <c r="G15" s="0" t="n">
        <f aca="false">G13-MAX(0,G13)*G14/100</f>
        <v>3211.27591466942</v>
      </c>
      <c r="H15" s="0" t="n">
        <f aca="false">H13-MAX(0,H13)*H14/100</f>
        <v>3376.2933047371</v>
      </c>
      <c r="I15" s="0" t="n">
        <f aca="false">I13-MAX(0,I13)*I14/100</f>
        <v>3494.4635704029</v>
      </c>
      <c r="J15" s="0" t="n">
        <f aca="false">J13-MAX(0,J13)*J14/100</f>
        <v>3599.29747751499</v>
      </c>
      <c r="K15" s="0" t="n">
        <f aca="false">K13-MAX(0,K13)*K14/100</f>
        <v>3707.27640184044</v>
      </c>
      <c r="L15" s="0" t="n">
        <f aca="false">L13-MAX(0,L13)*L14/100</f>
        <v>3818.49469389565</v>
      </c>
    </row>
    <row r="16" customFormat="false" ht="15" hidden="false" customHeight="false" outlineLevel="0" collapsed="false">
      <c r="A16" s="0" t="s">
        <v>122</v>
      </c>
      <c r="C16" s="0" t="n">
        <f aca="false">-C12</f>
        <v>413.385</v>
      </c>
      <c r="D16" s="0" t="n">
        <f aca="false">-D12</f>
        <v>434.05425</v>
      </c>
      <c r="E16" s="0" t="n">
        <f aca="false">-E12</f>
        <v>455.7569625</v>
      </c>
      <c r="F16" s="0" t="n">
        <f aca="false">-F12</f>
        <v>476.2660258125</v>
      </c>
      <c r="G16" s="0" t="n">
        <f aca="false">-G12</f>
        <v>497.697996974063</v>
      </c>
      <c r="H16" s="0" t="n">
        <f aca="false">-H12</f>
        <v>517.605916853025</v>
      </c>
      <c r="I16" s="0" t="n">
        <f aca="false">-I12</f>
        <v>535.722123942881</v>
      </c>
      <c r="J16" s="0" t="n">
        <f aca="false">-J12</f>
        <v>551.793787661167</v>
      </c>
      <c r="K16" s="0" t="n">
        <f aca="false">-K12</f>
        <v>568.347601291002</v>
      </c>
      <c r="L16" s="0" t="n">
        <f aca="false">-L12</f>
        <v>585.398029329732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-600.075</v>
      </c>
      <c r="D17" s="4" t="n">
        <f aca="false">-D6*Assumptions!D46/100</f>
        <v>-602.07525</v>
      </c>
      <c r="E17" s="4" t="n">
        <f aca="false">-E6*Assumptions!E46/100</f>
        <v>-617.477175</v>
      </c>
      <c r="F17" s="4" t="n">
        <f aca="false">-F6*Assumptions!F46/100</f>
        <v>-614.5368075</v>
      </c>
      <c r="G17" s="4" t="n">
        <f aca="false">-G6*Assumptions!G46/100</f>
        <v>-642.1909638375</v>
      </c>
      <c r="H17" s="4" t="n">
        <f aca="false">-H6*Assumptions!H46/100</f>
        <v>-667.878602391</v>
      </c>
      <c r="I17" s="4" t="n">
        <f aca="false">-I6*Assumptions!I46/100</f>
        <v>-691.254353474685</v>
      </c>
      <c r="J17" s="4" t="n">
        <f aca="false">-J6*Assumptions!J46/100</f>
        <v>-711.991984078926</v>
      </c>
      <c r="K17" s="4" t="n">
        <f aca="false">-K6*Assumptions!K46/100</f>
        <v>-733.351743601293</v>
      </c>
      <c r="L17" s="4" t="n">
        <f aca="false">-L6*Assumptions!L46/100</f>
        <v>-755.352295909332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31.75</v>
      </c>
      <c r="D18" s="4" t="n">
        <f aca="false">(D6-C6)*Assumptions!$B$51/100</f>
        <v>33.3375</v>
      </c>
      <c r="E18" s="4" t="n">
        <f aca="false">(E6-D6)*Assumptions!$B$51/100</f>
        <v>35.0043750000001</v>
      </c>
      <c r="F18" s="4" t="n">
        <f aca="false">(F6-E6)*Assumptions!$B$51/100</f>
        <v>33.0791343749999</v>
      </c>
      <c r="G18" s="4" t="n">
        <f aca="false">(G6-F6)*Assumptions!$B$51/100</f>
        <v>34.5676954218749</v>
      </c>
      <c r="H18" s="4" t="n">
        <f aca="false">(H6-G6)*Assumptions!$B$51/100</f>
        <v>32.1095481918751</v>
      </c>
      <c r="I18" s="4" t="n">
        <f aca="false">(I6-H6)*Assumptions!$B$51/100</f>
        <v>29.2196888546061</v>
      </c>
      <c r="J18" s="4" t="n">
        <f aca="false">(J6-I6)*Assumptions!$B$51/100</f>
        <v>25.9220382553007</v>
      </c>
      <c r="K18" s="4" t="n">
        <f aca="false">(K6-J6)*Assumptions!$B$51/100</f>
        <v>26.6996994029598</v>
      </c>
      <c r="L18" s="4" t="n">
        <f aca="false">(L6-K6)*Assumptions!$B$51/100</f>
        <v>27.5006903850484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2327.37025</v>
      </c>
      <c r="D19" s="0" t="n">
        <f aca="false">D15+D16+D17+D18</f>
        <v>2522.84865</v>
      </c>
      <c r="E19" s="0" t="n">
        <f aca="false">E15+E16+E17+E18</f>
        <v>2717.354626875</v>
      </c>
      <c r="F19" s="0" t="n">
        <f aca="false">F15+F16+F17+F18</f>
        <v>2922.93847164375</v>
      </c>
      <c r="G19" s="0" t="n">
        <f aca="false">G15+G16+G17+G18</f>
        <v>3101.35064322786</v>
      </c>
      <c r="H19" s="0" t="n">
        <f aca="false">H15+H16+H17+H18</f>
        <v>3258.130167391</v>
      </c>
      <c r="I19" s="0" t="n">
        <f aca="false">I15+I16+I17+I18</f>
        <v>3368.1510297257</v>
      </c>
      <c r="J19" s="0" t="n">
        <f aca="false">J15+J16+J17+J18</f>
        <v>3465.02131935253</v>
      </c>
      <c r="K19" s="0" t="n">
        <f aca="false">K15+K16+K17+K18</f>
        <v>3568.97195893311</v>
      </c>
      <c r="L19" s="0" t="n">
        <f aca="false">L15+L16+L17+L18</f>
        <v>3676.0411177011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2175.11238317757</v>
      </c>
      <c r="D21" s="0" t="n">
        <f aca="false">D19*D20</f>
        <v>2203.55371648179</v>
      </c>
      <c r="E21" s="0" t="n">
        <f aca="false">E19*E20</f>
        <v>2218.1708126776</v>
      </c>
      <c r="F21" s="0" t="n">
        <f aca="false">F19*F20</f>
        <v>2229.89576512653</v>
      </c>
      <c r="G21" s="0" t="n">
        <f aca="false">G19*G20</f>
        <v>2211.22014635425</v>
      </c>
      <c r="H21" s="0" t="n">
        <f aca="false">H19*H20</f>
        <v>2171.02970122299</v>
      </c>
      <c r="I21" s="0" t="n">
        <f aca="false">I19*I20</f>
        <v>2097.51518439</v>
      </c>
      <c r="J21" s="0" t="n">
        <f aca="false">J19*J20</f>
        <v>2016.67395537513</v>
      </c>
      <c r="K21" s="0" t="n">
        <f aca="false">K19*K20</f>
        <v>1941.28427480036</v>
      </c>
      <c r="L21" s="0" t="n">
        <f aca="false">L19*L20</f>
        <v>1868.71290004147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21133.1688396477</v>
      </c>
    </row>
    <row r="31" customFormat="false" ht="15" hidden="false" customHeight="false" outlineLevel="0" collapsed="false">
      <c r="A31" s="0" t="s">
        <v>131</v>
      </c>
      <c r="B31" s="0" t="n">
        <f aca="false">L19</f>
        <v>3676.0411177011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94658.0587808034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66168.7401186198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66168.7401186198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33636.8322007465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54770.0010403942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45577.0010403942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7166.19513213744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0.396374733464038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781.762219832564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1730.32251475115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7561.17700864432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31552.6862602678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2086.2108643905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3588.8690997134</v>
      </c>
      <c r="C4" s="0" t="n">
        <f aca="false">B4/Assumptions!$B$2-1</f>
        <v>-0.300688016423734</v>
      </c>
      <c r="D4" s="4" t="n">
        <f aca="false">Assumptions!$B$24</f>
        <v>0.25</v>
      </c>
      <c r="E4" s="4" t="n">
        <f aca="false">DCF_Bear!$B$43</f>
        <v>3866.28573789242</v>
      </c>
      <c r="F4" s="4" t="n">
        <f aca="false">DCF_Bear!$B$47</f>
        <v>874.901380526346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5904.25329120849</v>
      </c>
      <c r="C5" s="0" t="n">
        <f aca="false">B5/Assumptions!$B$2-1</f>
        <v>0.150478038037507</v>
      </c>
      <c r="D5" s="4" t="n">
        <f aca="false">Assumptions!$B$38</f>
        <v>0.5</v>
      </c>
      <c r="E5" s="4" t="n">
        <f aca="false">DCF_Base!$B$43</f>
        <v>6237.13769370339</v>
      </c>
      <c r="F5" s="4" t="n">
        <f aca="false">DCF_Base!$B$47</f>
        <v>1581.49296304018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7166.19513213744</v>
      </c>
      <c r="C6" s="0" t="n">
        <f aca="false">B6/Assumptions!$B$2-1</f>
        <v>0.396374733464038</v>
      </c>
      <c r="D6" s="4" t="n">
        <f aca="false">Assumptions!$B$52</f>
        <v>0.25</v>
      </c>
      <c r="E6" s="4" t="n">
        <f aca="false">DCF_Bull!$B$43</f>
        <v>7561.17700864432</v>
      </c>
      <c r="F6" s="4" t="n">
        <f aca="false">DCF_Bull!$B$47</f>
        <v>2086.2108643905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5640.89270356696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5975.43453348588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0.0902149234721593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-152.116314928476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1531.0245427493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5904.25329120849</v>
      </c>
      <c r="C15" s="3" t="n">
        <v>7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4433.74987822424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3640.68403069007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3034.51192778111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2556.20226885012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1581.49296304018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7131.56878028982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7131.56878028982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7131.56878028982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7131.56878028982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7131.56878028982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6488.38988477414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6488.38988477414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6488.38988477414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6488.38988477414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6488.38988477414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5904.25329120849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5904.25329120849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5904.25329120849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5904.25329120849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5904.25329120849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4838.83170984244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5149.05105739817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5373.0983639662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5373.0983639662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5373.0983639662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3976.90981739734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4189.01413135268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4433.74987822424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4719.27491624105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4889.54214074649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2026-10-10T01:15:26Z</dcterms:created>
  <dc:creator>openpyxl</dc:creator>
  <dc:description/>
  <dc:language>en-NZ</dc:language>
  <cp:lastModifiedBy/>
  <dcterms:modified xsi:type="dcterms:W3CDTF">2026-10-10T01:15:26Z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