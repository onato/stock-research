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<sst xmlns="http://schemas.openxmlformats.org/spreadsheetml/2006/main" count="367" uniqueCount="171">
  <si>
    <t xml:space="preserve">Ticker</t>
  </si>
  <si>
    <t xml:space="preserve">FLTR.L</t>
  </si>
  <si>
    <t xml:space="preserve">Company</t>
  </si>
  <si>
    <t xml:space="preserve">Flutter Entertainment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</si>
  <si>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</si>
  <si>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</si>
  <si>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</si>
  <si>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</si>
  <si>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2026-10-09T20:00:02Z regular close, NYSE: FLUT (USD)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</si>
  <si>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</si>
  <si>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</si>
  <si>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</si>
  <si>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</si>
  <si>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</si>
  <si>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</si>
  <si>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</si>
  <si>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</si>
  <si>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</si>
  <si>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</si>
  <si>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</si>
  <si>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</si>
  <si>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2026-10-09T23:16:38Z</t>
  </si>
  <si>
    <t xml:space="preserve">Drivers file</t>
  </si>
  <si>
    <t xml:space="preserve">FLTR.L_Drivers.json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</si>
  <si>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</si>
  <si>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</si>
  <si>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</si>
  <si>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House owner-FCF basis: SBC plus equity-award withholding taxes fully expensed (2.3% of revenue gliding to 1.8%), transaction/restructuring/integration cash charged against adjusted EBITDA, share count held flat, NCI deducted once in the bridge, unlevered flows discounted at a 9% USD WACC built on the target capital structure, with company-defined net debt ($10.5bn, ex player funds and ex operating leases) deducted. The valuation is a levered-equity call on whether FanDuel's 2026 margin trough is cyclical reinvestment or a structural reset; the bear/bull spread is dominated by that question and by the fixed $10.5bn debt claim ahead of equity.
key_risks_to_valuation: Leverage: at 4.3x net debt/EBITDA, each 1pp of permanent group margin is worth roughly $2-3bn of equity value; the bear case is a thin levered residual; US state gaming-tax cadence (Illinois per-wager levy, New Jersey, possible copycats) and the UK iGaming tax rise sit inside EBITDA and are not fully offset by cost programs; Regulatory reversal risk shown by Brazil's September 2026 ban (~1% of revenue; congressional ratification pending); US sportsbook customer churn since Q4-2025 and the DraftKings duopoly; prediction-market cannibalisation of SGP economics; Leadership transition risk: new Group CEO (1-Oct-2026), new FanDuel CEO (May-2026), interim CLO; Transaction/restructuring cash ($471m FY25, ~$500m FY26) is treated as fading to ~$150m/yr; if a serial-acquirer run-rate is higher the margin paths are overstated; Sports-results variance can move a year's EBITDA by hundreds of millions in either direction; FY2026 year-1 flows partly overlap the June-2026 net debt anchor (&lt;$1/share)</t>
  </si>
  <si>
    <t xml:space="preserve">Data sources</t>
  </si>
  <si>
    <t xml:space="preserve">price: Yahoo Finance chart API for NYSE: FLUT (USD) at inputs.price_as_of; 52-week range 73.50-255.26. The FLTR.L London line was delisted 2026-08-03 and its feed is frozen at the 2026-07-31 print; it was not used.
financials: FLTR.L_Metrics.csv (core_metrics rebuilt 2026-10-10); FY2025 Form 10-K (adjusted-EBITDA reconciliation, cash flow statement, EPS note, cover share count); Q2-2026 earnings release (balance sheet 30-Jun-2026, net debt, leverage, updated FY2026 guidance table, H1 cash flow); FY2023/FY2024 10-Ks for the USD/US-GAAP restated FY2021-FY2022 revenue and adjusted EBITDA.
qualitative: FLTR.L_Analysis.json (2026-10-10): FanDuel leadership, Brazil exit, FY2026 guidance cut, leverage, leadership transitions, state tax hikes, UK tax increase.</t>
  </si>
  <si>
    <t xml:space="preserve">Scenario narrative: bear</t>
  </si>
  <si>
    <t xml:space="preserve">The US sportsbook weakness is structural: churn from unfavourable results does not reverse, the DraftKings duopoly stays promotional, prediction markets erode SGP margin, and a cadence of state tax hikes plus the UK tax rise cap group adjusted margin at ~15% permanently. Brazil-style regulatory reversals recur in newer markets. New leadership misexecutes. Against $10.5bn of net debt the equity becomes a thin residual -- this scenario is a leverage story, not just a growth story, and its per-share value shows why the bear weight is above the house default.</t>
  </si>
  <si>
    <t xml:space="preserve">Scenario narrative: base</t>
  </si>
  <si>
    <t xml:space="preserve">FanDuel's 2026 is a deliberate reinvestment trough (US adjusted EBITDA guided -18% y/y, Q3 ~breakeven) layered on top of Illinois/New Jersey tax step-ups and the one-week NFL delay; management is trading margin for AMP growth into 2027. The base case takes that at face value: group adjusted margin recovers from 14.8% in FY26 to the FY25 level (17.4%) by FY28 and to 20% by FY32, with Phase 1/2 cost savings largely absorbing gaming-tax inflation rather than expanding margins. ~$500m of 2026 transaction/restructuring cash fades to a ~$150m/yr serial-acquirer run-rate. Revenue growth decelerates from 9% to 3% over ten years as US legalisation matures. Leverage falls from 4.3x toward the 2.0-2.5x target through cash generation, not equity issuance.</t>
  </si>
  <si>
    <t xml:space="preserve">Scenario narrative: bull</t>
  </si>
  <si>
    <t xml:space="preserve">The reinvestment works: AMPs and US sportsbook handle recover through the 2026-27 NFL season, iGaming legalises in more states, FanDuel Predicts becomes a real third product, and no further state tax hikes land, so Phase 2 savings drop through and group adjusted margin reaches 23.5% by FY33 (US &gt;20%, International ~24%). Revenue compounds ~10% for three years before decelerating. Still short of the 2024 investor-day ambition ($5bn EBITDA by 2027).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</si>
  <si>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</si>
  <si>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</si>
  <si>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</si>
  <si>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</si>
  <si>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</si>
  <si>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</si>
  <si>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</si>
  <si>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</si>
  <si>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</si>
  <si>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</si>
  <si>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</si>
  <si>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</si>
  <si>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</si>
  <si>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</si>
  <si>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</si>
  <si>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</si>
  <si>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</si>
  <si>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</si>
  <si>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</si>
  <si>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</si>
  <si>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</si>
  <si>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</si>
  <si>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</si>
  <si>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</si>
  <si>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</si>
  <si>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</si>
  <si>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</si>
  <si>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</si>
  <si>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CapitalReturn</t>
  </si>
  <si>
    <t xml:space="preserve">ImpairmentExpense</t>
  </si>
  <si>
    <t xml:space="preserve">ProfitForPeriodTotal</t>
  </si>
  <si>
    <t xml:space="preserve">UnderlyingEBITDA</t>
  </si>
  <si>
    <t xml:space="preserve">FY2015</t>
  </si>
  <si>
    <t xml:space="preserve">GBP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</si>
  <si>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</si>
  <si>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</si>
  <si>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</si>
  <si>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</si>
  <si>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</si>
  <si>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</si>
  <si>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</si>
  <si>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</si>
  <si>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</si>
  <si>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</si>
  <si>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</si>
  <si>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</si>
  <si>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</si>
  <si>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</si>
  <si>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</si>
  <si>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</si>
  <si>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</si>
  <si>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</si>
  <si>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</si>
  <si>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</si>
  <si>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</si>
  <si>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</si>
  <si>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</si>
  <si>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</si>
  <si>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</si>
  <si>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</si>
  <si>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</si>
  <si>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</si>
  <si>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</si>
  <si>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</si>
  <si>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</si>
  <si>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</si>
  <si>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</si>
  <si>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</si>
  <si>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</si>
  <si>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</si>
  <si>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</si>
  <si>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</si>
  <si>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</si>
  <si>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</si>
  <si>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</si>
  <si>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</si>
  <si>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</si>
  <si>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</si>
  <si>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</si>
  <si>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</si>
  <si>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</si>
  <si>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FLTR.L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</si>
  <si>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</si>
  <si>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</si>
  <si>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</si>
  <si>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</si>
  <si>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</si>
  <si>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</si>
  <si>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</si>
  <si>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</si>
  <si>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</si>
  <si>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</si>
  <si>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</si>
  <si>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</si>
  <si>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</si>
  <si>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</si>
  <si>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</si>
  <si>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</si>
  <si>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</si>
  <si>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</si>
  <si>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</si>
  <si>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</si>
  <si>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</si>
  <si>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</si>
  <si>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</si>
  <si>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</si>
  <si>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</si>
  <si>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</si>
  <si>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</si>
  <si>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</si>
  <si>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</si>
  <si>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</si>
  <si>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FLTR.L owner-FCF component DCF: base case (millions, USD)</t>
  </si>
  <si>
    <t xml:space="preserve">FLTR.L owner-FCF component DCF: bull case (millions, USD)</t>
  </si>
  <si>
    <t xml:space="preserve">FLTR.L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</si>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</sst>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79.78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794.3</v>
      </c>
      <c r="C2" s="0" t="n">
        <v>191.3</v>
      </c>
      <c r="D2" s="0" t="n">
        <v>603</v>
      </c>
      <c r="E2" s="0" t="n">
        <v>75.9</v>
      </c>
      <c r="F2" s="0" t="n">
        <v>125.1</v>
      </c>
      <c r="G2" s="0" t="n">
        <v>15.7</v>
      </c>
      <c r="H2" s="0" t="n">
        <v>163.5</v>
      </c>
      <c r="I2" s="0" t="n">
        <v>108.2</v>
      </c>
      <c r="J2" s="0" t="n">
        <v>13.6</v>
      </c>
      <c r="K2" s="0" t="n">
        <v>2.358</v>
      </c>
      <c r="L2" s="0" t="n">
        <v>188.5</v>
      </c>
      <c r="M2" s="0" t="n">
        <v>42.1</v>
      </c>
      <c r="N2" s="0" t="n">
        <v>146.4</v>
      </c>
      <c r="O2" s="0" t="n">
        <v>50.9</v>
      </c>
      <c r="P2" s="0" t="n">
        <v>409.7</v>
      </c>
      <c r="Q2" s="0" t="n">
        <v>358.8</v>
      </c>
      <c r="R2" s="0" t="n">
        <v>142</v>
      </c>
      <c r="S2" s="0" t="n">
        <v>86.1</v>
      </c>
      <c r="T2" s="0" t="n">
        <v>45.9</v>
      </c>
      <c r="U2" s="0" t="n">
        <v>12.1</v>
      </c>
      <c r="AA2" s="0" t="s">
        <v>17</v>
      </c>
      <c r="AB2" s="0" t="s">
        <v>69</v>
      </c>
      <c r="AD2" s="0" t="n">
        <v>282.8</v>
      </c>
      <c r="AF2" s="0" t="n">
        <v>108.2</v>
      </c>
      <c r="AG2" s="0" t="n">
        <v>170.9</v>
      </c>
    </row>
    <row r="3" customFormat="false" ht="15" hidden="false" customHeight="false" outlineLevel="0" collapsed="false">
      <c r="A3" s="0" t="s">
        <v>70</v>
      </c>
      <c r="B3" s="0" t="n">
        <v>1500.8</v>
      </c>
      <c r="C3" s="0" t="n">
        <v>346.5</v>
      </c>
      <c r="D3" s="0" t="n">
        <v>1154.3</v>
      </c>
      <c r="E3" s="0" t="n">
        <v>76.9</v>
      </c>
      <c r="F3" s="0" t="n">
        <v>15.4</v>
      </c>
      <c r="G3" s="0" t="n">
        <v>1</v>
      </c>
      <c r="H3" s="0" t="n">
        <v>263.9</v>
      </c>
      <c r="I3" s="0" t="n">
        <v>-5.7</v>
      </c>
      <c r="J3" s="0" t="n">
        <v>-0.4</v>
      </c>
      <c r="K3" s="0" t="n">
        <v>-0.072</v>
      </c>
      <c r="L3" s="0" t="n">
        <v>204.2</v>
      </c>
      <c r="M3" s="0" t="n">
        <v>80.1</v>
      </c>
      <c r="N3" s="0" t="n">
        <v>124.1</v>
      </c>
      <c r="O3" s="0" t="n">
        <v>4316.6</v>
      </c>
      <c r="P3" s="0" t="n">
        <v>4992</v>
      </c>
      <c r="Q3" s="0" t="n">
        <v>675.4</v>
      </c>
      <c r="R3" s="0" t="n">
        <v>213.8</v>
      </c>
      <c r="S3" s="0" t="n">
        <v>249.9</v>
      </c>
      <c r="T3" s="0" t="n">
        <v>79.2</v>
      </c>
      <c r="U3" s="0" t="n">
        <v>20.8</v>
      </c>
      <c r="AA3" s="0" t="s">
        <v>17</v>
      </c>
      <c r="AB3" s="0" t="s">
        <v>69</v>
      </c>
      <c r="AF3" s="0" t="n">
        <v>-5.7</v>
      </c>
      <c r="AG3" s="0" t="n">
        <v>387</v>
      </c>
    </row>
    <row r="4" customFormat="false" ht="15" hidden="false" customHeight="false" outlineLevel="0" collapsed="false">
      <c r="A4" s="0" t="s">
        <v>71</v>
      </c>
      <c r="B4" s="0" t="n">
        <v>1745.4</v>
      </c>
      <c r="C4" s="0" t="n">
        <v>405.4</v>
      </c>
      <c r="D4" s="0" t="n">
        <v>1340</v>
      </c>
      <c r="E4" s="0" t="n">
        <v>76.8</v>
      </c>
      <c r="F4" s="0" t="n">
        <v>250</v>
      </c>
      <c r="G4" s="0" t="n">
        <v>14.3</v>
      </c>
      <c r="H4" s="0" t="n">
        <v>465.8</v>
      </c>
      <c r="I4" s="0" t="n">
        <v>217.7</v>
      </c>
      <c r="J4" s="0" t="n">
        <v>12.5</v>
      </c>
      <c r="K4" s="0" t="n">
        <v>2.554</v>
      </c>
      <c r="L4" s="0" t="n">
        <v>471.6</v>
      </c>
      <c r="M4" s="0" t="n">
        <v>84.8</v>
      </c>
      <c r="N4" s="0" t="n">
        <v>386.8</v>
      </c>
      <c r="O4" s="0" t="n">
        <v>4395.4</v>
      </c>
      <c r="P4" s="0" t="n">
        <v>4928.5</v>
      </c>
      <c r="Q4" s="0" t="n">
        <v>533.1</v>
      </c>
      <c r="R4" s="0" t="n">
        <v>62.2</v>
      </c>
      <c r="S4" s="0" t="n">
        <v>306.6</v>
      </c>
      <c r="T4" s="0" t="n">
        <v>85.2</v>
      </c>
      <c r="U4" s="0" t="n">
        <v>26</v>
      </c>
      <c r="AA4" s="0" t="s">
        <v>17</v>
      </c>
      <c r="AB4" s="0" t="s">
        <v>69</v>
      </c>
      <c r="AF4" s="0" t="n">
        <v>217.7</v>
      </c>
      <c r="AG4" s="0" t="n">
        <v>473.2</v>
      </c>
    </row>
    <row r="5" customFormat="false" ht="15" hidden="false" customHeight="false" outlineLevel="0" collapsed="false">
      <c r="A5" s="0" t="s">
        <v>72</v>
      </c>
      <c r="B5" s="0" t="n">
        <v>1873.4</v>
      </c>
      <c r="C5" s="0" t="n">
        <v>469.9</v>
      </c>
      <c r="D5" s="0" t="n">
        <v>1403.5</v>
      </c>
      <c r="E5" s="0" t="n">
        <v>74.9</v>
      </c>
      <c r="F5" s="0" t="n">
        <v>204.6</v>
      </c>
      <c r="G5" s="0" t="n">
        <v>10.9</v>
      </c>
      <c r="H5" s="0" t="n">
        <v>423</v>
      </c>
      <c r="I5" s="0" t="n">
        <v>201.4</v>
      </c>
      <c r="J5" s="0" t="n">
        <v>10.8</v>
      </c>
      <c r="K5" s="0" t="n">
        <v>2.404</v>
      </c>
      <c r="L5" s="0" t="n">
        <v>330.4</v>
      </c>
      <c r="M5" s="0" t="n">
        <v>100.4</v>
      </c>
      <c r="N5" s="0" t="n">
        <v>230</v>
      </c>
      <c r="O5" s="0" t="n">
        <v>3998</v>
      </c>
      <c r="P5" s="0" t="n">
        <v>5178.5</v>
      </c>
      <c r="Q5" s="0" t="n">
        <v>967.2</v>
      </c>
      <c r="R5" s="0" t="n">
        <v>283.4</v>
      </c>
      <c r="S5" s="0" t="n">
        <v>123.7</v>
      </c>
      <c r="T5" s="0" t="n">
        <v>83.8</v>
      </c>
      <c r="U5" s="0" t="n">
        <v>18.9</v>
      </c>
      <c r="AA5" s="0" t="s">
        <v>17</v>
      </c>
      <c r="AB5" s="0" t="s">
        <v>69</v>
      </c>
      <c r="AE5" s="0" t="n">
        <v>27.2</v>
      </c>
      <c r="AF5" s="0" t="n">
        <v>180.7</v>
      </c>
      <c r="AG5" s="0" t="n">
        <v>451</v>
      </c>
    </row>
    <row r="6" customFormat="false" ht="15" hidden="false" customHeight="false" outlineLevel="0" collapsed="false">
      <c r="A6" s="0" t="s">
        <v>73</v>
      </c>
      <c r="B6" s="0" t="n">
        <v>2140</v>
      </c>
      <c r="C6" s="0" t="n">
        <v>650.2</v>
      </c>
      <c r="D6" s="0" t="n">
        <v>1489.8</v>
      </c>
      <c r="E6" s="0" t="n">
        <v>69.6</v>
      </c>
      <c r="F6" s="0" t="n">
        <v>149.9</v>
      </c>
      <c r="G6" s="0" t="n">
        <v>7</v>
      </c>
      <c r="H6" s="0" t="n">
        <v>407.8</v>
      </c>
      <c r="I6" s="0" t="n">
        <v>144</v>
      </c>
      <c r="J6" s="0" t="n">
        <v>6.7</v>
      </c>
      <c r="K6" s="0" t="n">
        <v>1.822</v>
      </c>
      <c r="L6" s="0" t="n">
        <v>419.4</v>
      </c>
      <c r="M6" s="0" t="n">
        <v>130.8</v>
      </c>
      <c r="N6" s="0" t="n">
        <v>288.6</v>
      </c>
      <c r="O6" s="0" t="n">
        <v>3984.7</v>
      </c>
      <c r="P6" s="0" t="n">
        <v>5401.2</v>
      </c>
      <c r="Q6" s="0" t="n">
        <v>1211.6</v>
      </c>
      <c r="R6" s="0" t="n">
        <v>370.7</v>
      </c>
      <c r="S6" s="0" t="n">
        <v>108.1</v>
      </c>
      <c r="T6" s="0" t="n">
        <v>79</v>
      </c>
      <c r="U6" s="0" t="n">
        <v>17.1</v>
      </c>
      <c r="AA6" s="0" t="s">
        <v>17</v>
      </c>
      <c r="AB6" s="0" t="s">
        <v>69</v>
      </c>
      <c r="AF6" s="0" t="n">
        <v>111.9</v>
      </c>
      <c r="AG6" s="0" t="n">
        <v>425.4</v>
      </c>
    </row>
    <row r="7" customFormat="false" ht="15" hidden="false" customHeight="false" outlineLevel="0" collapsed="false">
      <c r="A7" s="0" t="s">
        <v>74</v>
      </c>
      <c r="B7" s="0" t="n">
        <v>4413.9</v>
      </c>
      <c r="C7" s="0" t="n">
        <v>1541.7</v>
      </c>
      <c r="D7" s="0" t="n">
        <v>2872.2</v>
      </c>
      <c r="E7" s="0" t="n">
        <v>65.1</v>
      </c>
      <c r="F7" s="0" t="n">
        <v>103.5</v>
      </c>
      <c r="G7" s="0" t="n">
        <v>2.3</v>
      </c>
      <c r="H7" s="0" t="n">
        <v>771.6</v>
      </c>
      <c r="I7" s="0" t="n">
        <v>37.9</v>
      </c>
      <c r="J7" s="0" t="n">
        <v>0.9</v>
      </c>
      <c r="K7" s="0" t="n">
        <v>0.285</v>
      </c>
      <c r="L7" s="0" t="n">
        <v>998.4</v>
      </c>
      <c r="M7" s="0" t="n">
        <v>212.1</v>
      </c>
      <c r="N7" s="0" t="n">
        <v>786.3</v>
      </c>
      <c r="O7" s="0" t="n">
        <v>10965.1</v>
      </c>
      <c r="P7" s="0" t="n">
        <v>16992.2</v>
      </c>
      <c r="Q7" s="0" t="n">
        <v>5996.3</v>
      </c>
      <c r="R7" s="0" t="n">
        <v>3138.9</v>
      </c>
      <c r="S7" s="0" t="n">
        <v>603.4</v>
      </c>
      <c r="T7" s="0" t="n">
        <v>133</v>
      </c>
      <c r="U7" s="0" t="n">
        <v>52.1</v>
      </c>
      <c r="AA7" s="0" t="s">
        <v>17</v>
      </c>
      <c r="AB7" s="0" t="s">
        <v>69</v>
      </c>
      <c r="AE7" s="0" t="n">
        <v>22.6</v>
      </c>
      <c r="AF7" s="0" t="n">
        <v>-34.7</v>
      </c>
      <c r="AG7" s="0" t="n">
        <v>889.2</v>
      </c>
    </row>
    <row r="8" customFormat="false" ht="15" hidden="false" customHeight="false" outlineLevel="0" collapsed="false">
      <c r="A8" s="0" t="s">
        <v>75</v>
      </c>
      <c r="B8" s="0" t="n">
        <v>6036.2</v>
      </c>
      <c r="C8" s="0" t="n">
        <v>2309.5</v>
      </c>
      <c r="D8" s="0" t="n">
        <v>3726.7</v>
      </c>
      <c r="E8" s="0" t="n">
        <v>61.7</v>
      </c>
      <c r="F8" s="0" t="n">
        <v>-62.5</v>
      </c>
      <c r="G8" s="0" t="n">
        <v>-1</v>
      </c>
      <c r="H8" s="0" t="n">
        <v>723.3</v>
      </c>
      <c r="I8" s="0" t="n">
        <v>-415.8</v>
      </c>
      <c r="J8" s="0" t="n">
        <v>-6.9</v>
      </c>
      <c r="K8" s="0" t="n">
        <v>-2.365</v>
      </c>
      <c r="L8" s="0" t="n">
        <v>774.8</v>
      </c>
      <c r="M8" s="0" t="n">
        <v>294</v>
      </c>
      <c r="N8" s="0" t="n">
        <v>480.8</v>
      </c>
      <c r="O8" s="0" t="n">
        <v>10250.9</v>
      </c>
      <c r="P8" s="0" t="n">
        <v>16775.5</v>
      </c>
      <c r="Q8" s="0" t="n">
        <v>6487.1</v>
      </c>
      <c r="R8" s="0" t="n">
        <v>3571.8</v>
      </c>
      <c r="S8" s="0" t="n">
        <v>951.7</v>
      </c>
      <c r="T8" s="0" t="n">
        <v>175.8</v>
      </c>
      <c r="U8" s="0" t="n">
        <v>79.1</v>
      </c>
      <c r="AA8" s="0" t="s">
        <v>17</v>
      </c>
      <c r="AB8" s="0" t="s">
        <v>69</v>
      </c>
      <c r="AF8" s="0" t="n">
        <v>-411.9</v>
      </c>
    </row>
    <row r="9" customFormat="false" ht="15" hidden="false" customHeight="false" outlineLevel="0" collapsed="false">
      <c r="A9" s="0" t="s">
        <v>76</v>
      </c>
      <c r="B9" s="0" t="n">
        <v>7693.2</v>
      </c>
      <c r="C9" s="0" t="n">
        <v>3146.3</v>
      </c>
      <c r="D9" s="0" t="n">
        <v>4546.9</v>
      </c>
      <c r="E9" s="0" t="n">
        <v>59.1</v>
      </c>
      <c r="F9" s="0" t="n">
        <v>-59.8</v>
      </c>
      <c r="G9" s="0" t="n">
        <v>-0.8</v>
      </c>
      <c r="H9" s="0" t="n">
        <v>917.6</v>
      </c>
      <c r="I9" s="0" t="n">
        <v>-302</v>
      </c>
      <c r="J9" s="0" t="n">
        <v>-3.9</v>
      </c>
      <c r="K9" s="0" t="n">
        <v>-1.708</v>
      </c>
      <c r="L9" s="0" t="n">
        <v>1297.4</v>
      </c>
      <c r="M9" s="0" t="n">
        <v>388.2</v>
      </c>
      <c r="N9" s="0" t="n">
        <v>909.2</v>
      </c>
      <c r="O9" s="0" t="n">
        <v>10208.6</v>
      </c>
      <c r="P9" s="0" t="n">
        <v>20482.2</v>
      </c>
      <c r="Q9" s="0" t="n">
        <v>10145.3</v>
      </c>
      <c r="R9" s="0" t="n">
        <v>5577.5</v>
      </c>
      <c r="S9" s="0" t="n">
        <v>797.9</v>
      </c>
      <c r="T9" s="0" t="n">
        <v>176.8</v>
      </c>
      <c r="U9" s="0" t="n">
        <v>123.2</v>
      </c>
      <c r="AA9" s="0" t="s">
        <v>17</v>
      </c>
      <c r="AB9" s="0" t="s">
        <v>69</v>
      </c>
      <c r="AF9" s="0" t="n">
        <v>-304.9</v>
      </c>
    </row>
    <row r="10" customFormat="false" ht="15" hidden="false" customHeight="false" outlineLevel="0" collapsed="false">
      <c r="A10" s="0" t="s">
        <v>77</v>
      </c>
      <c r="B10" s="0" t="n">
        <v>11790</v>
      </c>
      <c r="C10" s="0" t="n">
        <v>6202</v>
      </c>
      <c r="D10" s="0" t="n">
        <v>5588</v>
      </c>
      <c r="E10" s="0" t="n">
        <v>47.4</v>
      </c>
      <c r="F10" s="0" t="n">
        <v>-549</v>
      </c>
      <c r="G10" s="0" t="n">
        <v>-4.7</v>
      </c>
      <c r="H10" s="0" t="n">
        <v>1461</v>
      </c>
      <c r="I10" s="0" t="n">
        <v>-1222</v>
      </c>
      <c r="J10" s="0" t="n">
        <v>-10.4</v>
      </c>
      <c r="K10" s="0" t="n">
        <v>-6.89</v>
      </c>
      <c r="L10" s="0" t="n">
        <v>937</v>
      </c>
      <c r="M10" s="0" t="n">
        <v>602</v>
      </c>
      <c r="N10" s="0" t="n">
        <v>335</v>
      </c>
      <c r="O10" s="0" t="n">
        <v>10044</v>
      </c>
      <c r="P10" s="0" t="n">
        <v>24635</v>
      </c>
      <c r="Q10" s="0" t="n">
        <v>13267</v>
      </c>
      <c r="R10" s="0" t="n">
        <v>7056</v>
      </c>
      <c r="S10" s="0" t="n">
        <v>1497</v>
      </c>
      <c r="T10" s="0" t="n">
        <v>177.4</v>
      </c>
      <c r="U10" s="0" t="n">
        <v>190</v>
      </c>
      <c r="AA10" s="0" t="s">
        <v>17</v>
      </c>
      <c r="AB10" s="0" t="s">
        <v>14</v>
      </c>
      <c r="AE10" s="0" t="n">
        <v>725</v>
      </c>
      <c r="AF10" s="0" t="n">
        <v>-1211</v>
      </c>
    </row>
    <row r="11" customFormat="false" ht="15" hidden="false" customHeight="false" outlineLevel="0" collapsed="false">
      <c r="A11" s="0" t="s">
        <v>78</v>
      </c>
      <c r="B11" s="0" t="n">
        <v>14048</v>
      </c>
      <c r="C11" s="0" t="n">
        <v>7346</v>
      </c>
      <c r="D11" s="0" t="n">
        <v>6702</v>
      </c>
      <c r="E11" s="0" t="n">
        <v>47.7</v>
      </c>
      <c r="F11" s="0" t="n">
        <v>869</v>
      </c>
      <c r="G11" s="0" t="n">
        <v>6.2</v>
      </c>
      <c r="H11" s="0" t="n">
        <v>1966</v>
      </c>
      <c r="I11" s="0" t="n">
        <v>43</v>
      </c>
      <c r="J11" s="0" t="n">
        <v>0.3</v>
      </c>
      <c r="K11" s="0" t="n">
        <v>0.24</v>
      </c>
      <c r="L11" s="0" t="n">
        <v>1602</v>
      </c>
      <c r="M11" s="0" t="n">
        <v>661</v>
      </c>
      <c r="N11" s="0" t="n">
        <v>941</v>
      </c>
      <c r="O11" s="0" t="n">
        <v>9293</v>
      </c>
      <c r="P11" s="0" t="n">
        <v>24508</v>
      </c>
      <c r="Q11" s="0" t="n">
        <v>13241</v>
      </c>
      <c r="R11" s="0" t="n">
        <v>6736</v>
      </c>
      <c r="S11" s="0" t="n">
        <v>1531</v>
      </c>
      <c r="T11" s="0" t="n">
        <v>180</v>
      </c>
      <c r="U11" s="0" t="n">
        <v>202</v>
      </c>
      <c r="AA11" s="0" t="s">
        <v>17</v>
      </c>
      <c r="AB11" s="0" t="s">
        <v>14</v>
      </c>
      <c r="AC11" s="0" t="n">
        <v>2357</v>
      </c>
      <c r="AF11" s="0" t="n">
        <v>162</v>
      </c>
    </row>
    <row r="12" customFormat="false" ht="15" hidden="false" customHeight="false" outlineLevel="0" collapsed="false">
      <c r="A12" s="0" t="s">
        <v>79</v>
      </c>
      <c r="B12" s="0" t="n">
        <v>16383</v>
      </c>
      <c r="C12" s="0" t="n">
        <v>8979</v>
      </c>
      <c r="D12" s="0" t="n">
        <v>7404</v>
      </c>
      <c r="E12" s="0" t="n">
        <v>45.2</v>
      </c>
      <c r="F12" s="0" t="n">
        <v>36</v>
      </c>
      <c r="G12" s="0" t="n">
        <v>0.2</v>
      </c>
      <c r="H12" s="0" t="n">
        <v>2070</v>
      </c>
      <c r="I12" s="0" t="n">
        <v>-310</v>
      </c>
      <c r="J12" s="0" t="n">
        <v>-1.9</v>
      </c>
      <c r="K12" s="0" t="n">
        <v>-1.75</v>
      </c>
      <c r="L12" s="0" t="n">
        <v>1184</v>
      </c>
      <c r="M12" s="0" t="n">
        <v>777</v>
      </c>
      <c r="N12" s="0" t="n">
        <v>407</v>
      </c>
      <c r="O12" s="0" t="n">
        <v>9038</v>
      </c>
      <c r="P12" s="0" t="n">
        <v>29280</v>
      </c>
      <c r="Q12" s="0" t="n">
        <v>19582</v>
      </c>
      <c r="R12" s="0" t="n">
        <v>12266</v>
      </c>
      <c r="S12" s="0" t="n">
        <v>1828</v>
      </c>
      <c r="T12" s="0" t="n">
        <v>177</v>
      </c>
      <c r="U12" s="0" t="n">
        <v>260</v>
      </c>
      <c r="AA12" s="0" t="s">
        <v>17</v>
      </c>
      <c r="AB12" s="0" t="s">
        <v>14</v>
      </c>
      <c r="AC12" s="0" t="n">
        <v>2845</v>
      </c>
      <c r="AE12" s="0" t="n">
        <v>561</v>
      </c>
      <c r="AF12" s="0" t="n">
        <v>-407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80</v>
      </c>
      <c r="B1" s="2" t="s">
        <v>81</v>
      </c>
    </row>
    <row r="2" customFormat="false" ht="15" hidden="false" customHeight="false" outlineLevel="0" collapsed="false">
      <c r="A2" s="0" t="s">
        <v>82</v>
      </c>
      <c r="B2" s="3" t="n">
        <v>79.78</v>
      </c>
    </row>
    <row r="3" customFormat="false" ht="15" hidden="false" customHeight="false" outlineLevel="0" collapsed="false">
      <c r="A3" s="0" t="s">
        <v>83</v>
      </c>
      <c r="B3" s="3" t="n">
        <v>175</v>
      </c>
    </row>
    <row r="4" customFormat="false" ht="15" hidden="false" customHeight="false" outlineLevel="0" collapsed="false">
      <c r="A4" s="0" t="s">
        <v>84</v>
      </c>
      <c r="B4" s="3" t="n">
        <v>10480</v>
      </c>
    </row>
    <row r="5" customFormat="false" ht="15" hidden="false" customHeight="false" outlineLevel="0" collapsed="false">
      <c r="A5" s="0" t="s">
        <v>85</v>
      </c>
      <c r="B5" s="3" t="n">
        <v>-605</v>
      </c>
    </row>
    <row r="6" customFormat="false" ht="15" hidden="false" customHeight="false" outlineLevel="0" collapsed="false">
      <c r="A6" s="0" t="s">
        <v>86</v>
      </c>
      <c r="B6" s="3" t="n">
        <v>15</v>
      </c>
    </row>
    <row r="7" customFormat="false" ht="15" hidden="false" customHeight="false" outlineLevel="0" collapsed="false">
      <c r="A7" s="0" t="s">
        <v>87</v>
      </c>
      <c r="B7" s="3" t="n">
        <v>16383</v>
      </c>
    </row>
    <row r="8" customFormat="false" ht="15" hidden="false" customHeight="false" outlineLevel="0" collapsed="false">
      <c r="A8" s="0" t="s">
        <v>88</v>
      </c>
      <c r="B8" s="3" t="s">
        <v>79</v>
      </c>
    </row>
    <row r="9" customFormat="false" ht="15" hidden="false" customHeight="false" outlineLevel="0" collapsed="false">
      <c r="A9" s="0" t="s">
        <v>89</v>
      </c>
      <c r="B9" s="3" t="s">
        <v>90</v>
      </c>
    </row>
    <row r="10" customFormat="false" ht="15" hidden="false" customHeight="false" outlineLevel="0" collapsed="false">
      <c r="A10" s="0" t="s">
        <v>91</v>
      </c>
      <c r="B10" s="3" t="n">
        <v>1</v>
      </c>
    </row>
    <row r="12" customFormat="false" ht="15" hidden="false" customHeight="false" outlineLevel="0" collapsed="false">
      <c r="A12" s="2" t="s">
        <v>92</v>
      </c>
      <c r="C12" s="2" t="s">
        <v>93</v>
      </c>
      <c r="D12" s="2" t="s">
        <v>94</v>
      </c>
      <c r="E12" s="2" t="s">
        <v>95</v>
      </c>
      <c r="F12" s="2" t="s">
        <v>96</v>
      </c>
      <c r="G12" s="2" t="s">
        <v>97</v>
      </c>
      <c r="H12" s="2" t="s">
        <v>98</v>
      </c>
      <c r="I12" s="2" t="s">
        <v>99</v>
      </c>
      <c r="J12" s="2" t="s">
        <v>100</v>
      </c>
      <c r="K12" s="2" t="s">
        <v>101</v>
      </c>
      <c r="L12" s="2" t="s">
        <v>102</v>
      </c>
    </row>
    <row r="13" customFormat="false" ht="15" hidden="false" customHeight="false" outlineLevel="0" collapsed="false">
      <c r="A13" s="0" t="s">
        <v>103</v>
      </c>
      <c r="C13" s="3" t="n">
        <v>6.5</v>
      </c>
      <c r="D13" s="3" t="n">
        <v>4</v>
      </c>
      <c r="E13" s="3" t="n">
        <v>3.5</v>
      </c>
      <c r="F13" s="3" t="n">
        <v>3</v>
      </c>
      <c r="G13" s="3" t="n">
        <v>3</v>
      </c>
      <c r="H13" s="3" t="n">
        <v>2.5</v>
      </c>
      <c r="I13" s="3" t="n">
        <v>2.5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104</v>
      </c>
      <c r="C14" s="3" t="n">
        <v>11.5</v>
      </c>
      <c r="D14" s="3" t="n">
        <v>12.7</v>
      </c>
      <c r="E14" s="3" t="n">
        <v>13.8</v>
      </c>
      <c r="F14" s="3" t="n">
        <v>14.2</v>
      </c>
      <c r="G14" s="3" t="n">
        <v>14.4</v>
      </c>
      <c r="H14" s="3" t="n">
        <v>14.4</v>
      </c>
      <c r="I14" s="3" t="n">
        <v>14.4</v>
      </c>
      <c r="J14" s="3" t="n">
        <v>14.4</v>
      </c>
      <c r="K14" s="3" t="n">
        <v>14.4</v>
      </c>
      <c r="L14" s="3" t="n">
        <v>14.4</v>
      </c>
    </row>
    <row r="15" customFormat="false" ht="15" hidden="false" customHeight="false" outlineLevel="0" collapsed="false">
      <c r="A15" s="0" t="s">
        <v>105</v>
      </c>
      <c r="C15" s="3" t="n">
        <v>2.3</v>
      </c>
      <c r="D15" s="3" t="n">
        <v>2.2</v>
      </c>
      <c r="E15" s="3" t="n">
        <v>2.1</v>
      </c>
      <c r="F15" s="3" t="n">
        <v>2</v>
      </c>
      <c r="G15" s="3" t="n">
        <v>1.9</v>
      </c>
      <c r="H15" s="3" t="n">
        <v>1.8</v>
      </c>
      <c r="I15" s="3" t="n">
        <v>1.8</v>
      </c>
      <c r="J15" s="3" t="n">
        <v>1.8</v>
      </c>
      <c r="K15" s="3" t="n">
        <v>1.8</v>
      </c>
      <c r="L15" s="3" t="n">
        <v>1.8</v>
      </c>
    </row>
    <row r="16" customFormat="false" ht="15" hidden="false" customHeight="false" outlineLevel="0" collapsed="false">
      <c r="A16" s="0" t="s">
        <v>106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107</v>
      </c>
      <c r="C17" s="3" t="n">
        <v>4.1</v>
      </c>
      <c r="D17" s="3" t="n">
        <v>4.1</v>
      </c>
      <c r="E17" s="3" t="n">
        <v>4.1</v>
      </c>
      <c r="F17" s="3" t="n">
        <v>4</v>
      </c>
      <c r="G17" s="3" t="n">
        <v>4</v>
      </c>
      <c r="H17" s="3" t="n">
        <v>4</v>
      </c>
      <c r="I17" s="3" t="n">
        <v>4</v>
      </c>
      <c r="J17" s="3" t="n">
        <v>4</v>
      </c>
      <c r="K17" s="3" t="n">
        <v>4</v>
      </c>
      <c r="L17" s="3" t="n">
        <v>4</v>
      </c>
    </row>
    <row r="18" customFormat="false" ht="15" hidden="false" customHeight="false" outlineLevel="0" collapsed="false">
      <c r="A18" s="0" t="s">
        <v>108</v>
      </c>
      <c r="C18" s="3" t="n">
        <v>4.6</v>
      </c>
      <c r="D18" s="3" t="n">
        <v>4.5</v>
      </c>
      <c r="E18" s="3" t="n">
        <v>4.4</v>
      </c>
      <c r="F18" s="3" t="n">
        <v>4.3</v>
      </c>
      <c r="G18" s="3" t="n">
        <v>4.3</v>
      </c>
      <c r="H18" s="3" t="n">
        <v>4.3</v>
      </c>
      <c r="I18" s="3" t="n">
        <v>4.3</v>
      </c>
      <c r="J18" s="3" t="n">
        <v>4.3</v>
      </c>
      <c r="K18" s="3" t="n">
        <v>4.3</v>
      </c>
      <c r="L18" s="3" t="n">
        <v>4.3</v>
      </c>
    </row>
    <row r="19" customFormat="false" ht="15" hidden="false" customHeight="false" outlineLevel="0" collapsed="false">
      <c r="A19" s="0" t="s">
        <v>109</v>
      </c>
      <c r="C19" s="3" t="n">
        <v>24</v>
      </c>
      <c r="D19" s="3" t="n">
        <v>24</v>
      </c>
      <c r="E19" s="3" t="n">
        <v>24.5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110</v>
      </c>
      <c r="B20" s="3" t="n">
        <v>9</v>
      </c>
    </row>
    <row r="21" customFormat="false" ht="15" hidden="false" customHeight="false" outlineLevel="0" collapsed="false">
      <c r="A21" s="0" t="s">
        <v>111</v>
      </c>
      <c r="B21" s="3" t="n">
        <v>2</v>
      </c>
    </row>
    <row r="22" customFormat="false" ht="15" hidden="false" customHeight="false" outlineLevel="0" collapsed="false">
      <c r="A22" s="0" t="s">
        <v>112</v>
      </c>
      <c r="B22" s="3" t="n">
        <v>12</v>
      </c>
    </row>
    <row r="23" customFormat="false" ht="15" hidden="false" customHeight="false" outlineLevel="0" collapsed="false">
      <c r="A23" s="0" t="s">
        <v>113</v>
      </c>
      <c r="B23" s="3" t="n">
        <v>0</v>
      </c>
    </row>
    <row r="24" customFormat="false" ht="15" hidden="false" customHeight="false" outlineLevel="0" collapsed="false">
      <c r="A24" s="0" t="s">
        <v>114</v>
      </c>
      <c r="B24" s="3" t="n">
        <v>0.25</v>
      </c>
    </row>
    <row r="26" customFormat="false" ht="15" hidden="false" customHeight="false" outlineLevel="0" collapsed="false">
      <c r="A26" s="2" t="s">
        <v>115</v>
      </c>
      <c r="C26" s="2" t="s">
        <v>93</v>
      </c>
      <c r="D26" s="2" t="s">
        <v>94</v>
      </c>
      <c r="E26" s="2" t="s">
        <v>95</v>
      </c>
      <c r="F26" s="2" t="s">
        <v>96</v>
      </c>
      <c r="G26" s="2" t="s">
        <v>97</v>
      </c>
      <c r="H26" s="2" t="s">
        <v>98</v>
      </c>
      <c r="I26" s="2" t="s">
        <v>99</v>
      </c>
      <c r="J26" s="2" t="s">
        <v>100</v>
      </c>
      <c r="K26" s="2" t="s">
        <v>101</v>
      </c>
      <c r="L26" s="2" t="s">
        <v>102</v>
      </c>
    </row>
    <row r="27" customFormat="false" ht="15" hidden="false" customHeight="false" outlineLevel="0" collapsed="false">
      <c r="A27" s="0" t="s">
        <v>103</v>
      </c>
      <c r="C27" s="3" t="n">
        <v>8.9</v>
      </c>
      <c r="D27" s="3" t="n">
        <v>8</v>
      </c>
      <c r="E27" s="3" t="n">
        <v>7</v>
      </c>
      <c r="F27" s="3" t="n">
        <v>6.5</v>
      </c>
      <c r="G27" s="3" t="n">
        <v>6</v>
      </c>
      <c r="H27" s="3" t="n">
        <v>5</v>
      </c>
      <c r="I27" s="3" t="n">
        <v>4.5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104</v>
      </c>
      <c r="C28" s="3" t="n">
        <v>12</v>
      </c>
      <c r="D28" s="3" t="n">
        <v>15</v>
      </c>
      <c r="E28" s="3" t="n">
        <v>16.5</v>
      </c>
      <c r="F28" s="3" t="n">
        <v>17.7</v>
      </c>
      <c r="G28" s="3" t="n">
        <v>18.4</v>
      </c>
      <c r="H28" s="3" t="n">
        <v>18.9</v>
      </c>
      <c r="I28" s="3" t="n">
        <v>19.4</v>
      </c>
      <c r="J28" s="3" t="n">
        <v>19.4</v>
      </c>
      <c r="K28" s="3" t="n">
        <v>19.4</v>
      </c>
      <c r="L28" s="3" t="n">
        <v>19.4</v>
      </c>
    </row>
    <row r="29" customFormat="false" ht="15" hidden="false" customHeight="false" outlineLevel="0" collapsed="false">
      <c r="A29" s="0" t="s">
        <v>105</v>
      </c>
      <c r="C29" s="3" t="n">
        <v>2.3</v>
      </c>
      <c r="D29" s="3" t="n">
        <v>2.2</v>
      </c>
      <c r="E29" s="3" t="n">
        <v>2.1</v>
      </c>
      <c r="F29" s="3" t="n">
        <v>2</v>
      </c>
      <c r="G29" s="3" t="n">
        <v>1.9</v>
      </c>
      <c r="H29" s="3" t="n">
        <v>1.8</v>
      </c>
      <c r="I29" s="3" t="n">
        <v>1.8</v>
      </c>
      <c r="J29" s="3" t="n">
        <v>1.8</v>
      </c>
      <c r="K29" s="3" t="n">
        <v>1.8</v>
      </c>
      <c r="L29" s="3" t="n">
        <v>1.8</v>
      </c>
    </row>
    <row r="30" customFormat="false" ht="15" hidden="false" customHeight="false" outlineLevel="0" collapsed="false">
      <c r="A30" s="0" t="s">
        <v>106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107</v>
      </c>
      <c r="C31" s="3" t="n">
        <v>4.1</v>
      </c>
      <c r="D31" s="3" t="n">
        <v>4.1</v>
      </c>
      <c r="E31" s="3" t="n">
        <v>4.1</v>
      </c>
      <c r="F31" s="3" t="n">
        <v>4</v>
      </c>
      <c r="G31" s="3" t="n">
        <v>4</v>
      </c>
      <c r="H31" s="3" t="n">
        <v>4</v>
      </c>
      <c r="I31" s="3" t="n">
        <v>4</v>
      </c>
      <c r="J31" s="3" t="n">
        <v>4</v>
      </c>
      <c r="K31" s="3" t="n">
        <v>4</v>
      </c>
      <c r="L31" s="3" t="n">
        <v>4</v>
      </c>
    </row>
    <row r="32" customFormat="false" ht="15" hidden="false" customHeight="false" outlineLevel="0" collapsed="false">
      <c r="A32" s="0" t="s">
        <v>108</v>
      </c>
      <c r="C32" s="3" t="n">
        <v>4.6</v>
      </c>
      <c r="D32" s="3" t="n">
        <v>4.5</v>
      </c>
      <c r="E32" s="3" t="n">
        <v>4.3</v>
      </c>
      <c r="F32" s="3" t="n">
        <v>4.2</v>
      </c>
      <c r="G32" s="3" t="n">
        <v>4.1</v>
      </c>
      <c r="H32" s="3" t="n">
        <v>4</v>
      </c>
      <c r="I32" s="3" t="n">
        <v>4</v>
      </c>
      <c r="J32" s="3" t="n">
        <v>4</v>
      </c>
      <c r="K32" s="3" t="n">
        <v>4</v>
      </c>
      <c r="L32" s="3" t="n">
        <v>4</v>
      </c>
    </row>
    <row r="33" customFormat="false" ht="15" hidden="false" customHeight="false" outlineLevel="0" collapsed="false">
      <c r="A33" s="0" t="s">
        <v>109</v>
      </c>
      <c r="C33" s="3" t="n">
        <v>24</v>
      </c>
      <c r="D33" s="3" t="n">
        <v>24</v>
      </c>
      <c r="E33" s="3" t="n">
        <v>24.5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110</v>
      </c>
      <c r="B34" s="3" t="n">
        <v>9</v>
      </c>
    </row>
    <row r="35" customFormat="false" ht="15" hidden="false" customHeight="false" outlineLevel="0" collapsed="false">
      <c r="A35" s="0" t="s">
        <v>111</v>
      </c>
      <c r="B35" s="3" t="n">
        <v>2.5</v>
      </c>
    </row>
    <row r="36" customFormat="false" ht="15" hidden="false" customHeight="false" outlineLevel="0" collapsed="false">
      <c r="A36" s="0" t="s">
        <v>112</v>
      </c>
      <c r="B36" s="3" t="n">
        <v>15</v>
      </c>
    </row>
    <row r="37" customFormat="false" ht="15" hidden="false" customHeight="false" outlineLevel="0" collapsed="false">
      <c r="A37" s="0" t="s">
        <v>113</v>
      </c>
      <c r="B37" s="3" t="n">
        <v>0</v>
      </c>
    </row>
    <row r="38" customFormat="false" ht="15" hidden="false" customHeight="false" outlineLevel="0" collapsed="false">
      <c r="A38" s="0" t="s">
        <v>114</v>
      </c>
      <c r="B38" s="3" t="n">
        <v>0.5</v>
      </c>
    </row>
    <row r="40" customFormat="false" ht="15" hidden="false" customHeight="false" outlineLevel="0" collapsed="false">
      <c r="A40" s="2" t="s">
        <v>116</v>
      </c>
      <c r="C40" s="2" t="s">
        <v>93</v>
      </c>
      <c r="D40" s="2" t="s">
        <v>94</v>
      </c>
      <c r="E40" s="2" t="s">
        <v>95</v>
      </c>
      <c r="F40" s="2" t="s">
        <v>96</v>
      </c>
      <c r="G40" s="2" t="s">
        <v>97</v>
      </c>
      <c r="H40" s="2" t="s">
        <v>98</v>
      </c>
      <c r="I40" s="2" t="s">
        <v>99</v>
      </c>
      <c r="J40" s="2" t="s">
        <v>100</v>
      </c>
      <c r="K40" s="2" t="s">
        <v>101</v>
      </c>
      <c r="L40" s="2" t="s">
        <v>102</v>
      </c>
    </row>
    <row r="41" customFormat="false" ht="15" hidden="false" customHeight="false" outlineLevel="0" collapsed="false">
      <c r="A41" s="0" t="s">
        <v>103</v>
      </c>
      <c r="C41" s="3" t="n">
        <v>10.5</v>
      </c>
      <c r="D41" s="3" t="n">
        <v>10</v>
      </c>
      <c r="E41" s="3" t="n">
        <v>9</v>
      </c>
      <c r="F41" s="3" t="n">
        <v>8</v>
      </c>
      <c r="G41" s="3" t="n">
        <v>7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104</v>
      </c>
      <c r="C42" s="3" t="n">
        <v>12.2</v>
      </c>
      <c r="D42" s="3" t="n">
        <v>16.2</v>
      </c>
      <c r="E42" s="3" t="n">
        <v>18.3</v>
      </c>
      <c r="F42" s="3" t="n">
        <v>20.2</v>
      </c>
      <c r="G42" s="3" t="n">
        <v>21.4</v>
      </c>
      <c r="H42" s="3" t="n">
        <v>21.9</v>
      </c>
      <c r="I42" s="3" t="n">
        <v>22.4</v>
      </c>
      <c r="J42" s="3" t="n">
        <v>22.9</v>
      </c>
      <c r="K42" s="3" t="n">
        <v>22.9</v>
      </c>
      <c r="L42" s="3" t="n">
        <v>22.9</v>
      </c>
    </row>
    <row r="43" customFormat="false" ht="15" hidden="false" customHeight="false" outlineLevel="0" collapsed="false">
      <c r="A43" s="0" t="s">
        <v>105</v>
      </c>
      <c r="C43" s="3" t="n">
        <v>2.3</v>
      </c>
      <c r="D43" s="3" t="n">
        <v>2.2</v>
      </c>
      <c r="E43" s="3" t="n">
        <v>2.1</v>
      </c>
      <c r="F43" s="3" t="n">
        <v>2</v>
      </c>
      <c r="G43" s="3" t="n">
        <v>1.9</v>
      </c>
      <c r="H43" s="3" t="n">
        <v>1.8</v>
      </c>
      <c r="I43" s="3" t="n">
        <v>1.8</v>
      </c>
      <c r="J43" s="3" t="n">
        <v>1.8</v>
      </c>
      <c r="K43" s="3" t="n">
        <v>1.8</v>
      </c>
      <c r="L43" s="3" t="n">
        <v>1.8</v>
      </c>
    </row>
    <row r="44" customFormat="false" ht="15" hidden="false" customHeight="false" outlineLevel="0" collapsed="false">
      <c r="A44" s="0" t="s">
        <v>106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107</v>
      </c>
      <c r="C45" s="3" t="n">
        <v>4.1</v>
      </c>
      <c r="D45" s="3" t="n">
        <v>4.1</v>
      </c>
      <c r="E45" s="3" t="n">
        <v>4.1</v>
      </c>
      <c r="F45" s="3" t="n">
        <v>4</v>
      </c>
      <c r="G45" s="3" t="n">
        <v>4</v>
      </c>
      <c r="H45" s="3" t="n">
        <v>4</v>
      </c>
      <c r="I45" s="3" t="n">
        <v>4</v>
      </c>
      <c r="J45" s="3" t="n">
        <v>4</v>
      </c>
      <c r="K45" s="3" t="n">
        <v>4</v>
      </c>
      <c r="L45" s="3" t="n">
        <v>4</v>
      </c>
    </row>
    <row r="46" customFormat="false" ht="15" hidden="false" customHeight="false" outlineLevel="0" collapsed="false">
      <c r="A46" s="0" t="s">
        <v>108</v>
      </c>
      <c r="C46" s="3" t="n">
        <v>4.6</v>
      </c>
      <c r="D46" s="3" t="n">
        <v>4.4</v>
      </c>
      <c r="E46" s="3" t="n">
        <v>4.2</v>
      </c>
      <c r="F46" s="3" t="n">
        <v>4</v>
      </c>
      <c r="G46" s="3" t="n">
        <v>3.9</v>
      </c>
      <c r="H46" s="3" t="n">
        <v>3.8</v>
      </c>
      <c r="I46" s="3" t="n">
        <v>3.8</v>
      </c>
      <c r="J46" s="3" t="n">
        <v>3.8</v>
      </c>
      <c r="K46" s="3" t="n">
        <v>3.8</v>
      </c>
      <c r="L46" s="3" t="n">
        <v>3.8</v>
      </c>
    </row>
    <row r="47" customFormat="false" ht="15" hidden="false" customHeight="false" outlineLevel="0" collapsed="false">
      <c r="A47" s="0" t="s">
        <v>109</v>
      </c>
      <c r="C47" s="3" t="n">
        <v>24</v>
      </c>
      <c r="D47" s="3" t="n">
        <v>24</v>
      </c>
      <c r="E47" s="3" t="n">
        <v>24.5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110</v>
      </c>
      <c r="B48" s="3" t="n">
        <v>9</v>
      </c>
    </row>
    <row r="49" customFormat="false" ht="15" hidden="false" customHeight="false" outlineLevel="0" collapsed="false">
      <c r="A49" s="0" t="s">
        <v>111</v>
      </c>
      <c r="B49" s="3" t="n">
        <v>3</v>
      </c>
    </row>
    <row r="50" customFormat="false" ht="15" hidden="false" customHeight="false" outlineLevel="0" collapsed="false">
      <c r="A50" s="0" t="s">
        <v>112</v>
      </c>
      <c r="B50" s="3" t="n">
        <v>15</v>
      </c>
    </row>
    <row r="51" customFormat="false" ht="15" hidden="false" customHeight="false" outlineLevel="0" collapsed="false">
      <c r="A51" s="0" t="s">
        <v>113</v>
      </c>
      <c r="B51" s="3" t="n">
        <v>0</v>
      </c>
    </row>
    <row r="52" customFormat="false" ht="15" hidden="false" customHeight="false" outlineLevel="0" collapsed="false">
      <c r="A52" s="0" t="s">
        <v>114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117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Assumptions!C13</f>
        <v>6.5</v>
      </c>
      <c r="D5" s="4" t="n">
        <f aca="false">Assumptions!D13</f>
        <v>4</v>
      </c>
      <c r="E5" s="4" t="n">
        <f aca="false">Assumptions!E13</f>
        <v>3.5</v>
      </c>
      <c r="F5" s="4" t="n">
        <f aca="false">Assumptions!F13</f>
        <v>3</v>
      </c>
      <c r="G5" s="4" t="n">
        <f aca="false">Assumptions!G13</f>
        <v>3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16383</v>
      </c>
      <c r="C6" s="0" t="n">
        <f aca="false">B6*(1+C5/100)</f>
        <v>17447.895</v>
      </c>
      <c r="D6" s="0" t="n">
        <f aca="false">C6*(1+D5/100)</f>
        <v>18145.8108</v>
      </c>
      <c r="E6" s="0" t="n">
        <f aca="false">D6*(1+E5/100)</f>
        <v>18780.914178</v>
      </c>
      <c r="F6" s="0" t="n">
        <f aca="false">E6*(1+F5/100)</f>
        <v>19344.34160334</v>
      </c>
      <c r="G6" s="0" t="n">
        <f aca="false">F6*(1+G5/100)</f>
        <v>19924.6718514402</v>
      </c>
      <c r="H6" s="0" t="n">
        <f aca="false">G6*(1+H5/100)</f>
        <v>20422.7886477262</v>
      </c>
      <c r="I6" s="0" t="n">
        <f aca="false">H6*(1+I5/100)</f>
        <v>20933.3583639194</v>
      </c>
      <c r="J6" s="0" t="n">
        <f aca="false">I6*(1+J5/100)</f>
        <v>21352.0255311977</v>
      </c>
      <c r="K6" s="0" t="n">
        <f aca="false">J6*(1+K5/100)</f>
        <v>21779.0660418217</v>
      </c>
      <c r="L6" s="0" t="n">
        <f aca="false">K6*(1+L5/100)</f>
        <v>22214.6473626581</v>
      </c>
    </row>
    <row r="7" customFormat="false" ht="15" hidden="false" customHeight="false" outlineLevel="0" collapsed="false">
      <c r="A7" s="0" t="s">
        <v>104</v>
      </c>
      <c r="C7" s="4" t="n">
        <f aca="false">Assumptions!C14</f>
        <v>11.5</v>
      </c>
      <c r="D7" s="4" t="n">
        <f aca="false">Assumptions!D14</f>
        <v>12.7</v>
      </c>
      <c r="E7" s="4" t="n">
        <f aca="false">Assumptions!E14</f>
        <v>13.8</v>
      </c>
      <c r="F7" s="4" t="n">
        <f aca="false">Assumptions!F14</f>
        <v>14.2</v>
      </c>
      <c r="G7" s="4" t="n">
        <f aca="false">Assumptions!G14</f>
        <v>14.4</v>
      </c>
      <c r="H7" s="4" t="n">
        <f aca="false">Assumptions!H14</f>
        <v>14.4</v>
      </c>
      <c r="I7" s="4" t="n">
        <f aca="false">Assumptions!I14</f>
        <v>14.4</v>
      </c>
      <c r="J7" s="4" t="n">
        <f aca="false">Assumptions!J14</f>
        <v>14.4</v>
      </c>
      <c r="K7" s="4" t="n">
        <f aca="false">Assumptions!K14</f>
        <v>14.4</v>
      </c>
      <c r="L7" s="4" t="n">
        <f aca="false">Assumptions!L14</f>
        <v>14.4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2006.507925</v>
      </c>
      <c r="D8" s="0" t="n">
        <f aca="false">D6*D7/100</f>
        <v>2304.5179716</v>
      </c>
      <c r="E8" s="0" t="n">
        <f aca="false">E6*E7/100</f>
        <v>2591.766156564</v>
      </c>
      <c r="F8" s="0" t="n">
        <f aca="false">F6*F7/100</f>
        <v>2746.89650767428</v>
      </c>
      <c r="G8" s="0" t="n">
        <f aca="false">G6*G7/100</f>
        <v>2869.15274660739</v>
      </c>
      <c r="H8" s="0" t="n">
        <f aca="false">H6*H7/100</f>
        <v>2940.88156527257</v>
      </c>
      <c r="I8" s="0" t="n">
        <f aca="false">I6*I7/100</f>
        <v>3014.40360440439</v>
      </c>
      <c r="J8" s="0" t="n">
        <f aca="false">J6*J7/100</f>
        <v>3074.69167649248</v>
      </c>
      <c r="K8" s="0" t="n">
        <f aca="false">K6*K7/100</f>
        <v>3136.18551002232</v>
      </c>
      <c r="L8" s="0" t="n">
        <f aca="false">L6*L7/100</f>
        <v>3198.90922022277</v>
      </c>
    </row>
    <row r="9" customFormat="false" ht="15" hidden="false" customHeight="false" outlineLevel="0" collapsed="false">
      <c r="A9" s="0" t="s">
        <v>105</v>
      </c>
      <c r="C9" s="4" t="n">
        <f aca="false">Assumptions!C15</f>
        <v>2.3</v>
      </c>
      <c r="D9" s="4" t="n">
        <f aca="false">Assumptions!D15</f>
        <v>2.2</v>
      </c>
      <c r="E9" s="4" t="n">
        <f aca="false">Assumptions!E15</f>
        <v>2.1</v>
      </c>
      <c r="F9" s="4" t="n">
        <f aca="false">Assumptions!F15</f>
        <v>2</v>
      </c>
      <c r="G9" s="4" t="n">
        <f aca="false">Assumptions!G15</f>
        <v>1.9</v>
      </c>
      <c r="H9" s="4" t="n">
        <f aca="false">Assumptions!H15</f>
        <v>1.8</v>
      </c>
      <c r="I9" s="4" t="n">
        <f aca="false">Assumptions!I15</f>
        <v>1.8</v>
      </c>
      <c r="J9" s="4" t="n">
        <f aca="false">Assumptions!J15</f>
        <v>1.8</v>
      </c>
      <c r="K9" s="4" t="n">
        <f aca="false">Assumptions!K15</f>
        <v>1.8</v>
      </c>
      <c r="L9" s="4" t="n">
        <f aca="false">Assumptions!L15</f>
        <v>1.8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-401.301585</v>
      </c>
      <c r="D10" s="0" t="n">
        <f aca="false">-D6*D9/100</f>
        <v>-399.2078376</v>
      </c>
      <c r="E10" s="0" t="n">
        <f aca="false">-E6*E9/100</f>
        <v>-394.399197738</v>
      </c>
      <c r="F10" s="0" t="n">
        <f aca="false">-F6*F9/100</f>
        <v>-386.8868320668</v>
      </c>
      <c r="G10" s="0" t="n">
        <f aca="false">-G6*G9/100</f>
        <v>-378.568765177364</v>
      </c>
      <c r="H10" s="0" t="n">
        <f aca="false">-H6*H9/100</f>
        <v>-367.610195659072</v>
      </c>
      <c r="I10" s="0" t="n">
        <f aca="false">-I6*I9/100</f>
        <v>-376.800450550548</v>
      </c>
      <c r="J10" s="0" t="n">
        <f aca="false">-J6*J9/100</f>
        <v>-384.336459561559</v>
      </c>
      <c r="K10" s="0" t="n">
        <f aca="false">-K6*K9/100</f>
        <v>-392.023188752791</v>
      </c>
      <c r="L10" s="0" t="n">
        <f aca="false">-L6*L9/100</f>
        <v>-399.863652527846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1605.20634</v>
      </c>
      <c r="D11" s="0" t="n">
        <f aca="false">D8+D10+D24</f>
        <v>1905.310134</v>
      </c>
      <c r="E11" s="0" t="n">
        <f aca="false">E8+E10+E24</f>
        <v>2197.366958826</v>
      </c>
      <c r="F11" s="0" t="n">
        <f aca="false">F8+F10+F24</f>
        <v>2360.00967560748</v>
      </c>
      <c r="G11" s="0" t="n">
        <f aca="false">G8+G10+G24</f>
        <v>2490.58398143003</v>
      </c>
      <c r="H11" s="0" t="n">
        <f aca="false">H8+H10+H24</f>
        <v>2573.2713696135</v>
      </c>
      <c r="I11" s="0" t="n">
        <f aca="false">I8+I10+I24</f>
        <v>2637.60315385384</v>
      </c>
      <c r="J11" s="0" t="n">
        <f aca="false">J8+J10+J24</f>
        <v>2690.35521693092</v>
      </c>
      <c r="K11" s="0" t="n">
        <f aca="false">K8+K10+K24</f>
        <v>2744.16232126953</v>
      </c>
      <c r="L11" s="0" t="n">
        <f aca="false">L8+L10+L24</f>
        <v>2799.04556769492</v>
      </c>
    </row>
    <row r="12" customFormat="false" ht="15" hidden="false" customHeight="false" outlineLevel="0" collapsed="false">
      <c r="A12" s="0" t="s">
        <v>122</v>
      </c>
      <c r="C12" s="4" t="n">
        <f aca="false">-C6*Assumptions!C17/100</f>
        <v>-715.363695</v>
      </c>
      <c r="D12" s="4" t="n">
        <f aca="false">-D6*Assumptions!D17/100</f>
        <v>-743.9782428</v>
      </c>
      <c r="E12" s="4" t="n">
        <f aca="false">-E6*Assumptions!E17/100</f>
        <v>-770.017481298</v>
      </c>
      <c r="F12" s="4" t="n">
        <f aca="false">-F6*Assumptions!F17/100</f>
        <v>-773.7736641336</v>
      </c>
      <c r="G12" s="4" t="n">
        <f aca="false">-G6*Assumptions!G17/100</f>
        <v>-796.986874057608</v>
      </c>
      <c r="H12" s="4" t="n">
        <f aca="false">-H6*Assumptions!H17/100</f>
        <v>-816.911545909048</v>
      </c>
      <c r="I12" s="4" t="n">
        <f aca="false">-I6*Assumptions!I17/100</f>
        <v>-837.334334556774</v>
      </c>
      <c r="J12" s="4" t="n">
        <f aca="false">-J6*Assumptions!J17/100</f>
        <v>-854.08102124791</v>
      </c>
      <c r="K12" s="4" t="n">
        <f aca="false">-K6*Assumptions!K17/100</f>
        <v>-871.162641672868</v>
      </c>
      <c r="L12" s="4" t="n">
        <f aca="false">-L6*Assumptions!L17/100</f>
        <v>-888.585894506325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889.842645</v>
      </c>
      <c r="D13" s="0" t="n">
        <f aca="false">D11+D12</f>
        <v>1161.3318912</v>
      </c>
      <c r="E13" s="0" t="n">
        <f aca="false">E11+E12</f>
        <v>1427.349477528</v>
      </c>
      <c r="F13" s="0" t="n">
        <f aca="false">F11+F12</f>
        <v>1586.23601147388</v>
      </c>
      <c r="G13" s="0" t="n">
        <f aca="false">G11+G12</f>
        <v>1693.59710737242</v>
      </c>
      <c r="H13" s="0" t="n">
        <f aca="false">H11+H12</f>
        <v>1756.35982370445</v>
      </c>
      <c r="I13" s="0" t="n">
        <f aca="false">I11+I12</f>
        <v>1800.26881929706</v>
      </c>
      <c r="J13" s="0" t="n">
        <f aca="false">J11+J12</f>
        <v>1836.27419568301</v>
      </c>
      <c r="K13" s="0" t="n">
        <f aca="false">K11+K12</f>
        <v>1872.99967959667</v>
      </c>
      <c r="L13" s="0" t="n">
        <f aca="false">L11+L12</f>
        <v>1910.4596731886</v>
      </c>
    </row>
    <row r="14" customFormat="false" ht="15" hidden="false" customHeight="false" outlineLevel="0" collapsed="false">
      <c r="A14" s="0" t="s">
        <v>109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24.5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676.2804102</v>
      </c>
      <c r="D15" s="0" t="n">
        <f aca="false">D13-MAX(0,D13)*D14/100</f>
        <v>882.612237312</v>
      </c>
      <c r="E15" s="0" t="n">
        <f aca="false">E13-MAX(0,E13)*E14/100</f>
        <v>1077.64885553364</v>
      </c>
      <c r="F15" s="0" t="n">
        <f aca="false">F13-MAX(0,F13)*F14/100</f>
        <v>1189.67700860541</v>
      </c>
      <c r="G15" s="0" t="n">
        <f aca="false">G13-MAX(0,G13)*G14/100</f>
        <v>1270.19783052931</v>
      </c>
      <c r="H15" s="0" t="n">
        <f aca="false">H13-MAX(0,H13)*H14/100</f>
        <v>1317.26986777834</v>
      </c>
      <c r="I15" s="0" t="n">
        <f aca="false">I13-MAX(0,I13)*I14/100</f>
        <v>1350.2016144728</v>
      </c>
      <c r="J15" s="0" t="n">
        <f aca="false">J13-MAX(0,J13)*J14/100</f>
        <v>1377.20564676225</v>
      </c>
      <c r="K15" s="0" t="n">
        <f aca="false">K13-MAX(0,K13)*K14/100</f>
        <v>1404.7497596975</v>
      </c>
      <c r="L15" s="0" t="n">
        <f aca="false">L13-MAX(0,L13)*L14/100</f>
        <v>1432.84475489145</v>
      </c>
    </row>
    <row r="16" customFormat="false" ht="15" hidden="false" customHeight="false" outlineLevel="0" collapsed="false">
      <c r="A16" s="0" t="s">
        <v>125</v>
      </c>
      <c r="C16" s="0" t="n">
        <f aca="false">-C12</f>
        <v>715.363695</v>
      </c>
      <c r="D16" s="0" t="n">
        <f aca="false">-D12</f>
        <v>743.9782428</v>
      </c>
      <c r="E16" s="0" t="n">
        <f aca="false">-E12</f>
        <v>770.017481298</v>
      </c>
      <c r="F16" s="0" t="n">
        <f aca="false">-F12</f>
        <v>773.7736641336</v>
      </c>
      <c r="G16" s="0" t="n">
        <f aca="false">-G12</f>
        <v>796.986874057608</v>
      </c>
      <c r="H16" s="0" t="n">
        <f aca="false">-H12</f>
        <v>816.911545909048</v>
      </c>
      <c r="I16" s="0" t="n">
        <f aca="false">-I12</f>
        <v>837.334334556774</v>
      </c>
      <c r="J16" s="0" t="n">
        <f aca="false">-J12</f>
        <v>854.08102124791</v>
      </c>
      <c r="K16" s="0" t="n">
        <f aca="false">-K12</f>
        <v>871.162641672868</v>
      </c>
      <c r="L16" s="0" t="n">
        <f aca="false">-L12</f>
        <v>888.585894506325</v>
      </c>
    </row>
    <row r="17" customFormat="false" ht="15" hidden="false" customHeight="false" outlineLevel="0" collapsed="false">
      <c r="A17" s="0" t="s">
        <v>126</v>
      </c>
      <c r="C17" s="4" t="n">
        <f aca="false">-C6*Assumptions!C18/100</f>
        <v>-802.60317</v>
      </c>
      <c r="D17" s="4" t="n">
        <f aca="false">-D6*Assumptions!D18/100</f>
        <v>-816.561486</v>
      </c>
      <c r="E17" s="4" t="n">
        <f aca="false">-E6*Assumptions!E18/100</f>
        <v>-826.360223832</v>
      </c>
      <c r="F17" s="4" t="n">
        <f aca="false">-F6*Assumptions!F18/100</f>
        <v>-831.80668894362</v>
      </c>
      <c r="G17" s="4" t="n">
        <f aca="false">-G6*Assumptions!G18/100</f>
        <v>-856.760889611928</v>
      </c>
      <c r="H17" s="4" t="n">
        <f aca="false">-H6*Assumptions!H18/100</f>
        <v>-878.179911852227</v>
      </c>
      <c r="I17" s="4" t="n">
        <f aca="false">-I6*Assumptions!I18/100</f>
        <v>-900.134409648532</v>
      </c>
      <c r="J17" s="4" t="n">
        <f aca="false">-J6*Assumptions!J18/100</f>
        <v>-918.137097841503</v>
      </c>
      <c r="K17" s="4" t="n">
        <f aca="false">-K6*Assumptions!K18/100</f>
        <v>-936.499839798333</v>
      </c>
      <c r="L17" s="4" t="n">
        <f aca="false">-L6*Assumptions!L18/100</f>
        <v>-955.2298365943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589.0409352</v>
      </c>
      <c r="D19" s="0" t="n">
        <f aca="false">D15+D16+D17+D18</f>
        <v>810.028994112</v>
      </c>
      <c r="E19" s="0" t="n">
        <f aca="false">E15+E16+E17+E18</f>
        <v>1021.30611299964</v>
      </c>
      <c r="F19" s="0" t="n">
        <f aca="false">F15+F16+F17+F18</f>
        <v>1131.64398379539</v>
      </c>
      <c r="G19" s="0" t="n">
        <f aca="false">G15+G16+G17+G18</f>
        <v>1210.42381497499</v>
      </c>
      <c r="H19" s="0" t="n">
        <f aca="false">H15+H16+H17+H18</f>
        <v>1256.00150183516</v>
      </c>
      <c r="I19" s="0" t="n">
        <f aca="false">I15+I16+I17+I18</f>
        <v>1287.40153938104</v>
      </c>
      <c r="J19" s="0" t="n">
        <f aca="false">J15+J16+J17+J18</f>
        <v>1313.14957016866</v>
      </c>
      <c r="K19" s="0" t="n">
        <f aca="false">K15+K16+K17+K18</f>
        <v>1339.41256157203</v>
      </c>
      <c r="L19" s="0" t="n">
        <f aca="false">L15+L16+L17+L18</f>
        <v>1366.20081280348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540.404527706422</v>
      </c>
      <c r="D21" s="0" t="n">
        <f aca="false">D19*D20</f>
        <v>681.785198309906</v>
      </c>
      <c r="E21" s="0" t="n">
        <f aca="false">E19*E20</f>
        <v>788.6357085437</v>
      </c>
      <c r="F21" s="0" t="n">
        <f aca="false">F19*F20</f>
        <v>801.685128070909</v>
      </c>
      <c r="G21" s="0" t="n">
        <f aca="false">G19*G20</f>
        <v>786.692428075229</v>
      </c>
      <c r="H21" s="0" t="n">
        <f aca="false">H19*H20</f>
        <v>748.912658055532</v>
      </c>
      <c r="I21" s="0" t="n">
        <f aca="false">I19*I20</f>
        <v>704.252728905431</v>
      </c>
      <c r="J21" s="0" t="n">
        <f aca="false">J19*J20</f>
        <v>659.02548943444</v>
      </c>
      <c r="K21" s="0" t="n">
        <f aca="false">K19*K20</f>
        <v>616.702751580853</v>
      </c>
      <c r="L21" s="0" t="n">
        <f aca="false">L19*L20</f>
        <v>577.097987717862</v>
      </c>
    </row>
    <row r="23" customFormat="false" ht="15" hidden="false" customHeight="false" outlineLevel="0" collapsed="false">
      <c r="A23" s="0" t="s">
        <v>106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111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112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6905.19460640028</v>
      </c>
    </row>
    <row r="31" customFormat="false" ht="15" hidden="false" customHeight="false" outlineLevel="0" collapsed="false">
      <c r="A31" s="0" t="s">
        <v>134</v>
      </c>
      <c r="B31" s="0" t="n">
        <f aca="false">L19</f>
        <v>1366.20081280348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19907.4975579935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16394.4097536417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16394.4097536417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6925.17585261434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13830.3704590146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2745.37045901463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15.6878311943693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-0.803361353793316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2496.45179702949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2461.21232392565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44.0173404569701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10719.4217619965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-18.3746771467863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Assumptions!C27</f>
        <v>8.9</v>
      </c>
      <c r="D5" s="4" t="n">
        <f aca="false">Assumptions!D27</f>
        <v>8</v>
      </c>
      <c r="E5" s="4" t="n">
        <f aca="false">Assumptions!E27</f>
        <v>7</v>
      </c>
      <c r="F5" s="4" t="n">
        <f aca="false">Assumptions!F27</f>
        <v>6.5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16383</v>
      </c>
      <c r="C6" s="0" t="n">
        <f aca="false">B6*(1+C5/100)</f>
        <v>17841.087</v>
      </c>
      <c r="D6" s="0" t="n">
        <f aca="false">C6*(1+D5/100)</f>
        <v>19268.37396</v>
      </c>
      <c r="E6" s="0" t="n">
        <f aca="false">D6*(1+E5/100)</f>
        <v>20617.1601372</v>
      </c>
      <c r="F6" s="0" t="n">
        <f aca="false">E6*(1+F5/100)</f>
        <v>21957.275546118</v>
      </c>
      <c r="G6" s="0" t="n">
        <f aca="false">F6*(1+G5/100)</f>
        <v>23274.7120788851</v>
      </c>
      <c r="H6" s="0" t="n">
        <f aca="false">G6*(1+H5/100)</f>
        <v>24438.4476828293</v>
      </c>
      <c r="I6" s="0" t="n">
        <f aca="false">H6*(1+I5/100)</f>
        <v>25538.1778285567</v>
      </c>
      <c r="J6" s="0" t="n">
        <f aca="false">I6*(1+J5/100)</f>
        <v>26559.7049416989</v>
      </c>
      <c r="K6" s="0" t="n">
        <f aca="false">J6*(1+K5/100)</f>
        <v>27489.2946146584</v>
      </c>
      <c r="L6" s="0" t="n">
        <f aca="false">K6*(1+L5/100)</f>
        <v>28313.9734530981</v>
      </c>
    </row>
    <row r="7" customFormat="false" ht="15" hidden="false" customHeight="false" outlineLevel="0" collapsed="false">
      <c r="A7" s="0" t="s">
        <v>104</v>
      </c>
      <c r="C7" s="4" t="n">
        <f aca="false">Assumptions!C28</f>
        <v>12</v>
      </c>
      <c r="D7" s="4" t="n">
        <f aca="false">Assumptions!D28</f>
        <v>15</v>
      </c>
      <c r="E7" s="4" t="n">
        <f aca="false">Assumptions!E28</f>
        <v>16.5</v>
      </c>
      <c r="F7" s="4" t="n">
        <f aca="false">Assumptions!F28</f>
        <v>17.7</v>
      </c>
      <c r="G7" s="4" t="n">
        <f aca="false">Assumptions!G28</f>
        <v>18.4</v>
      </c>
      <c r="H7" s="4" t="n">
        <f aca="false">Assumptions!H28</f>
        <v>18.9</v>
      </c>
      <c r="I7" s="4" t="n">
        <f aca="false">Assumptions!I28</f>
        <v>19.4</v>
      </c>
      <c r="J7" s="4" t="n">
        <f aca="false">Assumptions!J28</f>
        <v>19.4</v>
      </c>
      <c r="K7" s="4" t="n">
        <f aca="false">Assumptions!K28</f>
        <v>19.4</v>
      </c>
      <c r="L7" s="4" t="n">
        <f aca="false">Assumptions!L28</f>
        <v>19.4</v>
      </c>
    </row>
    <row r="8" customFormat="false" ht="15" hidden="false" customHeight="false" outlineLevel="0" collapsed="false">
      <c r="A8" s="0" t="s">
        <v>43</v>
      </c>
      <c r="C8" s="0" t="n">
        <f aca="false">C6*C7/100</f>
        <v>2140.93044</v>
      </c>
      <c r="D8" s="0" t="n">
        <f aca="false">D6*D7/100</f>
        <v>2890.256094</v>
      </c>
      <c r="E8" s="0" t="n">
        <f aca="false">E6*E7/100</f>
        <v>3401.831422638</v>
      </c>
      <c r="F8" s="0" t="n">
        <f aca="false">F6*F7/100</f>
        <v>3886.43777166289</v>
      </c>
      <c r="G8" s="0" t="n">
        <f aca="false">G6*G7/100</f>
        <v>4282.54702251486</v>
      </c>
      <c r="H8" s="0" t="n">
        <f aca="false">H6*H7/100</f>
        <v>4618.86661205475</v>
      </c>
      <c r="I8" s="0" t="n">
        <f aca="false">I6*I7/100</f>
        <v>4954.40649873999</v>
      </c>
      <c r="J8" s="0" t="n">
        <f aca="false">J6*J7/100</f>
        <v>5152.58275868959</v>
      </c>
      <c r="K8" s="0" t="n">
        <f aca="false">K6*K7/100</f>
        <v>5332.92315524373</v>
      </c>
      <c r="L8" s="0" t="n">
        <f aca="false">L6*L7/100</f>
        <v>5492.91084990104</v>
      </c>
    </row>
    <row r="9" customFormat="false" ht="15" hidden="false" customHeight="false" outlineLevel="0" collapsed="false">
      <c r="A9" s="0" t="s">
        <v>105</v>
      </c>
      <c r="C9" s="4" t="n">
        <f aca="false">Assumptions!C29</f>
        <v>2.3</v>
      </c>
      <c r="D9" s="4" t="n">
        <f aca="false">Assumptions!D29</f>
        <v>2.2</v>
      </c>
      <c r="E9" s="4" t="n">
        <f aca="false">Assumptions!E29</f>
        <v>2.1</v>
      </c>
      <c r="F9" s="4" t="n">
        <f aca="false">Assumptions!F29</f>
        <v>2</v>
      </c>
      <c r="G9" s="4" t="n">
        <f aca="false">Assumptions!G29</f>
        <v>1.9</v>
      </c>
      <c r="H9" s="4" t="n">
        <f aca="false">Assumptions!H29</f>
        <v>1.8</v>
      </c>
      <c r="I9" s="4" t="n">
        <f aca="false">Assumptions!I29</f>
        <v>1.8</v>
      </c>
      <c r="J9" s="4" t="n">
        <f aca="false">Assumptions!J29</f>
        <v>1.8</v>
      </c>
      <c r="K9" s="4" t="n">
        <f aca="false">Assumptions!K29</f>
        <v>1.8</v>
      </c>
      <c r="L9" s="4" t="n">
        <f aca="false">Assumptions!L29</f>
        <v>1.8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-410.345001</v>
      </c>
      <c r="D10" s="0" t="n">
        <f aca="false">-D6*D9/100</f>
        <v>-423.90422712</v>
      </c>
      <c r="E10" s="0" t="n">
        <f aca="false">-E6*E9/100</f>
        <v>-432.9603628812</v>
      </c>
      <c r="F10" s="0" t="n">
        <f aca="false">-F6*F9/100</f>
        <v>-439.14551092236</v>
      </c>
      <c r="G10" s="0" t="n">
        <f aca="false">-G6*G9/100</f>
        <v>-442.219529498817</v>
      </c>
      <c r="H10" s="0" t="n">
        <f aca="false">-H6*H9/100</f>
        <v>-439.892058290928</v>
      </c>
      <c r="I10" s="0" t="n">
        <f aca="false">-I6*I9/100</f>
        <v>-459.68720091402</v>
      </c>
      <c r="J10" s="0" t="n">
        <f aca="false">-J6*J9/100</f>
        <v>-478.074688950581</v>
      </c>
      <c r="K10" s="0" t="n">
        <f aca="false">-K6*K9/100</f>
        <v>-494.807303063851</v>
      </c>
      <c r="L10" s="0" t="n">
        <f aca="false">-L6*L9/100</f>
        <v>-509.651522155766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1730.585439</v>
      </c>
      <c r="D11" s="0" t="n">
        <f aca="false">D8+D10+D24</f>
        <v>2466.35186688</v>
      </c>
      <c r="E11" s="0" t="n">
        <f aca="false">E8+E10+E24</f>
        <v>2968.8710597568</v>
      </c>
      <c r="F11" s="0" t="n">
        <f aca="false">F8+F10+F24</f>
        <v>3447.29226074053</v>
      </c>
      <c r="G11" s="0" t="n">
        <f aca="false">G8+G10+G24</f>
        <v>3840.32749301604</v>
      </c>
      <c r="H11" s="0" t="n">
        <f aca="false">H8+H10+H24</f>
        <v>4178.97455376382</v>
      </c>
      <c r="I11" s="0" t="n">
        <f aca="false">I8+I10+I24</f>
        <v>4494.71929782597</v>
      </c>
      <c r="J11" s="0" t="n">
        <f aca="false">J8+J10+J24</f>
        <v>4674.50806973901</v>
      </c>
      <c r="K11" s="0" t="n">
        <f aca="false">K8+K10+K24</f>
        <v>4838.11585217988</v>
      </c>
      <c r="L11" s="0" t="n">
        <f aca="false">L8+L10+L24</f>
        <v>4983.25932774527</v>
      </c>
    </row>
    <row r="12" customFormat="false" ht="15" hidden="false" customHeight="false" outlineLevel="0" collapsed="false">
      <c r="A12" s="0" t="s">
        <v>122</v>
      </c>
      <c r="C12" s="4" t="n">
        <f aca="false">-C6*Assumptions!C31/100</f>
        <v>-731.484567</v>
      </c>
      <c r="D12" s="4" t="n">
        <f aca="false">-D6*Assumptions!D31/100</f>
        <v>-790.00333236</v>
      </c>
      <c r="E12" s="4" t="n">
        <f aca="false">-E6*Assumptions!E31/100</f>
        <v>-845.3035656252</v>
      </c>
      <c r="F12" s="4" t="n">
        <f aca="false">-F6*Assumptions!F31/100</f>
        <v>-878.29102184472</v>
      </c>
      <c r="G12" s="4" t="n">
        <f aca="false">-G6*Assumptions!G31/100</f>
        <v>-930.988483155403</v>
      </c>
      <c r="H12" s="4" t="n">
        <f aca="false">-H6*Assumptions!H31/100</f>
        <v>-977.537907313174</v>
      </c>
      <c r="I12" s="4" t="n">
        <f aca="false">-I6*Assumptions!I31/100</f>
        <v>-1021.52711314227</v>
      </c>
      <c r="J12" s="4" t="n">
        <f aca="false">-J6*Assumptions!J31/100</f>
        <v>-1062.38819766796</v>
      </c>
      <c r="K12" s="4" t="n">
        <f aca="false">-K6*Assumptions!K31/100</f>
        <v>-1099.57178458634</v>
      </c>
      <c r="L12" s="4" t="n">
        <f aca="false">-L6*Assumptions!L31/100</f>
        <v>-1132.55893812393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999.100872</v>
      </c>
      <c r="D13" s="0" t="n">
        <f aca="false">D11+D12</f>
        <v>1676.34853452</v>
      </c>
      <c r="E13" s="0" t="n">
        <f aca="false">E11+E12</f>
        <v>2123.5674941316</v>
      </c>
      <c r="F13" s="0" t="n">
        <f aca="false">F11+F12</f>
        <v>2569.00123889581</v>
      </c>
      <c r="G13" s="0" t="n">
        <f aca="false">G11+G12</f>
        <v>2909.33900986064</v>
      </c>
      <c r="H13" s="0" t="n">
        <f aca="false">H11+H12</f>
        <v>3201.43664645064</v>
      </c>
      <c r="I13" s="0" t="n">
        <f aca="false">I11+I12</f>
        <v>3473.19218468371</v>
      </c>
      <c r="J13" s="0" t="n">
        <f aca="false">J11+J12</f>
        <v>3612.11987207105</v>
      </c>
      <c r="K13" s="0" t="n">
        <f aca="false">K11+K12</f>
        <v>3738.54406759354</v>
      </c>
      <c r="L13" s="0" t="n">
        <f aca="false">L11+L12</f>
        <v>3850.70038962135</v>
      </c>
    </row>
    <row r="14" customFormat="false" ht="15" hidden="false" customHeight="false" outlineLevel="0" collapsed="false">
      <c r="A14" s="0" t="s">
        <v>109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24.5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759.31666272</v>
      </c>
      <c r="D15" s="0" t="n">
        <f aca="false">D13-MAX(0,D13)*D14/100</f>
        <v>1274.0248862352</v>
      </c>
      <c r="E15" s="0" t="n">
        <f aca="false">E13-MAX(0,E13)*E14/100</f>
        <v>1603.29345806936</v>
      </c>
      <c r="F15" s="0" t="n">
        <f aca="false">F13-MAX(0,F13)*F14/100</f>
        <v>1926.75092917185</v>
      </c>
      <c r="G15" s="0" t="n">
        <f aca="false">G13-MAX(0,G13)*G14/100</f>
        <v>2182.00425739548</v>
      </c>
      <c r="H15" s="0" t="n">
        <f aca="false">H13-MAX(0,H13)*H14/100</f>
        <v>2401.07748483798</v>
      </c>
      <c r="I15" s="0" t="n">
        <f aca="false">I13-MAX(0,I13)*I14/100</f>
        <v>2604.89413851278</v>
      </c>
      <c r="J15" s="0" t="n">
        <f aca="false">J13-MAX(0,J13)*J14/100</f>
        <v>2709.08990405329</v>
      </c>
      <c r="K15" s="0" t="n">
        <f aca="false">K13-MAX(0,K13)*K14/100</f>
        <v>2803.90805069515</v>
      </c>
      <c r="L15" s="0" t="n">
        <f aca="false">L13-MAX(0,L13)*L14/100</f>
        <v>2888.02529221601</v>
      </c>
    </row>
    <row r="16" customFormat="false" ht="15" hidden="false" customHeight="false" outlineLevel="0" collapsed="false">
      <c r="A16" s="0" t="s">
        <v>125</v>
      </c>
      <c r="C16" s="0" t="n">
        <f aca="false">-C12</f>
        <v>731.484567</v>
      </c>
      <c r="D16" s="0" t="n">
        <f aca="false">-D12</f>
        <v>790.00333236</v>
      </c>
      <c r="E16" s="0" t="n">
        <f aca="false">-E12</f>
        <v>845.3035656252</v>
      </c>
      <c r="F16" s="0" t="n">
        <f aca="false">-F12</f>
        <v>878.29102184472</v>
      </c>
      <c r="G16" s="0" t="n">
        <f aca="false">-G12</f>
        <v>930.988483155403</v>
      </c>
      <c r="H16" s="0" t="n">
        <f aca="false">-H12</f>
        <v>977.537907313174</v>
      </c>
      <c r="I16" s="0" t="n">
        <f aca="false">-I12</f>
        <v>1021.52711314227</v>
      </c>
      <c r="J16" s="0" t="n">
        <f aca="false">-J12</f>
        <v>1062.38819766796</v>
      </c>
      <c r="K16" s="0" t="n">
        <f aca="false">-K12</f>
        <v>1099.57178458634</v>
      </c>
      <c r="L16" s="0" t="n">
        <f aca="false">-L12</f>
        <v>1132.55893812393</v>
      </c>
    </row>
    <row r="17" customFormat="false" ht="15" hidden="false" customHeight="false" outlineLevel="0" collapsed="false">
      <c r="A17" s="0" t="s">
        <v>126</v>
      </c>
      <c r="C17" s="4" t="n">
        <f aca="false">-C6*Assumptions!C32/100</f>
        <v>-820.690002</v>
      </c>
      <c r="D17" s="4" t="n">
        <f aca="false">-D6*Assumptions!D32/100</f>
        <v>-867.0768282</v>
      </c>
      <c r="E17" s="4" t="n">
        <f aca="false">-E6*Assumptions!E32/100</f>
        <v>-886.5378858996</v>
      </c>
      <c r="F17" s="4" t="n">
        <f aca="false">-F6*Assumptions!F32/100</f>
        <v>-922.205572936956</v>
      </c>
      <c r="G17" s="4" t="n">
        <f aca="false">-G6*Assumptions!G32/100</f>
        <v>-954.263195234288</v>
      </c>
      <c r="H17" s="4" t="n">
        <f aca="false">-H6*Assumptions!H32/100</f>
        <v>-977.537907313174</v>
      </c>
      <c r="I17" s="4" t="n">
        <f aca="false">-I6*Assumptions!I32/100</f>
        <v>-1021.52711314227</v>
      </c>
      <c r="J17" s="4" t="n">
        <f aca="false">-J6*Assumptions!J32/100</f>
        <v>-1062.38819766796</v>
      </c>
      <c r="K17" s="4" t="n">
        <f aca="false">-K6*Assumptions!K32/100</f>
        <v>-1099.57178458634</v>
      </c>
      <c r="L17" s="4" t="n">
        <f aca="false">-L6*Assumptions!L32/100</f>
        <v>-1132.55893812393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670.11122772</v>
      </c>
      <c r="D19" s="0" t="n">
        <f aca="false">D15+D16+D17+D18</f>
        <v>1196.9513903952</v>
      </c>
      <c r="E19" s="0" t="n">
        <f aca="false">E15+E16+E17+E18</f>
        <v>1562.05913779496</v>
      </c>
      <c r="F19" s="0" t="n">
        <f aca="false">F15+F16+F17+F18</f>
        <v>1882.83637807962</v>
      </c>
      <c r="G19" s="0" t="n">
        <f aca="false">G15+G16+G17+G18</f>
        <v>2158.72954531659</v>
      </c>
      <c r="H19" s="0" t="n">
        <f aca="false">H15+H16+H17+H18</f>
        <v>2401.07748483798</v>
      </c>
      <c r="I19" s="0" t="n">
        <f aca="false">I15+I16+I17+I18</f>
        <v>2604.89413851278</v>
      </c>
      <c r="J19" s="0" t="n">
        <f aca="false">J15+J16+J17+J18</f>
        <v>2709.08990405329</v>
      </c>
      <c r="K19" s="0" t="n">
        <f aca="false">K15+K16+K17+K18</f>
        <v>2803.90805069515</v>
      </c>
      <c r="L19" s="0" t="n">
        <f aca="false">L15+L16+L17+L18</f>
        <v>2888.02529221601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614.780942862386</v>
      </c>
      <c r="D21" s="0" t="n">
        <f aca="false">D19*D20</f>
        <v>1007.45003820823</v>
      </c>
      <c r="E21" s="0" t="n">
        <f aca="false">E19*E20</f>
        <v>1206.1962610837</v>
      </c>
      <c r="F21" s="0" t="n">
        <f aca="false">F19*F20</f>
        <v>1333.84875854228</v>
      </c>
      <c r="G21" s="0" t="n">
        <f aca="false">G19*G20</f>
        <v>1403.02608603081</v>
      </c>
      <c r="H21" s="0" t="n">
        <f aca="false">H19*H20</f>
        <v>1431.68405351421</v>
      </c>
      <c r="I21" s="0" t="n">
        <f aca="false">I19*I20</f>
        <v>1424.96629795812</v>
      </c>
      <c r="J21" s="0" t="n">
        <f aca="false">J19*J20</f>
        <v>1359.60087144628</v>
      </c>
      <c r="K21" s="0" t="n">
        <f aca="false">K19*K20</f>
        <v>1290.99715774945</v>
      </c>
      <c r="L21" s="0" t="n">
        <f aca="false">L19*L20</f>
        <v>1219.93309402012</v>
      </c>
    </row>
    <row r="23" customFormat="false" ht="15" hidden="false" customHeight="false" outlineLevel="0" collapsed="false">
      <c r="A23" s="0" t="s">
        <v>106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111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112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12292.4835614156</v>
      </c>
    </row>
    <row r="31" customFormat="false" ht="15" hidden="false" customHeight="false" outlineLevel="0" collapsed="false">
      <c r="A31" s="0" t="s">
        <v>134</v>
      </c>
      <c r="B31" s="0" t="n">
        <f aca="false">L19</f>
        <v>2888.02529221601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45541.9373003294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43320.3793832401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43320.3793832401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18298.9964103018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30591.4799717174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19506.4799717174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111.465599838385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0.397162194013353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2862.88676018032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3394.83643811029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147.224018114332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23681.8073961713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21.984435886739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118</v>
      </c>
      <c r="B3" s="0" t="s">
        <v>79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98</v>
      </c>
      <c r="I3" s="2" t="s">
        <v>99</v>
      </c>
      <c r="J3" s="2" t="s">
        <v>100</v>
      </c>
      <c r="K3" s="2" t="s">
        <v>101</v>
      </c>
      <c r="L3" s="2" t="s">
        <v>102</v>
      </c>
    </row>
    <row r="4" customFormat="false" ht="15" hidden="false" customHeight="false" outlineLevel="0" collapsed="false">
      <c r="A4" s="0" t="s">
        <v>119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103</v>
      </c>
      <c r="C5" s="4" t="n">
        <f aca="false">Assumptions!C41</f>
        <v>10.5</v>
      </c>
      <c r="D5" s="4" t="n">
        <f aca="false">Assumptions!D41</f>
        <v>10</v>
      </c>
      <c r="E5" s="4" t="n">
        <f aca="false">Assumptions!E41</f>
        <v>9</v>
      </c>
      <c r="F5" s="4" t="n">
        <f aca="false">Assumptions!F41</f>
        <v>8</v>
      </c>
      <c r="G5" s="4" t="n">
        <f aca="false">Assumptions!G41</f>
        <v>7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16383</v>
      </c>
      <c r="C6" s="0" t="n">
        <f aca="false">B6*(1+C5/100)</f>
        <v>18103.215</v>
      </c>
      <c r="D6" s="0" t="n">
        <f aca="false">C6*(1+D5/100)</f>
        <v>19913.5365</v>
      </c>
      <c r="E6" s="0" t="n">
        <f aca="false">D6*(1+E5/100)</f>
        <v>21705.754785</v>
      </c>
      <c r="F6" s="0" t="n">
        <f aca="false">E6*(1+F5/100)</f>
        <v>23442.2151678</v>
      </c>
      <c r="G6" s="0" t="n">
        <f aca="false">F6*(1+G5/100)</f>
        <v>25083.170229546</v>
      </c>
      <c r="H6" s="0" t="n">
        <f aca="false">G6*(1+H5/100)</f>
        <v>26588.1604433188</v>
      </c>
      <c r="I6" s="0" t="n">
        <f aca="false">H6*(1+I5/100)</f>
        <v>27917.5684654847</v>
      </c>
      <c r="J6" s="0" t="n">
        <f aca="false">I6*(1+J5/100)</f>
        <v>29173.8590464315</v>
      </c>
      <c r="K6" s="0" t="n">
        <f aca="false">J6*(1+K5/100)</f>
        <v>30340.8134082888</v>
      </c>
      <c r="L6" s="0" t="n">
        <f aca="false">K6*(1+L5/100)</f>
        <v>31402.7418775789</v>
      </c>
    </row>
    <row r="7" customFormat="false" ht="15" hidden="false" customHeight="false" outlineLevel="0" collapsed="false">
      <c r="A7" s="0" t="s">
        <v>104</v>
      </c>
      <c r="C7" s="4" t="n">
        <f aca="false">Assumptions!C42</f>
        <v>12.2</v>
      </c>
      <c r="D7" s="4" t="n">
        <f aca="false">Assumptions!D42</f>
        <v>16.2</v>
      </c>
      <c r="E7" s="4" t="n">
        <f aca="false">Assumptions!E42</f>
        <v>18.3</v>
      </c>
      <c r="F7" s="4" t="n">
        <f aca="false">Assumptions!F42</f>
        <v>20.2</v>
      </c>
      <c r="G7" s="4" t="n">
        <f aca="false">Assumptions!G42</f>
        <v>21.4</v>
      </c>
      <c r="H7" s="4" t="n">
        <f aca="false">Assumptions!H42</f>
        <v>21.9</v>
      </c>
      <c r="I7" s="4" t="n">
        <f aca="false">Assumptions!I42</f>
        <v>22.4</v>
      </c>
      <c r="J7" s="4" t="n">
        <f aca="false">Assumptions!J42</f>
        <v>22.9</v>
      </c>
      <c r="K7" s="4" t="n">
        <f aca="false">Assumptions!K42</f>
        <v>22.9</v>
      </c>
      <c r="L7" s="4" t="n">
        <f aca="false">Assumptions!L42</f>
        <v>22.9</v>
      </c>
    </row>
    <row r="8" customFormat="false" ht="15" hidden="false" customHeight="false" outlineLevel="0" collapsed="false">
      <c r="A8" s="0" t="s">
        <v>43</v>
      </c>
      <c r="C8" s="0" t="n">
        <f aca="false">C6*C7/100</f>
        <v>2208.59223</v>
      </c>
      <c r="D8" s="0" t="n">
        <f aca="false">D6*D7/100</f>
        <v>3225.992913</v>
      </c>
      <c r="E8" s="0" t="n">
        <f aca="false">E6*E7/100</f>
        <v>3972.153125655</v>
      </c>
      <c r="F8" s="0" t="n">
        <f aca="false">F6*F7/100</f>
        <v>4735.3274638956</v>
      </c>
      <c r="G8" s="0" t="n">
        <f aca="false">G6*G7/100</f>
        <v>5367.79842912285</v>
      </c>
      <c r="H8" s="0" t="n">
        <f aca="false">H6*H7/100</f>
        <v>5822.80713708681</v>
      </c>
      <c r="I8" s="0" t="n">
        <f aca="false">I6*I7/100</f>
        <v>6253.53533626858</v>
      </c>
      <c r="J8" s="0" t="n">
        <f aca="false">J6*J7/100</f>
        <v>6680.81372163282</v>
      </c>
      <c r="K8" s="0" t="n">
        <f aca="false">K6*K7/100</f>
        <v>6948.04627049813</v>
      </c>
      <c r="L8" s="0" t="n">
        <f aca="false">L6*L7/100</f>
        <v>7191.22788996556</v>
      </c>
    </row>
    <row r="9" customFormat="false" ht="15" hidden="false" customHeight="false" outlineLevel="0" collapsed="false">
      <c r="A9" s="0" t="s">
        <v>105</v>
      </c>
      <c r="C9" s="4" t="n">
        <f aca="false">Assumptions!C43</f>
        <v>2.3</v>
      </c>
      <c r="D9" s="4" t="n">
        <f aca="false">Assumptions!D43</f>
        <v>2.2</v>
      </c>
      <c r="E9" s="4" t="n">
        <f aca="false">Assumptions!E43</f>
        <v>2.1</v>
      </c>
      <c r="F9" s="4" t="n">
        <f aca="false">Assumptions!F43</f>
        <v>2</v>
      </c>
      <c r="G9" s="4" t="n">
        <f aca="false">Assumptions!G43</f>
        <v>1.9</v>
      </c>
      <c r="H9" s="4" t="n">
        <f aca="false">Assumptions!H43</f>
        <v>1.8</v>
      </c>
      <c r="I9" s="4" t="n">
        <f aca="false">Assumptions!I43</f>
        <v>1.8</v>
      </c>
      <c r="J9" s="4" t="n">
        <f aca="false">Assumptions!J43</f>
        <v>1.8</v>
      </c>
      <c r="K9" s="4" t="n">
        <f aca="false">Assumptions!K43</f>
        <v>1.8</v>
      </c>
      <c r="L9" s="4" t="n">
        <f aca="false">Assumptions!L43</f>
        <v>1.8</v>
      </c>
    </row>
    <row r="10" customFormat="false" ht="15" hidden="false" customHeight="false" outlineLevel="0" collapsed="false">
      <c r="A10" s="0" t="s">
        <v>120</v>
      </c>
      <c r="C10" s="0" t="n">
        <f aca="false">-C6*C9/100</f>
        <v>-416.373945</v>
      </c>
      <c r="D10" s="0" t="n">
        <f aca="false">-D6*D9/100</f>
        <v>-438.097803</v>
      </c>
      <c r="E10" s="0" t="n">
        <f aca="false">-E6*E9/100</f>
        <v>-455.820850485</v>
      </c>
      <c r="F10" s="0" t="n">
        <f aca="false">-F6*F9/100</f>
        <v>-468.844303356</v>
      </c>
      <c r="G10" s="0" t="n">
        <f aca="false">-G6*G9/100</f>
        <v>-476.580234361374</v>
      </c>
      <c r="H10" s="0" t="n">
        <f aca="false">-H6*H9/100</f>
        <v>-478.586887979738</v>
      </c>
      <c r="I10" s="0" t="n">
        <f aca="false">-I6*I9/100</f>
        <v>-502.516232378725</v>
      </c>
      <c r="J10" s="0" t="n">
        <f aca="false">-J6*J9/100</f>
        <v>-525.129462835767</v>
      </c>
      <c r="K10" s="0" t="n">
        <f aca="false">-K6*K9/100</f>
        <v>-546.134641349198</v>
      </c>
      <c r="L10" s="0" t="n">
        <f aca="false">-L6*L9/100</f>
        <v>-565.24935379642</v>
      </c>
    </row>
    <row r="11" customFormat="false" ht="15" hidden="false" customHeight="false" outlineLevel="0" collapsed="false">
      <c r="A11" s="0" t="s">
        <v>121</v>
      </c>
      <c r="C11" s="0" t="n">
        <f aca="false">C8+C10+C24</f>
        <v>1792.218285</v>
      </c>
      <c r="D11" s="0" t="n">
        <f aca="false">D8+D10+D24</f>
        <v>2787.89511</v>
      </c>
      <c r="E11" s="0" t="n">
        <f aca="false">E8+E10+E24</f>
        <v>3516.33227517</v>
      </c>
      <c r="F11" s="0" t="n">
        <f aca="false">F8+F10+F24</f>
        <v>4266.4831605396</v>
      </c>
      <c r="G11" s="0" t="n">
        <f aca="false">G8+G10+G24</f>
        <v>4891.21819476147</v>
      </c>
      <c r="H11" s="0" t="n">
        <f aca="false">H8+H10+H24</f>
        <v>5344.22024910707</v>
      </c>
      <c r="I11" s="0" t="n">
        <f aca="false">I8+I10+I24</f>
        <v>5751.01910388985</v>
      </c>
      <c r="J11" s="0" t="n">
        <f aca="false">J8+J10+J24</f>
        <v>6155.68425879705</v>
      </c>
      <c r="K11" s="0" t="n">
        <f aca="false">K8+K10+K24</f>
        <v>6401.91162914893</v>
      </c>
      <c r="L11" s="0" t="n">
        <f aca="false">L8+L10+L24</f>
        <v>6625.97853616914</v>
      </c>
    </row>
    <row r="12" customFormat="false" ht="15" hidden="false" customHeight="false" outlineLevel="0" collapsed="false">
      <c r="A12" s="0" t="s">
        <v>122</v>
      </c>
      <c r="C12" s="4" t="n">
        <f aca="false">-C6*Assumptions!C45/100</f>
        <v>-742.231815</v>
      </c>
      <c r="D12" s="4" t="n">
        <f aca="false">-D6*Assumptions!D45/100</f>
        <v>-816.4549965</v>
      </c>
      <c r="E12" s="4" t="n">
        <f aca="false">-E6*Assumptions!E45/100</f>
        <v>-889.935946185</v>
      </c>
      <c r="F12" s="4" t="n">
        <f aca="false">-F6*Assumptions!F45/100</f>
        <v>-937.688606712</v>
      </c>
      <c r="G12" s="4" t="n">
        <f aca="false">-G6*Assumptions!G45/100</f>
        <v>-1003.32680918184</v>
      </c>
      <c r="H12" s="4" t="n">
        <f aca="false">-H6*Assumptions!H45/100</f>
        <v>-1063.52641773275</v>
      </c>
      <c r="I12" s="4" t="n">
        <f aca="false">-I6*Assumptions!I45/100</f>
        <v>-1116.70273861939</v>
      </c>
      <c r="J12" s="4" t="n">
        <f aca="false">-J6*Assumptions!J45/100</f>
        <v>-1166.95436185726</v>
      </c>
      <c r="K12" s="4" t="n">
        <f aca="false">-K6*Assumptions!K45/100</f>
        <v>-1213.63253633155</v>
      </c>
      <c r="L12" s="4" t="n">
        <f aca="false">-L6*Assumptions!L45/100</f>
        <v>-1256.10967510316</v>
      </c>
    </row>
    <row r="13" customFormat="false" ht="15" hidden="false" customHeight="false" outlineLevel="0" collapsed="false">
      <c r="A13" s="0" t="s">
        <v>123</v>
      </c>
      <c r="C13" s="0" t="n">
        <f aca="false">C11+C12</f>
        <v>1049.98647</v>
      </c>
      <c r="D13" s="0" t="n">
        <f aca="false">D11+D12</f>
        <v>1971.4401135</v>
      </c>
      <c r="E13" s="0" t="n">
        <f aca="false">E11+E12</f>
        <v>2626.396328985</v>
      </c>
      <c r="F13" s="0" t="n">
        <f aca="false">F11+F12</f>
        <v>3328.7945538276</v>
      </c>
      <c r="G13" s="0" t="n">
        <f aca="false">G11+G12</f>
        <v>3887.89138557963</v>
      </c>
      <c r="H13" s="0" t="n">
        <f aca="false">H11+H12</f>
        <v>4280.69383137432</v>
      </c>
      <c r="I13" s="0" t="n">
        <f aca="false">I11+I12</f>
        <v>4634.31636527046</v>
      </c>
      <c r="J13" s="0" t="n">
        <f aca="false">J11+J12</f>
        <v>4988.72989693979</v>
      </c>
      <c r="K13" s="0" t="n">
        <f aca="false">K11+K12</f>
        <v>5188.27909281738</v>
      </c>
      <c r="L13" s="0" t="n">
        <f aca="false">L11+L12</f>
        <v>5369.86886106599</v>
      </c>
    </row>
    <row r="14" customFormat="false" ht="15" hidden="false" customHeight="false" outlineLevel="0" collapsed="false">
      <c r="A14" s="0" t="s">
        <v>109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24.5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124</v>
      </c>
      <c r="C15" s="0" t="n">
        <f aca="false">C13-MAX(0,C13)*C14/100</f>
        <v>797.9897172</v>
      </c>
      <c r="D15" s="0" t="n">
        <f aca="false">D13-MAX(0,D13)*D14/100</f>
        <v>1498.29448626</v>
      </c>
      <c r="E15" s="0" t="n">
        <f aca="false">E13-MAX(0,E13)*E14/100</f>
        <v>1982.92922838368</v>
      </c>
      <c r="F15" s="0" t="n">
        <f aca="false">F13-MAX(0,F13)*F14/100</f>
        <v>2496.5959153707</v>
      </c>
      <c r="G15" s="0" t="n">
        <f aca="false">G13-MAX(0,G13)*G14/100</f>
        <v>2915.91853918472</v>
      </c>
      <c r="H15" s="0" t="n">
        <f aca="false">H13-MAX(0,H13)*H14/100</f>
        <v>3210.52037353074</v>
      </c>
      <c r="I15" s="0" t="n">
        <f aca="false">I13-MAX(0,I13)*I14/100</f>
        <v>3475.73727395285</v>
      </c>
      <c r="J15" s="0" t="n">
        <f aca="false">J13-MAX(0,J13)*J14/100</f>
        <v>3741.54742270484</v>
      </c>
      <c r="K15" s="0" t="n">
        <f aca="false">K13-MAX(0,K13)*K14/100</f>
        <v>3891.20931961304</v>
      </c>
      <c r="L15" s="0" t="n">
        <f aca="false">L13-MAX(0,L13)*L14/100</f>
        <v>4027.40164579949</v>
      </c>
    </row>
    <row r="16" customFormat="false" ht="15" hidden="false" customHeight="false" outlineLevel="0" collapsed="false">
      <c r="A16" s="0" t="s">
        <v>125</v>
      </c>
      <c r="C16" s="0" t="n">
        <f aca="false">-C12</f>
        <v>742.231815</v>
      </c>
      <c r="D16" s="0" t="n">
        <f aca="false">-D12</f>
        <v>816.4549965</v>
      </c>
      <c r="E16" s="0" t="n">
        <f aca="false">-E12</f>
        <v>889.935946185</v>
      </c>
      <c r="F16" s="0" t="n">
        <f aca="false">-F12</f>
        <v>937.688606712</v>
      </c>
      <c r="G16" s="0" t="n">
        <f aca="false">-G12</f>
        <v>1003.32680918184</v>
      </c>
      <c r="H16" s="0" t="n">
        <f aca="false">-H12</f>
        <v>1063.52641773275</v>
      </c>
      <c r="I16" s="0" t="n">
        <f aca="false">-I12</f>
        <v>1116.70273861939</v>
      </c>
      <c r="J16" s="0" t="n">
        <f aca="false">-J12</f>
        <v>1166.95436185726</v>
      </c>
      <c r="K16" s="0" t="n">
        <f aca="false">-K12</f>
        <v>1213.63253633155</v>
      </c>
      <c r="L16" s="0" t="n">
        <f aca="false">-L12</f>
        <v>1256.10967510316</v>
      </c>
    </row>
    <row r="17" customFormat="false" ht="15" hidden="false" customHeight="false" outlineLevel="0" collapsed="false">
      <c r="A17" s="0" t="s">
        <v>126</v>
      </c>
      <c r="C17" s="4" t="n">
        <f aca="false">-C6*Assumptions!C46/100</f>
        <v>-832.74789</v>
      </c>
      <c r="D17" s="4" t="n">
        <f aca="false">-D6*Assumptions!D46/100</f>
        <v>-876.195606</v>
      </c>
      <c r="E17" s="4" t="n">
        <f aca="false">-E6*Assumptions!E46/100</f>
        <v>-911.64170097</v>
      </c>
      <c r="F17" s="4" t="n">
        <f aca="false">-F6*Assumptions!F46/100</f>
        <v>-937.688606712</v>
      </c>
      <c r="G17" s="4" t="n">
        <f aca="false">-G6*Assumptions!G46/100</f>
        <v>-978.243638952294</v>
      </c>
      <c r="H17" s="4" t="n">
        <f aca="false">-H6*Assumptions!H46/100</f>
        <v>-1010.35009684611</v>
      </c>
      <c r="I17" s="4" t="n">
        <f aca="false">-I6*Assumptions!I46/100</f>
        <v>-1060.86760168842</v>
      </c>
      <c r="J17" s="4" t="n">
        <f aca="false">-J6*Assumptions!J46/100</f>
        <v>-1108.6066437644</v>
      </c>
      <c r="K17" s="4" t="n">
        <f aca="false">-K6*Assumptions!K46/100</f>
        <v>-1152.95090951497</v>
      </c>
      <c r="L17" s="4" t="n">
        <f aca="false">-L6*Assumptions!L46/100</f>
        <v>-1193.304191348</v>
      </c>
    </row>
    <row r="18" customFormat="false" ht="15" hidden="false" customHeight="false" outlineLevel="0" collapsed="false">
      <c r="A18" s="0" t="s">
        <v>127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128</v>
      </c>
      <c r="C19" s="0" t="n">
        <f aca="false">C15+C16+C17+C18</f>
        <v>707.4736422</v>
      </c>
      <c r="D19" s="0" t="n">
        <f aca="false">D15+D16+D17+D18</f>
        <v>1438.55387676</v>
      </c>
      <c r="E19" s="0" t="n">
        <f aca="false">E15+E16+E17+E18</f>
        <v>1961.22347359868</v>
      </c>
      <c r="F19" s="0" t="n">
        <f aca="false">F15+F16+F17+F18</f>
        <v>2496.5959153707</v>
      </c>
      <c r="G19" s="0" t="n">
        <f aca="false">G15+G16+G17+G18</f>
        <v>2941.00170941427</v>
      </c>
      <c r="H19" s="0" t="n">
        <f aca="false">H15+H16+H17+H18</f>
        <v>3263.69669441738</v>
      </c>
      <c r="I19" s="0" t="n">
        <f aca="false">I15+I16+I17+I18</f>
        <v>3531.57241088382</v>
      </c>
      <c r="J19" s="0" t="n">
        <f aca="false">J15+J16+J17+J18</f>
        <v>3799.89514079771</v>
      </c>
      <c r="K19" s="0" t="n">
        <f aca="false">K15+K16+K17+K18</f>
        <v>3951.89094642961</v>
      </c>
      <c r="L19" s="0" t="n">
        <f aca="false">L15+L16+L17+L18</f>
        <v>4090.20712955465</v>
      </c>
    </row>
    <row r="20" customFormat="false" ht="15" hidden="false" customHeight="false" outlineLevel="0" collapsed="false">
      <c r="A20" s="0" t="s">
        <v>129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130</v>
      </c>
      <c r="C21" s="0" t="n">
        <f aca="false">C19*C20</f>
        <v>649.05838733945</v>
      </c>
      <c r="D21" s="0" t="n">
        <f aca="false">D19*D20</f>
        <v>1210.80201730494</v>
      </c>
      <c r="E21" s="0" t="n">
        <f aca="false">E19*E20</f>
        <v>1514.42436702087</v>
      </c>
      <c r="F21" s="0" t="n">
        <f aca="false">F19*F20</f>
        <v>1768.651488291</v>
      </c>
      <c r="G21" s="0" t="n">
        <f aca="false">G19*G20</f>
        <v>1911.44931810542</v>
      </c>
      <c r="H21" s="0" t="n">
        <f aca="false">H19*H20</f>
        <v>1946.03570372478</v>
      </c>
      <c r="I21" s="0" t="n">
        <f aca="false">I19*I20</f>
        <v>1931.89104689732</v>
      </c>
      <c r="J21" s="0" t="n">
        <f aca="false">J19*J20</f>
        <v>1907.03923745877</v>
      </c>
      <c r="K21" s="0" t="n">
        <f aca="false">K19*K20</f>
        <v>1819.56037335516</v>
      </c>
      <c r="L21" s="0" t="n">
        <f aca="false">L19*L20</f>
        <v>1727.74769396568</v>
      </c>
    </row>
    <row r="23" customFormat="false" ht="15" hidden="false" customHeight="false" outlineLevel="0" collapsed="false">
      <c r="A23" s="0" t="s">
        <v>106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131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132</v>
      </c>
    </row>
    <row r="27" customFormat="false" ht="15" hidden="false" customHeight="false" outlineLevel="0" collapsed="false">
      <c r="A27" s="0" t="s">
        <v>110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111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112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133</v>
      </c>
      <c r="B30" s="0" t="n">
        <f aca="false">SUM(C21:L21)</f>
        <v>16386.6596334634</v>
      </c>
    </row>
    <row r="31" customFormat="false" ht="15" hidden="false" customHeight="false" outlineLevel="0" collapsed="false">
      <c r="A31" s="0" t="s">
        <v>134</v>
      </c>
      <c r="B31" s="0" t="n">
        <f aca="false">L19</f>
        <v>4090.20712955465</v>
      </c>
    </row>
    <row r="32" customFormat="false" ht="15" hidden="false" customHeight="false" outlineLevel="0" collapsed="false">
      <c r="A32" s="0" t="s">
        <v>135</v>
      </c>
      <c r="B32" s="0" t="n">
        <f aca="false">IF(B27&gt;B28,B31*(1+B28/100)/((B27-B28)/100),B31*B29)</f>
        <v>70215.2223906882</v>
      </c>
    </row>
    <row r="33" customFormat="false" ht="15" hidden="false" customHeight="false" outlineLevel="0" collapsed="false">
      <c r="A33" s="0" t="s">
        <v>136</v>
      </c>
      <c r="B33" s="0" t="n">
        <f aca="false">B31*B29</f>
        <v>61353.1069433197</v>
      </c>
    </row>
    <row r="34" customFormat="false" ht="15" hidden="false" customHeight="false" outlineLevel="0" collapsed="false">
      <c r="A34" s="0" t="s">
        <v>137</v>
      </c>
      <c r="B34" s="0" t="n">
        <f aca="false">MAX(0,MIN(B32,B33))</f>
        <v>61353.1069433197</v>
      </c>
    </row>
    <row r="35" customFormat="false" ht="15" hidden="false" customHeight="false" outlineLevel="0" collapsed="false">
      <c r="A35" s="0" t="s">
        <v>138</v>
      </c>
      <c r="B35" s="0" t="n">
        <f aca="false">B34/(1+B27/100)^L4</f>
        <v>25916.2154094852</v>
      </c>
    </row>
    <row r="36" customFormat="false" ht="15" hidden="false" customHeight="false" outlineLevel="0" collapsed="false">
      <c r="A36" s="0" t="s">
        <v>139</v>
      </c>
      <c r="B36" s="0" t="n">
        <f aca="false">B30+B35</f>
        <v>42302.8750429486</v>
      </c>
    </row>
    <row r="37" customFormat="false" ht="15" hidden="false" customHeight="false" outlineLevel="0" collapsed="false">
      <c r="A37" s="0" t="s">
        <v>140</v>
      </c>
      <c r="B37" s="0" t="n">
        <f aca="false">B36+Assumptions!$B$5-Assumptions!$B$4</f>
        <v>31217.8750429486</v>
      </c>
    </row>
    <row r="38" customFormat="false" ht="15" hidden="false" customHeight="false" outlineLevel="0" collapsed="false">
      <c r="A38" s="0" t="s">
        <v>141</v>
      </c>
      <c r="B38" s="0" t="n">
        <f aca="false">B37/Assumptions!$B$3*Assumptions!$B$10</f>
        <v>178.387857388278</v>
      </c>
    </row>
    <row r="39" customFormat="false" ht="15" hidden="false" customHeight="false" outlineLevel="0" collapsed="false">
      <c r="A39" s="0" t="s">
        <v>142</v>
      </c>
      <c r="B39" s="4" t="n">
        <f aca="false">B38/Assumptions!$B$2-1</f>
        <v>1.23599720968009</v>
      </c>
    </row>
    <row r="41" customFormat="false" ht="15" hidden="false" customHeight="false" outlineLevel="0" collapsed="false">
      <c r="A41" s="0" t="s">
        <v>143</v>
      </c>
      <c r="B41" s="0" t="n">
        <f aca="false">SUMPRODUCT(-C10:L10/(1+$B$27/100)^C4:L4)</f>
        <v>3058.62258621136</v>
      </c>
    </row>
    <row r="42" customFormat="false" ht="15" hidden="false" customHeight="false" outlineLevel="0" collapsed="false">
      <c r="A42" s="0" t="s">
        <v>144</v>
      </c>
      <c r="B42" s="0" t="n">
        <f aca="false">IF(B27&gt;B28,-L10*(1+B28/100)/((B27-B28)/100),-L10*20)/(1+B27/100)^L4</f>
        <v>4098.84097839075</v>
      </c>
    </row>
    <row r="43" customFormat="false" ht="15" hidden="false" customHeight="false" outlineLevel="0" collapsed="false">
      <c r="A43" s="0" t="s">
        <v>145</v>
      </c>
      <c r="B43" s="0" t="n">
        <f aca="false">(B37+B41+B42)/Assumptions!$B$3*Assumptions!$B$10</f>
        <v>219.287649186004</v>
      </c>
    </row>
    <row r="45" customFormat="false" ht="15" hidden="false" customHeight="false" outlineLevel="0" collapsed="false">
      <c r="A45" s="0" t="s">
        <v>86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146</v>
      </c>
      <c r="B46" s="0" t="n">
        <f aca="false">MAX(0,MIN(IF(B45&gt;B28,B31*(1+B28/100)/((B45-B28)/100),B31*B29),B31*B29))</f>
        <v>35107.6111953441</v>
      </c>
    </row>
    <row r="47" customFormat="false" ht="15" hidden="false" customHeight="false" outlineLevel="0" collapsed="false">
      <c r="A47" s="0" t="s">
        <v>147</v>
      </c>
      <c r="B47" s="0" t="n">
        <f aca="false">(SUMPRODUCT(C19:L19/(1+B45/100)^C4:L4)+B46/(1+B45/100)^L4+Assumptions!$B$5-Assumptions!$B$4)/Assumptions!$B$3*Assumptions!$B$10</f>
        <v>54.8024076147663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2" t="s">
        <v>151</v>
      </c>
      <c r="B3" s="2" t="s">
        <v>152</v>
      </c>
      <c r="C3" s="2" t="s">
        <v>142</v>
      </c>
      <c r="D3" s="2" t="s">
        <v>153</v>
      </c>
      <c r="E3" s="2" t="s">
        <v>145</v>
      </c>
      <c r="F3" s="2" t="s">
        <v>154</v>
      </c>
    </row>
    <row r="4" customFormat="false" ht="15" hidden="false" customHeight="false" outlineLevel="0" collapsed="false">
      <c r="A4" s="0" t="s">
        <v>155</v>
      </c>
      <c r="B4" s="4" t="n">
        <f aca="false">DCF_Bear!$B$38</f>
        <v>15.6878311943693</v>
      </c>
      <c r="C4" s="0" t="n">
        <f aca="false">B4/Assumptions!$B$2-1</f>
        <v>-0.803361353793316</v>
      </c>
      <c r="D4" s="4" t="n">
        <f aca="false">Assumptions!$B$24</f>
        <v>0.25</v>
      </c>
      <c r="E4" s="4" t="n">
        <f aca="false">DCF_Bear!$B$43</f>
        <v>44.0173404569701</v>
      </c>
      <c r="F4" s="4" t="n">
        <f aca="false">DCF_Bear!$B$47</f>
        <v>-18.3746771467863</v>
      </c>
    </row>
    <row r="5" customFormat="false" ht="15" hidden="false" customHeight="false" outlineLevel="0" collapsed="false">
      <c r="A5" s="0" t="s">
        <v>156</v>
      </c>
      <c r="B5" s="4" t="n">
        <f aca="false">DCF_Base!$B$38</f>
        <v>111.465599838385</v>
      </c>
      <c r="C5" s="0" t="n">
        <f aca="false">B5/Assumptions!$B$2-1</f>
        <v>0.397162194013353</v>
      </c>
      <c r="D5" s="4" t="n">
        <f aca="false">Assumptions!$B$38</f>
        <v>0.5</v>
      </c>
      <c r="E5" s="4" t="n">
        <f aca="false">DCF_Base!$B$43</f>
        <v>147.224018114332</v>
      </c>
      <c r="F5" s="4" t="n">
        <f aca="false">DCF_Base!$B$47</f>
        <v>21.984435886739</v>
      </c>
    </row>
    <row r="6" customFormat="false" ht="15" hidden="false" customHeight="false" outlineLevel="0" collapsed="false">
      <c r="A6" s="0" t="s">
        <v>157</v>
      </c>
      <c r="B6" s="4" t="n">
        <f aca="false">DCF_Bull!$B$38</f>
        <v>178.387857388278</v>
      </c>
      <c r="C6" s="0" t="n">
        <f aca="false">B6/Assumptions!$B$2-1</f>
        <v>1.23599720968009</v>
      </c>
      <c r="D6" s="4" t="n">
        <f aca="false">Assumptions!$B$52</f>
        <v>0.25</v>
      </c>
      <c r="E6" s="4" t="n">
        <f aca="false">DCF_Bull!$B$43</f>
        <v>219.287649186004</v>
      </c>
      <c r="F6" s="4" t="n">
        <f aca="false">DCF_Bull!$B$47</f>
        <v>54.8024076147663</v>
      </c>
    </row>
    <row r="8" customFormat="false" ht="15" hidden="false" customHeight="false" outlineLevel="0" collapsed="false">
      <c r="A8" s="0" t="s">
        <v>158</v>
      </c>
      <c r="B8" s="0" t="n">
        <f aca="false">SUMPRODUCT(B4:B6,D4:D6)</f>
        <v>104.251722064854</v>
      </c>
    </row>
    <row r="9" customFormat="false" ht="15" hidden="false" customHeight="false" outlineLevel="0" collapsed="false">
      <c r="A9" s="0" t="s">
        <v>159</v>
      </c>
      <c r="B9" s="0" t="n">
        <f aca="false">SUMPRODUCT(E4:E6,D4:D6)</f>
        <v>139.438256467909</v>
      </c>
    </row>
    <row r="10" customFormat="false" ht="15" hidden="false" customHeight="false" outlineLevel="0" collapsed="false">
      <c r="A10" s="0" t="s">
        <v>160</v>
      </c>
      <c r="B10" s="0" t="n">
        <f aca="false">1-Assumptions!$B$2/B8</f>
        <v>0.234736861705082</v>
      </c>
    </row>
    <row r="11" customFormat="false" ht="15" hidden="false" customHeight="false" outlineLevel="0" collapsed="false">
      <c r="A11" s="0" t="s">
        <v>161</v>
      </c>
      <c r="B11" s="0" t="n">
        <f aca="false">IF(ABS(B9-B8)&gt;0.01*ABS(B8),(Assumptions!$B$2-B8)/(B9-B8)*100,"n/a")</f>
        <v>-69.5485431572644</v>
      </c>
    </row>
    <row r="12" customFormat="false" ht="15" hidden="false" customHeight="false" outlineLevel="0" collapsed="false">
      <c r="A12" s="0" t="s">
        <v>162</v>
      </c>
      <c r="B12" s="0" t="n">
        <f aca="false">SUMPRODUCT(F4:F6,D4:D6)</f>
        <v>20.0991505603645</v>
      </c>
    </row>
    <row r="14" customFormat="false" ht="15" hidden="false" customHeight="false" outlineLevel="0" collapsed="false">
      <c r="A14" s="2" t="s">
        <v>163</v>
      </c>
      <c r="C14" s="0" t="s">
        <v>164</v>
      </c>
    </row>
    <row r="15" customFormat="false" ht="15" hidden="false" customHeight="false" outlineLevel="0" collapsed="false">
      <c r="A15" s="0" t="s">
        <v>165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111.465599838385</v>
      </c>
      <c r="C15" s="3" t="n">
        <v>9</v>
      </c>
    </row>
    <row r="16" customFormat="false" ht="15" hidden="false" customHeight="false" outlineLevel="0" collapsed="false">
      <c r="A16" s="0" t="s">
        <v>166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90.2237029041396</v>
      </c>
      <c r="C16" s="3" t="n">
        <v>10</v>
      </c>
    </row>
    <row r="17" customFormat="false" ht="15" hidden="false" customHeight="false" outlineLevel="0" collapsed="false">
      <c r="A17" s="0" t="s">
        <v>167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69.9778897979392</v>
      </c>
      <c r="C17" s="3" t="n">
        <v>11</v>
      </c>
    </row>
    <row r="18" customFormat="false" ht="15" hidden="false" customHeight="false" outlineLevel="0" collapsed="false">
      <c r="A18" s="0" t="s">
        <v>168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54.0774452746761</v>
      </c>
      <c r="C18" s="3" t="n">
        <v>12</v>
      </c>
    </row>
    <row r="19" customFormat="false" ht="15" hidden="false" customHeight="false" outlineLevel="0" collapsed="false">
      <c r="A19" s="0" t="s">
        <v>169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21.984435886739</v>
      </c>
      <c r="C19" s="3" t="n">
        <v>15</v>
      </c>
    </row>
    <row r="21" customFormat="false" ht="15" hidden="false" customHeight="false" outlineLevel="0" collapsed="false">
      <c r="A21" s="2" t="s">
        <v>170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140.865109040869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140.865109040869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140.865109040869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140.865109040869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140.865109040869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125.471732569842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125.471732569842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125.471732569842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125.471732569842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125.471732569842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101.241398669455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108.478008587724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111.465599838385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111.465599838385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111.465599838385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79.2450617995722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84.3912998173382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90.2237029041396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96.8893064319127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98.7071983031236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61.9885001312678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65.7612674738627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69.9778897979392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74.7215899125253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80.0977833757229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2026-10-09T23:16:38Z</dcterms:created>
  <dc:creator>openpyxl</dc:creator>
  <dc:description/>
  <dc:language>en-NZ</dc:language>
  <cp:lastModifiedBy/>
  <dcterms:modified xsi:type="dcterms:W3CDTF">2026-10-09T23:16:38Z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