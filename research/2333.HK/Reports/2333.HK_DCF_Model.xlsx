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<sst xmlns="http://schemas.openxmlformats.org/spreadsheetml/2006/main" count="353" uniqueCount="163">
  <si>
    <t xml:space="preserve">Ticker</t>
  </si>
  <si>
    <t xml:space="preserve">2333.HK</t>
  </si>
  <si>
    <t xml:space="preserve">Company</t>
  </si>
  <si>
    <t xml:space="preserve">Great Wall Motor Company Limited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</si>
  <si>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</si>
  <si>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</si>
  <si>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</si>
  <si>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</si>
  <si>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regular close (HKEX), Yahoo chart API; 52-week range 6.83-16.75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</si>
  <si>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</si>
  <si>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</si>
  <si>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</si>
  <si>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</si>
  <si>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</si>
  <si>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</si>
  <si>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</si>
  <si>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</si>
  <si>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</si>
  <si>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</si>
  <si>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</si>
  <si>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</si>
  <si>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</si>
  <si>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2026-10-18T01:54:13Z</t>
  </si>
  <si>
    <t xml:space="preserve">Drivers file</t>
  </si>
  <si>
    <t xml:space="preserve">2333.HK_Drivers.json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</si>
  <si>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</si>
  <si>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</si>
  <si>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</si>
  <si>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CNY flows at a CNY-built 10% WACC, converted to HKD for comparison with the H-share price. The striking feature is the balance sheet: RMB~51bn of net cash and wealth-management products (after excluding restricted deposits) against an H-share-implied market capitalisation of RMB~51bn, before any value for the operating business or JV stakes. Most of the per-share value therefore rests on (a) that cash being genuinely shareholders' rather than supplier float -- partly addressed by an 8bn float-normalisation deduction -- and (b) GWM earning thin but positive owner FCF through the price war. The A share trades at ~2.3x the H share for identical rights; the model values both classes the same.
key_risks_to_valuation: Net cash is partly supplier float: ~160 days of payables (accounts + bank-acceptance notes); stricter payment-term enforcement could absorb well more than the 8bn reserved.; Price-war margin compression: every 1pp of EBITDA margin is ~RMB2.5bn/yr of pre-tax cash flow.; Export/tariff concentration: overseas &gt;40% of revenue and &gt;50% of volume; EU/Brazil tariffs and Russian recycling fees.; Controlling-shareholder governance and the persistent A/H discount mean H-share holders may never see the value except via dividends.; Earnings quality: FY2025 profit included ~1.6bn FX gains and 4.0bn of other income (subsidies); H1 2026 shows how quickly both can reverse.</t>
  </si>
  <si>
    <t xml:space="preserve">Data sources</t>
  </si>
  <si>
    <t xml:space="preserve">price: Yahoo Finance chart API at inputs.price_as_of; 52-week range 6.83-16.75 HKD. A-share 601633.SS and CNYHKD=X from the same API for the parity check in inputs.fx_note.
financials: 2333.HK_Metrics.csv (FY2018-H1 FY2026, CNY millions); FY2025 Annual Report (income statement, cash flow statement and supplementary reconciliation, note XIII.3 SBC); H1 2026 Interim Report (consolidated balance sheet at 30/6/2026, note VI.2 held-for-trading assets, note VI.26 current portion of non-current liabilities, cash-flow reconciliation, H-share repurchases).
qualitative: 2333.HK_Analysis.json (2026-10-18): price war, export/tariff exposure, governance, Hi4 platform, FY2026 informal guidance and broker targets.</t>
  </si>
  <si>
    <t xml:space="preserve">Scenario narrative: bear</t>
  </si>
  <si>
    <t xml:space="preserve">The price war runs through 2028 and BYD's vertically integrated cost base forces GWM to discount into its pickup and SUV niches; the EU, Brazil and Russia tighten tariffs and recycling fees just as exports become more than half of volume, so revenue stalls and falls in 2028. EBITDA drops to ~7% (EBIT ~1.6%), heavy direct-to-user selling costs fail to pay back, and governance concentration (Wei Jianjun controls ~55-60% via Baoding Great Wall Holdings) keeps capital allocation geared to volume rather than returns.</t>
  </si>
  <si>
    <t xml:space="preserve">Scenario narrative: base</t>
  </si>
  <si>
    <t xml:space="preserve">Exports keep carrying the group: overseas volume grows from ~0.5m to ~0.7m units in FY2026 and on through Brazil and Thailand localisation, while the domestic market stays a grind. The price war neither resolves nor deepens; pickups and TANK off-roaders hold their niche margins, ORA/WEY NEVs earn little. Group EBITDA settles at ~9.5% (EBIT ~4%), giving roughly FY2025-level profit of ~RMB10bn on a larger revenue base by FY2028 -- management's FY2026 ~10bn target arrives about two years late.</t>
  </si>
  <si>
    <t xml:space="preserve">Scenario narrative: bull</t>
  </si>
  <si>
    <t xml:space="preserve">Regulator-led discipline ends the domestic price war in 2027 and the Hi4 hybrid family plus GWM ONE platform win share in the RMB100-200k band; export volumes compound past 1m units with localised plants dodging tariffs and Russia recycling-fee rebates finally paid. Margins recover to and slightly below the FY2024 peak (EBITDA 11%), revenue compounds ~6% for five years, and the A/H discount is irrelevant because the cash returns come through dividends.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</si>
  <si>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</si>
  <si>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</si>
  <si>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</si>
  <si>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</si>
  <si>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</si>
  <si>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</si>
  <si>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</si>
  <si>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</si>
  <si>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</si>
  <si>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</si>
  <si>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</si>
  <si>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</si>
  <si>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</si>
  <si>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</si>
  <si>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</si>
  <si>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</si>
  <si>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</si>
  <si>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</si>
  <si>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</si>
  <si>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</si>
  <si>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</si>
  <si>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</si>
  <si>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</si>
  <si>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</si>
  <si>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</si>
  <si>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</si>
  <si>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</si>
  <si>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</si>
  <si>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</si>
  <si>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</si>
  <si>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</si>
  <si>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</si>
  <si>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</si>
  <si>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</si>
  <si>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</si>
  <si>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</si>
  <si>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</si>
  <si>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</si>
  <si>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</si>
  <si>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</si>
  <si>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</si>
  <si>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</si>
  <si>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</si>
  <si>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</si>
  <si>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</si>
  <si>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</si>
  <si>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</si>
  <si>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</si>
  <si>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</si>
  <si>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</si>
  <si>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</si>
  <si>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</si>
  <si>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</si>
  <si>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</si>
  <si>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</si>
  <si>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</si>
  <si>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</si>
  <si>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</si>
  <si>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</si>
  <si>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</si>
  <si>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</si>
  <si>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</si>
  <si>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</si>
  <si>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</si>
  <si>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</si>
  <si>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</si>
  <si>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</si>
  <si>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</si>
  <si>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</si>
  <si>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</si>
  <si>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</si>
  <si>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</si>
  <si>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2333.HK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</si>
  <si>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</si>
  <si>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</si>
  <si>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</si>
  <si>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</si>
  <si>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</si>
  <si>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</si>
  <si>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</si>
  <si>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</si>
  <si>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</si>
  <si>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</si>
  <si>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</si>
  <si>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</si>
  <si>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</si>
  <si>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</si>
  <si>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</si>
  <si>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</si>
  <si>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</si>
  <si>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</si>
  <si>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</si>
  <si>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</si>
  <si>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</si>
  <si>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</si>
  <si>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</si>
  <si>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</si>
  <si>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</si>
  <si>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</si>
  <si>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</si>
  <si>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</si>
  <si>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</si>
  <si>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</si>
  <si>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2333.HK owner-FCF component DCF: base case (millions, CNY)</t>
  </si>
  <si>
    <t xml:space="preserve">2333.HK owner-FCF component DCF: bull case (millions, CNY)</t>
  </si>
  <si>
    <t xml:space="preserve">2333.HK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</si>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</sst>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7.045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99229.987</v>
      </c>
      <c r="C2" s="0" t="n">
        <v>81480.943</v>
      </c>
      <c r="D2" s="0" t="n">
        <v>17749.044</v>
      </c>
      <c r="E2" s="0" t="n">
        <v>17.9</v>
      </c>
      <c r="F2" s="0" t="n">
        <v>6232.037</v>
      </c>
      <c r="G2" s="0" t="n">
        <v>6.3</v>
      </c>
      <c r="I2" s="0" t="n">
        <v>5207.314</v>
      </c>
      <c r="J2" s="0" t="n">
        <v>5.2</v>
      </c>
      <c r="K2" s="0" t="n">
        <v>0.57</v>
      </c>
      <c r="L2" s="0" t="n">
        <v>19697.826</v>
      </c>
      <c r="M2" s="0" t="n">
        <v>6662.49</v>
      </c>
      <c r="N2" s="0" t="n">
        <v>13035.336</v>
      </c>
      <c r="O2" s="0" t="n">
        <v>52524.831</v>
      </c>
      <c r="P2" s="0" t="n">
        <v>111800.411</v>
      </c>
      <c r="Q2" s="0" t="n">
        <v>59111.824</v>
      </c>
      <c r="R2" s="0" t="n">
        <v>14957.772</v>
      </c>
      <c r="S2" s="0" t="n">
        <v>7682.084</v>
      </c>
      <c r="T2" s="0" t="n">
        <v>9127.269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96210.689</v>
      </c>
      <c r="C3" s="0" t="n">
        <v>79684.487</v>
      </c>
      <c r="D3" s="0" t="n">
        <v>16526.202</v>
      </c>
      <c r="E3" s="0" t="n">
        <v>17.2</v>
      </c>
      <c r="F3" s="0" t="n">
        <v>4776.844</v>
      </c>
      <c r="G3" s="0" t="n">
        <v>5</v>
      </c>
      <c r="I3" s="0" t="n">
        <v>4496.875</v>
      </c>
      <c r="J3" s="0" t="n">
        <v>4.7</v>
      </c>
      <c r="K3" s="0" t="n">
        <v>0.49</v>
      </c>
      <c r="L3" s="0" t="n">
        <v>13972.302</v>
      </c>
      <c r="M3" s="0" t="n">
        <v>6940.322</v>
      </c>
      <c r="N3" s="0" t="n">
        <v>7031.98</v>
      </c>
      <c r="O3" s="0" t="n">
        <v>54399.23</v>
      </c>
      <c r="P3" s="0" t="n">
        <v>113096.409</v>
      </c>
      <c r="Q3" s="0" t="n">
        <v>58697.179</v>
      </c>
      <c r="R3" s="0" t="n">
        <v>5566.122</v>
      </c>
      <c r="S3" s="0" t="n">
        <v>9723.313</v>
      </c>
      <c r="T3" s="0" t="n">
        <v>9127.269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103307.607</v>
      </c>
      <c r="C4" s="0" t="n">
        <v>85530.964</v>
      </c>
      <c r="D4" s="0" t="n">
        <v>17776.643</v>
      </c>
      <c r="E4" s="0" t="n">
        <v>17.2</v>
      </c>
      <c r="F4" s="0" t="n">
        <v>5751.607</v>
      </c>
      <c r="G4" s="0" t="n">
        <v>5.6</v>
      </c>
      <c r="I4" s="0" t="n">
        <v>5362.49</v>
      </c>
      <c r="J4" s="0" t="n">
        <v>5.2</v>
      </c>
      <c r="K4" s="0" t="n">
        <v>0.59</v>
      </c>
      <c r="L4" s="0" t="n">
        <v>5181.233</v>
      </c>
      <c r="M4" s="0" t="n">
        <v>8061.586</v>
      </c>
      <c r="N4" s="0" t="n">
        <v>-2880.353</v>
      </c>
      <c r="O4" s="0" t="n">
        <v>57341.848</v>
      </c>
      <c r="P4" s="0" t="n">
        <v>154011.491</v>
      </c>
      <c r="Q4" s="0" t="n">
        <v>96669.643</v>
      </c>
      <c r="R4" s="0" t="n">
        <v>19570.443</v>
      </c>
      <c r="S4" s="0" t="n">
        <v>14588.464</v>
      </c>
      <c r="T4" s="0" t="n">
        <v>9175.953</v>
      </c>
      <c r="U4" s="0" t="n">
        <v>113.878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136404.663</v>
      </c>
      <c r="C5" s="0" t="n">
        <v>114367.473</v>
      </c>
      <c r="D5" s="0" t="n">
        <v>22037.19</v>
      </c>
      <c r="E5" s="0" t="n">
        <v>16.2</v>
      </c>
      <c r="F5" s="0" t="n">
        <v>6368.767</v>
      </c>
      <c r="G5" s="0" t="n">
        <v>4.7</v>
      </c>
      <c r="I5" s="0" t="n">
        <v>6726.094</v>
      </c>
      <c r="J5" s="0" t="n">
        <v>4.9</v>
      </c>
      <c r="K5" s="0" t="n">
        <v>0.73</v>
      </c>
      <c r="L5" s="0" t="n">
        <v>35315.673</v>
      </c>
      <c r="M5" s="0" t="n">
        <v>13091.041</v>
      </c>
      <c r="N5" s="0" t="n">
        <v>22224.632</v>
      </c>
      <c r="O5" s="0" t="n">
        <v>62124.382</v>
      </c>
      <c r="P5" s="0" t="n">
        <v>175408.021</v>
      </c>
      <c r="Q5" s="0" t="n">
        <v>113279.538</v>
      </c>
      <c r="R5" s="0" t="n">
        <v>21004.766</v>
      </c>
      <c r="S5" s="0" t="n">
        <v>33047.561</v>
      </c>
      <c r="T5" s="0" t="n">
        <v>9235.713</v>
      </c>
      <c r="U5" s="0" t="n">
        <v>1063.099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137339.985</v>
      </c>
      <c r="C6" s="0" t="n">
        <v>110739.333</v>
      </c>
      <c r="D6" s="0" t="n">
        <v>26600.652</v>
      </c>
      <c r="E6" s="0" t="n">
        <v>19.4</v>
      </c>
      <c r="F6" s="0" t="n">
        <v>7967.001</v>
      </c>
      <c r="G6" s="0" t="n">
        <v>5.8</v>
      </c>
      <c r="I6" s="0" t="n">
        <v>8266.042</v>
      </c>
      <c r="J6" s="0" t="n">
        <v>6</v>
      </c>
      <c r="K6" s="0" t="n">
        <v>0.91</v>
      </c>
      <c r="L6" s="0" t="n">
        <v>12311.255</v>
      </c>
      <c r="M6" s="0" t="n">
        <v>16300.822</v>
      </c>
      <c r="N6" s="0" t="n">
        <v>-3989.567</v>
      </c>
      <c r="O6" s="0" t="n">
        <v>65201.257</v>
      </c>
      <c r="P6" s="0" t="n">
        <v>185357.3</v>
      </c>
      <c r="Q6" s="0" t="n">
        <v>120141.392</v>
      </c>
      <c r="R6" s="0" t="n">
        <v>29743.727</v>
      </c>
      <c r="S6" s="0" t="n">
        <v>35773.468</v>
      </c>
      <c r="T6" s="0" t="n">
        <v>8764.512</v>
      </c>
      <c r="U6" s="0" t="n">
        <v>863.788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173212.077</v>
      </c>
      <c r="C7" s="0" t="n">
        <v>140773.128</v>
      </c>
      <c r="D7" s="0" t="n">
        <v>32438.949</v>
      </c>
      <c r="E7" s="0" t="n">
        <v>18.7</v>
      </c>
      <c r="F7" s="0" t="n">
        <v>7200.967</v>
      </c>
      <c r="G7" s="0" t="n">
        <v>4.2</v>
      </c>
      <c r="I7" s="0" t="n">
        <v>7021.56</v>
      </c>
      <c r="J7" s="0" t="n">
        <v>4.1</v>
      </c>
      <c r="K7" s="0" t="n">
        <v>0.82</v>
      </c>
      <c r="L7" s="0" t="n">
        <v>17753.789</v>
      </c>
      <c r="M7" s="0" t="n">
        <v>16713.035</v>
      </c>
      <c r="N7" s="0" t="n">
        <v>1040.754</v>
      </c>
      <c r="O7" s="0" t="n">
        <v>68500.614</v>
      </c>
      <c r="P7" s="0" t="n">
        <v>201270.289</v>
      </c>
      <c r="Q7" s="0" t="n">
        <v>132761.505</v>
      </c>
      <c r="R7" s="0" t="n">
        <v>29340.334</v>
      </c>
      <c r="S7" s="0" t="n">
        <v>38337.235</v>
      </c>
      <c r="T7" s="0" t="n">
        <v>8497.529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202195.472</v>
      </c>
      <c r="C8" s="0" t="n">
        <v>162746.773</v>
      </c>
      <c r="D8" s="0" t="n">
        <v>39448.699</v>
      </c>
      <c r="E8" s="0" t="n">
        <v>19.5</v>
      </c>
      <c r="F8" s="0" t="n">
        <v>13920.863</v>
      </c>
      <c r="G8" s="0" t="n">
        <v>6.9</v>
      </c>
      <c r="I8" s="0" t="n">
        <v>12692.204</v>
      </c>
      <c r="J8" s="0" t="n">
        <v>6.3</v>
      </c>
      <c r="K8" s="0" t="n">
        <v>1.49</v>
      </c>
      <c r="L8" s="0" t="n">
        <v>27782.626</v>
      </c>
      <c r="M8" s="0" t="n">
        <v>11737.404</v>
      </c>
      <c r="N8" s="0" t="n">
        <v>16045.222</v>
      </c>
      <c r="O8" s="0" t="n">
        <v>78987.824</v>
      </c>
      <c r="P8" s="0" t="n">
        <v>217266.224</v>
      </c>
      <c r="Q8" s="0" t="n">
        <v>138269.995</v>
      </c>
      <c r="R8" s="0" t="n">
        <v>20508.669</v>
      </c>
      <c r="S8" s="0" t="n">
        <v>30740.975</v>
      </c>
      <c r="T8" s="0" t="n">
        <v>8556.164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222824.239</v>
      </c>
      <c r="C9" s="0" t="n">
        <v>182622.063</v>
      </c>
      <c r="D9" s="0" t="n">
        <v>40202.176</v>
      </c>
      <c r="E9" s="0" t="n">
        <v>18</v>
      </c>
      <c r="F9" s="0" t="n">
        <v>11533.665</v>
      </c>
      <c r="G9" s="0" t="n">
        <v>5.2</v>
      </c>
      <c r="I9" s="0" t="n">
        <v>9865.28</v>
      </c>
      <c r="J9" s="0" t="n">
        <v>4.4</v>
      </c>
      <c r="K9" s="0" t="n">
        <v>1.16</v>
      </c>
      <c r="L9" s="0" t="n">
        <v>40355.401</v>
      </c>
      <c r="M9" s="0" t="n">
        <v>11509.392</v>
      </c>
      <c r="N9" s="0" t="n">
        <v>28846.009</v>
      </c>
      <c r="O9" s="0" t="n">
        <v>87892.041</v>
      </c>
      <c r="P9" s="0" t="n">
        <v>225287.873</v>
      </c>
      <c r="Q9" s="0" t="n">
        <v>137395.831</v>
      </c>
      <c r="R9" s="0" t="n">
        <v>14485.847</v>
      </c>
      <c r="S9" s="0" t="n">
        <v>28846.312</v>
      </c>
      <c r="T9" s="0" t="n">
        <v>8557.872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7.045</v>
      </c>
    </row>
    <row r="3" customFormat="false" ht="15" hidden="false" customHeight="false" outlineLevel="0" collapsed="false">
      <c r="A3" s="0" t="s">
        <v>75</v>
      </c>
      <c r="B3" s="3" t="n">
        <v>8542</v>
      </c>
    </row>
    <row r="4" customFormat="false" ht="15" hidden="false" customHeight="false" outlineLevel="0" collapsed="false">
      <c r="A4" s="0" t="s">
        <v>76</v>
      </c>
      <c r="B4" s="3" t="n">
        <v>-50850</v>
      </c>
    </row>
    <row r="5" customFormat="false" ht="15" hidden="false" customHeight="false" outlineLevel="0" collapsed="false">
      <c r="A5" s="0" t="s">
        <v>77</v>
      </c>
      <c r="B5" s="3" t="n">
        <v>1738.6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222824.2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1.1724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6</v>
      </c>
      <c r="D13" s="3" t="n">
        <v>1</v>
      </c>
      <c r="E13" s="3" t="n">
        <v>-2</v>
      </c>
      <c r="F13" s="3" t="n">
        <v>1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96</v>
      </c>
      <c r="C14" s="3" t="n">
        <v>8</v>
      </c>
      <c r="D14" s="3" t="n">
        <v>7.5</v>
      </c>
      <c r="E14" s="3" t="n">
        <v>7</v>
      </c>
      <c r="F14" s="3" t="n">
        <v>7</v>
      </c>
      <c r="G14" s="3" t="n">
        <v>7.2</v>
      </c>
      <c r="H14" s="3" t="n">
        <v>7.5</v>
      </c>
      <c r="I14" s="3" t="n">
        <v>7.5</v>
      </c>
      <c r="J14" s="3" t="n">
        <v>7.5</v>
      </c>
      <c r="K14" s="3" t="n">
        <v>7.5</v>
      </c>
      <c r="L14" s="3" t="n">
        <v>7.5</v>
      </c>
    </row>
    <row r="15" customFormat="false" ht="15" hidden="false" customHeight="false" outlineLevel="0" collapsed="false">
      <c r="A15" s="0" t="s">
        <v>97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98</v>
      </c>
      <c r="C16" s="3" t="n">
        <v>0.9</v>
      </c>
      <c r="D16" s="3" t="n">
        <v>0.9</v>
      </c>
      <c r="E16" s="3" t="n">
        <v>0.9</v>
      </c>
      <c r="F16" s="3" t="n">
        <v>0.9</v>
      </c>
      <c r="G16" s="3" t="n">
        <v>0.9</v>
      </c>
      <c r="H16" s="3" t="n">
        <v>0.9</v>
      </c>
      <c r="I16" s="3" t="n">
        <v>0.9</v>
      </c>
      <c r="J16" s="3" t="n">
        <v>0.9</v>
      </c>
      <c r="K16" s="3" t="n">
        <v>0.9</v>
      </c>
      <c r="L16" s="3" t="n">
        <v>0.9</v>
      </c>
    </row>
    <row r="17" customFormat="false" ht="15" hidden="false" customHeight="false" outlineLevel="0" collapsed="false">
      <c r="A17" s="0" t="s">
        <v>99</v>
      </c>
      <c r="C17" s="3" t="n">
        <v>4.5</v>
      </c>
      <c r="D17" s="3" t="n">
        <v>4.5</v>
      </c>
      <c r="E17" s="3" t="n">
        <v>4.5</v>
      </c>
      <c r="F17" s="3" t="n">
        <v>4.5</v>
      </c>
      <c r="G17" s="3" t="n">
        <v>4.5</v>
      </c>
      <c r="H17" s="3" t="n">
        <v>4.5</v>
      </c>
      <c r="I17" s="3" t="n">
        <v>4.5</v>
      </c>
      <c r="J17" s="3" t="n">
        <v>4.5</v>
      </c>
      <c r="K17" s="3" t="n">
        <v>4.5</v>
      </c>
      <c r="L17" s="3" t="n">
        <v>4.5</v>
      </c>
    </row>
    <row r="18" customFormat="false" ht="15" hidden="false" customHeight="false" outlineLevel="0" collapsed="false">
      <c r="A18" s="0" t="s">
        <v>100</v>
      </c>
      <c r="C18" s="3" t="n">
        <v>5.4</v>
      </c>
      <c r="D18" s="3" t="n">
        <v>5.3</v>
      </c>
      <c r="E18" s="3" t="n">
        <v>5.2</v>
      </c>
      <c r="F18" s="3" t="n">
        <v>5</v>
      </c>
      <c r="G18" s="3" t="n">
        <v>5</v>
      </c>
      <c r="H18" s="3" t="n">
        <v>5</v>
      </c>
      <c r="I18" s="3" t="n">
        <v>5</v>
      </c>
      <c r="J18" s="3" t="n">
        <v>5</v>
      </c>
      <c r="K18" s="3" t="n">
        <v>5</v>
      </c>
      <c r="L18" s="3" t="n">
        <v>5</v>
      </c>
    </row>
    <row r="19" customFormat="false" ht="15" hidden="false" customHeight="false" outlineLevel="0" collapsed="false">
      <c r="A19" s="0" t="s">
        <v>101</v>
      </c>
      <c r="C19" s="3" t="n">
        <v>18</v>
      </c>
      <c r="D19" s="3" t="n">
        <v>18</v>
      </c>
      <c r="E19" s="3" t="n">
        <v>18</v>
      </c>
      <c r="F19" s="3" t="n">
        <v>18</v>
      </c>
      <c r="G19" s="3" t="n">
        <v>18</v>
      </c>
      <c r="H19" s="3" t="n">
        <v>18</v>
      </c>
      <c r="I19" s="3" t="n">
        <v>18</v>
      </c>
      <c r="J19" s="3" t="n">
        <v>18</v>
      </c>
      <c r="K19" s="3" t="n">
        <v>18</v>
      </c>
      <c r="L19" s="3" t="n">
        <v>18</v>
      </c>
    </row>
    <row r="20" customFormat="false" ht="15" hidden="false" customHeight="false" outlineLevel="0" collapsed="false">
      <c r="A20" s="0" t="s">
        <v>102</v>
      </c>
      <c r="B20" s="3" t="n">
        <v>10</v>
      </c>
    </row>
    <row r="21" customFormat="false" ht="15" hidden="false" customHeight="false" outlineLevel="0" collapsed="false">
      <c r="A21" s="0" t="s">
        <v>103</v>
      </c>
      <c r="B21" s="3" t="n">
        <v>1.5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0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9</v>
      </c>
      <c r="D27" s="3" t="n">
        <v>6</v>
      </c>
      <c r="E27" s="3" t="n">
        <v>5</v>
      </c>
      <c r="F27" s="3" t="n">
        <v>4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96</v>
      </c>
      <c r="C28" s="3" t="n">
        <v>8.6</v>
      </c>
      <c r="D28" s="3" t="n">
        <v>9</v>
      </c>
      <c r="E28" s="3" t="n">
        <v>9.3</v>
      </c>
      <c r="F28" s="3" t="n">
        <v>9.5</v>
      </c>
      <c r="G28" s="3" t="n">
        <v>9.5</v>
      </c>
      <c r="H28" s="3" t="n">
        <v>9.5</v>
      </c>
      <c r="I28" s="3" t="n">
        <v>9.5</v>
      </c>
      <c r="J28" s="3" t="n">
        <v>9.5</v>
      </c>
      <c r="K28" s="3" t="n">
        <v>9.5</v>
      </c>
      <c r="L28" s="3" t="n">
        <v>9.5</v>
      </c>
    </row>
    <row r="29" customFormat="false" ht="15" hidden="false" customHeight="false" outlineLevel="0" collapsed="false">
      <c r="A29" s="0" t="s">
        <v>97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98</v>
      </c>
      <c r="C30" s="3" t="n">
        <v>0.9</v>
      </c>
      <c r="D30" s="3" t="n">
        <v>0.9</v>
      </c>
      <c r="E30" s="3" t="n">
        <v>0.9</v>
      </c>
      <c r="F30" s="3" t="n">
        <v>0.9</v>
      </c>
      <c r="G30" s="3" t="n">
        <v>0.9</v>
      </c>
      <c r="H30" s="3" t="n">
        <v>0.9</v>
      </c>
      <c r="I30" s="3" t="n">
        <v>0.9</v>
      </c>
      <c r="J30" s="3" t="n">
        <v>0.9</v>
      </c>
      <c r="K30" s="3" t="n">
        <v>0.9</v>
      </c>
      <c r="L30" s="3" t="n">
        <v>0.9</v>
      </c>
    </row>
    <row r="31" customFormat="false" ht="15" hidden="false" customHeight="false" outlineLevel="0" collapsed="false">
      <c r="A31" s="0" t="s">
        <v>99</v>
      </c>
      <c r="C31" s="3" t="n">
        <v>4.5</v>
      </c>
      <c r="D31" s="3" t="n">
        <v>4.5</v>
      </c>
      <c r="E31" s="3" t="n">
        <v>4.5</v>
      </c>
      <c r="F31" s="3" t="n">
        <v>4.5</v>
      </c>
      <c r="G31" s="3" t="n">
        <v>4.5</v>
      </c>
      <c r="H31" s="3" t="n">
        <v>4.5</v>
      </c>
      <c r="I31" s="3" t="n">
        <v>4.5</v>
      </c>
      <c r="J31" s="3" t="n">
        <v>4.5</v>
      </c>
      <c r="K31" s="3" t="n">
        <v>4.5</v>
      </c>
      <c r="L31" s="3" t="n">
        <v>4.5</v>
      </c>
    </row>
    <row r="32" customFormat="false" ht="15" hidden="false" customHeight="false" outlineLevel="0" collapsed="false">
      <c r="A32" s="0" t="s">
        <v>100</v>
      </c>
      <c r="C32" s="3" t="n">
        <v>5.4</v>
      </c>
      <c r="D32" s="3" t="n">
        <v>5.3</v>
      </c>
      <c r="E32" s="3" t="n">
        <v>5.2</v>
      </c>
      <c r="F32" s="3" t="n">
        <v>5</v>
      </c>
      <c r="G32" s="3" t="n">
        <v>5</v>
      </c>
      <c r="H32" s="3" t="n">
        <v>4.9</v>
      </c>
      <c r="I32" s="3" t="n">
        <v>4.9</v>
      </c>
      <c r="J32" s="3" t="n">
        <v>4.8</v>
      </c>
      <c r="K32" s="3" t="n">
        <v>4.8</v>
      </c>
      <c r="L32" s="3" t="n">
        <v>4.8</v>
      </c>
    </row>
    <row r="33" customFormat="false" ht="15" hidden="false" customHeight="false" outlineLevel="0" collapsed="false">
      <c r="A33" s="0" t="s">
        <v>101</v>
      </c>
      <c r="C33" s="3" t="n">
        <v>18</v>
      </c>
      <c r="D33" s="3" t="n">
        <v>18</v>
      </c>
      <c r="E33" s="3" t="n">
        <v>18</v>
      </c>
      <c r="F33" s="3" t="n">
        <v>18</v>
      </c>
      <c r="G33" s="3" t="n">
        <v>18</v>
      </c>
      <c r="H33" s="3" t="n">
        <v>18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102</v>
      </c>
      <c r="B34" s="3" t="n">
        <v>10</v>
      </c>
    </row>
    <row r="35" customFormat="false" ht="15" hidden="false" customHeight="false" outlineLevel="0" collapsed="false">
      <c r="A35" s="0" t="s">
        <v>103</v>
      </c>
      <c r="B35" s="3" t="n">
        <v>2</v>
      </c>
    </row>
    <row r="36" customFormat="false" ht="15" hidden="false" customHeight="false" outlineLevel="0" collapsed="false">
      <c r="A36" s="0" t="s">
        <v>104</v>
      </c>
      <c r="B36" s="3" t="n">
        <v>12</v>
      </c>
    </row>
    <row r="37" customFormat="false" ht="15" hidden="false" customHeight="false" outlineLevel="0" collapsed="false">
      <c r="A37" s="0" t="s">
        <v>105</v>
      </c>
      <c r="B37" s="3" t="n">
        <v>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12</v>
      </c>
      <c r="D41" s="3" t="n">
        <v>9</v>
      </c>
      <c r="E41" s="3" t="n">
        <v>7</v>
      </c>
      <c r="F41" s="3" t="n">
        <v>6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9.2</v>
      </c>
      <c r="D42" s="3" t="n">
        <v>10</v>
      </c>
      <c r="E42" s="3" t="n">
        <v>10.5</v>
      </c>
      <c r="F42" s="3" t="n">
        <v>11</v>
      </c>
      <c r="G42" s="3" t="n">
        <v>11</v>
      </c>
      <c r="H42" s="3" t="n">
        <v>11</v>
      </c>
      <c r="I42" s="3" t="n">
        <v>11</v>
      </c>
      <c r="J42" s="3" t="n">
        <v>11</v>
      </c>
      <c r="K42" s="3" t="n">
        <v>11</v>
      </c>
      <c r="L42" s="3" t="n">
        <v>11</v>
      </c>
    </row>
    <row r="43" customFormat="false" ht="15" hidden="false" customHeight="false" outlineLevel="0" collapsed="false">
      <c r="A43" s="0" t="s">
        <v>97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98</v>
      </c>
      <c r="C44" s="3" t="n">
        <v>0.9</v>
      </c>
      <c r="D44" s="3" t="n">
        <v>0.9</v>
      </c>
      <c r="E44" s="3" t="n">
        <v>0.9</v>
      </c>
      <c r="F44" s="3" t="n">
        <v>0.9</v>
      </c>
      <c r="G44" s="3" t="n">
        <v>0.9</v>
      </c>
      <c r="H44" s="3" t="n">
        <v>0.9</v>
      </c>
      <c r="I44" s="3" t="n">
        <v>0.9</v>
      </c>
      <c r="J44" s="3" t="n">
        <v>0.9</v>
      </c>
      <c r="K44" s="3" t="n">
        <v>0.9</v>
      </c>
      <c r="L44" s="3" t="n">
        <v>0.9</v>
      </c>
    </row>
    <row r="45" customFormat="false" ht="15" hidden="false" customHeight="false" outlineLevel="0" collapsed="false">
      <c r="A45" s="0" t="s">
        <v>99</v>
      </c>
      <c r="C45" s="3" t="n">
        <v>4.5</v>
      </c>
      <c r="D45" s="3" t="n">
        <v>4.5</v>
      </c>
      <c r="E45" s="3" t="n">
        <v>4.5</v>
      </c>
      <c r="F45" s="3" t="n">
        <v>4.5</v>
      </c>
      <c r="G45" s="3" t="n">
        <v>4.5</v>
      </c>
      <c r="H45" s="3" t="n">
        <v>4.5</v>
      </c>
      <c r="I45" s="3" t="n">
        <v>4.5</v>
      </c>
      <c r="J45" s="3" t="n">
        <v>4.5</v>
      </c>
      <c r="K45" s="3" t="n">
        <v>4.5</v>
      </c>
      <c r="L45" s="3" t="n">
        <v>4.5</v>
      </c>
    </row>
    <row r="46" customFormat="false" ht="15" hidden="false" customHeight="false" outlineLevel="0" collapsed="false">
      <c r="A46" s="0" t="s">
        <v>100</v>
      </c>
      <c r="C46" s="3" t="n">
        <v>5.4</v>
      </c>
      <c r="D46" s="3" t="n">
        <v>5.3</v>
      </c>
      <c r="E46" s="3" t="n">
        <v>5.2</v>
      </c>
      <c r="F46" s="3" t="n">
        <v>5</v>
      </c>
      <c r="G46" s="3" t="n">
        <v>5</v>
      </c>
      <c r="H46" s="3" t="n">
        <v>4.9</v>
      </c>
      <c r="I46" s="3" t="n">
        <v>4.9</v>
      </c>
      <c r="J46" s="3" t="n">
        <v>4.8</v>
      </c>
      <c r="K46" s="3" t="n">
        <v>4.8</v>
      </c>
      <c r="L46" s="3" t="n">
        <v>4.8</v>
      </c>
    </row>
    <row r="47" customFormat="false" ht="15" hidden="false" customHeight="false" outlineLevel="0" collapsed="false">
      <c r="A47" s="0" t="s">
        <v>101</v>
      </c>
      <c r="C47" s="3" t="n">
        <v>18</v>
      </c>
      <c r="D47" s="3" t="n">
        <v>18</v>
      </c>
      <c r="E47" s="3" t="n">
        <v>18</v>
      </c>
      <c r="F47" s="3" t="n">
        <v>18</v>
      </c>
      <c r="G47" s="3" t="n">
        <v>18</v>
      </c>
      <c r="H47" s="3" t="n">
        <v>18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102</v>
      </c>
      <c r="B48" s="3" t="n">
        <v>10</v>
      </c>
    </row>
    <row r="49" customFormat="false" ht="15" hidden="false" customHeight="false" outlineLevel="0" collapsed="false">
      <c r="A49" s="0" t="s">
        <v>103</v>
      </c>
      <c r="B49" s="3" t="n">
        <v>2.5</v>
      </c>
    </row>
    <row r="50" customFormat="false" ht="15" hidden="false" customHeight="false" outlineLevel="0" collapsed="false">
      <c r="A50" s="0" t="s">
        <v>104</v>
      </c>
      <c r="B50" s="3" t="n">
        <v>12</v>
      </c>
    </row>
    <row r="51" customFormat="false" ht="15" hidden="false" customHeight="false" outlineLevel="0" collapsed="false">
      <c r="A51" s="0" t="s">
        <v>105</v>
      </c>
      <c r="B51" s="3" t="n">
        <v>5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6</v>
      </c>
      <c r="D5" s="4" t="n">
        <f aca="false">Assumptions!D13</f>
        <v>1</v>
      </c>
      <c r="E5" s="4" t="n">
        <f aca="false">Assumptions!E13</f>
        <v>-2</v>
      </c>
      <c r="F5" s="4" t="n">
        <f aca="false">Assumptions!F13</f>
        <v>1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222824.2</v>
      </c>
      <c r="C6" s="0" t="n">
        <f aca="false">B6*(1+C5/100)</f>
        <v>236193.652</v>
      </c>
      <c r="D6" s="0" t="n">
        <f aca="false">C6*(1+D5/100)</f>
        <v>238555.58852</v>
      </c>
      <c r="E6" s="0" t="n">
        <f aca="false">D6*(1+E5/100)</f>
        <v>233784.4767496</v>
      </c>
      <c r="F6" s="0" t="n">
        <f aca="false">E6*(1+F5/100)</f>
        <v>236122.321517096</v>
      </c>
      <c r="G6" s="0" t="n">
        <f aca="false">F6*(1+G5/100)</f>
        <v>240844.767947438</v>
      </c>
      <c r="H6" s="0" t="n">
        <f aca="false">G6*(1+H5/100)</f>
        <v>245661.663306387</v>
      </c>
      <c r="I6" s="0" t="n">
        <f aca="false">H6*(1+I5/100)</f>
        <v>250574.896572514</v>
      </c>
      <c r="J6" s="0" t="n">
        <f aca="false">I6*(1+J5/100)</f>
        <v>255586.394503965</v>
      </c>
      <c r="K6" s="0" t="n">
        <f aca="false">J6*(1+K5/100)</f>
        <v>260698.122394044</v>
      </c>
      <c r="L6" s="0" t="n">
        <f aca="false">K6*(1+L5/100)</f>
        <v>265912.084841925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8</v>
      </c>
      <c r="D7" s="4" t="n">
        <f aca="false">Assumptions!D14</f>
        <v>7.5</v>
      </c>
      <c r="E7" s="4" t="n">
        <f aca="false">Assumptions!E14</f>
        <v>7</v>
      </c>
      <c r="F7" s="4" t="n">
        <f aca="false">Assumptions!F14</f>
        <v>7</v>
      </c>
      <c r="G7" s="4" t="n">
        <f aca="false">Assumptions!G14</f>
        <v>7.2</v>
      </c>
      <c r="H7" s="4" t="n">
        <f aca="false">Assumptions!H14</f>
        <v>7.5</v>
      </c>
      <c r="I7" s="4" t="n">
        <f aca="false">Assumptions!I14</f>
        <v>7.5</v>
      </c>
      <c r="J7" s="4" t="n">
        <f aca="false">Assumptions!J14</f>
        <v>7.5</v>
      </c>
      <c r="K7" s="4" t="n">
        <f aca="false">Assumptions!K14</f>
        <v>7.5</v>
      </c>
      <c r="L7" s="4" t="n">
        <f aca="false">Assumptions!L14</f>
        <v>7.5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18895.49216</v>
      </c>
      <c r="D8" s="0" t="n">
        <f aca="false">D6*D7/100</f>
        <v>17891.669139</v>
      </c>
      <c r="E8" s="0" t="n">
        <f aca="false">E6*E7/100</f>
        <v>16364.913372472</v>
      </c>
      <c r="F8" s="0" t="n">
        <f aca="false">F6*F7/100</f>
        <v>16528.5625061967</v>
      </c>
      <c r="G8" s="0" t="n">
        <f aca="false">G6*G7/100</f>
        <v>17340.8232922155</v>
      </c>
      <c r="H8" s="0" t="n">
        <f aca="false">H6*H7/100</f>
        <v>18424.624747979</v>
      </c>
      <c r="I8" s="0" t="n">
        <f aca="false">I6*I7/100</f>
        <v>18793.1172429386</v>
      </c>
      <c r="J8" s="0" t="n">
        <f aca="false">J6*J7/100</f>
        <v>19168.9795877974</v>
      </c>
      <c r="K8" s="0" t="n">
        <f aca="false">K6*K7/100</f>
        <v>19552.3591795533</v>
      </c>
      <c r="L8" s="0" t="n">
        <f aca="false">L6*L7/100</f>
        <v>19943.4063631444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-236.193652</v>
      </c>
      <c r="D10" s="0" t="n">
        <f aca="false">-D6*D9/100</f>
        <v>-238.55558852</v>
      </c>
      <c r="E10" s="0" t="n">
        <f aca="false">-E6*E9/100</f>
        <v>-233.7844767496</v>
      </c>
      <c r="F10" s="0" t="n">
        <f aca="false">-F6*F9/100</f>
        <v>-236.122321517096</v>
      </c>
      <c r="G10" s="0" t="n">
        <f aca="false">-G6*G9/100</f>
        <v>-240.844767947438</v>
      </c>
      <c r="H10" s="0" t="n">
        <f aca="false">-H6*H9/100</f>
        <v>-245.661663306387</v>
      </c>
      <c r="I10" s="0" t="n">
        <f aca="false">-I6*I9/100</f>
        <v>-250.574896572514</v>
      </c>
      <c r="J10" s="0" t="n">
        <f aca="false">-J6*J9/100</f>
        <v>-255.586394503965</v>
      </c>
      <c r="K10" s="0" t="n">
        <f aca="false">-K6*K9/100</f>
        <v>-260.698122394044</v>
      </c>
      <c r="L10" s="0" t="n">
        <f aca="false">-L6*L9/100</f>
        <v>-265.912084841925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16533.55564</v>
      </c>
      <c r="D11" s="0" t="n">
        <f aca="false">D8+D10+D24</f>
        <v>15506.1132538</v>
      </c>
      <c r="E11" s="0" t="n">
        <f aca="false">E8+E10+E24</f>
        <v>14027.068604976</v>
      </c>
      <c r="F11" s="0" t="n">
        <f aca="false">F8+F10+F24</f>
        <v>14167.3392910258</v>
      </c>
      <c r="G11" s="0" t="n">
        <f aca="false">G8+G10+G24</f>
        <v>14932.3756127412</v>
      </c>
      <c r="H11" s="0" t="n">
        <f aca="false">H8+H10+H24</f>
        <v>15968.0081149151</v>
      </c>
      <c r="I11" s="0" t="n">
        <f aca="false">I8+I10+I24</f>
        <v>16287.3682772134</v>
      </c>
      <c r="J11" s="0" t="n">
        <f aca="false">J8+J10+J24</f>
        <v>16613.1156427577</v>
      </c>
      <c r="K11" s="0" t="n">
        <f aca="false">K8+K10+K24</f>
        <v>16945.3779556129</v>
      </c>
      <c r="L11" s="0" t="n">
        <f aca="false">L8+L10+L24</f>
        <v>17284.2855147251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-10628.71434</v>
      </c>
      <c r="D12" s="4" t="n">
        <f aca="false">-D6*Assumptions!D17/100</f>
        <v>-10735.0014834</v>
      </c>
      <c r="E12" s="4" t="n">
        <f aca="false">-E6*Assumptions!E17/100</f>
        <v>-10520.301453732</v>
      </c>
      <c r="F12" s="4" t="n">
        <f aca="false">-F6*Assumptions!F17/100</f>
        <v>-10625.5044682693</v>
      </c>
      <c r="G12" s="4" t="n">
        <f aca="false">-G6*Assumptions!G17/100</f>
        <v>-10838.0145576347</v>
      </c>
      <c r="H12" s="4" t="n">
        <f aca="false">-H6*Assumptions!H17/100</f>
        <v>-11054.7748487874</v>
      </c>
      <c r="I12" s="4" t="n">
        <f aca="false">-I6*Assumptions!I17/100</f>
        <v>-11275.8703457631</v>
      </c>
      <c r="J12" s="4" t="n">
        <f aca="false">-J6*Assumptions!J17/100</f>
        <v>-11501.3877526784</v>
      </c>
      <c r="K12" s="4" t="n">
        <f aca="false">-K6*Assumptions!K17/100</f>
        <v>-11731.415507732</v>
      </c>
      <c r="L12" s="4" t="n">
        <f aca="false">-L6*Assumptions!L17/100</f>
        <v>-11966.0438178866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5904.8413</v>
      </c>
      <c r="D13" s="0" t="n">
        <f aca="false">D11+D12</f>
        <v>4771.1117704</v>
      </c>
      <c r="E13" s="0" t="n">
        <f aca="false">E11+E12</f>
        <v>3506.767151244</v>
      </c>
      <c r="F13" s="0" t="n">
        <f aca="false">F11+F12</f>
        <v>3541.83482275644</v>
      </c>
      <c r="G13" s="0" t="n">
        <f aca="false">G11+G12</f>
        <v>4094.36105510645</v>
      </c>
      <c r="H13" s="0" t="n">
        <f aca="false">H11+H12</f>
        <v>4913.23326612773</v>
      </c>
      <c r="I13" s="0" t="n">
        <f aca="false">I11+I12</f>
        <v>5011.49793145029</v>
      </c>
      <c r="J13" s="0" t="n">
        <f aca="false">J11+J12</f>
        <v>5111.7278900793</v>
      </c>
      <c r="K13" s="0" t="n">
        <f aca="false">K11+K12</f>
        <v>5213.96244788088</v>
      </c>
      <c r="L13" s="0" t="n">
        <f aca="false">L11+L12</f>
        <v>5318.2416968385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18</v>
      </c>
      <c r="D14" s="4" t="n">
        <f aca="false">Assumptions!D19</f>
        <v>18</v>
      </c>
      <c r="E14" s="4" t="n">
        <f aca="false">Assumptions!E19</f>
        <v>18</v>
      </c>
      <c r="F14" s="4" t="n">
        <f aca="false">Assumptions!F19</f>
        <v>18</v>
      </c>
      <c r="G14" s="4" t="n">
        <f aca="false">Assumptions!G19</f>
        <v>18</v>
      </c>
      <c r="H14" s="4" t="n">
        <f aca="false">Assumptions!H19</f>
        <v>18</v>
      </c>
      <c r="I14" s="4" t="n">
        <f aca="false">Assumptions!I19</f>
        <v>18</v>
      </c>
      <c r="J14" s="4" t="n">
        <f aca="false">Assumptions!J19</f>
        <v>18</v>
      </c>
      <c r="K14" s="4" t="n">
        <f aca="false">Assumptions!K19</f>
        <v>18</v>
      </c>
      <c r="L14" s="4" t="n">
        <f aca="false">Assumptions!L19</f>
        <v>18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4841.969866</v>
      </c>
      <c r="D15" s="0" t="n">
        <f aca="false">D13-MAX(0,D13)*D14/100</f>
        <v>3912.311651728</v>
      </c>
      <c r="E15" s="0" t="n">
        <f aca="false">E13-MAX(0,E13)*E14/100</f>
        <v>2875.54906402008</v>
      </c>
      <c r="F15" s="0" t="n">
        <f aca="false">F13-MAX(0,F13)*F14/100</f>
        <v>2904.30455466028</v>
      </c>
      <c r="G15" s="0" t="n">
        <f aca="false">G13-MAX(0,G13)*G14/100</f>
        <v>3357.37606518729</v>
      </c>
      <c r="H15" s="0" t="n">
        <f aca="false">H13-MAX(0,H13)*H14/100</f>
        <v>4028.85127822474</v>
      </c>
      <c r="I15" s="0" t="n">
        <f aca="false">I13-MAX(0,I13)*I14/100</f>
        <v>4109.42830378924</v>
      </c>
      <c r="J15" s="0" t="n">
        <f aca="false">J13-MAX(0,J13)*J14/100</f>
        <v>4191.61686986502</v>
      </c>
      <c r="K15" s="0" t="n">
        <f aca="false">K13-MAX(0,K13)*K14/100</f>
        <v>4275.44920726232</v>
      </c>
      <c r="L15" s="0" t="n">
        <f aca="false">L13-MAX(0,L13)*L14/100</f>
        <v>4360.95819140757</v>
      </c>
    </row>
    <row r="16" customFormat="false" ht="15" hidden="false" customHeight="false" outlineLevel="0" collapsed="false">
      <c r="A16" s="0" t="s">
        <v>117</v>
      </c>
      <c r="C16" s="0" t="n">
        <f aca="false">-C12</f>
        <v>10628.71434</v>
      </c>
      <c r="D16" s="0" t="n">
        <f aca="false">-D12</f>
        <v>10735.0014834</v>
      </c>
      <c r="E16" s="0" t="n">
        <f aca="false">-E12</f>
        <v>10520.301453732</v>
      </c>
      <c r="F16" s="0" t="n">
        <f aca="false">-F12</f>
        <v>10625.5044682693</v>
      </c>
      <c r="G16" s="0" t="n">
        <f aca="false">-G12</f>
        <v>10838.0145576347</v>
      </c>
      <c r="H16" s="0" t="n">
        <f aca="false">-H12</f>
        <v>11054.7748487874</v>
      </c>
      <c r="I16" s="0" t="n">
        <f aca="false">-I12</f>
        <v>11275.8703457631</v>
      </c>
      <c r="J16" s="0" t="n">
        <f aca="false">-J12</f>
        <v>11501.3877526784</v>
      </c>
      <c r="K16" s="0" t="n">
        <f aca="false">-K12</f>
        <v>11731.415507732</v>
      </c>
      <c r="L16" s="0" t="n">
        <f aca="false">-L12</f>
        <v>11966.0438178866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-12754.457208</v>
      </c>
      <c r="D17" s="4" t="n">
        <f aca="false">-D6*Assumptions!D18/100</f>
        <v>-12643.44619156</v>
      </c>
      <c r="E17" s="4" t="n">
        <f aca="false">-E6*Assumptions!E18/100</f>
        <v>-12156.7927909792</v>
      </c>
      <c r="F17" s="4" t="n">
        <f aca="false">-F6*Assumptions!F18/100</f>
        <v>-11806.1160758548</v>
      </c>
      <c r="G17" s="4" t="n">
        <f aca="false">-G6*Assumptions!G18/100</f>
        <v>-12042.2383973719</v>
      </c>
      <c r="H17" s="4" t="n">
        <f aca="false">-H6*Assumptions!H18/100</f>
        <v>-12283.0831653193</v>
      </c>
      <c r="I17" s="4" t="n">
        <f aca="false">-I6*Assumptions!I18/100</f>
        <v>-12528.7448286257</v>
      </c>
      <c r="J17" s="4" t="n">
        <f aca="false">-J6*Assumptions!J18/100</f>
        <v>-12779.3197251982</v>
      </c>
      <c r="K17" s="4" t="n">
        <f aca="false">-K6*Assumptions!K18/100</f>
        <v>-13034.9061197022</v>
      </c>
      <c r="L17" s="4" t="n">
        <f aca="false">-L6*Assumptions!L18/100</f>
        <v>-13295.6042420962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2716.226998</v>
      </c>
      <c r="D19" s="0" t="n">
        <f aca="false">D15+D16+D17+D18</f>
        <v>2003.866943568</v>
      </c>
      <c r="E19" s="0" t="n">
        <f aca="false">E15+E16+E17+E18</f>
        <v>1239.05772677288</v>
      </c>
      <c r="F19" s="0" t="n">
        <f aca="false">F15+F16+F17+F18</f>
        <v>1723.6929470748</v>
      </c>
      <c r="G19" s="0" t="n">
        <f aca="false">G15+G16+G17+G18</f>
        <v>2153.1522254501</v>
      </c>
      <c r="H19" s="0" t="n">
        <f aca="false">H15+H16+H17+H18</f>
        <v>2800.54296169281</v>
      </c>
      <c r="I19" s="0" t="n">
        <f aca="false">I15+I16+I17+I18</f>
        <v>2856.55382092667</v>
      </c>
      <c r="J19" s="0" t="n">
        <f aca="false">J15+J16+J17+J18</f>
        <v>2913.6848973452</v>
      </c>
      <c r="K19" s="0" t="n">
        <f aca="false">K15+K16+K17+K18</f>
        <v>2971.9585952921</v>
      </c>
      <c r="L19" s="0" t="n">
        <f aca="false">L15+L16+L17+L18</f>
        <v>3031.39776719794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2469.29727090909</v>
      </c>
      <c r="D21" s="0" t="n">
        <f aca="false">D19*D20</f>
        <v>1656.08838311405</v>
      </c>
      <c r="E21" s="0" t="n">
        <f aca="false">E19*E20</f>
        <v>930.922409295927</v>
      </c>
      <c r="F21" s="0" t="n">
        <f aca="false">F19*F20</f>
        <v>1177.30547576996</v>
      </c>
      <c r="G21" s="0" t="n">
        <f aca="false">G19*G20</f>
        <v>1336.93812857424</v>
      </c>
      <c r="H21" s="0" t="n">
        <f aca="false">H19*H20</f>
        <v>1580.83349187118</v>
      </c>
      <c r="I21" s="0" t="n">
        <f aca="false">I19*I20</f>
        <v>1465.86378337146</v>
      </c>
      <c r="J21" s="0" t="n">
        <f aca="false">J19*J20</f>
        <v>1359.25550821717</v>
      </c>
      <c r="K21" s="0" t="n">
        <f aca="false">K19*K20</f>
        <v>1260.40056216501</v>
      </c>
      <c r="L21" s="0" t="n">
        <f aca="false">L19*L20</f>
        <v>1168.73506673483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0.9</v>
      </c>
      <c r="D23" s="4" t="n">
        <f aca="false">Assumptions!D16</f>
        <v>0.9</v>
      </c>
      <c r="E23" s="4" t="n">
        <f aca="false">Assumptions!E16</f>
        <v>0.9</v>
      </c>
      <c r="F23" s="4" t="n">
        <f aca="false">Assumptions!F16</f>
        <v>0.9</v>
      </c>
      <c r="G23" s="4" t="n">
        <f aca="false">Assumptions!G16</f>
        <v>0.9</v>
      </c>
      <c r="H23" s="4" t="n">
        <f aca="false">Assumptions!H16</f>
        <v>0.9</v>
      </c>
      <c r="I23" s="4" t="n">
        <f aca="false">Assumptions!I16</f>
        <v>0.9</v>
      </c>
      <c r="J23" s="4" t="n">
        <f aca="false">Assumptions!J16</f>
        <v>0.9</v>
      </c>
      <c r="K23" s="4" t="n">
        <f aca="false">Assumptions!K16</f>
        <v>0.9</v>
      </c>
      <c r="L23" s="4" t="n">
        <f aca="false">Assumptions!L16</f>
        <v>0.9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-2125.742868</v>
      </c>
      <c r="D24" s="0" t="n">
        <f aca="false">-D6*D23/100</f>
        <v>-2147.00029668</v>
      </c>
      <c r="E24" s="0" t="n">
        <f aca="false">-E6*E23/100</f>
        <v>-2104.0602907464</v>
      </c>
      <c r="F24" s="0" t="n">
        <f aca="false">-F6*F23/100</f>
        <v>-2125.10089365386</v>
      </c>
      <c r="G24" s="0" t="n">
        <f aca="false">-G6*G23/100</f>
        <v>-2167.60291152694</v>
      </c>
      <c r="H24" s="0" t="n">
        <f aca="false">-H6*H23/100</f>
        <v>-2210.95496975748</v>
      </c>
      <c r="I24" s="0" t="n">
        <f aca="false">-I6*I23/100</f>
        <v>-2255.17406915263</v>
      </c>
      <c r="J24" s="0" t="n">
        <f aca="false">-J6*J23/100</f>
        <v>-2300.27755053568</v>
      </c>
      <c r="K24" s="0" t="n">
        <f aca="false">-K6*K23/100</f>
        <v>-2346.2831015464</v>
      </c>
      <c r="L24" s="0" t="n">
        <f aca="false">-L6*L23/100</f>
        <v>-2393.20876357732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14405.6400800229</v>
      </c>
    </row>
    <row r="31" customFormat="false" ht="15" hidden="false" customHeight="false" outlineLevel="0" collapsed="false">
      <c r="A31" s="0" t="s">
        <v>126</v>
      </c>
      <c r="B31" s="0" t="n">
        <f aca="false">L19</f>
        <v>3031.39776719794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36198.4556906578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36376.7732063753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36198.4556906578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13956.0716792453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28361.7117592683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80950.3117592683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11.1105297947279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0.57708016958523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1497.91015201627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1224.21681396889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11.4841450669032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22791.6202496734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9.58033742331301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9</v>
      </c>
      <c r="D5" s="4" t="n">
        <f aca="false">Assumptions!D27</f>
        <v>6</v>
      </c>
      <c r="E5" s="4" t="n">
        <f aca="false">Assumptions!E27</f>
        <v>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222824.2</v>
      </c>
      <c r="C6" s="0" t="n">
        <f aca="false">B6*(1+C5/100)</f>
        <v>242878.378</v>
      </c>
      <c r="D6" s="0" t="n">
        <f aca="false">C6*(1+D5/100)</f>
        <v>257451.08068</v>
      </c>
      <c r="E6" s="0" t="n">
        <f aca="false">D6*(1+E5/100)</f>
        <v>270323.634714</v>
      </c>
      <c r="F6" s="0" t="n">
        <f aca="false">E6*(1+F5/100)</f>
        <v>281136.58010256</v>
      </c>
      <c r="G6" s="0" t="n">
        <f aca="false">F6*(1+G5/100)</f>
        <v>292382.043306662</v>
      </c>
      <c r="H6" s="0" t="n">
        <f aca="false">G6*(1+H5/100)</f>
        <v>302615.414822396</v>
      </c>
      <c r="I6" s="0" t="n">
        <f aca="false">H6*(1+I5/100)</f>
        <v>311693.877267068</v>
      </c>
      <c r="J6" s="0" t="n">
        <f aca="false">I6*(1+J5/100)</f>
        <v>321044.69358508</v>
      </c>
      <c r="K6" s="0" t="n">
        <f aca="false">J6*(1+K5/100)</f>
        <v>329070.810924707</v>
      </c>
      <c r="L6" s="0" t="n">
        <f aca="false">K6*(1+L5/100)</f>
        <v>337297.581197824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8.6</v>
      </c>
      <c r="D7" s="4" t="n">
        <f aca="false">Assumptions!D28</f>
        <v>9</v>
      </c>
      <c r="E7" s="4" t="n">
        <f aca="false">Assumptions!E28</f>
        <v>9.3</v>
      </c>
      <c r="F7" s="4" t="n">
        <f aca="false">Assumptions!F28</f>
        <v>9.5</v>
      </c>
      <c r="G7" s="4" t="n">
        <f aca="false">Assumptions!G28</f>
        <v>9.5</v>
      </c>
      <c r="H7" s="4" t="n">
        <f aca="false">Assumptions!H28</f>
        <v>9.5</v>
      </c>
      <c r="I7" s="4" t="n">
        <f aca="false">Assumptions!I28</f>
        <v>9.5</v>
      </c>
      <c r="J7" s="4" t="n">
        <f aca="false">Assumptions!J28</f>
        <v>9.5</v>
      </c>
      <c r="K7" s="4" t="n">
        <f aca="false">Assumptions!K28</f>
        <v>9.5</v>
      </c>
      <c r="L7" s="4" t="n">
        <f aca="false">Assumptions!L28</f>
        <v>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20887.540508</v>
      </c>
      <c r="D8" s="0" t="n">
        <f aca="false">D6*D7/100</f>
        <v>23170.5972612</v>
      </c>
      <c r="E8" s="0" t="n">
        <f aca="false">E6*E7/100</f>
        <v>25140.098028402</v>
      </c>
      <c r="F8" s="0" t="n">
        <f aca="false">F6*F7/100</f>
        <v>26707.9751097432</v>
      </c>
      <c r="G8" s="0" t="n">
        <f aca="false">G6*G7/100</f>
        <v>27776.2941141329</v>
      </c>
      <c r="H8" s="0" t="n">
        <f aca="false">H6*H7/100</f>
        <v>28748.4644081276</v>
      </c>
      <c r="I8" s="0" t="n">
        <f aca="false">I6*I7/100</f>
        <v>29610.9183403714</v>
      </c>
      <c r="J8" s="0" t="n">
        <f aca="false">J6*J7/100</f>
        <v>30499.2458905826</v>
      </c>
      <c r="K8" s="0" t="n">
        <f aca="false">K6*K7/100</f>
        <v>31261.7270378471</v>
      </c>
      <c r="L8" s="0" t="n">
        <f aca="false">L6*L7/100</f>
        <v>32043.2702137933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-242.878378</v>
      </c>
      <c r="D10" s="0" t="n">
        <f aca="false">-D6*D9/100</f>
        <v>-257.45108068</v>
      </c>
      <c r="E10" s="0" t="n">
        <f aca="false">-E6*E9/100</f>
        <v>-270.323634714</v>
      </c>
      <c r="F10" s="0" t="n">
        <f aca="false">-F6*F9/100</f>
        <v>-281.13658010256</v>
      </c>
      <c r="G10" s="0" t="n">
        <f aca="false">-G6*G9/100</f>
        <v>-292.382043306662</v>
      </c>
      <c r="H10" s="0" t="n">
        <f aca="false">-H6*H9/100</f>
        <v>-302.615414822396</v>
      </c>
      <c r="I10" s="0" t="n">
        <f aca="false">-I6*I9/100</f>
        <v>-311.693877267068</v>
      </c>
      <c r="J10" s="0" t="n">
        <f aca="false">-J6*J9/100</f>
        <v>-321.04469358508</v>
      </c>
      <c r="K10" s="0" t="n">
        <f aca="false">-K6*K9/100</f>
        <v>-329.070810924707</v>
      </c>
      <c r="L10" s="0" t="n">
        <f aca="false">-L6*L9/100</f>
        <v>-337.297581197824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18458.756728</v>
      </c>
      <c r="D11" s="0" t="n">
        <f aca="false">D8+D10+D24</f>
        <v>20596.0864544</v>
      </c>
      <c r="E11" s="0" t="n">
        <f aca="false">E8+E10+E24</f>
        <v>22436.861681262</v>
      </c>
      <c r="F11" s="0" t="n">
        <f aca="false">F8+F10+F24</f>
        <v>23896.6093087176</v>
      </c>
      <c r="G11" s="0" t="n">
        <f aca="false">G8+G10+G24</f>
        <v>24852.4736810663</v>
      </c>
      <c r="H11" s="0" t="n">
        <f aca="false">H8+H10+H24</f>
        <v>25722.3102599036</v>
      </c>
      <c r="I11" s="0" t="n">
        <f aca="false">I8+I10+I24</f>
        <v>26493.9795677007</v>
      </c>
      <c r="J11" s="0" t="n">
        <f aca="false">J8+J10+J24</f>
        <v>27288.7989547318</v>
      </c>
      <c r="K11" s="0" t="n">
        <f aca="false">K8+K10+K24</f>
        <v>27971.0189286001</v>
      </c>
      <c r="L11" s="0" t="n">
        <f aca="false">L8+L10+L24</f>
        <v>28670.2944018151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-10929.52701</v>
      </c>
      <c r="D12" s="4" t="n">
        <f aca="false">-D6*Assumptions!D31/100</f>
        <v>-11585.2986306</v>
      </c>
      <c r="E12" s="4" t="n">
        <f aca="false">-E6*Assumptions!E31/100</f>
        <v>-12164.56356213</v>
      </c>
      <c r="F12" s="4" t="n">
        <f aca="false">-F6*Assumptions!F31/100</f>
        <v>-12651.1461046152</v>
      </c>
      <c r="G12" s="4" t="n">
        <f aca="false">-G6*Assumptions!G31/100</f>
        <v>-13157.1919487998</v>
      </c>
      <c r="H12" s="4" t="n">
        <f aca="false">-H6*Assumptions!H31/100</f>
        <v>-13617.6936670078</v>
      </c>
      <c r="I12" s="4" t="n">
        <f aca="false">-I6*Assumptions!I31/100</f>
        <v>-14026.224477018</v>
      </c>
      <c r="J12" s="4" t="n">
        <f aca="false">-J6*Assumptions!J31/100</f>
        <v>-14447.0112113286</v>
      </c>
      <c r="K12" s="4" t="n">
        <f aca="false">-K6*Assumptions!K31/100</f>
        <v>-14808.1864916118</v>
      </c>
      <c r="L12" s="4" t="n">
        <f aca="false">-L6*Assumptions!L31/100</f>
        <v>-15178.3911539021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7529.229718</v>
      </c>
      <c r="D13" s="0" t="n">
        <f aca="false">D11+D12</f>
        <v>9010.7878238</v>
      </c>
      <c r="E13" s="0" t="n">
        <f aca="false">E11+E12</f>
        <v>10272.298119132</v>
      </c>
      <c r="F13" s="0" t="n">
        <f aca="false">F11+F12</f>
        <v>11245.4632041024</v>
      </c>
      <c r="G13" s="0" t="n">
        <f aca="false">G11+G12</f>
        <v>11695.2817322665</v>
      </c>
      <c r="H13" s="0" t="n">
        <f aca="false">H11+H12</f>
        <v>12104.6165928958</v>
      </c>
      <c r="I13" s="0" t="n">
        <f aca="false">I11+I12</f>
        <v>12467.7550906827</v>
      </c>
      <c r="J13" s="0" t="n">
        <f aca="false">J11+J12</f>
        <v>12841.7877434032</v>
      </c>
      <c r="K13" s="0" t="n">
        <f aca="false">K11+K12</f>
        <v>13162.8324369883</v>
      </c>
      <c r="L13" s="0" t="n">
        <f aca="false">L11+L12</f>
        <v>13491.903247913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18</v>
      </c>
      <c r="D14" s="4" t="n">
        <f aca="false">Assumptions!D33</f>
        <v>18</v>
      </c>
      <c r="E14" s="4" t="n">
        <f aca="false">Assumptions!E33</f>
        <v>18</v>
      </c>
      <c r="F14" s="4" t="n">
        <f aca="false">Assumptions!F33</f>
        <v>18</v>
      </c>
      <c r="G14" s="4" t="n">
        <f aca="false">Assumptions!G33</f>
        <v>18</v>
      </c>
      <c r="H14" s="4" t="n">
        <f aca="false">Assumptions!H33</f>
        <v>18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6173.96836876</v>
      </c>
      <c r="D15" s="0" t="n">
        <f aca="false">D13-MAX(0,D13)*D14/100</f>
        <v>7388.846015516</v>
      </c>
      <c r="E15" s="0" t="n">
        <f aca="false">E13-MAX(0,E13)*E14/100</f>
        <v>8423.28445768824</v>
      </c>
      <c r="F15" s="0" t="n">
        <f aca="false">F13-MAX(0,F13)*F14/100</f>
        <v>9221.27982736397</v>
      </c>
      <c r="G15" s="0" t="n">
        <f aca="false">G13-MAX(0,G13)*G14/100</f>
        <v>9590.13102045853</v>
      </c>
      <c r="H15" s="0" t="n">
        <f aca="false">H13-MAX(0,H13)*H14/100</f>
        <v>9925.78560617458</v>
      </c>
      <c r="I15" s="0" t="n">
        <f aca="false">I13-MAX(0,I13)*I14/100</f>
        <v>10223.5591743598</v>
      </c>
      <c r="J15" s="0" t="n">
        <f aca="false">J13-MAX(0,J13)*J14/100</f>
        <v>10530.2659495906</v>
      </c>
      <c r="K15" s="0" t="n">
        <f aca="false">K13-MAX(0,K13)*K14/100</f>
        <v>10793.5225983304</v>
      </c>
      <c r="L15" s="0" t="n">
        <f aca="false">L13-MAX(0,L13)*L14/100</f>
        <v>11063.3606632886</v>
      </c>
    </row>
    <row r="16" customFormat="false" ht="15" hidden="false" customHeight="false" outlineLevel="0" collapsed="false">
      <c r="A16" s="0" t="s">
        <v>117</v>
      </c>
      <c r="C16" s="0" t="n">
        <f aca="false">-C12</f>
        <v>10929.52701</v>
      </c>
      <c r="D16" s="0" t="n">
        <f aca="false">-D12</f>
        <v>11585.2986306</v>
      </c>
      <c r="E16" s="0" t="n">
        <f aca="false">-E12</f>
        <v>12164.56356213</v>
      </c>
      <c r="F16" s="0" t="n">
        <f aca="false">-F12</f>
        <v>12651.1461046152</v>
      </c>
      <c r="G16" s="0" t="n">
        <f aca="false">-G12</f>
        <v>13157.1919487998</v>
      </c>
      <c r="H16" s="0" t="n">
        <f aca="false">-H12</f>
        <v>13617.6936670078</v>
      </c>
      <c r="I16" s="0" t="n">
        <f aca="false">-I12</f>
        <v>14026.224477018</v>
      </c>
      <c r="J16" s="0" t="n">
        <f aca="false">-J12</f>
        <v>14447.0112113286</v>
      </c>
      <c r="K16" s="0" t="n">
        <f aca="false">-K12</f>
        <v>14808.1864916118</v>
      </c>
      <c r="L16" s="0" t="n">
        <f aca="false">-L12</f>
        <v>15178.3911539021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-13115.432412</v>
      </c>
      <c r="D17" s="4" t="n">
        <f aca="false">-D6*Assumptions!D32/100</f>
        <v>-13644.90727604</v>
      </c>
      <c r="E17" s="4" t="n">
        <f aca="false">-E6*Assumptions!E32/100</f>
        <v>-14056.829005128</v>
      </c>
      <c r="F17" s="4" t="n">
        <f aca="false">-F6*Assumptions!F32/100</f>
        <v>-14056.829005128</v>
      </c>
      <c r="G17" s="4" t="n">
        <f aca="false">-G6*Assumptions!G32/100</f>
        <v>-14619.1021653331</v>
      </c>
      <c r="H17" s="4" t="n">
        <f aca="false">-H6*Assumptions!H32/100</f>
        <v>-14828.1553262974</v>
      </c>
      <c r="I17" s="4" t="n">
        <f aca="false">-I6*Assumptions!I32/100</f>
        <v>-15272.9999860863</v>
      </c>
      <c r="J17" s="4" t="n">
        <f aca="false">-J6*Assumptions!J32/100</f>
        <v>-15410.1452920838</v>
      </c>
      <c r="K17" s="4" t="n">
        <f aca="false">-K6*Assumptions!K32/100</f>
        <v>-15795.3989243859</v>
      </c>
      <c r="L17" s="4" t="n">
        <f aca="false">-L6*Assumptions!L32/100</f>
        <v>-16190.2838974956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3988.06296676</v>
      </c>
      <c r="D19" s="0" t="n">
        <f aca="false">D15+D16+D17+D18</f>
        <v>5329.237370076</v>
      </c>
      <c r="E19" s="0" t="n">
        <f aca="false">E15+E16+E17+E18</f>
        <v>6531.01901469024</v>
      </c>
      <c r="F19" s="0" t="n">
        <f aca="false">F15+F16+F17+F18</f>
        <v>7815.59692685117</v>
      </c>
      <c r="G19" s="0" t="n">
        <f aca="false">G15+G16+G17+G18</f>
        <v>8128.22080392522</v>
      </c>
      <c r="H19" s="0" t="n">
        <f aca="false">H15+H16+H17+H18</f>
        <v>8715.323946885</v>
      </c>
      <c r="I19" s="0" t="n">
        <f aca="false">I15+I16+I17+I18</f>
        <v>8976.78366529154</v>
      </c>
      <c r="J19" s="0" t="n">
        <f aca="false">J15+J16+J17+J18</f>
        <v>9567.13186883537</v>
      </c>
      <c r="K19" s="0" t="n">
        <f aca="false">K15+K16+K17+K18</f>
        <v>9806.31016555625</v>
      </c>
      <c r="L19" s="0" t="n">
        <f aca="false">L15+L16+L17+L18</f>
        <v>10051.4679196952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3625.51178796364</v>
      </c>
      <c r="D21" s="0" t="n">
        <f aca="false">D19*D20</f>
        <v>4404.32840502149</v>
      </c>
      <c r="E21" s="0" t="n">
        <f aca="false">E19*E20</f>
        <v>4906.85125070642</v>
      </c>
      <c r="F21" s="0" t="n">
        <f aca="false">F19*F20</f>
        <v>5338.15786274924</v>
      </c>
      <c r="G21" s="0" t="n">
        <f aca="false">G19*G20</f>
        <v>5046.98561569019</v>
      </c>
      <c r="H21" s="0" t="n">
        <f aca="false">H19*H20</f>
        <v>4919.57315998997</v>
      </c>
      <c r="I21" s="0" t="n">
        <f aca="false">I19*I20</f>
        <v>4606.50941344515</v>
      </c>
      <c r="J21" s="0" t="n">
        <f aca="false">J19*J20</f>
        <v>4463.13762425144</v>
      </c>
      <c r="K21" s="0" t="n">
        <f aca="false">K19*K20</f>
        <v>4158.83278623429</v>
      </c>
      <c r="L21" s="0" t="n">
        <f aca="false">L19*L20</f>
        <v>3875.27600535468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0.9</v>
      </c>
      <c r="D23" s="4" t="n">
        <f aca="false">Assumptions!D30</f>
        <v>0.9</v>
      </c>
      <c r="E23" s="4" t="n">
        <f aca="false">Assumptions!E30</f>
        <v>0.9</v>
      </c>
      <c r="F23" s="4" t="n">
        <f aca="false">Assumptions!F30</f>
        <v>0.9</v>
      </c>
      <c r="G23" s="4" t="n">
        <f aca="false">Assumptions!G30</f>
        <v>0.9</v>
      </c>
      <c r="H23" s="4" t="n">
        <f aca="false">Assumptions!H30</f>
        <v>0.9</v>
      </c>
      <c r="I23" s="4" t="n">
        <f aca="false">Assumptions!I30</f>
        <v>0.9</v>
      </c>
      <c r="J23" s="4" t="n">
        <f aca="false">Assumptions!J30</f>
        <v>0.9</v>
      </c>
      <c r="K23" s="4" t="n">
        <f aca="false">Assumptions!K30</f>
        <v>0.9</v>
      </c>
      <c r="L23" s="4" t="n">
        <f aca="false">Assumptions!L30</f>
        <v>0.9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-2185.905402</v>
      </c>
      <c r="D24" s="0" t="n">
        <f aca="false">-D6*D23/100</f>
        <v>-2317.05972612</v>
      </c>
      <c r="E24" s="0" t="n">
        <f aca="false">-E6*E23/100</f>
        <v>-2432.912712426</v>
      </c>
      <c r="F24" s="0" t="n">
        <f aca="false">-F6*F23/100</f>
        <v>-2530.22922092304</v>
      </c>
      <c r="G24" s="0" t="n">
        <f aca="false">-G6*G23/100</f>
        <v>-2631.43838975996</v>
      </c>
      <c r="H24" s="0" t="n">
        <f aca="false">-H6*H23/100</f>
        <v>-2723.53873340156</v>
      </c>
      <c r="I24" s="0" t="n">
        <f aca="false">-I6*I23/100</f>
        <v>-2805.24489540361</v>
      </c>
      <c r="J24" s="0" t="n">
        <f aca="false">-J6*J23/100</f>
        <v>-2889.40224226572</v>
      </c>
      <c r="K24" s="0" t="n">
        <f aca="false">-K6*K23/100</f>
        <v>-2961.63729832236</v>
      </c>
      <c r="L24" s="0" t="n">
        <f aca="false">-L6*L23/100</f>
        <v>-3035.67823078042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45345.1639114065</v>
      </c>
    </row>
    <row r="31" customFormat="false" ht="15" hidden="false" customHeight="false" outlineLevel="0" collapsed="false">
      <c r="A31" s="0" t="s">
        <v>126</v>
      </c>
      <c r="B31" s="0" t="n">
        <f aca="false">L19</f>
        <v>10051.4679196952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128156.215976113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120617.615036342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120617.615036342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46503.3120642562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91848.4759756627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144437.075975663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19.8241662226489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1.81393416929012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1760.36991470542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1658.04594188833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20.2933480009526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78865.3636776082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14.8130715975462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12</v>
      </c>
      <c r="D5" s="4" t="n">
        <f aca="false">Assumptions!D41</f>
        <v>9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222824.2</v>
      </c>
      <c r="C6" s="0" t="n">
        <f aca="false">B6*(1+C5/100)</f>
        <v>249563.104</v>
      </c>
      <c r="D6" s="0" t="n">
        <f aca="false">C6*(1+D5/100)</f>
        <v>272023.78336</v>
      </c>
      <c r="E6" s="0" t="n">
        <f aca="false">D6*(1+E5/100)</f>
        <v>291065.4481952</v>
      </c>
      <c r="F6" s="0" t="n">
        <f aca="false">E6*(1+F5/100)</f>
        <v>308529.375086912</v>
      </c>
      <c r="G6" s="0" t="n">
        <f aca="false">F6*(1+G5/100)</f>
        <v>323955.843841258</v>
      </c>
      <c r="H6" s="0" t="n">
        <f aca="false">G6*(1+H5/100)</f>
        <v>338533.856814114</v>
      </c>
      <c r="I6" s="0" t="n">
        <f aca="false">H6*(1+I5/100)</f>
        <v>352075.211086679</v>
      </c>
      <c r="J6" s="0" t="n">
        <f aca="false">I6*(1+J5/100)</f>
        <v>364397.843474713</v>
      </c>
      <c r="K6" s="0" t="n">
        <f aca="false">J6*(1+K5/100)</f>
        <v>375329.778778954</v>
      </c>
      <c r="L6" s="0" t="n">
        <f aca="false">K6*(1+L5/100)</f>
        <v>386589.672142323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9.2</v>
      </c>
      <c r="D7" s="4" t="n">
        <f aca="false">Assumptions!D42</f>
        <v>10</v>
      </c>
      <c r="E7" s="4" t="n">
        <f aca="false">Assumptions!E42</f>
        <v>10.5</v>
      </c>
      <c r="F7" s="4" t="n">
        <f aca="false">Assumptions!F42</f>
        <v>11</v>
      </c>
      <c r="G7" s="4" t="n">
        <f aca="false">Assumptions!G42</f>
        <v>11</v>
      </c>
      <c r="H7" s="4" t="n">
        <f aca="false">Assumptions!H42</f>
        <v>11</v>
      </c>
      <c r="I7" s="4" t="n">
        <f aca="false">Assumptions!I42</f>
        <v>11</v>
      </c>
      <c r="J7" s="4" t="n">
        <f aca="false">Assumptions!J42</f>
        <v>11</v>
      </c>
      <c r="K7" s="4" t="n">
        <f aca="false">Assumptions!K42</f>
        <v>11</v>
      </c>
      <c r="L7" s="4" t="n">
        <f aca="false">Assumptions!L42</f>
        <v>11</v>
      </c>
    </row>
    <row r="8" customFormat="false" ht="15" hidden="false" customHeight="false" outlineLevel="0" collapsed="false">
      <c r="A8" s="0" t="s">
        <v>44</v>
      </c>
      <c r="C8" s="0" t="n">
        <f aca="false">C6*C7/100</f>
        <v>22959.805568</v>
      </c>
      <c r="D8" s="0" t="n">
        <f aca="false">D6*D7/100</f>
        <v>27202.378336</v>
      </c>
      <c r="E8" s="0" t="n">
        <f aca="false">E6*E7/100</f>
        <v>30561.872060496</v>
      </c>
      <c r="F8" s="0" t="n">
        <f aca="false">F6*F7/100</f>
        <v>33938.2312595603</v>
      </c>
      <c r="G8" s="0" t="n">
        <f aca="false">G6*G7/100</f>
        <v>35635.1428225383</v>
      </c>
      <c r="H8" s="0" t="n">
        <f aca="false">H6*H7/100</f>
        <v>37238.7242495526</v>
      </c>
      <c r="I8" s="0" t="n">
        <f aca="false">I6*I7/100</f>
        <v>38728.2732195347</v>
      </c>
      <c r="J8" s="0" t="n">
        <f aca="false">J6*J7/100</f>
        <v>40083.7627822184</v>
      </c>
      <c r="K8" s="0" t="n">
        <f aca="false">K6*K7/100</f>
        <v>41286.2756656849</v>
      </c>
      <c r="L8" s="0" t="n">
        <f aca="false">L6*L7/100</f>
        <v>42524.8639356555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-249.563104</v>
      </c>
      <c r="D10" s="0" t="n">
        <f aca="false">-D6*D9/100</f>
        <v>-272.02378336</v>
      </c>
      <c r="E10" s="0" t="n">
        <f aca="false">-E6*E9/100</f>
        <v>-291.0654481952</v>
      </c>
      <c r="F10" s="0" t="n">
        <f aca="false">-F6*F9/100</f>
        <v>-308.529375086912</v>
      </c>
      <c r="G10" s="0" t="n">
        <f aca="false">-G6*G9/100</f>
        <v>-323.955843841258</v>
      </c>
      <c r="H10" s="0" t="n">
        <f aca="false">-H6*H9/100</f>
        <v>-338.533856814114</v>
      </c>
      <c r="I10" s="0" t="n">
        <f aca="false">-I6*I9/100</f>
        <v>-352.075211086679</v>
      </c>
      <c r="J10" s="0" t="n">
        <f aca="false">-J6*J9/100</f>
        <v>-364.397843474713</v>
      </c>
      <c r="K10" s="0" t="n">
        <f aca="false">-K6*K9/100</f>
        <v>-375.329778778954</v>
      </c>
      <c r="L10" s="0" t="n">
        <f aca="false">-L6*L9/100</f>
        <v>-386.589672142323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20464.174528</v>
      </c>
      <c r="D11" s="0" t="n">
        <f aca="false">D8+D10+D24</f>
        <v>24482.1405024</v>
      </c>
      <c r="E11" s="0" t="n">
        <f aca="false">E8+E10+E24</f>
        <v>27651.217578544</v>
      </c>
      <c r="F11" s="0" t="n">
        <f aca="false">F8+F10+F24</f>
        <v>30852.9375086912</v>
      </c>
      <c r="G11" s="0" t="n">
        <f aca="false">G8+G10+G24</f>
        <v>32395.5843841258</v>
      </c>
      <c r="H11" s="0" t="n">
        <f aca="false">H8+H10+H24</f>
        <v>33853.3856814114</v>
      </c>
      <c r="I11" s="0" t="n">
        <f aca="false">I8+I10+I24</f>
        <v>35207.5211086679</v>
      </c>
      <c r="J11" s="0" t="n">
        <f aca="false">J8+J10+J24</f>
        <v>36439.7843474713</v>
      </c>
      <c r="K11" s="0" t="n">
        <f aca="false">K8+K10+K24</f>
        <v>37532.9778778954</v>
      </c>
      <c r="L11" s="0" t="n">
        <f aca="false">L8+L10+L24</f>
        <v>38658.9672142323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-11230.33968</v>
      </c>
      <c r="D12" s="4" t="n">
        <f aca="false">-D6*Assumptions!D45/100</f>
        <v>-12241.0702512</v>
      </c>
      <c r="E12" s="4" t="n">
        <f aca="false">-E6*Assumptions!E45/100</f>
        <v>-13097.945168784</v>
      </c>
      <c r="F12" s="4" t="n">
        <f aca="false">-F6*Assumptions!F45/100</f>
        <v>-13883.821878911</v>
      </c>
      <c r="G12" s="4" t="n">
        <f aca="false">-G6*Assumptions!G45/100</f>
        <v>-14578.0129728566</v>
      </c>
      <c r="H12" s="4" t="n">
        <f aca="false">-H6*Assumptions!H45/100</f>
        <v>-15234.0235566351</v>
      </c>
      <c r="I12" s="4" t="n">
        <f aca="false">-I6*Assumptions!I45/100</f>
        <v>-15843.3844989005</v>
      </c>
      <c r="J12" s="4" t="n">
        <f aca="false">-J6*Assumptions!J45/100</f>
        <v>-16397.9029563621</v>
      </c>
      <c r="K12" s="4" t="n">
        <f aca="false">-K6*Assumptions!K45/100</f>
        <v>-16889.8400450529</v>
      </c>
      <c r="L12" s="4" t="n">
        <f aca="false">-L6*Assumptions!L45/100</f>
        <v>-17396.5352464045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9233.834848</v>
      </c>
      <c r="D13" s="0" t="n">
        <f aca="false">D11+D12</f>
        <v>12241.0702512</v>
      </c>
      <c r="E13" s="0" t="n">
        <f aca="false">E11+E12</f>
        <v>14553.27240976</v>
      </c>
      <c r="F13" s="0" t="n">
        <f aca="false">F11+F12</f>
        <v>16969.1156297802</v>
      </c>
      <c r="G13" s="0" t="n">
        <f aca="false">G11+G12</f>
        <v>17817.5714112692</v>
      </c>
      <c r="H13" s="0" t="n">
        <f aca="false">H11+H12</f>
        <v>18619.3621247763</v>
      </c>
      <c r="I13" s="0" t="n">
        <f aca="false">I11+I12</f>
        <v>19364.1366097673</v>
      </c>
      <c r="J13" s="0" t="n">
        <f aca="false">J11+J12</f>
        <v>20041.8813911092</v>
      </c>
      <c r="K13" s="0" t="n">
        <f aca="false">K11+K12</f>
        <v>20643.1378328425</v>
      </c>
      <c r="L13" s="0" t="n">
        <f aca="false">L11+L12</f>
        <v>21262.4319678277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18</v>
      </c>
      <c r="D14" s="4" t="n">
        <f aca="false">Assumptions!D47</f>
        <v>18</v>
      </c>
      <c r="E14" s="4" t="n">
        <f aca="false">Assumptions!E47</f>
        <v>18</v>
      </c>
      <c r="F14" s="4" t="n">
        <f aca="false">Assumptions!F47</f>
        <v>18</v>
      </c>
      <c r="G14" s="4" t="n">
        <f aca="false">Assumptions!G47</f>
        <v>18</v>
      </c>
      <c r="H14" s="4" t="n">
        <f aca="false">Assumptions!H47</f>
        <v>18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7571.74457536</v>
      </c>
      <c r="D15" s="0" t="n">
        <f aca="false">D13-MAX(0,D13)*D14/100</f>
        <v>10037.677605984</v>
      </c>
      <c r="E15" s="0" t="n">
        <f aca="false">E13-MAX(0,E13)*E14/100</f>
        <v>11933.6833760032</v>
      </c>
      <c r="F15" s="0" t="n">
        <f aca="false">F13-MAX(0,F13)*F14/100</f>
        <v>13914.6748164197</v>
      </c>
      <c r="G15" s="0" t="n">
        <f aca="false">G13-MAX(0,G13)*G14/100</f>
        <v>14610.4085572407</v>
      </c>
      <c r="H15" s="0" t="n">
        <f aca="false">H13-MAX(0,H13)*H14/100</f>
        <v>15267.8769423165</v>
      </c>
      <c r="I15" s="0" t="n">
        <f aca="false">I13-MAX(0,I13)*I14/100</f>
        <v>15878.5920200092</v>
      </c>
      <c r="J15" s="0" t="n">
        <f aca="false">J13-MAX(0,J13)*J14/100</f>
        <v>16434.3427407095</v>
      </c>
      <c r="K15" s="0" t="n">
        <f aca="false">K13-MAX(0,K13)*K14/100</f>
        <v>16927.3730229308</v>
      </c>
      <c r="L15" s="0" t="n">
        <f aca="false">L13-MAX(0,L13)*L14/100</f>
        <v>17435.1942136188</v>
      </c>
    </row>
    <row r="16" customFormat="false" ht="15" hidden="false" customHeight="false" outlineLevel="0" collapsed="false">
      <c r="A16" s="0" t="s">
        <v>117</v>
      </c>
      <c r="C16" s="0" t="n">
        <f aca="false">-C12</f>
        <v>11230.33968</v>
      </c>
      <c r="D16" s="0" t="n">
        <f aca="false">-D12</f>
        <v>12241.0702512</v>
      </c>
      <c r="E16" s="0" t="n">
        <f aca="false">-E12</f>
        <v>13097.945168784</v>
      </c>
      <c r="F16" s="0" t="n">
        <f aca="false">-F12</f>
        <v>13883.821878911</v>
      </c>
      <c r="G16" s="0" t="n">
        <f aca="false">-G12</f>
        <v>14578.0129728566</v>
      </c>
      <c r="H16" s="0" t="n">
        <f aca="false">-H12</f>
        <v>15234.0235566351</v>
      </c>
      <c r="I16" s="0" t="n">
        <f aca="false">-I12</f>
        <v>15843.3844989005</v>
      </c>
      <c r="J16" s="0" t="n">
        <f aca="false">-J12</f>
        <v>16397.9029563621</v>
      </c>
      <c r="K16" s="0" t="n">
        <f aca="false">-K12</f>
        <v>16889.8400450529</v>
      </c>
      <c r="L16" s="0" t="n">
        <f aca="false">-L12</f>
        <v>17396.5352464045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-13476.407616</v>
      </c>
      <c r="D17" s="4" t="n">
        <f aca="false">-D6*Assumptions!D46/100</f>
        <v>-14417.26051808</v>
      </c>
      <c r="E17" s="4" t="n">
        <f aca="false">-E6*Assumptions!E46/100</f>
        <v>-15135.4033061504</v>
      </c>
      <c r="F17" s="4" t="n">
        <f aca="false">-F6*Assumptions!F46/100</f>
        <v>-15426.4687543456</v>
      </c>
      <c r="G17" s="4" t="n">
        <f aca="false">-G6*Assumptions!G46/100</f>
        <v>-16197.7921920629</v>
      </c>
      <c r="H17" s="4" t="n">
        <f aca="false">-H6*Assumptions!H46/100</f>
        <v>-16588.1589838916</v>
      </c>
      <c r="I17" s="4" t="n">
        <f aca="false">-I6*Assumptions!I46/100</f>
        <v>-17251.6853432473</v>
      </c>
      <c r="J17" s="4" t="n">
        <f aca="false">-J6*Assumptions!J46/100</f>
        <v>-17491.0964867862</v>
      </c>
      <c r="K17" s="4" t="n">
        <f aca="false">-K6*Assumptions!K46/100</f>
        <v>-18015.8293813898</v>
      </c>
      <c r="L17" s="4" t="n">
        <f aca="false">-L6*Assumptions!L46/100</f>
        <v>-18556.3042628315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1336.9452</v>
      </c>
      <c r="D18" s="4" t="n">
        <f aca="false">(D6-C6)*Assumptions!$B$51/100</f>
        <v>1123.033968</v>
      </c>
      <c r="E18" s="4" t="n">
        <f aca="false">(E6-D6)*Assumptions!$B$51/100</f>
        <v>952.08324176</v>
      </c>
      <c r="F18" s="4" t="n">
        <f aca="false">(F6-E6)*Assumptions!$B$51/100</f>
        <v>873.1963445856</v>
      </c>
      <c r="G18" s="4" t="n">
        <f aca="false">(G6-F6)*Assumptions!$B$51/100</f>
        <v>771.323437717281</v>
      </c>
      <c r="H18" s="4" t="n">
        <f aca="false">(H6-G6)*Assumptions!$B$51/100</f>
        <v>728.900648642829</v>
      </c>
      <c r="I18" s="4" t="n">
        <f aca="false">(I6-H6)*Assumptions!$B$51/100</f>
        <v>677.067713628229</v>
      </c>
      <c r="J18" s="4" t="n">
        <f aca="false">(J6-I6)*Assumptions!$B$51/100</f>
        <v>616.131619401687</v>
      </c>
      <c r="K18" s="4" t="n">
        <f aca="false">(K6-J6)*Assumptions!$B$51/100</f>
        <v>546.596765212069</v>
      </c>
      <c r="L18" s="4" t="n">
        <f aca="false">(L6-K6)*Assumptions!$B$51/100</f>
        <v>562.994668168432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6662.62183936</v>
      </c>
      <c r="D19" s="0" t="n">
        <f aca="false">D15+D16+D17+D18</f>
        <v>8984.521307104</v>
      </c>
      <c r="E19" s="0" t="n">
        <f aca="false">E15+E16+E17+E18</f>
        <v>10848.3084803968</v>
      </c>
      <c r="F19" s="0" t="n">
        <f aca="false">F15+F16+F17+F18</f>
        <v>13245.2242855708</v>
      </c>
      <c r="G19" s="0" t="n">
        <f aca="false">G15+G16+G17+G18</f>
        <v>13761.9527757517</v>
      </c>
      <c r="H19" s="0" t="n">
        <f aca="false">H15+H16+H17+H18</f>
        <v>14642.6421637029</v>
      </c>
      <c r="I19" s="0" t="n">
        <f aca="false">I15+I16+I17+I18</f>
        <v>15147.3588892907</v>
      </c>
      <c r="J19" s="0" t="n">
        <f aca="false">J15+J16+J17+J18</f>
        <v>15957.2808296871</v>
      </c>
      <c r="K19" s="0" t="n">
        <f aca="false">K15+K16+K17+K18</f>
        <v>16347.980451806</v>
      </c>
      <c r="L19" s="0" t="n">
        <f aca="false">L15+L16+L17+L18</f>
        <v>16838.4198653602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6056.92894487273</v>
      </c>
      <c r="D21" s="0" t="n">
        <f aca="false">D19*D20</f>
        <v>7425.22422074711</v>
      </c>
      <c r="E21" s="0" t="n">
        <f aca="false">E19*E20</f>
        <v>8150.49472606822</v>
      </c>
      <c r="F21" s="0" t="n">
        <f aca="false">F19*F20</f>
        <v>9046.66640637305</v>
      </c>
      <c r="G21" s="0" t="n">
        <f aca="false">G19*G20</f>
        <v>8545.08992539736</v>
      </c>
      <c r="H21" s="0" t="n">
        <f aca="false">H19*H20</f>
        <v>8265.38976851653</v>
      </c>
      <c r="I21" s="0" t="n">
        <f aca="false">I19*I20</f>
        <v>7772.99018379359</v>
      </c>
      <c r="J21" s="0" t="n">
        <f aca="false">J19*J20</f>
        <v>7444.18927512832</v>
      </c>
      <c r="K21" s="0" t="n">
        <f aca="false">K19*K20</f>
        <v>6933.13957481087</v>
      </c>
      <c r="L21" s="0" t="n">
        <f aca="false">L19*L20</f>
        <v>6491.93978368655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0.9</v>
      </c>
      <c r="D23" s="4" t="n">
        <f aca="false">Assumptions!D44</f>
        <v>0.9</v>
      </c>
      <c r="E23" s="4" t="n">
        <f aca="false">Assumptions!E44</f>
        <v>0.9</v>
      </c>
      <c r="F23" s="4" t="n">
        <f aca="false">Assumptions!F44</f>
        <v>0.9</v>
      </c>
      <c r="G23" s="4" t="n">
        <f aca="false">Assumptions!G44</f>
        <v>0.9</v>
      </c>
      <c r="H23" s="4" t="n">
        <f aca="false">Assumptions!H44</f>
        <v>0.9</v>
      </c>
      <c r="I23" s="4" t="n">
        <f aca="false">Assumptions!I44</f>
        <v>0.9</v>
      </c>
      <c r="J23" s="4" t="n">
        <f aca="false">Assumptions!J44</f>
        <v>0.9</v>
      </c>
      <c r="K23" s="4" t="n">
        <f aca="false">Assumptions!K44</f>
        <v>0.9</v>
      </c>
      <c r="L23" s="4" t="n">
        <f aca="false">Assumptions!L44</f>
        <v>0.9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-2246.067936</v>
      </c>
      <c r="D24" s="0" t="n">
        <f aca="false">-D6*D23/100</f>
        <v>-2448.21405024</v>
      </c>
      <c r="E24" s="0" t="n">
        <f aca="false">-E6*E23/100</f>
        <v>-2619.5890337568</v>
      </c>
      <c r="F24" s="0" t="n">
        <f aca="false">-F6*F23/100</f>
        <v>-2776.76437578221</v>
      </c>
      <c r="G24" s="0" t="n">
        <f aca="false">-G6*G23/100</f>
        <v>-2915.60259457132</v>
      </c>
      <c r="H24" s="0" t="n">
        <f aca="false">-H6*H23/100</f>
        <v>-3046.80471132703</v>
      </c>
      <c r="I24" s="0" t="n">
        <f aca="false">-I6*I23/100</f>
        <v>-3168.67689978011</v>
      </c>
      <c r="J24" s="0" t="n">
        <f aca="false">-J6*J23/100</f>
        <v>-3279.58059127241</v>
      </c>
      <c r="K24" s="0" t="n">
        <f aca="false">-K6*K23/100</f>
        <v>-3377.96800901059</v>
      </c>
      <c r="L24" s="0" t="n">
        <f aca="false">-L6*L23/100</f>
        <v>-3479.3070492809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76132.0528093943</v>
      </c>
    </row>
    <row r="31" customFormat="false" ht="15" hidden="false" customHeight="false" outlineLevel="0" collapsed="false">
      <c r="A31" s="0" t="s">
        <v>126</v>
      </c>
      <c r="B31" s="0" t="n">
        <f aca="false">L19</f>
        <v>16838.4198653602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230125.071493256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202061.038384323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202061.038384323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77903.2774042385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154035.330213633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206623.930213633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28.3593884081554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3.02546322330098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1932.23277004475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2036.97640271555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28.9041672461493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138075.042895954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20.1628266101005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11.1105297947279</v>
      </c>
      <c r="C4" s="0" t="n">
        <f aca="false">B4/Assumptions!$B$2-1</f>
        <v>0.57708016958523</v>
      </c>
      <c r="D4" s="4" t="n">
        <f aca="false">Assumptions!$B$24</f>
        <v>0.3</v>
      </c>
      <c r="E4" s="4" t="n">
        <f aca="false">DCF_Bear!$B$43</f>
        <v>11.4841450669032</v>
      </c>
      <c r="F4" s="4" t="n">
        <f aca="false">DCF_Bear!$B$47</f>
        <v>9.58033742331301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19.8241662226489</v>
      </c>
      <c r="C5" s="0" t="n">
        <f aca="false">B5/Assumptions!$B$2-1</f>
        <v>1.81393416929012</v>
      </c>
      <c r="D5" s="4" t="n">
        <f aca="false">Assumptions!$B$38</f>
        <v>0.5</v>
      </c>
      <c r="E5" s="4" t="n">
        <f aca="false">DCF_Base!$B$43</f>
        <v>20.2933480009526</v>
      </c>
      <c r="F5" s="4" t="n">
        <f aca="false">DCF_Base!$B$47</f>
        <v>14.8130715975462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28.3593884081554</v>
      </c>
      <c r="C6" s="0" t="n">
        <f aca="false">B6/Assumptions!$B$2-1</f>
        <v>3.02546322330098</v>
      </c>
      <c r="D6" s="4" t="n">
        <f aca="false">Assumptions!$B$52</f>
        <v>0.2</v>
      </c>
      <c r="E6" s="4" t="n">
        <f aca="false">DCF_Bull!$B$43</f>
        <v>28.9041672461493</v>
      </c>
      <c r="F6" s="4" t="n">
        <f aca="false">DCF_Bull!$B$47</f>
        <v>20.1628266101005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18.9171197313739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19.3727509697771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0.627586012033538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-2605.64217962317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14.3132023477871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20.7545001849532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19.8241662226489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18.6499986175096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17.3963921452133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14.8130715975462</v>
      </c>
      <c r="C19" s="3" t="n">
        <v>15</v>
      </c>
    </row>
    <row r="21" customFormat="false" ht="15" hidden="false" customHeight="false" outlineLevel="0" collapsed="false">
      <c r="A21" s="2" t="s">
        <v>162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21.7736533137541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21.7736533137541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21.7736533137541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21.7736533137541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21.7736533137541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20.7545001849532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20.7545001849532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20.7545001849532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20.7545001849532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20.7545001849532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19.4104768040799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19.7928787876311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19.8241662226489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19.8241662226489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19.8241662226489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18.0507646614088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18.334612324825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18.6499986175096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18.9739088640505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18.9739088640505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16.9441293689364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17.159492595735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17.3963921452133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17.6582284893736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17.9491577606629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2026-10-18T01:54:13Z</dcterms:created>
  <dc:creator>openpyxl</dc:creator>
  <dc:description/>
  <dc:language>en-NZ</dc:language>
  <cp:lastModifiedBy/>
  <dcterms:modified xsi:type="dcterms:W3CDTF">2026-10-18T01:54:13Z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