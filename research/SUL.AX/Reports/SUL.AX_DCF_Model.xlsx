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<sst xmlns="http://schemas.openxmlformats.org/spreadsheetml/2006/main" count="369" uniqueCount="170">
  <si>
    <t xml:space="preserve">Ticker</t>
  </si>
  <si>
    <t xml:space="preserve">SUL.AX</t>
  </si>
  <si>
    <t xml:space="preserve">Company</t>
  </si>
  <si>
    <t xml:space="preserve">Super Retail Group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</si>
  <si>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</si>
  <si>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</si>
  <si>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</si>
  <si>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</si>
  <si>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2026-09-25T04:58:26Z regular session, Yahoo Finance chart API</t>
  </si>
  <si>
    <t xml:space="preserve">Balance sheet date</t>
  </si>
  <si>
    <t xml:space="preserve">2026-06-27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</si>
  <si>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</si>
  <si>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</si>
  <si>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</si>
  <si>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</si>
  <si>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</si>
  <si>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</si>
  <si>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</si>
  <si>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</si>
  <si>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</si>
  <si>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</si>
  <si>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2026-09-25T05:21:36Z</t>
  </si>
  <si>
    <t xml:space="preserve">Drivers file</t>
  </si>
  <si>
    <t xml:space="preserve">SUL.AX_Drivers.json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</si>
  <si>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</si>
  <si>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</si>
  <si>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</si>
  <si>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Super Retail Group is valued as a mature, cyclical multi-banner specialty retailer via a component-built owner-FCF DCF (lease Treatment B: the company's own pre-AASB16, ex-lease EBITDA and D&amp;A are used as the flow basis, since SUL's direct-method cash flow statement already fully excludes both lease principal and lease interest from operating cash flow; net debt is bank debt only, matching the company's own '$14m net debt' headline). FY26 marks a cyclical trough -- a one-off fuel-price cost shock plus ~$20m after-tax of CEO-termination and governance costs pushed normalised PBT down 7% YoY even as sales hit a record $4.2bn -- against a newly announced five-year plan (mid-to-high single-digit normalised PBT growth to FY31, ~$75m/yr Ignite cost savings by FY29, 797-&gt;900+ stores). The base case treats this as a genuine but only partially-underwritten recovery: margin recovers about halfway from the FY26 trough toward what full guidance delivery would imply, reflecting real execution risk from a largely new executive bench (CEO, CFO and most banner Managing Directors all appointed within the past 12-18 months) delivering an ambitious multi-year ERP/AI transformation and store rollout simultaneously. Full guidance delivery is treated as bull-case upside, not the central case. SBC is immaterial at SUL (0.03% of revenue) so the house/street bands are expected to sit close together despite being kept explicit rather than zeroed.
key_risks_to_valuation: Ignite transformation program fails to deliver its ~$75m/yr targeted savings on schedule, or the ~$30m/yr of project investment persists without offsetting benefit, keeping margin pinned near the FY26 trough; Consumer discretionary spending remains under sustained pressure from interest rates, cost-of-living and fuel-price volatility, suppressing like-for-like sales across all four banners; Execution risk from a largely new, unproven executive team (CEO Nov-2025, CFO and most MD roles turned over within 12-18 months) attempting a simultaneous store rollout and ERP/AI systems transformation; Recurrence of governance/conduct issues following the 2025 CEO dismissal and whistleblower litigation, which already evidenced weaknesses in board oversight; Structural competitive threats: trade partners moving to direct-to-consumer models, aggressive online/offline competition (Amazon, Kogan), and only 13% online penetration relative to more digitally mature peers; Weather/environmental volatility at BCF (algae bloom, coastal disruption) and Macpac (mild winters depressing demand), which can swing segment profit meaningfully year to year; AUD/NZD currency translation exposure via Macpac and NZ operations</t>
  </si>
  <si>
    <t xml:space="preserve">Data sources</t>
  </si>
  <si>
    <t xml:space="preserve">price: Yahoo Finance chart API at inputs.price_as_of; 52-week range 10.08-17.65
financials: research/SUL.AX/Reports/SUL.AX_Metrics.csv (core_metrics-derived); SUL.AX_Annual_FY2016 through FY2026 extracted text for pre-AASB16 EBITDA/rental-expense/fixed-charge-cover reconciliations, cash flow statement, segment note, EPS dilutive-securities note, and net-debt/working-capital bridge
qualitative: research/SUL.AX/Reports/SUL.AX_Analysis.json (2026-09-25)</t>
  </si>
  <si>
    <t xml:space="preserve">Scenario narrative: bear</t>
  </si>
  <si>
    <t xml:space="preserve">Consumer softness persists, Ignite is a costly distraction rather than a clean savings program, and the largely-new executive bench struggles to execute store growth and systems transformation at the same time -- margin stays pinned near the FY26 trough.</t>
  </si>
  <si>
    <t xml:space="preserve">Scenario narrative: base</t>
  </si>
  <si>
    <t xml:space="preserve">Margin trough in the rear-view, partial credibility for Ignite: revenue grows with the store network and modest LFL, margin recovers about halfway from FY26's 10.8% trough toward the level implied by full guidance delivery.</t>
  </si>
  <si>
    <t xml:space="preserve">Scenario narrative: bull</t>
  </si>
  <si>
    <t xml:space="preserve">The new five-year strategy lands close to as-guided: ~$75m/yr Ignite savings materialise, the refreshed leadership team executes the 900+-store rollout cleanly, and margin recovers past its FY21 COVID-era peak.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</si>
  <si>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</si>
  <si>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</si>
  <si>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</si>
  <si>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</si>
  <si>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</si>
  <si>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</si>
  <si>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</si>
  <si>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</si>
  <si>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</si>
  <si>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</si>
  <si>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</si>
  <si>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</si>
  <si>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</si>
  <si>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</si>
  <si>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</si>
  <si>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</si>
  <si>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</si>
  <si>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</si>
  <si>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</si>
  <si>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</si>
  <si>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</si>
  <si>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</si>
  <si>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</si>
  <si>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</si>
  <si>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</si>
  <si>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</si>
  <si>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</si>
  <si>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NormalisedNPAT</t>
  </si>
  <si>
    <t xml:space="preserve">SharesDiluted</t>
  </si>
  <si>
    <t xml:space="preserve">UnderlyingEBITDA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</si>
  <si>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</si>
  <si>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</si>
  <si>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</si>
  <si>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</si>
  <si>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</si>
  <si>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</si>
  <si>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</si>
  <si>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</si>
  <si>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</si>
  <si>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</si>
  <si>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</si>
  <si>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</si>
  <si>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</si>
  <si>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</si>
  <si>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</si>
  <si>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</si>
  <si>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</si>
  <si>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</si>
  <si>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</si>
  <si>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</si>
  <si>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</si>
  <si>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</si>
  <si>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</si>
  <si>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</si>
  <si>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</si>
  <si>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</si>
  <si>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</si>
  <si>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</si>
  <si>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</si>
  <si>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</si>
  <si>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</si>
  <si>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</si>
  <si>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</si>
  <si>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</si>
  <si>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</si>
  <si>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</si>
  <si>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</si>
  <si>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</si>
  <si>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</si>
  <si>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</si>
  <si>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</si>
  <si>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</si>
  <si>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</si>
  <si>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</si>
  <si>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</si>
  <si>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</si>
  <si>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</si>
  <si>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</si>
  <si>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</si>
  <si>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SUL.AX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</si>
  <si>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</si>
  <si>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</si>
  <si>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</si>
  <si>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</si>
  <si>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</si>
  <si>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</si>
  <si>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</si>
  <si>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</si>
  <si>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</si>
  <si>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</si>
  <si>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</si>
  <si>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</si>
  <si>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</si>
  <si>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</si>
  <si>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</si>
  <si>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</si>
  <si>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</si>
  <si>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</si>
  <si>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</si>
  <si>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</si>
  <si>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</si>
  <si>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</si>
  <si>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</si>
  <si>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</si>
  <si>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</si>
  <si>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</si>
  <si>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</si>
  <si>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</si>
  <si>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</si>
  <si>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</si>
  <si>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SUL.AX owner-FCF component DCF: base case (millions, AUD)</t>
  </si>
  <si>
    <t xml:space="preserve">SUL.AX owner-FCF component DCF: bull case (millions, AUD)</t>
  </si>
  <si>
    <t xml:space="preserve">SUL.AX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</si>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</sst>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12.41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</row>
    <row r="2" customFormat="false" ht="15" hidden="false" customHeight="false" outlineLevel="0" collapsed="false">
      <c r="A2" s="0" t="s">
        <v>66</v>
      </c>
      <c r="B2" s="0" t="n">
        <v>2238.7</v>
      </c>
      <c r="C2" s="0" t="n">
        <v>1273.3</v>
      </c>
      <c r="D2" s="0" t="n">
        <v>965.4</v>
      </c>
      <c r="E2" s="0" t="n">
        <v>43.1232</v>
      </c>
      <c r="F2" s="0" t="n">
        <v>153.5</v>
      </c>
      <c r="G2" s="0" t="n">
        <v>6.8567</v>
      </c>
      <c r="H2" s="0" t="n">
        <v>220.6</v>
      </c>
      <c r="I2" s="0" t="n">
        <v>81.1</v>
      </c>
      <c r="J2" s="0" t="n">
        <v>3.6226</v>
      </c>
      <c r="K2" s="0" t="n">
        <v>0.412</v>
      </c>
      <c r="L2" s="0" t="n">
        <v>182</v>
      </c>
      <c r="M2" s="0" t="n">
        <v>72.8</v>
      </c>
      <c r="N2" s="0" t="n">
        <v>109.2</v>
      </c>
      <c r="O2" s="0" t="n">
        <v>765.3</v>
      </c>
      <c r="P2" s="0" t="n">
        <v>1583.1</v>
      </c>
      <c r="Q2" s="0" t="n">
        <v>817.8</v>
      </c>
      <c r="R2" s="0" t="n">
        <v>392</v>
      </c>
      <c r="S2" s="0" t="n">
        <v>13.1</v>
      </c>
      <c r="T2" s="0" t="n">
        <v>198.7745</v>
      </c>
      <c r="U2" s="0" t="n">
        <v>-0.2</v>
      </c>
      <c r="AA2" s="0" t="s">
        <v>17</v>
      </c>
      <c r="AB2" s="0" t="s">
        <v>14</v>
      </c>
      <c r="AD2" s="0" t="n">
        <v>198.7745</v>
      </c>
    </row>
    <row r="3" customFormat="false" ht="15" hidden="false" customHeight="false" outlineLevel="0" collapsed="false">
      <c r="A3" s="0" t="s">
        <v>67</v>
      </c>
      <c r="B3" s="0" t="n">
        <v>2422.2</v>
      </c>
      <c r="C3" s="0" t="n">
        <v>1372.4</v>
      </c>
      <c r="D3" s="0" t="n">
        <v>1049.8</v>
      </c>
      <c r="E3" s="0" t="n">
        <v>43.3408</v>
      </c>
      <c r="F3" s="0" t="n">
        <v>107.2</v>
      </c>
      <c r="G3" s="0" t="n">
        <v>4.4257</v>
      </c>
      <c r="H3" s="0" t="n">
        <v>193.4</v>
      </c>
      <c r="I3" s="0" t="n">
        <v>62.8</v>
      </c>
      <c r="J3" s="0" t="n">
        <v>2.5927</v>
      </c>
      <c r="K3" s="0" t="n">
        <v>0.318</v>
      </c>
      <c r="L3" s="0" t="n">
        <v>159.2</v>
      </c>
      <c r="M3" s="0" t="n">
        <v>79.9</v>
      </c>
      <c r="N3" s="0" t="n">
        <v>79.3</v>
      </c>
      <c r="O3" s="0" t="n">
        <v>734</v>
      </c>
      <c r="P3" s="0" t="n">
        <v>1569.5</v>
      </c>
      <c r="Q3" s="0" t="n">
        <v>835.5</v>
      </c>
      <c r="R3" s="0" t="n">
        <v>415.8</v>
      </c>
      <c r="S3" s="0" t="n">
        <v>15.6</v>
      </c>
      <c r="T3" s="0" t="n">
        <v>198.7342</v>
      </c>
      <c r="U3" s="0" t="n">
        <v>0.7</v>
      </c>
      <c r="AA3" s="0" t="s">
        <v>17</v>
      </c>
      <c r="AB3" s="0" t="s">
        <v>14</v>
      </c>
      <c r="AD3" s="0" t="n">
        <v>198.7342</v>
      </c>
    </row>
    <row r="4" customFormat="false" ht="15" hidden="false" customHeight="false" outlineLevel="0" collapsed="false">
      <c r="A4" s="0" t="s">
        <v>68</v>
      </c>
      <c r="B4" s="0" t="n">
        <v>2465.8</v>
      </c>
      <c r="C4" s="0" t="n">
        <v>1364.8</v>
      </c>
      <c r="D4" s="0" t="n">
        <v>1101</v>
      </c>
      <c r="E4" s="0" t="n">
        <v>44.6508</v>
      </c>
      <c r="F4" s="0" t="n">
        <v>157.6</v>
      </c>
      <c r="G4" s="0" t="n">
        <v>6.3914</v>
      </c>
      <c r="H4" s="0" t="n">
        <v>228.4</v>
      </c>
      <c r="I4" s="0" t="n">
        <v>101.8</v>
      </c>
      <c r="J4" s="0" t="n">
        <v>4.1285</v>
      </c>
      <c r="K4" s="0" t="n">
        <v>0.516</v>
      </c>
      <c r="L4" s="0" t="n">
        <v>234.5</v>
      </c>
      <c r="M4" s="0" t="n">
        <v>102.1</v>
      </c>
      <c r="N4" s="0" t="n">
        <v>132.4</v>
      </c>
      <c r="O4" s="0" t="n">
        <v>754.6</v>
      </c>
      <c r="P4" s="0" t="n">
        <v>1558.6</v>
      </c>
      <c r="Q4" s="0" t="n">
        <v>804</v>
      </c>
      <c r="R4" s="0" t="n">
        <v>400.6</v>
      </c>
      <c r="S4" s="0" t="n">
        <v>19.9</v>
      </c>
      <c r="T4" s="0" t="n">
        <v>198.4405</v>
      </c>
      <c r="U4" s="0" t="n">
        <v>2</v>
      </c>
      <c r="AA4" s="0" t="s">
        <v>17</v>
      </c>
      <c r="AB4" s="0" t="s">
        <v>14</v>
      </c>
      <c r="AD4" s="0" t="n">
        <v>198.4405</v>
      </c>
    </row>
    <row r="5" customFormat="false" ht="15" hidden="false" customHeight="false" outlineLevel="0" collapsed="false">
      <c r="A5" s="0" t="s">
        <v>69</v>
      </c>
      <c r="B5" s="0" t="n">
        <v>2570.4</v>
      </c>
      <c r="C5" s="0" t="n">
        <v>1415.5</v>
      </c>
      <c r="D5" s="0" t="n">
        <v>1154.9</v>
      </c>
      <c r="E5" s="0" t="n">
        <v>44.9308</v>
      </c>
      <c r="F5" s="0" t="n">
        <v>193.8</v>
      </c>
      <c r="G5" s="0" t="n">
        <v>7.5397</v>
      </c>
      <c r="H5" s="0" t="n">
        <v>271.1</v>
      </c>
      <c r="I5" s="0" t="n">
        <v>128.3</v>
      </c>
      <c r="J5" s="0" t="n">
        <v>4.9914</v>
      </c>
      <c r="K5" s="0" t="n">
        <v>0.65</v>
      </c>
      <c r="L5" s="0" t="n">
        <v>308.4</v>
      </c>
      <c r="M5" s="0" t="n">
        <v>107.1</v>
      </c>
      <c r="N5" s="0" t="n">
        <v>201.3</v>
      </c>
      <c r="O5" s="0" t="n">
        <v>799.2</v>
      </c>
      <c r="P5" s="0" t="n">
        <v>1762.6</v>
      </c>
      <c r="Q5" s="0" t="n">
        <v>963.4</v>
      </c>
      <c r="R5" s="0" t="n">
        <v>438.1</v>
      </c>
      <c r="S5" s="0" t="n">
        <v>15.2</v>
      </c>
      <c r="T5" s="0" t="n">
        <v>198.9147</v>
      </c>
      <c r="U5" s="0" t="n">
        <v>1.1</v>
      </c>
      <c r="AA5" s="0" t="s">
        <v>17</v>
      </c>
      <c r="AB5" s="0" t="s">
        <v>14</v>
      </c>
      <c r="AD5" s="0" t="n">
        <v>198.9147</v>
      </c>
    </row>
    <row r="6" customFormat="false" ht="15" hidden="false" customHeight="false" outlineLevel="0" collapsed="false">
      <c r="A6" s="0" t="s">
        <v>70</v>
      </c>
      <c r="B6" s="0" t="n">
        <v>2710.4</v>
      </c>
      <c r="C6" s="0" t="n">
        <v>1488.2</v>
      </c>
      <c r="D6" s="0" t="n">
        <v>1222.2</v>
      </c>
      <c r="E6" s="0" t="n">
        <v>45.093</v>
      </c>
      <c r="F6" s="0" t="n">
        <v>210.8</v>
      </c>
      <c r="G6" s="0" t="n">
        <v>7.7774</v>
      </c>
      <c r="H6" s="0" t="n">
        <v>297.4</v>
      </c>
      <c r="I6" s="0" t="n">
        <v>139.3</v>
      </c>
      <c r="J6" s="0" t="n">
        <v>5.1395</v>
      </c>
      <c r="K6" s="0" t="n">
        <v>0.706</v>
      </c>
      <c r="L6" s="0" t="n">
        <v>240.9</v>
      </c>
      <c r="M6" s="0" t="n">
        <v>89.8</v>
      </c>
      <c r="N6" s="0" t="n">
        <v>151.1</v>
      </c>
      <c r="O6" s="0" t="n">
        <v>816</v>
      </c>
      <c r="P6" s="0" t="n">
        <v>1779</v>
      </c>
      <c r="Q6" s="0" t="n">
        <v>963</v>
      </c>
      <c r="R6" s="0" t="n">
        <v>394.2</v>
      </c>
      <c r="S6" s="0" t="n">
        <v>7.5</v>
      </c>
      <c r="T6" s="0" t="n">
        <v>199.2847</v>
      </c>
      <c r="U6" s="0" t="n">
        <v>1.3</v>
      </c>
      <c r="AA6" s="0" t="s">
        <v>17</v>
      </c>
      <c r="AB6" s="0" t="s">
        <v>14</v>
      </c>
      <c r="AD6" s="0" t="n">
        <v>199.2847</v>
      </c>
    </row>
    <row r="7" customFormat="false" ht="15" hidden="false" customHeight="false" outlineLevel="0" collapsed="false">
      <c r="A7" s="0" t="s">
        <v>71</v>
      </c>
      <c r="B7" s="0" t="n">
        <v>2825.2</v>
      </c>
      <c r="C7" s="0" t="n">
        <v>1555.1</v>
      </c>
      <c r="D7" s="0" t="n">
        <v>1270.1</v>
      </c>
      <c r="E7" s="0" t="n">
        <v>44.9561</v>
      </c>
      <c r="F7" s="0" t="n">
        <v>210.9</v>
      </c>
      <c r="G7" s="0" t="n">
        <v>7.465</v>
      </c>
      <c r="H7" s="0" t="n">
        <v>493.1</v>
      </c>
      <c r="I7" s="0" t="n">
        <v>110.2</v>
      </c>
      <c r="J7" s="0" t="n">
        <v>3.9006</v>
      </c>
      <c r="K7" s="0" t="n">
        <v>0.558</v>
      </c>
      <c r="L7" s="0" t="n">
        <v>610.7</v>
      </c>
      <c r="M7" s="0" t="n">
        <v>68.4</v>
      </c>
      <c r="N7" s="0" t="n">
        <v>542.3</v>
      </c>
      <c r="O7" s="0" t="n">
        <v>991.3</v>
      </c>
      <c r="P7" s="0" t="n">
        <v>2775.1</v>
      </c>
      <c r="Q7" s="0" t="n">
        <v>1783.8</v>
      </c>
      <c r="R7" s="0" t="n">
        <v>247.8</v>
      </c>
      <c r="S7" s="0" t="n">
        <v>285.1</v>
      </c>
      <c r="T7" s="0" t="n">
        <v>199.2767</v>
      </c>
      <c r="U7" s="0" t="n">
        <v>0.2</v>
      </c>
      <c r="AA7" s="0" t="s">
        <v>17</v>
      </c>
      <c r="AB7" s="0" t="s">
        <v>14</v>
      </c>
      <c r="AD7" s="0" t="n">
        <v>199.2767</v>
      </c>
    </row>
    <row r="8" customFormat="false" ht="15" hidden="false" customHeight="false" outlineLevel="0" collapsed="false">
      <c r="A8" s="0" t="s">
        <v>72</v>
      </c>
      <c r="B8" s="0" t="n">
        <v>3453.1</v>
      </c>
      <c r="C8" s="0" t="n">
        <v>1797.2</v>
      </c>
      <c r="D8" s="0" t="n">
        <v>1655.9</v>
      </c>
      <c r="E8" s="0" t="n">
        <v>47.954</v>
      </c>
      <c r="F8" s="0" t="n">
        <v>468.6</v>
      </c>
      <c r="G8" s="0" t="n">
        <v>13.5704</v>
      </c>
      <c r="H8" s="0" t="n">
        <v>768</v>
      </c>
      <c r="I8" s="0" t="n">
        <v>301</v>
      </c>
      <c r="J8" s="0" t="n">
        <v>8.7168</v>
      </c>
      <c r="K8" s="0" t="n">
        <v>1.334</v>
      </c>
      <c r="L8" s="0" t="n">
        <v>600</v>
      </c>
      <c r="M8" s="0" t="n">
        <v>85</v>
      </c>
      <c r="N8" s="0" t="n">
        <v>515</v>
      </c>
      <c r="O8" s="0" t="n">
        <v>1226.5</v>
      </c>
      <c r="P8" s="0" t="n">
        <v>2982.8</v>
      </c>
      <c r="Q8" s="0" t="n">
        <v>1756.3</v>
      </c>
      <c r="R8" s="0" t="n">
        <v>0</v>
      </c>
      <c r="S8" s="0" t="n">
        <v>242.3</v>
      </c>
      <c r="T8" s="0" t="n">
        <v>227.8577</v>
      </c>
      <c r="U8" s="0" t="n">
        <v>7.7</v>
      </c>
      <c r="AA8" s="0" t="s">
        <v>17</v>
      </c>
      <c r="AB8" s="0" t="s">
        <v>14</v>
      </c>
      <c r="AC8" s="0" t="n">
        <v>306.8</v>
      </c>
      <c r="AD8" s="0" t="n">
        <v>227.8577</v>
      </c>
      <c r="AE8" s="0" t="n">
        <v>776.2</v>
      </c>
    </row>
    <row r="9" customFormat="false" ht="15" hidden="false" customHeight="false" outlineLevel="0" collapsed="false">
      <c r="A9" s="0" t="s">
        <v>73</v>
      </c>
      <c r="B9" s="0" t="n">
        <v>3550.9</v>
      </c>
      <c r="C9" s="0" t="n">
        <v>1890.3</v>
      </c>
      <c r="D9" s="0" t="n">
        <v>1660.6</v>
      </c>
      <c r="E9" s="0" t="n">
        <v>46.7656</v>
      </c>
      <c r="F9" s="0" t="n">
        <v>392.7</v>
      </c>
      <c r="G9" s="0" t="n">
        <v>11.0592</v>
      </c>
      <c r="H9" s="0" t="n">
        <v>697.9</v>
      </c>
      <c r="I9" s="0" t="n">
        <v>241.2</v>
      </c>
      <c r="J9" s="0" t="n">
        <v>6.7926</v>
      </c>
      <c r="K9" s="0" t="n">
        <v>1.068</v>
      </c>
      <c r="L9" s="0" t="n">
        <v>340.4</v>
      </c>
      <c r="M9" s="0" t="n">
        <v>125</v>
      </c>
      <c r="N9" s="0" t="n">
        <v>215.4</v>
      </c>
      <c r="O9" s="0" t="n">
        <v>1289</v>
      </c>
      <c r="P9" s="0" t="n">
        <v>2919.3</v>
      </c>
      <c r="Q9" s="0" t="n">
        <v>1630.3</v>
      </c>
      <c r="R9" s="0" t="n">
        <v>0</v>
      </c>
      <c r="S9" s="0" t="n">
        <v>13.4</v>
      </c>
      <c r="T9" s="0" t="n">
        <v>227.9773</v>
      </c>
      <c r="U9" s="0" t="n">
        <v>6.9</v>
      </c>
      <c r="AA9" s="0" t="s">
        <v>17</v>
      </c>
      <c r="AB9" s="0" t="s">
        <v>14</v>
      </c>
      <c r="AD9" s="0" t="n">
        <v>227.9773</v>
      </c>
      <c r="AE9" s="0" t="n">
        <v>701.8</v>
      </c>
    </row>
    <row r="10" customFormat="false" ht="15" hidden="false" customHeight="false" outlineLevel="0" collapsed="false">
      <c r="A10" s="0" t="s">
        <v>74</v>
      </c>
      <c r="B10" s="0" t="n">
        <v>3802.6</v>
      </c>
      <c r="C10" s="0" t="n">
        <v>2044.9</v>
      </c>
      <c r="D10" s="0" t="n">
        <v>1757.7</v>
      </c>
      <c r="E10" s="0" t="n">
        <v>46.2236</v>
      </c>
      <c r="F10" s="0" t="n">
        <v>426.8</v>
      </c>
      <c r="G10" s="0" t="n">
        <v>11.2239</v>
      </c>
      <c r="H10" s="0" t="n">
        <v>756.2</v>
      </c>
      <c r="I10" s="0" t="n">
        <v>263</v>
      </c>
      <c r="J10" s="0" t="n">
        <v>6.9163</v>
      </c>
      <c r="K10" s="0" t="n">
        <v>1.165</v>
      </c>
      <c r="L10" s="0" t="n">
        <v>716.4</v>
      </c>
      <c r="M10" s="0" t="n">
        <v>109.6</v>
      </c>
      <c r="N10" s="0" t="n">
        <v>606.8</v>
      </c>
      <c r="O10" s="0" t="n">
        <v>1367.6</v>
      </c>
      <c r="P10" s="0" t="n">
        <v>3102.9</v>
      </c>
      <c r="Q10" s="0" t="n">
        <v>1735.3</v>
      </c>
      <c r="R10" s="0" t="n">
        <v>0</v>
      </c>
      <c r="S10" s="0" t="n">
        <v>192.3</v>
      </c>
      <c r="T10" s="0" t="n">
        <v>227.9029</v>
      </c>
      <c r="U10" s="0" t="n">
        <v>7.6</v>
      </c>
      <c r="AA10" s="0" t="s">
        <v>17</v>
      </c>
      <c r="AB10" s="0" t="s">
        <v>14</v>
      </c>
      <c r="AC10" s="0" t="n">
        <v>273.5</v>
      </c>
      <c r="AD10" s="0" t="n">
        <v>227.9029</v>
      </c>
      <c r="AE10" s="0" t="n">
        <v>767.6</v>
      </c>
    </row>
    <row r="11" customFormat="false" ht="15" hidden="false" customHeight="false" outlineLevel="0" collapsed="false">
      <c r="A11" s="0" t="s">
        <v>75</v>
      </c>
      <c r="B11" s="0" t="n">
        <v>3882.6</v>
      </c>
      <c r="C11" s="0" t="n">
        <v>2084.5</v>
      </c>
      <c r="D11" s="0" t="n">
        <v>1798.1</v>
      </c>
      <c r="E11" s="0" t="n">
        <v>46.3117</v>
      </c>
      <c r="F11" s="0" t="n">
        <v>397.6</v>
      </c>
      <c r="G11" s="0" t="n">
        <v>10.2406</v>
      </c>
      <c r="H11" s="0" t="n">
        <v>735.8</v>
      </c>
      <c r="I11" s="0" t="n">
        <v>240.1</v>
      </c>
      <c r="J11" s="0" t="n">
        <v>6.184</v>
      </c>
      <c r="K11" s="0" t="n">
        <v>1.063</v>
      </c>
      <c r="L11" s="0" t="n">
        <v>635.4</v>
      </c>
      <c r="M11" s="0" t="n">
        <v>135</v>
      </c>
      <c r="N11" s="0" t="n">
        <v>500.4</v>
      </c>
      <c r="O11" s="0" t="n">
        <v>1373.2</v>
      </c>
      <c r="P11" s="0" t="n">
        <v>3263.3</v>
      </c>
      <c r="Q11" s="0" t="n">
        <v>1890.1</v>
      </c>
      <c r="R11" s="0" t="n">
        <v>0</v>
      </c>
      <c r="S11" s="0" t="n">
        <v>217.8</v>
      </c>
      <c r="T11" s="0" t="n">
        <v>227.7989</v>
      </c>
      <c r="U11" s="0" t="n">
        <v>8.1</v>
      </c>
      <c r="AA11" s="0" t="s">
        <v>17</v>
      </c>
      <c r="AB11" s="0" t="s">
        <v>14</v>
      </c>
      <c r="AD11" s="0" t="n">
        <v>227.7989</v>
      </c>
      <c r="AE11" s="0" t="n">
        <v>738.6</v>
      </c>
    </row>
    <row r="12" customFormat="false" ht="15" hidden="false" customHeight="false" outlineLevel="0" collapsed="false">
      <c r="A12" s="0" t="s">
        <v>76</v>
      </c>
      <c r="B12" s="0" t="n">
        <v>4070.1</v>
      </c>
      <c r="C12" s="0" t="n">
        <v>2212.7</v>
      </c>
      <c r="D12" s="0" t="n">
        <v>1857.4</v>
      </c>
      <c r="E12" s="0" t="n">
        <v>45.6352</v>
      </c>
      <c r="F12" s="0" t="n">
        <v>384.6</v>
      </c>
      <c r="G12" s="0" t="n">
        <v>9.4494</v>
      </c>
      <c r="H12" s="0" t="n">
        <v>742.9</v>
      </c>
      <c r="I12" s="0" t="n">
        <v>221.8</v>
      </c>
      <c r="J12" s="0" t="n">
        <v>5.4495</v>
      </c>
      <c r="K12" s="0" t="n">
        <v>0.982</v>
      </c>
      <c r="L12" s="0" t="n">
        <v>577.3</v>
      </c>
      <c r="M12" s="0" t="n">
        <v>165.7</v>
      </c>
      <c r="N12" s="0" t="n">
        <v>411.6</v>
      </c>
      <c r="O12" s="0" t="n">
        <v>1321.4</v>
      </c>
      <c r="P12" s="0" t="n">
        <v>3336.6</v>
      </c>
      <c r="Q12" s="0" t="n">
        <v>2015.2</v>
      </c>
      <c r="R12" s="0" t="n">
        <v>0</v>
      </c>
      <c r="S12" s="0" t="n">
        <v>63.3</v>
      </c>
      <c r="T12" s="0" t="n">
        <v>227.7207</v>
      </c>
      <c r="U12" s="0" t="n">
        <v>3.8</v>
      </c>
      <c r="AA12" s="0" t="s">
        <v>17</v>
      </c>
      <c r="AB12" s="0" t="s">
        <v>14</v>
      </c>
      <c r="AC12" s="0" t="n">
        <v>232.4</v>
      </c>
      <c r="AD12" s="0" t="n">
        <v>227.7207</v>
      </c>
      <c r="AE12" s="0" t="n">
        <v>758</v>
      </c>
    </row>
    <row r="13" customFormat="false" ht="15" hidden="false" customHeight="false" outlineLevel="0" collapsed="false">
      <c r="A13" s="0" t="s">
        <v>77</v>
      </c>
      <c r="B13" s="0" t="n">
        <v>4199.8</v>
      </c>
      <c r="C13" s="0" t="n">
        <v>2280.4</v>
      </c>
      <c r="D13" s="0" t="n">
        <v>1919.4</v>
      </c>
      <c r="E13" s="0" t="n">
        <v>45.7022</v>
      </c>
      <c r="F13" s="0" t="n">
        <v>360.2</v>
      </c>
      <c r="G13" s="0" t="n">
        <v>8.5766</v>
      </c>
      <c r="H13" s="0" t="n">
        <v>745.1</v>
      </c>
      <c r="I13" s="0" t="n">
        <v>205.9</v>
      </c>
      <c r="J13" s="0" t="n">
        <v>4.9026</v>
      </c>
      <c r="K13" s="0" t="n">
        <v>0.912</v>
      </c>
      <c r="L13" s="0" t="n">
        <v>593.1</v>
      </c>
      <c r="M13" s="0" t="n">
        <v>123.4</v>
      </c>
      <c r="N13" s="0" t="n">
        <v>469.7</v>
      </c>
      <c r="O13" s="0" t="n">
        <v>1299.6</v>
      </c>
      <c r="P13" s="0" t="n">
        <v>3442.2</v>
      </c>
      <c r="Q13" s="0" t="n">
        <v>2142.6</v>
      </c>
      <c r="R13" s="0" t="n">
        <v>30.7</v>
      </c>
      <c r="S13" s="0" t="n">
        <v>16.7</v>
      </c>
      <c r="T13" s="0" t="n">
        <v>227.2627</v>
      </c>
      <c r="U13" s="0" t="n">
        <v>1.2</v>
      </c>
      <c r="AA13" s="0" t="s">
        <v>17</v>
      </c>
      <c r="AB13" s="0" t="s">
        <v>14</v>
      </c>
      <c r="AD13" s="0" t="n">
        <v>227.2627</v>
      </c>
      <c r="AE13" s="0" t="n">
        <v>773.7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12.41</v>
      </c>
    </row>
    <row r="3" customFormat="false" ht="15" hidden="false" customHeight="false" outlineLevel="0" collapsed="false">
      <c r="A3" s="0" t="s">
        <v>81</v>
      </c>
      <c r="B3" s="3" t="n">
        <v>227.263</v>
      </c>
    </row>
    <row r="4" customFormat="false" ht="15" hidden="false" customHeight="false" outlineLevel="0" collapsed="false">
      <c r="A4" s="0" t="s">
        <v>82</v>
      </c>
      <c r="B4" s="3" t="n">
        <v>14</v>
      </c>
    </row>
    <row r="5" customFormat="false" ht="15" hidden="false" customHeight="false" outlineLevel="0" collapsed="false">
      <c r="A5" s="0" t="s">
        <v>83</v>
      </c>
      <c r="B5" s="3" t="n">
        <v>0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4199.8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1</v>
      </c>
      <c r="D13" s="3" t="n">
        <v>1.5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102</v>
      </c>
      <c r="C14" s="3" t="n">
        <v>10.3</v>
      </c>
      <c r="D14" s="3" t="n">
        <v>10</v>
      </c>
      <c r="E14" s="3" t="n">
        <v>9.8</v>
      </c>
      <c r="F14" s="3" t="n">
        <v>9.8</v>
      </c>
      <c r="G14" s="3" t="n">
        <v>9.8</v>
      </c>
      <c r="H14" s="3" t="n">
        <v>9.9</v>
      </c>
      <c r="I14" s="3" t="n">
        <v>10</v>
      </c>
      <c r="J14" s="3" t="n">
        <v>10</v>
      </c>
      <c r="K14" s="3" t="n">
        <v>10</v>
      </c>
      <c r="L14" s="3" t="n">
        <v>10</v>
      </c>
    </row>
    <row r="15" customFormat="false" ht="15" hidden="false" customHeight="false" outlineLevel="0" collapsed="false">
      <c r="A15" s="0" t="s">
        <v>103</v>
      </c>
      <c r="C15" s="3" t="n">
        <v>0.03</v>
      </c>
      <c r="D15" s="3" t="n">
        <v>0.03</v>
      </c>
      <c r="E15" s="3" t="n">
        <v>0.03</v>
      </c>
      <c r="F15" s="3" t="n">
        <v>0.03</v>
      </c>
      <c r="G15" s="3" t="n">
        <v>0.03</v>
      </c>
      <c r="H15" s="3" t="n">
        <v>0.03</v>
      </c>
      <c r="I15" s="3" t="n">
        <v>0.03</v>
      </c>
      <c r="J15" s="3" t="n">
        <v>0.03</v>
      </c>
      <c r="K15" s="3" t="n">
        <v>0.03</v>
      </c>
      <c r="L15" s="3" t="n">
        <v>0.03</v>
      </c>
    </row>
    <row r="16" customFormat="false" ht="15" hidden="false" customHeight="false" outlineLevel="0" collapsed="false">
      <c r="A16" s="0" t="s">
        <v>104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105</v>
      </c>
      <c r="C17" s="3" t="n">
        <v>3</v>
      </c>
      <c r="D17" s="3" t="n">
        <v>3</v>
      </c>
      <c r="E17" s="3" t="n">
        <v>3</v>
      </c>
      <c r="F17" s="3" t="n">
        <v>3</v>
      </c>
      <c r="G17" s="3" t="n">
        <v>3</v>
      </c>
      <c r="H17" s="3" t="n">
        <v>3</v>
      </c>
      <c r="I17" s="3" t="n">
        <v>3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106</v>
      </c>
      <c r="C18" s="3" t="n">
        <v>3.8</v>
      </c>
      <c r="D18" s="3" t="n">
        <v>3.9</v>
      </c>
      <c r="E18" s="3" t="n">
        <v>3.7</v>
      </c>
      <c r="F18" s="3" t="n">
        <v>3.5</v>
      </c>
      <c r="G18" s="3" t="n">
        <v>3.3</v>
      </c>
      <c r="H18" s="3" t="n">
        <v>3.2</v>
      </c>
      <c r="I18" s="3" t="n">
        <v>3.2</v>
      </c>
      <c r="J18" s="3" t="n">
        <v>3.2</v>
      </c>
      <c r="K18" s="3" t="n">
        <v>3.2</v>
      </c>
      <c r="L18" s="3" t="n">
        <v>3.2</v>
      </c>
    </row>
    <row r="19" customFormat="false" ht="15" hidden="false" customHeight="false" outlineLevel="0" collapsed="false">
      <c r="A19" s="0" t="s">
        <v>107</v>
      </c>
      <c r="C19" s="3" t="n">
        <v>27</v>
      </c>
      <c r="D19" s="3" t="n">
        <v>27.5</v>
      </c>
      <c r="E19" s="3" t="n">
        <v>28</v>
      </c>
      <c r="F19" s="3" t="n">
        <v>28.5</v>
      </c>
      <c r="G19" s="3" t="n">
        <v>29</v>
      </c>
      <c r="H19" s="3" t="n">
        <v>29.5</v>
      </c>
      <c r="I19" s="3" t="n">
        <v>29.5</v>
      </c>
      <c r="J19" s="3" t="n">
        <v>29.5</v>
      </c>
      <c r="K19" s="3" t="n">
        <v>29.5</v>
      </c>
      <c r="L19" s="3" t="n">
        <v>29.5</v>
      </c>
    </row>
    <row r="20" customFormat="false" ht="15" hidden="false" customHeight="false" outlineLevel="0" collapsed="false">
      <c r="A20" s="0" t="s">
        <v>108</v>
      </c>
      <c r="B20" s="3" t="n">
        <v>11</v>
      </c>
    </row>
    <row r="21" customFormat="false" ht="15" hidden="false" customHeight="false" outlineLevel="0" collapsed="false">
      <c r="A21" s="0" t="s">
        <v>109</v>
      </c>
      <c r="B21" s="3" t="n">
        <v>2</v>
      </c>
    </row>
    <row r="22" customFormat="false" ht="15" hidden="false" customHeight="false" outlineLevel="0" collapsed="false">
      <c r="A22" s="0" t="s">
        <v>110</v>
      </c>
      <c r="B22" s="3" t="n">
        <v>11</v>
      </c>
    </row>
    <row r="23" customFormat="false" ht="15" hidden="false" customHeight="false" outlineLevel="0" collapsed="false">
      <c r="A23" s="0" t="s">
        <v>111</v>
      </c>
      <c r="B23" s="3" t="n">
        <v>-28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3.5</v>
      </c>
      <c r="D27" s="3" t="n">
        <v>4</v>
      </c>
      <c r="E27" s="3" t="n">
        <v>4</v>
      </c>
      <c r="F27" s="3" t="n">
        <v>4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102</v>
      </c>
      <c r="C28" s="3" t="n">
        <v>11.2</v>
      </c>
      <c r="D28" s="3" t="n">
        <v>11.5</v>
      </c>
      <c r="E28" s="3" t="n">
        <v>11.8</v>
      </c>
      <c r="F28" s="3" t="n">
        <v>12</v>
      </c>
      <c r="G28" s="3" t="n">
        <v>12.1</v>
      </c>
      <c r="H28" s="3" t="n">
        <v>12.2</v>
      </c>
      <c r="I28" s="3" t="n">
        <v>12.2</v>
      </c>
      <c r="J28" s="3" t="n">
        <v>12.3</v>
      </c>
      <c r="K28" s="3" t="n">
        <v>12.3</v>
      </c>
      <c r="L28" s="3" t="n">
        <v>12.3</v>
      </c>
    </row>
    <row r="29" customFormat="false" ht="15" hidden="false" customHeight="false" outlineLevel="0" collapsed="false">
      <c r="A29" s="0" t="s">
        <v>103</v>
      </c>
      <c r="C29" s="3" t="n">
        <v>0.03</v>
      </c>
      <c r="D29" s="3" t="n">
        <v>0.03</v>
      </c>
      <c r="E29" s="3" t="n">
        <v>0.03</v>
      </c>
      <c r="F29" s="3" t="n">
        <v>0.03</v>
      </c>
      <c r="G29" s="3" t="n">
        <v>0.03</v>
      </c>
      <c r="H29" s="3" t="n">
        <v>0.03</v>
      </c>
      <c r="I29" s="3" t="n">
        <v>0.03</v>
      </c>
      <c r="J29" s="3" t="n">
        <v>0.03</v>
      </c>
      <c r="K29" s="3" t="n">
        <v>0.03</v>
      </c>
      <c r="L29" s="3" t="n">
        <v>0.03</v>
      </c>
    </row>
    <row r="30" customFormat="false" ht="15" hidden="false" customHeight="false" outlineLevel="0" collapsed="false">
      <c r="A30" s="0" t="s">
        <v>104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105</v>
      </c>
      <c r="C31" s="3" t="n">
        <v>2.9</v>
      </c>
      <c r="D31" s="3" t="n">
        <v>2.9</v>
      </c>
      <c r="E31" s="3" t="n">
        <v>2.9</v>
      </c>
      <c r="F31" s="3" t="n">
        <v>2.9</v>
      </c>
      <c r="G31" s="3" t="n">
        <v>2.9</v>
      </c>
      <c r="H31" s="3" t="n">
        <v>2.9</v>
      </c>
      <c r="I31" s="3" t="n">
        <v>2.9</v>
      </c>
      <c r="J31" s="3" t="n">
        <v>2.9</v>
      </c>
      <c r="K31" s="3" t="n">
        <v>2.9</v>
      </c>
      <c r="L31" s="3" t="n">
        <v>2.9</v>
      </c>
    </row>
    <row r="32" customFormat="false" ht="15" hidden="false" customHeight="false" outlineLevel="0" collapsed="false">
      <c r="A32" s="0" t="s">
        <v>106</v>
      </c>
      <c r="C32" s="3" t="n">
        <v>3.7</v>
      </c>
      <c r="D32" s="3" t="n">
        <v>3.7</v>
      </c>
      <c r="E32" s="3" t="n">
        <v>3.5</v>
      </c>
      <c r="F32" s="3" t="n">
        <v>3.3</v>
      </c>
      <c r="G32" s="3" t="n">
        <v>3.1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107</v>
      </c>
      <c r="C33" s="3" t="n">
        <v>26.5</v>
      </c>
      <c r="D33" s="3" t="n">
        <v>27</v>
      </c>
      <c r="E33" s="3" t="n">
        <v>27.5</v>
      </c>
      <c r="F33" s="3" t="n">
        <v>28</v>
      </c>
      <c r="G33" s="3" t="n">
        <v>28.5</v>
      </c>
      <c r="H33" s="3" t="n">
        <v>29</v>
      </c>
      <c r="I33" s="3" t="n">
        <v>29</v>
      </c>
      <c r="J33" s="3" t="n">
        <v>29</v>
      </c>
      <c r="K33" s="3" t="n">
        <v>29</v>
      </c>
      <c r="L33" s="3" t="n">
        <v>29</v>
      </c>
    </row>
    <row r="34" customFormat="false" ht="15" hidden="false" customHeight="false" outlineLevel="0" collapsed="false">
      <c r="A34" s="0" t="s">
        <v>108</v>
      </c>
      <c r="B34" s="3" t="n">
        <v>9.5</v>
      </c>
    </row>
    <row r="35" customFormat="false" ht="15" hidden="false" customHeight="false" outlineLevel="0" collapsed="false">
      <c r="A35" s="0" t="s">
        <v>109</v>
      </c>
      <c r="B35" s="3" t="n">
        <v>2.5</v>
      </c>
    </row>
    <row r="36" customFormat="false" ht="15" hidden="false" customHeight="false" outlineLevel="0" collapsed="false">
      <c r="A36" s="0" t="s">
        <v>110</v>
      </c>
      <c r="B36" s="3" t="n">
        <v>14</v>
      </c>
    </row>
    <row r="37" customFormat="false" ht="15" hidden="false" customHeight="false" outlineLevel="0" collapsed="false">
      <c r="A37" s="0" t="s">
        <v>111</v>
      </c>
      <c r="B37" s="3" t="n">
        <v>-20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5</v>
      </c>
      <c r="D41" s="3" t="n">
        <v>5.5</v>
      </c>
      <c r="E41" s="3" t="n">
        <v>5.5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102</v>
      </c>
      <c r="C42" s="3" t="n">
        <v>11.5</v>
      </c>
      <c r="D42" s="3" t="n">
        <v>12.2</v>
      </c>
      <c r="E42" s="3" t="n">
        <v>12.9</v>
      </c>
      <c r="F42" s="3" t="n">
        <v>13.4</v>
      </c>
      <c r="G42" s="3" t="n">
        <v>13.8</v>
      </c>
      <c r="H42" s="3" t="n">
        <v>14</v>
      </c>
      <c r="I42" s="3" t="n">
        <v>14.1</v>
      </c>
      <c r="J42" s="3" t="n">
        <v>14.2</v>
      </c>
      <c r="K42" s="3" t="n">
        <v>14.2</v>
      </c>
      <c r="L42" s="3" t="n">
        <v>14.2</v>
      </c>
    </row>
    <row r="43" customFormat="false" ht="15" hidden="false" customHeight="false" outlineLevel="0" collapsed="false">
      <c r="A43" s="0" t="s">
        <v>103</v>
      </c>
      <c r="C43" s="3" t="n">
        <v>0.03</v>
      </c>
      <c r="D43" s="3" t="n">
        <v>0.03</v>
      </c>
      <c r="E43" s="3" t="n">
        <v>0.03</v>
      </c>
      <c r="F43" s="3" t="n">
        <v>0.03</v>
      </c>
      <c r="G43" s="3" t="n">
        <v>0.03</v>
      </c>
      <c r="H43" s="3" t="n">
        <v>0.03</v>
      </c>
      <c r="I43" s="3" t="n">
        <v>0.03</v>
      </c>
      <c r="J43" s="3" t="n">
        <v>0.03</v>
      </c>
      <c r="K43" s="3" t="n">
        <v>0.03</v>
      </c>
      <c r="L43" s="3" t="n">
        <v>0.03</v>
      </c>
    </row>
    <row r="44" customFormat="false" ht="15" hidden="false" customHeight="false" outlineLevel="0" collapsed="false">
      <c r="A44" s="0" t="s">
        <v>104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105</v>
      </c>
      <c r="C45" s="3" t="n">
        <v>2.9</v>
      </c>
      <c r="D45" s="3" t="n">
        <v>2.9</v>
      </c>
      <c r="E45" s="3" t="n">
        <v>2.8</v>
      </c>
      <c r="F45" s="3" t="n">
        <v>2.8</v>
      </c>
      <c r="G45" s="3" t="n">
        <v>2.8</v>
      </c>
      <c r="H45" s="3" t="n">
        <v>2.8</v>
      </c>
      <c r="I45" s="3" t="n">
        <v>2.8</v>
      </c>
      <c r="J45" s="3" t="n">
        <v>2.8</v>
      </c>
      <c r="K45" s="3" t="n">
        <v>2.8</v>
      </c>
      <c r="L45" s="3" t="n">
        <v>2.8</v>
      </c>
    </row>
    <row r="46" customFormat="false" ht="15" hidden="false" customHeight="false" outlineLevel="0" collapsed="false">
      <c r="A46" s="0" t="s">
        <v>106</v>
      </c>
      <c r="C46" s="3" t="n">
        <v>3.8</v>
      </c>
      <c r="D46" s="3" t="n">
        <v>3.8</v>
      </c>
      <c r="E46" s="3" t="n">
        <v>3.6</v>
      </c>
      <c r="F46" s="3" t="n">
        <v>3.3</v>
      </c>
      <c r="G46" s="3" t="n">
        <v>3.1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107</v>
      </c>
      <c r="C47" s="3" t="n">
        <v>26</v>
      </c>
      <c r="D47" s="3" t="n">
        <v>26.5</v>
      </c>
      <c r="E47" s="3" t="n">
        <v>27</v>
      </c>
      <c r="F47" s="3" t="n">
        <v>27.5</v>
      </c>
      <c r="G47" s="3" t="n">
        <v>28</v>
      </c>
      <c r="H47" s="3" t="n">
        <v>28.5</v>
      </c>
      <c r="I47" s="3" t="n">
        <v>28.5</v>
      </c>
      <c r="J47" s="3" t="n">
        <v>28.5</v>
      </c>
      <c r="K47" s="3" t="n">
        <v>28.5</v>
      </c>
      <c r="L47" s="3" t="n">
        <v>28.5</v>
      </c>
    </row>
    <row r="48" customFormat="false" ht="15" hidden="false" customHeight="false" outlineLevel="0" collapsed="false">
      <c r="A48" s="0" t="s">
        <v>108</v>
      </c>
      <c r="B48" s="3" t="n">
        <v>8.5</v>
      </c>
    </row>
    <row r="49" customFormat="false" ht="15" hidden="false" customHeight="false" outlineLevel="0" collapsed="false">
      <c r="A49" s="0" t="s">
        <v>109</v>
      </c>
      <c r="B49" s="3" t="n">
        <v>3</v>
      </c>
    </row>
    <row r="50" customFormat="false" ht="15" hidden="false" customHeight="false" outlineLevel="0" collapsed="false">
      <c r="A50" s="0" t="s">
        <v>110</v>
      </c>
      <c r="B50" s="3" t="n">
        <v>15</v>
      </c>
    </row>
    <row r="51" customFormat="false" ht="15" hidden="false" customHeight="false" outlineLevel="0" collapsed="false">
      <c r="A51" s="0" t="s">
        <v>111</v>
      </c>
      <c r="B51" s="3" t="n">
        <v>-15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1</v>
      </c>
      <c r="D5" s="4" t="n">
        <f aca="false">Assumptions!D13</f>
        <v>1.5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4199.8</v>
      </c>
      <c r="C6" s="0" t="n">
        <f aca="false">B6*(1+C5/100)</f>
        <v>4241.798</v>
      </c>
      <c r="D6" s="0" t="n">
        <f aca="false">C6*(1+D5/100)</f>
        <v>4305.42497</v>
      </c>
      <c r="E6" s="0" t="n">
        <f aca="false">D6*(1+E5/100)</f>
        <v>4391.5334694</v>
      </c>
      <c r="F6" s="0" t="n">
        <f aca="false">E6*(1+F5/100)</f>
        <v>4479.364138788</v>
      </c>
      <c r="G6" s="0" t="n">
        <f aca="false">F6*(1+G5/100)</f>
        <v>4568.95142156376</v>
      </c>
      <c r="H6" s="0" t="n">
        <f aca="false">G6*(1+H5/100)</f>
        <v>4660.33044999504</v>
      </c>
      <c r="I6" s="0" t="n">
        <f aca="false">H6*(1+I5/100)</f>
        <v>4753.53705899494</v>
      </c>
      <c r="J6" s="0" t="n">
        <f aca="false">I6*(1+J5/100)</f>
        <v>4848.60780017484</v>
      </c>
      <c r="K6" s="0" t="n">
        <f aca="false">J6*(1+K5/100)</f>
        <v>4945.57995617833</v>
      </c>
      <c r="L6" s="0" t="n">
        <f aca="false">K6*(1+L5/100)</f>
        <v>5044.4915553019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10.3</v>
      </c>
      <c r="D7" s="4" t="n">
        <f aca="false">Assumptions!D14</f>
        <v>10</v>
      </c>
      <c r="E7" s="4" t="n">
        <f aca="false">Assumptions!E14</f>
        <v>9.8</v>
      </c>
      <c r="F7" s="4" t="n">
        <f aca="false">Assumptions!F14</f>
        <v>9.8</v>
      </c>
      <c r="G7" s="4" t="n">
        <f aca="false">Assumptions!G14</f>
        <v>9.8</v>
      </c>
      <c r="H7" s="4" t="n">
        <f aca="false">Assumptions!H14</f>
        <v>9.9</v>
      </c>
      <c r="I7" s="4" t="n">
        <f aca="false">Assumptions!I14</f>
        <v>10</v>
      </c>
      <c r="J7" s="4" t="n">
        <f aca="false">Assumptions!J14</f>
        <v>10</v>
      </c>
      <c r="K7" s="4" t="n">
        <f aca="false">Assumptions!K14</f>
        <v>10</v>
      </c>
      <c r="L7" s="4" t="n">
        <f aca="false">Assumptions!L14</f>
        <v>10</v>
      </c>
    </row>
    <row r="8" customFormat="false" ht="15" hidden="false" customHeight="false" outlineLevel="0" collapsed="false">
      <c r="A8" s="0" t="s">
        <v>43</v>
      </c>
      <c r="C8" s="0" t="n">
        <f aca="false">C6*C7/100</f>
        <v>436.905194</v>
      </c>
      <c r="D8" s="0" t="n">
        <f aca="false">D6*D7/100</f>
        <v>430.542497</v>
      </c>
      <c r="E8" s="0" t="n">
        <f aca="false">E6*E7/100</f>
        <v>430.3702800012</v>
      </c>
      <c r="F8" s="0" t="n">
        <f aca="false">F6*F7/100</f>
        <v>438.977685601224</v>
      </c>
      <c r="G8" s="0" t="n">
        <f aca="false">G6*G7/100</f>
        <v>447.757239313249</v>
      </c>
      <c r="H8" s="0" t="n">
        <f aca="false">H6*H7/100</f>
        <v>461.372714549509</v>
      </c>
      <c r="I8" s="0" t="n">
        <f aca="false">I6*I7/100</f>
        <v>475.353705899494</v>
      </c>
      <c r="J8" s="0" t="n">
        <f aca="false">J6*J7/100</f>
        <v>484.860780017484</v>
      </c>
      <c r="K8" s="0" t="n">
        <f aca="false">K6*K7/100</f>
        <v>494.557995617833</v>
      </c>
      <c r="L8" s="0" t="n">
        <f aca="false">L6*L7/100</f>
        <v>504.44915553019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0.03</v>
      </c>
      <c r="D9" s="4" t="n">
        <f aca="false">Assumptions!D15</f>
        <v>0.03</v>
      </c>
      <c r="E9" s="4" t="n">
        <f aca="false">Assumptions!E15</f>
        <v>0.03</v>
      </c>
      <c r="F9" s="4" t="n">
        <f aca="false">Assumptions!F15</f>
        <v>0.03</v>
      </c>
      <c r="G9" s="4" t="n">
        <f aca="false">Assumptions!G15</f>
        <v>0.03</v>
      </c>
      <c r="H9" s="4" t="n">
        <f aca="false">Assumptions!H15</f>
        <v>0.03</v>
      </c>
      <c r="I9" s="4" t="n">
        <f aca="false">Assumptions!I15</f>
        <v>0.03</v>
      </c>
      <c r="J9" s="4" t="n">
        <f aca="false">Assumptions!J15</f>
        <v>0.03</v>
      </c>
      <c r="K9" s="4" t="n">
        <f aca="false">Assumptions!K15</f>
        <v>0.03</v>
      </c>
      <c r="L9" s="4" t="n">
        <f aca="false">Assumptions!L15</f>
        <v>0.03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-1.2725394</v>
      </c>
      <c r="D10" s="0" t="n">
        <f aca="false">-D6*D9/100</f>
        <v>-1.291627491</v>
      </c>
      <c r="E10" s="0" t="n">
        <f aca="false">-E6*E9/100</f>
        <v>-1.31746004082</v>
      </c>
      <c r="F10" s="0" t="n">
        <f aca="false">-F6*F9/100</f>
        <v>-1.3438092416364</v>
      </c>
      <c r="G10" s="0" t="n">
        <f aca="false">-G6*G9/100</f>
        <v>-1.37068542646913</v>
      </c>
      <c r="H10" s="0" t="n">
        <f aca="false">-H6*H9/100</f>
        <v>-1.39809913499851</v>
      </c>
      <c r="I10" s="0" t="n">
        <f aca="false">-I6*I9/100</f>
        <v>-1.42606111769848</v>
      </c>
      <c r="J10" s="0" t="n">
        <f aca="false">-J6*J9/100</f>
        <v>-1.45458234005245</v>
      </c>
      <c r="K10" s="0" t="n">
        <f aca="false">-K6*K9/100</f>
        <v>-1.4836739868535</v>
      </c>
      <c r="L10" s="0" t="n">
        <f aca="false">-L6*L9/100</f>
        <v>-1.51334746659057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435.6326546</v>
      </c>
      <c r="D11" s="0" t="n">
        <f aca="false">D8+D10+D24</f>
        <v>429.250869509</v>
      </c>
      <c r="E11" s="0" t="n">
        <f aca="false">E8+E10+E24</f>
        <v>429.05281996038</v>
      </c>
      <c r="F11" s="0" t="n">
        <f aca="false">F8+F10+F24</f>
        <v>437.633876359588</v>
      </c>
      <c r="G11" s="0" t="n">
        <f aca="false">G8+G10+G24</f>
        <v>446.386553886779</v>
      </c>
      <c r="H11" s="0" t="n">
        <f aca="false">H8+H10+H24</f>
        <v>459.97461541451</v>
      </c>
      <c r="I11" s="0" t="n">
        <f aca="false">I8+I10+I24</f>
        <v>473.927644781795</v>
      </c>
      <c r="J11" s="0" t="n">
        <f aca="false">J8+J10+J24</f>
        <v>483.406197677431</v>
      </c>
      <c r="K11" s="0" t="n">
        <f aca="false">K8+K10+K24</f>
        <v>493.07432163098</v>
      </c>
      <c r="L11" s="0" t="n">
        <f aca="false">L8+L10+L24</f>
        <v>502.935808063599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-127.25394</v>
      </c>
      <c r="D12" s="4" t="n">
        <f aca="false">-D6*Assumptions!D17/100</f>
        <v>-129.1627491</v>
      </c>
      <c r="E12" s="4" t="n">
        <f aca="false">-E6*Assumptions!E17/100</f>
        <v>-131.746004082</v>
      </c>
      <c r="F12" s="4" t="n">
        <f aca="false">-F6*Assumptions!F17/100</f>
        <v>-134.38092416364</v>
      </c>
      <c r="G12" s="4" t="n">
        <f aca="false">-G6*Assumptions!G17/100</f>
        <v>-137.068542646913</v>
      </c>
      <c r="H12" s="4" t="n">
        <f aca="false">-H6*Assumptions!H17/100</f>
        <v>-139.809913499851</v>
      </c>
      <c r="I12" s="4" t="n">
        <f aca="false">-I6*Assumptions!I17/100</f>
        <v>-142.606111769848</v>
      </c>
      <c r="J12" s="4" t="n">
        <f aca="false">-J6*Assumptions!J17/100</f>
        <v>-145.458234005245</v>
      </c>
      <c r="K12" s="4" t="n">
        <f aca="false">-K6*Assumptions!K17/100</f>
        <v>-148.36739868535</v>
      </c>
      <c r="L12" s="4" t="n">
        <f aca="false">-L6*Assumptions!L17/100</f>
        <v>-151.334746659057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308.3787146</v>
      </c>
      <c r="D13" s="0" t="n">
        <f aca="false">D11+D12</f>
        <v>300.088120409</v>
      </c>
      <c r="E13" s="0" t="n">
        <f aca="false">E11+E12</f>
        <v>297.30681587838</v>
      </c>
      <c r="F13" s="0" t="n">
        <f aca="false">F11+F12</f>
        <v>303.252952195948</v>
      </c>
      <c r="G13" s="0" t="n">
        <f aca="false">G11+G12</f>
        <v>309.318011239867</v>
      </c>
      <c r="H13" s="0" t="n">
        <f aca="false">H11+H12</f>
        <v>320.164701914659</v>
      </c>
      <c r="I13" s="0" t="n">
        <f aca="false">I11+I12</f>
        <v>331.321533011947</v>
      </c>
      <c r="J13" s="0" t="n">
        <f aca="false">J11+J12</f>
        <v>337.947963672186</v>
      </c>
      <c r="K13" s="0" t="n">
        <f aca="false">K11+K12</f>
        <v>344.70692294563</v>
      </c>
      <c r="L13" s="0" t="n">
        <f aca="false">L11+L12</f>
        <v>351.601061404542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27</v>
      </c>
      <c r="D14" s="4" t="n">
        <f aca="false">Assumptions!D19</f>
        <v>27.5</v>
      </c>
      <c r="E14" s="4" t="n">
        <f aca="false">Assumptions!E19</f>
        <v>28</v>
      </c>
      <c r="F14" s="4" t="n">
        <f aca="false">Assumptions!F19</f>
        <v>28.5</v>
      </c>
      <c r="G14" s="4" t="n">
        <f aca="false">Assumptions!G19</f>
        <v>29</v>
      </c>
      <c r="H14" s="4" t="n">
        <f aca="false">Assumptions!H19</f>
        <v>29.5</v>
      </c>
      <c r="I14" s="4" t="n">
        <f aca="false">Assumptions!I19</f>
        <v>29.5</v>
      </c>
      <c r="J14" s="4" t="n">
        <f aca="false">Assumptions!J19</f>
        <v>29.5</v>
      </c>
      <c r="K14" s="4" t="n">
        <f aca="false">Assumptions!K19</f>
        <v>29.5</v>
      </c>
      <c r="L14" s="4" t="n">
        <f aca="false">Assumptions!L19</f>
        <v>29.5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225.116461658</v>
      </c>
      <c r="D15" s="0" t="n">
        <f aca="false">D13-MAX(0,D13)*D14/100</f>
        <v>217.563887296525</v>
      </c>
      <c r="E15" s="0" t="n">
        <f aca="false">E13-MAX(0,E13)*E14/100</f>
        <v>214.060907432434</v>
      </c>
      <c r="F15" s="0" t="n">
        <f aca="false">F13-MAX(0,F13)*F14/100</f>
        <v>216.825860820103</v>
      </c>
      <c r="G15" s="0" t="n">
        <f aca="false">G13-MAX(0,G13)*G14/100</f>
        <v>219.615787980305</v>
      </c>
      <c r="H15" s="0" t="n">
        <f aca="false">H13-MAX(0,H13)*H14/100</f>
        <v>225.716114849835</v>
      </c>
      <c r="I15" s="0" t="n">
        <f aca="false">I13-MAX(0,I13)*I14/100</f>
        <v>233.581680773423</v>
      </c>
      <c r="J15" s="0" t="n">
        <f aca="false">J13-MAX(0,J13)*J14/100</f>
        <v>238.253314388891</v>
      </c>
      <c r="K15" s="0" t="n">
        <f aca="false">K13-MAX(0,K13)*K14/100</f>
        <v>243.018380676669</v>
      </c>
      <c r="L15" s="0" t="n">
        <f aca="false">L13-MAX(0,L13)*L14/100</f>
        <v>247.878748290202</v>
      </c>
    </row>
    <row r="16" customFormat="false" ht="15" hidden="false" customHeight="false" outlineLevel="0" collapsed="false">
      <c r="A16" s="0" t="s">
        <v>123</v>
      </c>
      <c r="C16" s="0" t="n">
        <f aca="false">-C12</f>
        <v>127.25394</v>
      </c>
      <c r="D16" s="0" t="n">
        <f aca="false">-D12</f>
        <v>129.1627491</v>
      </c>
      <c r="E16" s="0" t="n">
        <f aca="false">-E12</f>
        <v>131.746004082</v>
      </c>
      <c r="F16" s="0" t="n">
        <f aca="false">-F12</f>
        <v>134.38092416364</v>
      </c>
      <c r="G16" s="0" t="n">
        <f aca="false">-G12</f>
        <v>137.068542646913</v>
      </c>
      <c r="H16" s="0" t="n">
        <f aca="false">-H12</f>
        <v>139.809913499851</v>
      </c>
      <c r="I16" s="0" t="n">
        <f aca="false">-I12</f>
        <v>142.606111769848</v>
      </c>
      <c r="J16" s="0" t="n">
        <f aca="false">-J12</f>
        <v>145.458234005245</v>
      </c>
      <c r="K16" s="0" t="n">
        <f aca="false">-K12</f>
        <v>148.36739868535</v>
      </c>
      <c r="L16" s="0" t="n">
        <f aca="false">-L12</f>
        <v>151.334746659057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-161.188324</v>
      </c>
      <c r="D17" s="4" t="n">
        <f aca="false">-D6*Assumptions!D18/100</f>
        <v>-167.91157383</v>
      </c>
      <c r="E17" s="4" t="n">
        <f aca="false">-E6*Assumptions!E18/100</f>
        <v>-162.4867383678</v>
      </c>
      <c r="F17" s="4" t="n">
        <f aca="false">-F6*Assumptions!F18/100</f>
        <v>-156.77774485758</v>
      </c>
      <c r="G17" s="4" t="n">
        <f aca="false">-G6*Assumptions!G18/100</f>
        <v>-150.775396911604</v>
      </c>
      <c r="H17" s="4" t="n">
        <f aca="false">-H6*Assumptions!H18/100</f>
        <v>-149.130574399841</v>
      </c>
      <c r="I17" s="4" t="n">
        <f aca="false">-I6*Assumptions!I18/100</f>
        <v>-152.113185887838</v>
      </c>
      <c r="J17" s="4" t="n">
        <f aca="false">-J6*Assumptions!J18/100</f>
        <v>-155.155449605595</v>
      </c>
      <c r="K17" s="4" t="n">
        <f aca="false">-K6*Assumptions!K18/100</f>
        <v>-158.258558597707</v>
      </c>
      <c r="L17" s="4" t="n">
        <f aca="false">-L6*Assumptions!L18/100</f>
        <v>-161.423729769661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-11.7594399999999</v>
      </c>
      <c r="D18" s="4" t="n">
        <f aca="false">(D6-C6)*Assumptions!$B$23/100</f>
        <v>-17.8155515999998</v>
      </c>
      <c r="E18" s="4" t="n">
        <f aca="false">(E6-D6)*Assumptions!$B$23/100</f>
        <v>-24.1103798320001</v>
      </c>
      <c r="F18" s="4" t="n">
        <f aca="false">(F6-E6)*Assumptions!$B$23/100</f>
        <v>-24.5925874286401</v>
      </c>
      <c r="G18" s="4" t="n">
        <f aca="false">(G6-F6)*Assumptions!$B$23/100</f>
        <v>-25.0844391772129</v>
      </c>
      <c r="H18" s="4" t="n">
        <f aca="false">(H6-G6)*Assumptions!$B$23/100</f>
        <v>-25.5861279607571</v>
      </c>
      <c r="I18" s="4" t="n">
        <f aca="false">(I6-H6)*Assumptions!$B$23/100</f>
        <v>-26.0978505199722</v>
      </c>
      <c r="J18" s="4" t="n">
        <f aca="false">(J6-I6)*Assumptions!$B$23/100</f>
        <v>-26.6198075303716</v>
      </c>
      <c r="K18" s="4" t="n">
        <f aca="false">(K6-J6)*Assumptions!$B$23/100</f>
        <v>-27.1522036809791</v>
      </c>
      <c r="L18" s="4" t="n">
        <f aca="false">(L6-K6)*Assumptions!$B$23/100</f>
        <v>-27.6952477545987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179.422637658</v>
      </c>
      <c r="D19" s="0" t="n">
        <f aca="false">D15+D16+D17+D18</f>
        <v>160.999510966525</v>
      </c>
      <c r="E19" s="0" t="n">
        <f aca="false">E15+E16+E17+E18</f>
        <v>159.209793314634</v>
      </c>
      <c r="F19" s="0" t="n">
        <f aca="false">F15+F16+F17+F18</f>
        <v>169.836452697522</v>
      </c>
      <c r="G19" s="0" t="n">
        <f aca="false">G15+G16+G17+G18</f>
        <v>180.824494538401</v>
      </c>
      <c r="H19" s="0" t="n">
        <f aca="false">H15+H16+H17+H18</f>
        <v>190.809325989087</v>
      </c>
      <c r="I19" s="0" t="n">
        <f aca="false">I15+I16+I17+I18</f>
        <v>197.976756135461</v>
      </c>
      <c r="J19" s="0" t="n">
        <f aca="false">J15+J16+J17+J18</f>
        <v>201.93629125817</v>
      </c>
      <c r="K19" s="0" t="n">
        <f aca="false">K15+K16+K17+K18</f>
        <v>205.975017083333</v>
      </c>
      <c r="L19" s="0" t="n">
        <f aca="false">L15+L16+L17+L18</f>
        <v>210.094517425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161.642015908108</v>
      </c>
      <c r="D21" s="0" t="n">
        <f aca="false">D19*D20</f>
        <v>130.670814841754</v>
      </c>
      <c r="E21" s="0" t="n">
        <f aca="false">E19*E20</f>
        <v>116.412828690366</v>
      </c>
      <c r="F21" s="0" t="n">
        <f aca="false">F19*F20</f>
        <v>111.87653193077</v>
      </c>
      <c r="G21" s="0" t="n">
        <f aca="false">G19*G20</f>
        <v>107.310536429332</v>
      </c>
      <c r="H21" s="0" t="n">
        <f aca="false">H19*H20</f>
        <v>102.014457580344</v>
      </c>
      <c r="I21" s="0" t="n">
        <f aca="false">I19*I20</f>
        <v>95.357169753522</v>
      </c>
      <c r="J21" s="0" t="n">
        <f aca="false">J19*J20</f>
        <v>87.6255073410743</v>
      </c>
      <c r="K21" s="0" t="n">
        <f aca="false">K19*K20</f>
        <v>80.5207364755817</v>
      </c>
      <c r="L21" s="0" t="n">
        <f aca="false">L19*L20</f>
        <v>73.9920281126967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1067.42262706355</v>
      </c>
    </row>
    <row r="31" customFormat="false" ht="15" hidden="false" customHeight="false" outlineLevel="0" collapsed="false">
      <c r="A31" s="0" t="s">
        <v>132</v>
      </c>
      <c r="B31" s="0" t="n">
        <f aca="false">L19</f>
        <v>210.094517425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2381.07119748333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2311.039691675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2311.039691675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813.912309239664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1881.33493630321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1867.33493630321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8.21662539130089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-0.337902869355287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8.03522446711292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6.04041153889308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8.27856084056454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1648.43390595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5.70409950563459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3.5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4199.8</v>
      </c>
      <c r="C6" s="0" t="n">
        <f aca="false">B6*(1+C5/100)</f>
        <v>4346.793</v>
      </c>
      <c r="D6" s="0" t="n">
        <f aca="false">C6*(1+D5/100)</f>
        <v>4520.66472</v>
      </c>
      <c r="E6" s="0" t="n">
        <f aca="false">D6*(1+E5/100)</f>
        <v>4701.4913088</v>
      </c>
      <c r="F6" s="0" t="n">
        <f aca="false">E6*(1+F5/100)</f>
        <v>4889.550961152</v>
      </c>
      <c r="G6" s="0" t="n">
        <f aca="false">F6*(1+G5/100)</f>
        <v>5060.68524479232</v>
      </c>
      <c r="H6" s="0" t="n">
        <f aca="false">G6*(1+H5/100)</f>
        <v>5237.80922836005</v>
      </c>
      <c r="I6" s="0" t="n">
        <f aca="false">H6*(1+I5/100)</f>
        <v>5394.94350521085</v>
      </c>
      <c r="J6" s="0" t="n">
        <f aca="false">I6*(1+J5/100)</f>
        <v>5556.79181036718</v>
      </c>
      <c r="K6" s="0" t="n">
        <f aca="false">J6*(1+K5/100)</f>
        <v>5695.71160562636</v>
      </c>
      <c r="L6" s="0" t="n">
        <f aca="false">K6*(1+L5/100)</f>
        <v>5838.10439576702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11.2</v>
      </c>
      <c r="D7" s="4" t="n">
        <f aca="false">Assumptions!D28</f>
        <v>11.5</v>
      </c>
      <c r="E7" s="4" t="n">
        <f aca="false">Assumptions!E28</f>
        <v>11.8</v>
      </c>
      <c r="F7" s="4" t="n">
        <f aca="false">Assumptions!F28</f>
        <v>12</v>
      </c>
      <c r="G7" s="4" t="n">
        <f aca="false">Assumptions!G28</f>
        <v>12.1</v>
      </c>
      <c r="H7" s="4" t="n">
        <f aca="false">Assumptions!H28</f>
        <v>12.2</v>
      </c>
      <c r="I7" s="4" t="n">
        <f aca="false">Assumptions!I28</f>
        <v>12.2</v>
      </c>
      <c r="J7" s="4" t="n">
        <f aca="false">Assumptions!J28</f>
        <v>12.3</v>
      </c>
      <c r="K7" s="4" t="n">
        <f aca="false">Assumptions!K28</f>
        <v>12.3</v>
      </c>
      <c r="L7" s="4" t="n">
        <f aca="false">Assumptions!L28</f>
        <v>12.3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486.840816</v>
      </c>
      <c r="D8" s="0" t="n">
        <f aca="false">D6*D7/100</f>
        <v>519.8764428</v>
      </c>
      <c r="E8" s="0" t="n">
        <f aca="false">E6*E7/100</f>
        <v>554.7759744384</v>
      </c>
      <c r="F8" s="0" t="n">
        <f aca="false">F6*F7/100</f>
        <v>586.74611533824</v>
      </c>
      <c r="G8" s="0" t="n">
        <f aca="false">G6*G7/100</f>
        <v>612.342914619871</v>
      </c>
      <c r="H8" s="0" t="n">
        <f aca="false">H6*H7/100</f>
        <v>639.012725859926</v>
      </c>
      <c r="I8" s="0" t="n">
        <f aca="false">I6*I7/100</f>
        <v>658.183107635724</v>
      </c>
      <c r="J8" s="0" t="n">
        <f aca="false">J6*J7/100</f>
        <v>683.485392675163</v>
      </c>
      <c r="K8" s="0" t="n">
        <f aca="false">K6*K7/100</f>
        <v>700.572527492042</v>
      </c>
      <c r="L8" s="0" t="n">
        <f aca="false">L6*L7/100</f>
        <v>718.086840679343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0.03</v>
      </c>
      <c r="D9" s="4" t="n">
        <f aca="false">Assumptions!D29</f>
        <v>0.03</v>
      </c>
      <c r="E9" s="4" t="n">
        <f aca="false">Assumptions!E29</f>
        <v>0.03</v>
      </c>
      <c r="F9" s="4" t="n">
        <f aca="false">Assumptions!F29</f>
        <v>0.03</v>
      </c>
      <c r="G9" s="4" t="n">
        <f aca="false">Assumptions!G29</f>
        <v>0.03</v>
      </c>
      <c r="H9" s="4" t="n">
        <f aca="false">Assumptions!H29</f>
        <v>0.03</v>
      </c>
      <c r="I9" s="4" t="n">
        <f aca="false">Assumptions!I29</f>
        <v>0.03</v>
      </c>
      <c r="J9" s="4" t="n">
        <f aca="false">Assumptions!J29</f>
        <v>0.03</v>
      </c>
      <c r="K9" s="4" t="n">
        <f aca="false">Assumptions!K29</f>
        <v>0.03</v>
      </c>
      <c r="L9" s="4" t="n">
        <f aca="false">Assumptions!L29</f>
        <v>0.03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-1.3040379</v>
      </c>
      <c r="D10" s="0" t="n">
        <f aca="false">-D6*D9/100</f>
        <v>-1.356199416</v>
      </c>
      <c r="E10" s="0" t="n">
        <f aca="false">-E6*E9/100</f>
        <v>-1.41044739264</v>
      </c>
      <c r="F10" s="0" t="n">
        <f aca="false">-F6*F9/100</f>
        <v>-1.4668652883456</v>
      </c>
      <c r="G10" s="0" t="n">
        <f aca="false">-G6*G9/100</f>
        <v>-1.5182055734377</v>
      </c>
      <c r="H10" s="0" t="n">
        <f aca="false">-H6*H9/100</f>
        <v>-1.57134276850802</v>
      </c>
      <c r="I10" s="0" t="n">
        <f aca="false">-I6*I9/100</f>
        <v>-1.61848305156326</v>
      </c>
      <c r="J10" s="0" t="n">
        <f aca="false">-J6*J9/100</f>
        <v>-1.66703754311015</v>
      </c>
      <c r="K10" s="0" t="n">
        <f aca="false">-K6*K9/100</f>
        <v>-1.70871348168791</v>
      </c>
      <c r="L10" s="0" t="n">
        <f aca="false">-L6*L9/100</f>
        <v>-1.7514313187301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485.5367781</v>
      </c>
      <c r="D11" s="0" t="n">
        <f aca="false">D8+D10+D24</f>
        <v>518.520243384</v>
      </c>
      <c r="E11" s="0" t="n">
        <f aca="false">E8+E10+E24</f>
        <v>553.36552704576</v>
      </c>
      <c r="F11" s="0" t="n">
        <f aca="false">F8+F10+F24</f>
        <v>585.279250049895</v>
      </c>
      <c r="G11" s="0" t="n">
        <f aca="false">G8+G10+G24</f>
        <v>610.824709046433</v>
      </c>
      <c r="H11" s="0" t="n">
        <f aca="false">H8+H10+H24</f>
        <v>637.441383091418</v>
      </c>
      <c r="I11" s="0" t="n">
        <f aca="false">I8+I10+I24</f>
        <v>656.564624584161</v>
      </c>
      <c r="J11" s="0" t="n">
        <f aca="false">J8+J10+J24</f>
        <v>681.818355132053</v>
      </c>
      <c r="K11" s="0" t="n">
        <f aca="false">K8+K10+K24</f>
        <v>698.863814010354</v>
      </c>
      <c r="L11" s="0" t="n">
        <f aca="false">L8+L10+L24</f>
        <v>716.335409360613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-126.056997</v>
      </c>
      <c r="D12" s="4" t="n">
        <f aca="false">-D6*Assumptions!D31/100</f>
        <v>-131.09927688</v>
      </c>
      <c r="E12" s="4" t="n">
        <f aca="false">-E6*Assumptions!E31/100</f>
        <v>-136.3432479552</v>
      </c>
      <c r="F12" s="4" t="n">
        <f aca="false">-F6*Assumptions!F31/100</f>
        <v>-141.796977873408</v>
      </c>
      <c r="G12" s="4" t="n">
        <f aca="false">-G6*Assumptions!G31/100</f>
        <v>-146.759872098977</v>
      </c>
      <c r="H12" s="4" t="n">
        <f aca="false">-H6*Assumptions!H31/100</f>
        <v>-151.896467622441</v>
      </c>
      <c r="I12" s="4" t="n">
        <f aca="false">-I6*Assumptions!I31/100</f>
        <v>-156.453361651115</v>
      </c>
      <c r="J12" s="4" t="n">
        <f aca="false">-J6*Assumptions!J31/100</f>
        <v>-161.146962500648</v>
      </c>
      <c r="K12" s="4" t="n">
        <f aca="false">-K6*Assumptions!K31/100</f>
        <v>-165.175636563164</v>
      </c>
      <c r="L12" s="4" t="n">
        <f aca="false">-L6*Assumptions!L31/100</f>
        <v>-169.305027477243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359.4797811</v>
      </c>
      <c r="D13" s="0" t="n">
        <f aca="false">D11+D12</f>
        <v>387.420966504</v>
      </c>
      <c r="E13" s="0" t="n">
        <f aca="false">E11+E12</f>
        <v>417.02227909056</v>
      </c>
      <c r="F13" s="0" t="n">
        <f aca="false">F11+F12</f>
        <v>443.482272176487</v>
      </c>
      <c r="G13" s="0" t="n">
        <f aca="false">G11+G12</f>
        <v>464.064836947456</v>
      </c>
      <c r="H13" s="0" t="n">
        <f aca="false">H11+H12</f>
        <v>485.544915468977</v>
      </c>
      <c r="I13" s="0" t="n">
        <f aca="false">I11+I12</f>
        <v>500.111262933046</v>
      </c>
      <c r="J13" s="0" t="n">
        <f aca="false">J11+J12</f>
        <v>520.671392631405</v>
      </c>
      <c r="K13" s="0" t="n">
        <f aca="false">K11+K12</f>
        <v>533.68817744719</v>
      </c>
      <c r="L13" s="0" t="n">
        <f aca="false">L11+L12</f>
        <v>547.03038188337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26.5</v>
      </c>
      <c r="D14" s="4" t="n">
        <f aca="false">Assumptions!D33</f>
        <v>27</v>
      </c>
      <c r="E14" s="4" t="n">
        <f aca="false">Assumptions!E33</f>
        <v>27.5</v>
      </c>
      <c r="F14" s="4" t="n">
        <f aca="false">Assumptions!F33</f>
        <v>28</v>
      </c>
      <c r="G14" s="4" t="n">
        <f aca="false">Assumptions!G33</f>
        <v>28.5</v>
      </c>
      <c r="H14" s="4" t="n">
        <f aca="false">Assumptions!H33</f>
        <v>29</v>
      </c>
      <c r="I14" s="4" t="n">
        <f aca="false">Assumptions!I33</f>
        <v>29</v>
      </c>
      <c r="J14" s="4" t="n">
        <f aca="false">Assumptions!J33</f>
        <v>29</v>
      </c>
      <c r="K14" s="4" t="n">
        <f aca="false">Assumptions!K33</f>
        <v>29</v>
      </c>
      <c r="L14" s="4" t="n">
        <f aca="false">Assumptions!L33</f>
        <v>29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264.2176391085</v>
      </c>
      <c r="D15" s="0" t="n">
        <f aca="false">D13-MAX(0,D13)*D14/100</f>
        <v>282.81730554792</v>
      </c>
      <c r="E15" s="0" t="n">
        <f aca="false">E13-MAX(0,E13)*E14/100</f>
        <v>302.341152340656</v>
      </c>
      <c r="F15" s="0" t="n">
        <f aca="false">F13-MAX(0,F13)*F14/100</f>
        <v>319.30723596707</v>
      </c>
      <c r="G15" s="0" t="n">
        <f aca="false">G13-MAX(0,G13)*G14/100</f>
        <v>331.806358417431</v>
      </c>
      <c r="H15" s="0" t="n">
        <f aca="false">H13-MAX(0,H13)*H14/100</f>
        <v>344.736889982974</v>
      </c>
      <c r="I15" s="0" t="n">
        <f aca="false">I13-MAX(0,I13)*I14/100</f>
        <v>355.078996682463</v>
      </c>
      <c r="J15" s="0" t="n">
        <f aca="false">J13-MAX(0,J13)*J14/100</f>
        <v>369.676688768297</v>
      </c>
      <c r="K15" s="0" t="n">
        <f aca="false">K13-MAX(0,K13)*K14/100</f>
        <v>378.918605987505</v>
      </c>
      <c r="L15" s="0" t="n">
        <f aca="false">L13-MAX(0,L13)*L14/100</f>
        <v>388.391571137192</v>
      </c>
    </row>
    <row r="16" customFormat="false" ht="15" hidden="false" customHeight="false" outlineLevel="0" collapsed="false">
      <c r="A16" s="0" t="s">
        <v>123</v>
      </c>
      <c r="C16" s="0" t="n">
        <f aca="false">-C12</f>
        <v>126.056997</v>
      </c>
      <c r="D16" s="0" t="n">
        <f aca="false">-D12</f>
        <v>131.09927688</v>
      </c>
      <c r="E16" s="0" t="n">
        <f aca="false">-E12</f>
        <v>136.3432479552</v>
      </c>
      <c r="F16" s="0" t="n">
        <f aca="false">-F12</f>
        <v>141.796977873408</v>
      </c>
      <c r="G16" s="0" t="n">
        <f aca="false">-G12</f>
        <v>146.759872098977</v>
      </c>
      <c r="H16" s="0" t="n">
        <f aca="false">-H12</f>
        <v>151.896467622441</v>
      </c>
      <c r="I16" s="0" t="n">
        <f aca="false">-I12</f>
        <v>156.453361651115</v>
      </c>
      <c r="J16" s="0" t="n">
        <f aca="false">-J12</f>
        <v>161.146962500648</v>
      </c>
      <c r="K16" s="0" t="n">
        <f aca="false">-K12</f>
        <v>165.175636563164</v>
      </c>
      <c r="L16" s="0" t="n">
        <f aca="false">-L12</f>
        <v>169.305027477243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-160.831341</v>
      </c>
      <c r="D17" s="4" t="n">
        <f aca="false">-D6*Assumptions!D32/100</f>
        <v>-167.26459464</v>
      </c>
      <c r="E17" s="4" t="n">
        <f aca="false">-E6*Assumptions!E32/100</f>
        <v>-164.552195808</v>
      </c>
      <c r="F17" s="4" t="n">
        <f aca="false">-F6*Assumptions!F32/100</f>
        <v>-161.355181718016</v>
      </c>
      <c r="G17" s="4" t="n">
        <f aca="false">-G6*Assumptions!G32/100</f>
        <v>-156.881242588562</v>
      </c>
      <c r="H17" s="4" t="n">
        <f aca="false">-H6*Assumptions!H32/100</f>
        <v>-157.134276850802</v>
      </c>
      <c r="I17" s="4" t="n">
        <f aca="false">-I6*Assumptions!I32/100</f>
        <v>-161.848305156326</v>
      </c>
      <c r="J17" s="4" t="n">
        <f aca="false">-J6*Assumptions!J32/100</f>
        <v>-166.703754311015</v>
      </c>
      <c r="K17" s="4" t="n">
        <f aca="false">-K6*Assumptions!K32/100</f>
        <v>-170.871348168791</v>
      </c>
      <c r="L17" s="4" t="n">
        <f aca="false">-L6*Assumptions!L32/100</f>
        <v>-175.143131873011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-29.3985999999999</v>
      </c>
      <c r="D18" s="4" t="n">
        <f aca="false">(D6-C6)*Assumptions!$B$37/100</f>
        <v>-34.774344</v>
      </c>
      <c r="E18" s="4" t="n">
        <f aca="false">(E6-D6)*Assumptions!$B$37/100</f>
        <v>-36.1653177600001</v>
      </c>
      <c r="F18" s="4" t="n">
        <f aca="false">(F6-E6)*Assumptions!$B$37/100</f>
        <v>-37.6119304704</v>
      </c>
      <c r="G18" s="4" t="n">
        <f aca="false">(G6-F6)*Assumptions!$B$37/100</f>
        <v>-34.226856728064</v>
      </c>
      <c r="H18" s="4" t="n">
        <f aca="false">(H6-G6)*Assumptions!$B$37/100</f>
        <v>-35.4247967135461</v>
      </c>
      <c r="I18" s="4" t="n">
        <f aca="false">(I6-H6)*Assumptions!$B$37/100</f>
        <v>-31.4268553701604</v>
      </c>
      <c r="J18" s="4" t="n">
        <f aca="false">(J6-I6)*Assumptions!$B$37/100</f>
        <v>-32.3696610312651</v>
      </c>
      <c r="K18" s="4" t="n">
        <f aca="false">(K6-J6)*Assumptions!$B$37/100</f>
        <v>-27.7839590518359</v>
      </c>
      <c r="L18" s="4" t="n">
        <f aca="false">(L6-K6)*Assumptions!$B$37/100</f>
        <v>-28.4785580281317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200.0446951085</v>
      </c>
      <c r="D19" s="0" t="n">
        <f aca="false">D15+D16+D17+D18</f>
        <v>211.87764378792</v>
      </c>
      <c r="E19" s="0" t="n">
        <f aca="false">E15+E16+E17+E18</f>
        <v>237.966886727856</v>
      </c>
      <c r="F19" s="0" t="n">
        <f aca="false">F15+F16+F17+F18</f>
        <v>262.137101652062</v>
      </c>
      <c r="G19" s="0" t="n">
        <f aca="false">G15+G16+G17+G18</f>
        <v>287.458131199782</v>
      </c>
      <c r="H19" s="0" t="n">
        <f aca="false">H15+H16+H17+H18</f>
        <v>304.074284041067</v>
      </c>
      <c r="I19" s="0" t="n">
        <f aca="false">I15+I16+I17+I18</f>
        <v>318.257197807092</v>
      </c>
      <c r="J19" s="0" t="n">
        <f aca="false">J15+J16+J17+J18</f>
        <v>331.750235926665</v>
      </c>
      <c r="K19" s="0" t="n">
        <f aca="false">K15+K16+K17+K18</f>
        <v>345.438935330042</v>
      </c>
      <c r="L19" s="0" t="n">
        <f aca="false">L15+L16+L17+L18</f>
        <v>354.074908713294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182.689219277169</v>
      </c>
      <c r="D21" s="0" t="n">
        <f aca="false">D19*D20</f>
        <v>176.708278632989</v>
      </c>
      <c r="E21" s="0" t="n">
        <f aca="false">E19*E20</f>
        <v>181.248395773511</v>
      </c>
      <c r="F21" s="0" t="n">
        <f aca="false">F19*F20</f>
        <v>182.335829277482</v>
      </c>
      <c r="G21" s="0" t="n">
        <f aca="false">G19*G20</f>
        <v>182.601357548325</v>
      </c>
      <c r="H21" s="0" t="n">
        <f aca="false">H19*H20</f>
        <v>176.398536551288</v>
      </c>
      <c r="I21" s="0" t="n">
        <f aca="false">I19*I20</f>
        <v>168.608474987716</v>
      </c>
      <c r="J21" s="0" t="n">
        <f aca="false">J19*J20</f>
        <v>160.508592702196</v>
      </c>
      <c r="K21" s="0" t="n">
        <f aca="false">K19*K20</f>
        <v>152.631514608337</v>
      </c>
      <c r="L21" s="0" t="n">
        <f aca="false">L19*L20</f>
        <v>142.874248834288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1706.6044481933</v>
      </c>
    </row>
    <row r="31" customFormat="false" ht="15" hidden="false" customHeight="false" outlineLevel="0" collapsed="false">
      <c r="A31" s="0" t="s">
        <v>132</v>
      </c>
      <c r="B31" s="0" t="n">
        <f aca="false">L19</f>
        <v>354.074908713294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5184.66830615894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4957.04872198611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4957.04872198611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2000.23948368003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3706.84393187333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3692.84393187333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16.2492087663779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0.309364122995798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9.41826424316234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10.3485081258936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16.3361862874396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2903.41425144901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8.94283315561773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5</v>
      </c>
      <c r="D5" s="4" t="n">
        <f aca="false">Assumptions!D41</f>
        <v>5.5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4199.8</v>
      </c>
      <c r="C6" s="0" t="n">
        <f aca="false">B6*(1+C5/100)</f>
        <v>4409.79</v>
      </c>
      <c r="D6" s="0" t="n">
        <f aca="false">C6*(1+D5/100)</f>
        <v>4652.32845</v>
      </c>
      <c r="E6" s="0" t="n">
        <f aca="false">D6*(1+E5/100)</f>
        <v>4908.20651475</v>
      </c>
      <c r="F6" s="0" t="n">
        <f aca="false">E6*(1+F5/100)</f>
        <v>5153.6168404875</v>
      </c>
      <c r="G6" s="0" t="n">
        <f aca="false">F6*(1+G5/100)</f>
        <v>5385.52959830944</v>
      </c>
      <c r="H6" s="0" t="n">
        <f aca="false">G6*(1+H5/100)</f>
        <v>5600.95078224181</v>
      </c>
      <c r="I6" s="0" t="n">
        <f aca="false">H6*(1+I5/100)</f>
        <v>5796.98405962028</v>
      </c>
      <c r="J6" s="0" t="n">
        <f aca="false">I6*(1+J5/100)</f>
        <v>5970.89358140889</v>
      </c>
      <c r="K6" s="0" t="n">
        <f aca="false">J6*(1+K5/100)</f>
        <v>6150.02038885115</v>
      </c>
      <c r="L6" s="0" t="n">
        <f aca="false">K6*(1+L5/100)</f>
        <v>6334.52100051669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11.5</v>
      </c>
      <c r="D7" s="4" t="n">
        <f aca="false">Assumptions!D42</f>
        <v>12.2</v>
      </c>
      <c r="E7" s="4" t="n">
        <f aca="false">Assumptions!E42</f>
        <v>12.9</v>
      </c>
      <c r="F7" s="4" t="n">
        <f aca="false">Assumptions!F42</f>
        <v>13.4</v>
      </c>
      <c r="G7" s="4" t="n">
        <f aca="false">Assumptions!G42</f>
        <v>13.8</v>
      </c>
      <c r="H7" s="4" t="n">
        <f aca="false">Assumptions!H42</f>
        <v>14</v>
      </c>
      <c r="I7" s="4" t="n">
        <f aca="false">Assumptions!I42</f>
        <v>14.1</v>
      </c>
      <c r="J7" s="4" t="n">
        <f aca="false">Assumptions!J42</f>
        <v>14.2</v>
      </c>
      <c r="K7" s="4" t="n">
        <f aca="false">Assumptions!K42</f>
        <v>14.2</v>
      </c>
      <c r="L7" s="4" t="n">
        <f aca="false">Assumptions!L42</f>
        <v>14.2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507.12585</v>
      </c>
      <c r="D8" s="0" t="n">
        <f aca="false">D6*D7/100</f>
        <v>567.5840709</v>
      </c>
      <c r="E8" s="0" t="n">
        <f aca="false">E6*E7/100</f>
        <v>633.15864040275</v>
      </c>
      <c r="F8" s="0" t="n">
        <f aca="false">F6*F7/100</f>
        <v>690.584656625325</v>
      </c>
      <c r="G8" s="0" t="n">
        <f aca="false">G6*G7/100</f>
        <v>743.203084566702</v>
      </c>
      <c r="H8" s="0" t="n">
        <f aca="false">H6*H7/100</f>
        <v>784.133109513854</v>
      </c>
      <c r="I8" s="0" t="n">
        <f aca="false">I6*I7/100</f>
        <v>817.374752406459</v>
      </c>
      <c r="J8" s="0" t="n">
        <f aca="false">J6*J7/100</f>
        <v>847.866888560062</v>
      </c>
      <c r="K8" s="0" t="n">
        <f aca="false">K6*K7/100</f>
        <v>873.302895216864</v>
      </c>
      <c r="L8" s="0" t="n">
        <f aca="false">L6*L7/100</f>
        <v>899.50198207337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0.03</v>
      </c>
      <c r="D9" s="4" t="n">
        <f aca="false">Assumptions!D43</f>
        <v>0.03</v>
      </c>
      <c r="E9" s="4" t="n">
        <f aca="false">Assumptions!E43</f>
        <v>0.03</v>
      </c>
      <c r="F9" s="4" t="n">
        <f aca="false">Assumptions!F43</f>
        <v>0.03</v>
      </c>
      <c r="G9" s="4" t="n">
        <f aca="false">Assumptions!G43</f>
        <v>0.03</v>
      </c>
      <c r="H9" s="4" t="n">
        <f aca="false">Assumptions!H43</f>
        <v>0.03</v>
      </c>
      <c r="I9" s="4" t="n">
        <f aca="false">Assumptions!I43</f>
        <v>0.03</v>
      </c>
      <c r="J9" s="4" t="n">
        <f aca="false">Assumptions!J43</f>
        <v>0.03</v>
      </c>
      <c r="K9" s="4" t="n">
        <f aca="false">Assumptions!K43</f>
        <v>0.03</v>
      </c>
      <c r="L9" s="4" t="n">
        <f aca="false">Assumptions!L43</f>
        <v>0.03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-1.322937</v>
      </c>
      <c r="D10" s="0" t="n">
        <f aca="false">-D6*D9/100</f>
        <v>-1.395698535</v>
      </c>
      <c r="E10" s="0" t="n">
        <f aca="false">-E6*E9/100</f>
        <v>-1.472461954425</v>
      </c>
      <c r="F10" s="0" t="n">
        <f aca="false">-F6*F9/100</f>
        <v>-1.54608505214625</v>
      </c>
      <c r="G10" s="0" t="n">
        <f aca="false">-G6*G9/100</f>
        <v>-1.61565887949283</v>
      </c>
      <c r="H10" s="0" t="n">
        <f aca="false">-H6*H9/100</f>
        <v>-1.68028523467254</v>
      </c>
      <c r="I10" s="0" t="n">
        <f aca="false">-I6*I9/100</f>
        <v>-1.73909521788608</v>
      </c>
      <c r="J10" s="0" t="n">
        <f aca="false">-J6*J9/100</f>
        <v>-1.79126807442267</v>
      </c>
      <c r="K10" s="0" t="n">
        <f aca="false">-K6*K9/100</f>
        <v>-1.84500611665535</v>
      </c>
      <c r="L10" s="0" t="n">
        <f aca="false">-L6*L9/100</f>
        <v>-1.90035630015501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505.802913</v>
      </c>
      <c r="D11" s="0" t="n">
        <f aca="false">D8+D10+D24</f>
        <v>566.188372365</v>
      </c>
      <c r="E11" s="0" t="n">
        <f aca="false">E8+E10+E24</f>
        <v>631.686178448325</v>
      </c>
      <c r="F11" s="0" t="n">
        <f aca="false">F8+F10+F24</f>
        <v>689.038571573179</v>
      </c>
      <c r="G11" s="0" t="n">
        <f aca="false">G8+G10+G24</f>
        <v>741.58742568721</v>
      </c>
      <c r="H11" s="0" t="n">
        <f aca="false">H8+H10+H24</f>
        <v>782.452824279182</v>
      </c>
      <c r="I11" s="0" t="n">
        <f aca="false">I8+I10+I24</f>
        <v>815.635657188573</v>
      </c>
      <c r="J11" s="0" t="n">
        <f aca="false">J8+J10+J24</f>
        <v>846.075620485639</v>
      </c>
      <c r="K11" s="0" t="n">
        <f aca="false">K8+K10+K24</f>
        <v>871.457889100208</v>
      </c>
      <c r="L11" s="0" t="n">
        <f aca="false">L8+L10+L24</f>
        <v>897.601625773215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-127.88391</v>
      </c>
      <c r="D12" s="4" t="n">
        <f aca="false">-D6*Assumptions!D45/100</f>
        <v>-134.91752505</v>
      </c>
      <c r="E12" s="4" t="n">
        <f aca="false">-E6*Assumptions!E45/100</f>
        <v>-137.429782413</v>
      </c>
      <c r="F12" s="4" t="n">
        <f aca="false">-F6*Assumptions!F45/100</f>
        <v>-144.30127153365</v>
      </c>
      <c r="G12" s="4" t="n">
        <f aca="false">-G6*Assumptions!G45/100</f>
        <v>-150.794828752664</v>
      </c>
      <c r="H12" s="4" t="n">
        <f aca="false">-H6*Assumptions!H45/100</f>
        <v>-156.826621902771</v>
      </c>
      <c r="I12" s="4" t="n">
        <f aca="false">-I6*Assumptions!I45/100</f>
        <v>-162.315553669368</v>
      </c>
      <c r="J12" s="4" t="n">
        <f aca="false">-J6*Assumptions!J45/100</f>
        <v>-167.185020279449</v>
      </c>
      <c r="K12" s="4" t="n">
        <f aca="false">-K6*Assumptions!K45/100</f>
        <v>-172.200570887832</v>
      </c>
      <c r="L12" s="4" t="n">
        <f aca="false">-L6*Assumptions!L45/100</f>
        <v>-177.366588014467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377.919003</v>
      </c>
      <c r="D13" s="0" t="n">
        <f aca="false">D11+D12</f>
        <v>431.270847315</v>
      </c>
      <c r="E13" s="0" t="n">
        <f aca="false">E11+E12</f>
        <v>494.256396035325</v>
      </c>
      <c r="F13" s="0" t="n">
        <f aca="false">F11+F12</f>
        <v>544.737300039529</v>
      </c>
      <c r="G13" s="0" t="n">
        <f aca="false">G11+G12</f>
        <v>590.792596934545</v>
      </c>
      <c r="H13" s="0" t="n">
        <f aca="false">H11+H12</f>
        <v>625.626202376411</v>
      </c>
      <c r="I13" s="0" t="n">
        <f aca="false">I11+I12</f>
        <v>653.320103519205</v>
      </c>
      <c r="J13" s="0" t="n">
        <f aca="false">J11+J12</f>
        <v>678.89060020619</v>
      </c>
      <c r="K13" s="0" t="n">
        <f aca="false">K11+K12</f>
        <v>699.257318212376</v>
      </c>
      <c r="L13" s="0" t="n">
        <f aca="false">L11+L12</f>
        <v>720.235037758748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26</v>
      </c>
      <c r="D14" s="4" t="n">
        <f aca="false">Assumptions!D47</f>
        <v>26.5</v>
      </c>
      <c r="E14" s="4" t="n">
        <f aca="false">Assumptions!E47</f>
        <v>27</v>
      </c>
      <c r="F14" s="4" t="n">
        <f aca="false">Assumptions!F47</f>
        <v>27.5</v>
      </c>
      <c r="G14" s="4" t="n">
        <f aca="false">Assumptions!G47</f>
        <v>28</v>
      </c>
      <c r="H14" s="4" t="n">
        <f aca="false">Assumptions!H47</f>
        <v>28.5</v>
      </c>
      <c r="I14" s="4" t="n">
        <f aca="false">Assumptions!I47</f>
        <v>28.5</v>
      </c>
      <c r="J14" s="4" t="n">
        <f aca="false">Assumptions!J47</f>
        <v>28.5</v>
      </c>
      <c r="K14" s="4" t="n">
        <f aca="false">Assumptions!K47</f>
        <v>28.5</v>
      </c>
      <c r="L14" s="4" t="n">
        <f aca="false">Assumptions!L47</f>
        <v>28.5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279.66006222</v>
      </c>
      <c r="D15" s="0" t="n">
        <f aca="false">D13-MAX(0,D13)*D14/100</f>
        <v>316.984072776525</v>
      </c>
      <c r="E15" s="0" t="n">
        <f aca="false">E13-MAX(0,E13)*E14/100</f>
        <v>360.807169105787</v>
      </c>
      <c r="F15" s="0" t="n">
        <f aca="false">F13-MAX(0,F13)*F14/100</f>
        <v>394.934542528658</v>
      </c>
      <c r="G15" s="0" t="n">
        <f aca="false">G13-MAX(0,G13)*G14/100</f>
        <v>425.370669792873</v>
      </c>
      <c r="H15" s="0" t="n">
        <f aca="false">H13-MAX(0,H13)*H14/100</f>
        <v>447.322734699134</v>
      </c>
      <c r="I15" s="0" t="n">
        <f aca="false">I13-MAX(0,I13)*I14/100</f>
        <v>467.123874016232</v>
      </c>
      <c r="J15" s="0" t="n">
        <f aca="false">J13-MAX(0,J13)*J14/100</f>
        <v>485.406779147426</v>
      </c>
      <c r="K15" s="0" t="n">
        <f aca="false">K13-MAX(0,K13)*K14/100</f>
        <v>499.968982521849</v>
      </c>
      <c r="L15" s="0" t="n">
        <f aca="false">L13-MAX(0,L13)*L14/100</f>
        <v>514.968051997505</v>
      </c>
    </row>
    <row r="16" customFormat="false" ht="15" hidden="false" customHeight="false" outlineLevel="0" collapsed="false">
      <c r="A16" s="0" t="s">
        <v>123</v>
      </c>
      <c r="C16" s="0" t="n">
        <f aca="false">-C12</f>
        <v>127.88391</v>
      </c>
      <c r="D16" s="0" t="n">
        <f aca="false">-D12</f>
        <v>134.91752505</v>
      </c>
      <c r="E16" s="0" t="n">
        <f aca="false">-E12</f>
        <v>137.429782413</v>
      </c>
      <c r="F16" s="0" t="n">
        <f aca="false">-F12</f>
        <v>144.30127153365</v>
      </c>
      <c r="G16" s="0" t="n">
        <f aca="false">-G12</f>
        <v>150.794828752664</v>
      </c>
      <c r="H16" s="0" t="n">
        <f aca="false">-H12</f>
        <v>156.826621902771</v>
      </c>
      <c r="I16" s="0" t="n">
        <f aca="false">-I12</f>
        <v>162.315553669368</v>
      </c>
      <c r="J16" s="0" t="n">
        <f aca="false">-J12</f>
        <v>167.185020279449</v>
      </c>
      <c r="K16" s="0" t="n">
        <f aca="false">-K12</f>
        <v>172.200570887832</v>
      </c>
      <c r="L16" s="0" t="n">
        <f aca="false">-L12</f>
        <v>177.366588014467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-167.57202</v>
      </c>
      <c r="D17" s="4" t="n">
        <f aca="false">-D6*Assumptions!D46/100</f>
        <v>-176.7884811</v>
      </c>
      <c r="E17" s="4" t="n">
        <f aca="false">-E6*Assumptions!E46/100</f>
        <v>-176.695434531</v>
      </c>
      <c r="F17" s="4" t="n">
        <f aca="false">-F6*Assumptions!F46/100</f>
        <v>-170.069355736088</v>
      </c>
      <c r="G17" s="4" t="n">
        <f aca="false">-G6*Assumptions!G46/100</f>
        <v>-166.951417547593</v>
      </c>
      <c r="H17" s="4" t="n">
        <f aca="false">-H6*Assumptions!H46/100</f>
        <v>-168.028523467254</v>
      </c>
      <c r="I17" s="4" t="n">
        <f aca="false">-I6*Assumptions!I46/100</f>
        <v>-173.909521788608</v>
      </c>
      <c r="J17" s="4" t="n">
        <f aca="false">-J6*Assumptions!J46/100</f>
        <v>-179.126807442267</v>
      </c>
      <c r="K17" s="4" t="n">
        <f aca="false">-K6*Assumptions!K46/100</f>
        <v>-184.500611665535</v>
      </c>
      <c r="L17" s="4" t="n">
        <f aca="false">-L6*Assumptions!L46/100</f>
        <v>-190.035630015501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-31.4985</v>
      </c>
      <c r="D18" s="4" t="n">
        <f aca="false">(D6-C6)*Assumptions!$B$51/100</f>
        <v>-36.3807675</v>
      </c>
      <c r="E18" s="4" t="n">
        <f aca="false">(E6-D6)*Assumptions!$B$51/100</f>
        <v>-38.3817097125</v>
      </c>
      <c r="F18" s="4" t="n">
        <f aca="false">(F6-E6)*Assumptions!$B$51/100</f>
        <v>-36.811548860625</v>
      </c>
      <c r="G18" s="4" t="n">
        <f aca="false">(G6-F6)*Assumptions!$B$51/100</f>
        <v>-34.7869136732905</v>
      </c>
      <c r="H18" s="4" t="n">
        <f aca="false">(H6-G6)*Assumptions!$B$51/100</f>
        <v>-32.3131775898567</v>
      </c>
      <c r="I18" s="4" t="n">
        <f aca="false">(I6-H6)*Assumptions!$B$51/100</f>
        <v>-29.4049916067695</v>
      </c>
      <c r="J18" s="4" t="n">
        <f aca="false">(J6-I6)*Assumptions!$B$51/100</f>
        <v>-26.0864282682913</v>
      </c>
      <c r="K18" s="4" t="n">
        <f aca="false">(K6-J6)*Assumptions!$B$51/100</f>
        <v>-26.86902111634</v>
      </c>
      <c r="L18" s="4" t="n">
        <f aca="false">(L6-K6)*Assumptions!$B$51/100</f>
        <v>-27.6750917498302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208.47345222</v>
      </c>
      <c r="D19" s="0" t="n">
        <f aca="false">D15+D16+D17+D18</f>
        <v>238.732349226525</v>
      </c>
      <c r="E19" s="0" t="n">
        <f aca="false">E15+E16+E17+E18</f>
        <v>283.159807275287</v>
      </c>
      <c r="F19" s="0" t="n">
        <f aca="false">F15+F16+F17+F18</f>
        <v>332.354909465596</v>
      </c>
      <c r="G19" s="0" t="n">
        <f aca="false">G15+G16+G17+G18</f>
        <v>374.427167324654</v>
      </c>
      <c r="H19" s="0" t="n">
        <f aca="false">H15+H16+H17+H18</f>
        <v>403.807655544793</v>
      </c>
      <c r="I19" s="0" t="n">
        <f aca="false">I15+I16+I17+I18</f>
        <v>426.124914290222</v>
      </c>
      <c r="J19" s="0" t="n">
        <f aca="false">J15+J16+J17+J18</f>
        <v>447.378563716317</v>
      </c>
      <c r="K19" s="0" t="n">
        <f aca="false">K15+K16+K17+K18</f>
        <v>460.799920627807</v>
      </c>
      <c r="L19" s="0" t="n">
        <f aca="false">L15+L16+L17+L18</f>
        <v>474.623918246641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192.141430617512</v>
      </c>
      <c r="D21" s="0" t="n">
        <f aca="false">D19*D20</f>
        <v>202.792456180021</v>
      </c>
      <c r="E21" s="0" t="n">
        <f aca="false">E19*E20</f>
        <v>221.688106265907</v>
      </c>
      <c r="F21" s="0" t="n">
        <f aca="false">F19*F20</f>
        <v>239.818755920578</v>
      </c>
      <c r="G21" s="0" t="n">
        <f aca="false">G19*G20</f>
        <v>249.011073984114</v>
      </c>
      <c r="H21" s="0" t="n">
        <f aca="false">H19*H20</f>
        <v>247.511920008201</v>
      </c>
      <c r="I21" s="0" t="n">
        <f aca="false">I19*I20</f>
        <v>240.729192803321</v>
      </c>
      <c r="J21" s="0" t="n">
        <f aca="false">J19*J20</f>
        <v>232.936349690514</v>
      </c>
      <c r="K21" s="0" t="n">
        <f aca="false">K19*K20</f>
        <v>221.128516296064</v>
      </c>
      <c r="L21" s="0" t="n">
        <f aca="false">L19*L20</f>
        <v>209.919236668153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2257.67703843438</v>
      </c>
    </row>
    <row r="31" customFormat="false" ht="15" hidden="false" customHeight="false" outlineLevel="0" collapsed="false">
      <c r="A31" s="0" t="s">
        <v>132</v>
      </c>
      <c r="B31" s="0" t="n">
        <f aca="false">L19</f>
        <v>474.623918246641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8888.41155989164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7119.35877369961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7119.35877369961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3148.7885500223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5406.46558845668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5392.46558845668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23.7278641417947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0.911995498935912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10.4187070912336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15.7402703850909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23.84296856916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4073.85529828367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11.645035199695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8.21662539130089</v>
      </c>
      <c r="C4" s="0" t="n">
        <f aca="false">B4/Assumptions!$B$2-1</f>
        <v>-0.337902869355287</v>
      </c>
      <c r="D4" s="4" t="n">
        <f aca="false">Assumptions!$B$24</f>
        <v>0.25</v>
      </c>
      <c r="E4" s="4" t="n">
        <f aca="false">DCF_Bear!$B$43</f>
        <v>8.27856084056454</v>
      </c>
      <c r="F4" s="4" t="n">
        <f aca="false">DCF_Bear!$B$47</f>
        <v>5.70409950563459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16.2492087663779</v>
      </c>
      <c r="C5" s="0" t="n">
        <f aca="false">B5/Assumptions!$B$2-1</f>
        <v>0.309364122995798</v>
      </c>
      <c r="D5" s="4" t="n">
        <f aca="false">Assumptions!$B$38</f>
        <v>0.5</v>
      </c>
      <c r="E5" s="4" t="n">
        <f aca="false">DCF_Base!$B$43</f>
        <v>16.3361862874396</v>
      </c>
      <c r="F5" s="4" t="n">
        <f aca="false">DCF_Base!$B$47</f>
        <v>8.94283315561773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23.7278641417947</v>
      </c>
      <c r="C6" s="0" t="n">
        <f aca="false">B6/Assumptions!$B$2-1</f>
        <v>0.911995498935912</v>
      </c>
      <c r="D6" s="4" t="n">
        <f aca="false">Assumptions!$B$52</f>
        <v>0.25</v>
      </c>
      <c r="E6" s="4" t="n">
        <f aca="false">DCF_Bull!$B$43</f>
        <v>23.84296856916</v>
      </c>
      <c r="F6" s="4" t="n">
        <f aca="false">DCF_Bull!$B$47</f>
        <v>11.645035199695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16.1107267664628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16.1984754961509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0.229705761888191</v>
      </c>
    </row>
    <row r="11" customFormat="false" ht="15" hidden="false" customHeight="false" outlineLevel="0" collapsed="false">
      <c r="A11" s="0" t="s">
        <v>159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8.80870025414126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16.8464475625947</v>
      </c>
      <c r="C15" s="3" t="n">
        <v>9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16.2492087663779</v>
      </c>
      <c r="C16" s="3" t="n">
        <v>9.5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15.4784138797631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13.5470512948829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12.0266322259158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8.94283315561773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18.8129142175501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18.8129142175501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18.8129142175501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18.8129142175501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18.8129142175501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17.4717858027121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17.4717858027121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17.4717858027121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17.4717858027121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17.4717858027121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15.4240746636202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15.9977393255374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16.2492087663779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16.2492087663779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16.2492087663779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13.5707176163589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13.9853034741753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14.4517125642186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14.9803095329345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15.1333873881282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12.0941477686546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12.4019976631805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12.7440531015427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13.1263503561827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13.5564347676527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2026-09-25T05:21:36Z</dcterms:created>
  <dc:creator>openpyxl</dc:creator>
  <dc:description/>
  <dc:language>en-NZ</dc:language>
  <cp:lastModifiedBy/>
  <dcterms:modified xsi:type="dcterms:W3CDTF">2026-09-25T05:21:36Z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