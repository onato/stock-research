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<sst xmlns="http://schemas.openxmlformats.org/spreadsheetml/2006/main" count="186" uniqueCount="149">
  <si>
    <t>SOFI Earnings-Based Valuation Model (Base Case)</t>
  </si>
  <si>
    <t>Gray cells are INPUTS - adjust to see valuation change. NOT an FCF DCF -- SoFi is a bank holding company; see Model_Info.</t>
  </si>
  <si>
    <t>net_debt = 0 throughout: deposits/bank debt are operating funding for a bank, not financing debt netted against equity value.</t>
  </si>
  <si>
    <t>KEY INPUTS</t>
  </si>
  <si>
    <t>Current Stock Price</t>
  </si>
  <si>
    <t>Shares Outstanding, base (M, diluted wavg)</t>
  </si>
  <si>
    <t>Net Debt (M) -- bank, always 0</t>
  </si>
  <si>
    <t>TTM Net Income, base year (M)</t>
  </si>
  <si>
    <t>TTM Revenue, base year (M)</t>
  </si>
  <si>
    <t>TTM Net Margin, base year</t>
  </si>
  <si>
    <t>Annual Share Growth (SBC + convert dilution)</t>
  </si>
  <si>
    <t>Cost of Equity (CoE)</t>
  </si>
  <si>
    <t>Terminal Growth Rate</t>
  </si>
  <si>
    <t>Exit P/E Cap (terminal multiple ceiling)</t>
  </si>
  <si>
    <t>GROWTH &amp; MARGIN ASSUMPTIONS</t>
  </si>
  <si>
    <t>Year 1</t>
  </si>
  <si>
    <t>Year 2</t>
  </si>
  <si>
    <t>Year 3</t>
  </si>
  <si>
    <t>Year 4</t>
  </si>
  <si>
    <t>Year 5</t>
  </si>
  <si>
    <t>Revenue Growth Rate</t>
  </si>
  <si>
    <t>Net Margin</t>
  </si>
  <si>
    <t>PROJECTIONS</t>
  </si>
  <si>
    <t>Base (TTM)</t>
  </si>
  <si>
    <t>Revenue ($M)</t>
  </si>
  <si>
    <t>Net Income ($M)</t>
  </si>
  <si>
    <t>Shares Outstanding (M)</t>
  </si>
  <si>
    <t>EPS ($)</t>
  </si>
  <si>
    <t>Discount Factor (at CoE)</t>
  </si>
  <si>
    <t>PV of EPS ($)</t>
  </si>
  <si>
    <t>VALUATION</t>
  </si>
  <si>
    <t>Sum of PV of EPS ($)</t>
  </si>
  <si>
    <t>Year-5 EPS ($)</t>
  </si>
  <si>
    <t>Gordon Implied P/E ((1+g)/(CoE-g))</t>
  </si>
  <si>
    <t>Gordon Terminal Value / share ($)</t>
  </si>
  <si>
    <t>Exit P/E Cap Value / share ($)</t>
  </si>
  <si>
    <t>Terminal Value / share used ($) [= MIN of the two]</t>
  </si>
  <si>
    <t>PV of Terminal Value / share ($)</t>
  </si>
  <si>
    <t>Less: Net Debt / share ($) -- always 0 for a bank</t>
  </si>
  <si>
    <t>INTRINSIC VALUE/SHARE</t>
  </si>
  <si>
    <t>ENTRY PRICE (15% IRR Target)</t>
  </si>
  <si>
    <t>PV of Yrs 1-5 EPS @15%</t>
  </si>
  <si>
    <t>PV of Terminal Value @15%</t>
  </si>
  <si>
    <t>Less: Net Debt / share</t>
  </si>
  <si>
    <t>Entry Price (15% CAGR)</t>
  </si>
  <si>
    <t>Upside to IV</t>
  </si>
  <si>
    <t>Upside to Entry Price (current discount)</t>
  </si>
  <si>
    <t>Terminal Value % of Total Value</t>
  </si>
  <si>
    <t>Implied Exit Multiple (P/E)</t>
  </si>
  <si>
    <t>Sensitivity Analysis</t>
  </si>
  <si>
    <t>Intrinsic Value by Cost of Equity &amp; Terminal Growth (base scenario growth/margin path, 20x exit P/E cap)</t>
  </si>
  <si>
    <t>CoE \ Term Growth</t>
  </si>
  <si>
    <t>Note: shares outstanding/EPS path held at the DCF Model sheet base-case values; only CoE and terminal growth vary here.</t>
  </si>
  <si>
    <t>Scenario Comparison</t>
  </si>
  <si>
    <t>BEAR</t>
  </si>
  <si>
    <t>Revenue growth path (%)</t>
  </si>
  <si>
    <t>Net margin path (%)</t>
  </si>
  <si>
    <t>Cost of Equity</t>
  </si>
  <si>
    <t>Terminal Growth</t>
  </si>
  <si>
    <t>Exit P/E Cap</t>
  </si>
  <si>
    <t>Implied Exit Multiple</t>
  </si>
  <si>
    <t>Terminal Value Capped by Exit P/E?</t>
  </si>
  <si>
    <t>False</t>
  </si>
  <si>
    <t>Upside vs Current Price</t>
  </si>
  <si>
    <t>BASE</t>
  </si>
  <si>
    <t>BULL</t>
  </si>
  <si>
    <t>PROBABILITY-WEIGHTED IV</t>
  </si>
  <si>
    <t>Weights (bear/base/bull)</t>
  </si>
  <si>
    <t>0.25/0.5/0.25</t>
  </si>
  <si>
    <t>Historical Growth Rates &amp; Multiples</t>
  </si>
  <si>
    <t>Metric</t>
  </si>
  <si>
    <t>3-Year CAGR</t>
  </si>
  <si>
    <t>5-Year CAGR</t>
  </si>
  <si>
    <t>Revenue</t>
  </si>
  <si>
    <t>Equity (Book Value)</t>
  </si>
  <si>
    <t>FCF CAGR: not applicable (bank; OCF dominated by loan/deposit flows). See valuation_philosophy.</t>
  </si>
  <si>
    <t>Historical FY-End Multiples (SPAC-era FY2021-2022 noted as outliers)</t>
  </si>
  <si>
    <t>Year</t>
  </si>
  <si>
    <t>FY-End Price</t>
  </si>
  <si>
    <t>P/E</t>
  </si>
  <si>
    <t>P/B</t>
  </si>
  <si>
    <t>P/S</t>
  </si>
  <si>
    <t>FY2021 (SPAC-era)</t>
  </si>
  <si>
    <t>n/m (loss)</t>
  </si>
  <si>
    <t>FY2022 (SPAC-era)</t>
  </si>
  <si>
    <t>FY2023</t>
  </si>
  <si>
    <t>FY2024</t>
  </si>
  <si>
    <t>FY2025</t>
  </si>
  <si>
    <t>Implied multiples on base-case IV ($12.76)</t>
  </si>
  <si>
    <t>Implied P/E</t>
  </si>
  <si>
    <t>Implied P/B</t>
  </si>
  <si>
    <t>Implied P/S</t>
  </si>
  <si>
    <t>SOFI DCF Model -- Provenance &amp; Methodology</t>
  </si>
  <si>
    <t>BUILT BY: Claude (dcf-analyst agent), 2026-08-04, per user-specified adaptations for a bank holding company.</t>
  </si>
  <si>
    <t>DATA VINTAGE:</t>
  </si>
  <si>
    <t xml:space="preserve">  - Share price: $18.03, Yahoo Finance close, 2026-08-04.</t>
  </si>
  <si>
    <t xml:space="preserve">  - Metrics: SOFI_Metrics.csv (FY2019-Q1 2026, USD millions).</t>
  </si>
  <si>
    <t xml:space="preserve">  - Qualitative/guidance: SOFI_Analysis.json (as of Q2 2026 earnings call, 2026-07-29).</t>
  </si>
  <si>
    <t xml:space="preserve">  - Q2 2026 net income (~$157M) and revenue growth (+40% YoY) are sourced from Analysis.json recent_developments,</t>
  </si>
  <si>
    <t xml:space="preserve">    NOT the Metrics.csv (which only has actuals through Q1 2026 at time of writing).</t>
  </si>
  <si>
    <t>METHODOLOGY -- WHY NOT A STANDARD FCF DCF:</t>
  </si>
  <si>
    <t xml:space="preserve">  SoFi is a national bank holding company (SoFi Bank, N.A.). Reported operating cash flow is dominated by loan</t>
  </si>
  <si>
    <t xml:space="preserve">  origination/sale volume and deposit flows (FY2025 OCF -$3,742M despite $481M of GAAP net income; FY2023 OCF</t>
  </si>
  <si>
    <t xml:space="preserve">  -$7,227M). A conventional unlevered FCF DCF would show the company perpetually burning cash and is not a valid</t>
  </si>
  <si>
    <t xml:space="preserve">  basis for valuation. Instead this model discounts GAAP NET INCOME (per-share) directly at COST OF EQUITY,</t>
  </si>
  <si>
    <t xml:space="preserve">  following the same precedent as NU_DCF.json (residual/distributable earnings) and SRBK_DCF.json (residual</t>
  </si>
  <si>
    <t xml:space="preserve">  income on tangible book) in this repo. net_debt is set to 0 throughout -- deposits and bank debt are operating</t>
  </si>
  <si>
    <t xml:space="preserve">  funding for a bank, not financing leverage to net against equity value.</t>
  </si>
  <si>
    <t>KEY METHODOLOGY CHOICES:</t>
  </si>
  <si>
    <t xml:space="preserve">  1. Base year = TTM net income through Q2 2026 (~$636.7M), NOT FY2024 ($498.7M, inflated by a one-time tax</t>
  </si>
  <si>
    <t xml:space="preserve">     valuation-allowance release) or FY2025 alone. TTM = FY2025 481.3 - H1"25 168.4 + Q1"26 166.7 + Q2"26 ~157.</t>
  </si>
  <si>
    <t xml:space="preserve">  2. Revenue growth decelerates from TTM/guided run-rate (35-43% YoY recent quarters) toward a mature ~13% by</t>
  </si>
  <si>
    <t xml:space="preserve">     Year 5 (base case).</t>
  </si>
  <si>
    <t xml:space="preserve">  3. Net margin ramps from TTM 14.9% toward 22% (base), 25% (bull), 16.5% (bear) by Year 5 -- built from</t>
  </si>
  <si>
    <t xml:space="preserve">     components/guidance, not held flat.</t>
  </si>
  <si>
    <t xml:space="preserve">  4. SBC ($262M FY2025 vs $481M GAAP net income) is charged EXACTLY ONCE: via annual share-count growth of</t>
  </si>
  <si>
    <t xml:space="preserve">     2.75%/yr (combining ordinary SBC dilution with the ongoing exchange of the $1.1B 0% convertible notes due</t>
  </si>
  <si>
    <t xml:space="preserve">     Oct-2026, which alone pushed diluted shares from ~1,252M FY2025 wavg to ~1,378M Q1 2026 wavg). SBC is NOT</t>
  </si>
  <si>
    <t xml:space="preserve">     separately subtracted from projected net income (GAAP NI already reflects the SBC expense) -- double-</t>
  </si>
  <si>
    <t xml:space="preserve">     counting the cost was explicitly avoided.</t>
  </si>
  <si>
    <t xml:space="preserve">  5. Terminal value = MIN(Gordon growth value on Year-5 EPS at cost of equity, Year-5 EPS x exit P/E cap).</t>
  </si>
  <si>
    <t xml:space="preserve">     Base case exit P/E cap = 20x, bull = 25x, bear = 15x. In all three scenarios the Gordon formula binds</t>
  </si>
  <si>
    <t xml:space="preserve">     (implied exit multiples of 9.3x-12.1x), well below both the cap and SOFI's current actual TTM P/E of</t>
  </si>
  <si>
    <t xml:space="preserve">     ~36-39x -- i.e. the model assumes material multiple CONTRACTION from today's pricing, not expansion.</t>
  </si>
  <si>
    <t xml:space="preserve">  6. Entry price = PV (at 15% hurdle) of base-scenario interim EPS Y1-5 + PV (at 15%) of the terminal value</t>
  </si>
  <si>
    <t xml:space="preserve">     (computed at cost of equity) - net_debt (=0). Per the parent instructions, this uses the same structure</t>
  </si>
  <si>
    <t xml:space="preserve">     as the FCF entry-price formula but with EPS substituted for FCF and net_debt fixed at 0.</t>
  </si>
  <si>
    <t xml:space="preserve">  7. Both Intrinsic Value and Entry Price divide by the YEAR-5 projected diluted share count (1,578.2M base</t>
  </si>
  <si>
    <t xml:space="preserve">     case), not today's count, consistent with terminal value accruing to the future diluted shareholder base.</t>
  </si>
  <si>
    <t>SANITY CHECK RESULT: PASSED, no trip conditions. Base IV ($12.76) implies P/E 25.7x (below the 51.0x average of</t>
  </si>
  <si>
    <t xml:space="preserve">  the only two GAAP-profitable historical years, FY2024 34.0x/FY2025 68.1x, and below the current actual</t>
  </si>
  <si>
    <t xml:space="preserve">  36-39x), P/B 1.51x (below FY2023-2025 average 2.51x, max 3.12x), P/S 3.82x (below FY2023-2025 average 6.61x).</t>
  </si>
  <si>
    <t xml:space="preserve">  Caveat noted in the JSON: only 2 of 5 post-SPAC fiscal years are GAAP-profitable, so the P/E historical sample</t>
  </si>
  <si>
    <t xml:space="preserve">  is thin and includes one rich outlier year (FY2025, 68.1x) -- judgment was applied to lean on the Gordon-</t>
  </si>
  <si>
    <t xml:space="preserve">  growth-implied exit multiples (9.3-12.1x) as the more conservative cross-check.</t>
  </si>
  <si>
    <t>WHAT TO REFRESH AFTER THE NEXT EARNINGS PRINT (Q3 2026, expected ~late Oct/early Nov 2026):</t>
  </si>
  <si>
    <t xml:space="preserve">  - Roll the TTM net income/revenue base forward one quarter.</t>
  </si>
  <si>
    <t xml:space="preserve">  - Check whether convertible-note dilution has moderated (the $1.1B 0% notes mature/convert by Oct-2026 --</t>
  </si>
  <si>
    <t xml:space="preserve">    once fully converted or redeemed, the 2.75%/yr share-growth assumption should likely step down toward a</t>
  </si>
  <si>
    <t xml:space="preserve">    pure-SBC dilution rate).</t>
  </si>
  <si>
    <t xml:space="preserve">  - Re-verify FY2026 guidance ($4.75-4.85B adj revenue, ~$1.6B adj EBITDA, ~$825M adj NI, ~$0.60 adj EPS) is</t>
  </si>
  <si>
    <t xml:space="preserve">    still current, and re-check actual GAAP net margin trajectory against the projected ramp.</t>
  </si>
  <si>
    <t xml:space="preserve">  - Re-pull the live share price and re-run the sanity check against updated TTM multiples.</t>
  </si>
  <si>
    <t>CELL COLOUR CONVENTIONS:</t>
  </si>
  <si>
    <t xml:space="preserve">  - Gray-shaded cells = INPUTS (safe/intended to edit).</t>
  </si>
  <si>
    <t xml:space="preserve">  - White cells with formulas = derived; do not hand-edit unless changing the model structure itself.</t>
  </si>
  <si>
    <t xml:space="preserve">  - Green cells = key output results (Intrinsic Value, Entry Price).</t>
  </si>
  <si>
    <t>STALENESS WARNING: All figures in this workbook are point-in-time as of 2026-08-04. Share price, guidance, and</t>
  </si>
  <si>
    <t xml:space="preserve">  TTM actuals will go stale after the next earnings release -- re-verify before relying on this model.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</si>
</sst>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.0%"/>
    <numFmt numFmtId="166" formatCode="0.00%"/>
    <numFmt numFmtId="167" formatCode="#,##0.0"/>
    <numFmt numFmtId="168" formatCode="#,##0.000"/>
    <numFmt numFmtId="169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i/>
      <sz val="11"/>
      <color rgb="FFD630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5" fillId="3" borderId="2" xfId="0" applyFont="1" applyFill="1" applyBorder="1"/>
    <xf numFmtId="167" fontId="0" fillId="0" borderId="2" xfId="0" applyNumberFormat="1" applyBorder="1"/>
    <xf numFmtId="168" fontId="0" fillId="0" borderId="2" xfId="0" applyNumberFormat="1" applyBorder="1"/>
    <xf numFmtId="169" fontId="0" fillId="0" borderId="2" xfId="0" applyNumberFormat="1" applyBorder="1"/>
    <xf numFmtId="0" fontId="6" fillId="0" borderId="0" xfId="0" applyFont="1"/>
    <xf numFmtId="169" fontId="5" fillId="4" borderId="2" xfId="0" applyNumberFormat="1" applyFont="1" applyFill="1" applyBorder="1"/>
    <xf numFmtId="166" fontId="5" fillId="3" borderId="0" xfId="0" applyNumberFormat="1" applyFont="1" applyFill="1"/>
    <xf numFmtId="165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cols>
    <col min="1" max="1" width="32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18.03</v>
      </c>
    </row>
    <row r="7" spans="1:2">
      <c r="A7" t="s">
        <v>5</v>
      </c>
      <c r="B7" s="5">
        <v>1378.011</v>
      </c>
    </row>
    <row r="8" spans="1:2">
      <c r="A8" t="s">
        <v>6</v>
      </c>
      <c r="B8" s="5">
        <v>0</v>
      </c>
    </row>
    <row r="9" spans="1:2">
      <c r="A9" t="s">
        <v>7</v>
      </c>
      <c r="B9" s="5">
        <v>636.67</v>
      </c>
    </row>
    <row r="10" spans="1:2">
      <c r="A10" t="s">
        <v>8</v>
      </c>
      <c r="B10" s="5">
        <v>4283.94</v>
      </c>
    </row>
    <row r="11" spans="1:2">
      <c r="A11" t="s">
        <v>9</v>
      </c>
      <c r="B11" s="6">
        <f>B9/B10</f>
        <v>0</v>
      </c>
    </row>
    <row r="12" spans="1:2">
      <c r="A12" t="s">
        <v>10</v>
      </c>
      <c r="B12" s="7">
        <v>0.0275</v>
      </c>
    </row>
    <row r="14" spans="1:2">
      <c r="A14" t="s">
        <v>11</v>
      </c>
      <c r="B14" s="7">
        <v>0.12</v>
      </c>
    </row>
    <row r="15" spans="1:2">
      <c r="A15" t="s">
        <v>12</v>
      </c>
      <c r="B15" s="7">
        <v>0.0225</v>
      </c>
    </row>
    <row r="16" spans="1:2">
      <c r="A16" t="s">
        <v>13</v>
      </c>
      <c r="B16" s="5">
        <v>20</v>
      </c>
    </row>
    <row r="18" spans="1:7">
      <c r="A18" s="4" t="s">
        <v>14</v>
      </c>
    </row>
    <row r="19" spans="1:7">
      <c r="C19" s="8" t="s">
        <v>15</v>
      </c>
      <c r="D19" s="8" t="s">
        <v>16</v>
      </c>
      <c r="E19" s="8" t="s">
        <v>17</v>
      </c>
      <c r="F19" s="8" t="s">
        <v>18</v>
      </c>
      <c r="G19" s="8" t="s">
        <v>19</v>
      </c>
    </row>
    <row r="20" spans="1:7">
      <c r="A20" t="s">
        <v>20</v>
      </c>
      <c r="C20" s="7">
        <v>0.3</v>
      </c>
      <c r="D20" s="7">
        <v>0.25</v>
      </c>
      <c r="E20" s="7">
        <v>0.2</v>
      </c>
      <c r="F20" s="7">
        <v>0.16</v>
      </c>
      <c r="G20" s="7">
        <v>0.13</v>
      </c>
    </row>
    <row r="21" spans="1:7">
      <c r="A21" t="s">
        <v>21</v>
      </c>
      <c r="C21" s="7">
        <v>0.16</v>
      </c>
      <c r="D21" s="7">
        <v>0.175</v>
      </c>
      <c r="E21" s="7">
        <v>0.19</v>
      </c>
      <c r="F21" s="7">
        <v>0.205</v>
      </c>
      <c r="G21" s="7">
        <v>0.22</v>
      </c>
    </row>
    <row r="23" spans="1:7">
      <c r="A23" s="4" t="s">
        <v>22</v>
      </c>
    </row>
    <row r="24" spans="1:7">
      <c r="B24" s="8" t="s">
        <v>23</v>
      </c>
      <c r="C24" s="8" t="s">
        <v>15</v>
      </c>
      <c r="D24" s="8" t="s">
        <v>16</v>
      </c>
      <c r="E24" s="8" t="s">
        <v>17</v>
      </c>
      <c r="F24" s="8" t="s">
        <v>18</v>
      </c>
      <c r="G24" s="8" t="s">
        <v>19</v>
      </c>
    </row>
    <row r="25" spans="1:7">
      <c r="A25" t="s">
        <v>24</v>
      </c>
      <c r="B25" s="9">
        <f>B10</f>
        <v>0</v>
      </c>
      <c r="C25" s="9">
        <f>B25*(1+C20)</f>
        <v>0</v>
      </c>
      <c r="D25" s="9">
        <f>C25*(1+D20)</f>
        <v>0</v>
      </c>
      <c r="E25" s="9">
        <f>D25*(1+E20)</f>
        <v>0</v>
      </c>
      <c r="F25" s="9">
        <f>E25*(1+F20)</f>
        <v>0</v>
      </c>
      <c r="G25" s="9">
        <f>F25*(1+G20)</f>
        <v>0</v>
      </c>
    </row>
    <row r="26" spans="1:7">
      <c r="A26" t="s">
        <v>25</v>
      </c>
      <c r="C26" s="9">
        <f>C25*C21</f>
        <v>0</v>
      </c>
      <c r="D26" s="9">
        <f>D25*D21</f>
        <v>0</v>
      </c>
      <c r="E26" s="9">
        <f>E25*E21</f>
        <v>0</v>
      </c>
      <c r="F26" s="9">
        <f>F25*F21</f>
        <v>0</v>
      </c>
      <c r="G26" s="9">
        <f>G25*G21</f>
        <v>0</v>
      </c>
    </row>
    <row r="27" spans="1:7">
      <c r="A27" t="s">
        <v>26</v>
      </c>
      <c r="B27" s="9">
        <f>B7</f>
        <v>0</v>
      </c>
      <c r="C27" s="9">
        <f>B27*(1+$B$12)</f>
        <v>0</v>
      </c>
      <c r="D27" s="9">
        <f>C27*(1+$B$12)</f>
        <v>0</v>
      </c>
      <c r="E27" s="9">
        <f>D27*(1+$B$12)</f>
        <v>0</v>
      </c>
      <c r="F27" s="9">
        <f>E27*(1+$B$12)</f>
        <v>0</v>
      </c>
      <c r="G27" s="9">
        <f>F27*(1+$B$12)</f>
        <v>0</v>
      </c>
    </row>
    <row r="28" spans="1:7">
      <c r="A28" t="s">
        <v>27</v>
      </c>
      <c r="C28" s="10">
        <f>C26/C27</f>
        <v>0</v>
      </c>
      <c r="D28" s="10">
        <f>D26/D27</f>
        <v>0</v>
      </c>
      <c r="E28" s="10">
        <f>E26/E27</f>
        <v>0</v>
      </c>
      <c r="F28" s="10">
        <f>F26/F27</f>
        <v>0</v>
      </c>
      <c r="G28" s="10">
        <f>G26/G27</f>
        <v>0</v>
      </c>
    </row>
    <row r="29" spans="1:7">
      <c r="A29" t="s">
        <v>28</v>
      </c>
      <c r="C29" s="10">
        <f>1/(1+$B$14)^1</f>
        <v>0</v>
      </c>
      <c r="D29" s="10">
        <f>1/(1+$B$14)^2</f>
        <v>0</v>
      </c>
      <c r="E29" s="10">
        <f>1/(1+$B$14)^3</f>
        <v>0</v>
      </c>
      <c r="F29" s="10">
        <f>1/(1+$B$14)^4</f>
        <v>0</v>
      </c>
      <c r="G29" s="10">
        <f>1/(1+$B$14)^5</f>
        <v>0</v>
      </c>
    </row>
    <row r="30" spans="1:7">
      <c r="A30" t="s">
        <v>29</v>
      </c>
      <c r="C30" s="10">
        <f>C28*C29</f>
        <v>0</v>
      </c>
      <c r="D30" s="10">
        <f>D28*D29</f>
        <v>0</v>
      </c>
      <c r="E30" s="10">
        <f>E28*E29</f>
        <v>0</v>
      </c>
      <c r="F30" s="10">
        <f>F28*F29</f>
        <v>0</v>
      </c>
      <c r="G30" s="10">
        <f>G28*G29</f>
        <v>0</v>
      </c>
    </row>
    <row r="32" spans="1:7">
      <c r="A32" s="4" t="s">
        <v>30</v>
      </c>
    </row>
    <row r="33" spans="1:2">
      <c r="A33" t="s">
        <v>31</v>
      </c>
      <c r="B33" s="10">
        <f>SUM(C30:G30)</f>
        <v>0</v>
      </c>
    </row>
    <row r="34" spans="1:2">
      <c r="A34" t="s">
        <v>32</v>
      </c>
      <c r="B34" s="10">
        <f>G28</f>
        <v>0</v>
      </c>
    </row>
    <row r="35" spans="1:2">
      <c r="A35" t="s">
        <v>33</v>
      </c>
      <c r="B35" s="9">
        <f>(1+$B$15)/($B$14-$B$15)</f>
        <v>0</v>
      </c>
    </row>
    <row r="36" spans="1:2">
      <c r="A36" t="s">
        <v>34</v>
      </c>
      <c r="B36" s="11">
        <f>B34*B35</f>
        <v>0</v>
      </c>
    </row>
    <row r="37" spans="1:2">
      <c r="A37" t="s">
        <v>35</v>
      </c>
      <c r="B37" s="11">
        <f>B34*B16</f>
        <v>0</v>
      </c>
    </row>
    <row r="38" spans="1:2">
      <c r="A38" t="s">
        <v>36</v>
      </c>
      <c r="B38" s="11">
        <f>MIN(B36,B37)</f>
        <v>0</v>
      </c>
    </row>
    <row r="39" spans="1:2">
      <c r="A39" t="s">
        <v>37</v>
      </c>
      <c r="B39" s="11">
        <f>B38*G29</f>
        <v>0</v>
      </c>
    </row>
    <row r="40" spans="1:2">
      <c r="A40" t="s">
        <v>38</v>
      </c>
      <c r="B40" s="11">
        <f>B8/G27</f>
        <v>0</v>
      </c>
    </row>
    <row r="41" spans="1:2">
      <c r="A41" s="12" t="s">
        <v>39</v>
      </c>
      <c r="B41" s="13">
        <f>B33+B39-B40</f>
        <v>0</v>
      </c>
    </row>
    <row r="43" spans="1:2">
      <c r="A43" s="4" t="s">
        <v>40</v>
      </c>
    </row>
    <row r="44" spans="1:2">
      <c r="A44" t="s">
        <v>41</v>
      </c>
      <c r="B44" s="10">
        <f>NPV(0.15,C28:G28)</f>
        <v>0</v>
      </c>
    </row>
    <row r="45" spans="1:2">
      <c r="A45" t="s">
        <v>42</v>
      </c>
      <c r="B45" s="11">
        <f>B38/(1.15^5)</f>
        <v>0</v>
      </c>
    </row>
    <row r="46" spans="1:2">
      <c r="A46" t="s">
        <v>43</v>
      </c>
      <c r="B46" s="11">
        <f>B40</f>
        <v>0</v>
      </c>
    </row>
    <row r="47" spans="1:2">
      <c r="A47" t="s">
        <v>44</v>
      </c>
      <c r="B47" s="13">
        <f>B44+B45-B46</f>
        <v>0</v>
      </c>
    </row>
    <row r="49" spans="1:2">
      <c r="A49" t="s">
        <v>45</v>
      </c>
      <c r="B49" s="6">
        <f>(B41-B6)/B6</f>
        <v>0</v>
      </c>
    </row>
    <row r="50" spans="1:2">
      <c r="A50" t="s">
        <v>46</v>
      </c>
      <c r="B50" s="6">
        <f>(B6-B47)/B6</f>
        <v>0</v>
      </c>
    </row>
    <row r="51" spans="1:2">
      <c r="A51" t="s">
        <v>47</v>
      </c>
      <c r="B51" s="6">
        <f>B39/B41</f>
        <v>0</v>
      </c>
    </row>
    <row r="52" spans="1:2">
      <c r="A52" t="s">
        <v>48</v>
      </c>
      <c r="B52" s="9">
        <f>B38/B34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49</v>
      </c>
    </row>
    <row r="2" spans="1:6">
      <c r="A2" t="s">
        <v>50</v>
      </c>
    </row>
    <row r="4" spans="1:6">
      <c r="A4" s="8" t="s">
        <v>51</v>
      </c>
      <c r="B4" s="14">
        <v>0.0125</v>
      </c>
      <c r="C4" s="14">
        <v>0.0175</v>
      </c>
      <c r="D4" s="14">
        <v>0.0225</v>
      </c>
      <c r="E4" s="14">
        <v>0.0275</v>
      </c>
      <c r="F4" s="14">
        <v>0.0325</v>
      </c>
    </row>
    <row r="5" spans="1:6">
      <c r="A5" s="15">
        <v>0.1</v>
      </c>
      <c r="B5" s="11">
        <f>NPV(0.1,'DCF Model'!$C$28:$G$28)+MIN('DCF Model'!$G$28*(1+0.0125)/(0.1-0.0125),'DCF Model'!$G$28*'DCF Model'!$B$16)/(1+0.1)^5</f>
        <v>0</v>
      </c>
      <c r="C5" s="11">
        <f>NPV(0.1,'DCF Model'!$C$28:$G$28)+MIN('DCF Model'!$G$28*(1+0.0175)/(0.1-0.0175),'DCF Model'!$G$28*'DCF Model'!$B$16)/(1+0.1)^5</f>
        <v>0</v>
      </c>
      <c r="D5" s="11">
        <f>NPV(0.1,'DCF Model'!$C$28:$G$28)+MIN('DCF Model'!$G$28*(1+0.0225)/(0.1-0.0225),'DCF Model'!$G$28*'DCF Model'!$B$16)/(1+0.1)^5</f>
        <v>0</v>
      </c>
      <c r="E5" s="11">
        <f>NPV(0.1,'DCF Model'!$C$28:$G$28)+MIN('DCF Model'!$G$28*(1+0.0275)/(0.1-0.0275),'DCF Model'!$G$28*'DCF Model'!$B$16)/(1+0.1)^5</f>
        <v>0</v>
      </c>
      <c r="F5" s="11">
        <f>NPV(0.1,'DCF Model'!$C$28:$G$28)+MIN('DCF Model'!$G$28*(1+0.0325)/(0.1-0.0325),'DCF Model'!$G$28*'DCF Model'!$B$16)/(1+0.1)^5</f>
        <v>0</v>
      </c>
    </row>
    <row r="6" spans="1:6">
      <c r="A6" s="15">
        <v>0.11</v>
      </c>
      <c r="B6" s="11">
        <f>NPV(0.11,'DCF Model'!$C$28:$G$28)+MIN('DCF Model'!$G$28*(1+0.0125)/(0.11-0.0125),'DCF Model'!$G$28*'DCF Model'!$B$16)/(1+0.11)^5</f>
        <v>0</v>
      </c>
      <c r="C6" s="11">
        <f>NPV(0.11,'DCF Model'!$C$28:$G$28)+MIN('DCF Model'!$G$28*(1+0.0175)/(0.11-0.0175),'DCF Model'!$G$28*'DCF Model'!$B$16)/(1+0.11)^5</f>
        <v>0</v>
      </c>
      <c r="D6" s="11">
        <f>NPV(0.11,'DCF Model'!$C$28:$G$28)+MIN('DCF Model'!$G$28*(1+0.0225)/(0.11-0.0225),'DCF Model'!$G$28*'DCF Model'!$B$16)/(1+0.11)^5</f>
        <v>0</v>
      </c>
      <c r="E6" s="11">
        <f>NPV(0.11,'DCF Model'!$C$28:$G$28)+MIN('DCF Model'!$G$28*(1+0.0275)/(0.11-0.0275),'DCF Model'!$G$28*'DCF Model'!$B$16)/(1+0.11)^5</f>
        <v>0</v>
      </c>
      <c r="F6" s="11">
        <f>NPV(0.11,'DCF Model'!$C$28:$G$28)+MIN('DCF Model'!$G$28*(1+0.0325)/(0.11-0.0325),'DCF Model'!$G$28*'DCF Model'!$B$16)/(1+0.11)^5</f>
        <v>0</v>
      </c>
    </row>
    <row r="7" spans="1:6">
      <c r="A7" s="15">
        <v>0.12</v>
      </c>
      <c r="B7" s="11">
        <f>NPV(0.12,'DCF Model'!$C$28:$G$28)+MIN('DCF Model'!$G$28*(1+0.0125)/(0.12-0.0125),'DCF Model'!$G$28*'DCF Model'!$B$16)/(1+0.12)^5</f>
        <v>0</v>
      </c>
      <c r="C7" s="11">
        <f>NPV(0.12,'DCF Model'!$C$28:$G$28)+MIN('DCF Model'!$G$28*(1+0.0175)/(0.12-0.0175),'DCF Model'!$G$28*'DCF Model'!$B$16)/(1+0.12)^5</f>
        <v>0</v>
      </c>
      <c r="D7" s="11">
        <f>NPV(0.12,'DCF Model'!$C$28:$G$28)+MIN('DCF Model'!$G$28*(1+0.0225)/(0.12-0.0225),'DCF Model'!$G$28*'DCF Model'!$B$16)/(1+0.12)^5</f>
        <v>0</v>
      </c>
      <c r="E7" s="11">
        <f>NPV(0.12,'DCF Model'!$C$28:$G$28)+MIN('DCF Model'!$G$28*(1+0.0275)/(0.12-0.0275),'DCF Model'!$G$28*'DCF Model'!$B$16)/(1+0.12)^5</f>
        <v>0</v>
      </c>
      <c r="F7" s="11">
        <f>NPV(0.12,'DCF Model'!$C$28:$G$28)+MIN('DCF Model'!$G$28*(1+0.0325)/(0.12-0.0325),'DCF Model'!$G$28*'DCF Model'!$B$16)/(1+0.12)^5</f>
        <v>0</v>
      </c>
    </row>
    <row r="8" spans="1:6">
      <c r="A8" s="15">
        <v>0.13</v>
      </c>
      <c r="B8" s="11">
        <f>NPV(0.13,'DCF Model'!$C$28:$G$28)+MIN('DCF Model'!$G$28*(1+0.0125)/(0.13-0.0125),'DCF Model'!$G$28*'DCF Model'!$B$16)/(1+0.13)^5</f>
        <v>0</v>
      </c>
      <c r="C8" s="11">
        <f>NPV(0.13,'DCF Model'!$C$28:$G$28)+MIN('DCF Model'!$G$28*(1+0.0175)/(0.13-0.0175),'DCF Model'!$G$28*'DCF Model'!$B$16)/(1+0.13)^5</f>
        <v>0</v>
      </c>
      <c r="D8" s="11">
        <f>NPV(0.13,'DCF Model'!$C$28:$G$28)+MIN('DCF Model'!$G$28*(1+0.0225)/(0.13-0.0225),'DCF Model'!$G$28*'DCF Model'!$B$16)/(1+0.13)^5</f>
        <v>0</v>
      </c>
      <c r="E8" s="11">
        <f>NPV(0.13,'DCF Model'!$C$28:$G$28)+MIN('DCF Model'!$G$28*(1+0.0275)/(0.13-0.0275),'DCF Model'!$G$28*'DCF Model'!$B$16)/(1+0.13)^5</f>
        <v>0</v>
      </c>
      <c r="F8" s="11">
        <f>NPV(0.13,'DCF Model'!$C$28:$G$28)+MIN('DCF Model'!$G$28*(1+0.0325)/(0.13-0.0325),'DCF Model'!$G$28*'DCF Model'!$B$16)/(1+0.13)^5</f>
        <v>0</v>
      </c>
    </row>
    <row r="9" spans="1:6">
      <c r="A9" s="15">
        <v>0.14</v>
      </c>
      <c r="B9" s="11">
        <f>NPV(0.14,'DCF Model'!$C$28:$G$28)+MIN('DCF Model'!$G$28*(1+0.0125)/(0.14-0.0125),'DCF Model'!$G$28*'DCF Model'!$B$16)/(1+0.14)^5</f>
        <v>0</v>
      </c>
      <c r="C9" s="11">
        <f>NPV(0.14,'DCF Model'!$C$28:$G$28)+MIN('DCF Model'!$G$28*(1+0.0175)/(0.14-0.0175),'DCF Model'!$G$28*'DCF Model'!$B$16)/(1+0.14)^5</f>
        <v>0</v>
      </c>
      <c r="D9" s="11">
        <f>NPV(0.14,'DCF Model'!$C$28:$G$28)+MIN('DCF Model'!$G$28*(1+0.0225)/(0.14-0.0225),'DCF Model'!$G$28*'DCF Model'!$B$16)/(1+0.14)^5</f>
        <v>0</v>
      </c>
      <c r="E9" s="11">
        <f>NPV(0.14,'DCF Model'!$C$28:$G$28)+MIN('DCF Model'!$G$28*(1+0.0275)/(0.14-0.0275),'DCF Model'!$G$28*'DCF Model'!$B$16)/(1+0.14)^5</f>
        <v>0</v>
      </c>
      <c r="F9" s="11">
        <f>NPV(0.14,'DCF Model'!$C$28:$G$28)+MIN('DCF Model'!$G$28*(1+0.0325)/(0.14-0.0325),'DCF Model'!$G$28*'DCF Model'!$B$16)/(1+0.14)^5</f>
        <v>0</v>
      </c>
    </row>
    <row r="11" spans="1:6">
      <c r="A11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1" width="28.7109375" customWidth="1"/>
    <col min="2" max="7" width="13.7109375" customWidth="1"/>
  </cols>
  <sheetData>
    <row r="1" spans="1:6">
      <c r="A1" s="1" t="s">
        <v>53</v>
      </c>
    </row>
    <row r="4" spans="1:6">
      <c r="A4" s="8" t="s">
        <v>54</v>
      </c>
      <c r="B4" s="8"/>
      <c r="C4" s="8"/>
      <c r="D4" s="8"/>
      <c r="E4" s="8"/>
      <c r="F4" s="8"/>
    </row>
    <row r="5" spans="1:6">
      <c r="A5" t="s">
        <v>55</v>
      </c>
      <c r="B5" s="6">
        <v>0.2</v>
      </c>
      <c r="C5" s="6">
        <v>0.14</v>
      </c>
      <c r="D5" s="6">
        <v>0.1</v>
      </c>
      <c r="E5" s="6">
        <v>0.08</v>
      </c>
      <c r="F5" s="6">
        <v>0.06</v>
      </c>
    </row>
    <row r="6" spans="1:6">
      <c r="A6" t="s">
        <v>56</v>
      </c>
      <c r="B6" s="6">
        <v>0.13</v>
      </c>
      <c r="C6" s="6">
        <v>0.135</v>
      </c>
      <c r="D6" s="6">
        <v>0.145</v>
      </c>
      <c r="E6" s="6">
        <v>0.155</v>
      </c>
      <c r="F6" s="6">
        <v>0.165</v>
      </c>
    </row>
    <row r="7" spans="1:6">
      <c r="A7" t="s">
        <v>24</v>
      </c>
      <c r="B7" s="9">
        <v>5140.7</v>
      </c>
      <c r="C7" s="9">
        <v>5860.4</v>
      </c>
      <c r="D7" s="9">
        <v>6446.5</v>
      </c>
      <c r="E7" s="9">
        <v>6962.2</v>
      </c>
      <c r="F7" s="9">
        <v>7379.9</v>
      </c>
    </row>
    <row r="8" spans="1:6">
      <c r="A8" t="s">
        <v>25</v>
      </c>
      <c r="B8" s="9">
        <v>668.3</v>
      </c>
      <c r="C8" s="9">
        <v>791.2</v>
      </c>
      <c r="D8" s="9">
        <v>934.7</v>
      </c>
      <c r="E8" s="9">
        <v>1079.1</v>
      </c>
      <c r="F8" s="9">
        <v>1217.7</v>
      </c>
    </row>
    <row r="9" spans="1:6">
      <c r="A9" t="s">
        <v>27</v>
      </c>
      <c r="B9" s="10">
        <v>0.472</v>
      </c>
      <c r="C9" s="10">
        <v>0.544</v>
      </c>
      <c r="D9" s="10">
        <v>0.625</v>
      </c>
      <c r="E9" s="10">
        <v>0.703</v>
      </c>
      <c r="F9" s="10">
        <v>0.772</v>
      </c>
    </row>
    <row r="10" spans="1:6">
      <c r="A10" t="s">
        <v>57</v>
      </c>
      <c r="B10" s="6">
        <v>0.13</v>
      </c>
    </row>
    <row r="11" spans="1:6">
      <c r="A11" t="s">
        <v>58</v>
      </c>
      <c r="B11" s="6">
        <v>0.02</v>
      </c>
    </row>
    <row r="12" spans="1:6">
      <c r="A12" t="s">
        <v>59</v>
      </c>
      <c r="B12" s="9">
        <v>15</v>
      </c>
    </row>
    <row r="13" spans="1:6">
      <c r="A13" t="s">
        <v>60</v>
      </c>
      <c r="B13" s="9">
        <v>9.27</v>
      </c>
    </row>
    <row r="14" spans="1:6">
      <c r="A14" t="s">
        <v>61</v>
      </c>
      <c r="B14" t="s">
        <v>62</v>
      </c>
    </row>
    <row r="15" spans="1:6">
      <c r="A15" s="12" t="s">
        <v>39</v>
      </c>
      <c r="B15" s="13">
        <v>6.01</v>
      </c>
    </row>
    <row r="16" spans="1:6">
      <c r="A16" t="s">
        <v>63</v>
      </c>
      <c r="B16" s="6">
        <v>-0.667</v>
      </c>
    </row>
    <row r="18" spans="1:6">
      <c r="A18" s="8" t="s">
        <v>64</v>
      </c>
      <c r="B18" s="8"/>
      <c r="C18" s="8"/>
      <c r="D18" s="8"/>
      <c r="E18" s="8"/>
      <c r="F18" s="8"/>
    </row>
    <row r="19" spans="1:6">
      <c r="A19" t="s">
        <v>55</v>
      </c>
      <c r="B19" s="6">
        <v>0.3</v>
      </c>
      <c r="C19" s="6">
        <v>0.25</v>
      </c>
      <c r="D19" s="6">
        <v>0.2</v>
      </c>
      <c r="E19" s="6">
        <v>0.16</v>
      </c>
      <c r="F19" s="6">
        <v>0.13</v>
      </c>
    </row>
    <row r="20" spans="1:6">
      <c r="A20" t="s">
        <v>56</v>
      </c>
      <c r="B20" s="6">
        <v>0.16</v>
      </c>
      <c r="C20" s="6">
        <v>0.175</v>
      </c>
      <c r="D20" s="6">
        <v>0.19</v>
      </c>
      <c r="E20" s="6">
        <v>0.205</v>
      </c>
      <c r="F20" s="6">
        <v>0.22</v>
      </c>
    </row>
    <row r="21" spans="1:6">
      <c r="A21" t="s">
        <v>24</v>
      </c>
      <c r="B21" s="9">
        <v>5569.1</v>
      </c>
      <c r="C21" s="9">
        <v>6961.4</v>
      </c>
      <c r="D21" s="9">
        <v>8353.700000000001</v>
      </c>
      <c r="E21" s="9">
        <v>9690.299999999999</v>
      </c>
      <c r="F21" s="9">
        <v>10950</v>
      </c>
    </row>
    <row r="22" spans="1:6">
      <c r="A22" t="s">
        <v>25</v>
      </c>
      <c r="B22" s="9">
        <v>891.1</v>
      </c>
      <c r="C22" s="9">
        <v>1218.2</v>
      </c>
      <c r="D22" s="9">
        <v>1587.2</v>
      </c>
      <c r="E22" s="9">
        <v>1986.5</v>
      </c>
      <c r="F22" s="9">
        <v>2409</v>
      </c>
    </row>
    <row r="23" spans="1:6">
      <c r="A23" t="s">
        <v>27</v>
      </c>
      <c r="B23" s="10">
        <v>0.629</v>
      </c>
      <c r="C23" s="10">
        <v>0.837</v>
      </c>
      <c r="D23" s="10">
        <v>1.062</v>
      </c>
      <c r="E23" s="10">
        <v>1.293</v>
      </c>
      <c r="F23" s="10">
        <v>1.526</v>
      </c>
    </row>
    <row r="24" spans="1:6">
      <c r="A24" t="s">
        <v>57</v>
      </c>
      <c r="B24" s="6">
        <v>0.12</v>
      </c>
    </row>
    <row r="25" spans="1:6">
      <c r="A25" t="s">
        <v>58</v>
      </c>
      <c r="B25" s="6">
        <v>0.0225</v>
      </c>
    </row>
    <row r="26" spans="1:6">
      <c r="A26" t="s">
        <v>59</v>
      </c>
      <c r="B26" s="9">
        <v>20</v>
      </c>
    </row>
    <row r="27" spans="1:6">
      <c r="A27" t="s">
        <v>60</v>
      </c>
      <c r="B27" s="9">
        <v>10.49</v>
      </c>
    </row>
    <row r="28" spans="1:6">
      <c r="A28" t="s">
        <v>61</v>
      </c>
      <c r="B28" t="s">
        <v>62</v>
      </c>
    </row>
    <row r="29" spans="1:6">
      <c r="A29" s="12" t="s">
        <v>39</v>
      </c>
      <c r="B29" s="13">
        <v>12.76</v>
      </c>
    </row>
    <row r="30" spans="1:6">
      <c r="A30" t="s">
        <v>63</v>
      </c>
      <c r="B30" s="6">
        <v>-0.292</v>
      </c>
    </row>
    <row r="32" spans="1:6">
      <c r="A32" s="8" t="s">
        <v>65</v>
      </c>
      <c r="B32" s="8"/>
      <c r="C32" s="8"/>
      <c r="D32" s="8"/>
      <c r="E32" s="8"/>
      <c r="F32" s="8"/>
    </row>
    <row r="33" spans="1:6">
      <c r="A33" t="s">
        <v>55</v>
      </c>
      <c r="B33" s="6">
        <v>0.35</v>
      </c>
      <c r="C33" s="6">
        <v>0.3</v>
      </c>
      <c r="D33" s="6">
        <v>0.25</v>
      </c>
      <c r="E33" s="6">
        <v>0.2</v>
      </c>
      <c r="F33" s="6">
        <v>0.17</v>
      </c>
    </row>
    <row r="34" spans="1:6">
      <c r="A34" t="s">
        <v>56</v>
      </c>
      <c r="B34" s="6">
        <v>0.17</v>
      </c>
      <c r="C34" s="6">
        <v>0.19</v>
      </c>
      <c r="D34" s="6">
        <v>0.21</v>
      </c>
      <c r="E34" s="6">
        <v>0.23</v>
      </c>
      <c r="F34" s="6">
        <v>0.25</v>
      </c>
    </row>
    <row r="35" spans="1:6">
      <c r="A35" t="s">
        <v>24</v>
      </c>
      <c r="B35" s="9">
        <v>5783.3</v>
      </c>
      <c r="C35" s="9">
        <v>7518.3</v>
      </c>
      <c r="D35" s="9">
        <v>9397.9</v>
      </c>
      <c r="E35" s="9">
        <v>11277.5</v>
      </c>
      <c r="F35" s="9">
        <v>13194.6</v>
      </c>
    </row>
    <row r="36" spans="1:6">
      <c r="A36" t="s">
        <v>25</v>
      </c>
      <c r="B36" s="9">
        <v>983.2</v>
      </c>
      <c r="C36" s="9">
        <v>1428.5</v>
      </c>
      <c r="D36" s="9">
        <v>1973.6</v>
      </c>
      <c r="E36" s="9">
        <v>2593.8</v>
      </c>
      <c r="F36" s="9">
        <v>3298.7</v>
      </c>
    </row>
    <row r="37" spans="1:6">
      <c r="A37" t="s">
        <v>27</v>
      </c>
      <c r="B37" s="10">
        <v>0.694</v>
      </c>
      <c r="C37" s="10">
        <v>0.982</v>
      </c>
      <c r="D37" s="10">
        <v>1.32</v>
      </c>
      <c r="E37" s="10">
        <v>1.689</v>
      </c>
      <c r="F37" s="10">
        <v>2.09</v>
      </c>
    </row>
    <row r="38" spans="1:6">
      <c r="A38" t="s">
        <v>57</v>
      </c>
      <c r="B38" s="6">
        <v>0.11</v>
      </c>
    </row>
    <row r="39" spans="1:6">
      <c r="A39" t="s">
        <v>58</v>
      </c>
      <c r="B39" s="6">
        <v>0.025</v>
      </c>
    </row>
    <row r="40" spans="1:6">
      <c r="A40" t="s">
        <v>59</v>
      </c>
      <c r="B40" s="9">
        <v>25</v>
      </c>
    </row>
    <row r="41" spans="1:6">
      <c r="A41" t="s">
        <v>60</v>
      </c>
      <c r="B41" s="9">
        <v>12.06</v>
      </c>
    </row>
    <row r="42" spans="1:6">
      <c r="A42" t="s">
        <v>61</v>
      </c>
      <c r="B42" t="s">
        <v>62</v>
      </c>
    </row>
    <row r="43" spans="1:6">
      <c r="A43" s="12" t="s">
        <v>39</v>
      </c>
      <c r="B43" s="13">
        <v>19.7</v>
      </c>
    </row>
    <row r="44" spans="1:6">
      <c r="A44" t="s">
        <v>63</v>
      </c>
      <c r="B44" s="6">
        <v>0.09300000000000001</v>
      </c>
    </row>
    <row r="46" spans="1:6">
      <c r="A46" s="12" t="s">
        <v>66</v>
      </c>
      <c r="B46" s="13">
        <v>12.81</v>
      </c>
    </row>
    <row r="47" spans="1:6">
      <c r="A47" t="s">
        <v>67</v>
      </c>
      <c r="B47" t="s">
        <v>68</v>
      </c>
    </row>
  </sheetData>
  <mergeCells count="3">
    <mergeCell ref="B4:F4"/>
    <mergeCell ref="B18:F18"/>
    <mergeCell ref="B32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6.7109375" customWidth="1"/>
    <col min="2" max="3" width="15.7109375" customWidth="1"/>
  </cols>
  <sheetData>
    <row r="1" spans="1:5">
      <c r="A1" s="1" t="s">
        <v>69</v>
      </c>
    </row>
    <row r="3" spans="1:5">
      <c r="A3" s="8" t="s">
        <v>70</v>
      </c>
      <c r="B3" s="8" t="s">
        <v>71</v>
      </c>
      <c r="C3" s="8" t="s">
        <v>72</v>
      </c>
    </row>
    <row r="4" spans="1:5">
      <c r="A4" t="s">
        <v>73</v>
      </c>
      <c r="B4" s="6">
        <v>0.319</v>
      </c>
      <c r="C4" s="6">
        <v>0.449</v>
      </c>
    </row>
    <row r="5" spans="1:5">
      <c r="A5" t="s">
        <v>74</v>
      </c>
      <c r="B5" s="6">
        <v>0.263</v>
      </c>
    </row>
    <row r="7" spans="1:5">
      <c r="A7" s="2" t="s">
        <v>75</v>
      </c>
    </row>
    <row r="9" spans="1:5">
      <c r="A9" s="4" t="s">
        <v>76</v>
      </c>
    </row>
    <row r="10" spans="1:5">
      <c r="A10" s="8" t="s">
        <v>77</v>
      </c>
      <c r="B10" s="8" t="s">
        <v>78</v>
      </c>
      <c r="C10" s="8" t="s">
        <v>79</v>
      </c>
      <c r="D10" s="8" t="s">
        <v>80</v>
      </c>
      <c r="E10" s="8" t="s">
        <v>81</v>
      </c>
    </row>
    <row r="11" spans="1:5">
      <c r="A11" t="s">
        <v>82</v>
      </c>
      <c r="B11" s="11">
        <v>15.81</v>
      </c>
      <c r="C11" t="s">
        <v>83</v>
      </c>
      <c r="D11" s="9">
        <v>1.9</v>
      </c>
      <c r="E11" s="9">
        <v>8.460000000000001</v>
      </c>
    </row>
    <row r="12" spans="1:5">
      <c r="A12" t="s">
        <v>84</v>
      </c>
      <c r="B12" s="11">
        <v>4.61</v>
      </c>
      <c r="C12" t="s">
        <v>83</v>
      </c>
      <c r="D12" s="9">
        <v>0.8</v>
      </c>
      <c r="E12" s="9">
        <v>2.64</v>
      </c>
    </row>
    <row r="13" spans="1:5">
      <c r="A13" t="s">
        <v>85</v>
      </c>
      <c r="B13" s="11">
        <v>9.949999999999999</v>
      </c>
      <c r="C13" t="s">
        <v>83</v>
      </c>
      <c r="D13" s="9">
        <v>1.8</v>
      </c>
      <c r="E13" s="9">
        <v>4.43</v>
      </c>
    </row>
    <row r="14" spans="1:5">
      <c r="A14" t="s">
        <v>86</v>
      </c>
      <c r="B14" s="11">
        <v>15.4</v>
      </c>
      <c r="C14">
        <v>34</v>
      </c>
      <c r="D14" s="9">
        <v>2.6</v>
      </c>
      <c r="E14" s="9">
        <v>6.34</v>
      </c>
    </row>
    <row r="15" spans="1:5">
      <c r="A15" t="s">
        <v>87</v>
      </c>
      <c r="B15" s="11">
        <v>26.18</v>
      </c>
      <c r="C15">
        <v>68.09999999999999</v>
      </c>
      <c r="D15" s="9">
        <v>3.12</v>
      </c>
      <c r="E15" s="9">
        <v>9.07</v>
      </c>
    </row>
    <row r="17" spans="1:2">
      <c r="A17" s="12" t="s">
        <v>88</v>
      </c>
    </row>
    <row r="18" spans="1:2">
      <c r="A18" t="s">
        <v>89</v>
      </c>
      <c r="B18" s="9">
        <v>25.7</v>
      </c>
    </row>
    <row r="19" spans="1:2">
      <c r="A19" t="s">
        <v>90</v>
      </c>
      <c r="B19" s="9">
        <v>1.51</v>
      </c>
    </row>
    <row r="20" spans="1:2">
      <c r="A20" t="s">
        <v>91</v>
      </c>
      <c r="B20" s="9">
        <v>3.82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5"/>
  <sheetViews>
    <sheetView workbookViewId="0"/>
  </sheetViews>
  <sheetFormatPr defaultRowHeight="15"/>
  <cols>
    <col min="1" max="1" width="100.7109375" customWidth="1"/>
  </cols>
  <sheetData>
    <row r="1" spans="1:1">
      <c r="A1" s="1" t="s">
        <v>92</v>
      </c>
    </row>
    <row r="3" spans="1:1">
      <c r="A3" t="s">
        <v>93</v>
      </c>
    </row>
    <row r="5" spans="1:1">
      <c r="A5" t="s">
        <v>94</v>
      </c>
    </row>
    <row r="6" spans="1:1">
      <c r="A6" t="s">
        <v>95</v>
      </c>
    </row>
    <row r="7" spans="1:1">
      <c r="A7" t="s">
        <v>96</v>
      </c>
    </row>
    <row r="8" spans="1:1">
      <c r="A8" t="s">
        <v>97</v>
      </c>
    </row>
    <row r="9" spans="1:1">
      <c r="A9" t="s">
        <v>98</v>
      </c>
    </row>
    <row r="10" spans="1:1">
      <c r="A10" t="s">
        <v>99</v>
      </c>
    </row>
    <row r="12" spans="1:1">
      <c r="A12" t="s">
        <v>100</v>
      </c>
    </row>
    <row r="13" spans="1:1">
      <c r="A13" t="s">
        <v>101</v>
      </c>
    </row>
    <row r="14" spans="1:1">
      <c r="A14" t="s">
        <v>102</v>
      </c>
    </row>
    <row r="15" spans="1:1">
      <c r="A15" t="s">
        <v>103</v>
      </c>
    </row>
    <row r="16" spans="1:1">
      <c r="A16" t="s">
        <v>104</v>
      </c>
    </row>
    <row r="17" spans="1:1">
      <c r="A17" t="s">
        <v>105</v>
      </c>
    </row>
    <row r="18" spans="1:1">
      <c r="A18" t="s">
        <v>106</v>
      </c>
    </row>
    <row r="19" spans="1:1">
      <c r="A19" t="s">
        <v>107</v>
      </c>
    </row>
    <row r="21" spans="1:1">
      <c r="A21" t="s">
        <v>108</v>
      </c>
    </row>
    <row r="22" spans="1:1">
      <c r="A22" t="s">
        <v>109</v>
      </c>
    </row>
    <row r="23" spans="1:1">
      <c r="A23" t="s">
        <v>110</v>
      </c>
    </row>
    <row r="24" spans="1:1">
      <c r="A24" t="s">
        <v>111</v>
      </c>
    </row>
    <row r="25" spans="1:1">
      <c r="A25" t="s">
        <v>112</v>
      </c>
    </row>
    <row r="26" spans="1:1">
      <c r="A26" t="s">
        <v>113</v>
      </c>
    </row>
    <row r="27" spans="1:1">
      <c r="A27" t="s">
        <v>114</v>
      </c>
    </row>
    <row r="28" spans="1:1">
      <c r="A28" t="s">
        <v>115</v>
      </c>
    </row>
    <row r="29" spans="1:1">
      <c r="A29" t="s">
        <v>116</v>
      </c>
    </row>
    <row r="30" spans="1:1">
      <c r="A30" t="s">
        <v>117</v>
      </c>
    </row>
    <row r="31" spans="1:1">
      <c r="A31" t="s">
        <v>118</v>
      </c>
    </row>
    <row r="32" spans="1:1">
      <c r="A32" t="s">
        <v>119</v>
      </c>
    </row>
    <row r="33" spans="1:1">
      <c r="A33" t="s">
        <v>120</v>
      </c>
    </row>
    <row r="34" spans="1:1">
      <c r="A34" t="s">
        <v>121</v>
      </c>
    </row>
    <row r="35" spans="1:1">
      <c r="A35" t="s">
        <v>122</v>
      </c>
    </row>
    <row r="36" spans="1:1">
      <c r="A36" t="s">
        <v>123</v>
      </c>
    </row>
    <row r="37" spans="1:1">
      <c r="A37" t="s">
        <v>124</v>
      </c>
    </row>
    <row r="38" spans="1:1">
      <c r="A38" t="s">
        <v>125</v>
      </c>
    </row>
    <row r="39" spans="1:1">
      <c r="A39" t="s">
        <v>126</v>
      </c>
    </row>
    <row r="40" spans="1:1">
      <c r="A40" t="s">
        <v>127</v>
      </c>
    </row>
    <row r="41" spans="1:1">
      <c r="A41" t="s">
        <v>128</v>
      </c>
    </row>
    <row r="43" spans="1:1">
      <c r="A43" t="s">
        <v>129</v>
      </c>
    </row>
    <row r="44" spans="1:1">
      <c r="A44" t="s">
        <v>130</v>
      </c>
    </row>
    <row r="45" spans="1:1">
      <c r="A45" t="s">
        <v>131</v>
      </c>
    </row>
    <row r="46" spans="1:1">
      <c r="A46" t="s">
        <v>132</v>
      </c>
    </row>
    <row r="47" spans="1:1">
      <c r="A47" t="s">
        <v>133</v>
      </c>
    </row>
    <row r="48" spans="1:1">
      <c r="A48" t="s">
        <v>134</v>
      </c>
    </row>
    <row r="50" spans="1:1">
      <c r="A50" t="s">
        <v>135</v>
      </c>
    </row>
    <row r="51" spans="1:1">
      <c r="A51" t="s">
        <v>136</v>
      </c>
    </row>
    <row r="52" spans="1:1">
      <c r="A52" t="s">
        <v>137</v>
      </c>
    </row>
    <row r="53" spans="1:1">
      <c r="A53" t="s">
        <v>138</v>
      </c>
    </row>
    <row r="54" spans="1:1">
      <c r="A54" t="s">
        <v>139</v>
      </c>
    </row>
    <row r="55" spans="1:1">
      <c r="A55" t="s">
        <v>140</v>
      </c>
    </row>
    <row r="56" spans="1:1">
      <c r="A56" t="s">
        <v>141</v>
      </c>
    </row>
    <row r="57" spans="1:1">
      <c r="A57" t="s">
        <v>142</v>
      </c>
    </row>
    <row r="59" spans="1:1">
      <c r="A59" t="s">
        <v>143</v>
      </c>
    </row>
    <row r="60" spans="1:1">
      <c r="A60" t="s">
        <v>144</v>
      </c>
    </row>
    <row r="61" spans="1:1">
      <c r="A61" t="s">
        <v>145</v>
      </c>
    </row>
    <row r="62" spans="1:1">
      <c r="A62" t="s">
        <v>146</v>
      </c>
    </row>
    <row r="64" spans="1:1">
      <c r="A64" t="s">
        <v>147</v>
      </c>
    </row>
    <row r="65" spans="1:1">
      <c r="A6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Scenarios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2026-08-04T01:10:04Z</dcterms:created>
  <dcterms:modified xsi:type="dcterms:W3CDTF">2026-08-04T01:10:04Z</dcterms:modified>
</cp:coreProperties>
</file>