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<sst xmlns="http://schemas.openxmlformats.org/spreadsheetml/2006/main" count="384" uniqueCount="177">
  <si>
    <t xml:space="preserve">Ticker</t>
  </si>
  <si>
    <t xml:space="preserve">1803.T</t>
  </si>
  <si>
    <t xml:space="preserve">Company</t>
  </si>
  <si>
    <t xml:space="preserve">Shimizu Corporation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</si>
  <si>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</si>
  <si>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</si>
  <si>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</si>
  <si>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</si>
  <si>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2026-10-26T01:55:12Z (TSE morning session, live intraday print; regular close may differ)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</si>
  <si>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</si>
  <si>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</si>
  <si>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</si>
  <si>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</si>
  <si>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</si>
  <si>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</si>
  <si>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</si>
  <si>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</si>
  <si>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</si>
  <si>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</si>
  <si>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</si>
  <si>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</si>
  <si>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2026-10-26T02:17:27Z</t>
  </si>
  <si>
    <t xml:space="preserve">Drivers file</t>
  </si>
  <si>
    <t xml:space="preserve">1803.T_Drivers.json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</si>
  <si>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</si>
  <si>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</si>
  <si>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</si>
  <si>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going-concern owner-FCF DCF on a Big-5 Japanese general contractor, normalised to mid-cycle margins rather than extrapolated from either the FY2024 loss or the FY2026-27 peak. The flows exclude every FY2026/Q1 FY2027 one-off (88bn cross-shareholding sale gain, 5.9bn and 35.8bn negative-goodwill gains, 11.8bn Q1 securities gain) by construction, because they are non-operating; their source assets (357bn of investment securities, less deferred tax) are credited in the bridge instead. Shimizu converts earnings to free cash poorly -- ten-year cumulative FCF ~9% of cumulative net income -- because it reinvests in income real estate and working capital, and the model charges that reinvestment. The result sits well below the earnings- and book-multiple values the market pays, which is the finding: the share price credits the real-estate reinvestment at roughly book, this model credits only projected cash. Price/value should be read alongside P/B (~1.4x) and the 12x FCF terminal cap, which binds in every scenario and makes terminal growth nearly irrelevant.
key_risks_to_valuation: Capex assumption is the dominant driver: every 0.5pp of sales of capex (~12bn/yr) is worth roughly JPY150-180/share. If the income-property programme is scaled back and proceeds recycled to shareholders (as the cross-shareholding sell-down already is), the owner-FCF value rises sharply toward the P/B-implied value.; Recurrence of an FY2024-style cost-overrun/quality-defect episode (reserve for expected losses still 54.9bn; EY key audit matter on total-cost estimation) -- the bear case, weighted 25%.; Peak-cycle margin: FY2027 OI guidance (6.6%) is explicitly attributed to large projects at their most profitable stage; base fades to 6.8% EBITDA and bull assumes 8.0% is durable.; Real-estate development cash flows are lumpy (receivables +130.7bn in FY2026; 'real estate and other' gross profit 37-54bn/yr), so any single year's reported FCF is a poor guide; the component build and the working-capital capture are judgments.; Investment-securities bridge (300bn, ~JPY440/share) assumes the cross-shareholdings are realisable near fair value less tax; the Seiwa Building equity-method stake is carried at a book value that includes a 35.8bn negative-goodwill step-up.; Labour: Japan's construction workforce is shrinking and capped by the April-2024 overtime rules; subcontractors are turning down work, so volume growth above ~2% nominal may be unattainable regardless of demand.; Interest-rate normalisation in Japan raises the cost of the 573bn debt stack and could cool private building investment; the intraday price used here may differ from the regular close.</t>
  </si>
  <si>
    <t xml:space="preserve">Data sources</t>
  </si>
  <si>
    <t xml:space="preserve">price: Yahoo Finance chart API (query1.finance.yahoo.com v8 chart, regularMarketPrice) at inputs.price_as_of; 52-week range 1,945-3,618 JPY.
financials: research/1803.T/Reports/1803.T_Metrics.csv (FY2011-FY2026 annual plus interim/quarterly, JPY millions, from the consolidated tanshin); FY2026 consolidated statements in 1803.T_Annual_FY2025.txt (balance sheet 400-491, income statement 497-560, cash flows 600-727, share counts 103-112); 2026-06-30 balance sheet and Q1 FY2027 income statement in 1803.T_Quarterly_Q1-FY2026.txt (452-575), FY2027 forecast at lines 242-335.
qualitative: research/1803.T/Reports/1803.T_Analysis.json (2026-10-26): business model, FY2024 loss episode and remediation, FY2027 guidance (2026-07-30 revision), bull/bear cases, dividend path JPY20 -&gt; 38 -&gt; 72 -&gt; 77 guided.</t>
  </si>
  <si>
    <t xml:space="preserve">Scenario narrative: bear</t>
  </si>
  <si>
    <t xml:space="preserve">A milder repeat of the FY2024 loss episode in years 2-3 (EBITDA trough 3.5%, revenue -7% cumulative), with recovery only to the 5.2% five-year average; investment curtailed; terminal growth 0.5%.</t>
  </si>
  <si>
    <t xml:space="preserve">Scenario narrative: base</t>
  </si>
  <si>
    <t xml:space="preserve">Mid-cycle normalisation: FY2027 guidance (EBITDA ~8.1%) is largely delivered at 7.8%, then the margin fades to a 6.8% mid-cycle level as the current cohort of large projects passes its peak-profitability stage; revenue grows 12% in the guided year (incl. Aomi) then at 1.5-3% nominal. Owner FCF runs ~1.7-2.3% of sales because income-property capex (3.0-3.5%) exceeds D&amp;A (1.7%) and growth consumes working capital. Terminal value capped at 12x FCF.</t>
  </si>
  <si>
    <t xml:space="preserve">Scenario narrative: bull</t>
  </si>
  <si>
    <t xml:space="preserve">FY2027 margin is the new normal (8.0% EBITDA sustained), AI/data-centre and redevelopment demand keeps volumes compounding 3-5% for several years and the Big-5 hold pricing discipline. Same WACC and capex as base.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</si>
  <si>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</si>
  <si>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</si>
  <si>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</si>
  <si>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</si>
  <si>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</si>
  <si>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</si>
  <si>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</si>
  <si>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</si>
  <si>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</si>
  <si>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</si>
  <si>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</si>
  <si>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</si>
  <si>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</si>
  <si>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</si>
  <si>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</si>
  <si>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</si>
  <si>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</si>
  <si>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</si>
  <si>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</si>
  <si>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</si>
  <si>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</si>
  <si>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</si>
  <si>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</si>
  <si>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</si>
  <si>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</si>
  <si>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</si>
  <si>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</si>
  <si>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BookValuePerShare</t>
  </si>
  <si>
    <t xml:space="preserve">DividendPayoutRatio</t>
  </si>
  <si>
    <t xml:space="preserve">OrderIntake</t>
  </si>
  <si>
    <t xml:space="preserve">OrdinaryIncome</t>
  </si>
  <si>
    <t xml:space="preserve">ROE</t>
  </si>
  <si>
    <t xml:space="preserve">TotalEquityInclNCI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</si>
  <si>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</si>
  <si>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</si>
  <si>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</si>
  <si>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</si>
  <si>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</si>
  <si>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</si>
  <si>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</si>
  <si>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</si>
  <si>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</si>
  <si>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</si>
  <si>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</si>
  <si>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</si>
  <si>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</si>
  <si>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</si>
  <si>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</si>
  <si>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</si>
  <si>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</si>
  <si>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</si>
  <si>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</si>
  <si>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</si>
  <si>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</si>
  <si>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</si>
  <si>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</si>
  <si>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</si>
  <si>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</si>
  <si>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</si>
  <si>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</si>
  <si>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</si>
  <si>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</si>
  <si>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</si>
  <si>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</si>
  <si>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</si>
  <si>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</si>
  <si>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</si>
  <si>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</si>
  <si>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</si>
  <si>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</si>
  <si>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</si>
  <si>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</si>
  <si>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</si>
  <si>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</si>
  <si>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</si>
  <si>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</si>
  <si>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</si>
  <si>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</si>
  <si>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</si>
  <si>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</si>
  <si>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</si>
  <si>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</si>
  <si>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</si>
  <si>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</si>
  <si>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</si>
  <si>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</si>
  <si>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1803.T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</si>
  <si>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</si>
  <si>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</si>
  <si>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</si>
  <si>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</si>
  <si>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</si>
  <si>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</si>
  <si>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</si>
  <si>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</si>
  <si>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</si>
  <si>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</si>
  <si>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</si>
  <si>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</si>
  <si>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</si>
  <si>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</si>
  <si>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</si>
  <si>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</si>
  <si>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</si>
  <si>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</si>
  <si>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</si>
  <si>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</si>
  <si>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</si>
  <si>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</si>
  <si>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</si>
  <si>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</si>
  <si>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</si>
  <si>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</si>
  <si>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</si>
  <si>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</si>
  <si>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</si>
  <si>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</si>
  <si>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1803.T owner-FCF component DCF: base case (millions, JPY)</t>
  </si>
  <si>
    <t xml:space="preserve">1803.T owner-FCF component DCF: bull case (millions, JPY)</t>
  </si>
  <si>
    <t xml:space="preserve">1803.T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</si>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</sst>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2069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</row>
    <row r="2" customFormat="false" ht="15" hidden="false" customHeight="false" outlineLevel="0" collapsed="false">
      <c r="A2" s="0" t="s">
        <v>69</v>
      </c>
      <c r="B2" s="0" t="n">
        <v>1303755</v>
      </c>
      <c r="C2" s="0" t="n">
        <v>1212108</v>
      </c>
      <c r="D2" s="0" t="n">
        <v>91647</v>
      </c>
      <c r="E2" s="0" t="n">
        <v>7</v>
      </c>
      <c r="F2" s="0" t="n">
        <v>20175</v>
      </c>
      <c r="G2" s="0" t="n">
        <v>1.5</v>
      </c>
      <c r="I2" s="0" t="n">
        <v>10848</v>
      </c>
      <c r="J2" s="0" t="n">
        <v>0.8</v>
      </c>
      <c r="K2" s="0" t="n">
        <v>13.83</v>
      </c>
      <c r="L2" s="0" t="n">
        <v>101639</v>
      </c>
      <c r="O2" s="0" t="n">
        <v>293351</v>
      </c>
      <c r="P2" s="0" t="n">
        <v>1423613</v>
      </c>
      <c r="Q2" s="0" t="n">
        <v>1127152</v>
      </c>
      <c r="R2" s="0" t="n">
        <v>393503</v>
      </c>
      <c r="S2" s="0" t="n">
        <v>246251</v>
      </c>
      <c r="T2" s="0" t="n">
        <v>784.3818</v>
      </c>
      <c r="V2" s="0" t="n">
        <v>7</v>
      </c>
      <c r="AA2" s="0" t="s">
        <v>17</v>
      </c>
      <c r="AB2" s="0" t="s">
        <v>14</v>
      </c>
      <c r="AC2" s="0" t="n">
        <v>373.99</v>
      </c>
      <c r="AD2" s="0" t="n">
        <v>50.6</v>
      </c>
      <c r="AE2" s="0" t="n">
        <v>1217238</v>
      </c>
      <c r="AF2" s="0" t="n">
        <v>18815</v>
      </c>
      <c r="AG2" s="0" t="n">
        <v>3.6</v>
      </c>
      <c r="AH2" s="0" t="n">
        <v>296461</v>
      </c>
    </row>
    <row r="3" customFormat="false" ht="15" hidden="false" customHeight="false" outlineLevel="0" collapsed="false">
      <c r="A3" s="0" t="s">
        <v>70</v>
      </c>
      <c r="B3" s="0" t="n">
        <v>1336194</v>
      </c>
      <c r="C3" s="0" t="n">
        <v>1249531</v>
      </c>
      <c r="D3" s="0" t="n">
        <v>86663</v>
      </c>
      <c r="E3" s="0" t="n">
        <v>6.5</v>
      </c>
      <c r="F3" s="0" t="n">
        <v>17566</v>
      </c>
      <c r="G3" s="0" t="n">
        <v>1.3</v>
      </c>
      <c r="I3" s="0" t="n">
        <v>1430</v>
      </c>
      <c r="J3" s="0" t="n">
        <v>0.1</v>
      </c>
      <c r="K3" s="0" t="n">
        <v>1.82</v>
      </c>
      <c r="L3" s="0" t="n">
        <v>10518</v>
      </c>
      <c r="O3" s="0" t="n">
        <v>304653</v>
      </c>
      <c r="P3" s="0" t="n">
        <v>1410975</v>
      </c>
      <c r="Q3" s="0" t="n">
        <v>1103973</v>
      </c>
      <c r="R3" s="0" t="n">
        <v>375330</v>
      </c>
      <c r="S3" s="0" t="n">
        <v>209773</v>
      </c>
      <c r="T3" s="0" t="n">
        <v>785.7143</v>
      </c>
      <c r="V3" s="0" t="n">
        <v>7</v>
      </c>
      <c r="AA3" s="0" t="s">
        <v>17</v>
      </c>
      <c r="AB3" s="0" t="s">
        <v>14</v>
      </c>
      <c r="AC3" s="0" t="n">
        <v>387.74</v>
      </c>
      <c r="AD3" s="0" t="n">
        <v>384.6</v>
      </c>
      <c r="AE3" s="0" t="n">
        <v>1242347</v>
      </c>
      <c r="AF3" s="0" t="n">
        <v>16159</v>
      </c>
      <c r="AG3" s="0" t="n">
        <v>0.5</v>
      </c>
      <c r="AH3" s="0" t="n">
        <v>307002</v>
      </c>
    </row>
    <row r="4" customFormat="false" ht="15" hidden="false" customHeight="false" outlineLevel="0" collapsed="false">
      <c r="A4" s="0" t="s">
        <v>71</v>
      </c>
      <c r="B4" s="0" t="n">
        <v>1416044</v>
      </c>
      <c r="C4" s="0" t="n">
        <v>1333002</v>
      </c>
      <c r="D4" s="0" t="n">
        <v>83042</v>
      </c>
      <c r="E4" s="0" t="n">
        <v>5.9</v>
      </c>
      <c r="F4" s="0" t="n">
        <v>13101</v>
      </c>
      <c r="G4" s="0" t="n">
        <v>0.9</v>
      </c>
      <c r="I4" s="0" t="n">
        <v>5901</v>
      </c>
      <c r="J4" s="0" t="n">
        <v>0.4</v>
      </c>
      <c r="K4" s="0" t="n">
        <v>7.52</v>
      </c>
      <c r="L4" s="0" t="n">
        <v>46364</v>
      </c>
      <c r="O4" s="0" t="n">
        <v>355308</v>
      </c>
      <c r="P4" s="0" t="n">
        <v>1456441</v>
      </c>
      <c r="Q4" s="0" t="n">
        <v>1098347</v>
      </c>
      <c r="R4" s="0" t="n">
        <v>367097</v>
      </c>
      <c r="S4" s="0" t="n">
        <v>216634</v>
      </c>
      <c r="T4" s="0" t="n">
        <v>784.7074</v>
      </c>
      <c r="V4" s="0" t="n">
        <v>7</v>
      </c>
      <c r="AA4" s="0" t="s">
        <v>17</v>
      </c>
      <c r="AB4" s="0" t="s">
        <v>14</v>
      </c>
      <c r="AC4" s="0" t="n">
        <v>452.79</v>
      </c>
      <c r="AD4" s="0" t="n">
        <v>93.1</v>
      </c>
      <c r="AE4" s="0" t="n">
        <v>1254950</v>
      </c>
      <c r="AF4" s="0" t="n">
        <v>17330</v>
      </c>
      <c r="AG4" s="0" t="n">
        <v>1.8</v>
      </c>
      <c r="AH4" s="0" t="n">
        <v>358094</v>
      </c>
    </row>
    <row r="5" customFormat="false" ht="15" hidden="false" customHeight="false" outlineLevel="0" collapsed="false">
      <c r="A5" s="0" t="s">
        <v>72</v>
      </c>
      <c r="B5" s="0" t="n">
        <v>1497578</v>
      </c>
      <c r="C5" s="0" t="n">
        <v>1401804</v>
      </c>
      <c r="D5" s="0" t="n">
        <v>95774</v>
      </c>
      <c r="E5" s="0" t="n">
        <v>6.4</v>
      </c>
      <c r="F5" s="0" t="n">
        <v>26054</v>
      </c>
      <c r="G5" s="0" t="n">
        <v>1.7</v>
      </c>
      <c r="H5" s="0" t="n">
        <v>36291</v>
      </c>
      <c r="I5" s="0" t="n">
        <v>14191</v>
      </c>
      <c r="J5" s="0" t="n">
        <v>0.9</v>
      </c>
      <c r="K5" s="0" t="n">
        <v>18.09</v>
      </c>
      <c r="L5" s="0" t="n">
        <v>17395</v>
      </c>
      <c r="M5" s="0" t="n">
        <v>27547</v>
      </c>
      <c r="N5" s="0" t="n">
        <v>-10152</v>
      </c>
      <c r="O5" s="0" t="n">
        <v>372261</v>
      </c>
      <c r="P5" s="0" t="n">
        <v>1512686</v>
      </c>
      <c r="Q5" s="0" t="n">
        <v>1136638</v>
      </c>
      <c r="R5" s="0" t="n">
        <v>344222</v>
      </c>
      <c r="S5" s="0" t="n">
        <v>183440</v>
      </c>
      <c r="T5" s="0" t="n">
        <v>784.6572</v>
      </c>
      <c r="V5" s="0" t="n">
        <v>7</v>
      </c>
      <c r="AA5" s="0" t="s">
        <v>17</v>
      </c>
      <c r="AB5" s="0" t="s">
        <v>14</v>
      </c>
      <c r="AC5" s="0" t="n">
        <v>474.43</v>
      </c>
      <c r="AD5" s="0" t="n">
        <v>38.7</v>
      </c>
      <c r="AE5" s="0" t="n">
        <v>1474084</v>
      </c>
      <c r="AF5" s="0" t="n">
        <v>29277</v>
      </c>
      <c r="AG5" s="0" t="n">
        <v>3.9</v>
      </c>
      <c r="AH5" s="0" t="n">
        <v>376048</v>
      </c>
    </row>
    <row r="6" customFormat="false" ht="15" hidden="false" customHeight="false" outlineLevel="0" collapsed="false">
      <c r="A6" s="0" t="s">
        <v>73</v>
      </c>
      <c r="B6" s="0" t="n">
        <v>1567843</v>
      </c>
      <c r="C6" s="0" t="n">
        <v>1444845</v>
      </c>
      <c r="D6" s="0" t="n">
        <v>122998</v>
      </c>
      <c r="E6" s="0" t="n">
        <v>7.8</v>
      </c>
      <c r="F6" s="0" t="n">
        <v>50032</v>
      </c>
      <c r="G6" s="0" t="n">
        <v>3.2</v>
      </c>
      <c r="H6" s="0" t="n">
        <v>61419</v>
      </c>
      <c r="I6" s="0" t="n">
        <v>33397</v>
      </c>
      <c r="J6" s="0" t="n">
        <v>2.1</v>
      </c>
      <c r="K6" s="0" t="n">
        <v>42.56</v>
      </c>
      <c r="L6" s="0" t="n">
        <v>56105</v>
      </c>
      <c r="M6" s="0" t="n">
        <v>19790</v>
      </c>
      <c r="N6" s="0" t="n">
        <v>36315</v>
      </c>
      <c r="O6" s="0" t="n">
        <v>476909</v>
      </c>
      <c r="P6" s="0" t="n">
        <v>1703399</v>
      </c>
      <c r="Q6" s="0" t="n">
        <v>1221503</v>
      </c>
      <c r="R6" s="0" t="n">
        <v>375580</v>
      </c>
      <c r="S6" s="0" t="n">
        <v>242482</v>
      </c>
      <c r="T6" s="0" t="n">
        <v>784.6241</v>
      </c>
      <c r="V6" s="0" t="n">
        <v>8</v>
      </c>
      <c r="AA6" s="0" t="s">
        <v>17</v>
      </c>
      <c r="AB6" s="0" t="s">
        <v>14</v>
      </c>
      <c r="AC6" s="0" t="n">
        <v>607.82</v>
      </c>
      <c r="AD6" s="0" t="n">
        <v>18.8</v>
      </c>
      <c r="AE6" s="0" t="n">
        <v>1581494</v>
      </c>
      <c r="AF6" s="0" t="n">
        <v>56246</v>
      </c>
      <c r="AG6" s="0" t="n">
        <v>7.9</v>
      </c>
      <c r="AH6" s="0" t="n">
        <v>481896</v>
      </c>
    </row>
    <row r="7" customFormat="false" ht="15" hidden="false" customHeight="false" outlineLevel="0" collapsed="false">
      <c r="A7" s="0" t="s">
        <v>74</v>
      </c>
      <c r="B7" s="0" t="n">
        <v>1664933</v>
      </c>
      <c r="C7" s="0" t="n">
        <v>1489559</v>
      </c>
      <c r="D7" s="0" t="n">
        <v>175374</v>
      </c>
      <c r="E7" s="0" t="n">
        <v>10.5</v>
      </c>
      <c r="F7" s="0" t="n">
        <v>94668</v>
      </c>
      <c r="G7" s="0" t="n">
        <v>5.7</v>
      </c>
      <c r="H7" s="0" t="n">
        <v>106236</v>
      </c>
      <c r="I7" s="0" t="n">
        <v>59322</v>
      </c>
      <c r="J7" s="0" t="n">
        <v>3.6</v>
      </c>
      <c r="K7" s="0" t="n">
        <v>75.61</v>
      </c>
      <c r="L7" s="0" t="n">
        <v>38335</v>
      </c>
      <c r="M7" s="0" t="n">
        <v>16006</v>
      </c>
      <c r="N7" s="0" t="n">
        <v>22329</v>
      </c>
      <c r="O7" s="0" t="n">
        <v>480715</v>
      </c>
      <c r="P7" s="0" t="n">
        <v>1722936</v>
      </c>
      <c r="Q7" s="0" t="n">
        <v>1237281</v>
      </c>
      <c r="R7" s="0" t="n">
        <v>392482</v>
      </c>
      <c r="S7" s="0" t="n">
        <v>274167</v>
      </c>
      <c r="T7" s="0" t="n">
        <v>784.5857</v>
      </c>
      <c r="V7" s="0" t="n">
        <v>16</v>
      </c>
      <c r="AA7" s="0" t="s">
        <v>17</v>
      </c>
      <c r="AB7" s="0" t="s">
        <v>14</v>
      </c>
      <c r="AC7" s="0" t="n">
        <v>612.7</v>
      </c>
      <c r="AD7" s="0" t="n">
        <v>21.2</v>
      </c>
      <c r="AE7" s="0" t="n">
        <v>1477049</v>
      </c>
      <c r="AF7" s="0" t="n">
        <v>95501</v>
      </c>
      <c r="AG7" s="0" t="n">
        <v>12.4</v>
      </c>
      <c r="AH7" s="0" t="n">
        <v>485655</v>
      </c>
    </row>
    <row r="8" customFormat="false" ht="15" hidden="false" customHeight="false" outlineLevel="0" collapsed="false">
      <c r="A8" s="0" t="s">
        <v>75</v>
      </c>
      <c r="B8" s="0" t="n">
        <v>1567427</v>
      </c>
      <c r="C8" s="0" t="n">
        <v>1357807</v>
      </c>
      <c r="D8" s="0" t="n">
        <v>209620</v>
      </c>
      <c r="E8" s="0" t="n">
        <v>13.4</v>
      </c>
      <c r="F8" s="0" t="n">
        <v>128835</v>
      </c>
      <c r="G8" s="0" t="n">
        <v>8.2</v>
      </c>
      <c r="H8" s="0" t="n">
        <v>140497</v>
      </c>
      <c r="I8" s="0" t="n">
        <v>98946</v>
      </c>
      <c r="J8" s="0" t="n">
        <v>6.3</v>
      </c>
      <c r="K8" s="0" t="n">
        <v>126.11</v>
      </c>
      <c r="L8" s="0" t="n">
        <v>143668</v>
      </c>
      <c r="M8" s="0" t="n">
        <v>30940</v>
      </c>
      <c r="N8" s="0" t="n">
        <v>112728</v>
      </c>
      <c r="O8" s="0" t="n">
        <v>571773</v>
      </c>
      <c r="P8" s="0" t="n">
        <v>1688197</v>
      </c>
      <c r="Q8" s="0" t="n">
        <v>1111318</v>
      </c>
      <c r="R8" s="0" t="n">
        <v>340010</v>
      </c>
      <c r="S8" s="0" t="n">
        <v>315803</v>
      </c>
      <c r="T8" s="0" t="n">
        <v>784.5651</v>
      </c>
      <c r="V8" s="0" t="n">
        <v>26</v>
      </c>
      <c r="AA8" s="0" t="s">
        <v>17</v>
      </c>
      <c r="AB8" s="0" t="s">
        <v>14</v>
      </c>
      <c r="AC8" s="0" t="n">
        <v>728.78</v>
      </c>
      <c r="AD8" s="0" t="n">
        <v>20.6</v>
      </c>
      <c r="AE8" s="0" t="n">
        <v>1565928</v>
      </c>
      <c r="AF8" s="0" t="n">
        <v>131197</v>
      </c>
      <c r="AG8" s="0" t="n">
        <v>18.8</v>
      </c>
      <c r="AH8" s="0" t="n">
        <v>576879</v>
      </c>
    </row>
    <row r="9" customFormat="false" ht="15" hidden="false" customHeight="false" outlineLevel="0" collapsed="false">
      <c r="A9" s="0" t="s">
        <v>76</v>
      </c>
      <c r="B9" s="0" t="n">
        <v>1519435</v>
      </c>
      <c r="C9" s="0" t="n">
        <v>1316018</v>
      </c>
      <c r="D9" s="0" t="n">
        <v>203417</v>
      </c>
      <c r="E9" s="0" t="n">
        <v>13.4</v>
      </c>
      <c r="F9" s="0" t="n">
        <v>121373</v>
      </c>
      <c r="G9" s="0" t="n">
        <v>8</v>
      </c>
      <c r="H9" s="0" t="n">
        <v>133772</v>
      </c>
      <c r="I9" s="0" t="n">
        <v>84978</v>
      </c>
      <c r="J9" s="0" t="n">
        <v>5.6</v>
      </c>
      <c r="K9" s="0" t="n">
        <v>108.31</v>
      </c>
      <c r="L9" s="0" t="n">
        <v>82879</v>
      </c>
      <c r="M9" s="0" t="n">
        <v>30640</v>
      </c>
      <c r="N9" s="0" t="n">
        <v>52239</v>
      </c>
      <c r="O9" s="0" t="n">
        <v>650852</v>
      </c>
      <c r="P9" s="0" t="n">
        <v>1780943</v>
      </c>
      <c r="Q9" s="0" t="n">
        <v>1124613</v>
      </c>
      <c r="R9" s="0" t="n">
        <v>338264</v>
      </c>
      <c r="S9" s="0" t="n">
        <v>341158</v>
      </c>
      <c r="T9" s="0" t="n">
        <v>784.5535</v>
      </c>
      <c r="V9" s="0" t="n">
        <v>26</v>
      </c>
      <c r="AA9" s="0" t="s">
        <v>17</v>
      </c>
      <c r="AB9" s="0" t="s">
        <v>14</v>
      </c>
      <c r="AC9" s="0" t="n">
        <v>829.58</v>
      </c>
      <c r="AD9" s="0" t="n">
        <v>24</v>
      </c>
      <c r="AE9" s="0" t="n">
        <v>1608266</v>
      </c>
      <c r="AF9" s="0" t="n">
        <v>124130</v>
      </c>
      <c r="AG9" s="0" t="n">
        <v>13.9</v>
      </c>
      <c r="AH9" s="0" t="n">
        <v>656330</v>
      </c>
    </row>
    <row r="10" customFormat="false" ht="15" hidden="false" customHeight="false" outlineLevel="0" collapsed="false">
      <c r="A10" s="0" t="s">
        <v>77</v>
      </c>
      <c r="B10" s="0" t="n">
        <v>1664960</v>
      </c>
      <c r="C10" s="0" t="n">
        <v>1448315</v>
      </c>
      <c r="D10" s="0" t="n">
        <v>216645</v>
      </c>
      <c r="E10" s="0" t="n">
        <v>13</v>
      </c>
      <c r="F10" s="0" t="n">
        <v>129724</v>
      </c>
      <c r="G10" s="0" t="n">
        <v>7.8</v>
      </c>
      <c r="H10" s="0" t="n">
        <v>143028</v>
      </c>
      <c r="I10" s="0" t="n">
        <v>99668</v>
      </c>
      <c r="J10" s="0" t="n">
        <v>6</v>
      </c>
      <c r="K10" s="0" t="n">
        <v>127.04</v>
      </c>
      <c r="L10" s="0" t="n">
        <v>-14933</v>
      </c>
      <c r="M10" s="0" t="n">
        <v>58719</v>
      </c>
      <c r="N10" s="0" t="n">
        <v>-73652</v>
      </c>
      <c r="O10" s="0" t="n">
        <v>729415</v>
      </c>
      <c r="P10" s="0" t="n">
        <v>1860794</v>
      </c>
      <c r="Q10" s="0" t="n">
        <v>1125552</v>
      </c>
      <c r="R10" s="0" t="n">
        <v>319400</v>
      </c>
      <c r="S10" s="0" t="n">
        <v>229978</v>
      </c>
      <c r="T10" s="0" t="n">
        <v>784.5504</v>
      </c>
      <c r="V10" s="0" t="n">
        <v>36</v>
      </c>
      <c r="AA10" s="0" t="s">
        <v>17</v>
      </c>
      <c r="AB10" s="0" t="s">
        <v>14</v>
      </c>
      <c r="AC10" s="0" t="n">
        <v>929.72</v>
      </c>
      <c r="AD10" s="0" t="n">
        <v>28.3</v>
      </c>
      <c r="AE10" s="0" t="n">
        <v>1816023</v>
      </c>
      <c r="AF10" s="0" t="n">
        <v>133957</v>
      </c>
      <c r="AG10" s="0" t="n">
        <v>14.4</v>
      </c>
      <c r="AH10" s="0" t="n">
        <v>735242</v>
      </c>
    </row>
    <row r="11" customFormat="false" ht="15" hidden="false" customHeight="false" outlineLevel="0" collapsed="false">
      <c r="A11" s="0" t="s">
        <v>78</v>
      </c>
      <c r="B11" s="0" t="n">
        <v>1698292</v>
      </c>
      <c r="C11" s="0" t="n">
        <v>1472622</v>
      </c>
      <c r="D11" s="0" t="n">
        <v>225670</v>
      </c>
      <c r="E11" s="0" t="n">
        <v>13.3</v>
      </c>
      <c r="F11" s="0" t="n">
        <v>133894</v>
      </c>
      <c r="G11" s="0" t="n">
        <v>7.9</v>
      </c>
      <c r="H11" s="0" t="n">
        <v>147527</v>
      </c>
      <c r="I11" s="0" t="n">
        <v>98977</v>
      </c>
      <c r="J11" s="0" t="n">
        <v>5.8</v>
      </c>
      <c r="K11" s="0" t="n">
        <v>128.31</v>
      </c>
      <c r="L11" s="0" t="n">
        <v>170557</v>
      </c>
      <c r="M11" s="0" t="n">
        <v>123904</v>
      </c>
      <c r="N11" s="0" t="n">
        <v>46653</v>
      </c>
      <c r="O11" s="0" t="n">
        <v>730479</v>
      </c>
      <c r="P11" s="0" t="n">
        <v>1904934</v>
      </c>
      <c r="Q11" s="0" t="n">
        <v>1168522</v>
      </c>
      <c r="R11" s="0" t="n">
        <v>441315</v>
      </c>
      <c r="S11" s="0" t="n">
        <v>352722</v>
      </c>
      <c r="T11" s="0" t="n">
        <v>762.8564</v>
      </c>
      <c r="V11" s="0" t="n">
        <v>38</v>
      </c>
      <c r="AA11" s="0" t="s">
        <v>17</v>
      </c>
      <c r="AB11" s="0" t="s">
        <v>14</v>
      </c>
      <c r="AC11" s="0" t="n">
        <v>957.56</v>
      </c>
      <c r="AD11" s="0" t="n">
        <v>29.6</v>
      </c>
      <c r="AE11" s="0" t="n">
        <v>1318739</v>
      </c>
      <c r="AF11" s="0" t="n">
        <v>137986</v>
      </c>
      <c r="AG11" s="0" t="n">
        <v>13.6</v>
      </c>
      <c r="AH11" s="0" t="n">
        <v>736412</v>
      </c>
    </row>
    <row r="12" customFormat="false" ht="15" hidden="false" customHeight="false" outlineLevel="0" collapsed="false">
      <c r="A12" s="0" t="s">
        <v>79</v>
      </c>
      <c r="B12" s="0" t="n">
        <v>1456473</v>
      </c>
      <c r="C12" s="0" t="n">
        <v>1266056</v>
      </c>
      <c r="D12" s="0" t="n">
        <v>190417</v>
      </c>
      <c r="E12" s="0" t="n">
        <v>13.1</v>
      </c>
      <c r="F12" s="0" t="n">
        <v>100151</v>
      </c>
      <c r="G12" s="0" t="n">
        <v>6.9</v>
      </c>
      <c r="H12" s="0" t="n">
        <v>116861</v>
      </c>
      <c r="I12" s="0" t="n">
        <v>77176</v>
      </c>
      <c r="J12" s="0" t="n">
        <v>5.3</v>
      </c>
      <c r="K12" s="0" t="n">
        <v>101.17</v>
      </c>
      <c r="L12" s="0" t="n">
        <v>80674</v>
      </c>
      <c r="M12" s="0" t="n">
        <v>122892</v>
      </c>
      <c r="N12" s="0" t="n">
        <v>-42218</v>
      </c>
      <c r="O12" s="0" t="n">
        <v>815288</v>
      </c>
      <c r="P12" s="0" t="n">
        <v>1908674</v>
      </c>
      <c r="Q12" s="0" t="n">
        <v>1087228</v>
      </c>
      <c r="R12" s="0" t="n">
        <v>422688</v>
      </c>
      <c r="S12" s="0" t="n">
        <v>276321</v>
      </c>
      <c r="T12" s="0" t="n">
        <v>762.8535</v>
      </c>
      <c r="V12" s="0" t="n">
        <v>30</v>
      </c>
      <c r="AA12" s="0" t="s">
        <v>17</v>
      </c>
      <c r="AB12" s="0" t="s">
        <v>14</v>
      </c>
      <c r="AC12" s="0" t="n">
        <v>1068.74</v>
      </c>
      <c r="AD12" s="0" t="n">
        <v>29.7</v>
      </c>
      <c r="AE12" s="0" t="n">
        <v>1252078</v>
      </c>
      <c r="AF12" s="0" t="n">
        <v>105465</v>
      </c>
      <c r="AG12" s="0" t="n">
        <v>10</v>
      </c>
      <c r="AH12" s="0" t="n">
        <v>821446</v>
      </c>
    </row>
    <row r="13" customFormat="false" ht="15" hidden="false" customHeight="false" outlineLevel="0" collapsed="false">
      <c r="A13" s="0" t="s">
        <v>80</v>
      </c>
      <c r="B13" s="0" t="n">
        <v>1482961</v>
      </c>
      <c r="C13" s="0" t="n">
        <v>1343286</v>
      </c>
      <c r="D13" s="0" t="n">
        <v>139675</v>
      </c>
      <c r="E13" s="0" t="n">
        <v>9.4</v>
      </c>
      <c r="F13" s="0" t="n">
        <v>45145</v>
      </c>
      <c r="G13" s="0" t="n">
        <v>3</v>
      </c>
      <c r="H13" s="0" t="n">
        <v>65358</v>
      </c>
      <c r="I13" s="0" t="n">
        <v>47761</v>
      </c>
      <c r="J13" s="0" t="n">
        <v>3.2</v>
      </c>
      <c r="K13" s="0" t="n">
        <v>64.09</v>
      </c>
      <c r="L13" s="0" t="n">
        <v>77772</v>
      </c>
      <c r="M13" s="0" t="n">
        <v>109766</v>
      </c>
      <c r="N13" s="0" t="n">
        <v>-31994</v>
      </c>
      <c r="O13" s="0" t="n">
        <v>824496</v>
      </c>
      <c r="P13" s="0" t="n">
        <v>2128356</v>
      </c>
      <c r="Q13" s="0" t="n">
        <v>1253184</v>
      </c>
      <c r="R13" s="0" t="n">
        <v>495140</v>
      </c>
      <c r="S13" s="0" t="n">
        <v>287134</v>
      </c>
      <c r="T13" s="0" t="n">
        <v>738.2053</v>
      </c>
      <c r="V13" s="0" t="n">
        <v>23</v>
      </c>
      <c r="AA13" s="0" t="s">
        <v>17</v>
      </c>
      <c r="AB13" s="0" t="s">
        <v>14</v>
      </c>
      <c r="AC13" s="0" t="n">
        <v>1116.89</v>
      </c>
      <c r="AD13" s="0" t="n">
        <v>35.9</v>
      </c>
      <c r="AE13" s="0" t="n">
        <v>1561898</v>
      </c>
      <c r="AF13" s="0" t="n">
        <v>50419</v>
      </c>
      <c r="AG13" s="0" t="n">
        <v>5.8</v>
      </c>
      <c r="AH13" s="0" t="n">
        <v>875172</v>
      </c>
    </row>
    <row r="14" customFormat="false" ht="15" hidden="false" customHeight="false" outlineLevel="0" collapsed="false">
      <c r="A14" s="0" t="s">
        <v>81</v>
      </c>
      <c r="B14" s="0" t="n">
        <v>1933814</v>
      </c>
      <c r="C14" s="0" t="n">
        <v>1772812</v>
      </c>
      <c r="D14" s="0" t="n">
        <v>161002</v>
      </c>
      <c r="E14" s="0" t="n">
        <v>8.3</v>
      </c>
      <c r="F14" s="0" t="n">
        <v>54647</v>
      </c>
      <c r="G14" s="0" t="n">
        <v>2.8</v>
      </c>
      <c r="H14" s="0" t="n">
        <v>80445</v>
      </c>
      <c r="I14" s="0" t="n">
        <v>49057</v>
      </c>
      <c r="J14" s="0" t="n">
        <v>2.5</v>
      </c>
      <c r="K14" s="0" t="n">
        <v>66.29</v>
      </c>
      <c r="L14" s="0" t="n">
        <v>83842</v>
      </c>
      <c r="M14" s="0" t="n">
        <v>68575</v>
      </c>
      <c r="N14" s="0" t="n">
        <v>15267</v>
      </c>
      <c r="O14" s="0" t="n">
        <v>852559</v>
      </c>
      <c r="P14" s="0" t="n">
        <v>2448010</v>
      </c>
      <c r="Q14" s="0" t="n">
        <v>1540733</v>
      </c>
      <c r="R14" s="0" t="n">
        <v>577271</v>
      </c>
      <c r="S14" s="0" t="n">
        <v>386750</v>
      </c>
      <c r="T14" s="0" t="n">
        <v>740.9032</v>
      </c>
      <c r="V14" s="0" t="n">
        <v>21</v>
      </c>
      <c r="AA14" s="0" t="s">
        <v>17</v>
      </c>
      <c r="AB14" s="0" t="s">
        <v>14</v>
      </c>
      <c r="AC14" s="0" t="n">
        <v>1150.7</v>
      </c>
      <c r="AD14" s="0" t="n">
        <v>31.7</v>
      </c>
      <c r="AE14" s="0" t="n">
        <v>1672866</v>
      </c>
      <c r="AF14" s="0" t="n">
        <v>56546</v>
      </c>
      <c r="AG14" s="0" t="n">
        <v>5.9</v>
      </c>
      <c r="AH14" s="0" t="n">
        <v>907277</v>
      </c>
    </row>
    <row r="15" customFormat="false" ht="15" hidden="false" customHeight="false" outlineLevel="0" collapsed="false">
      <c r="A15" s="0" t="s">
        <v>82</v>
      </c>
      <c r="B15" s="0" t="n">
        <v>2005518</v>
      </c>
      <c r="C15" s="0" t="n">
        <v>1916006</v>
      </c>
      <c r="D15" s="0" t="n">
        <v>89512</v>
      </c>
      <c r="E15" s="0" t="n">
        <v>4.5</v>
      </c>
      <c r="F15" s="0" t="n">
        <v>-24685</v>
      </c>
      <c r="G15" s="0" t="n">
        <v>-1.2</v>
      </c>
      <c r="H15" s="0" t="n">
        <v>5571</v>
      </c>
      <c r="I15" s="0" t="n">
        <v>17163</v>
      </c>
      <c r="J15" s="0" t="n">
        <v>0.9</v>
      </c>
      <c r="K15" s="0" t="n">
        <v>23.57</v>
      </c>
      <c r="L15" s="0" t="n">
        <v>-21253</v>
      </c>
      <c r="M15" s="0" t="n">
        <v>57697</v>
      </c>
      <c r="N15" s="0" t="n">
        <v>-78950</v>
      </c>
      <c r="O15" s="0" t="n">
        <v>888539</v>
      </c>
      <c r="P15" s="0" t="n">
        <v>2538769</v>
      </c>
      <c r="Q15" s="0" t="n">
        <v>1590710</v>
      </c>
      <c r="R15" s="0" t="n">
        <v>603189</v>
      </c>
      <c r="S15" s="0" t="n">
        <v>339240</v>
      </c>
      <c r="T15" s="0" t="n">
        <v>714.3264</v>
      </c>
      <c r="V15" s="0" t="n">
        <v>20</v>
      </c>
      <c r="AA15" s="0" t="s">
        <v>17</v>
      </c>
      <c r="AB15" s="0" t="s">
        <v>14</v>
      </c>
      <c r="AC15" s="0" t="n">
        <v>1243.88</v>
      </c>
      <c r="AD15" s="0" t="n">
        <v>84.9</v>
      </c>
      <c r="AE15" s="0" t="n">
        <v>2037093</v>
      </c>
      <c r="AF15" s="0" t="n">
        <v>-19834</v>
      </c>
      <c r="AG15" s="0" t="n">
        <v>2</v>
      </c>
      <c r="AH15" s="0" t="n">
        <v>948059</v>
      </c>
    </row>
    <row r="16" customFormat="false" ht="15" hidden="false" customHeight="false" outlineLevel="0" collapsed="false">
      <c r="A16" s="0" t="s">
        <v>83</v>
      </c>
      <c r="B16" s="0" t="n">
        <v>1944360</v>
      </c>
      <c r="C16" s="0" t="n">
        <v>1748906</v>
      </c>
      <c r="D16" s="0" t="n">
        <v>195454</v>
      </c>
      <c r="E16" s="0" t="n">
        <v>10.1</v>
      </c>
      <c r="F16" s="0" t="n">
        <v>71030</v>
      </c>
      <c r="G16" s="0" t="n">
        <v>3.7</v>
      </c>
      <c r="H16" s="0" t="n">
        <v>104508</v>
      </c>
      <c r="I16" s="0" t="n">
        <v>66015</v>
      </c>
      <c r="J16" s="0" t="n">
        <v>3.4</v>
      </c>
      <c r="K16" s="0" t="n">
        <v>94.8</v>
      </c>
      <c r="L16" s="0" t="n">
        <v>159094</v>
      </c>
      <c r="M16" s="0" t="n">
        <v>34076</v>
      </c>
      <c r="N16" s="0" t="n">
        <v>125018</v>
      </c>
      <c r="O16" s="0" t="n">
        <v>860077</v>
      </c>
      <c r="P16" s="0" t="n">
        <v>2524219</v>
      </c>
      <c r="Q16" s="0" t="n">
        <v>1600297</v>
      </c>
      <c r="R16" s="0" t="n">
        <v>591352</v>
      </c>
      <c r="S16" s="0" t="n">
        <v>438144</v>
      </c>
      <c r="T16" s="0" t="n">
        <v>682.3434</v>
      </c>
      <c r="V16" s="0" t="n">
        <v>38</v>
      </c>
      <c r="AA16" s="0" t="s">
        <v>17</v>
      </c>
      <c r="AB16" s="0" t="s">
        <v>14</v>
      </c>
      <c r="AC16" s="0" t="n">
        <v>1260.48</v>
      </c>
      <c r="AD16" s="0" t="n">
        <v>40.1</v>
      </c>
      <c r="AE16" s="0" t="n">
        <v>1588007</v>
      </c>
      <c r="AF16" s="0" t="n">
        <v>71664</v>
      </c>
      <c r="AG16" s="0" t="n">
        <v>7.6</v>
      </c>
      <c r="AH16" s="0" t="n">
        <v>923922</v>
      </c>
    </row>
    <row r="17" customFormat="false" ht="15" hidden="false" customHeight="false" outlineLevel="0" collapsed="false">
      <c r="A17" s="0" t="s">
        <v>84</v>
      </c>
      <c r="B17" s="0" t="n">
        <v>2057802</v>
      </c>
      <c r="C17" s="0" t="n">
        <v>1799711</v>
      </c>
      <c r="D17" s="0" t="n">
        <v>258091</v>
      </c>
      <c r="E17" s="0" t="n">
        <v>12.5</v>
      </c>
      <c r="F17" s="0" t="n">
        <v>118669</v>
      </c>
      <c r="G17" s="0" t="n">
        <v>5.8</v>
      </c>
      <c r="H17" s="0" t="n">
        <v>152180</v>
      </c>
      <c r="I17" s="0" t="n">
        <v>126617</v>
      </c>
      <c r="J17" s="0" t="n">
        <v>6.2</v>
      </c>
      <c r="K17" s="0" t="n">
        <v>186.68</v>
      </c>
      <c r="L17" s="0" t="n">
        <v>41639</v>
      </c>
      <c r="M17" s="0" t="n">
        <v>98654</v>
      </c>
      <c r="N17" s="0" t="n">
        <v>-57015</v>
      </c>
      <c r="O17" s="0" t="n">
        <v>977977</v>
      </c>
      <c r="P17" s="0" t="n">
        <v>2654382</v>
      </c>
      <c r="Q17" s="0" t="n">
        <v>1653207</v>
      </c>
      <c r="R17" s="0" t="n">
        <v>567412</v>
      </c>
      <c r="S17" s="0" t="n">
        <v>354492</v>
      </c>
      <c r="T17" s="0" t="n">
        <v>679.2013</v>
      </c>
      <c r="V17" s="0" t="n">
        <v>72</v>
      </c>
      <c r="AA17" s="0" t="s">
        <v>17</v>
      </c>
      <c r="AB17" s="0" t="s">
        <v>14</v>
      </c>
      <c r="AC17" s="0" t="n">
        <v>1439.89</v>
      </c>
      <c r="AD17" s="0" t="n">
        <v>38.6</v>
      </c>
      <c r="AE17" s="0" t="n">
        <v>2158535</v>
      </c>
      <c r="AF17" s="0" t="n">
        <v>122324</v>
      </c>
      <c r="AG17" s="0" t="n">
        <v>13.8</v>
      </c>
      <c r="AH17" s="0" t="n">
        <v>1001175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85</v>
      </c>
      <c r="B1" s="2" t="s">
        <v>86</v>
      </c>
    </row>
    <row r="2" customFormat="false" ht="15" hidden="false" customHeight="false" outlineLevel="0" collapsed="false">
      <c r="A2" s="0" t="s">
        <v>87</v>
      </c>
      <c r="B2" s="3" t="n">
        <v>2069</v>
      </c>
    </row>
    <row r="3" customFormat="false" ht="15" hidden="false" customHeight="false" outlineLevel="0" collapsed="false">
      <c r="A3" s="0" t="s">
        <v>88</v>
      </c>
      <c r="B3" s="3" t="n">
        <v>679.04</v>
      </c>
    </row>
    <row r="4" customFormat="false" ht="15" hidden="false" customHeight="false" outlineLevel="0" collapsed="false">
      <c r="A4" s="0" t="s">
        <v>89</v>
      </c>
      <c r="B4" s="3" t="n">
        <v>139365</v>
      </c>
    </row>
    <row r="5" customFormat="false" ht="15" hidden="false" customHeight="false" outlineLevel="0" collapsed="false">
      <c r="A5" s="0" t="s">
        <v>90</v>
      </c>
      <c r="B5" s="3" t="n">
        <v>272090</v>
      </c>
    </row>
    <row r="6" customFormat="false" ht="15" hidden="false" customHeight="false" outlineLevel="0" collapsed="false">
      <c r="A6" s="0" t="s">
        <v>91</v>
      </c>
      <c r="B6" s="3" t="n">
        <v>15</v>
      </c>
    </row>
    <row r="7" customFormat="false" ht="15" hidden="false" customHeight="false" outlineLevel="0" collapsed="false">
      <c r="A7" s="0" t="s">
        <v>92</v>
      </c>
      <c r="B7" s="3" t="n">
        <v>2057802</v>
      </c>
    </row>
    <row r="8" customFormat="false" ht="15" hidden="false" customHeight="false" outlineLevel="0" collapsed="false">
      <c r="A8" s="0" t="s">
        <v>93</v>
      </c>
      <c r="B8" s="3" t="s">
        <v>84</v>
      </c>
    </row>
    <row r="9" customFormat="false" ht="15" hidden="false" customHeight="false" outlineLevel="0" collapsed="false">
      <c r="A9" s="0" t="s">
        <v>94</v>
      </c>
      <c r="B9" s="3" t="s">
        <v>95</v>
      </c>
    </row>
    <row r="10" customFormat="false" ht="15" hidden="false" customHeight="false" outlineLevel="0" collapsed="false">
      <c r="A10" s="0" t="s">
        <v>96</v>
      </c>
      <c r="B10" s="3" t="n">
        <v>1</v>
      </c>
    </row>
    <row r="12" customFormat="false" ht="15" hidden="false" customHeight="false" outlineLevel="0" collapsed="false">
      <c r="A12" s="2" t="s">
        <v>97</v>
      </c>
      <c r="C12" s="2" t="s">
        <v>98</v>
      </c>
      <c r="D12" s="2" t="s">
        <v>99</v>
      </c>
      <c r="E12" s="2" t="s">
        <v>100</v>
      </c>
      <c r="F12" s="2" t="s">
        <v>101</v>
      </c>
      <c r="G12" s="2" t="s">
        <v>102</v>
      </c>
      <c r="H12" s="2" t="s">
        <v>103</v>
      </c>
      <c r="I12" s="2" t="s">
        <v>104</v>
      </c>
      <c r="J12" s="2" t="s">
        <v>105</v>
      </c>
      <c r="K12" s="2" t="s">
        <v>106</v>
      </c>
      <c r="L12" s="2" t="s">
        <v>107</v>
      </c>
    </row>
    <row r="13" customFormat="false" ht="15" hidden="false" customHeight="false" outlineLevel="0" collapsed="false">
      <c r="A13" s="0" t="s">
        <v>108</v>
      </c>
      <c r="C13" s="3" t="n">
        <v>9</v>
      </c>
      <c r="D13" s="3" t="n">
        <v>-4</v>
      </c>
      <c r="E13" s="3" t="n">
        <v>-3</v>
      </c>
      <c r="F13" s="3" t="n">
        <v>0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109</v>
      </c>
      <c r="C14" s="3" t="n">
        <v>7</v>
      </c>
      <c r="D14" s="3" t="n">
        <v>5</v>
      </c>
      <c r="E14" s="3" t="n">
        <v>3.5</v>
      </c>
      <c r="F14" s="3" t="n">
        <v>4.5</v>
      </c>
      <c r="G14" s="3" t="n">
        <v>5</v>
      </c>
      <c r="H14" s="3" t="n">
        <v>5.2</v>
      </c>
      <c r="I14" s="3" t="n">
        <v>5.2</v>
      </c>
      <c r="J14" s="3" t="n">
        <v>5.2</v>
      </c>
      <c r="K14" s="3" t="n">
        <v>5.2</v>
      </c>
      <c r="L14" s="3" t="n">
        <v>5.2</v>
      </c>
    </row>
    <row r="15" customFormat="false" ht="15" hidden="false" customHeight="false" outlineLevel="0" collapsed="false">
      <c r="A15" s="0" t="s">
        <v>110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111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112</v>
      </c>
      <c r="C17" s="3" t="n">
        <v>1.6</v>
      </c>
      <c r="D17" s="3" t="n">
        <v>1.7</v>
      </c>
      <c r="E17" s="3" t="n">
        <v>1.75</v>
      </c>
      <c r="F17" s="3" t="n">
        <v>1.75</v>
      </c>
      <c r="G17" s="3" t="n">
        <v>1.75</v>
      </c>
      <c r="H17" s="3" t="n">
        <v>1.75</v>
      </c>
      <c r="I17" s="3" t="n">
        <v>1.75</v>
      </c>
      <c r="J17" s="3" t="n">
        <v>1.75</v>
      </c>
      <c r="K17" s="3" t="n">
        <v>1.75</v>
      </c>
      <c r="L17" s="3" t="n">
        <v>1.75</v>
      </c>
    </row>
    <row r="18" customFormat="false" ht="15" hidden="false" customHeight="false" outlineLevel="0" collapsed="false">
      <c r="A18" s="0" t="s">
        <v>113</v>
      </c>
      <c r="C18" s="3" t="n">
        <v>3.5</v>
      </c>
      <c r="D18" s="3" t="n">
        <v>3</v>
      </c>
      <c r="E18" s="3" t="n">
        <v>2.5</v>
      </c>
      <c r="F18" s="3" t="n">
        <v>2.5</v>
      </c>
      <c r="G18" s="3" t="n">
        <v>2.5</v>
      </c>
      <c r="H18" s="3" t="n">
        <v>2.5</v>
      </c>
      <c r="I18" s="3" t="n">
        <v>2.5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114</v>
      </c>
      <c r="C19" s="3" t="n">
        <v>30.5</v>
      </c>
      <c r="D19" s="3" t="n">
        <v>30.5</v>
      </c>
      <c r="E19" s="3" t="n">
        <v>30.5</v>
      </c>
      <c r="F19" s="3" t="n">
        <v>30.5</v>
      </c>
      <c r="G19" s="3" t="n">
        <v>30.5</v>
      </c>
      <c r="H19" s="3" t="n">
        <v>30.5</v>
      </c>
      <c r="I19" s="3" t="n">
        <v>30.5</v>
      </c>
      <c r="J19" s="3" t="n">
        <v>30.5</v>
      </c>
      <c r="K19" s="3" t="n">
        <v>30.5</v>
      </c>
      <c r="L19" s="3" t="n">
        <v>30.5</v>
      </c>
    </row>
    <row r="20" customFormat="false" ht="15" hidden="false" customHeight="false" outlineLevel="0" collapsed="false">
      <c r="A20" s="0" t="s">
        <v>115</v>
      </c>
      <c r="B20" s="3" t="n">
        <v>7</v>
      </c>
    </row>
    <row r="21" customFormat="false" ht="15" hidden="false" customHeight="false" outlineLevel="0" collapsed="false">
      <c r="A21" s="0" t="s">
        <v>116</v>
      </c>
      <c r="B21" s="3" t="n">
        <v>0.5</v>
      </c>
    </row>
    <row r="22" customFormat="false" ht="15" hidden="false" customHeight="false" outlineLevel="0" collapsed="false">
      <c r="A22" s="0" t="s">
        <v>117</v>
      </c>
      <c r="B22" s="3" t="n">
        <v>12</v>
      </c>
    </row>
    <row r="23" customFormat="false" ht="15" hidden="false" customHeight="false" outlineLevel="0" collapsed="false">
      <c r="A23" s="0" t="s">
        <v>118</v>
      </c>
      <c r="B23" s="3" t="n">
        <v>-5</v>
      </c>
    </row>
    <row r="24" customFormat="false" ht="15" hidden="false" customHeight="false" outlineLevel="0" collapsed="false">
      <c r="A24" s="0" t="s">
        <v>119</v>
      </c>
      <c r="B24" s="3" t="n">
        <v>0.25</v>
      </c>
    </row>
    <row r="26" customFormat="false" ht="15" hidden="false" customHeight="false" outlineLevel="0" collapsed="false">
      <c r="A26" s="2" t="s">
        <v>120</v>
      </c>
      <c r="C26" s="2" t="s">
        <v>98</v>
      </c>
      <c r="D26" s="2" t="s">
        <v>99</v>
      </c>
      <c r="E26" s="2" t="s">
        <v>100</v>
      </c>
      <c r="F26" s="2" t="s">
        <v>101</v>
      </c>
      <c r="G26" s="2" t="s">
        <v>102</v>
      </c>
      <c r="H26" s="2" t="s">
        <v>103</v>
      </c>
      <c r="I26" s="2" t="s">
        <v>104</v>
      </c>
      <c r="J26" s="2" t="s">
        <v>105</v>
      </c>
      <c r="K26" s="2" t="s">
        <v>106</v>
      </c>
      <c r="L26" s="2" t="s">
        <v>107</v>
      </c>
    </row>
    <row r="27" customFormat="false" ht="15" hidden="false" customHeight="false" outlineLevel="0" collapsed="false">
      <c r="A27" s="0" t="s">
        <v>108</v>
      </c>
      <c r="C27" s="3" t="n">
        <v>12</v>
      </c>
      <c r="D27" s="3" t="n">
        <v>3</v>
      </c>
      <c r="E27" s="3" t="n">
        <v>2</v>
      </c>
      <c r="F27" s="3" t="n">
        <v>2</v>
      </c>
      <c r="G27" s="3" t="n">
        <v>2</v>
      </c>
      <c r="H27" s="3" t="n">
        <v>2</v>
      </c>
      <c r="I27" s="3" t="n">
        <v>1.5</v>
      </c>
      <c r="J27" s="3" t="n">
        <v>1.5</v>
      </c>
      <c r="K27" s="3" t="n">
        <v>1.5</v>
      </c>
      <c r="L27" s="3" t="n">
        <v>1.5</v>
      </c>
    </row>
    <row r="28" customFormat="false" ht="15" hidden="false" customHeight="false" outlineLevel="0" collapsed="false">
      <c r="A28" s="0" t="s">
        <v>109</v>
      </c>
      <c r="C28" s="3" t="n">
        <v>7.8</v>
      </c>
      <c r="D28" s="3" t="n">
        <v>7.5</v>
      </c>
      <c r="E28" s="3" t="n">
        <v>7.2</v>
      </c>
      <c r="F28" s="3" t="n">
        <v>7</v>
      </c>
      <c r="G28" s="3" t="n">
        <v>6.8</v>
      </c>
      <c r="H28" s="3" t="n">
        <v>6.8</v>
      </c>
      <c r="I28" s="3" t="n">
        <v>6.8</v>
      </c>
      <c r="J28" s="3" t="n">
        <v>6.8</v>
      </c>
      <c r="K28" s="3" t="n">
        <v>6.8</v>
      </c>
      <c r="L28" s="3" t="n">
        <v>6.8</v>
      </c>
    </row>
    <row r="29" customFormat="false" ht="15" hidden="false" customHeight="false" outlineLevel="0" collapsed="false">
      <c r="A29" s="0" t="s">
        <v>110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111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112</v>
      </c>
      <c r="C31" s="3" t="n">
        <v>1.6</v>
      </c>
      <c r="D31" s="3" t="n">
        <v>1.6</v>
      </c>
      <c r="E31" s="3" t="n">
        <v>1.65</v>
      </c>
      <c r="F31" s="3" t="n">
        <v>1.65</v>
      </c>
      <c r="G31" s="3" t="n">
        <v>1.7</v>
      </c>
      <c r="H31" s="3" t="n">
        <v>1.7</v>
      </c>
      <c r="I31" s="3" t="n">
        <v>1.7</v>
      </c>
      <c r="J31" s="3" t="n">
        <v>1.7</v>
      </c>
      <c r="K31" s="3" t="n">
        <v>1.7</v>
      </c>
      <c r="L31" s="3" t="n">
        <v>1.7</v>
      </c>
    </row>
    <row r="32" customFormat="false" ht="15" hidden="false" customHeight="false" outlineLevel="0" collapsed="false">
      <c r="A32" s="0" t="s">
        <v>113</v>
      </c>
      <c r="C32" s="3" t="n">
        <v>3.5</v>
      </c>
      <c r="D32" s="3" t="n">
        <v>3.5</v>
      </c>
      <c r="E32" s="3" t="n">
        <v>3.2</v>
      </c>
      <c r="F32" s="3" t="n">
        <v>3</v>
      </c>
      <c r="G32" s="3" t="n">
        <v>3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114</v>
      </c>
      <c r="C33" s="3" t="n">
        <v>30.5</v>
      </c>
      <c r="D33" s="3" t="n">
        <v>30.5</v>
      </c>
      <c r="E33" s="3" t="n">
        <v>30.5</v>
      </c>
      <c r="F33" s="3" t="n">
        <v>30.5</v>
      </c>
      <c r="G33" s="3" t="n">
        <v>30.5</v>
      </c>
      <c r="H33" s="3" t="n">
        <v>30.5</v>
      </c>
      <c r="I33" s="3" t="n">
        <v>30.5</v>
      </c>
      <c r="J33" s="3" t="n">
        <v>30.5</v>
      </c>
      <c r="K33" s="3" t="n">
        <v>30.5</v>
      </c>
      <c r="L33" s="3" t="n">
        <v>30.5</v>
      </c>
    </row>
    <row r="34" customFormat="false" ht="15" hidden="false" customHeight="false" outlineLevel="0" collapsed="false">
      <c r="A34" s="0" t="s">
        <v>115</v>
      </c>
      <c r="B34" s="3" t="n">
        <v>7</v>
      </c>
    </row>
    <row r="35" customFormat="false" ht="15" hidden="false" customHeight="false" outlineLevel="0" collapsed="false">
      <c r="A35" s="0" t="s">
        <v>116</v>
      </c>
      <c r="B35" s="3" t="n">
        <v>1</v>
      </c>
    </row>
    <row r="36" customFormat="false" ht="15" hidden="false" customHeight="false" outlineLevel="0" collapsed="false">
      <c r="A36" s="0" t="s">
        <v>117</v>
      </c>
      <c r="B36" s="3" t="n">
        <v>12</v>
      </c>
    </row>
    <row r="37" customFormat="false" ht="15" hidden="false" customHeight="false" outlineLevel="0" collapsed="false">
      <c r="A37" s="0" t="s">
        <v>118</v>
      </c>
      <c r="B37" s="3" t="n">
        <v>-5</v>
      </c>
    </row>
    <row r="38" customFormat="false" ht="15" hidden="false" customHeight="false" outlineLevel="0" collapsed="false">
      <c r="A38" s="0" t="s">
        <v>119</v>
      </c>
      <c r="B38" s="3" t="n">
        <v>0.5</v>
      </c>
    </row>
    <row r="40" customFormat="false" ht="15" hidden="false" customHeight="false" outlineLevel="0" collapsed="false">
      <c r="A40" s="2" t="s">
        <v>121</v>
      </c>
      <c r="C40" s="2" t="s">
        <v>98</v>
      </c>
      <c r="D40" s="2" t="s">
        <v>99</v>
      </c>
      <c r="E40" s="2" t="s">
        <v>100</v>
      </c>
      <c r="F40" s="2" t="s">
        <v>101</v>
      </c>
      <c r="G40" s="2" t="s">
        <v>102</v>
      </c>
      <c r="H40" s="2" t="s">
        <v>103</v>
      </c>
      <c r="I40" s="2" t="s">
        <v>104</v>
      </c>
      <c r="J40" s="2" t="s">
        <v>105</v>
      </c>
      <c r="K40" s="2" t="s">
        <v>106</v>
      </c>
      <c r="L40" s="2" t="s">
        <v>107</v>
      </c>
    </row>
    <row r="41" customFormat="false" ht="15" hidden="false" customHeight="false" outlineLevel="0" collapsed="false">
      <c r="A41" s="0" t="s">
        <v>108</v>
      </c>
      <c r="C41" s="3" t="n">
        <v>12.5</v>
      </c>
      <c r="D41" s="3" t="n">
        <v>5</v>
      </c>
      <c r="E41" s="3" t="n">
        <v>4</v>
      </c>
      <c r="F41" s="3" t="n">
        <v>3</v>
      </c>
      <c r="G41" s="3" t="n">
        <v>3</v>
      </c>
      <c r="H41" s="3" t="n">
        <v>2.5</v>
      </c>
      <c r="I41" s="3" t="n">
        <v>2.5</v>
      </c>
      <c r="J41" s="3" t="n">
        <v>2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109</v>
      </c>
      <c r="C42" s="3" t="n">
        <v>8.1</v>
      </c>
      <c r="D42" s="3" t="n">
        <v>8.2</v>
      </c>
      <c r="E42" s="3" t="n">
        <v>8.2</v>
      </c>
      <c r="F42" s="3" t="n">
        <v>8</v>
      </c>
      <c r="G42" s="3" t="n">
        <v>8</v>
      </c>
      <c r="H42" s="3" t="n">
        <v>8</v>
      </c>
      <c r="I42" s="3" t="n">
        <v>8</v>
      </c>
      <c r="J42" s="3" t="n">
        <v>8</v>
      </c>
      <c r="K42" s="3" t="n">
        <v>8</v>
      </c>
      <c r="L42" s="3" t="n">
        <v>8</v>
      </c>
    </row>
    <row r="43" customFormat="false" ht="15" hidden="false" customHeight="false" outlineLevel="0" collapsed="false">
      <c r="A43" s="0" t="s">
        <v>110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111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112</v>
      </c>
      <c r="C45" s="3" t="n">
        <v>1.6</v>
      </c>
      <c r="D45" s="3" t="n">
        <v>1.6</v>
      </c>
      <c r="E45" s="3" t="n">
        <v>1.65</v>
      </c>
      <c r="F45" s="3" t="n">
        <v>1.65</v>
      </c>
      <c r="G45" s="3" t="n">
        <v>1.7</v>
      </c>
      <c r="H45" s="3" t="n">
        <v>1.7</v>
      </c>
      <c r="I45" s="3" t="n">
        <v>1.7</v>
      </c>
      <c r="J45" s="3" t="n">
        <v>1.7</v>
      </c>
      <c r="K45" s="3" t="n">
        <v>1.7</v>
      </c>
      <c r="L45" s="3" t="n">
        <v>1.7</v>
      </c>
    </row>
    <row r="46" customFormat="false" ht="15" hidden="false" customHeight="false" outlineLevel="0" collapsed="false">
      <c r="A46" s="0" t="s">
        <v>113</v>
      </c>
      <c r="C46" s="3" t="n">
        <v>3.5</v>
      </c>
      <c r="D46" s="3" t="n">
        <v>3.5</v>
      </c>
      <c r="E46" s="3" t="n">
        <v>3.2</v>
      </c>
      <c r="F46" s="3" t="n">
        <v>3</v>
      </c>
      <c r="G46" s="3" t="n">
        <v>3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114</v>
      </c>
      <c r="C47" s="3" t="n">
        <v>30.5</v>
      </c>
      <c r="D47" s="3" t="n">
        <v>30.5</v>
      </c>
      <c r="E47" s="3" t="n">
        <v>30.5</v>
      </c>
      <c r="F47" s="3" t="n">
        <v>30.5</v>
      </c>
      <c r="G47" s="3" t="n">
        <v>30.5</v>
      </c>
      <c r="H47" s="3" t="n">
        <v>30.5</v>
      </c>
      <c r="I47" s="3" t="n">
        <v>30.5</v>
      </c>
      <c r="J47" s="3" t="n">
        <v>30.5</v>
      </c>
      <c r="K47" s="3" t="n">
        <v>30.5</v>
      </c>
      <c r="L47" s="3" t="n">
        <v>30.5</v>
      </c>
    </row>
    <row r="48" customFormat="false" ht="15" hidden="false" customHeight="false" outlineLevel="0" collapsed="false">
      <c r="A48" s="0" t="s">
        <v>115</v>
      </c>
      <c r="B48" s="3" t="n">
        <v>7</v>
      </c>
    </row>
    <row r="49" customFormat="false" ht="15" hidden="false" customHeight="false" outlineLevel="0" collapsed="false">
      <c r="A49" s="0" t="s">
        <v>116</v>
      </c>
      <c r="B49" s="3" t="n">
        <v>1.5</v>
      </c>
    </row>
    <row r="50" customFormat="false" ht="15" hidden="false" customHeight="false" outlineLevel="0" collapsed="false">
      <c r="A50" s="0" t="s">
        <v>117</v>
      </c>
      <c r="B50" s="3" t="n">
        <v>12</v>
      </c>
    </row>
    <row r="51" customFormat="false" ht="15" hidden="false" customHeight="false" outlineLevel="0" collapsed="false">
      <c r="A51" s="0" t="s">
        <v>118</v>
      </c>
      <c r="B51" s="3" t="n">
        <v>-5</v>
      </c>
    </row>
    <row r="52" customFormat="false" ht="15" hidden="false" customHeight="false" outlineLevel="0" collapsed="false">
      <c r="A52" s="0" t="s">
        <v>119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122</v>
      </c>
    </row>
    <row r="3" customFormat="false" ht="15" hidden="false" customHeight="false" outlineLevel="0" collapsed="false">
      <c r="A3" s="0" t="s">
        <v>123</v>
      </c>
      <c r="B3" s="0" t="s">
        <v>84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</row>
    <row r="4" customFormat="false" ht="15" hidden="false" customHeight="false" outlineLevel="0" collapsed="false">
      <c r="A4" s="0" t="s">
        <v>124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108</v>
      </c>
      <c r="C5" s="4" t="n">
        <f aca="false">Assumptions!C13</f>
        <v>9</v>
      </c>
      <c r="D5" s="4" t="n">
        <f aca="false">Assumptions!D13</f>
        <v>-4</v>
      </c>
      <c r="E5" s="4" t="n">
        <f aca="false">Assumptions!E13</f>
        <v>-3</v>
      </c>
      <c r="F5" s="4" t="n">
        <f aca="false">Assumptions!F13</f>
        <v>0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2057802</v>
      </c>
      <c r="C6" s="0" t="n">
        <f aca="false">B6*(1+C5/100)</f>
        <v>2243004.18</v>
      </c>
      <c r="D6" s="0" t="n">
        <f aca="false">C6*(1+D5/100)</f>
        <v>2153284.0128</v>
      </c>
      <c r="E6" s="0" t="n">
        <f aca="false">D6*(1+E5/100)</f>
        <v>2088685.492416</v>
      </c>
      <c r="F6" s="0" t="n">
        <f aca="false">E6*(1+F5/100)</f>
        <v>2088685.492416</v>
      </c>
      <c r="G6" s="0" t="n">
        <f aca="false">F6*(1+G5/100)</f>
        <v>2109572.34734016</v>
      </c>
      <c r="H6" s="0" t="n">
        <f aca="false">G6*(1+H5/100)</f>
        <v>2130668.07081356</v>
      </c>
      <c r="I6" s="0" t="n">
        <f aca="false">H6*(1+I5/100)</f>
        <v>2151974.7515217</v>
      </c>
      <c r="J6" s="0" t="n">
        <f aca="false">I6*(1+J5/100)</f>
        <v>2173494.49903691</v>
      </c>
      <c r="K6" s="0" t="n">
        <f aca="false">J6*(1+K5/100)</f>
        <v>2195229.44402728</v>
      </c>
      <c r="L6" s="0" t="n">
        <f aca="false">K6*(1+L5/100)</f>
        <v>2217181.73846756</v>
      </c>
    </row>
    <row r="7" customFormat="false" ht="15" hidden="false" customHeight="false" outlineLevel="0" collapsed="false">
      <c r="A7" s="0" t="s">
        <v>109</v>
      </c>
      <c r="C7" s="4" t="n">
        <f aca="false">Assumptions!C14</f>
        <v>7</v>
      </c>
      <c r="D7" s="4" t="n">
        <f aca="false">Assumptions!D14</f>
        <v>5</v>
      </c>
      <c r="E7" s="4" t="n">
        <f aca="false">Assumptions!E14</f>
        <v>3.5</v>
      </c>
      <c r="F7" s="4" t="n">
        <f aca="false">Assumptions!F14</f>
        <v>4.5</v>
      </c>
      <c r="G7" s="4" t="n">
        <f aca="false">Assumptions!G14</f>
        <v>5</v>
      </c>
      <c r="H7" s="4" t="n">
        <f aca="false">Assumptions!H14</f>
        <v>5.2</v>
      </c>
      <c r="I7" s="4" t="n">
        <f aca="false">Assumptions!I14</f>
        <v>5.2</v>
      </c>
      <c r="J7" s="4" t="n">
        <f aca="false">Assumptions!J14</f>
        <v>5.2</v>
      </c>
      <c r="K7" s="4" t="n">
        <f aca="false">Assumptions!K14</f>
        <v>5.2</v>
      </c>
      <c r="L7" s="4" t="n">
        <f aca="false">Assumptions!L14</f>
        <v>5.2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157010.2926</v>
      </c>
      <c r="D8" s="0" t="n">
        <f aca="false">D6*D7/100</f>
        <v>107664.20064</v>
      </c>
      <c r="E8" s="0" t="n">
        <f aca="false">E6*E7/100</f>
        <v>73103.99223456</v>
      </c>
      <c r="F8" s="0" t="n">
        <f aca="false">F6*F7/100</f>
        <v>93990.84715872</v>
      </c>
      <c r="G8" s="0" t="n">
        <f aca="false">G6*G7/100</f>
        <v>105478.617367008</v>
      </c>
      <c r="H8" s="0" t="n">
        <f aca="false">H6*H7/100</f>
        <v>110794.739682305</v>
      </c>
      <c r="I8" s="0" t="n">
        <f aca="false">I6*I7/100</f>
        <v>111902.687079128</v>
      </c>
      <c r="J8" s="0" t="n">
        <f aca="false">J6*J7/100</f>
        <v>113021.71394992</v>
      </c>
      <c r="K8" s="0" t="n">
        <f aca="false">K6*K7/100</f>
        <v>114151.931089419</v>
      </c>
      <c r="L8" s="0" t="n">
        <f aca="false">L6*L7/100</f>
        <v>115293.450400313</v>
      </c>
    </row>
    <row r="9" customFormat="false" ht="15" hidden="false" customHeight="false" outlineLevel="0" collapsed="false">
      <c r="A9" s="0" t="s">
        <v>110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126</v>
      </c>
      <c r="C11" s="0" t="n">
        <f aca="false">C8+C10+C24</f>
        <v>157010.2926</v>
      </c>
      <c r="D11" s="0" t="n">
        <f aca="false">D8+D10+D24</f>
        <v>107664.20064</v>
      </c>
      <c r="E11" s="0" t="n">
        <f aca="false">E8+E10+E24</f>
        <v>73103.99223456</v>
      </c>
      <c r="F11" s="0" t="n">
        <f aca="false">F8+F10+F24</f>
        <v>93990.84715872</v>
      </c>
      <c r="G11" s="0" t="n">
        <f aca="false">G8+G10+G24</f>
        <v>105478.617367008</v>
      </c>
      <c r="H11" s="0" t="n">
        <f aca="false">H8+H10+H24</f>
        <v>110794.739682305</v>
      </c>
      <c r="I11" s="0" t="n">
        <f aca="false">I8+I10+I24</f>
        <v>111902.687079128</v>
      </c>
      <c r="J11" s="0" t="n">
        <f aca="false">J8+J10+J24</f>
        <v>113021.71394992</v>
      </c>
      <c r="K11" s="0" t="n">
        <f aca="false">K8+K10+K24</f>
        <v>114151.931089419</v>
      </c>
      <c r="L11" s="0" t="n">
        <f aca="false">L8+L10+L24</f>
        <v>115293.450400313</v>
      </c>
    </row>
    <row r="12" customFormat="false" ht="15" hidden="false" customHeight="false" outlineLevel="0" collapsed="false">
      <c r="A12" s="0" t="s">
        <v>127</v>
      </c>
      <c r="C12" s="4" t="n">
        <f aca="false">-C6*Assumptions!C17/100</f>
        <v>-35888.06688</v>
      </c>
      <c r="D12" s="4" t="n">
        <f aca="false">-D6*Assumptions!D17/100</f>
        <v>-36605.8282176</v>
      </c>
      <c r="E12" s="4" t="n">
        <f aca="false">-E6*Assumptions!E17/100</f>
        <v>-36551.99611728</v>
      </c>
      <c r="F12" s="4" t="n">
        <f aca="false">-F6*Assumptions!F17/100</f>
        <v>-36551.99611728</v>
      </c>
      <c r="G12" s="4" t="n">
        <f aca="false">-G6*Assumptions!G17/100</f>
        <v>-36917.5160784528</v>
      </c>
      <c r="H12" s="4" t="n">
        <f aca="false">-H6*Assumptions!H17/100</f>
        <v>-37286.6912392373</v>
      </c>
      <c r="I12" s="4" t="n">
        <f aca="false">-I6*Assumptions!I17/100</f>
        <v>-37659.5581516297</v>
      </c>
      <c r="J12" s="4" t="n">
        <f aca="false">-J6*Assumptions!J17/100</f>
        <v>-38036.153733146</v>
      </c>
      <c r="K12" s="4" t="n">
        <f aca="false">-K6*Assumptions!K17/100</f>
        <v>-38416.5152704775</v>
      </c>
      <c r="L12" s="4" t="n">
        <f aca="false">-L6*Assumptions!L17/100</f>
        <v>-38800.6804231822</v>
      </c>
    </row>
    <row r="13" customFormat="false" ht="15" hidden="false" customHeight="false" outlineLevel="0" collapsed="false">
      <c r="A13" s="0" t="s">
        <v>128</v>
      </c>
      <c r="C13" s="0" t="n">
        <f aca="false">C11+C12</f>
        <v>121122.22572</v>
      </c>
      <c r="D13" s="0" t="n">
        <f aca="false">D11+D12</f>
        <v>71058.3724224</v>
      </c>
      <c r="E13" s="0" t="n">
        <f aca="false">E11+E12</f>
        <v>36551.99611728</v>
      </c>
      <c r="F13" s="0" t="n">
        <f aca="false">F11+F12</f>
        <v>57438.85104144</v>
      </c>
      <c r="G13" s="0" t="n">
        <f aca="false">G11+G12</f>
        <v>68561.1012885552</v>
      </c>
      <c r="H13" s="0" t="n">
        <f aca="false">H11+H12</f>
        <v>73508.0484430679</v>
      </c>
      <c r="I13" s="0" t="n">
        <f aca="false">I11+I12</f>
        <v>74243.1289274986</v>
      </c>
      <c r="J13" s="0" t="n">
        <f aca="false">J11+J12</f>
        <v>74985.5602167736</v>
      </c>
      <c r="K13" s="0" t="n">
        <f aca="false">K11+K12</f>
        <v>75735.4158189413</v>
      </c>
      <c r="L13" s="0" t="n">
        <f aca="false">L11+L12</f>
        <v>76492.7699771307</v>
      </c>
    </row>
    <row r="14" customFormat="false" ht="15" hidden="false" customHeight="false" outlineLevel="0" collapsed="false">
      <c r="A14" s="0" t="s">
        <v>114</v>
      </c>
      <c r="C14" s="4" t="n">
        <f aca="false">Assumptions!C19</f>
        <v>30.5</v>
      </c>
      <c r="D14" s="4" t="n">
        <f aca="false">Assumptions!D19</f>
        <v>30.5</v>
      </c>
      <c r="E14" s="4" t="n">
        <f aca="false">Assumptions!E19</f>
        <v>30.5</v>
      </c>
      <c r="F14" s="4" t="n">
        <f aca="false">Assumptions!F19</f>
        <v>30.5</v>
      </c>
      <c r="G14" s="4" t="n">
        <f aca="false">Assumptions!G19</f>
        <v>30.5</v>
      </c>
      <c r="H14" s="4" t="n">
        <f aca="false">Assumptions!H19</f>
        <v>30.5</v>
      </c>
      <c r="I14" s="4" t="n">
        <f aca="false">Assumptions!I19</f>
        <v>30.5</v>
      </c>
      <c r="J14" s="4" t="n">
        <f aca="false">Assumptions!J19</f>
        <v>30.5</v>
      </c>
      <c r="K14" s="4" t="n">
        <f aca="false">Assumptions!K19</f>
        <v>30.5</v>
      </c>
      <c r="L14" s="4" t="n">
        <f aca="false">Assumptions!L19</f>
        <v>30.5</v>
      </c>
    </row>
    <row r="15" customFormat="false" ht="15" hidden="false" customHeight="false" outlineLevel="0" collapsed="false">
      <c r="A15" s="0" t="s">
        <v>129</v>
      </c>
      <c r="C15" s="0" t="n">
        <f aca="false">C13-MAX(0,C13)*C14/100</f>
        <v>84179.9468754</v>
      </c>
      <c r="D15" s="0" t="n">
        <f aca="false">D13-MAX(0,D13)*D14/100</f>
        <v>49385.568833568</v>
      </c>
      <c r="E15" s="0" t="n">
        <f aca="false">E13-MAX(0,E13)*E14/100</f>
        <v>25403.6373015096</v>
      </c>
      <c r="F15" s="0" t="n">
        <f aca="false">F13-MAX(0,F13)*F14/100</f>
        <v>39920.0014738008</v>
      </c>
      <c r="G15" s="0" t="n">
        <f aca="false">G13-MAX(0,G13)*G14/100</f>
        <v>47649.9653955459</v>
      </c>
      <c r="H15" s="0" t="n">
        <f aca="false">H13-MAX(0,H13)*H14/100</f>
        <v>51088.0936679322</v>
      </c>
      <c r="I15" s="0" t="n">
        <f aca="false">I13-MAX(0,I13)*I14/100</f>
        <v>51598.9746046115</v>
      </c>
      <c r="J15" s="0" t="n">
        <f aca="false">J13-MAX(0,J13)*J14/100</f>
        <v>52114.9643506576</v>
      </c>
      <c r="K15" s="0" t="n">
        <f aca="false">K13-MAX(0,K13)*K14/100</f>
        <v>52636.1139941642</v>
      </c>
      <c r="L15" s="0" t="n">
        <f aca="false">L13-MAX(0,L13)*L14/100</f>
        <v>53162.4751341058</v>
      </c>
    </row>
    <row r="16" customFormat="false" ht="15" hidden="false" customHeight="false" outlineLevel="0" collapsed="false">
      <c r="A16" s="0" t="s">
        <v>130</v>
      </c>
      <c r="C16" s="0" t="n">
        <f aca="false">-C12</f>
        <v>35888.06688</v>
      </c>
      <c r="D16" s="0" t="n">
        <f aca="false">-D12</f>
        <v>36605.8282176</v>
      </c>
      <c r="E16" s="0" t="n">
        <f aca="false">-E12</f>
        <v>36551.99611728</v>
      </c>
      <c r="F16" s="0" t="n">
        <f aca="false">-F12</f>
        <v>36551.99611728</v>
      </c>
      <c r="G16" s="0" t="n">
        <f aca="false">-G12</f>
        <v>36917.5160784528</v>
      </c>
      <c r="H16" s="0" t="n">
        <f aca="false">-H12</f>
        <v>37286.6912392373</v>
      </c>
      <c r="I16" s="0" t="n">
        <f aca="false">-I12</f>
        <v>37659.5581516297</v>
      </c>
      <c r="J16" s="0" t="n">
        <f aca="false">-J12</f>
        <v>38036.153733146</v>
      </c>
      <c r="K16" s="0" t="n">
        <f aca="false">-K12</f>
        <v>38416.5152704775</v>
      </c>
      <c r="L16" s="0" t="n">
        <f aca="false">-L12</f>
        <v>38800.6804231822</v>
      </c>
    </row>
    <row r="17" customFormat="false" ht="15" hidden="false" customHeight="false" outlineLevel="0" collapsed="false">
      <c r="A17" s="0" t="s">
        <v>131</v>
      </c>
      <c r="C17" s="4" t="n">
        <f aca="false">-C6*Assumptions!C18/100</f>
        <v>-78505.1463</v>
      </c>
      <c r="D17" s="4" t="n">
        <f aca="false">-D6*Assumptions!D18/100</f>
        <v>-64598.520384</v>
      </c>
      <c r="E17" s="4" t="n">
        <f aca="false">-E6*Assumptions!E18/100</f>
        <v>-52217.1373104</v>
      </c>
      <c r="F17" s="4" t="n">
        <f aca="false">-F6*Assumptions!F18/100</f>
        <v>-52217.1373104</v>
      </c>
      <c r="G17" s="4" t="n">
        <f aca="false">-G6*Assumptions!G18/100</f>
        <v>-52739.308683504</v>
      </c>
      <c r="H17" s="4" t="n">
        <f aca="false">-H6*Assumptions!H18/100</f>
        <v>-53266.7017703391</v>
      </c>
      <c r="I17" s="4" t="n">
        <f aca="false">-I6*Assumptions!I18/100</f>
        <v>-53799.3687880424</v>
      </c>
      <c r="J17" s="4" t="n">
        <f aca="false">-J6*Assumptions!J18/100</f>
        <v>-54337.3624759229</v>
      </c>
      <c r="K17" s="4" t="n">
        <f aca="false">-K6*Assumptions!K18/100</f>
        <v>-54880.7361006821</v>
      </c>
      <c r="L17" s="4" t="n">
        <f aca="false">-L6*Assumptions!L18/100</f>
        <v>-55429.5434616889</v>
      </c>
    </row>
    <row r="18" customFormat="false" ht="15" hidden="false" customHeight="false" outlineLevel="0" collapsed="false">
      <c r="A18" s="0" t="s">
        <v>132</v>
      </c>
      <c r="C18" s="4" t="n">
        <f aca="false">(C6-B6)*Assumptions!$B$23/100</f>
        <v>-9260.10900000001</v>
      </c>
      <c r="D18" s="4" t="n">
        <f aca="false">(D6-C6)*Assumptions!$B$23/100</f>
        <v>4486.00836</v>
      </c>
      <c r="E18" s="4" t="n">
        <f aca="false">(E6-D6)*Assumptions!$B$23/100</f>
        <v>3229.92601920001</v>
      </c>
      <c r="F18" s="4" t="n">
        <f aca="false">(F6-E6)*Assumptions!$B$23/100</f>
        <v>-0</v>
      </c>
      <c r="G18" s="4" t="n">
        <f aca="false">(G6-F6)*Assumptions!$B$23/100</f>
        <v>-1044.342746208</v>
      </c>
      <c r="H18" s="4" t="n">
        <f aca="false">(H6-G6)*Assumptions!$B$23/100</f>
        <v>-1054.78617367009</v>
      </c>
      <c r="I18" s="4" t="n">
        <f aca="false">(I6-H6)*Assumptions!$B$23/100</f>
        <v>-1065.33403540677</v>
      </c>
      <c r="J18" s="4" t="n">
        <f aca="false">(J6-I6)*Assumptions!$B$23/100</f>
        <v>-1075.98737576085</v>
      </c>
      <c r="K18" s="4" t="n">
        <f aca="false">(K6-J6)*Assumptions!$B$23/100</f>
        <v>-1086.74724951845</v>
      </c>
      <c r="L18" s="4" t="n">
        <f aca="false">(L6-K6)*Assumptions!$B$23/100</f>
        <v>-1097.61472201364</v>
      </c>
    </row>
    <row r="19" customFormat="false" ht="15" hidden="false" customHeight="false" outlineLevel="0" collapsed="false">
      <c r="A19" s="0" t="s">
        <v>133</v>
      </c>
      <c r="C19" s="0" t="n">
        <f aca="false">C15+C16+C17+C18</f>
        <v>32302.7584554</v>
      </c>
      <c r="D19" s="0" t="n">
        <f aca="false">D15+D16+D17+D18</f>
        <v>25878.885027168</v>
      </c>
      <c r="E19" s="0" t="n">
        <f aca="false">E15+E16+E17+E18</f>
        <v>12968.4221275896</v>
      </c>
      <c r="F19" s="0" t="n">
        <f aca="false">F15+F16+F17+F18</f>
        <v>24254.8602806808</v>
      </c>
      <c r="G19" s="0" t="n">
        <f aca="false">G15+G16+G17+G18</f>
        <v>30783.8300442867</v>
      </c>
      <c r="H19" s="0" t="n">
        <f aca="false">H15+H16+H17+H18</f>
        <v>34053.2969631604</v>
      </c>
      <c r="I19" s="0" t="n">
        <f aca="false">I15+I16+I17+I18</f>
        <v>34393.829932792</v>
      </c>
      <c r="J19" s="0" t="n">
        <f aca="false">J15+J16+J17+J18</f>
        <v>34737.7682321199</v>
      </c>
      <c r="K19" s="0" t="n">
        <f aca="false">K15+K16+K17+K18</f>
        <v>35085.1459144411</v>
      </c>
      <c r="L19" s="0" t="n">
        <f aca="false">L15+L16+L17+L18</f>
        <v>35435.9973735855</v>
      </c>
    </row>
    <row r="20" customFormat="false" ht="15" hidden="false" customHeight="false" outlineLevel="0" collapsed="false">
      <c r="A20" s="0" t="s">
        <v>134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135</v>
      </c>
      <c r="C21" s="0" t="n">
        <f aca="false">C19*C20</f>
        <v>30189.4938835514</v>
      </c>
      <c r="D21" s="0" t="n">
        <f aca="false">D19*D20</f>
        <v>22603.6204272583</v>
      </c>
      <c r="E21" s="0" t="n">
        <f aca="false">E19*E20</f>
        <v>10586.0954493757</v>
      </c>
      <c r="F21" s="0" t="n">
        <f aca="false">F19*F20</f>
        <v>18503.9167770131</v>
      </c>
      <c r="G21" s="0" t="n">
        <f aca="false">G19*G20</f>
        <v>21948.4453731505</v>
      </c>
      <c r="H21" s="0" t="n">
        <f aca="false">H19*H20</f>
        <v>22691.1496267164</v>
      </c>
      <c r="I21" s="0" t="n">
        <f aca="false">I19*I20</f>
        <v>21418.7487130687</v>
      </c>
      <c r="J21" s="0" t="n">
        <f aca="false">J19*J20</f>
        <v>20217.6973833639</v>
      </c>
      <c r="K21" s="0" t="n">
        <f aca="false">K19*K20</f>
        <v>19083.9947263529</v>
      </c>
      <c r="L21" s="0" t="n">
        <f aca="false">L19*L20</f>
        <v>18013.8641809499</v>
      </c>
    </row>
    <row r="23" customFormat="false" ht="15" hidden="false" customHeight="false" outlineLevel="0" collapsed="false">
      <c r="A23" s="0" t="s">
        <v>111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137</v>
      </c>
    </row>
    <row r="27" customFormat="false" ht="15" hidden="false" customHeight="false" outlineLevel="0" collapsed="false">
      <c r="A27" s="0" t="s">
        <v>115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116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117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138</v>
      </c>
      <c r="B30" s="0" t="n">
        <f aca="false">SUM(C21:L21)</f>
        <v>205257.026540801</v>
      </c>
    </row>
    <row r="31" customFormat="false" ht="15" hidden="false" customHeight="false" outlineLevel="0" collapsed="false">
      <c r="A31" s="0" t="s">
        <v>139</v>
      </c>
      <c r="B31" s="0" t="n">
        <f aca="false">L19</f>
        <v>35435.9973735855</v>
      </c>
    </row>
    <row r="32" customFormat="false" ht="15" hidden="false" customHeight="false" outlineLevel="0" collapsed="false">
      <c r="A32" s="0" t="s">
        <v>140</v>
      </c>
      <c r="B32" s="0" t="n">
        <f aca="false">IF(B27&gt;B28,B31*(1+B28/100)/((B27-B28)/100),B31*B29)</f>
        <v>547895.036314669</v>
      </c>
    </row>
    <row r="33" customFormat="false" ht="15" hidden="false" customHeight="false" outlineLevel="0" collapsed="false">
      <c r="A33" s="0" t="s">
        <v>141</v>
      </c>
      <c r="B33" s="0" t="n">
        <f aca="false">B31*B29</f>
        <v>425231.968483026</v>
      </c>
    </row>
    <row r="34" customFormat="false" ht="15" hidden="false" customHeight="false" outlineLevel="0" collapsed="false">
      <c r="A34" s="0" t="s">
        <v>142</v>
      </c>
      <c r="B34" s="0" t="n">
        <f aca="false">MAX(0,MIN(B32,B33))</f>
        <v>425231.968483026</v>
      </c>
    </row>
    <row r="35" customFormat="false" ht="15" hidden="false" customHeight="false" outlineLevel="0" collapsed="false">
      <c r="A35" s="0" t="s">
        <v>143</v>
      </c>
      <c r="B35" s="0" t="n">
        <f aca="false">B34/(1+B27/100)^L4</f>
        <v>216166.370171399</v>
      </c>
    </row>
    <row r="36" customFormat="false" ht="15" hidden="false" customHeight="false" outlineLevel="0" collapsed="false">
      <c r="A36" s="0" t="s">
        <v>144</v>
      </c>
      <c r="B36" s="0" t="n">
        <f aca="false">B30+B35</f>
        <v>421423.3967122</v>
      </c>
    </row>
    <row r="37" customFormat="false" ht="15" hidden="false" customHeight="false" outlineLevel="0" collapsed="false">
      <c r="A37" s="0" t="s">
        <v>145</v>
      </c>
      <c r="B37" s="0" t="n">
        <f aca="false">B36+Assumptions!$B$5-Assumptions!$B$4</f>
        <v>554148.3967122</v>
      </c>
    </row>
    <row r="38" customFormat="false" ht="15" hidden="false" customHeight="false" outlineLevel="0" collapsed="false">
      <c r="A38" s="0" t="s">
        <v>146</v>
      </c>
      <c r="B38" s="0" t="n">
        <f aca="false">B37/Assumptions!$B$3*Assumptions!$B$10</f>
        <v>816.076220417354</v>
      </c>
    </row>
    <row r="39" customFormat="false" ht="15" hidden="false" customHeight="false" outlineLevel="0" collapsed="false">
      <c r="A39" s="0" t="s">
        <v>147</v>
      </c>
      <c r="B39" s="4" t="n">
        <f aca="false">B38/Assumptions!$B$2-1</f>
        <v>-0.60556973396938</v>
      </c>
    </row>
    <row r="41" customFormat="false" ht="15" hidden="false" customHeight="false" outlineLevel="0" collapsed="false">
      <c r="A41" s="0" t="s">
        <v>148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150</v>
      </c>
      <c r="B43" s="0" t="n">
        <f aca="false">(B37+B41+B42)/Assumptions!$B$3*Assumptions!$B$10</f>
        <v>816.076220417354</v>
      </c>
    </row>
    <row r="45" customFormat="false" ht="15" hidden="false" customHeight="false" outlineLevel="0" collapsed="false">
      <c r="A45" s="0" t="s">
        <v>91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151</v>
      </c>
      <c r="B46" s="0" t="n">
        <f aca="false">MAX(0,MIN(IF(B45&gt;B28,B31*(1+B28/100)/((B45-B28)/100),B31*B29),B31*B29))</f>
        <v>245608.119727265</v>
      </c>
    </row>
    <row r="47" customFormat="false" ht="15" hidden="false" customHeight="false" outlineLevel="0" collapsed="false">
      <c r="A47" s="0" t="s">
        <v>152</v>
      </c>
      <c r="B47" s="0" t="n">
        <f aca="false">(SUMPRODUCT(C19:L19/(1+B45/100)^C4:L4)+B46/(1+B45/100)^L4+Assumptions!$B$5-Assumptions!$B$4)/Assumptions!$B$3*Assumptions!$B$10</f>
        <v>495.601711021606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123</v>
      </c>
      <c r="B3" s="0" t="s">
        <v>84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</row>
    <row r="4" customFormat="false" ht="15" hidden="false" customHeight="false" outlineLevel="0" collapsed="false">
      <c r="A4" s="0" t="s">
        <v>124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108</v>
      </c>
      <c r="C5" s="4" t="n">
        <f aca="false">Assumptions!C27</f>
        <v>12</v>
      </c>
      <c r="D5" s="4" t="n">
        <f aca="false">Assumptions!D27</f>
        <v>3</v>
      </c>
      <c r="E5" s="4" t="n">
        <f aca="false">Assumptions!E27</f>
        <v>2</v>
      </c>
      <c r="F5" s="4" t="n">
        <f aca="false">Assumptions!F27</f>
        <v>2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1.5</v>
      </c>
      <c r="J5" s="4" t="n">
        <f aca="false">Assumptions!J27</f>
        <v>1.5</v>
      </c>
      <c r="K5" s="4" t="n">
        <f aca="false">Assumptions!K27</f>
        <v>1.5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37</v>
      </c>
      <c r="B6" s="3" t="n">
        <v>2057802</v>
      </c>
      <c r="C6" s="0" t="n">
        <f aca="false">B6*(1+C5/100)</f>
        <v>2304738.24</v>
      </c>
      <c r="D6" s="0" t="n">
        <f aca="false">C6*(1+D5/100)</f>
        <v>2373880.3872</v>
      </c>
      <c r="E6" s="0" t="n">
        <f aca="false">D6*(1+E5/100)</f>
        <v>2421357.994944</v>
      </c>
      <c r="F6" s="0" t="n">
        <f aca="false">E6*(1+F5/100)</f>
        <v>2469785.15484288</v>
      </c>
      <c r="G6" s="0" t="n">
        <f aca="false">F6*(1+G5/100)</f>
        <v>2519180.85793974</v>
      </c>
      <c r="H6" s="0" t="n">
        <f aca="false">G6*(1+H5/100)</f>
        <v>2569564.47509853</v>
      </c>
      <c r="I6" s="0" t="n">
        <f aca="false">H6*(1+I5/100)</f>
        <v>2608107.94222501</v>
      </c>
      <c r="J6" s="0" t="n">
        <f aca="false">I6*(1+J5/100)</f>
        <v>2647229.56135839</v>
      </c>
      <c r="K6" s="0" t="n">
        <f aca="false">J6*(1+K5/100)</f>
        <v>2686938.00477876</v>
      </c>
      <c r="L6" s="0" t="n">
        <f aca="false">K6*(1+L5/100)</f>
        <v>2727242.07485044</v>
      </c>
    </row>
    <row r="7" customFormat="false" ht="15" hidden="false" customHeight="false" outlineLevel="0" collapsed="false">
      <c r="A7" s="0" t="s">
        <v>109</v>
      </c>
      <c r="C7" s="4" t="n">
        <f aca="false">Assumptions!C28</f>
        <v>7.8</v>
      </c>
      <c r="D7" s="4" t="n">
        <f aca="false">Assumptions!D28</f>
        <v>7.5</v>
      </c>
      <c r="E7" s="4" t="n">
        <f aca="false">Assumptions!E28</f>
        <v>7.2</v>
      </c>
      <c r="F7" s="4" t="n">
        <f aca="false">Assumptions!F28</f>
        <v>7</v>
      </c>
      <c r="G7" s="4" t="n">
        <f aca="false">Assumptions!G28</f>
        <v>6.8</v>
      </c>
      <c r="H7" s="4" t="n">
        <f aca="false">Assumptions!H28</f>
        <v>6.8</v>
      </c>
      <c r="I7" s="4" t="n">
        <f aca="false">Assumptions!I28</f>
        <v>6.8</v>
      </c>
      <c r="J7" s="4" t="n">
        <f aca="false">Assumptions!J28</f>
        <v>6.8</v>
      </c>
      <c r="K7" s="4" t="n">
        <f aca="false">Assumptions!K28</f>
        <v>6.8</v>
      </c>
      <c r="L7" s="4" t="n">
        <f aca="false">Assumptions!L28</f>
        <v>6.8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179769.58272</v>
      </c>
      <c r="D8" s="0" t="n">
        <f aca="false">D6*D7/100</f>
        <v>178041.02904</v>
      </c>
      <c r="E8" s="0" t="n">
        <f aca="false">E6*E7/100</f>
        <v>174337.775635968</v>
      </c>
      <c r="F8" s="0" t="n">
        <f aca="false">F6*F7/100</f>
        <v>172884.960839002</v>
      </c>
      <c r="G8" s="0" t="n">
        <f aca="false">G6*G7/100</f>
        <v>171304.298339902</v>
      </c>
      <c r="H8" s="0" t="n">
        <f aca="false">H6*H7/100</f>
        <v>174730.3843067</v>
      </c>
      <c r="I8" s="0" t="n">
        <f aca="false">I6*I7/100</f>
        <v>177351.340071301</v>
      </c>
      <c r="J8" s="0" t="n">
        <f aca="false">J6*J7/100</f>
        <v>180011.61017237</v>
      </c>
      <c r="K8" s="0" t="n">
        <f aca="false">K6*K7/100</f>
        <v>182711.784324956</v>
      </c>
      <c r="L8" s="0" t="n">
        <f aca="false">L6*L7/100</f>
        <v>185452.46108983</v>
      </c>
    </row>
    <row r="9" customFormat="false" ht="15" hidden="false" customHeight="false" outlineLevel="0" collapsed="false">
      <c r="A9" s="0" t="s">
        <v>110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126</v>
      </c>
      <c r="C11" s="0" t="n">
        <f aca="false">C8+C10+C24</f>
        <v>179769.58272</v>
      </c>
      <c r="D11" s="0" t="n">
        <f aca="false">D8+D10+D24</f>
        <v>178041.02904</v>
      </c>
      <c r="E11" s="0" t="n">
        <f aca="false">E8+E10+E24</f>
        <v>174337.775635968</v>
      </c>
      <c r="F11" s="0" t="n">
        <f aca="false">F8+F10+F24</f>
        <v>172884.960839002</v>
      </c>
      <c r="G11" s="0" t="n">
        <f aca="false">G8+G10+G24</f>
        <v>171304.298339902</v>
      </c>
      <c r="H11" s="0" t="n">
        <f aca="false">H8+H10+H24</f>
        <v>174730.3843067</v>
      </c>
      <c r="I11" s="0" t="n">
        <f aca="false">I8+I10+I24</f>
        <v>177351.340071301</v>
      </c>
      <c r="J11" s="0" t="n">
        <f aca="false">J8+J10+J24</f>
        <v>180011.61017237</v>
      </c>
      <c r="K11" s="0" t="n">
        <f aca="false">K8+K10+K24</f>
        <v>182711.784324956</v>
      </c>
      <c r="L11" s="0" t="n">
        <f aca="false">L8+L10+L24</f>
        <v>185452.46108983</v>
      </c>
    </row>
    <row r="12" customFormat="false" ht="15" hidden="false" customHeight="false" outlineLevel="0" collapsed="false">
      <c r="A12" s="0" t="s">
        <v>127</v>
      </c>
      <c r="C12" s="4" t="n">
        <f aca="false">-C6*Assumptions!C31/100</f>
        <v>-36875.81184</v>
      </c>
      <c r="D12" s="4" t="n">
        <f aca="false">-D6*Assumptions!D31/100</f>
        <v>-37982.0861952</v>
      </c>
      <c r="E12" s="4" t="n">
        <f aca="false">-E6*Assumptions!E31/100</f>
        <v>-39952.406916576</v>
      </c>
      <c r="F12" s="4" t="n">
        <f aca="false">-F6*Assumptions!F31/100</f>
        <v>-40751.4550549075</v>
      </c>
      <c r="G12" s="4" t="n">
        <f aca="false">-G6*Assumptions!G31/100</f>
        <v>-42826.0745849755</v>
      </c>
      <c r="H12" s="4" t="n">
        <f aca="false">-H6*Assumptions!H31/100</f>
        <v>-43682.5960766751</v>
      </c>
      <c r="I12" s="4" t="n">
        <f aca="false">-I6*Assumptions!I31/100</f>
        <v>-44337.8350178252</v>
      </c>
      <c r="J12" s="4" t="n">
        <f aca="false">-J6*Assumptions!J31/100</f>
        <v>-45002.9025430926</v>
      </c>
      <c r="K12" s="4" t="n">
        <f aca="false">-K6*Assumptions!K31/100</f>
        <v>-45677.9460812389</v>
      </c>
      <c r="L12" s="4" t="n">
        <f aca="false">-L6*Assumptions!L31/100</f>
        <v>-46363.1152724575</v>
      </c>
    </row>
    <row r="13" customFormat="false" ht="15" hidden="false" customHeight="false" outlineLevel="0" collapsed="false">
      <c r="A13" s="0" t="s">
        <v>128</v>
      </c>
      <c r="C13" s="0" t="n">
        <f aca="false">C11+C12</f>
        <v>142893.77088</v>
      </c>
      <c r="D13" s="0" t="n">
        <f aca="false">D11+D12</f>
        <v>140058.9428448</v>
      </c>
      <c r="E13" s="0" t="n">
        <f aca="false">E11+E12</f>
        <v>134385.368719392</v>
      </c>
      <c r="F13" s="0" t="n">
        <f aca="false">F11+F12</f>
        <v>132133.505784094</v>
      </c>
      <c r="G13" s="0" t="n">
        <f aca="false">G11+G12</f>
        <v>128478.223754927</v>
      </c>
      <c r="H13" s="0" t="n">
        <f aca="false">H11+H12</f>
        <v>131047.788230025</v>
      </c>
      <c r="I13" s="0" t="n">
        <f aca="false">I11+I12</f>
        <v>133013.505053476</v>
      </c>
      <c r="J13" s="0" t="n">
        <f aca="false">J11+J12</f>
        <v>135008.707629278</v>
      </c>
      <c r="K13" s="0" t="n">
        <f aca="false">K11+K12</f>
        <v>137033.838243717</v>
      </c>
      <c r="L13" s="0" t="n">
        <f aca="false">L11+L12</f>
        <v>139089.345817373</v>
      </c>
    </row>
    <row r="14" customFormat="false" ht="15" hidden="false" customHeight="false" outlineLevel="0" collapsed="false">
      <c r="A14" s="0" t="s">
        <v>114</v>
      </c>
      <c r="C14" s="4" t="n">
        <f aca="false">Assumptions!C33</f>
        <v>30.5</v>
      </c>
      <c r="D14" s="4" t="n">
        <f aca="false">Assumptions!D33</f>
        <v>30.5</v>
      </c>
      <c r="E14" s="4" t="n">
        <f aca="false">Assumptions!E33</f>
        <v>30.5</v>
      </c>
      <c r="F14" s="4" t="n">
        <f aca="false">Assumptions!F33</f>
        <v>30.5</v>
      </c>
      <c r="G14" s="4" t="n">
        <f aca="false">Assumptions!G33</f>
        <v>30.5</v>
      </c>
      <c r="H14" s="4" t="n">
        <f aca="false">Assumptions!H33</f>
        <v>30.5</v>
      </c>
      <c r="I14" s="4" t="n">
        <f aca="false">Assumptions!I33</f>
        <v>30.5</v>
      </c>
      <c r="J14" s="4" t="n">
        <f aca="false">Assumptions!J33</f>
        <v>30.5</v>
      </c>
      <c r="K14" s="4" t="n">
        <f aca="false">Assumptions!K33</f>
        <v>30.5</v>
      </c>
      <c r="L14" s="4" t="n">
        <f aca="false">Assumptions!L33</f>
        <v>30.5</v>
      </c>
    </row>
    <row r="15" customFormat="false" ht="15" hidden="false" customHeight="false" outlineLevel="0" collapsed="false">
      <c r="A15" s="0" t="s">
        <v>129</v>
      </c>
      <c r="C15" s="0" t="n">
        <f aca="false">C13-MAX(0,C13)*C14/100</f>
        <v>99311.1707616</v>
      </c>
      <c r="D15" s="0" t="n">
        <f aca="false">D13-MAX(0,D13)*D14/100</f>
        <v>97340.965277136</v>
      </c>
      <c r="E15" s="0" t="n">
        <f aca="false">E13-MAX(0,E13)*E14/100</f>
        <v>93397.8312599774</v>
      </c>
      <c r="F15" s="0" t="n">
        <f aca="false">F13-MAX(0,F13)*F14/100</f>
        <v>91832.7865199454</v>
      </c>
      <c r="G15" s="0" t="n">
        <f aca="false">G13-MAX(0,G13)*G14/100</f>
        <v>89292.365509674</v>
      </c>
      <c r="H15" s="0" t="n">
        <f aca="false">H13-MAX(0,H13)*H14/100</f>
        <v>91078.2128198675</v>
      </c>
      <c r="I15" s="0" t="n">
        <f aca="false">I13-MAX(0,I13)*I14/100</f>
        <v>92444.3860121655</v>
      </c>
      <c r="J15" s="0" t="n">
        <f aca="false">J13-MAX(0,J13)*J14/100</f>
        <v>93831.051802348</v>
      </c>
      <c r="K15" s="0" t="n">
        <f aca="false">K13-MAX(0,K13)*K14/100</f>
        <v>95238.5175793832</v>
      </c>
      <c r="L15" s="0" t="n">
        <f aca="false">L13-MAX(0,L13)*L14/100</f>
        <v>96667.0953430739</v>
      </c>
    </row>
    <row r="16" customFormat="false" ht="15" hidden="false" customHeight="false" outlineLevel="0" collapsed="false">
      <c r="A16" s="0" t="s">
        <v>130</v>
      </c>
      <c r="C16" s="0" t="n">
        <f aca="false">-C12</f>
        <v>36875.81184</v>
      </c>
      <c r="D16" s="0" t="n">
        <f aca="false">-D12</f>
        <v>37982.0861952</v>
      </c>
      <c r="E16" s="0" t="n">
        <f aca="false">-E12</f>
        <v>39952.406916576</v>
      </c>
      <c r="F16" s="0" t="n">
        <f aca="false">-F12</f>
        <v>40751.4550549075</v>
      </c>
      <c r="G16" s="0" t="n">
        <f aca="false">-G12</f>
        <v>42826.0745849755</v>
      </c>
      <c r="H16" s="0" t="n">
        <f aca="false">-H12</f>
        <v>43682.5960766751</v>
      </c>
      <c r="I16" s="0" t="n">
        <f aca="false">-I12</f>
        <v>44337.8350178252</v>
      </c>
      <c r="J16" s="0" t="n">
        <f aca="false">-J12</f>
        <v>45002.9025430926</v>
      </c>
      <c r="K16" s="0" t="n">
        <f aca="false">-K12</f>
        <v>45677.9460812389</v>
      </c>
      <c r="L16" s="0" t="n">
        <f aca="false">-L12</f>
        <v>46363.1152724575</v>
      </c>
    </row>
    <row r="17" customFormat="false" ht="15" hidden="false" customHeight="false" outlineLevel="0" collapsed="false">
      <c r="A17" s="0" t="s">
        <v>131</v>
      </c>
      <c r="C17" s="4" t="n">
        <f aca="false">-C6*Assumptions!C32/100</f>
        <v>-80665.8384</v>
      </c>
      <c r="D17" s="4" t="n">
        <f aca="false">-D6*Assumptions!D32/100</f>
        <v>-83085.813552</v>
      </c>
      <c r="E17" s="4" t="n">
        <f aca="false">-E6*Assumptions!E32/100</f>
        <v>-77483.455838208</v>
      </c>
      <c r="F17" s="4" t="n">
        <f aca="false">-F6*Assumptions!F32/100</f>
        <v>-74093.5546452864</v>
      </c>
      <c r="G17" s="4" t="n">
        <f aca="false">-G6*Assumptions!G32/100</f>
        <v>-75575.4257381921</v>
      </c>
      <c r="H17" s="4" t="n">
        <f aca="false">-H6*Assumptions!H32/100</f>
        <v>-77086.934252956</v>
      </c>
      <c r="I17" s="4" t="n">
        <f aca="false">-I6*Assumptions!I32/100</f>
        <v>-78243.2382667503</v>
      </c>
      <c r="J17" s="4" t="n">
        <f aca="false">-J6*Assumptions!J32/100</f>
        <v>-79416.8868407516</v>
      </c>
      <c r="K17" s="4" t="n">
        <f aca="false">-K6*Assumptions!K32/100</f>
        <v>-80608.1401433628</v>
      </c>
      <c r="L17" s="4" t="n">
        <f aca="false">-L6*Assumptions!L32/100</f>
        <v>-81817.2622455133</v>
      </c>
    </row>
    <row r="18" customFormat="false" ht="15" hidden="false" customHeight="false" outlineLevel="0" collapsed="false">
      <c r="A18" s="0" t="s">
        <v>132</v>
      </c>
      <c r="C18" s="4" t="n">
        <f aca="false">(C6-B6)*Assumptions!$B$37/100</f>
        <v>-12346.812</v>
      </c>
      <c r="D18" s="4" t="n">
        <f aca="false">(D6-C6)*Assumptions!$B$37/100</f>
        <v>-3457.10736</v>
      </c>
      <c r="E18" s="4" t="n">
        <f aca="false">(E6-D6)*Assumptions!$B$37/100</f>
        <v>-2373.8803872</v>
      </c>
      <c r="F18" s="4" t="n">
        <f aca="false">(F6-E6)*Assumptions!$B$37/100</f>
        <v>-2421.357994944</v>
      </c>
      <c r="G18" s="4" t="n">
        <f aca="false">(G6-F6)*Assumptions!$B$37/100</f>
        <v>-2469.78515484289</v>
      </c>
      <c r="H18" s="4" t="n">
        <f aca="false">(H6-G6)*Assumptions!$B$37/100</f>
        <v>-2519.18085793974</v>
      </c>
      <c r="I18" s="4" t="n">
        <f aca="false">(I6-H6)*Assumptions!$B$37/100</f>
        <v>-1927.17335632388</v>
      </c>
      <c r="J18" s="4" t="n">
        <f aca="false">(J6-I6)*Assumptions!$B$37/100</f>
        <v>-1956.08095666876</v>
      </c>
      <c r="K18" s="4" t="n">
        <f aca="false">(K6-J6)*Assumptions!$B$37/100</f>
        <v>-1985.42217101878</v>
      </c>
      <c r="L18" s="4" t="n">
        <f aca="false">(L6-K6)*Assumptions!$B$37/100</f>
        <v>-2015.20350358405</v>
      </c>
    </row>
    <row r="19" customFormat="false" ht="15" hidden="false" customHeight="false" outlineLevel="0" collapsed="false">
      <c r="A19" s="0" t="s">
        <v>133</v>
      </c>
      <c r="C19" s="0" t="n">
        <f aca="false">C15+C16+C17+C18</f>
        <v>43174.3322016</v>
      </c>
      <c r="D19" s="0" t="n">
        <f aca="false">D15+D16+D17+D18</f>
        <v>48780.130560336</v>
      </c>
      <c r="E19" s="0" t="n">
        <f aca="false">E15+E16+E17+E18</f>
        <v>53492.9019511454</v>
      </c>
      <c r="F19" s="0" t="n">
        <f aca="false">F15+F16+F17+F18</f>
        <v>56069.3289346225</v>
      </c>
      <c r="G19" s="0" t="n">
        <f aca="false">G15+G16+G17+G18</f>
        <v>54073.2292016145</v>
      </c>
      <c r="H19" s="0" t="n">
        <f aca="false">H15+H16+H17+H18</f>
        <v>55154.6937856468</v>
      </c>
      <c r="I19" s="0" t="n">
        <f aca="false">I15+I16+I17+I18</f>
        <v>56611.8094069165</v>
      </c>
      <c r="J19" s="0" t="n">
        <f aca="false">J15+J16+J17+J18</f>
        <v>57460.9865480202</v>
      </c>
      <c r="K19" s="0" t="n">
        <f aca="false">K15+K16+K17+K18</f>
        <v>58322.9013462405</v>
      </c>
      <c r="L19" s="0" t="n">
        <f aca="false">L15+L16+L17+L18</f>
        <v>59197.7448664341</v>
      </c>
    </row>
    <row r="20" customFormat="false" ht="15" hidden="false" customHeight="false" outlineLevel="0" collapsed="false">
      <c r="A20" s="0" t="s">
        <v>134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135</v>
      </c>
      <c r="C21" s="0" t="n">
        <f aca="false">C19*C20</f>
        <v>40349.8431790654</v>
      </c>
      <c r="D21" s="0" t="n">
        <f aca="false">D19*D20</f>
        <v>42606.4552016211</v>
      </c>
      <c r="E21" s="0" t="n">
        <f aca="false">E19*E20</f>
        <v>43666.1422914505</v>
      </c>
      <c r="F21" s="0" t="n">
        <f aca="false">F19*F20</f>
        <v>42775.0225869413</v>
      </c>
      <c r="G21" s="0" t="n">
        <f aca="false">G19*G20</f>
        <v>38553.4651008039</v>
      </c>
      <c r="H21" s="0" t="n">
        <f aca="false">H19*H20</f>
        <v>36751.9013110467</v>
      </c>
      <c r="I21" s="0" t="n">
        <f aca="false">I19*I20</f>
        <v>35254.9896957769</v>
      </c>
      <c r="J21" s="0" t="n">
        <f aca="false">J19*J20</f>
        <v>33442.8173282369</v>
      </c>
      <c r="K21" s="0" t="n">
        <f aca="false">K19*K20</f>
        <v>31723.7940076266</v>
      </c>
      <c r="L21" s="0" t="n">
        <f aca="false">L19*L20</f>
        <v>30093.1316988234</v>
      </c>
    </row>
    <row r="23" customFormat="false" ht="15" hidden="false" customHeight="false" outlineLevel="0" collapsed="false">
      <c r="A23" s="0" t="s">
        <v>111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137</v>
      </c>
    </row>
    <row r="27" customFormat="false" ht="15" hidden="false" customHeight="false" outlineLevel="0" collapsed="false">
      <c r="A27" s="0" t="s">
        <v>115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116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117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138</v>
      </c>
      <c r="B30" s="0" t="n">
        <f aca="false">SUM(C21:L21)</f>
        <v>375217.562401393</v>
      </c>
    </row>
    <row r="31" customFormat="false" ht="15" hidden="false" customHeight="false" outlineLevel="0" collapsed="false">
      <c r="A31" s="0" t="s">
        <v>139</v>
      </c>
      <c r="B31" s="0" t="n">
        <f aca="false">L19</f>
        <v>59197.7448664341</v>
      </c>
    </row>
    <row r="32" customFormat="false" ht="15" hidden="false" customHeight="false" outlineLevel="0" collapsed="false">
      <c r="A32" s="0" t="s">
        <v>140</v>
      </c>
      <c r="B32" s="0" t="n">
        <f aca="false">IF(B27&gt;B28,B31*(1+B28/100)/((B27-B28)/100),B31*B29)</f>
        <v>996495.371918308</v>
      </c>
    </row>
    <row r="33" customFormat="false" ht="15" hidden="false" customHeight="false" outlineLevel="0" collapsed="false">
      <c r="A33" s="0" t="s">
        <v>141</v>
      </c>
      <c r="B33" s="0" t="n">
        <f aca="false">B31*B29</f>
        <v>710372.93839721</v>
      </c>
    </row>
    <row r="34" customFormat="false" ht="15" hidden="false" customHeight="false" outlineLevel="0" collapsed="false">
      <c r="A34" s="0" t="s">
        <v>142</v>
      </c>
      <c r="B34" s="0" t="n">
        <f aca="false">MAX(0,MIN(B32,B33))</f>
        <v>710372.93839721</v>
      </c>
    </row>
    <row r="35" customFormat="false" ht="15" hidden="false" customHeight="false" outlineLevel="0" collapsed="false">
      <c r="A35" s="0" t="s">
        <v>143</v>
      </c>
      <c r="B35" s="0" t="n">
        <f aca="false">B34/(1+B27/100)^L4</f>
        <v>361117.580385881</v>
      </c>
    </row>
    <row r="36" customFormat="false" ht="15" hidden="false" customHeight="false" outlineLevel="0" collapsed="false">
      <c r="A36" s="0" t="s">
        <v>144</v>
      </c>
      <c r="B36" s="0" t="n">
        <f aca="false">B30+B35</f>
        <v>736335.142787274</v>
      </c>
    </row>
    <row r="37" customFormat="false" ht="15" hidden="false" customHeight="false" outlineLevel="0" collapsed="false">
      <c r="A37" s="0" t="s">
        <v>145</v>
      </c>
      <c r="B37" s="0" t="n">
        <f aca="false">B36+Assumptions!$B$5-Assumptions!$B$4</f>
        <v>869060.142787274</v>
      </c>
    </row>
    <row r="38" customFormat="false" ht="15" hidden="false" customHeight="false" outlineLevel="0" collapsed="false">
      <c r="A38" s="0" t="s">
        <v>146</v>
      </c>
      <c r="B38" s="0" t="n">
        <f aca="false">B37/Assumptions!$B$3*Assumptions!$B$10</f>
        <v>1279.83644967494</v>
      </c>
    </row>
    <row r="39" customFormat="false" ht="15" hidden="false" customHeight="false" outlineLevel="0" collapsed="false">
      <c r="A39" s="0" t="s">
        <v>147</v>
      </c>
      <c r="B39" s="4" t="n">
        <f aca="false">B38/Assumptions!$B$2-1</f>
        <v>-0.381422692278906</v>
      </c>
    </row>
    <row r="41" customFormat="false" ht="15" hidden="false" customHeight="false" outlineLevel="0" collapsed="false">
      <c r="A41" s="0" t="s">
        <v>148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150</v>
      </c>
      <c r="B43" s="0" t="n">
        <f aca="false">(B37+B41+B42)/Assumptions!$B$3*Assumptions!$B$10</f>
        <v>1279.83644967494</v>
      </c>
    </row>
    <row r="45" customFormat="false" ht="15" hidden="false" customHeight="false" outlineLevel="0" collapsed="false">
      <c r="A45" s="0" t="s">
        <v>91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151</v>
      </c>
      <c r="B46" s="0" t="n">
        <f aca="false">MAX(0,MIN(IF(B45&gt;B28,B31*(1+B28/100)/((B45-B28)/100),B31*B29),B31*B29))</f>
        <v>427069.445107846</v>
      </c>
    </row>
    <row r="47" customFormat="false" ht="15" hidden="false" customHeight="false" outlineLevel="0" collapsed="false">
      <c r="A47" s="0" t="s">
        <v>152</v>
      </c>
      <c r="B47" s="0" t="n">
        <f aca="false">(SUMPRODUCT(C19:L19/(1+B45/100)^C4:L4)+B46/(1+B45/100)^L4+Assumptions!$B$5-Assumptions!$B$4)/Assumptions!$B$3*Assumptions!$B$10</f>
        <v>739.213006310598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0" t="s">
        <v>123</v>
      </c>
      <c r="B3" s="0" t="s">
        <v>84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</row>
    <row r="4" customFormat="false" ht="15" hidden="false" customHeight="false" outlineLevel="0" collapsed="false">
      <c r="A4" s="0" t="s">
        <v>124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108</v>
      </c>
      <c r="C5" s="4" t="n">
        <f aca="false">Assumptions!C41</f>
        <v>12.5</v>
      </c>
      <c r="D5" s="4" t="n">
        <f aca="false">Assumptions!D41</f>
        <v>5</v>
      </c>
      <c r="E5" s="4" t="n">
        <f aca="false">Assumptions!E41</f>
        <v>4</v>
      </c>
      <c r="F5" s="4" t="n">
        <f aca="false">Assumptions!F41</f>
        <v>3</v>
      </c>
      <c r="G5" s="4" t="n">
        <f aca="false">Assumptions!G41</f>
        <v>3</v>
      </c>
      <c r="H5" s="4" t="n">
        <f aca="false">Assumptions!H41</f>
        <v>2.5</v>
      </c>
      <c r="I5" s="4" t="n">
        <f aca="false">Assumptions!I41</f>
        <v>2.5</v>
      </c>
      <c r="J5" s="4" t="n">
        <f aca="false">Assumptions!J41</f>
        <v>2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37</v>
      </c>
      <c r="B6" s="3" t="n">
        <v>2057802</v>
      </c>
      <c r="C6" s="0" t="n">
        <f aca="false">B6*(1+C5/100)</f>
        <v>2315027.25</v>
      </c>
      <c r="D6" s="0" t="n">
        <f aca="false">C6*(1+D5/100)</f>
        <v>2430778.6125</v>
      </c>
      <c r="E6" s="0" t="n">
        <f aca="false">D6*(1+E5/100)</f>
        <v>2528009.757</v>
      </c>
      <c r="F6" s="0" t="n">
        <f aca="false">E6*(1+F5/100)</f>
        <v>2603850.04971</v>
      </c>
      <c r="G6" s="0" t="n">
        <f aca="false">F6*(1+G5/100)</f>
        <v>2681965.5512013</v>
      </c>
      <c r="H6" s="0" t="n">
        <f aca="false">G6*(1+H5/100)</f>
        <v>2749014.68998133</v>
      </c>
      <c r="I6" s="0" t="n">
        <f aca="false">H6*(1+I5/100)</f>
        <v>2817740.05723087</v>
      </c>
      <c r="J6" s="0" t="n">
        <f aca="false">I6*(1+J5/100)</f>
        <v>2874094.85837548</v>
      </c>
      <c r="K6" s="0" t="n">
        <f aca="false">J6*(1+K5/100)</f>
        <v>2931576.75554299</v>
      </c>
      <c r="L6" s="0" t="n">
        <f aca="false">K6*(1+L5/100)</f>
        <v>2990208.29065385</v>
      </c>
    </row>
    <row r="7" customFormat="false" ht="15" hidden="false" customHeight="false" outlineLevel="0" collapsed="false">
      <c r="A7" s="0" t="s">
        <v>109</v>
      </c>
      <c r="C7" s="4" t="n">
        <f aca="false">Assumptions!C42</f>
        <v>8.1</v>
      </c>
      <c r="D7" s="4" t="n">
        <f aca="false">Assumptions!D42</f>
        <v>8.2</v>
      </c>
      <c r="E7" s="4" t="n">
        <f aca="false">Assumptions!E42</f>
        <v>8.2</v>
      </c>
      <c r="F7" s="4" t="n">
        <f aca="false">Assumptions!F42</f>
        <v>8</v>
      </c>
      <c r="G7" s="4" t="n">
        <f aca="false">Assumptions!G42</f>
        <v>8</v>
      </c>
      <c r="H7" s="4" t="n">
        <f aca="false">Assumptions!H42</f>
        <v>8</v>
      </c>
      <c r="I7" s="4" t="n">
        <f aca="false">Assumptions!I42</f>
        <v>8</v>
      </c>
      <c r="J7" s="4" t="n">
        <f aca="false">Assumptions!J42</f>
        <v>8</v>
      </c>
      <c r="K7" s="4" t="n">
        <f aca="false">Assumptions!K42</f>
        <v>8</v>
      </c>
      <c r="L7" s="4" t="n">
        <f aca="false">Assumptions!L42</f>
        <v>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187517.20725</v>
      </c>
      <c r="D8" s="0" t="n">
        <f aca="false">D6*D7/100</f>
        <v>199323.846225</v>
      </c>
      <c r="E8" s="0" t="n">
        <f aca="false">E6*E7/100</f>
        <v>207296.800074</v>
      </c>
      <c r="F8" s="0" t="n">
        <f aca="false">F6*F7/100</f>
        <v>208308.0039768</v>
      </c>
      <c r="G8" s="0" t="n">
        <f aca="false">G6*G7/100</f>
        <v>214557.244096104</v>
      </c>
      <c r="H8" s="0" t="n">
        <f aca="false">H6*H7/100</f>
        <v>219921.175198507</v>
      </c>
      <c r="I8" s="0" t="n">
        <f aca="false">I6*I7/100</f>
        <v>225419.204578469</v>
      </c>
      <c r="J8" s="0" t="n">
        <f aca="false">J6*J7/100</f>
        <v>229927.588670039</v>
      </c>
      <c r="K8" s="0" t="n">
        <f aca="false">K6*K7/100</f>
        <v>234526.140443439</v>
      </c>
      <c r="L8" s="0" t="n">
        <f aca="false">L6*L7/100</f>
        <v>239216.663252308</v>
      </c>
    </row>
    <row r="9" customFormat="false" ht="15" hidden="false" customHeight="false" outlineLevel="0" collapsed="false">
      <c r="A9" s="0" t="s">
        <v>110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126</v>
      </c>
      <c r="C11" s="0" t="n">
        <f aca="false">C8+C10+C24</f>
        <v>187517.20725</v>
      </c>
      <c r="D11" s="0" t="n">
        <f aca="false">D8+D10+D24</f>
        <v>199323.846225</v>
      </c>
      <c r="E11" s="0" t="n">
        <f aca="false">E8+E10+E24</f>
        <v>207296.800074</v>
      </c>
      <c r="F11" s="0" t="n">
        <f aca="false">F8+F10+F24</f>
        <v>208308.0039768</v>
      </c>
      <c r="G11" s="0" t="n">
        <f aca="false">G8+G10+G24</f>
        <v>214557.244096104</v>
      </c>
      <c r="H11" s="0" t="n">
        <f aca="false">H8+H10+H24</f>
        <v>219921.175198507</v>
      </c>
      <c r="I11" s="0" t="n">
        <f aca="false">I8+I10+I24</f>
        <v>225419.204578469</v>
      </c>
      <c r="J11" s="0" t="n">
        <f aca="false">J8+J10+J24</f>
        <v>229927.588670039</v>
      </c>
      <c r="K11" s="0" t="n">
        <f aca="false">K8+K10+K24</f>
        <v>234526.140443439</v>
      </c>
      <c r="L11" s="0" t="n">
        <f aca="false">L8+L10+L24</f>
        <v>239216.663252308</v>
      </c>
    </row>
    <row r="12" customFormat="false" ht="15" hidden="false" customHeight="false" outlineLevel="0" collapsed="false">
      <c r="A12" s="0" t="s">
        <v>127</v>
      </c>
      <c r="C12" s="4" t="n">
        <f aca="false">-C6*Assumptions!C45/100</f>
        <v>-37040.436</v>
      </c>
      <c r="D12" s="4" t="n">
        <f aca="false">-D6*Assumptions!D45/100</f>
        <v>-38892.4578</v>
      </c>
      <c r="E12" s="4" t="n">
        <f aca="false">-E6*Assumptions!E45/100</f>
        <v>-41712.1609905</v>
      </c>
      <c r="F12" s="4" t="n">
        <f aca="false">-F6*Assumptions!F45/100</f>
        <v>-42963.525820215</v>
      </c>
      <c r="G12" s="4" t="n">
        <f aca="false">-G6*Assumptions!G45/100</f>
        <v>-45593.4143704221</v>
      </c>
      <c r="H12" s="4" t="n">
        <f aca="false">-H6*Assumptions!H45/100</f>
        <v>-46733.2497296827</v>
      </c>
      <c r="I12" s="4" t="n">
        <f aca="false">-I6*Assumptions!I45/100</f>
        <v>-47901.5809729247</v>
      </c>
      <c r="J12" s="4" t="n">
        <f aca="false">-J6*Assumptions!J45/100</f>
        <v>-48859.6125923832</v>
      </c>
      <c r="K12" s="4" t="n">
        <f aca="false">-K6*Assumptions!K45/100</f>
        <v>-49836.8048442309</v>
      </c>
      <c r="L12" s="4" t="n">
        <f aca="false">-L6*Assumptions!L45/100</f>
        <v>-50833.5409411155</v>
      </c>
    </row>
    <row r="13" customFormat="false" ht="15" hidden="false" customHeight="false" outlineLevel="0" collapsed="false">
      <c r="A13" s="0" t="s">
        <v>128</v>
      </c>
      <c r="C13" s="0" t="n">
        <f aca="false">C11+C12</f>
        <v>150476.77125</v>
      </c>
      <c r="D13" s="0" t="n">
        <f aca="false">D11+D12</f>
        <v>160431.388425</v>
      </c>
      <c r="E13" s="0" t="n">
        <f aca="false">E11+E12</f>
        <v>165584.6390835</v>
      </c>
      <c r="F13" s="0" t="n">
        <f aca="false">F11+F12</f>
        <v>165344.478156585</v>
      </c>
      <c r="G13" s="0" t="n">
        <f aca="false">G11+G12</f>
        <v>168963.829725682</v>
      </c>
      <c r="H13" s="0" t="n">
        <f aca="false">H11+H12</f>
        <v>173187.925468824</v>
      </c>
      <c r="I13" s="0" t="n">
        <f aca="false">I11+I12</f>
        <v>177517.623605545</v>
      </c>
      <c r="J13" s="0" t="n">
        <f aca="false">J11+J12</f>
        <v>181067.976077655</v>
      </c>
      <c r="K13" s="0" t="n">
        <f aca="false">K11+K12</f>
        <v>184689.335599209</v>
      </c>
      <c r="L13" s="0" t="n">
        <f aca="false">L11+L12</f>
        <v>188383.122311193</v>
      </c>
    </row>
    <row r="14" customFormat="false" ht="15" hidden="false" customHeight="false" outlineLevel="0" collapsed="false">
      <c r="A14" s="0" t="s">
        <v>114</v>
      </c>
      <c r="C14" s="4" t="n">
        <f aca="false">Assumptions!C47</f>
        <v>30.5</v>
      </c>
      <c r="D14" s="4" t="n">
        <f aca="false">Assumptions!D47</f>
        <v>30.5</v>
      </c>
      <c r="E14" s="4" t="n">
        <f aca="false">Assumptions!E47</f>
        <v>30.5</v>
      </c>
      <c r="F14" s="4" t="n">
        <f aca="false">Assumptions!F47</f>
        <v>30.5</v>
      </c>
      <c r="G14" s="4" t="n">
        <f aca="false">Assumptions!G47</f>
        <v>30.5</v>
      </c>
      <c r="H14" s="4" t="n">
        <f aca="false">Assumptions!H47</f>
        <v>30.5</v>
      </c>
      <c r="I14" s="4" t="n">
        <f aca="false">Assumptions!I47</f>
        <v>30.5</v>
      </c>
      <c r="J14" s="4" t="n">
        <f aca="false">Assumptions!J47</f>
        <v>30.5</v>
      </c>
      <c r="K14" s="4" t="n">
        <f aca="false">Assumptions!K47</f>
        <v>30.5</v>
      </c>
      <c r="L14" s="4" t="n">
        <f aca="false">Assumptions!L47</f>
        <v>30.5</v>
      </c>
    </row>
    <row r="15" customFormat="false" ht="15" hidden="false" customHeight="false" outlineLevel="0" collapsed="false">
      <c r="A15" s="0" t="s">
        <v>129</v>
      </c>
      <c r="C15" s="0" t="n">
        <f aca="false">C13-MAX(0,C13)*C14/100</f>
        <v>104581.35601875</v>
      </c>
      <c r="D15" s="0" t="n">
        <f aca="false">D13-MAX(0,D13)*D14/100</f>
        <v>111499.814955375</v>
      </c>
      <c r="E15" s="0" t="n">
        <f aca="false">E13-MAX(0,E13)*E14/100</f>
        <v>115081.324163032</v>
      </c>
      <c r="F15" s="0" t="n">
        <f aca="false">F13-MAX(0,F13)*F14/100</f>
        <v>114914.412318827</v>
      </c>
      <c r="G15" s="0" t="n">
        <f aca="false">G13-MAX(0,G13)*G14/100</f>
        <v>117429.861659349</v>
      </c>
      <c r="H15" s="0" t="n">
        <f aca="false">H13-MAX(0,H13)*H14/100</f>
        <v>120365.608200833</v>
      </c>
      <c r="I15" s="0" t="n">
        <f aca="false">I13-MAX(0,I13)*I14/100</f>
        <v>123374.748405853</v>
      </c>
      <c r="J15" s="0" t="n">
        <f aca="false">J13-MAX(0,J13)*J14/100</f>
        <v>125842.243373971</v>
      </c>
      <c r="K15" s="0" t="n">
        <f aca="false">K13-MAX(0,K13)*K14/100</f>
        <v>128359.08824145</v>
      </c>
      <c r="L15" s="0" t="n">
        <f aca="false">L13-MAX(0,L13)*L14/100</f>
        <v>130926.270006279</v>
      </c>
    </row>
    <row r="16" customFormat="false" ht="15" hidden="false" customHeight="false" outlineLevel="0" collapsed="false">
      <c r="A16" s="0" t="s">
        <v>130</v>
      </c>
      <c r="C16" s="0" t="n">
        <f aca="false">-C12</f>
        <v>37040.436</v>
      </c>
      <c r="D16" s="0" t="n">
        <f aca="false">-D12</f>
        <v>38892.4578</v>
      </c>
      <c r="E16" s="0" t="n">
        <f aca="false">-E12</f>
        <v>41712.1609905</v>
      </c>
      <c r="F16" s="0" t="n">
        <f aca="false">-F12</f>
        <v>42963.525820215</v>
      </c>
      <c r="G16" s="0" t="n">
        <f aca="false">-G12</f>
        <v>45593.4143704221</v>
      </c>
      <c r="H16" s="0" t="n">
        <f aca="false">-H12</f>
        <v>46733.2497296827</v>
      </c>
      <c r="I16" s="0" t="n">
        <f aca="false">-I12</f>
        <v>47901.5809729247</v>
      </c>
      <c r="J16" s="0" t="n">
        <f aca="false">-J12</f>
        <v>48859.6125923832</v>
      </c>
      <c r="K16" s="0" t="n">
        <f aca="false">-K12</f>
        <v>49836.8048442309</v>
      </c>
      <c r="L16" s="0" t="n">
        <f aca="false">-L12</f>
        <v>50833.5409411155</v>
      </c>
    </row>
    <row r="17" customFormat="false" ht="15" hidden="false" customHeight="false" outlineLevel="0" collapsed="false">
      <c r="A17" s="0" t="s">
        <v>131</v>
      </c>
      <c r="C17" s="4" t="n">
        <f aca="false">-C6*Assumptions!C46/100</f>
        <v>-81025.95375</v>
      </c>
      <c r="D17" s="4" t="n">
        <f aca="false">-D6*Assumptions!D46/100</f>
        <v>-85077.2514375</v>
      </c>
      <c r="E17" s="4" t="n">
        <f aca="false">-E6*Assumptions!E46/100</f>
        <v>-80896.312224</v>
      </c>
      <c r="F17" s="4" t="n">
        <f aca="false">-F6*Assumptions!F46/100</f>
        <v>-78115.5014913</v>
      </c>
      <c r="G17" s="4" t="n">
        <f aca="false">-G6*Assumptions!G46/100</f>
        <v>-80458.966536039</v>
      </c>
      <c r="H17" s="4" t="n">
        <f aca="false">-H6*Assumptions!H46/100</f>
        <v>-82470.44069944</v>
      </c>
      <c r="I17" s="4" t="n">
        <f aca="false">-I6*Assumptions!I46/100</f>
        <v>-84532.201716926</v>
      </c>
      <c r="J17" s="4" t="n">
        <f aca="false">-J6*Assumptions!J46/100</f>
        <v>-86222.8457512645</v>
      </c>
      <c r="K17" s="4" t="n">
        <f aca="false">-K6*Assumptions!K46/100</f>
        <v>-87947.3026662898</v>
      </c>
      <c r="L17" s="4" t="n">
        <f aca="false">-L6*Assumptions!L46/100</f>
        <v>-89706.2487196156</v>
      </c>
    </row>
    <row r="18" customFormat="false" ht="15" hidden="false" customHeight="false" outlineLevel="0" collapsed="false">
      <c r="A18" s="0" t="s">
        <v>132</v>
      </c>
      <c r="C18" s="4" t="n">
        <f aca="false">(C6-B6)*Assumptions!$B$51/100</f>
        <v>-12861.2625</v>
      </c>
      <c r="D18" s="4" t="n">
        <f aca="false">(D6-C6)*Assumptions!$B$51/100</f>
        <v>-5787.56812500001</v>
      </c>
      <c r="E18" s="4" t="n">
        <f aca="false">(E6-D6)*Assumptions!$B$51/100</f>
        <v>-4861.557225</v>
      </c>
      <c r="F18" s="4" t="n">
        <f aca="false">(F6-E6)*Assumptions!$B$51/100</f>
        <v>-3792.01463550001</v>
      </c>
      <c r="G18" s="4" t="n">
        <f aca="false">(G6-F6)*Assumptions!$B$51/100</f>
        <v>-3905.77507456501</v>
      </c>
      <c r="H18" s="4" t="n">
        <f aca="false">(H6-G6)*Assumptions!$B$51/100</f>
        <v>-3352.45693900161</v>
      </c>
      <c r="I18" s="4" t="n">
        <f aca="false">(I6-H6)*Assumptions!$B$51/100</f>
        <v>-3436.26836247665</v>
      </c>
      <c r="J18" s="4" t="n">
        <f aca="false">(J6-I6)*Assumptions!$B$51/100</f>
        <v>-2817.74005723086</v>
      </c>
      <c r="K18" s="4" t="n">
        <f aca="false">(K6-J6)*Assumptions!$B$51/100</f>
        <v>-2874.09485837549</v>
      </c>
      <c r="L18" s="4" t="n">
        <f aca="false">(L6-K6)*Assumptions!$B$51/100</f>
        <v>-2931.57675554301</v>
      </c>
    </row>
    <row r="19" customFormat="false" ht="15" hidden="false" customHeight="false" outlineLevel="0" collapsed="false">
      <c r="A19" s="0" t="s">
        <v>133</v>
      </c>
      <c r="C19" s="0" t="n">
        <f aca="false">C15+C16+C17+C18</f>
        <v>47734.57576875</v>
      </c>
      <c r="D19" s="0" t="n">
        <f aca="false">D15+D16+D17+D18</f>
        <v>59527.453192875</v>
      </c>
      <c r="E19" s="0" t="n">
        <f aca="false">E15+E16+E17+E18</f>
        <v>71035.6157045325</v>
      </c>
      <c r="F19" s="0" t="n">
        <f aca="false">F15+F16+F17+F18</f>
        <v>75970.4220122416</v>
      </c>
      <c r="G19" s="0" t="n">
        <f aca="false">G15+G16+G17+G18</f>
        <v>78658.534419167</v>
      </c>
      <c r="H19" s="0" t="n">
        <f aca="false">H15+H16+H17+H18</f>
        <v>81275.9602920737</v>
      </c>
      <c r="I19" s="0" t="n">
        <f aca="false">I15+I16+I17+I18</f>
        <v>83307.8592993755</v>
      </c>
      <c r="J19" s="0" t="n">
        <f aca="false">J15+J16+J17+J18</f>
        <v>85661.2701578584</v>
      </c>
      <c r="K19" s="0" t="n">
        <f aca="false">K15+K16+K17+K18</f>
        <v>87374.4955610156</v>
      </c>
      <c r="L19" s="0" t="n">
        <f aca="false">L15+L16+L17+L18</f>
        <v>89121.9854722359</v>
      </c>
    </row>
    <row r="20" customFormat="false" ht="15" hidden="false" customHeight="false" outlineLevel="0" collapsed="false">
      <c r="A20" s="0" t="s">
        <v>134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135</v>
      </c>
      <c r="C21" s="0" t="n">
        <f aca="false">C19*C20</f>
        <v>44611.7530549065</v>
      </c>
      <c r="D21" s="0" t="n">
        <f aca="false">D19*D20</f>
        <v>51993.5830141279</v>
      </c>
      <c r="E21" s="0" t="n">
        <f aca="false">E19*E20</f>
        <v>57986.2222832443</v>
      </c>
      <c r="F21" s="0" t="n">
        <f aca="false">F19*F20</f>
        <v>57957.471210369</v>
      </c>
      <c r="G21" s="0" t="n">
        <f aca="false">G19*G20</f>
        <v>56082.4479393065</v>
      </c>
      <c r="H21" s="0" t="n">
        <f aca="false">H19*H20</f>
        <v>54157.604123843</v>
      </c>
      <c r="I21" s="0" t="n">
        <f aca="false">I19*I20</f>
        <v>51879.9478756439</v>
      </c>
      <c r="J21" s="0" t="n">
        <f aca="false">J19*J20</f>
        <v>49855.639140479</v>
      </c>
      <c r="K21" s="0" t="n">
        <f aca="false">K19*K20</f>
        <v>47525.9363769052</v>
      </c>
      <c r="L21" s="0" t="n">
        <f aca="false">L19*L20</f>
        <v>45305.0982284517</v>
      </c>
    </row>
    <row r="23" customFormat="false" ht="15" hidden="false" customHeight="false" outlineLevel="0" collapsed="false">
      <c r="A23" s="0" t="s">
        <v>111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137</v>
      </c>
    </row>
    <row r="27" customFormat="false" ht="15" hidden="false" customHeight="false" outlineLevel="0" collapsed="false">
      <c r="A27" s="0" t="s">
        <v>115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116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117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138</v>
      </c>
      <c r="B30" s="0" t="n">
        <f aca="false">SUM(C21:L21)</f>
        <v>517355.703247277</v>
      </c>
    </row>
    <row r="31" customFormat="false" ht="15" hidden="false" customHeight="false" outlineLevel="0" collapsed="false">
      <c r="A31" s="0" t="s">
        <v>139</v>
      </c>
      <c r="B31" s="0" t="n">
        <f aca="false">L19</f>
        <v>89121.9854722359</v>
      </c>
    </row>
    <row r="32" customFormat="false" ht="15" hidden="false" customHeight="false" outlineLevel="0" collapsed="false">
      <c r="A32" s="0" t="s">
        <v>140</v>
      </c>
      <c r="B32" s="0" t="n">
        <f aca="false">IF(B27&gt;B28,B31*(1+B28/100)/((B27-B28)/100),B31*B29)</f>
        <v>1644705.73189672</v>
      </c>
    </row>
    <row r="33" customFormat="false" ht="15" hidden="false" customHeight="false" outlineLevel="0" collapsed="false">
      <c r="A33" s="0" t="s">
        <v>141</v>
      </c>
      <c r="B33" s="0" t="n">
        <f aca="false">B31*B29</f>
        <v>1069463.82566683</v>
      </c>
    </row>
    <row r="34" customFormat="false" ht="15" hidden="false" customHeight="false" outlineLevel="0" collapsed="false">
      <c r="A34" s="0" t="s">
        <v>142</v>
      </c>
      <c r="B34" s="0" t="n">
        <f aca="false">MAX(0,MIN(B32,B33))</f>
        <v>1069463.82566683</v>
      </c>
    </row>
    <row r="35" customFormat="false" ht="15" hidden="false" customHeight="false" outlineLevel="0" collapsed="false">
      <c r="A35" s="0" t="s">
        <v>143</v>
      </c>
      <c r="B35" s="0" t="n">
        <f aca="false">B34/(1+B27/100)^L4</f>
        <v>543661.17874142</v>
      </c>
    </row>
    <row r="36" customFormat="false" ht="15" hidden="false" customHeight="false" outlineLevel="0" collapsed="false">
      <c r="A36" s="0" t="s">
        <v>144</v>
      </c>
      <c r="B36" s="0" t="n">
        <f aca="false">B30+B35</f>
        <v>1061016.8819887</v>
      </c>
    </row>
    <row r="37" customFormat="false" ht="15" hidden="false" customHeight="false" outlineLevel="0" collapsed="false">
      <c r="A37" s="0" t="s">
        <v>145</v>
      </c>
      <c r="B37" s="0" t="n">
        <f aca="false">B36+Assumptions!$B$5-Assumptions!$B$4</f>
        <v>1193741.8819887</v>
      </c>
    </row>
    <row r="38" customFormat="false" ht="15" hidden="false" customHeight="false" outlineLevel="0" collapsed="false">
      <c r="A38" s="0" t="s">
        <v>146</v>
      </c>
      <c r="B38" s="0" t="n">
        <f aca="false">B37/Assumptions!$B$3*Assumptions!$B$10</f>
        <v>1757.98462828213</v>
      </c>
    </row>
    <row r="39" customFormat="false" ht="15" hidden="false" customHeight="false" outlineLevel="0" collapsed="false">
      <c r="A39" s="0" t="s">
        <v>147</v>
      </c>
      <c r="B39" s="4" t="n">
        <f aca="false">B38/Assumptions!$B$2-1</f>
        <v>-0.150321590970455</v>
      </c>
    </row>
    <row r="41" customFormat="false" ht="15" hidden="false" customHeight="false" outlineLevel="0" collapsed="false">
      <c r="A41" s="0" t="s">
        <v>148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150</v>
      </c>
      <c r="B43" s="0" t="n">
        <f aca="false">(B37+B41+B42)/Assumptions!$B$3*Assumptions!$B$10</f>
        <v>1757.98462828213</v>
      </c>
    </row>
    <row r="45" customFormat="false" ht="15" hidden="false" customHeight="false" outlineLevel="0" collapsed="false">
      <c r="A45" s="0" t="s">
        <v>91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151</v>
      </c>
      <c r="B46" s="0" t="n">
        <f aca="false">MAX(0,MIN(IF(B45&gt;B28,B31*(1+B28/100)/((B45-B28)/100),B31*B29),B31*B29))</f>
        <v>670065.298180144</v>
      </c>
    </row>
    <row r="47" customFormat="false" ht="15" hidden="false" customHeight="false" outlineLevel="0" collapsed="false">
      <c r="A47" s="0" t="s">
        <v>152</v>
      </c>
      <c r="B47" s="0" t="n">
        <f aca="false">(SUMPRODUCT(C19:L19/(1+B45/100)^C4:L4)+B46/(1+B45/100)^L4+Assumptions!$B$5-Assumptions!$B$4)/Assumptions!$B$3*Assumptions!$B$10</f>
        <v>965.261508592827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155</v>
      </c>
    </row>
    <row r="3" customFormat="false" ht="15" hidden="false" customHeight="false" outlineLevel="0" collapsed="false">
      <c r="A3" s="2" t="s">
        <v>156</v>
      </c>
      <c r="B3" s="2" t="s">
        <v>157</v>
      </c>
      <c r="C3" s="2" t="s">
        <v>147</v>
      </c>
      <c r="D3" s="2" t="s">
        <v>158</v>
      </c>
      <c r="E3" s="2" t="s">
        <v>150</v>
      </c>
      <c r="F3" s="2" t="s">
        <v>159</v>
      </c>
    </row>
    <row r="4" customFormat="false" ht="15" hidden="false" customHeight="false" outlineLevel="0" collapsed="false">
      <c r="A4" s="0" t="s">
        <v>160</v>
      </c>
      <c r="B4" s="4" t="n">
        <f aca="false">DCF_Bear!$B$38</f>
        <v>816.076220417354</v>
      </c>
      <c r="C4" s="0" t="n">
        <f aca="false">B4/Assumptions!$B$2-1</f>
        <v>-0.60556973396938</v>
      </c>
      <c r="D4" s="4" t="n">
        <f aca="false">Assumptions!$B$24</f>
        <v>0.25</v>
      </c>
      <c r="E4" s="4" t="n">
        <f aca="false">DCF_Bear!$B$43</f>
        <v>816.076220417354</v>
      </c>
      <c r="F4" s="4" t="n">
        <f aca="false">DCF_Bear!$B$47</f>
        <v>495.601711021606</v>
      </c>
    </row>
    <row r="5" customFormat="false" ht="15" hidden="false" customHeight="false" outlineLevel="0" collapsed="false">
      <c r="A5" s="0" t="s">
        <v>161</v>
      </c>
      <c r="B5" s="4" t="n">
        <f aca="false">DCF_Base!$B$38</f>
        <v>1279.83644967494</v>
      </c>
      <c r="C5" s="0" t="n">
        <f aca="false">B5/Assumptions!$B$2-1</f>
        <v>-0.381422692278906</v>
      </c>
      <c r="D5" s="4" t="n">
        <f aca="false">Assumptions!$B$38</f>
        <v>0.5</v>
      </c>
      <c r="E5" s="4" t="n">
        <f aca="false">DCF_Base!$B$43</f>
        <v>1279.83644967494</v>
      </c>
      <c r="F5" s="4" t="n">
        <f aca="false">DCF_Base!$B$47</f>
        <v>739.213006310598</v>
      </c>
    </row>
    <row r="6" customFormat="false" ht="15" hidden="false" customHeight="false" outlineLevel="0" collapsed="false">
      <c r="A6" s="0" t="s">
        <v>162</v>
      </c>
      <c r="B6" s="4" t="n">
        <f aca="false">DCF_Bull!$B$38</f>
        <v>1757.98462828213</v>
      </c>
      <c r="C6" s="0" t="n">
        <f aca="false">B6/Assumptions!$B$2-1</f>
        <v>-0.150321590970455</v>
      </c>
      <c r="D6" s="4" t="n">
        <f aca="false">Assumptions!$B$52</f>
        <v>0.25</v>
      </c>
      <c r="E6" s="4" t="n">
        <f aca="false">DCF_Bull!$B$43</f>
        <v>1757.98462828213</v>
      </c>
      <c r="F6" s="4" t="n">
        <f aca="false">DCF_Bull!$B$47</f>
        <v>965.261508592827</v>
      </c>
    </row>
    <row r="8" customFormat="false" ht="15" hidden="false" customHeight="false" outlineLevel="0" collapsed="false">
      <c r="A8" s="0" t="s">
        <v>163</v>
      </c>
      <c r="B8" s="0" t="n">
        <f aca="false">SUMPRODUCT(B4:B6,D4:D6)</f>
        <v>1283.43343701234</v>
      </c>
    </row>
    <row r="9" customFormat="false" ht="15" hidden="false" customHeight="false" outlineLevel="0" collapsed="false">
      <c r="A9" s="0" t="s">
        <v>164</v>
      </c>
      <c r="B9" s="0" t="n">
        <f aca="false">SUMPRODUCT(E4:E6,D4:D6)</f>
        <v>1283.43343701234</v>
      </c>
    </row>
    <row r="10" customFormat="false" ht="15" hidden="false" customHeight="false" outlineLevel="0" collapsed="false">
      <c r="A10" s="0" t="s">
        <v>165</v>
      </c>
      <c r="B10" s="0" t="n">
        <f aca="false">1-Assumptions!$B$2/B8</f>
        <v>-0.612082045186815</v>
      </c>
    </row>
    <row r="11" customFormat="false" ht="15" hidden="false" customHeight="false" outlineLevel="0" collapsed="false">
      <c r="A11" s="0" t="s">
        <v>166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167</v>
      </c>
      <c r="B12" s="0" t="n">
        <f aca="false">SUMPRODUCT(F4:F6,D4:D6)</f>
        <v>734.822308058907</v>
      </c>
    </row>
    <row r="14" customFormat="false" ht="15" hidden="false" customHeight="false" outlineLevel="0" collapsed="false">
      <c r="A14" s="2" t="s">
        <v>168</v>
      </c>
      <c r="C14" s="0" t="s">
        <v>169</v>
      </c>
    </row>
    <row r="15" customFormat="false" ht="15" hidden="false" customHeight="false" outlineLevel="0" collapsed="false">
      <c r="A15" s="0" t="s">
        <v>170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1279.83644967494</v>
      </c>
      <c r="C15" s="3" t="n">
        <v>7</v>
      </c>
    </row>
    <row r="16" customFormat="false" ht="15" hidden="false" customHeight="false" outlineLevel="0" collapsed="false">
      <c r="A16" s="0" t="s">
        <v>171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1140.11636760487</v>
      </c>
      <c r="C16" s="3" t="n">
        <v>9</v>
      </c>
    </row>
    <row r="17" customFormat="false" ht="15" hidden="false" customHeight="false" outlineLevel="0" collapsed="false">
      <c r="A17" s="0" t="s">
        <v>172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1052.99543920453</v>
      </c>
      <c r="C17" s="3" t="n">
        <v>10</v>
      </c>
    </row>
    <row r="18" customFormat="false" ht="15" hidden="false" customHeight="false" outlineLevel="0" collapsed="false">
      <c r="A18" s="0" t="s">
        <v>173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964.976571736394</v>
      </c>
      <c r="C18" s="3" t="n">
        <v>11</v>
      </c>
    </row>
    <row r="19" customFormat="false" ht="15" hidden="false" customHeight="false" outlineLevel="0" collapsed="false">
      <c r="A19" s="0" t="s">
        <v>174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893.038270865584</v>
      </c>
      <c r="C19" s="3" t="n">
        <v>12</v>
      </c>
    </row>
    <row r="20" customFormat="false" ht="15" hidden="false" customHeight="false" outlineLevel="0" collapsed="false">
      <c r="A20" s="0" t="s">
        <v>175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739.213006310598</v>
      </c>
      <c r="C20" s="3" t="n">
        <v>15</v>
      </c>
    </row>
    <row r="22" customFormat="false" ht="15" hidden="false" customHeight="false" outlineLevel="0" collapsed="false">
      <c r="A22" s="2" t="s">
        <v>176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1447.8101040105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1447.8101040105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1447.8101040105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1447.8101040105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1447.8101040105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1359.90711597926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1359.90711597926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1359.90711597926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1359.90711597926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1359.90711597926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1279.83644967494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1279.83644967494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1279.83644967494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1279.83644967494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1279.83644967494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1206.80729907435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1206.80729907435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1206.80729907435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1206.80729907435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1206.80729907435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1107.38287826641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1133.6178072215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1140.11636760487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1140.11636760487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1140.11636760487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2026-10-26T02:17:27Z</dcterms:created>
  <dc:creator>openpyxl</dc:creator>
  <dc:description/>
  <dc:language>en-NZ</dc:language>
  <cp:lastModifiedBy/>
  <dcterms:modified xsi:type="dcterms:W3CDTF">2026-10-26T02:17:27Z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