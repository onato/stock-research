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<sst xmlns="http://schemas.openxmlformats.org/spreadsheetml/2006/main" count="365" uniqueCount="176">
  <si>
    <t xml:space="preserve">Ticker</t>
  </si>
  <si>
    <t xml:space="preserve">3328.HK</t>
  </si>
  <si>
    <t xml:space="preserve">Company</t>
  </si>
  <si>
    <t xml:space="preserve">Bank of Communications Co., Ltd.</t>
  </si>
  <si>
    <t xml:space="preserve">Valuation date</t>
  </si>
  <si>
    <t xml:space="preserve">2026-10-22</t>
  </si>
  <si>
    <t xml:space="preserve">Current price</t>
  </si>
  <si>
    <t xml:space="preserve">Price as of</t>
  </si>
  <si>
    <t xml:space="preserve">2026-10-22T08:08:34Z (HKEX regular-session close, 16:08 HKT)</t>
  </si>
  <si>
    <t xml:space="preserve">Balance sheet date</t>
  </si>
  <si>
    <t xml:space="preserve">2026-06-30</t>
  </si>
  <si>
    <t xml:space="preserve">Model</t>
  </si>
  <si>
    <t xml:space="preserve">Bank FCFE at cost of equity (engine route), net debt zero, CET1 retention on risk-weighted-asset growth, AT1 and preference distributions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</si>
  <si>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</si>
  <si>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</si>
  <si>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</si>
  <si>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</si>
  <si>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</si>
  <si>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</si>
  <si>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</si>
  <si>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</si>
  <si>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</si>
  <si>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2026-10-22T08:31:03Z</t>
  </si>
  <si>
    <t xml:space="preserve">Drivers file</t>
  </si>
  <si>
    <t xml:space="preserve">3328.HK_Drivers.json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</si>
  <si>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</si>
  <si>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</si>
  <si>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</si>
  <si>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the capital its regulator and its own growth require, discounted at the cost of equity. BoCom's reported profit (~RMB95bn) overstates distributable earnings because RWA growth of 6-7% at an 11% CET1 target absorbs ~RMB70bn a year; the dividend currently exceeds FCFE and is funded by capital-ratio drift. The valuation credits only the FCFE, lets it ramp as balance-sheet growth converges on nominal GDP, and charges every AT1 coupon and preference dividend in the flow. The 2025 placement at 0.66x book is the template for how the state resolves a capital shortfall here: dilution, not a dividend cut, so the per-share value is what matters.
key_risks_to_valuation: A second discounted state placement (the 2025 one added 19% to the share count at 0.66x book) if RWA growth keeps outrunning FCFE; the flat share count ignores it.; NIM: at 1.20-1.23% BoCom has the lowest margin of the big six; each 10bp is ~RMB14bn of NII (~5% of revenue) on a RMB14tn interest-earning balance sheet.; Retail credit quality: credit-card NPL 2.68%, personal-loan NPL 1.58% and rising; provision coverage 203.8% is the buffer.; Property (5.65% of loans at 4.20% NPL) and local-government-debt exposures still being worked out.; State-directed lending under the 'Five Priorities' allocates credit for policy, not return; ROE has fallen from 10.8% (FY2021) to 8.1% (H1 2026).; CNY/HKD translation for the H-share holder; the A/H premium (~16%) can widen or close independently of fundamentals.; Cost of equity: the 10Y CGB (~1.8%) was assumed, not fetched; +/-1pt on CoE moves the base value ~15-20%.</t>
  </si>
  <si>
    <t xml:space="preserve">Data sources</t>
  </si>
  <si>
    <t xml:space="preserve">price: Yahoo Finance chart API (3328.HK, HKD) at inputs.price_as_of; 52-week range 6.35-8.70. CNYHKD=X and 601328.SS from the same source, same day.
financials: research/3328.HK/Reports/3328.HK_Metrics.csv (FY2018-FY2025 annual, H1 FY2023-FY2026 interim) built from the H-share annual reports and interim reports in research/3328.HK/Extracted/; H1 2026 interim report (balance sheet p.5180-5200 of the text, RWA and capital ratios p.300-321, income statement p.1700-1706, note 32 other equity instruments); FY2025 annual report (five-year highlights p.375-410, RWA p.421, outlook p.3463-3560, ordinary-shareholder profit p.12039).
qualitative: research/3328.HK/Reports/3328.HK_Analysis.json (guidance, risks, bull/bear cases) and the FY2025 outlook section; management guides qualitatively only (NIM 'overall stability', payout &gt;30%, 'Five Priorities' loan-mix expansion, no numeric targets).</t>
  </si>
  <si>
    <t xml:space="preserve">Scenario narrative: bear</t>
  </si>
  <si>
    <t xml:space="preserve">NIM resumes compression toward 1.05%, retail credit stress (credit-card NPL 2.68%) lifts credit cost toward 0.95%, and the policy mandate keeps RWA growing 7% while revenue stalls. FCFE collapses to RMB6-10bn a year against a RMB31bn dividend, forcing a payout cut or a second discounted state placement (the 2025 one was at 0.66x book). Terminal ROE ~6%.</t>
  </si>
  <si>
    <t xml:space="preserve">Scenario narrative: base</t>
  </si>
  <si>
    <t xml:space="preserve">BoCom as a steady-state G-SIB: net operating income grows 4% fading to 3%, pre-tax margin holds 39.5%, CET1 is held at 11.0% so retention absorbs 24% of revenue in FY2027 falling to 13% by FY2036 as RWA growth slows to 3%. FCFE ramps from ~RMB27bn (FY2027) to ~RMB78bn (FY2036); the &gt;30% dividend is only fully covered from about FY2029-30, so CET1 drifts lower in the interim. Terminal ROE ~7.3%, implied terminal P/B ~0.64x.</t>
  </si>
  <si>
    <t xml:space="preserve">Scenario narrative: bull</t>
  </si>
  <si>
    <t xml:space="preserve">NIM troughs at 1.2% and recovers toward 1.35% as deposit repricing outlasts asset repricing; fee income resumes growth; credit cost falls to ~0.6% as property/LGFV resolution completes. Pre-tax margin reaches 41.5%; FCFE covers the dividend from FY2028. Terminal ROE ~8%.</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</si>
  <si>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</si>
  <si>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</si>
  <si>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</si>
  <si>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</si>
  <si>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</si>
  <si>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</si>
  <si>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</si>
  <si>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</si>
  <si>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</si>
  <si>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</si>
  <si>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</si>
  <si>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</si>
  <si>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</si>
  <si>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</si>
  <si>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</si>
  <si>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</si>
  <si>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</si>
  <si>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</si>
  <si>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</si>
  <si>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</si>
  <si>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</si>
  <si>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</si>
  <si>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</si>
  <si>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</si>
  <si>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</si>
  <si>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</si>
  <si>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</si>
  <si>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CET1Ratio</t>
  </si>
  <si>
    <t xml:space="preserve">CostToIncomeRatio</t>
  </si>
  <si>
    <t xml:space="preserve">CreditImpairmentCharge</t>
  </si>
  <si>
    <t xml:space="preserve">GrossInterestIncome</t>
  </si>
  <si>
    <t xml:space="preserve">NPLRatio</t>
  </si>
  <si>
    <t xml:space="preserve">NetFeeAndCommissionIncome</t>
  </si>
  <si>
    <t xml:space="preserve">NetInterestIncome</t>
  </si>
  <si>
    <t xml:space="preserve">NetInterestMargin</t>
  </si>
  <si>
    <t xml:space="preserve">PerpetualCapitalInstruments</t>
  </si>
  <si>
    <t xml:space="preserve">ProvisionCoverage</t>
  </si>
  <si>
    <t xml:space="preserve">TotalCapitalRatio</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</si>
  <si>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</si>
  <si>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</si>
  <si>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</si>
  <si>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</si>
  <si>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</si>
  <si>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</si>
  <si>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</si>
  <si>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</si>
  <si>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</si>
  <si>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</si>
  <si>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</si>
  <si>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</si>
  <si>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</si>
  <si>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</si>
  <si>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</si>
  <si>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</si>
  <si>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</si>
  <si>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</si>
  <si>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</si>
  <si>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</si>
  <si>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</si>
  <si>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</si>
  <si>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</si>
  <si>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</si>
  <si>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</si>
  <si>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</si>
  <si>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</si>
  <si>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</si>
  <si>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</si>
  <si>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</si>
  <si>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</si>
  <si>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</si>
  <si>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</si>
  <si>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</si>
  <si>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</si>
  <si>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</si>
  <si>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</si>
  <si>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</si>
  <si>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</si>
  <si>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</si>
  <si>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</si>
  <si>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</si>
  <si>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</si>
  <si>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</si>
  <si>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</si>
  <si>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</si>
  <si>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3328.HK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</si>
  <si>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</si>
  <si>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</si>
  <si>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</si>
  <si>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</si>
  <si>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</si>
  <si>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</si>
  <si>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</si>
  <si>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</si>
  <si>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</si>
  <si>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</si>
  <si>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</si>
  <si>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</si>
  <si>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</si>
  <si>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</si>
  <si>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</si>
  <si>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</si>
  <si>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</si>
  <si>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</si>
  <si>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</si>
  <si>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</si>
  <si>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</si>
  <si>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</si>
  <si>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</si>
  <si>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</si>
  <si>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</si>
  <si>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</si>
  <si>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</si>
  <si>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</si>
  <si>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</si>
  <si>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</si>
  <si>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3328.HK owner-FCF component DCF: base case (millions, CNY)</t>
  </si>
  <si>
    <t xml:space="preserve">3328.HK owner-FCF component DCF: bull case (millions, CNY)</t>
  </si>
  <si>
    <t xml:space="preserve">3328.HK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</si>
  <si>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</si>
  <si>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</si>
  <si>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</si>
  <si>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</si>
  <si>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</si>
  <si>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</si>
  <si>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</si>
  <si>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</si>
  <si>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</si>
  <si>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</si>
  <si>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</si>
  <si>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</si>
  <si>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</si>
  <si>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</si>
  <si>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</si>
  <si>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9.75%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</si>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</sst>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8.32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row>
    <row r="2" customFormat="false" ht="15" hidden="false" customHeight="false" outlineLevel="0" collapsed="false">
      <c r="A2" s="0" t="s">
        <v>75</v>
      </c>
      <c r="B2" s="0" t="n">
        <v>213055</v>
      </c>
      <c r="F2" s="0" t="n">
        <v>86067</v>
      </c>
      <c r="G2" s="0" t="n">
        <v>40.4</v>
      </c>
      <c r="I2" s="0" t="n">
        <v>73630</v>
      </c>
      <c r="J2" s="0" t="n">
        <v>34.6</v>
      </c>
      <c r="K2" s="0" t="n">
        <v>0.96</v>
      </c>
      <c r="L2" s="0" t="n">
        <v>123892</v>
      </c>
      <c r="M2" s="0" t="n">
        <v>31343</v>
      </c>
      <c r="N2" s="0" t="n">
        <v>92549</v>
      </c>
      <c r="O2" s="0" t="n">
        <v>698405</v>
      </c>
      <c r="P2" s="0" t="n">
        <v>9531171</v>
      </c>
      <c r="Q2" s="0" t="n">
        <v>8825863</v>
      </c>
      <c r="R2" s="0" t="n">
        <v>317688</v>
      </c>
      <c r="S2" s="0" t="n">
        <v>243492</v>
      </c>
      <c r="T2" s="0" t="n">
        <v>74263</v>
      </c>
      <c r="AA2" s="0" t="s">
        <v>18</v>
      </c>
      <c r="AB2" s="0" t="s">
        <v>14</v>
      </c>
      <c r="AC2" s="0" t="n">
        <v>11.16</v>
      </c>
      <c r="AD2" s="0" t="n">
        <v>31.5</v>
      </c>
      <c r="AE2" s="0" t="n">
        <v>43454</v>
      </c>
      <c r="AF2" s="0" t="n">
        <v>348864</v>
      </c>
      <c r="AG2" s="0" t="n">
        <v>1.49</v>
      </c>
      <c r="AH2" s="0" t="n">
        <v>41237</v>
      </c>
      <c r="AI2" s="0" t="n">
        <v>130908</v>
      </c>
      <c r="AJ2" s="0" t="n">
        <v>1.51</v>
      </c>
      <c r="AK2" s="0" t="n">
        <v>59876</v>
      </c>
      <c r="AL2" s="0" t="n">
        <v>173.13</v>
      </c>
      <c r="AM2" s="0" t="n">
        <v>14.37</v>
      </c>
    </row>
    <row r="3" customFormat="false" ht="15" hidden="false" customHeight="false" outlineLevel="0" collapsed="false">
      <c r="A3" s="0" t="s">
        <v>76</v>
      </c>
      <c r="B3" s="0" t="n">
        <v>232857</v>
      </c>
      <c r="F3" s="0" t="n">
        <v>88200</v>
      </c>
      <c r="G3" s="0" t="n">
        <v>37.9</v>
      </c>
      <c r="I3" s="0" t="n">
        <v>77281</v>
      </c>
      <c r="J3" s="0" t="n">
        <v>33.2</v>
      </c>
      <c r="K3" s="0" t="n">
        <v>1</v>
      </c>
      <c r="L3" s="0" t="n">
        <v>-82545</v>
      </c>
      <c r="M3" s="0" t="n">
        <v>32376</v>
      </c>
      <c r="N3" s="0" t="n">
        <v>-114921</v>
      </c>
      <c r="O3" s="0" t="n">
        <v>793247</v>
      </c>
      <c r="P3" s="0" t="n">
        <v>9905600</v>
      </c>
      <c r="Q3" s="0" t="n">
        <v>9104688</v>
      </c>
      <c r="R3" s="0" t="n">
        <v>403918</v>
      </c>
      <c r="S3" s="0" t="n">
        <v>167735</v>
      </c>
      <c r="T3" s="0" t="n">
        <v>74263</v>
      </c>
      <c r="AA3" s="0" t="s">
        <v>18</v>
      </c>
      <c r="AB3" s="0" t="s">
        <v>14</v>
      </c>
      <c r="AC3" s="0" t="n">
        <v>11.22</v>
      </c>
      <c r="AD3" s="0" t="n">
        <v>30.11</v>
      </c>
      <c r="AE3" s="0" t="n">
        <v>51954</v>
      </c>
      <c r="AF3" s="0" t="n">
        <v>367453</v>
      </c>
      <c r="AG3" s="0" t="n">
        <v>1.47</v>
      </c>
      <c r="AH3" s="0" t="n">
        <v>43625</v>
      </c>
      <c r="AI3" s="0" t="n">
        <v>144083</v>
      </c>
      <c r="AJ3" s="0" t="n">
        <v>1.58</v>
      </c>
      <c r="AK3" s="0" t="n">
        <v>99870</v>
      </c>
      <c r="AL3" s="0" t="n">
        <v>171.77</v>
      </c>
      <c r="AM3" s="0" t="n">
        <v>14.83</v>
      </c>
    </row>
    <row r="4" customFormat="false" ht="15" hidden="false" customHeight="false" outlineLevel="0" collapsed="false">
      <c r="A4" s="0" t="s">
        <v>77</v>
      </c>
      <c r="B4" s="0" t="n">
        <v>246724</v>
      </c>
      <c r="F4" s="0" t="n">
        <v>86425</v>
      </c>
      <c r="G4" s="0" t="n">
        <v>35</v>
      </c>
      <c r="I4" s="0" t="n">
        <v>78274</v>
      </c>
      <c r="J4" s="0" t="n">
        <v>31.7</v>
      </c>
      <c r="K4" s="0" t="n">
        <v>0.99</v>
      </c>
      <c r="L4" s="0" t="n">
        <v>149398</v>
      </c>
      <c r="M4" s="0" t="n">
        <v>24149</v>
      </c>
      <c r="N4" s="0" t="n">
        <v>125249</v>
      </c>
      <c r="O4" s="0" t="n">
        <v>866607</v>
      </c>
      <c r="P4" s="0" t="n">
        <v>10697616</v>
      </c>
      <c r="Q4" s="0" t="n">
        <v>9818988</v>
      </c>
      <c r="R4" s="0" t="n">
        <v>497755</v>
      </c>
      <c r="S4" s="0" t="n">
        <v>307120</v>
      </c>
      <c r="T4" s="0" t="n">
        <v>74263</v>
      </c>
      <c r="AA4" s="0" t="s">
        <v>18</v>
      </c>
      <c r="AB4" s="0" t="s">
        <v>14</v>
      </c>
      <c r="AC4" s="0" t="n">
        <v>10.87</v>
      </c>
      <c r="AD4" s="0" t="n">
        <v>28.29</v>
      </c>
      <c r="AE4" s="0" t="n">
        <v>62059</v>
      </c>
      <c r="AF4" s="0" t="n">
        <v>369101</v>
      </c>
      <c r="AG4" s="0" t="n">
        <v>1.67</v>
      </c>
      <c r="AH4" s="0" t="n">
        <v>45086</v>
      </c>
      <c r="AI4" s="0" t="n">
        <v>153336</v>
      </c>
      <c r="AJ4" s="0" t="n">
        <v>1.57</v>
      </c>
      <c r="AK4" s="0" t="n">
        <v>133292</v>
      </c>
      <c r="AL4" s="0" t="n">
        <v>143.87</v>
      </c>
      <c r="AM4" s="0" t="n">
        <v>15.25</v>
      </c>
    </row>
    <row r="5" customFormat="false" ht="15" hidden="false" customHeight="false" outlineLevel="0" collapsed="false">
      <c r="A5" s="0" t="s">
        <v>78</v>
      </c>
      <c r="B5" s="0" t="n">
        <v>269748</v>
      </c>
      <c r="F5" s="0" t="n">
        <v>93959</v>
      </c>
      <c r="G5" s="0" t="n">
        <v>34.8</v>
      </c>
      <c r="I5" s="0" t="n">
        <v>87581</v>
      </c>
      <c r="J5" s="0" t="n">
        <v>32.5</v>
      </c>
      <c r="K5" s="0" t="n">
        <v>1.1</v>
      </c>
      <c r="L5" s="0" t="n">
        <v>-34775</v>
      </c>
      <c r="M5" s="0" t="n">
        <v>22947</v>
      </c>
      <c r="N5" s="0" t="n">
        <v>-57722</v>
      </c>
      <c r="O5" s="0" t="n">
        <v>964647</v>
      </c>
      <c r="P5" s="0" t="n">
        <v>11665757</v>
      </c>
      <c r="Q5" s="0" t="n">
        <v>10688521</v>
      </c>
      <c r="R5" s="0" t="n">
        <v>503525</v>
      </c>
      <c r="S5" s="0" t="n">
        <v>194308</v>
      </c>
      <c r="T5" s="0" t="n">
        <v>74263</v>
      </c>
      <c r="AA5" s="0" t="s">
        <v>18</v>
      </c>
      <c r="AB5" s="0" t="s">
        <v>14</v>
      </c>
      <c r="AC5" s="0" t="n">
        <v>10.62</v>
      </c>
      <c r="AD5" s="0" t="n">
        <v>27.67</v>
      </c>
      <c r="AE5" s="0" t="n">
        <v>66371</v>
      </c>
      <c r="AF5" s="0" t="n">
        <v>377646</v>
      </c>
      <c r="AG5" s="0" t="n">
        <v>1.48</v>
      </c>
      <c r="AH5" s="0" t="n">
        <v>47573</v>
      </c>
      <c r="AI5" s="0" t="n">
        <v>161693</v>
      </c>
      <c r="AJ5" s="0" t="n">
        <v>1.56</v>
      </c>
      <c r="AK5" s="0" t="n">
        <v>174790</v>
      </c>
      <c r="AL5" s="0" t="n">
        <v>166.5</v>
      </c>
      <c r="AM5" s="0" t="n">
        <v>15.45</v>
      </c>
    </row>
    <row r="6" customFormat="false" ht="15" hidden="false" customHeight="false" outlineLevel="0" collapsed="false">
      <c r="A6" s="0" t="s">
        <v>79</v>
      </c>
      <c r="B6" s="0" t="n">
        <v>257346</v>
      </c>
      <c r="F6" s="0" t="n">
        <v>98115</v>
      </c>
      <c r="G6" s="0" t="n">
        <v>38.1</v>
      </c>
      <c r="I6" s="0" t="n">
        <v>92102</v>
      </c>
      <c r="J6" s="0" t="n">
        <v>35.8</v>
      </c>
      <c r="K6" s="0" t="n">
        <v>1.14</v>
      </c>
      <c r="L6" s="0" t="n">
        <v>368221</v>
      </c>
      <c r="M6" s="0" t="n">
        <v>31655</v>
      </c>
      <c r="N6" s="0" t="n">
        <v>336566</v>
      </c>
      <c r="O6" s="0" t="n">
        <v>1022024</v>
      </c>
      <c r="P6" s="0" t="n">
        <v>12991571</v>
      </c>
      <c r="Q6" s="0" t="n">
        <v>11958049</v>
      </c>
      <c r="R6" s="0" t="n">
        <v>530861</v>
      </c>
      <c r="S6" s="0" t="n">
        <v>248803</v>
      </c>
      <c r="T6" s="0" t="n">
        <v>74263</v>
      </c>
      <c r="AA6" s="0" t="s">
        <v>18</v>
      </c>
      <c r="AB6" s="0" t="s">
        <v>14</v>
      </c>
      <c r="AC6" s="0" t="n">
        <v>10.06</v>
      </c>
      <c r="AD6" s="0" t="n">
        <v>29.65</v>
      </c>
      <c r="AE6" s="0" t="n">
        <v>60411</v>
      </c>
      <c r="AF6" s="0" t="n">
        <v>418122</v>
      </c>
      <c r="AG6" s="0" t="n">
        <v>1.35</v>
      </c>
      <c r="AH6" s="0" t="n">
        <v>44855</v>
      </c>
      <c r="AI6" s="0" t="n">
        <v>169882</v>
      </c>
      <c r="AJ6" s="0" t="n">
        <v>1.48</v>
      </c>
      <c r="AK6" s="0" t="n">
        <v>174790</v>
      </c>
      <c r="AL6" s="0" t="n">
        <v>180.68</v>
      </c>
      <c r="AM6" s="0" t="n">
        <v>14.97</v>
      </c>
    </row>
    <row r="7" customFormat="false" ht="15" hidden="false" customHeight="false" outlineLevel="0" collapsed="false">
      <c r="A7" s="0" t="s">
        <v>80</v>
      </c>
      <c r="B7" s="0" t="n">
        <v>258014</v>
      </c>
      <c r="F7" s="0" t="n">
        <v>99698</v>
      </c>
      <c r="G7" s="0" t="n">
        <v>38.6</v>
      </c>
      <c r="I7" s="0" t="n">
        <v>92728</v>
      </c>
      <c r="J7" s="0" t="n">
        <v>35.9</v>
      </c>
      <c r="K7" s="0" t="n">
        <v>1.15</v>
      </c>
      <c r="L7" s="0" t="n">
        <v>137323</v>
      </c>
      <c r="M7" s="0" t="n">
        <v>47591</v>
      </c>
      <c r="N7" s="0" t="n">
        <v>89732</v>
      </c>
      <c r="O7" s="0" t="n">
        <v>1088030</v>
      </c>
      <c r="P7" s="0" t="n">
        <v>14060472</v>
      </c>
      <c r="Q7" s="0" t="n">
        <v>12961022</v>
      </c>
      <c r="R7" s="0" t="n">
        <v>592175</v>
      </c>
      <c r="S7" s="0" t="n">
        <v>275461</v>
      </c>
      <c r="T7" s="0" t="n">
        <v>74263</v>
      </c>
      <c r="AA7" s="0" t="s">
        <v>18</v>
      </c>
      <c r="AB7" s="0" t="s">
        <v>14</v>
      </c>
      <c r="AC7" s="0" t="n">
        <v>10.23</v>
      </c>
      <c r="AD7" s="0" t="n">
        <v>30.04</v>
      </c>
      <c r="AE7" s="0" t="n">
        <v>56908</v>
      </c>
      <c r="AF7" s="0" t="n">
        <v>459861</v>
      </c>
      <c r="AG7" s="0" t="n">
        <v>1.33</v>
      </c>
      <c r="AH7" s="0" t="n">
        <v>43004</v>
      </c>
      <c r="AI7" s="0" t="n">
        <v>164123</v>
      </c>
      <c r="AJ7" s="0" t="n">
        <v>1.28</v>
      </c>
      <c r="AK7" s="0" t="n">
        <v>174790</v>
      </c>
      <c r="AL7" s="0" t="n">
        <v>195.21</v>
      </c>
      <c r="AM7" s="0" t="n">
        <v>15.27</v>
      </c>
    </row>
    <row r="8" customFormat="false" ht="15" hidden="false" customHeight="false" outlineLevel="0" collapsed="false">
      <c r="A8" s="0" t="s">
        <v>81</v>
      </c>
      <c r="B8" s="0" t="n">
        <v>260269</v>
      </c>
      <c r="F8" s="0" t="n">
        <v>103475</v>
      </c>
      <c r="G8" s="0" t="n">
        <v>39.8</v>
      </c>
      <c r="I8" s="0" t="n">
        <v>93586</v>
      </c>
      <c r="J8" s="0" t="n">
        <v>36</v>
      </c>
      <c r="K8" s="0" t="n">
        <v>1.16</v>
      </c>
      <c r="L8" s="0" t="n">
        <v>-57348</v>
      </c>
      <c r="M8" s="0" t="n">
        <v>42175</v>
      </c>
      <c r="N8" s="0" t="n">
        <v>-99523</v>
      </c>
      <c r="O8" s="0" t="n">
        <v>1144306</v>
      </c>
      <c r="P8" s="0" t="n">
        <v>14900717</v>
      </c>
      <c r="Q8" s="0" t="n">
        <v>13745120</v>
      </c>
      <c r="R8" s="0" t="n">
        <v>691248</v>
      </c>
      <c r="S8" s="0" t="n">
        <v>161950</v>
      </c>
      <c r="T8" s="0" t="n">
        <v>74263</v>
      </c>
      <c r="AA8" s="0" t="s">
        <v>18</v>
      </c>
      <c r="AB8" s="0" t="s">
        <v>14</v>
      </c>
      <c r="AC8" s="0" t="n">
        <v>10.24</v>
      </c>
      <c r="AD8" s="0" t="n">
        <v>29.9</v>
      </c>
      <c r="AE8" s="0" t="n">
        <v>52567</v>
      </c>
      <c r="AF8" s="0" t="n">
        <v>451712</v>
      </c>
      <c r="AG8" s="0" t="n">
        <v>1.31</v>
      </c>
      <c r="AH8" s="0" t="n">
        <v>36914</v>
      </c>
      <c r="AI8" s="0" t="n">
        <v>169832</v>
      </c>
      <c r="AJ8" s="0" t="n">
        <v>1.27</v>
      </c>
      <c r="AK8" s="0" t="n">
        <v>174796</v>
      </c>
      <c r="AL8" s="0" t="n">
        <v>201.94</v>
      </c>
      <c r="AM8" s="0" t="n">
        <v>16.02</v>
      </c>
    </row>
    <row r="9" customFormat="false" ht="15" hidden="false" customHeight="false" outlineLevel="0" collapsed="false">
      <c r="A9" s="0" t="s">
        <v>82</v>
      </c>
      <c r="B9" s="0" t="n">
        <v>265600</v>
      </c>
      <c r="F9" s="0" t="n">
        <v>103763</v>
      </c>
      <c r="G9" s="0" t="n">
        <v>39.1</v>
      </c>
      <c r="I9" s="0" t="n">
        <v>95622</v>
      </c>
      <c r="J9" s="0" t="n">
        <v>36</v>
      </c>
      <c r="K9" s="0" t="n">
        <v>1.08</v>
      </c>
      <c r="L9" s="0" t="n">
        <v>132441</v>
      </c>
      <c r="M9" s="0" t="n">
        <v>43197</v>
      </c>
      <c r="N9" s="0" t="n">
        <v>89244</v>
      </c>
      <c r="O9" s="0" t="n">
        <v>1269232</v>
      </c>
      <c r="P9" s="0" t="n">
        <v>15548388</v>
      </c>
      <c r="Q9" s="0" t="n">
        <v>14268106</v>
      </c>
      <c r="R9" s="0" t="n">
        <v>692085</v>
      </c>
      <c r="S9" s="0" t="n">
        <v>126462</v>
      </c>
      <c r="T9" s="0" t="n">
        <v>88364</v>
      </c>
      <c r="AA9" s="0" t="s">
        <v>18</v>
      </c>
      <c r="AB9" s="0" t="s">
        <v>14</v>
      </c>
      <c r="AC9" s="0" t="n">
        <v>11.43</v>
      </c>
      <c r="AD9" s="0" t="n">
        <v>29.3</v>
      </c>
      <c r="AE9" s="0" t="n">
        <v>54547</v>
      </c>
      <c r="AF9" s="0" t="n">
        <v>419447</v>
      </c>
      <c r="AG9" s="0" t="n">
        <v>1.28</v>
      </c>
      <c r="AH9" s="0" t="n">
        <v>38183</v>
      </c>
      <c r="AI9" s="0" t="n">
        <v>173075</v>
      </c>
      <c r="AJ9" s="0" t="n">
        <v>1.2</v>
      </c>
      <c r="AK9" s="0" t="n">
        <v>126450</v>
      </c>
      <c r="AL9" s="0" t="n">
        <v>208.38</v>
      </c>
      <c r="AM9" s="0" t="n">
        <v>15.96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8.32</v>
      </c>
    </row>
    <row r="3" customFormat="false" ht="15" hidden="false" customHeight="false" outlineLevel="0" collapsed="false">
      <c r="A3" s="0" t="s">
        <v>86</v>
      </c>
      <c r="B3" s="3" t="n">
        <v>88364</v>
      </c>
    </row>
    <row r="4" customFormat="false" ht="15" hidden="false" customHeight="false" outlineLevel="0" collapsed="false">
      <c r="A4" s="0" t="s">
        <v>87</v>
      </c>
      <c r="B4" s="3" t="n">
        <v>0</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279000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1.1748</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1</v>
      </c>
      <c r="D13" s="3" t="n">
        <v>1</v>
      </c>
      <c r="E13" s="3" t="n">
        <v>1.5</v>
      </c>
      <c r="F13" s="3" t="n">
        <v>2</v>
      </c>
      <c r="G13" s="3" t="n">
        <v>2</v>
      </c>
      <c r="H13" s="3" t="n">
        <v>2</v>
      </c>
      <c r="I13" s="3" t="n">
        <v>2</v>
      </c>
      <c r="J13" s="3" t="n">
        <v>2</v>
      </c>
      <c r="K13" s="3" t="n">
        <v>2</v>
      </c>
      <c r="L13" s="3" t="n">
        <v>2</v>
      </c>
    </row>
    <row r="14" customFormat="false" ht="15" hidden="false" customHeight="false" outlineLevel="0" collapsed="false">
      <c r="A14" s="0" t="s">
        <v>108</v>
      </c>
      <c r="C14" s="3" t="n">
        <v>37</v>
      </c>
      <c r="D14" s="3" t="n">
        <v>36</v>
      </c>
      <c r="E14" s="3" t="n">
        <v>36</v>
      </c>
      <c r="F14" s="3" t="n">
        <v>36</v>
      </c>
      <c r="G14" s="3" t="n">
        <v>36</v>
      </c>
      <c r="H14" s="3" t="n">
        <v>36</v>
      </c>
      <c r="I14" s="3" t="n">
        <v>36</v>
      </c>
      <c r="J14" s="3" t="n">
        <v>36</v>
      </c>
      <c r="K14" s="3" t="n">
        <v>36</v>
      </c>
      <c r="L14" s="3" t="n">
        <v>36</v>
      </c>
    </row>
    <row r="15" customFormat="false" ht="15" hidden="false" customHeight="false" outlineLevel="0" collapsed="false">
      <c r="A15" s="0" t="s">
        <v>109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29</v>
      </c>
      <c r="D18" s="3" t="n">
        <v>28.5</v>
      </c>
      <c r="E18" s="3" t="n">
        <v>27.6</v>
      </c>
      <c r="F18" s="3" t="n">
        <v>26.3</v>
      </c>
      <c r="G18" s="3" t="n">
        <v>24.7</v>
      </c>
      <c r="H18" s="3" t="n">
        <v>22.9</v>
      </c>
      <c r="I18" s="3" t="n">
        <v>20.9</v>
      </c>
      <c r="J18" s="3" t="n">
        <v>18.6</v>
      </c>
      <c r="K18" s="3" t="n">
        <v>16.2</v>
      </c>
      <c r="L18" s="3" t="n">
        <v>16.4</v>
      </c>
    </row>
    <row r="19" customFormat="false" ht="15" hidden="false" customHeight="false" outlineLevel="0" collapsed="false">
      <c r="A19" s="0" t="s">
        <v>113</v>
      </c>
      <c r="C19" s="3" t="n">
        <v>16</v>
      </c>
      <c r="D19" s="3" t="n">
        <v>16</v>
      </c>
      <c r="E19" s="3" t="n">
        <v>16</v>
      </c>
      <c r="F19" s="3" t="n">
        <v>16</v>
      </c>
      <c r="G19" s="3" t="n">
        <v>16</v>
      </c>
      <c r="H19" s="3" t="n">
        <v>16</v>
      </c>
      <c r="I19" s="3" t="n">
        <v>16</v>
      </c>
      <c r="J19" s="3" t="n">
        <v>16</v>
      </c>
      <c r="K19" s="3" t="n">
        <v>16</v>
      </c>
      <c r="L19" s="3" t="n">
        <v>16</v>
      </c>
    </row>
    <row r="20" customFormat="false" ht="15" hidden="false" customHeight="false" outlineLevel="0" collapsed="false">
      <c r="A20" s="0" t="s">
        <v>114</v>
      </c>
      <c r="B20" s="3" t="n">
        <v>9.75</v>
      </c>
    </row>
    <row r="21" customFormat="false" ht="15" hidden="false" customHeight="false" outlineLevel="0" collapsed="false">
      <c r="A21" s="0" t="s">
        <v>115</v>
      </c>
      <c r="B21" s="3" t="n">
        <v>2.5</v>
      </c>
    </row>
    <row r="22" customFormat="false" ht="15" hidden="false" customHeight="false" outlineLevel="0" collapsed="false">
      <c r="A22" s="0" t="s">
        <v>116</v>
      </c>
      <c r="B22" s="3" t="n">
        <v>18</v>
      </c>
    </row>
    <row r="23" customFormat="false" ht="15" hidden="false" customHeight="false" outlineLevel="0" collapsed="false">
      <c r="A23" s="0" t="s">
        <v>117</v>
      </c>
      <c r="B23" s="3" t="n">
        <v>0</v>
      </c>
    </row>
    <row r="24" customFormat="false" ht="15" hidden="false" customHeight="false" outlineLevel="0" collapsed="false">
      <c r="A24" s="0" t="s">
        <v>118</v>
      </c>
      <c r="B24" s="3" t="n">
        <v>0.3</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4</v>
      </c>
      <c r="D27" s="3" t="n">
        <v>4</v>
      </c>
      <c r="E27" s="3" t="n">
        <v>3.5</v>
      </c>
      <c r="F27" s="3" t="n">
        <v>3.5</v>
      </c>
      <c r="G27" s="3" t="n">
        <v>3</v>
      </c>
      <c r="H27" s="3" t="n">
        <v>3</v>
      </c>
      <c r="I27" s="3" t="n">
        <v>3</v>
      </c>
      <c r="J27" s="3" t="n">
        <v>3</v>
      </c>
      <c r="K27" s="3" t="n">
        <v>3</v>
      </c>
      <c r="L27" s="3" t="n">
        <v>3</v>
      </c>
    </row>
    <row r="28" customFormat="false" ht="15" hidden="false" customHeight="false" outlineLevel="0" collapsed="false">
      <c r="A28" s="0" t="s">
        <v>108</v>
      </c>
      <c r="C28" s="3" t="n">
        <v>39.5</v>
      </c>
      <c r="D28" s="3" t="n">
        <v>39.5</v>
      </c>
      <c r="E28" s="3" t="n">
        <v>39.5</v>
      </c>
      <c r="F28" s="3" t="n">
        <v>39.5</v>
      </c>
      <c r="G28" s="3" t="n">
        <v>39.5</v>
      </c>
      <c r="H28" s="3" t="n">
        <v>39.5</v>
      </c>
      <c r="I28" s="3" t="n">
        <v>39.5</v>
      </c>
      <c r="J28" s="3" t="n">
        <v>39.5</v>
      </c>
      <c r="K28" s="3" t="n">
        <v>39.5</v>
      </c>
      <c r="L28" s="3" t="n">
        <v>39.5</v>
      </c>
    </row>
    <row r="29" customFormat="false" ht="15" hidden="false" customHeight="false" outlineLevel="0" collapsed="false">
      <c r="A29" s="0" t="s">
        <v>109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24.1</v>
      </c>
      <c r="D32" s="3" t="n">
        <v>22.5</v>
      </c>
      <c r="E32" s="3" t="n">
        <v>20.9</v>
      </c>
      <c r="F32" s="3" t="n">
        <v>19.1</v>
      </c>
      <c r="G32" s="3" t="n">
        <v>17.2</v>
      </c>
      <c r="H32" s="3" t="n">
        <v>17.4</v>
      </c>
      <c r="I32" s="3" t="n">
        <v>15.3</v>
      </c>
      <c r="J32" s="3" t="n">
        <v>15.4</v>
      </c>
      <c r="K32" s="3" t="n">
        <v>13.3</v>
      </c>
      <c r="L32" s="3" t="n">
        <v>13.3</v>
      </c>
    </row>
    <row r="33" customFormat="false" ht="15" hidden="false" customHeight="false" outlineLevel="0" collapsed="false">
      <c r="A33" s="0" t="s">
        <v>113</v>
      </c>
      <c r="C33" s="3" t="n">
        <v>15.5</v>
      </c>
      <c r="D33" s="3" t="n">
        <v>15.5</v>
      </c>
      <c r="E33" s="3" t="n">
        <v>15.5</v>
      </c>
      <c r="F33" s="3" t="n">
        <v>15.5</v>
      </c>
      <c r="G33" s="3" t="n">
        <v>15.5</v>
      </c>
      <c r="H33" s="3" t="n">
        <v>15.5</v>
      </c>
      <c r="I33" s="3" t="n">
        <v>15.5</v>
      </c>
      <c r="J33" s="3" t="n">
        <v>15.5</v>
      </c>
      <c r="K33" s="3" t="n">
        <v>15.5</v>
      </c>
      <c r="L33" s="3" t="n">
        <v>15.5</v>
      </c>
    </row>
    <row r="34" customFormat="false" ht="15" hidden="false" customHeight="false" outlineLevel="0" collapsed="false">
      <c r="A34" s="0" t="s">
        <v>114</v>
      </c>
      <c r="B34" s="3" t="n">
        <v>9.75</v>
      </c>
    </row>
    <row r="35" customFormat="false" ht="15" hidden="false" customHeight="false" outlineLevel="0" collapsed="false">
      <c r="A35" s="0" t="s">
        <v>115</v>
      </c>
      <c r="B35" s="3" t="n">
        <v>3</v>
      </c>
    </row>
    <row r="36" customFormat="false" ht="15" hidden="false" customHeight="false" outlineLevel="0" collapsed="false">
      <c r="A36" s="0" t="s">
        <v>116</v>
      </c>
      <c r="B36" s="3" t="n">
        <v>18</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5.5</v>
      </c>
      <c r="D41" s="3" t="n">
        <v>5</v>
      </c>
      <c r="E41" s="3" t="n">
        <v>5</v>
      </c>
      <c r="F41" s="3" t="n">
        <v>4.5</v>
      </c>
      <c r="G41" s="3" t="n">
        <v>4</v>
      </c>
      <c r="H41" s="3" t="n">
        <v>4</v>
      </c>
      <c r="I41" s="3" t="n">
        <v>3.5</v>
      </c>
      <c r="J41" s="3" t="n">
        <v>3.5</v>
      </c>
      <c r="K41" s="3" t="n">
        <v>3.5</v>
      </c>
      <c r="L41" s="3" t="n">
        <v>3.5</v>
      </c>
    </row>
    <row r="42" customFormat="false" ht="15" hidden="false" customHeight="false" outlineLevel="0" collapsed="false">
      <c r="A42" s="0" t="s">
        <v>108</v>
      </c>
      <c r="C42" s="3" t="n">
        <v>40.5</v>
      </c>
      <c r="D42" s="3" t="n">
        <v>41</v>
      </c>
      <c r="E42" s="3" t="n">
        <v>41</v>
      </c>
      <c r="F42" s="3" t="n">
        <v>41.5</v>
      </c>
      <c r="G42" s="3" t="n">
        <v>41.5</v>
      </c>
      <c r="H42" s="3" t="n">
        <v>41.5</v>
      </c>
      <c r="I42" s="3" t="n">
        <v>41.5</v>
      </c>
      <c r="J42" s="3" t="n">
        <v>41.5</v>
      </c>
      <c r="K42" s="3" t="n">
        <v>41.5</v>
      </c>
      <c r="L42" s="3" t="n">
        <v>41.5</v>
      </c>
    </row>
    <row r="43" customFormat="false" ht="15" hidden="false" customHeight="false" outlineLevel="0" collapsed="false">
      <c r="A43" s="0" t="s">
        <v>109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23.8</v>
      </c>
      <c r="D46" s="3" t="n">
        <v>22</v>
      </c>
      <c r="E46" s="3" t="n">
        <v>20.1</v>
      </c>
      <c r="F46" s="3" t="n">
        <v>18.2</v>
      </c>
      <c r="G46" s="3" t="n">
        <v>16.2</v>
      </c>
      <c r="H46" s="3" t="n">
        <v>16.2</v>
      </c>
      <c r="I46" s="3" t="n">
        <v>14.3</v>
      </c>
      <c r="J46" s="3" t="n">
        <v>14.3</v>
      </c>
      <c r="K46" s="3" t="n">
        <v>12.2</v>
      </c>
      <c r="L46" s="3" t="n">
        <v>12.2</v>
      </c>
    </row>
    <row r="47" customFormat="false" ht="15" hidden="false" customHeight="false" outlineLevel="0" collapsed="false">
      <c r="A47" s="0" t="s">
        <v>113</v>
      </c>
      <c r="C47" s="3" t="n">
        <v>15</v>
      </c>
      <c r="D47" s="3" t="n">
        <v>15</v>
      </c>
      <c r="E47" s="3" t="n">
        <v>15</v>
      </c>
      <c r="F47" s="3" t="n">
        <v>15</v>
      </c>
      <c r="G47" s="3" t="n">
        <v>15</v>
      </c>
      <c r="H47" s="3" t="n">
        <v>15</v>
      </c>
      <c r="I47" s="3" t="n">
        <v>15</v>
      </c>
      <c r="J47" s="3" t="n">
        <v>15</v>
      </c>
      <c r="K47" s="3" t="n">
        <v>15</v>
      </c>
      <c r="L47" s="3" t="n">
        <v>15</v>
      </c>
    </row>
    <row r="48" customFormat="false" ht="15" hidden="false" customHeight="false" outlineLevel="0" collapsed="false">
      <c r="A48" s="0" t="s">
        <v>114</v>
      </c>
      <c r="B48" s="3" t="n">
        <v>9.75</v>
      </c>
    </row>
    <row r="49" customFormat="false" ht="15" hidden="false" customHeight="false" outlineLevel="0" collapsed="false">
      <c r="A49" s="0" t="s">
        <v>115</v>
      </c>
      <c r="B49" s="3" t="n">
        <v>3</v>
      </c>
    </row>
    <row r="50" customFormat="false" ht="15" hidden="false" customHeight="false" outlineLevel="0" collapsed="false">
      <c r="A50" s="0" t="s">
        <v>116</v>
      </c>
      <c r="B50" s="3" t="n">
        <v>18</v>
      </c>
    </row>
    <row r="51" customFormat="false" ht="15" hidden="false" customHeight="false" outlineLevel="0" collapsed="false">
      <c r="A51" s="0" t="s">
        <v>117</v>
      </c>
      <c r="B51" s="3" t="n">
        <v>0</v>
      </c>
    </row>
    <row r="52" customFormat="false" ht="15" hidden="false" customHeight="false" outlineLevel="0" collapsed="false">
      <c r="A52" s="0" t="s">
        <v>118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1</v>
      </c>
      <c r="D5" s="4" t="n">
        <f aca="false">Assumptions!D13</f>
        <v>1</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279000</v>
      </c>
      <c r="C6" s="0" t="n">
        <f aca="false">B6*(1+C5/100)</f>
        <v>281790</v>
      </c>
      <c r="D6" s="0" t="n">
        <f aca="false">C6*(1+D5/100)</f>
        <v>284607.9</v>
      </c>
      <c r="E6" s="0" t="n">
        <f aca="false">D6*(1+E5/100)</f>
        <v>288877.0185</v>
      </c>
      <c r="F6" s="0" t="n">
        <f aca="false">E6*(1+F5/100)</f>
        <v>294654.55887</v>
      </c>
      <c r="G6" s="0" t="n">
        <f aca="false">F6*(1+G5/100)</f>
        <v>300547.6500474</v>
      </c>
      <c r="H6" s="0" t="n">
        <f aca="false">G6*(1+H5/100)</f>
        <v>306558.603048348</v>
      </c>
      <c r="I6" s="0" t="n">
        <f aca="false">H6*(1+I5/100)</f>
        <v>312689.775109315</v>
      </c>
      <c r="J6" s="0" t="n">
        <f aca="false">I6*(1+J5/100)</f>
        <v>318943.570611501</v>
      </c>
      <c r="K6" s="0" t="n">
        <f aca="false">J6*(1+K5/100)</f>
        <v>325322.442023731</v>
      </c>
      <c r="L6" s="0" t="n">
        <f aca="false">K6*(1+L5/100)</f>
        <v>331828.890864206</v>
      </c>
    </row>
    <row r="7" customFormat="false" ht="15" hidden="false" customHeight="false" outlineLevel="0" collapsed="false">
      <c r="A7" s="0" t="s">
        <v>108</v>
      </c>
      <c r="C7" s="4" t="n">
        <f aca="false">Assumptions!C14</f>
        <v>37</v>
      </c>
      <c r="D7" s="4" t="n">
        <f aca="false">Assumptions!D14</f>
        <v>36</v>
      </c>
      <c r="E7" s="4" t="n">
        <f aca="false">Assumptions!E14</f>
        <v>36</v>
      </c>
      <c r="F7" s="4" t="n">
        <f aca="false">Assumptions!F14</f>
        <v>36</v>
      </c>
      <c r="G7" s="4" t="n">
        <f aca="false">Assumptions!G14</f>
        <v>36</v>
      </c>
      <c r="H7" s="4" t="n">
        <f aca="false">Assumptions!H14</f>
        <v>36</v>
      </c>
      <c r="I7" s="4" t="n">
        <f aca="false">Assumptions!I14</f>
        <v>36</v>
      </c>
      <c r="J7" s="4" t="n">
        <f aca="false">Assumptions!J14</f>
        <v>36</v>
      </c>
      <c r="K7" s="4" t="n">
        <f aca="false">Assumptions!K14</f>
        <v>36</v>
      </c>
      <c r="L7" s="4" t="n">
        <f aca="false">Assumptions!L14</f>
        <v>36</v>
      </c>
    </row>
    <row r="8" customFormat="false" ht="15" hidden="false" customHeight="false" outlineLevel="0" collapsed="false">
      <c r="A8" s="0" t="s">
        <v>44</v>
      </c>
      <c r="C8" s="0" t="n">
        <f aca="false">C6*C7/100</f>
        <v>104262.3</v>
      </c>
      <c r="D8" s="0" t="n">
        <f aca="false">D6*D7/100</f>
        <v>102458.844</v>
      </c>
      <c r="E8" s="0" t="n">
        <f aca="false">E6*E7/100</f>
        <v>103995.72666</v>
      </c>
      <c r="F8" s="0" t="n">
        <f aca="false">F6*F7/100</f>
        <v>106075.6411932</v>
      </c>
      <c r="G8" s="0" t="n">
        <f aca="false">G6*G7/100</f>
        <v>108197.154017064</v>
      </c>
      <c r="H8" s="0" t="n">
        <f aca="false">H6*H7/100</f>
        <v>110361.097097405</v>
      </c>
      <c r="I8" s="0" t="n">
        <f aca="false">I6*I7/100</f>
        <v>112568.319039353</v>
      </c>
      <c r="J8" s="0" t="n">
        <f aca="false">J6*J7/100</f>
        <v>114819.68542014</v>
      </c>
      <c r="K8" s="0" t="n">
        <f aca="false">K6*K7/100</f>
        <v>117116.079128543</v>
      </c>
      <c r="L8" s="0" t="n">
        <f aca="false">L6*L7/100</f>
        <v>119458.400711114</v>
      </c>
    </row>
    <row r="9" customFormat="false" ht="15" hidden="false" customHeight="false" outlineLevel="0" collapsed="false">
      <c r="A9" s="0" t="s">
        <v>109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104262.3</v>
      </c>
      <c r="D11" s="0" t="n">
        <f aca="false">D8+D10+D24</f>
        <v>102458.844</v>
      </c>
      <c r="E11" s="0" t="n">
        <f aca="false">E8+E10+E24</f>
        <v>103995.72666</v>
      </c>
      <c r="F11" s="0" t="n">
        <f aca="false">F8+F10+F24</f>
        <v>106075.6411932</v>
      </c>
      <c r="G11" s="0" t="n">
        <f aca="false">G8+G10+G24</f>
        <v>108197.154017064</v>
      </c>
      <c r="H11" s="0" t="n">
        <f aca="false">H8+H10+H24</f>
        <v>110361.097097405</v>
      </c>
      <c r="I11" s="0" t="n">
        <f aca="false">I8+I10+I24</f>
        <v>112568.319039353</v>
      </c>
      <c r="J11" s="0" t="n">
        <f aca="false">J8+J10+J24</f>
        <v>114819.68542014</v>
      </c>
      <c r="K11" s="0" t="n">
        <f aca="false">K8+K10+K24</f>
        <v>117116.079128543</v>
      </c>
      <c r="L11" s="0" t="n">
        <f aca="false">L8+L10+L24</f>
        <v>119458.400711114</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104262.3</v>
      </c>
      <c r="D13" s="0" t="n">
        <f aca="false">D11+D12</f>
        <v>102458.844</v>
      </c>
      <c r="E13" s="0" t="n">
        <f aca="false">E11+E12</f>
        <v>103995.72666</v>
      </c>
      <c r="F13" s="0" t="n">
        <f aca="false">F11+F12</f>
        <v>106075.6411932</v>
      </c>
      <c r="G13" s="0" t="n">
        <f aca="false">G11+G12</f>
        <v>108197.154017064</v>
      </c>
      <c r="H13" s="0" t="n">
        <f aca="false">H11+H12</f>
        <v>110361.097097405</v>
      </c>
      <c r="I13" s="0" t="n">
        <f aca="false">I11+I12</f>
        <v>112568.319039353</v>
      </c>
      <c r="J13" s="0" t="n">
        <f aca="false">J11+J12</f>
        <v>114819.68542014</v>
      </c>
      <c r="K13" s="0" t="n">
        <f aca="false">K11+K12</f>
        <v>117116.079128543</v>
      </c>
      <c r="L13" s="0" t="n">
        <f aca="false">L11+L12</f>
        <v>119458.400711114</v>
      </c>
    </row>
    <row r="14" customFormat="false" ht="15" hidden="false" customHeight="false" outlineLevel="0" collapsed="false">
      <c r="A14" s="0" t="s">
        <v>113</v>
      </c>
      <c r="C14" s="4" t="n">
        <f aca="false">Assumptions!C19</f>
        <v>16</v>
      </c>
      <c r="D14" s="4" t="n">
        <f aca="false">Assumptions!D19</f>
        <v>16</v>
      </c>
      <c r="E14" s="4" t="n">
        <f aca="false">Assumptions!E19</f>
        <v>16</v>
      </c>
      <c r="F14" s="4" t="n">
        <f aca="false">Assumptions!F19</f>
        <v>16</v>
      </c>
      <c r="G14" s="4" t="n">
        <f aca="false">Assumptions!G19</f>
        <v>16</v>
      </c>
      <c r="H14" s="4" t="n">
        <f aca="false">Assumptions!H19</f>
        <v>16</v>
      </c>
      <c r="I14" s="4" t="n">
        <f aca="false">Assumptions!I19</f>
        <v>16</v>
      </c>
      <c r="J14" s="4" t="n">
        <f aca="false">Assumptions!J19</f>
        <v>16</v>
      </c>
      <c r="K14" s="4" t="n">
        <f aca="false">Assumptions!K19</f>
        <v>16</v>
      </c>
      <c r="L14" s="4" t="n">
        <f aca="false">Assumptions!L19</f>
        <v>16</v>
      </c>
    </row>
    <row r="15" customFormat="false" ht="15" hidden="false" customHeight="false" outlineLevel="0" collapsed="false">
      <c r="A15" s="0" t="s">
        <v>128</v>
      </c>
      <c r="C15" s="0" t="n">
        <f aca="false">C13-MAX(0,C13)*C14/100</f>
        <v>87580.332</v>
      </c>
      <c r="D15" s="0" t="n">
        <f aca="false">D13-MAX(0,D13)*D14/100</f>
        <v>86065.42896</v>
      </c>
      <c r="E15" s="0" t="n">
        <f aca="false">E13-MAX(0,E13)*E14/100</f>
        <v>87356.4103944</v>
      </c>
      <c r="F15" s="0" t="n">
        <f aca="false">F13-MAX(0,F13)*F14/100</f>
        <v>89103.538602288</v>
      </c>
      <c r="G15" s="0" t="n">
        <f aca="false">G13-MAX(0,G13)*G14/100</f>
        <v>90885.6093743338</v>
      </c>
      <c r="H15" s="0" t="n">
        <f aca="false">H13-MAX(0,H13)*H14/100</f>
        <v>92703.3215618204</v>
      </c>
      <c r="I15" s="0" t="n">
        <f aca="false">I13-MAX(0,I13)*I14/100</f>
        <v>94557.3879930569</v>
      </c>
      <c r="J15" s="0" t="n">
        <f aca="false">J13-MAX(0,J13)*J14/100</f>
        <v>96448.535752918</v>
      </c>
      <c r="K15" s="0" t="n">
        <f aca="false">K13-MAX(0,K13)*K14/100</f>
        <v>98377.5064679764</v>
      </c>
      <c r="L15" s="0" t="n">
        <f aca="false">L13-MAX(0,L13)*L14/100</f>
        <v>100345.056597336</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-81719.1</v>
      </c>
      <c r="D17" s="4" t="n">
        <f aca="false">-D6*Assumptions!D18/100</f>
        <v>-81113.2515</v>
      </c>
      <c r="E17" s="4" t="n">
        <f aca="false">-E6*Assumptions!E18/100</f>
        <v>-79730.057106</v>
      </c>
      <c r="F17" s="4" t="n">
        <f aca="false">-F6*Assumptions!F18/100</f>
        <v>-77494.14898281</v>
      </c>
      <c r="G17" s="4" t="n">
        <f aca="false">-G6*Assumptions!G18/100</f>
        <v>-74235.2695617078</v>
      </c>
      <c r="H17" s="4" t="n">
        <f aca="false">-H6*Assumptions!H18/100</f>
        <v>-70201.9200980717</v>
      </c>
      <c r="I17" s="4" t="n">
        <f aca="false">-I6*Assumptions!I18/100</f>
        <v>-65352.1629978468</v>
      </c>
      <c r="J17" s="4" t="n">
        <f aca="false">-J6*Assumptions!J18/100</f>
        <v>-59323.5041337393</v>
      </c>
      <c r="K17" s="4" t="n">
        <f aca="false">-K6*Assumptions!K18/100</f>
        <v>-52702.2356078445</v>
      </c>
      <c r="L17" s="4" t="n">
        <f aca="false">-L6*Assumptions!L18/100</f>
        <v>-54419.9381017298</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5861.23199999999</v>
      </c>
      <c r="D19" s="0" t="n">
        <f aca="false">D15+D16+D17+D18</f>
        <v>4952.17745999999</v>
      </c>
      <c r="E19" s="0" t="n">
        <f aca="false">E15+E16+E17+E18</f>
        <v>7626.3532884</v>
      </c>
      <c r="F19" s="0" t="n">
        <f aca="false">F15+F16+F17+F18</f>
        <v>11609.389619478</v>
      </c>
      <c r="G19" s="0" t="n">
        <f aca="false">G15+G16+G17+G18</f>
        <v>16650.339812626</v>
      </c>
      <c r="H19" s="0" t="n">
        <f aca="false">H15+H16+H17+H18</f>
        <v>22501.4014637487</v>
      </c>
      <c r="I19" s="0" t="n">
        <f aca="false">I15+I16+I17+I18</f>
        <v>29205.22499521</v>
      </c>
      <c r="J19" s="0" t="n">
        <f aca="false">J15+J16+J17+J18</f>
        <v>37125.0316191787</v>
      </c>
      <c r="K19" s="0" t="n">
        <f aca="false">K15+K16+K17+K18</f>
        <v>45675.2708601319</v>
      </c>
      <c r="L19" s="0" t="n">
        <f aca="false">L15+L16+L17+L18</f>
        <v>45925.1184956061</v>
      </c>
    </row>
    <row r="20" customFormat="false" ht="15" hidden="false" customHeight="false" outlineLevel="0" collapsed="false">
      <c r="A20" s="0" t="s">
        <v>133</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134</v>
      </c>
      <c r="C21" s="0" t="n">
        <f aca="false">C19*C20</f>
        <v>5340.53029612755</v>
      </c>
      <c r="D21" s="0" t="n">
        <f aca="false">D19*D20</f>
        <v>4111.37547854151</v>
      </c>
      <c r="E21" s="0" t="n">
        <f aca="false">E19*E20</f>
        <v>5769.03711795348</v>
      </c>
      <c r="F21" s="0" t="n">
        <f aca="false">F19*F20</f>
        <v>8001.86593830035</v>
      </c>
      <c r="G21" s="0" t="n">
        <f aca="false">G19*G20</f>
        <v>10456.8398515657</v>
      </c>
      <c r="H21" s="0" t="n">
        <f aca="false">H19*H20</f>
        <v>12876.0423017034</v>
      </c>
      <c r="I21" s="0" t="n">
        <f aca="false">I19*I20</f>
        <v>15227.5086181584</v>
      </c>
      <c r="J21" s="0" t="n">
        <f aca="false">J19*J20</f>
        <v>17637.2390357364</v>
      </c>
      <c r="K21" s="0" t="n">
        <f aca="false">K19*K20</f>
        <v>19771.5342415967</v>
      </c>
      <c r="L21" s="0" t="n">
        <f aca="false">L19*L20</f>
        <v>18113.6093155107</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9.75</v>
      </c>
    </row>
    <row r="28" customFormat="false" ht="15" hidden="false" customHeight="false" outlineLevel="0" collapsed="false">
      <c r="A28" s="0" t="s">
        <v>115</v>
      </c>
      <c r="B28" s="4" t="n">
        <f aca="false">Assumptions!$B$21</f>
        <v>2.5</v>
      </c>
    </row>
    <row r="29" customFormat="false" ht="15" hidden="false" customHeight="false" outlineLevel="0" collapsed="false">
      <c r="A29" s="0" t="s">
        <v>116</v>
      </c>
      <c r="B29" s="4" t="n">
        <f aca="false">Assumptions!$B$22</f>
        <v>18</v>
      </c>
    </row>
    <row r="30" customFormat="false" ht="15" hidden="false" customHeight="false" outlineLevel="0" collapsed="false">
      <c r="A30" s="0" t="s">
        <v>137</v>
      </c>
      <c r="B30" s="0" t="n">
        <f aca="false">SUM(C21:L21)</f>
        <v>117305.582195194</v>
      </c>
    </row>
    <row r="31" customFormat="false" ht="15" hidden="false" customHeight="false" outlineLevel="0" collapsed="false">
      <c r="A31" s="0" t="s">
        <v>138</v>
      </c>
      <c r="B31" s="0" t="n">
        <f aca="false">L19</f>
        <v>45925.1184956061</v>
      </c>
    </row>
    <row r="32" customFormat="false" ht="15" hidden="false" customHeight="false" outlineLevel="0" collapsed="false">
      <c r="A32" s="0" t="s">
        <v>139</v>
      </c>
      <c r="B32" s="0" t="n">
        <f aca="false">IF(B27&gt;B28,B31*(1+B28/100)/((B27-B28)/100),B31*B29)</f>
        <v>649286.158041328</v>
      </c>
    </row>
    <row r="33" customFormat="false" ht="15" hidden="false" customHeight="false" outlineLevel="0" collapsed="false">
      <c r="A33" s="0" t="s">
        <v>140</v>
      </c>
      <c r="B33" s="0" t="n">
        <f aca="false">B31*B29</f>
        <v>826652.13292091</v>
      </c>
    </row>
    <row r="34" customFormat="false" ht="15" hidden="false" customHeight="false" outlineLevel="0" collapsed="false">
      <c r="A34" s="0" t="s">
        <v>141</v>
      </c>
      <c r="B34" s="0" t="n">
        <f aca="false">MAX(0,MIN(B32,B33))</f>
        <v>649286.158041328</v>
      </c>
    </row>
    <row r="35" customFormat="false" ht="15" hidden="false" customHeight="false" outlineLevel="0" collapsed="false">
      <c r="A35" s="0" t="s">
        <v>142</v>
      </c>
      <c r="B35" s="0" t="n">
        <f aca="false">B34/(1+B27/100)^L4</f>
        <v>256088.959288254</v>
      </c>
    </row>
    <row r="36" customFormat="false" ht="15" hidden="false" customHeight="false" outlineLevel="0" collapsed="false">
      <c r="A36" s="0" t="s">
        <v>143</v>
      </c>
      <c r="B36" s="0" t="n">
        <f aca="false">B30+B35</f>
        <v>373394.541483448</v>
      </c>
    </row>
    <row r="37" customFormat="false" ht="15" hidden="false" customHeight="false" outlineLevel="0" collapsed="false">
      <c r="A37" s="0" t="s">
        <v>144</v>
      </c>
      <c r="B37" s="0" t="n">
        <f aca="false">B36+Assumptions!$B$5-Assumptions!$B$4</f>
        <v>373394.541483448</v>
      </c>
    </row>
    <row r="38" customFormat="false" ht="15" hidden="false" customHeight="false" outlineLevel="0" collapsed="false">
      <c r="A38" s="0" t="s">
        <v>145</v>
      </c>
      <c r="B38" s="0" t="n">
        <f aca="false">B37/Assumptions!$B$3*Assumptions!$B$10</f>
        <v>4.96428304891986</v>
      </c>
    </row>
    <row r="39" customFormat="false" ht="15" hidden="false" customHeight="false" outlineLevel="0" collapsed="false">
      <c r="A39" s="0" t="s">
        <v>146</v>
      </c>
      <c r="B39" s="4" t="n">
        <f aca="false">B38/Assumptions!$B$2-1</f>
        <v>-0.403331364312517</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4.96428304891986</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376585.97166397</v>
      </c>
    </row>
    <row r="47" customFormat="false" ht="15" hidden="false" customHeight="false" outlineLevel="0" collapsed="false">
      <c r="A47" s="0" t="s">
        <v>151</v>
      </c>
      <c r="B47" s="0" t="n">
        <f aca="false">(SUMPRODUCT(C19:L19/(1+B45/100)^C4:L4)+B46/(1+B45/100)^L4+Assumptions!$B$5-Assumptions!$B$4)/Assumptions!$B$3*Assumptions!$B$10</f>
        <v>2.38030061234717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279000</v>
      </c>
      <c r="C6" s="0" t="n">
        <f aca="false">B6*(1+C5/100)</f>
        <v>290160</v>
      </c>
      <c r="D6" s="0" t="n">
        <f aca="false">C6*(1+D5/100)</f>
        <v>301766.4</v>
      </c>
      <c r="E6" s="0" t="n">
        <f aca="false">D6*(1+E5/100)</f>
        <v>312328.224</v>
      </c>
      <c r="F6" s="0" t="n">
        <f aca="false">E6*(1+F5/100)</f>
        <v>323259.71184</v>
      </c>
      <c r="G6" s="0" t="n">
        <f aca="false">F6*(1+G5/100)</f>
        <v>332957.5031952</v>
      </c>
      <c r="H6" s="0" t="n">
        <f aca="false">G6*(1+H5/100)</f>
        <v>342946.228291056</v>
      </c>
      <c r="I6" s="0" t="n">
        <f aca="false">H6*(1+I5/100)</f>
        <v>353234.615139788</v>
      </c>
      <c r="J6" s="0" t="n">
        <f aca="false">I6*(1+J5/100)</f>
        <v>363831.653593981</v>
      </c>
      <c r="K6" s="0" t="n">
        <f aca="false">J6*(1+K5/100)</f>
        <v>374746.603201801</v>
      </c>
      <c r="L6" s="0" t="n">
        <f aca="false">K6*(1+L5/100)</f>
        <v>385989.001297855</v>
      </c>
    </row>
    <row r="7" customFormat="false" ht="15" hidden="false" customHeight="false" outlineLevel="0" collapsed="false">
      <c r="A7" s="0" t="s">
        <v>108</v>
      </c>
      <c r="C7" s="4" t="n">
        <f aca="false">Assumptions!C28</f>
        <v>39.5</v>
      </c>
      <c r="D7" s="4" t="n">
        <f aca="false">Assumptions!D28</f>
        <v>39.5</v>
      </c>
      <c r="E7" s="4" t="n">
        <f aca="false">Assumptions!E28</f>
        <v>39.5</v>
      </c>
      <c r="F7" s="4" t="n">
        <f aca="false">Assumptions!F28</f>
        <v>39.5</v>
      </c>
      <c r="G7" s="4" t="n">
        <f aca="false">Assumptions!G28</f>
        <v>39.5</v>
      </c>
      <c r="H7" s="4" t="n">
        <f aca="false">Assumptions!H28</f>
        <v>39.5</v>
      </c>
      <c r="I7" s="4" t="n">
        <f aca="false">Assumptions!I28</f>
        <v>39.5</v>
      </c>
      <c r="J7" s="4" t="n">
        <f aca="false">Assumptions!J28</f>
        <v>39.5</v>
      </c>
      <c r="K7" s="4" t="n">
        <f aca="false">Assumptions!K28</f>
        <v>39.5</v>
      </c>
      <c r="L7" s="4" t="n">
        <f aca="false">Assumptions!L28</f>
        <v>39.5</v>
      </c>
    </row>
    <row r="8" customFormat="false" ht="15" hidden="false" customHeight="false" outlineLevel="0" collapsed="false">
      <c r="A8" s="0" t="s">
        <v>44</v>
      </c>
      <c r="C8" s="0" t="n">
        <f aca="false">C6*C7/100</f>
        <v>114613.2</v>
      </c>
      <c r="D8" s="0" t="n">
        <f aca="false">D6*D7/100</f>
        <v>119197.728</v>
      </c>
      <c r="E8" s="0" t="n">
        <f aca="false">E6*E7/100</f>
        <v>123369.64848</v>
      </c>
      <c r="F8" s="0" t="n">
        <f aca="false">F6*F7/100</f>
        <v>127687.5861768</v>
      </c>
      <c r="G8" s="0" t="n">
        <f aca="false">G6*G7/100</f>
        <v>131518.213762104</v>
      </c>
      <c r="H8" s="0" t="n">
        <f aca="false">H6*H7/100</f>
        <v>135463.760174967</v>
      </c>
      <c r="I8" s="0" t="n">
        <f aca="false">I6*I7/100</f>
        <v>139527.672980216</v>
      </c>
      <c r="J8" s="0" t="n">
        <f aca="false">J6*J7/100</f>
        <v>143713.503169623</v>
      </c>
      <c r="K8" s="0" t="n">
        <f aca="false">K6*K7/100</f>
        <v>148024.908264711</v>
      </c>
      <c r="L8" s="0" t="n">
        <f aca="false">L6*L7/100</f>
        <v>152465.655512653</v>
      </c>
    </row>
    <row r="9" customFormat="false" ht="15" hidden="false" customHeight="false" outlineLevel="0" collapsed="false">
      <c r="A9" s="0" t="s">
        <v>109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114613.2</v>
      </c>
      <c r="D11" s="0" t="n">
        <f aca="false">D8+D10+D24</f>
        <v>119197.728</v>
      </c>
      <c r="E11" s="0" t="n">
        <f aca="false">E8+E10+E24</f>
        <v>123369.64848</v>
      </c>
      <c r="F11" s="0" t="n">
        <f aca="false">F8+F10+F24</f>
        <v>127687.5861768</v>
      </c>
      <c r="G11" s="0" t="n">
        <f aca="false">G8+G10+G24</f>
        <v>131518.213762104</v>
      </c>
      <c r="H11" s="0" t="n">
        <f aca="false">H8+H10+H24</f>
        <v>135463.760174967</v>
      </c>
      <c r="I11" s="0" t="n">
        <f aca="false">I8+I10+I24</f>
        <v>139527.672980216</v>
      </c>
      <c r="J11" s="0" t="n">
        <f aca="false">J8+J10+J24</f>
        <v>143713.503169623</v>
      </c>
      <c r="K11" s="0" t="n">
        <f aca="false">K8+K10+K24</f>
        <v>148024.908264711</v>
      </c>
      <c r="L11" s="0" t="n">
        <f aca="false">L8+L10+L24</f>
        <v>152465.655512653</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114613.2</v>
      </c>
      <c r="D13" s="0" t="n">
        <f aca="false">D11+D12</f>
        <v>119197.728</v>
      </c>
      <c r="E13" s="0" t="n">
        <f aca="false">E11+E12</f>
        <v>123369.64848</v>
      </c>
      <c r="F13" s="0" t="n">
        <f aca="false">F11+F12</f>
        <v>127687.5861768</v>
      </c>
      <c r="G13" s="0" t="n">
        <f aca="false">G11+G12</f>
        <v>131518.213762104</v>
      </c>
      <c r="H13" s="0" t="n">
        <f aca="false">H11+H12</f>
        <v>135463.760174967</v>
      </c>
      <c r="I13" s="0" t="n">
        <f aca="false">I11+I12</f>
        <v>139527.672980216</v>
      </c>
      <c r="J13" s="0" t="n">
        <f aca="false">J11+J12</f>
        <v>143713.503169623</v>
      </c>
      <c r="K13" s="0" t="n">
        <f aca="false">K11+K12</f>
        <v>148024.908264711</v>
      </c>
      <c r="L13" s="0" t="n">
        <f aca="false">L11+L12</f>
        <v>152465.655512653</v>
      </c>
    </row>
    <row r="14" customFormat="false" ht="15" hidden="false" customHeight="false" outlineLevel="0" collapsed="false">
      <c r="A14" s="0" t="s">
        <v>113</v>
      </c>
      <c r="C14" s="4" t="n">
        <f aca="false">Assumptions!C33</f>
        <v>15.5</v>
      </c>
      <c r="D14" s="4" t="n">
        <f aca="false">Assumptions!D33</f>
        <v>15.5</v>
      </c>
      <c r="E14" s="4" t="n">
        <f aca="false">Assumptions!E33</f>
        <v>15.5</v>
      </c>
      <c r="F14" s="4" t="n">
        <f aca="false">Assumptions!F33</f>
        <v>15.5</v>
      </c>
      <c r="G14" s="4" t="n">
        <f aca="false">Assumptions!G33</f>
        <v>15.5</v>
      </c>
      <c r="H14" s="4" t="n">
        <f aca="false">Assumptions!H33</f>
        <v>15.5</v>
      </c>
      <c r="I14" s="4" t="n">
        <f aca="false">Assumptions!I33</f>
        <v>15.5</v>
      </c>
      <c r="J14" s="4" t="n">
        <f aca="false">Assumptions!J33</f>
        <v>15.5</v>
      </c>
      <c r="K14" s="4" t="n">
        <f aca="false">Assumptions!K33</f>
        <v>15.5</v>
      </c>
      <c r="L14" s="4" t="n">
        <f aca="false">Assumptions!L33</f>
        <v>15.5</v>
      </c>
    </row>
    <row r="15" customFormat="false" ht="15" hidden="false" customHeight="false" outlineLevel="0" collapsed="false">
      <c r="A15" s="0" t="s">
        <v>128</v>
      </c>
      <c r="C15" s="0" t="n">
        <f aca="false">C13-MAX(0,C13)*C14/100</f>
        <v>96848.154</v>
      </c>
      <c r="D15" s="0" t="n">
        <f aca="false">D13-MAX(0,D13)*D14/100</f>
        <v>100722.08016</v>
      </c>
      <c r="E15" s="0" t="n">
        <f aca="false">E13-MAX(0,E13)*E14/100</f>
        <v>104247.3529656</v>
      </c>
      <c r="F15" s="0" t="n">
        <f aca="false">F13-MAX(0,F13)*F14/100</f>
        <v>107896.010319396</v>
      </c>
      <c r="G15" s="0" t="n">
        <f aca="false">G13-MAX(0,G13)*G14/100</f>
        <v>111132.890628978</v>
      </c>
      <c r="H15" s="0" t="n">
        <f aca="false">H13-MAX(0,H13)*H14/100</f>
        <v>114466.877347847</v>
      </c>
      <c r="I15" s="0" t="n">
        <f aca="false">I13-MAX(0,I13)*I14/100</f>
        <v>117900.883668283</v>
      </c>
      <c r="J15" s="0" t="n">
        <f aca="false">J13-MAX(0,J13)*J14/100</f>
        <v>121437.910178331</v>
      </c>
      <c r="K15" s="0" t="n">
        <f aca="false">K13-MAX(0,K13)*K14/100</f>
        <v>125081.047483681</v>
      </c>
      <c r="L15" s="0" t="n">
        <f aca="false">L13-MAX(0,L13)*L14/100</f>
        <v>128833.478908191</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-69928.56</v>
      </c>
      <c r="D17" s="4" t="n">
        <f aca="false">-D6*Assumptions!D32/100</f>
        <v>-67897.44</v>
      </c>
      <c r="E17" s="4" t="n">
        <f aca="false">-E6*Assumptions!E32/100</f>
        <v>-65276.598816</v>
      </c>
      <c r="F17" s="4" t="n">
        <f aca="false">-F6*Assumptions!F32/100</f>
        <v>-61742.60496144</v>
      </c>
      <c r="G17" s="4" t="n">
        <f aca="false">-G6*Assumptions!G32/100</f>
        <v>-57268.6905495744</v>
      </c>
      <c r="H17" s="4" t="n">
        <f aca="false">-H6*Assumptions!H32/100</f>
        <v>-59672.6437226437</v>
      </c>
      <c r="I17" s="4" t="n">
        <f aca="false">-I6*Assumptions!I32/100</f>
        <v>-54044.8961163875</v>
      </c>
      <c r="J17" s="4" t="n">
        <f aca="false">-J6*Assumptions!J32/100</f>
        <v>-56030.0746534731</v>
      </c>
      <c r="K17" s="4" t="n">
        <f aca="false">-K6*Assumptions!K32/100</f>
        <v>-49841.2982258395</v>
      </c>
      <c r="L17" s="4" t="n">
        <f aca="false">-L6*Assumptions!L32/100</f>
        <v>-51336.5371726147</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26919.594</v>
      </c>
      <c r="D19" s="0" t="n">
        <f aca="false">D15+D16+D17+D18</f>
        <v>32824.64016</v>
      </c>
      <c r="E19" s="0" t="n">
        <f aca="false">E15+E16+E17+E18</f>
        <v>38970.7541496</v>
      </c>
      <c r="F19" s="0" t="n">
        <f aca="false">F15+F16+F17+F18</f>
        <v>46153.405357956</v>
      </c>
      <c r="G19" s="0" t="n">
        <f aca="false">G15+G16+G17+G18</f>
        <v>53864.2000794035</v>
      </c>
      <c r="H19" s="0" t="n">
        <f aca="false">H15+H16+H17+H18</f>
        <v>54794.2336252035</v>
      </c>
      <c r="I19" s="0" t="n">
        <f aca="false">I15+I16+I17+I18</f>
        <v>63855.9875518951</v>
      </c>
      <c r="J19" s="0" t="n">
        <f aca="false">J15+J16+J17+J18</f>
        <v>65407.835524858</v>
      </c>
      <c r="K19" s="0" t="n">
        <f aca="false">K15+K16+K17+K18</f>
        <v>75239.7492578415</v>
      </c>
      <c r="L19" s="0" t="n">
        <f aca="false">L15+L16+L17+L18</f>
        <v>77496.9417355768</v>
      </c>
    </row>
    <row r="20" customFormat="false" ht="15" hidden="false" customHeight="false" outlineLevel="0" collapsed="false">
      <c r="A20" s="0" t="s">
        <v>133</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134</v>
      </c>
      <c r="C21" s="0" t="n">
        <f aca="false">C19*C20</f>
        <v>24528.1038724374</v>
      </c>
      <c r="D21" s="0" t="n">
        <f aca="false">D19*D20</f>
        <v>27251.5316213594</v>
      </c>
      <c r="E21" s="0" t="n">
        <f aca="false">E19*E20</f>
        <v>29479.8468811625</v>
      </c>
      <c r="F21" s="0" t="n">
        <f aca="false">F19*F20</f>
        <v>31811.608911012</v>
      </c>
      <c r="G21" s="0" t="n">
        <f aca="false">G19*G20</f>
        <v>33828.0972221299</v>
      </c>
      <c r="H21" s="0" t="n">
        <f aca="false">H19*H20</f>
        <v>31355.0634250137</v>
      </c>
      <c r="I21" s="0" t="n">
        <f aca="false">I19*I20</f>
        <v>33294.3026779276</v>
      </c>
      <c r="J21" s="0" t="n">
        <f aca="false">J19*J20</f>
        <v>31073.7413450739</v>
      </c>
      <c r="K21" s="0" t="n">
        <f aca="false">K19*K20</f>
        <v>32569.1616221817</v>
      </c>
      <c r="L21" s="0" t="n">
        <f aca="false">L19*L20</f>
        <v>30566.0468982662</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9.75</v>
      </c>
    </row>
    <row r="28" customFormat="false" ht="15" hidden="false" customHeight="false" outlineLevel="0" collapsed="false">
      <c r="A28" s="0" t="s">
        <v>115</v>
      </c>
      <c r="B28" s="4" t="n">
        <f aca="false">Assumptions!$B$35</f>
        <v>3</v>
      </c>
    </row>
    <row r="29" customFormat="false" ht="15" hidden="false" customHeight="false" outlineLevel="0" collapsed="false">
      <c r="A29" s="0" t="s">
        <v>116</v>
      </c>
      <c r="B29" s="4" t="n">
        <f aca="false">Assumptions!$B$36</f>
        <v>18</v>
      </c>
    </row>
    <row r="30" customFormat="false" ht="15" hidden="false" customHeight="false" outlineLevel="0" collapsed="false">
      <c r="A30" s="0" t="s">
        <v>137</v>
      </c>
      <c r="B30" s="0" t="n">
        <f aca="false">SUM(C21:L21)</f>
        <v>305757.504476564</v>
      </c>
    </row>
    <row r="31" customFormat="false" ht="15" hidden="false" customHeight="false" outlineLevel="0" collapsed="false">
      <c r="A31" s="0" t="s">
        <v>138</v>
      </c>
      <c r="B31" s="0" t="n">
        <f aca="false">L19</f>
        <v>77496.9417355768</v>
      </c>
    </row>
    <row r="32" customFormat="false" ht="15" hidden="false" customHeight="false" outlineLevel="0" collapsed="false">
      <c r="A32" s="0" t="s">
        <v>139</v>
      </c>
      <c r="B32" s="0" t="n">
        <f aca="false">IF(B27&gt;B28,B31*(1+B28/100)/((B27-B28)/100),B31*B29)</f>
        <v>1182545.92574287</v>
      </c>
    </row>
    <row r="33" customFormat="false" ht="15" hidden="false" customHeight="false" outlineLevel="0" collapsed="false">
      <c r="A33" s="0" t="s">
        <v>140</v>
      </c>
      <c r="B33" s="0" t="n">
        <f aca="false">B31*B29</f>
        <v>1394944.95124038</v>
      </c>
    </row>
    <row r="34" customFormat="false" ht="15" hidden="false" customHeight="false" outlineLevel="0" collapsed="false">
      <c r="A34" s="0" t="s">
        <v>141</v>
      </c>
      <c r="B34" s="0" t="n">
        <f aca="false">MAX(0,MIN(B32,B33))</f>
        <v>1182545.92574287</v>
      </c>
    </row>
    <row r="35" customFormat="false" ht="15" hidden="false" customHeight="false" outlineLevel="0" collapsed="false">
      <c r="A35" s="0" t="s">
        <v>142</v>
      </c>
      <c r="B35" s="0" t="n">
        <f aca="false">B34/(1+B27/100)^L4</f>
        <v>466415.234151321</v>
      </c>
    </row>
    <row r="36" customFormat="false" ht="15" hidden="false" customHeight="false" outlineLevel="0" collapsed="false">
      <c r="A36" s="0" t="s">
        <v>143</v>
      </c>
      <c r="B36" s="0" t="n">
        <f aca="false">B30+B35</f>
        <v>772172.738627886</v>
      </c>
    </row>
    <row r="37" customFormat="false" ht="15" hidden="false" customHeight="false" outlineLevel="0" collapsed="false">
      <c r="A37" s="0" t="s">
        <v>144</v>
      </c>
      <c r="B37" s="0" t="n">
        <f aca="false">B36+Assumptions!$B$5-Assumptions!$B$4</f>
        <v>772172.738627886</v>
      </c>
    </row>
    <row r="38" customFormat="false" ht="15" hidden="false" customHeight="false" outlineLevel="0" collapsed="false">
      <c r="A38" s="0" t="s">
        <v>145</v>
      </c>
      <c r="B38" s="0" t="n">
        <f aca="false">B37/Assumptions!$B$3*Assumptions!$B$10</f>
        <v>10.2660419779553</v>
      </c>
    </row>
    <row r="39" customFormat="false" ht="15" hidden="false" customHeight="false" outlineLevel="0" collapsed="false">
      <c r="A39" s="0" t="s">
        <v>146</v>
      </c>
      <c r="B39" s="4" t="n">
        <f aca="false">B38/Assumptions!$B$2-1</f>
        <v>0.233899276196548</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10.2660419779553</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665182.083230367</v>
      </c>
    </row>
    <row r="47" customFormat="false" ht="15" hidden="false" customHeight="false" outlineLevel="0" collapsed="false">
      <c r="A47" s="0" t="s">
        <v>151</v>
      </c>
      <c r="B47" s="0" t="n">
        <f aca="false">(SUMPRODUCT(C19:L19/(1+B45/100)^C4:L4)+B46/(1+B45/100)^L4+Assumptions!$B$5-Assumptions!$B$4)/Assumptions!$B$3*Assumptions!$B$10</f>
        <v>5.33215312286463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5.5</v>
      </c>
      <c r="D5" s="4" t="n">
        <f aca="false">Assumptions!D41</f>
        <v>5</v>
      </c>
      <c r="E5" s="4" t="n">
        <f aca="false">Assumptions!E41</f>
        <v>5</v>
      </c>
      <c r="F5" s="4" t="n">
        <f aca="false">Assumptions!F41</f>
        <v>4.5</v>
      </c>
      <c r="G5" s="4" t="n">
        <f aca="false">Assumptions!G41</f>
        <v>4</v>
      </c>
      <c r="H5" s="4" t="n">
        <f aca="false">Assumptions!H41</f>
        <v>4</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279000</v>
      </c>
      <c r="C6" s="0" t="n">
        <f aca="false">B6*(1+C5/100)</f>
        <v>294345</v>
      </c>
      <c r="D6" s="0" t="n">
        <f aca="false">C6*(1+D5/100)</f>
        <v>309062.25</v>
      </c>
      <c r="E6" s="0" t="n">
        <f aca="false">D6*(1+E5/100)</f>
        <v>324515.3625</v>
      </c>
      <c r="F6" s="0" t="n">
        <f aca="false">E6*(1+F5/100)</f>
        <v>339118.5538125</v>
      </c>
      <c r="G6" s="0" t="n">
        <f aca="false">F6*(1+G5/100)</f>
        <v>352683.295965</v>
      </c>
      <c r="H6" s="0" t="n">
        <f aca="false">G6*(1+H5/100)</f>
        <v>366790.6278036</v>
      </c>
      <c r="I6" s="0" t="n">
        <f aca="false">H6*(1+I5/100)</f>
        <v>379628.299776726</v>
      </c>
      <c r="J6" s="0" t="n">
        <f aca="false">I6*(1+J5/100)</f>
        <v>392915.290268911</v>
      </c>
      <c r="K6" s="0" t="n">
        <f aca="false">J6*(1+K5/100)</f>
        <v>406667.325428323</v>
      </c>
      <c r="L6" s="0" t="n">
        <f aca="false">K6*(1+L5/100)</f>
        <v>420900.681818315</v>
      </c>
    </row>
    <row r="7" customFormat="false" ht="15" hidden="false" customHeight="false" outlineLevel="0" collapsed="false">
      <c r="A7" s="0" t="s">
        <v>108</v>
      </c>
      <c r="C7" s="4" t="n">
        <f aca="false">Assumptions!C42</f>
        <v>40.5</v>
      </c>
      <c r="D7" s="4" t="n">
        <f aca="false">Assumptions!D42</f>
        <v>41</v>
      </c>
      <c r="E7" s="4" t="n">
        <f aca="false">Assumptions!E42</f>
        <v>41</v>
      </c>
      <c r="F7" s="4" t="n">
        <f aca="false">Assumptions!F42</f>
        <v>41.5</v>
      </c>
      <c r="G7" s="4" t="n">
        <f aca="false">Assumptions!G42</f>
        <v>41.5</v>
      </c>
      <c r="H7" s="4" t="n">
        <f aca="false">Assumptions!H42</f>
        <v>41.5</v>
      </c>
      <c r="I7" s="4" t="n">
        <f aca="false">Assumptions!I42</f>
        <v>41.5</v>
      </c>
      <c r="J7" s="4" t="n">
        <f aca="false">Assumptions!J42</f>
        <v>41.5</v>
      </c>
      <c r="K7" s="4" t="n">
        <f aca="false">Assumptions!K42</f>
        <v>41.5</v>
      </c>
      <c r="L7" s="4" t="n">
        <f aca="false">Assumptions!L42</f>
        <v>41.5</v>
      </c>
    </row>
    <row r="8" customFormat="false" ht="15" hidden="false" customHeight="false" outlineLevel="0" collapsed="false">
      <c r="A8" s="0" t="s">
        <v>44</v>
      </c>
      <c r="C8" s="0" t="n">
        <f aca="false">C6*C7/100</f>
        <v>119209.725</v>
      </c>
      <c r="D8" s="0" t="n">
        <f aca="false">D6*D7/100</f>
        <v>126715.5225</v>
      </c>
      <c r="E8" s="0" t="n">
        <f aca="false">E6*E7/100</f>
        <v>133051.298625</v>
      </c>
      <c r="F8" s="0" t="n">
        <f aca="false">F6*F7/100</f>
        <v>140734.199832187</v>
      </c>
      <c r="G8" s="0" t="n">
        <f aca="false">G6*G7/100</f>
        <v>146363.567825475</v>
      </c>
      <c r="H8" s="0" t="n">
        <f aca="false">H6*H7/100</f>
        <v>152218.110538494</v>
      </c>
      <c r="I8" s="0" t="n">
        <f aca="false">I6*I7/100</f>
        <v>157545.744407341</v>
      </c>
      <c r="J8" s="0" t="n">
        <f aca="false">J6*J7/100</f>
        <v>163059.845461598</v>
      </c>
      <c r="K8" s="0" t="n">
        <f aca="false">K6*K7/100</f>
        <v>168766.940052754</v>
      </c>
      <c r="L8" s="0" t="n">
        <f aca="false">L6*L7/100</f>
        <v>174673.782954601</v>
      </c>
    </row>
    <row r="9" customFormat="false" ht="15" hidden="false" customHeight="false" outlineLevel="0" collapsed="false">
      <c r="A9" s="0" t="s">
        <v>109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119209.725</v>
      </c>
      <c r="D11" s="0" t="n">
        <f aca="false">D8+D10+D24</f>
        <v>126715.5225</v>
      </c>
      <c r="E11" s="0" t="n">
        <f aca="false">E8+E10+E24</f>
        <v>133051.298625</v>
      </c>
      <c r="F11" s="0" t="n">
        <f aca="false">F8+F10+F24</f>
        <v>140734.199832187</v>
      </c>
      <c r="G11" s="0" t="n">
        <f aca="false">G8+G10+G24</f>
        <v>146363.567825475</v>
      </c>
      <c r="H11" s="0" t="n">
        <f aca="false">H8+H10+H24</f>
        <v>152218.110538494</v>
      </c>
      <c r="I11" s="0" t="n">
        <f aca="false">I8+I10+I24</f>
        <v>157545.744407341</v>
      </c>
      <c r="J11" s="0" t="n">
        <f aca="false">J8+J10+J24</f>
        <v>163059.845461598</v>
      </c>
      <c r="K11" s="0" t="n">
        <f aca="false">K8+K10+K24</f>
        <v>168766.940052754</v>
      </c>
      <c r="L11" s="0" t="n">
        <f aca="false">L8+L10+L24</f>
        <v>174673.782954601</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119209.725</v>
      </c>
      <c r="D13" s="0" t="n">
        <f aca="false">D11+D12</f>
        <v>126715.5225</v>
      </c>
      <c r="E13" s="0" t="n">
        <f aca="false">E11+E12</f>
        <v>133051.298625</v>
      </c>
      <c r="F13" s="0" t="n">
        <f aca="false">F11+F12</f>
        <v>140734.199832187</v>
      </c>
      <c r="G13" s="0" t="n">
        <f aca="false">G11+G12</f>
        <v>146363.567825475</v>
      </c>
      <c r="H13" s="0" t="n">
        <f aca="false">H11+H12</f>
        <v>152218.110538494</v>
      </c>
      <c r="I13" s="0" t="n">
        <f aca="false">I11+I12</f>
        <v>157545.744407341</v>
      </c>
      <c r="J13" s="0" t="n">
        <f aca="false">J11+J12</f>
        <v>163059.845461598</v>
      </c>
      <c r="K13" s="0" t="n">
        <f aca="false">K11+K12</f>
        <v>168766.940052754</v>
      </c>
      <c r="L13" s="0" t="n">
        <f aca="false">L11+L12</f>
        <v>174673.782954601</v>
      </c>
    </row>
    <row r="14" customFormat="false" ht="15" hidden="false" customHeight="false" outlineLevel="0" collapsed="false">
      <c r="A14" s="0" t="s">
        <v>113</v>
      </c>
      <c r="C14" s="4" t="n">
        <f aca="false">Assumptions!C47</f>
        <v>15</v>
      </c>
      <c r="D14" s="4" t="n">
        <f aca="false">Assumptions!D47</f>
        <v>15</v>
      </c>
      <c r="E14" s="4" t="n">
        <f aca="false">Assumptions!E47</f>
        <v>15</v>
      </c>
      <c r="F14" s="4" t="n">
        <f aca="false">Assumptions!F47</f>
        <v>15</v>
      </c>
      <c r="G14" s="4" t="n">
        <f aca="false">Assumptions!G47</f>
        <v>15</v>
      </c>
      <c r="H14" s="4" t="n">
        <f aca="false">Assumptions!H47</f>
        <v>15</v>
      </c>
      <c r="I14" s="4" t="n">
        <f aca="false">Assumptions!I47</f>
        <v>15</v>
      </c>
      <c r="J14" s="4" t="n">
        <f aca="false">Assumptions!J47</f>
        <v>15</v>
      </c>
      <c r="K14" s="4" t="n">
        <f aca="false">Assumptions!K47</f>
        <v>15</v>
      </c>
      <c r="L14" s="4" t="n">
        <f aca="false">Assumptions!L47</f>
        <v>15</v>
      </c>
    </row>
    <row r="15" customFormat="false" ht="15" hidden="false" customHeight="false" outlineLevel="0" collapsed="false">
      <c r="A15" s="0" t="s">
        <v>128</v>
      </c>
      <c r="C15" s="0" t="n">
        <f aca="false">C13-MAX(0,C13)*C14/100</f>
        <v>101328.26625</v>
      </c>
      <c r="D15" s="0" t="n">
        <f aca="false">D13-MAX(0,D13)*D14/100</f>
        <v>107708.194125</v>
      </c>
      <c r="E15" s="0" t="n">
        <f aca="false">E13-MAX(0,E13)*E14/100</f>
        <v>113093.60383125</v>
      </c>
      <c r="F15" s="0" t="n">
        <f aca="false">F13-MAX(0,F13)*F14/100</f>
        <v>119624.069857359</v>
      </c>
      <c r="G15" s="0" t="n">
        <f aca="false">G13-MAX(0,G13)*G14/100</f>
        <v>124409.032651654</v>
      </c>
      <c r="H15" s="0" t="n">
        <f aca="false">H13-MAX(0,H13)*H14/100</f>
        <v>129385.39395772</v>
      </c>
      <c r="I15" s="0" t="n">
        <f aca="false">I13-MAX(0,I13)*I14/100</f>
        <v>133913.88274624</v>
      </c>
      <c r="J15" s="0" t="n">
        <f aca="false">J13-MAX(0,J13)*J14/100</f>
        <v>138600.868642359</v>
      </c>
      <c r="K15" s="0" t="n">
        <f aca="false">K13-MAX(0,K13)*K14/100</f>
        <v>143451.899044841</v>
      </c>
      <c r="L15" s="0" t="n">
        <f aca="false">L13-MAX(0,L13)*L14/100</f>
        <v>148472.71551141</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-70054.11</v>
      </c>
      <c r="D17" s="4" t="n">
        <f aca="false">-D6*Assumptions!D46/100</f>
        <v>-67993.695</v>
      </c>
      <c r="E17" s="4" t="n">
        <f aca="false">-E6*Assumptions!E46/100</f>
        <v>-65227.5878625</v>
      </c>
      <c r="F17" s="4" t="n">
        <f aca="false">-F6*Assumptions!F46/100</f>
        <v>-61719.576793875</v>
      </c>
      <c r="G17" s="4" t="n">
        <f aca="false">-G6*Assumptions!G46/100</f>
        <v>-57134.69394633</v>
      </c>
      <c r="H17" s="4" t="n">
        <f aca="false">-H6*Assumptions!H46/100</f>
        <v>-59420.0817041832</v>
      </c>
      <c r="I17" s="4" t="n">
        <f aca="false">-I6*Assumptions!I46/100</f>
        <v>-54286.8468680718</v>
      </c>
      <c r="J17" s="4" t="n">
        <f aca="false">-J6*Assumptions!J46/100</f>
        <v>-56186.8865084543</v>
      </c>
      <c r="K17" s="4" t="n">
        <f aca="false">-K6*Assumptions!K46/100</f>
        <v>-49613.4137022554</v>
      </c>
      <c r="L17" s="4" t="n">
        <f aca="false">-L6*Assumptions!L46/100</f>
        <v>-51349.8831818344</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31274.15625</v>
      </c>
      <c r="D19" s="0" t="n">
        <f aca="false">D15+D16+D17+D18</f>
        <v>39714.499125</v>
      </c>
      <c r="E19" s="0" t="n">
        <f aca="false">E15+E16+E17+E18</f>
        <v>47866.01596875</v>
      </c>
      <c r="F19" s="0" t="n">
        <f aca="false">F15+F16+F17+F18</f>
        <v>57904.4930634844</v>
      </c>
      <c r="G19" s="0" t="n">
        <f aca="false">G15+G16+G17+G18</f>
        <v>67274.3387053238</v>
      </c>
      <c r="H19" s="0" t="n">
        <f aca="false">H15+H16+H17+H18</f>
        <v>69965.3122535367</v>
      </c>
      <c r="I19" s="0" t="n">
        <f aca="false">I15+I16+I17+I18</f>
        <v>79627.0358781683</v>
      </c>
      <c r="J19" s="0" t="n">
        <f aca="false">J15+J16+J17+J18</f>
        <v>82413.9821339042</v>
      </c>
      <c r="K19" s="0" t="n">
        <f aca="false">K15+K16+K17+K18</f>
        <v>93838.4853425856</v>
      </c>
      <c r="L19" s="0" t="n">
        <f aca="false">L15+L16+L17+L18</f>
        <v>97122.8323295761</v>
      </c>
    </row>
    <row r="20" customFormat="false" ht="15" hidden="false" customHeight="false" outlineLevel="0" collapsed="false">
      <c r="A20" s="0" t="s">
        <v>133</v>
      </c>
      <c r="C20" s="0" t="n">
        <f aca="false">1/(1+$B$27/100)^C4</f>
        <v>0.911161731207289</v>
      </c>
      <c r="D20" s="0" t="n">
        <f aca="false">1/(1+$B$27/100)^D4</f>
        <v>0.830215700416665</v>
      </c>
      <c r="E20" s="0" t="n">
        <f aca="false">1/(1+$B$27/100)^E4</f>
        <v>0.756460774867121</v>
      </c>
      <c r="F20" s="0" t="n">
        <f aca="false">1/(1+$B$27/100)^F4</f>
        <v>0.689258109218333</v>
      </c>
      <c r="G20" s="0" t="n">
        <f aca="false">1/(1+$B$27/100)^G4</f>
        <v>0.628025612044039</v>
      </c>
      <c r="H20" s="0" t="n">
        <f aca="false">1/(1+$B$27/100)^H4</f>
        <v>0.572232903912564</v>
      </c>
      <c r="I20" s="0" t="n">
        <f aca="false">1/(1+$B$27/100)^I4</f>
        <v>0.521396723382747</v>
      </c>
      <c r="J20" s="0" t="n">
        <f aca="false">1/(1+$B$27/100)^J4</f>
        <v>0.475076741123232</v>
      </c>
      <c r="K20" s="0" t="n">
        <f aca="false">1/(1+$B$27/100)^K4</f>
        <v>0.432871745898161</v>
      </c>
      <c r="L20" s="0" t="n">
        <f aca="false">1/(1+$B$27/100)^L4</f>
        <v>0.39441616938329</v>
      </c>
    </row>
    <row r="21" customFormat="false" ht="15" hidden="false" customHeight="false" outlineLevel="0" collapsed="false">
      <c r="A21" s="0" t="s">
        <v>134</v>
      </c>
      <c r="C21" s="0" t="n">
        <f aca="false">C19*C20</f>
        <v>28495.8143507973</v>
      </c>
      <c r="D21" s="0" t="n">
        <f aca="false">D19*D20</f>
        <v>32971.6007077589</v>
      </c>
      <c r="E21" s="0" t="n">
        <f aca="false">E19*E20</f>
        <v>36208.7635295226</v>
      </c>
      <c r="F21" s="0" t="n">
        <f aca="false">F19*F20</f>
        <v>39911.1414041833</v>
      </c>
      <c r="G21" s="0" t="n">
        <f aca="false">G19*G20</f>
        <v>42250.007740269</v>
      </c>
      <c r="H21" s="0" t="n">
        <f aca="false">H19*H20</f>
        <v>40036.4538039906</v>
      </c>
      <c r="I21" s="0" t="n">
        <f aca="false">I19*I20</f>
        <v>41517.2755995573</v>
      </c>
      <c r="J21" s="0" t="n">
        <f aca="false">J19*J20</f>
        <v>39152.9660551634</v>
      </c>
      <c r="K21" s="0" t="n">
        <f aca="false">K19*K20</f>
        <v>40620.028982684</v>
      </c>
      <c r="L21" s="0" t="n">
        <f aca="false">L19*L20</f>
        <v>38306.815487087</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9.75</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18</v>
      </c>
    </row>
    <row r="30" customFormat="false" ht="15" hidden="false" customHeight="false" outlineLevel="0" collapsed="false">
      <c r="A30" s="0" t="s">
        <v>137</v>
      </c>
      <c r="B30" s="0" t="n">
        <f aca="false">SUM(C21:L21)</f>
        <v>379470.867661013</v>
      </c>
    </row>
    <row r="31" customFormat="false" ht="15" hidden="false" customHeight="false" outlineLevel="0" collapsed="false">
      <c r="A31" s="0" t="s">
        <v>138</v>
      </c>
      <c r="B31" s="0" t="n">
        <f aca="false">L19</f>
        <v>97122.8323295761</v>
      </c>
    </row>
    <row r="32" customFormat="false" ht="15" hidden="false" customHeight="false" outlineLevel="0" collapsed="false">
      <c r="A32" s="0" t="s">
        <v>139</v>
      </c>
      <c r="B32" s="0" t="n">
        <f aca="false">IF(B27&gt;B28,B31*(1+B28/100)/((B27-B28)/100),B31*B29)</f>
        <v>1482022.47851057</v>
      </c>
    </row>
    <row r="33" customFormat="false" ht="15" hidden="false" customHeight="false" outlineLevel="0" collapsed="false">
      <c r="A33" s="0" t="s">
        <v>140</v>
      </c>
      <c r="B33" s="0" t="n">
        <f aca="false">B31*B29</f>
        <v>1748210.98193237</v>
      </c>
    </row>
    <row r="34" customFormat="false" ht="15" hidden="false" customHeight="false" outlineLevel="0" collapsed="false">
      <c r="A34" s="0" t="s">
        <v>141</v>
      </c>
      <c r="B34" s="0" t="n">
        <f aca="false">MAX(0,MIN(B32,B33))</f>
        <v>1482022.47851057</v>
      </c>
    </row>
    <row r="35" customFormat="false" ht="15" hidden="false" customHeight="false" outlineLevel="0" collapsed="false">
      <c r="A35" s="0" t="s">
        <v>142</v>
      </c>
      <c r="B35" s="0" t="n">
        <f aca="false">B34/(1+B27/100)^L4</f>
        <v>584533.628914068</v>
      </c>
    </row>
    <row r="36" customFormat="false" ht="15" hidden="false" customHeight="false" outlineLevel="0" collapsed="false">
      <c r="A36" s="0" t="s">
        <v>143</v>
      </c>
      <c r="B36" s="0" t="n">
        <f aca="false">B30+B35</f>
        <v>964004.496575081</v>
      </c>
    </row>
    <row r="37" customFormat="false" ht="15" hidden="false" customHeight="false" outlineLevel="0" collapsed="false">
      <c r="A37" s="0" t="s">
        <v>144</v>
      </c>
      <c r="B37" s="0" t="n">
        <f aca="false">B36+Assumptions!$B$5-Assumptions!$B$4</f>
        <v>964004.496575081</v>
      </c>
    </row>
    <row r="38" customFormat="false" ht="15" hidden="false" customHeight="false" outlineLevel="0" collapsed="false">
      <c r="A38" s="0" t="s">
        <v>145</v>
      </c>
      <c r="B38" s="0" t="n">
        <f aca="false">B37/Assumptions!$B$3*Assumptions!$B$10</f>
        <v>12.8164465458377</v>
      </c>
    </row>
    <row r="39" customFormat="false" ht="15" hidden="false" customHeight="false" outlineLevel="0" collapsed="false">
      <c r="A39" s="0" t="s">
        <v>146</v>
      </c>
      <c r="B39" s="4" t="n">
        <f aca="false">B38/Assumptions!$B$2-1</f>
        <v>0.540438286759342</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12.8164465458377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833637.644162195</v>
      </c>
    </row>
    <row r="47" customFormat="false" ht="15" hidden="false" customHeight="false" outlineLevel="0" collapsed="false">
      <c r="A47" s="0" t="s">
        <v>151</v>
      </c>
      <c r="B47" s="0" t="n">
        <f aca="false">(SUMPRODUCT(C19:L19/(1+B45/100)^C4:L4)+B46/(1+B45/100)^L4+Assumptions!$B$5-Assumptions!$B$4)/Assumptions!$B$3*Assumptions!$B$10</f>
        <v>6.63580734942664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4.96428304891986</v>
      </c>
      <c r="C4" s="0" t="n">
        <f aca="false">B4/Assumptions!$B$2-1</f>
        <v>-0.403331364312517</v>
      </c>
      <c r="D4" s="4" t="n">
        <f aca="false">Assumptions!$B$24</f>
        <v>0.3</v>
      </c>
      <c r="E4" s="4" t="n">
        <f aca="false">DCF_Bear!$B$43</f>
        <v>4.96428304891986</v>
      </c>
      <c r="F4" s="4" t="n">
        <f aca="false">DCF_Bear!$B$47</f>
        <v>2.38030061234717</v>
      </c>
    </row>
    <row r="5" customFormat="false" ht="15" hidden="false" customHeight="false" outlineLevel="0" collapsed="false">
      <c r="A5" s="0" t="s">
        <v>160</v>
      </c>
      <c r="B5" s="4" t="n">
        <f aca="false">DCF_Base!$B$38</f>
        <v>10.2660419779553</v>
      </c>
      <c r="C5" s="0" t="n">
        <f aca="false">B5/Assumptions!$B$2-1</f>
        <v>0.233899276196548</v>
      </c>
      <c r="D5" s="4" t="n">
        <f aca="false">Assumptions!$B$38</f>
        <v>0.5</v>
      </c>
      <c r="E5" s="4" t="n">
        <f aca="false">DCF_Base!$B$43</f>
        <v>10.2660419779553</v>
      </c>
      <c r="F5" s="4" t="n">
        <f aca="false">DCF_Base!$B$47</f>
        <v>5.33215312286463</v>
      </c>
    </row>
    <row r="6" customFormat="false" ht="15" hidden="false" customHeight="false" outlineLevel="0" collapsed="false">
      <c r="A6" s="0" t="s">
        <v>161</v>
      </c>
      <c r="B6" s="4" t="n">
        <f aca="false">DCF_Bull!$B$38</f>
        <v>12.8164465458377</v>
      </c>
      <c r="C6" s="0" t="n">
        <f aca="false">B6/Assumptions!$B$2-1</f>
        <v>0.540438286759342</v>
      </c>
      <c r="D6" s="4" t="n">
        <f aca="false">Assumptions!$B$52</f>
        <v>0.2</v>
      </c>
      <c r="E6" s="4" t="n">
        <f aca="false">DCF_Bull!$B$43</f>
        <v>12.8164465458377</v>
      </c>
      <c r="F6" s="4" t="n">
        <f aca="false">DCF_Bull!$B$47</f>
        <v>6.63580734942664</v>
      </c>
    </row>
    <row r="8" customFormat="false" ht="15" hidden="false" customHeight="false" outlineLevel="0" collapsed="false">
      <c r="A8" s="0" t="s">
        <v>162</v>
      </c>
      <c r="B8" s="0" t="n">
        <f aca="false">SUMPRODUCT(B4:B6,D4:D6)</f>
        <v>9.18559521282114</v>
      </c>
    </row>
    <row r="9" customFormat="false" ht="15" hidden="false" customHeight="false" outlineLevel="0" collapsed="false">
      <c r="A9" s="0" t="s">
        <v>163</v>
      </c>
      <c r="B9" s="0" t="n">
        <f aca="false">SUMPRODUCT(E4:E6,D4:D6)</f>
        <v>9.18559521282114</v>
      </c>
    </row>
    <row r="10" customFormat="false" ht="15" hidden="false" customHeight="false" outlineLevel="0" collapsed="false">
      <c r="A10" s="0" t="s">
        <v>164</v>
      </c>
      <c r="B10" s="0" t="n">
        <f aca="false">1-Assumptions!$B$2/B8</f>
        <v>0.0942339818777289</v>
      </c>
    </row>
    <row r="11" customFormat="false" ht="15" hidden="false" customHeight="false" outlineLevel="0" collapsed="false">
      <c r="A11" s="0" t="s">
        <v>165</v>
      </c>
      <c r="B11" s="0" t="str">
        <f aca="false">IF(ABS(B9-B8)&gt;0.01*ABS(B8),(Assumptions!$B$2-B8)/(B9-B8)*100,"n/a")</f>
        <v>n/a</v>
      </c>
    </row>
    <row r="12" customFormat="false" ht="15" hidden="false" customHeight="false" outlineLevel="0" collapsed="false">
      <c r="A12" s="0" t="s">
        <v>166</v>
      </c>
      <c r="B12" s="0" t="n">
        <f aca="false">SUMPRODUCT(F4:F6,D4:D6)</f>
        <v>4.70732821502179</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11.6981329343858</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10.2660419779553</v>
      </c>
      <c r="C16" s="3" t="n">
        <v>9.75</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9.85807198504594</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8.48616774807651</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7.42585883195152</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5.33215312286463</v>
      </c>
      <c r="C20" s="3" t="n">
        <v>15</v>
      </c>
    </row>
    <row r="22" customFormat="false" ht="15" hidden="false" customHeight="false" outlineLevel="0" collapsed="false">
      <c r="A22" s="2" t="s">
        <v>175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7.75</v>
      </c>
      <c r="B24" s="0" t="n">
        <f aca="false">(SUMPRODUCT(DCF_Base!$C$19:$L$19/(1+$A$24/100)^DCF_Base!$C$4:$L$4)+MAX(0,MIN(IF($A$24&gt;$B$23,DCF_Base!$L$19*(1+$B$23/100)/(($A$24-$B$23)/100),DCF_Base!$L$19*DCF_Base!$B$29),DCF_Base!$L$19*DCF_Base!$B$29))/(1+$A$24/100)^DCF_Base!$L$4+Assumptions!$B$5-Assumptions!$B$4)/Assumptions!$B$3*Assumptions!$B$10</f>
        <v>13.1817275718221</v>
      </c>
      <c r="C24" s="0" t="n">
        <f aca="false">(SUMPRODUCT(DCF_Base!$C$19:$L$19/(1+$A$24/100)^DCF_Base!$C$4:$L$4)+MAX(0,MIN(IF($A$24&gt;$C$23,DCF_Base!$L$19*(1+$C$23/100)/(($A$24-$C$23)/100),DCF_Base!$L$19*DCF_Base!$B$29),DCF_Base!$L$19*DCF_Base!$B$29))/(1+$A$24/100)^DCF_Base!$L$4+Assumptions!$B$5-Assumptions!$B$4)/Assumptions!$B$3*Assumptions!$B$10</f>
        <v>13.3091435114193</v>
      </c>
      <c r="D24" s="0" t="n">
        <f aca="false">(SUMPRODUCT(DCF_Base!$C$19:$L$19/(1+$A$24/100)^DCF_Base!$C$4:$L$4)+MAX(0,MIN(IF($A$24&gt;$D$23,DCF_Base!$L$19*(1+$D$23/100)/(($A$24-$D$23)/100),DCF_Base!$L$19*DCF_Base!$B$29),DCF_Base!$L$19*DCF_Base!$B$29))/(1+$A$24/100)^DCF_Base!$L$4+Assumptions!$B$5-Assumptions!$B$4)/Assumptions!$B$3*Assumptions!$B$10</f>
        <v>13.3091435114193</v>
      </c>
      <c r="E24" s="0" t="n">
        <f aca="false">(SUMPRODUCT(DCF_Base!$C$19:$L$19/(1+$A$24/100)^DCF_Base!$C$4:$L$4)+MAX(0,MIN(IF($A$24&gt;$E$23,DCF_Base!$L$19*(1+$E$23/100)/(($A$24-$E$23)/100),DCF_Base!$L$19*DCF_Base!$B$29),DCF_Base!$L$19*DCF_Base!$B$29))/(1+$A$24/100)^DCF_Base!$L$4+Assumptions!$B$5-Assumptions!$B$4)/Assumptions!$B$3*Assumptions!$B$10</f>
        <v>13.3091435114193</v>
      </c>
      <c r="F24" s="0" t="n">
        <f aca="false">(SUMPRODUCT(DCF_Base!$C$19:$L$19/(1+$A$24/100)^DCF_Base!$C$4:$L$4)+MAX(0,MIN(IF($A$24&gt;$F$23,DCF_Base!$L$19*(1+$F$23/100)/(($A$24-$F$23)/100),DCF_Base!$L$19*DCF_Base!$B$29),DCF_Base!$L$19*DCF_Base!$B$29))/(1+$A$24/100)^DCF_Base!$L$4+Assumptions!$B$5-Assumptions!$B$4)/Assumptions!$B$3*Assumptions!$B$10</f>
        <v>13.3091435114193</v>
      </c>
    </row>
    <row r="25" customFormat="false" ht="15" hidden="false" customHeight="false" outlineLevel="0" collapsed="false">
      <c r="A25" s="3" t="n">
        <v>8.75</v>
      </c>
      <c r="B25" s="0" t="n">
        <f aca="false">(SUMPRODUCT(DCF_Base!$C$19:$L$19/(1+$A$25/100)^DCF_Base!$C$4:$L$4)+MAX(0,MIN(IF($A$25&gt;$B$23,DCF_Base!$L$19*(1+$B$23/100)/(($A$25-$B$23)/100),DCF_Base!$L$19*DCF_Base!$B$29),DCF_Base!$L$19*DCF_Base!$B$29))/(1+$A$25/100)^DCF_Base!$L$4+Assumptions!$B$5-Assumptions!$B$4)/Assumptions!$B$3*Assumptions!$B$10</f>
        <v>11.0122412726192</v>
      </c>
      <c r="C25" s="0" t="n">
        <f aca="false">(SUMPRODUCT(DCF_Base!$C$19:$L$19/(1+$A$25/100)^DCF_Base!$C$4:$L$4)+MAX(0,MIN(IF($A$25&gt;$C$23,DCF_Base!$L$19*(1+$C$23/100)/(($A$25-$C$23)/100),DCF_Base!$L$19*DCF_Base!$B$29),DCF_Base!$L$19*DCF_Base!$B$29))/(1+$A$25/100)^DCF_Base!$L$4+Assumptions!$B$5-Assumptions!$B$4)/Assumptions!$B$3*Assumptions!$B$10</f>
        <v>11.5862202136333</v>
      </c>
      <c r="D25" s="0" t="n">
        <f aca="false">(SUMPRODUCT(DCF_Base!$C$19:$L$19/(1+$A$25/100)^DCF_Base!$C$4:$L$4)+MAX(0,MIN(IF($A$25&gt;$D$23,DCF_Base!$L$19*(1+$D$23/100)/(($A$25-$D$23)/100),DCF_Base!$L$19*DCF_Base!$B$29),DCF_Base!$L$19*DCF_Base!$B$29))/(1+$A$25/100)^DCF_Base!$L$4+Assumptions!$B$5-Assumptions!$B$4)/Assumptions!$B$3*Assumptions!$B$10</f>
        <v>12.2600215791716</v>
      </c>
      <c r="E25" s="0" t="n">
        <f aca="false">(SUMPRODUCT(DCF_Base!$C$19:$L$19/(1+$A$25/100)^DCF_Base!$C$4:$L$4)+MAX(0,MIN(IF($A$25&gt;$E$23,DCF_Base!$L$19*(1+$E$23/100)/(($A$25-$E$23)/100),DCF_Base!$L$19*DCF_Base!$B$29),DCF_Base!$L$19*DCF_Base!$B$29))/(1+$A$25/100)^DCF_Base!$L$4+Assumptions!$B$5-Assumptions!$B$4)/Assumptions!$B$3*Assumptions!$B$10</f>
        <v>12.2987457955819</v>
      </c>
      <c r="F25" s="0" t="n">
        <f aca="false">(SUMPRODUCT(DCF_Base!$C$19:$L$19/(1+$A$25/100)^DCF_Base!$C$4:$L$4)+MAX(0,MIN(IF($A$25&gt;$F$23,DCF_Base!$L$19*(1+$F$23/100)/(($A$25-$F$23)/100),DCF_Base!$L$19*DCF_Base!$B$29),DCF_Base!$L$19*DCF_Base!$B$29))/(1+$A$25/100)^DCF_Base!$L$4+Assumptions!$B$5-Assumptions!$B$4)/Assumptions!$B$3*Assumptions!$B$10</f>
        <v>12.2987457955819</v>
      </c>
    </row>
    <row r="26" customFormat="false" ht="15" hidden="false" customHeight="false" outlineLevel="0" collapsed="false">
      <c r="A26" s="3" t="n">
        <v>9.75</v>
      </c>
      <c r="B26" s="0" t="n">
        <f aca="false">(SUMPRODUCT(DCF_Base!$C$19:$L$19/(1+$A$26/100)^DCF_Base!$C$4:$L$4)+MAX(0,MIN(IF($A$26&gt;$B$23,DCF_Base!$L$19*(1+$B$23/100)/(($A$26-$B$23)/100),DCF_Base!$L$19*DCF_Base!$B$29),DCF_Base!$L$19*DCF_Base!$B$29))/(1+$A$26/100)^DCF_Base!$L$4+Assumptions!$B$5-Assumptions!$B$4)/Assumptions!$B$3*Assumptions!$B$10</f>
        <v>9.41347815620177</v>
      </c>
      <c r="C26" s="0" t="n">
        <f aca="false">(SUMPRODUCT(DCF_Base!$C$19:$L$19/(1+$A$26/100)^DCF_Base!$C$4:$L$4)+MAX(0,MIN(IF($A$26&gt;$C$23,DCF_Base!$L$19*(1+$C$23/100)/(($A$26-$C$23)/100),DCF_Base!$L$19*DCF_Base!$B$29),DCF_Base!$L$19*DCF_Base!$B$29))/(1+$A$26/100)^DCF_Base!$L$4+Assumptions!$B$5-Assumptions!$B$4)/Assumptions!$B$3*Assumptions!$B$10</f>
        <v>9.81036131460427</v>
      </c>
      <c r="D26" s="0" t="n">
        <f aca="false">(SUMPRODUCT(DCF_Base!$C$19:$L$19/(1+$A$26/100)^DCF_Base!$C$4:$L$4)+MAX(0,MIN(IF($A$26&gt;$D$23,DCF_Base!$L$19*(1+$D$23/100)/(($A$26-$D$23)/100),DCF_Base!$L$19*DCF_Base!$B$29),DCF_Base!$L$19*DCF_Base!$B$29))/(1+$A$26/100)^DCF_Base!$L$4+Assumptions!$B$5-Assumptions!$B$4)/Assumptions!$B$3*Assumptions!$B$10</f>
        <v>10.2660419779553</v>
      </c>
      <c r="E26" s="0" t="n">
        <f aca="false">(SUMPRODUCT(DCF_Base!$C$19:$L$19/(1+$A$26/100)^DCF_Base!$C$4:$L$4)+MAX(0,MIN(IF($A$26&gt;$E$23,DCF_Base!$L$19*(1+$E$23/100)/(($A$26-$E$23)/100),DCF_Base!$L$19*DCF_Base!$B$29),DCF_Base!$L$19*DCF_Base!$B$29))/(1+$A$26/100)^DCF_Base!$L$4+Assumptions!$B$5-Assumptions!$B$4)/Assumptions!$B$3*Assumptions!$B$10</f>
        <v>10.7946315474424</v>
      </c>
      <c r="F26" s="0" t="n">
        <f aca="false">(SUMPRODUCT(DCF_Base!$C$19:$L$19/(1+$A$26/100)^DCF_Base!$C$4:$L$4)+MAX(0,MIN(IF($A$26&gt;$F$23,DCF_Base!$L$19*(1+$F$23/100)/(($A$26-$F$23)/100),DCF_Base!$L$19*DCF_Base!$B$29),DCF_Base!$L$19*DCF_Base!$B$29))/(1+$A$26/100)^DCF_Base!$L$4+Assumptions!$B$5-Assumptions!$B$4)/Assumptions!$B$3*Assumptions!$B$10</f>
        <v>11.3798127109294</v>
      </c>
    </row>
    <row r="27" customFormat="false" ht="15" hidden="false" customHeight="false" outlineLevel="0" collapsed="false">
      <c r="A27" s="3" t="n">
        <v>10.75</v>
      </c>
      <c r="B27" s="0" t="n">
        <f aca="false">(SUMPRODUCT(DCF_Base!$C$19:$L$19/(1+$A$27/100)^DCF_Base!$C$4:$L$4)+MAX(0,MIN(IF($A$27&gt;$B$23,DCF_Base!$L$19*(1+$B$23/100)/(($A$27-$B$23)/100),DCF_Base!$L$19*DCF_Base!$B$29),DCF_Base!$L$19*DCF_Base!$B$29))/(1+$A$27/100)^DCF_Base!$L$4+Assumptions!$B$5-Assumptions!$B$4)/Assumptions!$B$3*Assumptions!$B$10</f>
        <v>8.18906233578182</v>
      </c>
      <c r="C27" s="0" t="n">
        <f aca="false">(SUMPRODUCT(DCF_Base!$C$19:$L$19/(1+$A$27/100)^DCF_Base!$C$4:$L$4)+MAX(0,MIN(IF($A$27&gt;$C$23,DCF_Base!$L$19*(1+$C$23/100)/(($A$27-$C$23)/100),DCF_Base!$L$19*DCF_Base!$B$29),DCF_Base!$L$19*DCF_Base!$B$29))/(1+$A$27/100)^DCF_Base!$L$4+Assumptions!$B$5-Assumptions!$B$4)/Assumptions!$B$3*Assumptions!$B$10</f>
        <v>8.47376237294726</v>
      </c>
      <c r="D27" s="0" t="n">
        <f aca="false">(SUMPRODUCT(DCF_Base!$C$19:$L$19/(1+$A$27/100)^DCF_Base!$C$4:$L$4)+MAX(0,MIN(IF($A$27&gt;$D$23,DCF_Base!$L$19*(1+$D$23/100)/(($A$27-$D$23)/100),DCF_Base!$L$19*DCF_Base!$B$29),DCF_Base!$L$19*DCF_Base!$B$29))/(1+$A$27/100)^DCF_Base!$L$4+Assumptions!$B$5-Assumptions!$B$4)/Assumptions!$B$3*Assumptions!$B$10</f>
        <v>8.7951978987792</v>
      </c>
      <c r="E27" s="0" t="n">
        <f aca="false">(SUMPRODUCT(DCF_Base!$C$19:$L$19/(1+$A$27/100)^DCF_Base!$C$4:$L$4)+MAX(0,MIN(IF($A$27&gt;$E$23,DCF_Base!$L$19*(1+$E$23/100)/(($A$27-$E$23)/100),DCF_Base!$L$19*DCF_Base!$B$29),DCF_Base!$L$19*DCF_Base!$B$29))/(1+$A$27/100)^DCF_Base!$L$4+Assumptions!$B$5-Assumptions!$B$4)/Assumptions!$B$3*Assumptions!$B$10</f>
        <v>9.16096935920865</v>
      </c>
      <c r="F27" s="0" t="n">
        <f aca="false">(SUMPRODUCT(DCF_Base!$C$19:$L$19/(1+$A$27/100)^DCF_Base!$C$4:$L$4)+MAX(0,MIN(IF($A$27&gt;$F$23,DCF_Base!$L$19*(1+$F$23/100)/(($A$27-$F$23)/100),DCF_Base!$L$19*DCF_Base!$B$29),DCF_Base!$L$19*DCF_Base!$B$29))/(1+$A$27/100)^DCF_Base!$L$4+Assumptions!$B$5-Assumptions!$B$4)/Assumptions!$B$3*Assumptions!$B$10</f>
        <v>9.58092918414616</v>
      </c>
    </row>
    <row r="28" customFormat="false" ht="15" hidden="false" customHeight="false" outlineLevel="0" collapsed="false">
      <c r="A28" s="3" t="n">
        <v>11.75</v>
      </c>
      <c r="B28" s="0" t="n">
        <f aca="false">(SUMPRODUCT(DCF_Base!$C$19:$L$19/(1+$A$28/100)^DCF_Base!$C$4:$L$4)+MAX(0,MIN(IF($A$28&gt;$B$23,DCF_Base!$L$19*(1+$B$23/100)/(($A$28-$B$23)/100),DCF_Base!$L$19*DCF_Base!$B$29),DCF_Base!$L$19*DCF_Base!$B$29))/(1+$A$28/100)^DCF_Base!$L$4+Assumptions!$B$5-Assumptions!$B$4)/Assumptions!$B$3*Assumptions!$B$10</f>
        <v>7.22323571569663</v>
      </c>
      <c r="C28" s="0" t="n">
        <f aca="false">(SUMPRODUCT(DCF_Base!$C$19:$L$19/(1+$A$28/100)^DCF_Base!$C$4:$L$4)+MAX(0,MIN(IF($A$28&gt;$C$23,DCF_Base!$L$19*(1+$C$23/100)/(($A$28-$C$23)/100),DCF_Base!$L$19*DCF_Base!$B$29),DCF_Base!$L$19*DCF_Base!$B$29))/(1+$A$28/100)^DCF_Base!$L$4+Assumptions!$B$5-Assumptions!$B$4)/Assumptions!$B$3*Assumptions!$B$10</f>
        <v>7.4334048836044</v>
      </c>
      <c r="D28" s="0" t="n">
        <f aca="false">(SUMPRODUCT(DCF_Base!$C$19:$L$19/(1+$A$28/100)^DCF_Base!$C$4:$L$4)+MAX(0,MIN(IF($A$28&gt;$D$23,DCF_Base!$L$19*(1+$D$23/100)/(($A$28-$D$23)/100),DCF_Base!$L$19*DCF_Base!$B$29),DCF_Base!$L$19*DCF_Base!$B$29))/(1+$A$28/100)^DCF_Base!$L$4+Assumptions!$B$5-Assumptions!$B$4)/Assumptions!$B$3*Assumptions!$B$10</f>
        <v>7.66759338498734</v>
      </c>
      <c r="E28" s="0" t="n">
        <f aca="false">(SUMPRODUCT(DCF_Base!$C$19:$L$19/(1+$A$28/100)^DCF_Base!$C$4:$L$4)+MAX(0,MIN(IF($A$28&gt;$E$23,DCF_Base!$L$19*(1+$E$23/100)/(($A$28-$E$23)/100),DCF_Base!$L$19*DCF_Base!$B$29),DCF_Base!$L$19*DCF_Base!$B$29))/(1+$A$28/100)^DCF_Base!$L$4+Assumptions!$B$5-Assumptions!$B$4)/Assumptions!$B$3*Assumptions!$B$10</f>
        <v>7.9301683713864</v>
      </c>
      <c r="F28" s="0" t="n">
        <f aca="false">(SUMPRODUCT(DCF_Base!$C$19:$L$19/(1+$A$28/100)^DCF_Base!$C$4:$L$4)+MAX(0,MIN(IF($A$28&gt;$F$23,DCF_Base!$L$19*(1+$F$23/100)/(($A$28-$F$23)/100),DCF_Base!$L$19*DCF_Base!$B$29),DCF_Base!$L$19*DCF_Base!$B$29))/(1+$A$28/100)^DCF_Base!$L$4+Assumptions!$B$5-Assumptions!$B$4)/Assumptions!$B$3*Assumptions!$B$10</f>
        <v>8.22662400119179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2026-10-22T08:31:03Z</dcterms:created>
  <dc:creator>openpyxl</dc:creator>
  <dc:description/>
  <dc:language>en-NZ</dc:language>
  <cp:lastModifiedBy/>
  <dcterms:modified xsi:type="dcterms:W3CDTF">2026-10-22T08:31:03Z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