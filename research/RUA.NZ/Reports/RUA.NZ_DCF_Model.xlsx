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cenario_Base" sheetId="4" state="visible" r:id="rId4"/>
    <sheet xmlns:r="http://schemas.openxmlformats.org/officeDocument/2006/relationships" name="Scenario_Bull" sheetId="5" state="visible" r:id="rId5"/>
    <sheet xmlns:r="http://schemas.openxmlformats.org/officeDocument/2006/relationships" name="Scenario_Bear" sheetId="6" state="visible" r:id="rId6"/>
    <sheet xmlns:r="http://schemas.openxmlformats.org/officeDocument/2006/relationships"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"/>
    <numFmt numFmtId="167" formatCode="0.0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CC"/>
    </font>
    <font>
      <color rgb="00007700"/>
    </font>
  </fonts>
  <fills count="3">
    <fill>
      <patternFill/>
    </fill>
    <fill>
      <patternFill patternType="gray125"/>
    </fill>
    <fill>
      <patternFill patternType="solid">
        <fgColor rgb="00FFF2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4" fontId="3" fillId="0" borderId="0" pivotButton="0" quotePrefix="0" xfId="0"/>
    <xf numFmtId="9" fontId="3" fillId="2" borderId="0" pivotButton="0" quotePrefix="0" xfId="0"/>
    <xf numFmtId="9" fontId="3" fillId="0" borderId="0" pivotButton="0" quotePrefix="0" xfId="0"/>
    <xf numFmtId="9" fontId="2" fillId="0" borderId="0" pivotButton="0" quotePrefix="0" xfId="0"/>
    <xf numFmtId="2" fontId="3" fillId="2" borderId="0" pivotButton="0" quotePrefix="0" xfId="0"/>
    <xf numFmtId="165" fontId="3" fillId="2" borderId="0" pivotButton="0" quotePrefix="0" xfId="0"/>
    <xf numFmtId="2" fontId="0" fillId="0" borderId="0" pivotButton="0" quotePrefix="0" xfId="0"/>
    <xf numFmtId="164" fontId="3" fillId="2" borderId="0" pivotButton="0" quotePrefix="0" xfId="0"/>
    <xf numFmtId="166" fontId="0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4" fontId="2" fillId="2" borderId="0" pivotButton="0" quotePrefix="0" xfId="0"/>
    <xf numFmtId="165" fontId="4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9" fontId="4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2" fontId="3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RUA.NZ - Rua Bioscience Limited - scenario valuation model, version 1.0 (fresh build, supersedes nothing)</t>
        </is>
      </c>
    </row>
    <row r="2">
      <c r="A2" s="2" t="inlineStr">
        <is>
          <t>Built by: dcf-analyst agent (Claude, model claude-fable-5) on 2026-08-27 at the user's request (research-stock workflow)</t>
        </is>
      </c>
    </row>
    <row r="3">
      <c r="A3" s="2" t="inlineStr">
        <is>
          <t>MODEL: probability-weighted scenario model on a forward (FY2028E) EV/Sales multiple. NOT a discounted-FCF model.</t>
        </is>
      </c>
    </row>
    <row r="4">
      <c r="A4" s="2" t="inlineStr">
        <is>
          <t>Why: owner FCF negative in every period on record (nothing to discount); book value not audit-assured (PwC disclaimer of opinion FY2024 AND FY2025); not a receivership (going concern basis, revenue +92% YoY at H1 FY2026). Routed per dcf-methods SKILL: straddles distressed / operating-company rows.</t>
        </is>
      </c>
    </row>
    <row r="5">
      <c r="A5" s="2" t="inlineStr">
        <is>
          <t>Discount rate: 28% NZD cost of equity (NZ micro-cap base ~11% + illiquidity 5% + audit-disclaimer information risk 4% + concentration 4% + pre-profitability 3%). Insolvency risk is NOT in the rate - it is the 60% branch inside the 40%-weighted bear scenario. Charged once.</t>
        </is>
      </c>
    </row>
    <row r="6">
      <c r="A6" s="2" t="inlineStr">
        <is>
          <t>Dilution is modelled explicitly per scenario: base +140m shares (NZ$3.5m at $0.025), bear recap +250m (NZ$3.0m at $0.012), bull none. Share count is NOT held flat - dilution here is rescue issuance, not SBC.</t>
        </is>
      </c>
    </row>
    <row r="7">
      <c r="A7" s="2" t="inlineStr">
        <is>
          <t>Data vintage: price NZ$0.035 at 2026-08-27T04:59:43Z (Yahoo, NZX regular close). Balance sheet 31-Dec-2025 (H1 FY2026 interim) - 8 MONTHS STALE; cash today likely lower. Shares: 339.402m ordinary (Aug-2026) + 8.733m warrants ($0.015, in the money) = 348.135m diluted. Guidance: H1 FY2026 going-concern note (signed 26-Feb-2026) + 16-Jul-2026 UK deal announcement.</t>
        </is>
      </c>
    </row>
    <row r="8">
      <c r="A8" s="2" t="inlineStr">
        <is>
          <t>Scenario drivers are the dcf-analyst agent's judgment, set 2026-08-27, following the user's framing (bear = near-total loss at meaningful weight).</t>
        </is>
      </c>
    </row>
    <row r="9">
      <c r="A9" s="2" t="inlineStr">
        <is>
          <t>REFRESH after the FY2026 annual report (~Sep/Oct 2026): cash, borrowings, share count, audit opinion (a third disclaimer would raise the bear weight), facility sale status, first UK-deal revenue evidence.</t>
        </is>
      </c>
    </row>
    <row r="10">
      <c r="A10" s="2" t="inlineStr">
        <is>
          <t>Cell legend: BLUE font = hardcoded input. YELLOW fill = key driver lever. Black = formula. GREEN font = cross-sheet link.</t>
        </is>
      </c>
    </row>
    <row r="11">
      <c r="A11" s="2" t="inlineStr">
        <is>
          <t>These figures go stale. Verify price, cash and share count before acting on any number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70" customWidth="1" min="9" max="9"/>
  </cols>
  <sheetData>
    <row r="1">
      <c r="A1" s="3" t="inlineStr">
        <is>
          <t>Metric (NZD m)</t>
        </is>
      </c>
      <c r="B1" s="3" t="inlineStr">
        <is>
          <t>FY2021</t>
        </is>
      </c>
      <c r="C1" s="3" t="inlineStr">
        <is>
          <t>FY2022</t>
        </is>
      </c>
      <c r="D1" s="3" t="inlineStr">
        <is>
          <t>FY2023</t>
        </is>
      </c>
      <c r="E1" s="3" t="inlineStr">
        <is>
          <t>FY2024</t>
        </is>
      </c>
      <c r="F1" s="3" t="inlineStr">
        <is>
          <t>FY2025</t>
        </is>
      </c>
      <c r="G1" s="3" t="inlineStr">
        <is>
          <t>H1 FY2025</t>
        </is>
      </c>
      <c r="H1" s="3" t="inlineStr">
        <is>
          <t>H1 FY2026</t>
        </is>
      </c>
      <c r="I1" s="3" t="inlineStr">
        <is>
          <t>Source note</t>
        </is>
      </c>
    </row>
    <row r="2">
      <c r="A2" t="inlineStr">
        <is>
          <t>Revenue</t>
        </is>
      </c>
      <c r="B2" s="4" t="n">
        <v>0</v>
      </c>
      <c r="C2" s="4" t="n">
        <v>0.024</v>
      </c>
      <c r="D2" s="4" t="n">
        <v>0.358</v>
      </c>
      <c r="E2" s="4" t="n">
        <v>0.08599999999999999</v>
      </c>
      <c r="F2" s="4" t="n">
        <v>1.511</v>
      </c>
      <c r="G2" s="4" t="n">
        <v>0.694</v>
      </c>
      <c r="H2" s="4" t="n">
        <v>1.334</v>
      </c>
      <c r="I2" t="inlineStr">
        <is>
          <t>Metrics.csv from core_metrics; filings in whole NZD</t>
        </is>
      </c>
    </row>
    <row r="3">
      <c r="A3" t="inlineStr">
        <is>
          <t>Net income</t>
        </is>
      </c>
      <c r="B3" s="4" t="n">
        <v>-4.418</v>
      </c>
      <c r="C3" s="4" t="n">
        <v>-8.635999999999999</v>
      </c>
      <c r="D3" s="4" t="n">
        <v>-5.959</v>
      </c>
      <c r="E3" s="4" t="n">
        <v>-13.719</v>
      </c>
      <c r="F3" s="4" t="n">
        <v>-3.456</v>
      </c>
      <c r="G3" s="4" t="n">
        <v>-1.802</v>
      </c>
      <c r="H3" s="4" t="n">
        <v>-1.793</v>
      </c>
      <c r="I3" t="inlineStr">
        <is>
          <t>FY2024 includes ~NZ$8.5m impairment</t>
        </is>
      </c>
    </row>
    <row r="4">
      <c r="A4" t="inlineStr">
        <is>
          <t>Operating cash flow</t>
        </is>
      </c>
      <c r="B4" s="4" t="n">
        <v>-4.447</v>
      </c>
      <c r="C4" s="4" t="n">
        <v>-6.845</v>
      </c>
      <c r="D4" s="4" t="n">
        <v>-5.92</v>
      </c>
      <c r="E4" s="4" t="n">
        <v>-3.736</v>
      </c>
      <c r="F4" s="4" t="n">
        <v>-2.787</v>
      </c>
      <c r="G4" s="4" t="n">
        <v>-1.943</v>
      </c>
      <c r="H4" s="4" t="n">
        <v>-1.52</v>
      </c>
      <c r="I4" t="inlineStr">
        <is>
          <t>Burn halved from FY2023 peak</t>
        </is>
      </c>
    </row>
    <row r="5">
      <c r="A5" t="inlineStr">
        <is>
          <t>Free cash flow</t>
        </is>
      </c>
      <c r="B5" s="4" t="n">
        <v>-5.849</v>
      </c>
      <c r="C5" s="4" t="n">
        <v>-7.245</v>
      </c>
      <c r="D5" s="4" t="n">
        <v>-5.994</v>
      </c>
      <c r="E5" s="4" t="n">
        <v>-3.738</v>
      </c>
      <c r="F5" s="4" t="n">
        <v>-2.791</v>
      </c>
      <c r="G5" s="4" t="n"/>
      <c r="H5" s="4" t="n">
        <v>-1.52</v>
      </c>
      <c r="I5" t="inlineStr">
        <is>
          <t>Never positive in any period on record</t>
        </is>
      </c>
    </row>
    <row r="6">
      <c r="A6" t="inlineStr">
        <is>
          <t>SBC</t>
        </is>
      </c>
      <c r="B6" s="4" t="n">
        <v>0.5</v>
      </c>
      <c r="C6" s="4" t="n">
        <v>0.139</v>
      </c>
      <c r="D6" s="4" t="n">
        <v>0.127</v>
      </c>
      <c r="E6" s="4" t="n">
        <v>0.135</v>
      </c>
      <c r="F6" s="4" t="n">
        <v>0.042</v>
      </c>
      <c r="G6" s="4" t="n">
        <v>0.027</v>
      </c>
      <c r="H6" s="4" t="n">
        <v>0.07000000000000001</v>
      </c>
      <c r="I6" t="inlineStr">
        <is>
          <t>Share-based payment expense notes</t>
        </is>
      </c>
    </row>
    <row r="7">
      <c r="A7" t="inlineStr">
        <is>
          <t>Shareholders equity</t>
        </is>
      </c>
      <c r="B7" s="4" t="n">
        <v>28.834</v>
      </c>
      <c r="C7" s="4" t="n">
        <v>24.198</v>
      </c>
      <c r="D7" s="4" t="n">
        <v>20.12</v>
      </c>
      <c r="E7" s="4" t="n">
        <v>6.767</v>
      </c>
      <c r="F7" s="4" t="n">
        <v>4.891</v>
      </c>
      <c r="G7" s="4" t="n"/>
      <c r="H7" s="4" t="n">
        <v>5.845</v>
      </c>
      <c r="I7" t="inlineStr">
        <is>
          <t>NOT audit-assured: disclaimer of opinion FY2024 + FY2025</t>
        </is>
      </c>
    </row>
    <row r="8">
      <c r="A8" t="inlineStr">
        <is>
          <t>Cash</t>
        </is>
      </c>
      <c r="B8" s="4" t="n">
        <v>3.359</v>
      </c>
      <c r="C8" s="4" t="n">
        <v>1.897</v>
      </c>
      <c r="D8" s="4" t="n">
        <v>2.529</v>
      </c>
      <c r="E8" s="4" t="n">
        <v>0.895</v>
      </c>
      <c r="F8" s="4" t="n">
        <v>0.241</v>
      </c>
      <c r="G8" s="4" t="n">
        <v>0.539</v>
      </c>
      <c r="H8" s="4" t="n">
        <v>2.166</v>
      </c>
      <c r="I8" t="inlineStr">
        <is>
          <t>Dec-2025 cash reflects the Dec-2025 rights offer</t>
        </is>
      </c>
    </row>
    <row r="9">
      <c r="A9" t="inlineStr">
        <is>
          <t>Total debt</t>
        </is>
      </c>
      <c r="B9" s="4" t="n">
        <v>0.955</v>
      </c>
      <c r="C9" s="4" t="n">
        <v>0.824</v>
      </c>
      <c r="D9" s="4" t="n">
        <v>0.115</v>
      </c>
      <c r="E9" s="4" t="n">
        <v>0.148</v>
      </c>
      <c r="F9" s="4" t="n">
        <v>0.804</v>
      </c>
      <c r="G9" s="4" t="n"/>
      <c r="H9" s="4" t="n">
        <v>1.813</v>
      </c>
      <c r="I9" t="inlineStr">
        <is>
          <t>H1 FY2026 borrowings incl. warrant-sweetened facilities</t>
        </is>
      </c>
    </row>
    <row r="10">
      <c r="A10" t="inlineStr">
        <is>
          <t>Shares outstanding (m)</t>
        </is>
      </c>
      <c r="B10" s="4" t="n">
        <v>140.263</v>
      </c>
      <c r="C10" s="4" t="n">
        <v>149.879</v>
      </c>
      <c r="D10" s="4" t="n">
        <v>158.136</v>
      </c>
      <c r="E10" s="4" t="n">
        <v>159.751</v>
      </c>
      <c r="F10" s="4" t="n">
        <v>223.648</v>
      </c>
      <c r="G10" s="4" t="n"/>
      <c r="H10" s="4" t="n">
        <v>338.042</v>
      </c>
      <c r="I10" t="inlineStr">
        <is>
          <t>+112% in 18 months; ~339.4m + 8.733m warrants by Aug-2026</t>
        </is>
      </c>
    </row>
    <row r="12">
      <c r="A12" s="3" t="inlineStr">
        <is>
          <t>Balance-sheet snapshot date: 31-Dec-2025 (8 months stale at valuation date)</t>
        </is>
      </c>
    </row>
    <row r="13">
      <c r="A13" t="inlineStr">
        <is>
          <t>Held-for-sale Gisborne facility, net: NZ$0.861m carrying value (H1 FY2026 note 17)</t>
        </is>
      </c>
    </row>
    <row r="14">
      <c r="A14" t="inlineStr">
        <is>
          <t>Goodwill: NZ$2.195m - within the assets PwC could not corroborate</t>
        </is>
      </c>
    </row>
    <row r="15">
      <c r="A15" t="inlineStr">
        <is>
          <t>Buybacks: zero in every period (ShareRepurchases all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95" customWidth="1" min="3" max="3"/>
  </cols>
  <sheetData>
    <row r="1">
      <c r="A1" s="5" t="inlineStr">
        <is>
          <t>Global assumptions</t>
        </is>
      </c>
    </row>
    <row r="2">
      <c r="A2" t="inlineStr">
        <is>
          <t>Current price (NZD)</t>
        </is>
      </c>
      <c r="B2" s="6" t="n">
        <v>0.035</v>
      </c>
      <c r="C2" t="inlineStr">
        <is>
          <t>Yahoo 2026-08-27T04:59:43Z, NZX regular close; 52w 0.026-0.059</t>
        </is>
      </c>
    </row>
    <row r="3">
      <c r="A3" t="inlineStr">
        <is>
          <t>Diluted shares today (m)</t>
        </is>
      </c>
      <c r="B3" s="4" t="n">
        <v>348.135</v>
      </c>
      <c r="C3" t="inlineStr">
        <is>
          <t>339.402m ordinary (Aug-2026) + 8.733m warrants at $0.015 (in the money)</t>
        </is>
      </c>
    </row>
    <row r="4">
      <c r="A4" t="inlineStr">
        <is>
          <t>Cost of equity</t>
        </is>
      </c>
      <c r="B4" s="7" t="n">
        <v>0.28</v>
      </c>
      <c r="C4" t="inlineStr">
        <is>
          <t>NZ micro-cap ~11% + illiquidity 5% + audit-disclaimer 4% + concentration 4% + pre-profit 3%. EXCLUDES insolvency (in bear weight).</t>
        </is>
      </c>
    </row>
    <row r="5">
      <c r="A5" t="inlineStr">
        <is>
          <t>Hurdle rate (entry price)</t>
        </is>
      </c>
      <c r="B5" s="8" t="n">
        <v>0.15</v>
      </c>
      <c r="C5" t="inlineStr">
        <is>
          <t>Repo standard 15% IRR</t>
        </is>
      </c>
    </row>
    <row r="6">
      <c r="A6" t="inlineStr">
        <is>
          <t>Horizon (years to exit)</t>
        </is>
      </c>
      <c r="B6" s="4" t="n">
        <v>2</v>
      </c>
      <c r="C6" t="inlineStr">
        <is>
          <t>Exit valued at end FY2028</t>
        </is>
      </c>
    </row>
    <row r="7">
      <c r="A7" t="inlineStr">
        <is>
          <t>Net cash at 31-Dec-2025 (NZDm)</t>
        </is>
      </c>
      <c r="B7" s="4" t="n">
        <v>0.353</v>
      </c>
      <c r="C7" t="inlineStr">
        <is>
          <t>Cash 2.166 less borrowings 1.813; 8 months stale, treat as ~0</t>
        </is>
      </c>
    </row>
    <row r="9">
      <c r="A9" s="3" t="inlineStr">
        <is>
          <t>Probability weights</t>
        </is>
      </c>
    </row>
    <row r="10">
      <c r="A10" t="inlineStr">
        <is>
          <t>Bear weight</t>
        </is>
      </c>
      <c r="B10" s="7" t="n">
        <v>0.4</v>
      </c>
      <c r="C10" t="inlineStr">
        <is>
          <t>Two consecutive audit disclaimers + ~7 months runway + conditional going concern</t>
        </is>
      </c>
    </row>
    <row r="11">
      <c r="A11" t="inlineStr">
        <is>
          <t>Base weight</t>
        </is>
      </c>
      <c r="B11" s="7" t="n">
        <v>0.4</v>
      </c>
      <c r="C11" t="inlineStr">
        <is>
          <t>One further dilutive raise; UK deal partial conversion</t>
        </is>
      </c>
    </row>
    <row r="12">
      <c r="A12" t="inlineStr">
        <is>
          <t>Bull weight</t>
        </is>
      </c>
      <c r="B12" s="7" t="n">
        <v>0.2</v>
      </c>
      <c r="C12" t="inlineStr">
        <is>
          <t>UK deal converts fully AND Germany holds AND TGA spares Australia AND no raise - several independent things</t>
        </is>
      </c>
    </row>
    <row r="13">
      <c r="A13" t="inlineStr">
        <is>
          <t>Weight check (must be 1.0)</t>
        </is>
      </c>
      <c r="B13" s="9">
        <f>SUM(B10:B12)</f>
        <v/>
      </c>
    </row>
    <row r="15">
      <c r="A15" s="3" t="inlineStr">
        <is>
          <t>Scenario narratives</t>
        </is>
      </c>
    </row>
    <row r="16">
      <c r="A16" s="3" t="inlineStr">
        <is>
          <t>Bear</t>
        </is>
      </c>
      <c r="C16" s="2" t="inlineStr">
        <is>
          <t>Australia (TGA review) and Germany (EUR4/g compression) squeeze revenue; UK deal underdelivers; facility sale delays; runway exhausted. 60% insolvency (equity ~0) / 40% punitive recap at $0.012 (+250m shares), business limps at ~NZ$2.5m revenue, 0.6x exit.</t>
        </is>
      </c>
    </row>
    <row r="17">
      <c r="A17" s="3" t="inlineStr">
        <is>
          <t>Base</t>
        </is>
      </c>
      <c r="C17" s="2" t="inlineStr">
        <is>
          <t>Revenue 2.8 -&gt; 4.5 -&gt; 6.0 (UK deal partial); facility sells ~NZ$0.7m net; ONE further raise NZ$3.5m at $0.025 (+140m shares); exit 1.5x FY2028E sales, net cash ~0.</t>
        </is>
      </c>
    </row>
    <row r="18">
      <c r="A18" s="3" t="inlineStr">
        <is>
          <t>Bull</t>
        </is>
      </c>
      <c r="C18" s="2" t="inlineStr">
        <is>
          <t>UK deal converts (~NZ$5m/yr), revenue 2.9 -&gt; 7.0 -&gt; 10.5; breakeven during FY2027; facility sale + warrant proceeds bridge burn with NO further raise; exit 2.5x with NZ$1.2m net cash.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0" customWidth="1" min="3" max="3"/>
  </cols>
  <sheetData>
    <row r="1">
      <c r="A1" s="5" t="inlineStr">
        <is>
          <t>Scenario Base</t>
        </is>
      </c>
    </row>
    <row r="3">
      <c r="A3" t="inlineStr">
        <is>
          <t>Revenue FY2026E (NZDm)</t>
        </is>
      </c>
      <c r="B3" s="10" t="n">
        <v>2.8</v>
      </c>
      <c r="C3" t="inlineStr">
        <is>
          <t>Driver: H1 FY2026 actual NZ$1.334m + H2 estimate</t>
        </is>
      </c>
    </row>
    <row r="4">
      <c r="A4" t="inlineStr">
        <is>
          <t>Growth FY2027E</t>
        </is>
      </c>
      <c r="B4" s="11" t="n">
        <v>0.6071428571428572</v>
      </c>
      <c r="C4" t="inlineStr">
        <is>
          <t>Driver</t>
        </is>
      </c>
    </row>
    <row r="5">
      <c r="A5" t="inlineStr">
        <is>
          <t>Growth FY2028E</t>
        </is>
      </c>
      <c r="B5" s="11" t="n">
        <v>0.3333333333333333</v>
      </c>
      <c r="C5" t="inlineStr">
        <is>
          <t>Driver</t>
        </is>
      </c>
    </row>
    <row r="6">
      <c r="A6" t="inlineStr">
        <is>
          <t>Revenue FY2027E</t>
        </is>
      </c>
      <c r="B6" s="12">
        <f>B3*(1+B4)</f>
        <v/>
      </c>
    </row>
    <row r="7">
      <c r="A7" t="inlineStr">
        <is>
          <t>Revenue FY2028E</t>
        </is>
      </c>
      <c r="B7" s="12">
        <f>B6*(1+B5)</f>
        <v/>
      </c>
    </row>
    <row r="9">
      <c r="A9" t="inlineStr">
        <is>
          <t>Exit EV/Sales multiple</t>
        </is>
      </c>
      <c r="B9" s="10" t="n">
        <v>1.5</v>
      </c>
      <c r="C9" t="inlineStr">
        <is>
          <t>Driver: sub-scale unprofitable distributor multiple, not branded pharma</t>
        </is>
      </c>
    </row>
    <row r="10">
      <c r="A10" t="inlineStr">
        <is>
          <t>Net cash at exit (NZDm)</t>
        </is>
      </c>
      <c r="B10" s="10" t="n">
        <v>0</v>
      </c>
      <c r="C10" t="inlineStr">
        <is>
          <t>Driver</t>
        </is>
      </c>
    </row>
    <row r="11">
      <c r="A11" t="inlineStr">
        <is>
          <t>Exit EV (NZDm)</t>
        </is>
      </c>
      <c r="B11" s="12">
        <f>B9*B7</f>
        <v/>
      </c>
    </row>
    <row r="12">
      <c r="A12" t="inlineStr">
        <is>
          <t>Exit equity value (NZDm)</t>
        </is>
      </c>
      <c r="B12" s="12">
        <f>B11+B10</f>
        <v/>
      </c>
    </row>
    <row r="14">
      <c r="A14" t="inlineStr">
        <is>
          <t>Further raise, net (NZDm)</t>
        </is>
      </c>
      <c r="B14" s="10" t="n">
        <v>3.5</v>
      </c>
      <c r="C14" t="inlineStr">
        <is>
          <t>Driver: rescue-raise size</t>
        </is>
      </c>
    </row>
    <row r="15">
      <c r="A15" t="inlineStr">
        <is>
          <t>Raise price (NZD)</t>
        </is>
      </c>
      <c r="B15" s="13" t="n">
        <v>0.025</v>
      </c>
      <c r="C15" t="inlineStr">
        <is>
          <t>Driver: Nov-2024 rights precedent $0.025 at 47.9% discount</t>
        </is>
      </c>
    </row>
    <row r="16">
      <c r="A16" t="inlineStr">
        <is>
          <t>New shares (m)</t>
        </is>
      </c>
      <c r="B16" s="14">
        <f>IF(B15=0,0,B14/B15)</f>
        <v/>
      </c>
    </row>
    <row r="17">
      <c r="A17" t="inlineStr">
        <is>
          <t>Diluted shares at exit (m)</t>
        </is>
      </c>
      <c r="B17" s="15">
        <f>Assumptions!B3+B16</f>
        <v/>
      </c>
    </row>
    <row r="19">
      <c r="A19" t="inlineStr">
        <is>
          <t>PV of exit equity at CoE (NZDm)</t>
        </is>
      </c>
      <c r="B19" s="16">
        <f>B12/(1+Assumptions!B4)^Assumptions!B6</f>
        <v/>
      </c>
    </row>
    <row r="20">
      <c r="A20" t="inlineStr">
        <is>
          <t>Value per share (NZD)</t>
        </is>
      </c>
      <c r="B20" s="17">
        <f>B19/B17</f>
        <v/>
      </c>
    </row>
    <row r="21">
      <c r="A21" t="inlineStr">
        <is>
          <t>Upside vs price</t>
        </is>
      </c>
      <c r="B21" s="18">
        <f>B20/Assumptions!B2-1</f>
        <v/>
      </c>
    </row>
    <row r="23">
      <c r="A23" t="inlineStr">
        <is>
          <t>Entry price at 15% hurdle (NZD)</t>
        </is>
      </c>
      <c r="B23" s="19">
        <f>B12/(1+Assumptions!B5)^Assumptions!B6/B17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0" customWidth="1" min="3" max="3"/>
  </cols>
  <sheetData>
    <row r="1">
      <c r="A1" s="5" t="inlineStr">
        <is>
          <t>Scenario Bull</t>
        </is>
      </c>
    </row>
    <row r="3">
      <c r="A3" t="inlineStr">
        <is>
          <t>Revenue FY2026E (NZDm)</t>
        </is>
      </c>
      <c r="B3" s="10" t="n">
        <v>2.9</v>
      </c>
      <c r="C3" t="inlineStr">
        <is>
          <t>Driver: H1 FY2026 actual NZ$1.334m + H2 estimate</t>
        </is>
      </c>
    </row>
    <row r="4">
      <c r="A4" t="inlineStr">
        <is>
          <t>Growth FY2027E</t>
        </is>
      </c>
      <c r="B4" s="11" t="n">
        <v>1.413793103448276</v>
      </c>
      <c r="C4" t="inlineStr">
        <is>
          <t>Driver</t>
        </is>
      </c>
    </row>
    <row r="5">
      <c r="A5" t="inlineStr">
        <is>
          <t>Growth FY2028E</t>
        </is>
      </c>
      <c r="B5" s="11" t="n">
        <v>0.5</v>
      </c>
      <c r="C5" t="inlineStr">
        <is>
          <t>Driver</t>
        </is>
      </c>
    </row>
    <row r="6">
      <c r="A6" t="inlineStr">
        <is>
          <t>Revenue FY2027E</t>
        </is>
      </c>
      <c r="B6" s="12">
        <f>B3*(1+B4)</f>
        <v/>
      </c>
    </row>
    <row r="7">
      <c r="A7" t="inlineStr">
        <is>
          <t>Revenue FY2028E</t>
        </is>
      </c>
      <c r="B7" s="12">
        <f>B6*(1+B5)</f>
        <v/>
      </c>
    </row>
    <row r="9">
      <c r="A9" t="inlineStr">
        <is>
          <t>Exit EV/Sales multiple</t>
        </is>
      </c>
      <c r="B9" s="10" t="n">
        <v>2.5</v>
      </c>
      <c r="C9" t="inlineStr">
        <is>
          <t>Driver: sub-scale unprofitable distributor multiple, not branded pharma</t>
        </is>
      </c>
    </row>
    <row r="10">
      <c r="A10" t="inlineStr">
        <is>
          <t>Net cash at exit (NZDm)</t>
        </is>
      </c>
      <c r="B10" s="10" t="n">
        <v>1.2</v>
      </c>
      <c r="C10" t="inlineStr">
        <is>
          <t>Driver</t>
        </is>
      </c>
    </row>
    <row r="11">
      <c r="A11" t="inlineStr">
        <is>
          <t>Exit EV (NZDm)</t>
        </is>
      </c>
      <c r="B11" s="12">
        <f>B9*B7</f>
        <v/>
      </c>
    </row>
    <row r="12">
      <c r="A12" t="inlineStr">
        <is>
          <t>Exit equity value (NZDm)</t>
        </is>
      </c>
      <c r="B12" s="12">
        <f>B11+B10</f>
        <v/>
      </c>
    </row>
    <row r="14">
      <c r="A14" t="inlineStr">
        <is>
          <t>Further raise, net (NZDm)</t>
        </is>
      </c>
      <c r="B14" s="10" t="n">
        <v>0</v>
      </c>
      <c r="C14" t="inlineStr">
        <is>
          <t>Driver: rescue-raise size</t>
        </is>
      </c>
    </row>
    <row r="15">
      <c r="A15" t="inlineStr">
        <is>
          <t>Raise price (NZD)</t>
        </is>
      </c>
      <c r="B15" s="13" t="n">
        <v>0</v>
      </c>
      <c r="C15" t="inlineStr">
        <is>
          <t>Driver: Nov-2024 rights precedent $0.025 at 47.9% discount</t>
        </is>
      </c>
    </row>
    <row r="16">
      <c r="A16" t="inlineStr">
        <is>
          <t>New shares (m)</t>
        </is>
      </c>
      <c r="B16" s="14">
        <f>IF(B15=0,0,B14/B15)</f>
        <v/>
      </c>
    </row>
    <row r="17">
      <c r="A17" t="inlineStr">
        <is>
          <t>Diluted shares at exit (m)</t>
        </is>
      </c>
      <c r="B17" s="15">
        <f>Assumptions!B3+B16</f>
        <v/>
      </c>
    </row>
    <row r="19">
      <c r="A19" t="inlineStr">
        <is>
          <t>PV of exit equity at CoE (NZDm)</t>
        </is>
      </c>
      <c r="B19" s="16">
        <f>B12/(1+Assumptions!B4)^Assumptions!B6</f>
        <v/>
      </c>
    </row>
    <row r="20">
      <c r="A20" t="inlineStr">
        <is>
          <t>Value per share (NZD)</t>
        </is>
      </c>
      <c r="B20" s="17">
        <f>B19/B17</f>
        <v/>
      </c>
    </row>
    <row r="21">
      <c r="A21" t="inlineStr">
        <is>
          <t>Upside vs price</t>
        </is>
      </c>
      <c r="B21" s="18">
        <f>B20/Assumptions!B2-1</f>
        <v/>
      </c>
    </row>
    <row r="23">
      <c r="A23" t="inlineStr">
        <is>
          <t>Entry price at 15% hurdle (NZD)</t>
        </is>
      </c>
      <c r="B23" s="19">
        <f>B12/(1+Assumptions!B5)^Assumptions!B6/B17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0" customWidth="1" min="3" max="3"/>
  </cols>
  <sheetData>
    <row r="1">
      <c r="A1" s="5" t="inlineStr">
        <is>
          <t>Scenario Bear</t>
        </is>
      </c>
    </row>
    <row r="3">
      <c r="A3" t="inlineStr">
        <is>
          <t>Revenue FY2026E (NZDm)</t>
        </is>
      </c>
      <c r="B3" s="10" t="n">
        <v>2.6</v>
      </c>
      <c r="C3" t="inlineStr">
        <is>
          <t>Driver: H1 FY2026 actual NZ$1.334m + H2 estimate</t>
        </is>
      </c>
    </row>
    <row r="4">
      <c r="A4" t="inlineStr">
        <is>
          <t>Growth FY2027E</t>
        </is>
      </c>
      <c r="B4" s="11" t="n">
        <v>-0.07692307692307698</v>
      </c>
      <c r="C4" t="inlineStr">
        <is>
          <t>Driver</t>
        </is>
      </c>
    </row>
    <row r="5">
      <c r="A5" t="inlineStr">
        <is>
          <t>Growth FY2028E</t>
        </is>
      </c>
      <c r="B5" s="11" t="n">
        <v>0.04166666666666674</v>
      </c>
      <c r="C5" t="inlineStr">
        <is>
          <t>Driver</t>
        </is>
      </c>
    </row>
    <row r="6">
      <c r="A6" t="inlineStr">
        <is>
          <t>Revenue FY2027E</t>
        </is>
      </c>
      <c r="B6" s="12">
        <f>B3*(1+B4)</f>
        <v/>
      </c>
    </row>
    <row r="7">
      <c r="A7" t="inlineStr">
        <is>
          <t>Revenue FY2028E</t>
        </is>
      </c>
      <c r="B7" s="12">
        <f>B6*(1+B5)</f>
        <v/>
      </c>
    </row>
    <row r="9">
      <c r="A9" t="inlineStr">
        <is>
          <t>Exit EV/Sales multiple</t>
        </is>
      </c>
      <c r="B9" s="10" t="n">
        <v>0.6</v>
      </c>
      <c r="C9" t="inlineStr">
        <is>
          <t>Driver: sub-scale unprofitable distributor multiple, not branded pharma</t>
        </is>
      </c>
    </row>
    <row r="10">
      <c r="A10" t="inlineStr">
        <is>
          <t>Net cash at exit (NZDm)</t>
        </is>
      </c>
      <c r="B10" s="10" t="n">
        <v>0.5</v>
      </c>
      <c r="C10" t="inlineStr">
        <is>
          <t>Driver</t>
        </is>
      </c>
    </row>
    <row r="11">
      <c r="A11" t="inlineStr">
        <is>
          <t>Exit EV (NZDm)</t>
        </is>
      </c>
      <c r="B11" s="12">
        <f>B9*B7</f>
        <v/>
      </c>
    </row>
    <row r="12">
      <c r="A12" t="inlineStr">
        <is>
          <t>Exit equity value (NZDm)</t>
        </is>
      </c>
      <c r="B12" s="12">
        <f>B11+B10</f>
        <v/>
      </c>
    </row>
    <row r="14">
      <c r="A14" t="inlineStr">
        <is>
          <t>Further raise, net (NZDm)</t>
        </is>
      </c>
      <c r="B14" s="10" t="n">
        <v>3</v>
      </c>
      <c r="C14" t="inlineStr">
        <is>
          <t>Driver: rescue-raise size</t>
        </is>
      </c>
    </row>
    <row r="15">
      <c r="A15" t="inlineStr">
        <is>
          <t>Raise price (NZD)</t>
        </is>
      </c>
      <c r="B15" s="13" t="n">
        <v>0.012</v>
      </c>
      <c r="C15" t="inlineStr">
        <is>
          <t>Driver: Nov-2024 rights precedent $0.025 at 47.9% discount</t>
        </is>
      </c>
    </row>
    <row r="16">
      <c r="A16" t="inlineStr">
        <is>
          <t>New shares (m)</t>
        </is>
      </c>
      <c r="B16" s="14">
        <f>IF(B15=0,0,B14/B15)</f>
        <v/>
      </c>
    </row>
    <row r="17">
      <c r="A17" t="inlineStr">
        <is>
          <t>Diluted shares at exit (m)</t>
        </is>
      </c>
      <c r="B17" s="15">
        <f>Assumptions!B3+B16</f>
        <v/>
      </c>
    </row>
    <row r="19">
      <c r="A19" t="inlineStr">
        <is>
          <t>PV of exit equity at CoE (NZDm)</t>
        </is>
      </c>
      <c r="B19" s="16">
        <f>B12/(1+Assumptions!B4)^Assumptions!B6</f>
        <v/>
      </c>
    </row>
    <row r="20">
      <c r="A20" t="inlineStr">
        <is>
          <t>Recap-branch value per share (NZD)</t>
        </is>
      </c>
      <c r="B20" s="17">
        <f>B19/B17</f>
        <v/>
      </c>
    </row>
    <row r="21">
      <c r="A21" t="inlineStr">
        <is>
          <t>Upside vs price</t>
        </is>
      </c>
      <c r="B21" s="18">
        <f>B20/Assumptions!B2-1</f>
        <v/>
      </c>
    </row>
    <row r="23">
      <c r="A23" t="inlineStr">
        <is>
          <t>Recap-branch entry at 15% (NZD)</t>
        </is>
      </c>
      <c r="B23" s="19">
        <f>B12/(1+Assumptions!B5)^Assumptions!B6/B17</f>
        <v/>
      </c>
    </row>
    <row r="25">
      <c r="A25" t="inlineStr">
        <is>
          <t>P(insolvency | bear)</t>
        </is>
      </c>
      <c r="B25" s="7" t="n">
        <v>0.6</v>
      </c>
      <c r="C25" t="inlineStr">
        <is>
          <t>Driver: wind-down leaves ~0 for equity (verified-tangible ~2.8 less debt 1.8 less costs)</t>
        </is>
      </c>
    </row>
    <row r="26">
      <c r="A26" t="inlineStr">
        <is>
          <t>Insolvency equity value / share</t>
        </is>
      </c>
      <c r="B26" s="6" t="n">
        <v>0</v>
      </c>
      <c r="C26" t="inlineStr">
        <is>
          <t>Creditor waterfall residual</t>
        </is>
      </c>
    </row>
    <row r="27">
      <c r="A27" t="inlineStr">
        <is>
          <t>BEAR value per share (blend)</t>
        </is>
      </c>
      <c r="B27" s="17">
        <f>B25*B26+(1-B25)*B20</f>
        <v/>
      </c>
    </row>
    <row r="28">
      <c r="A28" t="inlineStr">
        <is>
          <t>Upside vs price</t>
        </is>
      </c>
      <c r="B28" s="18">
        <f>B27/Assumptions!B2-1</f>
        <v/>
      </c>
    </row>
    <row r="29">
      <c r="A29" t="inlineStr">
        <is>
          <t>BEAR entry at 15% (blend)</t>
        </is>
      </c>
      <c r="B29" s="20">
        <f>B25*B26+(1-B25)*B23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" t="inlineStr">
        <is>
          <t>RUA.NZ probability-weighted valuation (NZD per share)</t>
        </is>
      </c>
    </row>
    <row r="3">
      <c r="A3" s="3" t="inlineStr"/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</row>
    <row r="4">
      <c r="A4" t="inlineStr">
        <is>
          <t>Value per share</t>
        </is>
      </c>
      <c r="B4" s="19">
        <f>Scenario_Bear!B27</f>
        <v/>
      </c>
      <c r="C4" s="19">
        <f>Scenario_Base!B20</f>
        <v/>
      </c>
      <c r="D4" s="19">
        <f>Scenario_Bull!B20</f>
        <v/>
      </c>
    </row>
    <row r="5">
      <c r="A5" t="inlineStr">
        <is>
          <t>Weight</t>
        </is>
      </c>
      <c r="B5" s="21">
        <f>Assumptions!B10</f>
        <v/>
      </c>
      <c r="C5" s="21">
        <f>Assumptions!B11</f>
        <v/>
      </c>
      <c r="D5" s="21">
        <f>Assumptions!B12</f>
        <v/>
      </c>
    </row>
    <row r="6">
      <c r="A6" t="inlineStr">
        <is>
          <t>Upside vs price</t>
        </is>
      </c>
      <c r="B6" s="18">
        <f>Scenario_Bear!B28</f>
        <v/>
      </c>
      <c r="C6" s="18">
        <f>Scenario_Base!B21</f>
        <v/>
      </c>
      <c r="D6" s="18">
        <f>Scenario_Bull!B21</f>
        <v/>
      </c>
    </row>
    <row r="7">
      <c r="A7" t="inlineStr">
        <is>
          <t>Entry price (15% hurdle)</t>
        </is>
      </c>
      <c r="B7" s="19">
        <f>Scenario_Bear!B29</f>
        <v/>
      </c>
      <c r="C7" s="19">
        <f>Scenario_Base!B23</f>
        <v/>
      </c>
      <c r="D7" s="19">
        <f>Scenario_Bull!B23</f>
        <v/>
      </c>
    </row>
    <row r="9">
      <c r="A9" s="3" t="inlineStr">
        <is>
          <t>Probability-weighted IV</t>
        </is>
      </c>
      <c r="B9" s="17">
        <f>SUMPRODUCT(B4:D4,B5:D5)</f>
        <v/>
      </c>
    </row>
    <row r="10">
      <c r="A10" t="inlineStr">
        <is>
          <t>Current price</t>
        </is>
      </c>
      <c r="B10" s="19">
        <f>Assumptions!B2</f>
        <v/>
      </c>
    </row>
    <row r="11">
      <c r="A11" t="inlineStr">
        <is>
          <t>Upside (weighted)</t>
        </is>
      </c>
      <c r="B11" s="22">
        <f>B9/B10-1</f>
        <v/>
      </c>
    </row>
    <row r="12">
      <c r="A12" s="3" t="inlineStr">
        <is>
          <t>Weighted entry price (15%)</t>
        </is>
      </c>
      <c r="B12" s="23">
        <f>SUMPRODUCT(B7:D7,B5:D5)</f>
        <v/>
      </c>
    </row>
    <row r="13">
      <c r="A13" t="inlineStr">
        <is>
          <t>Note: weighted entry sits ABOVE weighted IV because the 15% hurdle is below the 28% risk-appropriate CoE. Both are less than half the current price.</t>
        </is>
      </c>
    </row>
    <row r="15">
      <c r="A15" s="3" t="inlineStr">
        <is>
          <t>Required-return table (base scenario)</t>
        </is>
      </c>
    </row>
    <row r="16">
      <c r="A16" t="inlineStr">
        <is>
          <t>Required return</t>
        </is>
      </c>
      <c r="B16" s="8" t="n">
        <v>0.09</v>
      </c>
      <c r="C16" s="8" t="n">
        <v>0.1</v>
      </c>
      <c r="D16" s="8" t="n">
        <v>0.11</v>
      </c>
      <c r="E16" s="8" t="n">
        <v>0.12</v>
      </c>
      <c r="F16" s="8" t="n">
        <v>0.15</v>
      </c>
      <c r="G16" s="8" t="n">
        <v>0.28</v>
      </c>
    </row>
    <row r="17">
      <c r="A17" t="inlineStr">
        <is>
          <t>Base value per share</t>
        </is>
      </c>
      <c r="B17" s="20">
        <f>Scenario_Base!B12/(1+B16)^Assumptions!B6/Scenario_Base!B17</f>
        <v/>
      </c>
      <c r="C17" s="20">
        <f>Scenario_Base!B12/(1+C16)^Assumptions!B6/Scenario_Base!B17</f>
        <v/>
      </c>
      <c r="D17" s="20">
        <f>Scenario_Base!B12/(1+D16)^Assumptions!B6/Scenario_Base!B17</f>
        <v/>
      </c>
      <c r="E17" s="20">
        <f>Scenario_Base!B12/(1+E16)^Assumptions!B6/Scenario_Base!B17</f>
        <v/>
      </c>
      <c r="F17" s="20">
        <f>Scenario_Base!B12/(1+F16)^Assumptions!B6/Scenario_Base!B17</f>
        <v/>
      </c>
      <c r="G17" s="20">
        <f>Scenario_Base!B12/(1+G16)^Assumptions!B6/Scenario_Base!B17</f>
        <v/>
      </c>
    </row>
    <row r="19">
      <c r="A19" s="3" t="inlineStr">
        <is>
          <t>Sensitivity: cost of equity (rows) x exit EV/Sales (cols), base scenario</t>
        </is>
      </c>
    </row>
    <row r="20">
      <c r="B20" s="24" t="n">
        <v>0.75</v>
      </c>
      <c r="C20" s="24" t="n">
        <v>1</v>
      </c>
      <c r="D20" s="24" t="n">
        <v>1.5</v>
      </c>
      <c r="E20" s="24" t="n">
        <v>2</v>
      </c>
      <c r="F20" s="24" t="n">
        <v>2.5</v>
      </c>
    </row>
    <row r="21">
      <c r="A21" s="8" t="n">
        <v>0.2</v>
      </c>
      <c r="B21" s="20">
        <f>(B$20*Scenario_Base!$B$7+Scenario_Base!$B$10)/(1+$A21)^Assumptions!$B$6/Scenario_Base!$B$17</f>
        <v/>
      </c>
      <c r="C21" s="20">
        <f>(C$20*Scenario_Base!$B$7+Scenario_Base!$B$10)/(1+$A21)^Assumptions!$B$6/Scenario_Base!$B$17</f>
        <v/>
      </c>
      <c r="D21" s="20">
        <f>(D$20*Scenario_Base!$B$7+Scenario_Base!$B$10)/(1+$A21)^Assumptions!$B$6/Scenario_Base!$B$17</f>
        <v/>
      </c>
      <c r="E21" s="20">
        <f>(E$20*Scenario_Base!$B$7+Scenario_Base!$B$10)/(1+$A21)^Assumptions!$B$6/Scenario_Base!$B$17</f>
        <v/>
      </c>
      <c r="F21" s="20">
        <f>(F$20*Scenario_Base!$B$7+Scenario_Base!$B$10)/(1+$A21)^Assumptions!$B$6/Scenario_Base!$B$17</f>
        <v/>
      </c>
    </row>
    <row r="22">
      <c r="A22" s="8" t="n">
        <v>0.24</v>
      </c>
      <c r="B22" s="20">
        <f>(B$20*Scenario_Base!$B$7+Scenario_Base!$B$10)/(1+$A22)^Assumptions!$B$6/Scenario_Base!$B$17</f>
        <v/>
      </c>
      <c r="C22" s="20">
        <f>(C$20*Scenario_Base!$B$7+Scenario_Base!$B$10)/(1+$A22)^Assumptions!$B$6/Scenario_Base!$B$17</f>
        <v/>
      </c>
      <c r="D22" s="20">
        <f>(D$20*Scenario_Base!$B$7+Scenario_Base!$B$10)/(1+$A22)^Assumptions!$B$6/Scenario_Base!$B$17</f>
        <v/>
      </c>
      <c r="E22" s="20">
        <f>(E$20*Scenario_Base!$B$7+Scenario_Base!$B$10)/(1+$A22)^Assumptions!$B$6/Scenario_Base!$B$17</f>
        <v/>
      </c>
      <c r="F22" s="20">
        <f>(F$20*Scenario_Base!$B$7+Scenario_Base!$B$10)/(1+$A22)^Assumptions!$B$6/Scenario_Base!$B$17</f>
        <v/>
      </c>
    </row>
    <row r="23">
      <c r="A23" s="8" t="n">
        <v>0.28</v>
      </c>
      <c r="B23" s="20">
        <f>(B$20*Scenario_Base!$B$7+Scenario_Base!$B$10)/(1+$A23)^Assumptions!$B$6/Scenario_Base!$B$17</f>
        <v/>
      </c>
      <c r="C23" s="20">
        <f>(C$20*Scenario_Base!$B$7+Scenario_Base!$B$10)/(1+$A23)^Assumptions!$B$6/Scenario_Base!$B$17</f>
        <v/>
      </c>
      <c r="D23" s="25">
        <f>(D$20*Scenario_Base!$B$7+Scenario_Base!$B$10)/(1+$A23)^Assumptions!$B$6/Scenario_Base!$B$17</f>
        <v/>
      </c>
      <c r="E23" s="20">
        <f>(E$20*Scenario_Base!$B$7+Scenario_Base!$B$10)/(1+$A23)^Assumptions!$B$6/Scenario_Base!$B$17</f>
        <v/>
      </c>
      <c r="F23" s="20">
        <f>(F$20*Scenario_Base!$B$7+Scenario_Base!$B$10)/(1+$A23)^Assumptions!$B$6/Scenario_Base!$B$17</f>
        <v/>
      </c>
    </row>
    <row r="24">
      <c r="A24" s="8" t="n">
        <v>0.32</v>
      </c>
      <c r="B24" s="20">
        <f>(B$20*Scenario_Base!$B$7+Scenario_Base!$B$10)/(1+$A24)^Assumptions!$B$6/Scenario_Base!$B$17</f>
        <v/>
      </c>
      <c r="C24" s="20">
        <f>(C$20*Scenario_Base!$B$7+Scenario_Base!$B$10)/(1+$A24)^Assumptions!$B$6/Scenario_Base!$B$17</f>
        <v/>
      </c>
      <c r="D24" s="20">
        <f>(D$20*Scenario_Base!$B$7+Scenario_Base!$B$10)/(1+$A24)^Assumptions!$B$6/Scenario_Base!$B$17</f>
        <v/>
      </c>
      <c r="E24" s="20">
        <f>(E$20*Scenario_Base!$B$7+Scenario_Base!$B$10)/(1+$A24)^Assumptions!$B$6/Scenario_Base!$B$17</f>
        <v/>
      </c>
      <c r="F24" s="20">
        <f>(F$20*Scenario_Base!$B$7+Scenario_Base!$B$10)/(1+$A24)^Assumptions!$B$6/Scenario_Base!$B$17</f>
        <v/>
      </c>
    </row>
    <row r="25">
      <c r="A25" s="8" t="n">
        <v>0.36</v>
      </c>
      <c r="B25" s="20">
        <f>(B$20*Scenario_Base!$B$7+Scenario_Base!$B$10)/(1+$A25)^Assumptions!$B$6/Scenario_Base!$B$17</f>
        <v/>
      </c>
      <c r="C25" s="20">
        <f>(C$20*Scenario_Base!$B$7+Scenario_Base!$B$10)/(1+$A25)^Assumptions!$B$6/Scenario_Base!$B$17</f>
        <v/>
      </c>
      <c r="D25" s="20">
        <f>(D$20*Scenario_Base!$B$7+Scenario_Base!$B$10)/(1+$A25)^Assumptions!$B$6/Scenario_Base!$B$17</f>
        <v/>
      </c>
      <c r="E25" s="20">
        <f>(E$20*Scenario_Base!$B$7+Scenario_Base!$B$10)/(1+$A25)^Assumptions!$B$6/Scenario_Base!$B$17</f>
        <v/>
      </c>
      <c r="F25" s="20">
        <f>(F$20*Scenario_Base!$B$7+Scenario_Base!$B$10)/(1+$A25)^Assumptions!$B$6/Scenario_Base!$B$17</f>
        <v/>
      </c>
    </row>
    <row r="27">
      <c r="A27" t="inlineStr">
        <is>
          <t>Reading: no cell reaches the NZ$0.035 price - not even 2.5x at 20% CoE. The market pays ~4.3x run-rate sales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2026-08-27T10:16:25Z</dcterms:created>
  <dcterms:modified xsi:type="dcterms:W3CDTF">2026-08-27T10:16:25Z</dcterms:modified>
</cp:coreProperties>
</file>