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<sst xmlns="http://schemas.openxmlformats.org/spreadsheetml/2006/main" count="390" uniqueCount="176">
  <si>
    <t xml:space="preserve">Ticker</t>
  </si>
  <si>
    <t xml:space="preserve">TEL</t>
  </si>
  <si>
    <t xml:space="preserve">Company</t>
  </si>
  <si>
    <t xml:space="preserve">TE Connectivity plc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</si>
  <si>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</si>
  <si>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</si>
  <si>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</si>
  <si>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</si>
  <si>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2026-10-01T20:03:29Z regular close (Yahoo Finance chart API)</t>
  </si>
  <si>
    <t xml:space="preserve">Balance sheet date</t>
  </si>
  <si>
    <t xml:space="preserve">2026-06-26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</si>
  <si>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</si>
  <si>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</si>
  <si>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</si>
  <si>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</si>
  <si>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</si>
  <si>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</si>
  <si>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</si>
  <si>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</si>
  <si>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</si>
  <si>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</si>
  <si>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2026-10-02T09:29:17Z</t>
  </si>
  <si>
    <t xml:space="preserve">Drivers file</t>
  </si>
  <si>
    <t xml:space="preserve">TEL_Drivers.json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</si>
  <si>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</si>
  <si>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</si>
  <si>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</si>
  <si>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component DCF on a FY2026E base year (9 months reported + guided Q4), with the cyclical normalisation applied to MARGIN rather than to revenue. FY26 revenue is mostly structural (acquired Richards sales, a design-in AI book backed by record orders) and Transportation is not at a volume peak, so rebasing revenue to a mid-cycle level would discard real, contracted growth. The record ~26% pre-SBC EBITDA margin, by contrast, is a peak-ish number for a business that ran 20-24% in 2017-2024, so the base fades it to 25.5% and the bear resets it to 23.5% after a FY28 downturn. Risk is charged once: a single 9.3% USD WACC across scenarios, with cyclicality and customer/China concentration expressed in the bear flows and a 20% bear weight. Terminal values use a 13-17x cap appropriate to a high-quality cyclical industrial; Gordon at 9.3%/2.5% is ~15x, so the base cap and Gordon nearly coincide.
key_risks_to_valuation: AI data-center demand concentrated in a few hyperscalers; a capex pause or optical-over-copper shift would hit the fastest-growing, highest-margin revenue; China: ~25% of sales and ~35% of auto revenue, exposed to the domestic auto price war and US-China tariffs; Margin is at a record; the base still assumes ~25.5% pre-SBC EBITDA through the cycle versus 20-24% historically; Share loss to Amphenol in AI interconnect, where it has out-executed on growth, margin and M&amp;A; Bolt-on M&amp;A cadence (Richards $2.3B, Astrodyne $1.4B) raises integration and capital-allocation risk; acquired growth is only value-creating if bought below the 9.3% WACC; FY0 revenue and FCF are guided/estimated until the FY2026 10-K (~mid-Nov 2026); pension deficit not bridged</t>
  </si>
  <si>
    <t xml:space="preserve">Data sources</t>
  </si>
  <si>
    <t xml:space="preserve">price: Yahoo Finance chart API at inputs.price_as_of; 52-week range 190.27-252.56
financials: TEL_Metrics.csv (SEC XBRL-derived core_metrics, FY2006-Q3 FY2026); latest balance sheet, diluted shares, SBC, buybacks, capex, D&amp;A, interest, restructuring and working-capital lines pulled directly from SEC XBRL companyfacts (CIK 1385157) for the 10-Q period ended 2026-06-26. Note the CSV's quarterly balance-sheet rows are one label early (CSV 'Q2 2026' cash $1,239M / debt $5,632M is the 2026-06-26 balance sheet).
qualitative: TEL_Analysis.json (2026-10-02): Q3 FY2026 results and raised FY26 guidance (Jul-22-2026), Astrodyne TDI agreement, AI revenue commentary, segment mix.</t>
  </si>
  <si>
    <t xml:space="preserve">Scenario narrative: bear</t>
  </si>
  <si>
    <t xml:space="preserve">Two of TE's axes break at once: a hyperscaler AI capex pause (or faster optical displacement of copper) stalls the fastest-growing piece of Industrial, and a China auto price war plus US-China tariff escalation hits the ~25% of sales and ~35% of auto revenue tied to China. FY27 +2% (Astrodyne only), FY28 -4%, with decremental margins taking pre-SBC EBITDA to 22.5% before recovering to a mid-cycle 23.5% (the 2017-2024 average band). Capex is cut to 4.8%. No solvency question -- net debt/EBITDA stays near 1x -- this is a cyclical earnings reset and a de-rating to a 13x cap, not a broken franchise.</t>
  </si>
  <si>
    <t xml:space="preserve">Scenario narrative: base</t>
  </si>
  <si>
    <t xml:space="preserve">FY27 revenue +9% (~7.5% organic plus ~1.3pp Astrodyne TDI): the AI cloud book (data and power connectivity, $3B target pulled ahead of FY27) and the 1.1x book-to-bill carry the first year, while Transportation grows a few points on electrification/ADAS content against flat global vehicle builds. Growth then glides from 7% to 3% as AI capex normalises and TE settles at its 4-6% organic business model plus bolt-ons. Pre-SBC EBITDA margin holds ~26% for two years and fades to a through-cycle 25.5%, i.e. FY26's record margin is not capitalised in perpetuity. TE stays the solid number two to Amphenol in AI interconnect -- shares the growth, does not win it outright.</t>
  </si>
  <si>
    <t xml:space="preserve">Scenario narrative: bull</t>
  </si>
  <si>
    <t xml:space="preserve">AI data-center connectivity keeps compounding well past the $3B target (power distribution and copper-in-rack hold up against optical), Industrial mix shift and Richards/Astrodyne power-grid adjacencies lift margin toward Amphenol-like levels (27.5% pre-SBC EBITDA), and auto content outperformance of 5-7 points over production continues via high-voltage EV/hybrid platforms and Chinese OEM export programs. Revenue +12%/+10%/+9% then decelerates to 3.5%; terminal growth 3% and a 17x cap reflect a higher-quality, more secular mix.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</si>
  <si>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</si>
  <si>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</si>
  <si>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</si>
  <si>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</si>
  <si>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</si>
  <si>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</si>
  <si>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</si>
  <si>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</si>
  <si>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</si>
  <si>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</si>
  <si>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</si>
  <si>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</si>
  <si>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</si>
  <si>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</si>
  <si>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</si>
  <si>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</si>
  <si>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</si>
  <si>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</si>
  <si>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</si>
  <si>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</si>
  <si>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</si>
  <si>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</si>
  <si>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</si>
  <si>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</si>
  <si>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</si>
  <si>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</si>
  <si>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</si>
  <si>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</si>
  <si>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</si>
  <si>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</si>
  <si>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</si>
  <si>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</si>
  <si>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</si>
  <si>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</si>
  <si>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</si>
  <si>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</si>
  <si>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</si>
  <si>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</si>
  <si>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</si>
  <si>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</si>
  <si>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</si>
  <si>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</si>
  <si>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</si>
  <si>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</si>
  <si>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</si>
  <si>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</si>
  <si>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</si>
  <si>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</si>
  <si>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</si>
  <si>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</si>
  <si>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</si>
  <si>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</si>
  <si>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</si>
  <si>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</si>
  <si>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</si>
  <si>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</si>
  <si>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</si>
  <si>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</si>
  <si>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</si>
  <si>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</si>
  <si>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</si>
  <si>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</si>
  <si>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</si>
  <si>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</si>
  <si>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</si>
  <si>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</si>
  <si>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</si>
  <si>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</si>
  <si>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</si>
  <si>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</si>
  <si>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</si>
  <si>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</si>
  <si>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</si>
  <si>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</si>
  <si>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</si>
  <si>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</si>
  <si>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</si>
  <si>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</si>
  <si>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</si>
  <si>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</si>
  <si>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</si>
  <si>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</si>
  <si>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</si>
  <si>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</si>
  <si>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</si>
  <si>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TEL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</si>
  <si>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</si>
  <si>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</si>
  <si>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</si>
  <si>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</si>
  <si>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</si>
  <si>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</si>
  <si>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</si>
  <si>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</si>
  <si>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</si>
  <si>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</si>
  <si>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</si>
  <si>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</si>
  <si>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</si>
  <si>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</si>
  <si>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</si>
  <si>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</si>
  <si>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</si>
  <si>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</si>
  <si>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</si>
  <si>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</si>
  <si>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</si>
  <si>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</si>
  <si>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</si>
  <si>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</si>
  <si>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</si>
  <si>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</si>
  <si>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</si>
  <si>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</si>
  <si>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</si>
  <si>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</si>
  <si>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TEL owner-FCF component DCF: base case (millions, USD)</t>
  </si>
  <si>
    <t xml:space="preserve">TEL owner-FCF component DCF: bull case (millions, USD)</t>
  </si>
  <si>
    <t xml:space="preserve">TEL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</si>
  <si>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</si>
  <si>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</si>
  <si>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</si>
  <si>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</si>
  <si>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</si>
  <si>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</si>
  <si>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</si>
  <si>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</si>
  <si>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</si>
  <si>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</si>
  <si>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</si>
  <si>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</si>
  <si>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</si>
  <si>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</si>
  <si>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</si>
  <si>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9.3%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</si>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</sst>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217.76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11160</v>
      </c>
      <c r="S2" s="0" t="n">
        <v>473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12574</v>
      </c>
      <c r="C3" s="0" t="n">
        <v>8855</v>
      </c>
      <c r="D3" s="0" t="n">
        <v>3719</v>
      </c>
      <c r="E3" s="0" t="n">
        <v>29.5769047240337</v>
      </c>
      <c r="F3" s="0" t="n">
        <v>655</v>
      </c>
      <c r="G3" s="0" t="n">
        <v>5.20916176236679</v>
      </c>
      <c r="H3" s="0" t="n">
        <v>1151</v>
      </c>
      <c r="I3" s="0" t="n">
        <v>-554</v>
      </c>
      <c r="J3" s="0" t="n">
        <v>-4.40591697152855</v>
      </c>
      <c r="K3" s="0" t="n">
        <v>-1.11</v>
      </c>
      <c r="L3" s="0" t="n">
        <v>1525</v>
      </c>
      <c r="M3" s="0" t="n">
        <v>863</v>
      </c>
      <c r="N3" s="0" t="n">
        <v>662</v>
      </c>
      <c r="O3" s="0" t="n">
        <v>11358</v>
      </c>
      <c r="S3" s="0" t="n">
        <v>944</v>
      </c>
      <c r="T3" s="0" t="n">
        <v>497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14373</v>
      </c>
      <c r="C4" s="0" t="n">
        <v>10200</v>
      </c>
      <c r="D4" s="0" t="n">
        <v>4173</v>
      </c>
      <c r="E4" s="0" t="n">
        <v>29.0336046754331</v>
      </c>
      <c r="F4" s="0" t="n">
        <v>1663</v>
      </c>
      <c r="G4" s="0" t="n">
        <v>11.5703054337995</v>
      </c>
      <c r="H4" s="0" t="n">
        <v>2202</v>
      </c>
      <c r="I4" s="0" t="n">
        <v>1692</v>
      </c>
      <c r="J4" s="0" t="n">
        <v>11.7720726361929</v>
      </c>
      <c r="K4" s="0" t="n">
        <v>3.49</v>
      </c>
      <c r="L4" s="0" t="n">
        <v>989</v>
      </c>
      <c r="M4" s="0" t="n">
        <v>610</v>
      </c>
      <c r="N4" s="0" t="n">
        <v>379</v>
      </c>
      <c r="O4" s="0" t="n">
        <v>11072</v>
      </c>
      <c r="P4" s="0" t="n">
        <v>21406</v>
      </c>
      <c r="Q4" s="0" t="n">
        <v>10517</v>
      </c>
      <c r="R4" s="0" t="n">
        <v>3181</v>
      </c>
      <c r="S4" s="0" t="n">
        <v>1090</v>
      </c>
      <c r="T4" s="0" t="n">
        <v>486</v>
      </c>
      <c r="U4" s="0" t="n">
        <v>62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10256</v>
      </c>
      <c r="C5" s="0" t="n">
        <v>7720</v>
      </c>
      <c r="D5" s="0" t="n">
        <v>2536</v>
      </c>
      <c r="E5" s="0" t="n">
        <v>24.7269890795632</v>
      </c>
      <c r="F5" s="0" t="n">
        <v>-3474</v>
      </c>
      <c r="G5" s="0" t="n">
        <v>-33.8728549141966</v>
      </c>
      <c r="H5" s="0" t="n">
        <v>-2959</v>
      </c>
      <c r="I5" s="0" t="n">
        <v>-3259</v>
      </c>
      <c r="J5" s="0" t="n">
        <v>-31.7765210608424</v>
      </c>
      <c r="K5" s="0" t="n">
        <v>-7.11</v>
      </c>
      <c r="L5" s="0" t="n">
        <v>1329</v>
      </c>
      <c r="M5" s="0" t="n">
        <v>328</v>
      </c>
      <c r="N5" s="0" t="n">
        <v>1001</v>
      </c>
      <c r="O5" s="0" t="n">
        <v>7006</v>
      </c>
      <c r="P5" s="0" t="n">
        <v>16018</v>
      </c>
      <c r="Q5" s="0" t="n">
        <v>9012</v>
      </c>
      <c r="R5" s="0" t="n">
        <v>2518</v>
      </c>
      <c r="S5" s="0" t="n">
        <v>1521</v>
      </c>
      <c r="T5" s="0" t="n">
        <v>459</v>
      </c>
      <c r="U5" s="0" t="n">
        <v>53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11681</v>
      </c>
      <c r="C6" s="0" t="n">
        <v>8038</v>
      </c>
      <c r="D6" s="0" t="n">
        <v>3643</v>
      </c>
      <c r="E6" s="0" t="n">
        <v>31.1873983391833</v>
      </c>
      <c r="F6" s="0" t="n">
        <v>1452</v>
      </c>
      <c r="G6" s="0" t="n">
        <v>12.4304425990925</v>
      </c>
      <c r="H6" s="0" t="n">
        <v>1966</v>
      </c>
      <c r="I6" s="0" t="n">
        <v>1109</v>
      </c>
      <c r="J6" s="0" t="n">
        <v>9.49405016693776</v>
      </c>
      <c r="K6" s="0" t="n">
        <v>2.43</v>
      </c>
      <c r="L6" s="0" t="n">
        <v>1679</v>
      </c>
      <c r="M6" s="0" t="n">
        <v>380</v>
      </c>
      <c r="N6" s="0" t="n">
        <v>1299</v>
      </c>
      <c r="O6" s="0" t="n">
        <v>7056</v>
      </c>
      <c r="P6" s="0" t="n">
        <v>16992</v>
      </c>
      <c r="Q6" s="0" t="n">
        <v>9936</v>
      </c>
      <c r="R6" s="0" t="n">
        <v>2519</v>
      </c>
      <c r="S6" s="0" t="n">
        <v>1990</v>
      </c>
      <c r="T6" s="0" t="n">
        <v>457</v>
      </c>
      <c r="U6" s="0" t="n">
        <v>64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13778</v>
      </c>
      <c r="C7" s="0" t="n">
        <v>9507</v>
      </c>
      <c r="D7" s="0" t="n">
        <v>4271</v>
      </c>
      <c r="E7" s="0" t="n">
        <v>30.9986935694586</v>
      </c>
      <c r="F7" s="0" t="n">
        <v>1687</v>
      </c>
      <c r="G7" s="0" t="n">
        <v>12.2441573523008</v>
      </c>
      <c r="H7" s="0" t="n">
        <v>2251</v>
      </c>
      <c r="I7" s="0" t="n">
        <v>1250</v>
      </c>
      <c r="J7" s="0" t="n">
        <v>9.07243431557555</v>
      </c>
      <c r="K7" s="0" t="n">
        <v>2.84</v>
      </c>
      <c r="L7" s="0" t="n">
        <v>1779</v>
      </c>
      <c r="M7" s="0" t="n">
        <v>574</v>
      </c>
      <c r="N7" s="0" t="n">
        <v>1205</v>
      </c>
      <c r="O7" s="0" t="n">
        <v>7484</v>
      </c>
      <c r="P7" s="0" t="n">
        <v>17723</v>
      </c>
      <c r="Q7" s="0" t="n">
        <v>10239</v>
      </c>
      <c r="R7" s="0" t="n">
        <v>2668</v>
      </c>
      <c r="S7" s="0" t="n">
        <v>1218</v>
      </c>
      <c r="T7" s="0" t="n">
        <v>443</v>
      </c>
      <c r="U7" s="0" t="n">
        <v>74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13282</v>
      </c>
      <c r="C8" s="0" t="n">
        <v>9236</v>
      </c>
      <c r="D8" s="0" t="n">
        <v>4046</v>
      </c>
      <c r="E8" s="0" t="n">
        <v>30.462279777142</v>
      </c>
      <c r="F8" s="0" t="n">
        <v>1518</v>
      </c>
      <c r="G8" s="0" t="n">
        <v>11.4290016563771</v>
      </c>
      <c r="H8" s="0" t="n">
        <v>2127</v>
      </c>
      <c r="I8" s="0" t="n">
        <v>1115</v>
      </c>
      <c r="J8" s="0" t="n">
        <v>8.3948200572203</v>
      </c>
      <c r="K8" s="0" t="n">
        <v>2.61</v>
      </c>
      <c r="L8" s="0" t="n">
        <v>1947</v>
      </c>
      <c r="M8" s="0" t="n">
        <v>533</v>
      </c>
      <c r="N8" s="0" t="n">
        <v>1414</v>
      </c>
      <c r="O8" s="0" t="n">
        <v>7977</v>
      </c>
      <c r="P8" s="0" t="n">
        <v>19306</v>
      </c>
      <c r="Q8" s="0" t="n">
        <v>11329</v>
      </c>
      <c r="R8" s="0" t="n">
        <v>4726</v>
      </c>
      <c r="S8" s="0" t="n">
        <v>1589</v>
      </c>
      <c r="T8" s="0" t="n">
        <v>430</v>
      </c>
      <c r="U8" s="0" t="n">
        <v>68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11390</v>
      </c>
      <c r="C9" s="0" t="n">
        <v>7739</v>
      </c>
      <c r="D9" s="0" t="n">
        <v>3651</v>
      </c>
      <c r="E9" s="0" t="n">
        <v>32.054433713784</v>
      </c>
      <c r="F9" s="0" t="n">
        <v>1385</v>
      </c>
      <c r="G9" s="0" t="n">
        <v>12.1597892888499</v>
      </c>
      <c r="H9" s="0" t="n">
        <v>1921</v>
      </c>
      <c r="I9" s="0" t="n">
        <v>1277</v>
      </c>
      <c r="J9" s="0" t="n">
        <v>11.2115891132572</v>
      </c>
      <c r="K9" s="0" t="n">
        <v>3.05</v>
      </c>
      <c r="L9" s="0" t="n">
        <v>2046</v>
      </c>
      <c r="M9" s="0" t="n">
        <v>581</v>
      </c>
      <c r="N9" s="0" t="n">
        <v>1465</v>
      </c>
      <c r="O9" s="0" t="n">
        <v>8386</v>
      </c>
      <c r="P9" s="0" t="n">
        <v>18461</v>
      </c>
      <c r="Q9" s="0" t="n">
        <v>10075</v>
      </c>
      <c r="R9" s="0" t="n">
        <v>3725</v>
      </c>
      <c r="S9" s="0" t="n">
        <v>1403</v>
      </c>
      <c r="T9" s="0" t="n">
        <v>423</v>
      </c>
      <c r="U9" s="0" t="n">
        <v>71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11973</v>
      </c>
      <c r="C10" s="0" t="n">
        <v>8001</v>
      </c>
      <c r="D10" s="0" t="n">
        <v>3972</v>
      </c>
      <c r="E10" s="0" t="n">
        <v>33.1746429466299</v>
      </c>
      <c r="F10" s="0" t="n">
        <v>1805</v>
      </c>
      <c r="G10" s="0" t="n">
        <v>15.0755867368245</v>
      </c>
      <c r="H10" s="0" t="n">
        <v>2356</v>
      </c>
      <c r="I10" s="0" t="n">
        <v>1781</v>
      </c>
      <c r="J10" s="0" t="n">
        <v>14.8751357220413</v>
      </c>
      <c r="K10" s="0" t="n">
        <v>4.34</v>
      </c>
      <c r="L10" s="0" t="n">
        <v>2083</v>
      </c>
      <c r="M10" s="0" t="n">
        <v>635</v>
      </c>
      <c r="N10" s="0" t="n">
        <v>1448</v>
      </c>
      <c r="O10" s="0" t="n">
        <v>9007</v>
      </c>
      <c r="P10" s="0" t="n">
        <v>20132</v>
      </c>
      <c r="Q10" s="0" t="n">
        <v>11139</v>
      </c>
      <c r="R10" s="0" t="n">
        <v>4435</v>
      </c>
      <c r="S10" s="0" t="n">
        <v>2457</v>
      </c>
      <c r="T10" s="0" t="n">
        <v>417</v>
      </c>
      <c r="U10" s="0" t="n">
        <v>77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12233</v>
      </c>
      <c r="C11" s="0" t="n">
        <v>8146</v>
      </c>
      <c r="D11" s="0" t="n">
        <v>4087</v>
      </c>
      <c r="E11" s="0" t="n">
        <v>33.4096296901823</v>
      </c>
      <c r="F11" s="0" t="n">
        <v>1749</v>
      </c>
      <c r="G11" s="0" t="n">
        <v>14.2973922995177</v>
      </c>
      <c r="H11" s="0" t="n">
        <v>2365</v>
      </c>
      <c r="I11" s="0" t="n">
        <v>2420</v>
      </c>
      <c r="J11" s="0" t="n">
        <v>19.7825553829805</v>
      </c>
      <c r="K11" s="0" t="n">
        <v>5.98</v>
      </c>
      <c r="L11" s="0" t="n">
        <v>1930</v>
      </c>
      <c r="M11" s="0" t="n">
        <v>600</v>
      </c>
      <c r="N11" s="0" t="n">
        <v>1330</v>
      </c>
      <c r="O11" s="0" t="n">
        <v>9585</v>
      </c>
      <c r="P11" s="0" t="n">
        <v>20589</v>
      </c>
      <c r="Q11" s="0" t="n">
        <v>11004</v>
      </c>
      <c r="R11" s="0" t="n">
        <v>4382</v>
      </c>
      <c r="S11" s="0" t="n">
        <v>3329</v>
      </c>
      <c r="T11" s="0" t="n">
        <v>411</v>
      </c>
      <c r="U11" s="0" t="n">
        <v>89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11352</v>
      </c>
      <c r="C12" s="0" t="n">
        <v>7525</v>
      </c>
      <c r="D12" s="0" t="n">
        <v>3827</v>
      </c>
      <c r="E12" s="0" t="n">
        <v>33.7121212121212</v>
      </c>
      <c r="F12" s="0" t="n">
        <v>1808</v>
      </c>
      <c r="G12" s="0" t="n">
        <v>15.9267089499648</v>
      </c>
      <c r="H12" s="0" t="n">
        <v>2368</v>
      </c>
      <c r="I12" s="0" t="n">
        <v>2009</v>
      </c>
      <c r="J12" s="0" t="n">
        <v>17.6973220577872</v>
      </c>
      <c r="K12" s="0" t="n">
        <v>5.49</v>
      </c>
      <c r="L12" s="0" t="n">
        <v>1947</v>
      </c>
      <c r="M12" s="0" t="n">
        <v>603</v>
      </c>
      <c r="N12" s="0" t="n">
        <v>1344</v>
      </c>
      <c r="O12" s="0" t="n">
        <v>8485</v>
      </c>
      <c r="P12" s="0" t="n">
        <v>17608</v>
      </c>
      <c r="Q12" s="0" t="n">
        <v>9123</v>
      </c>
      <c r="R12" s="0" t="n">
        <v>4401</v>
      </c>
      <c r="S12" s="0" t="n">
        <v>647</v>
      </c>
      <c r="T12" s="0" t="n">
        <v>369</v>
      </c>
      <c r="U12" s="0" t="n">
        <v>87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12185</v>
      </c>
      <c r="C13" s="0" t="n">
        <v>8002</v>
      </c>
      <c r="D13" s="0" t="n">
        <v>4183</v>
      </c>
      <c r="E13" s="0" t="n">
        <v>34.3290931473123</v>
      </c>
      <c r="F13" s="0" t="n">
        <v>1876</v>
      </c>
      <c r="G13" s="0" t="n">
        <v>15.3959786622897</v>
      </c>
      <c r="H13" s="0" t="n">
        <v>2487</v>
      </c>
      <c r="I13" s="0" t="n">
        <v>1683</v>
      </c>
      <c r="J13" s="0" t="n">
        <v>13.8120640131309</v>
      </c>
      <c r="K13" s="0" t="n">
        <v>4.74</v>
      </c>
      <c r="L13" s="0" t="n">
        <v>2321</v>
      </c>
      <c r="M13" s="0" t="n">
        <v>679</v>
      </c>
      <c r="N13" s="0" t="n">
        <v>1642</v>
      </c>
      <c r="O13" s="0" t="n">
        <v>9751</v>
      </c>
      <c r="P13" s="0" t="n">
        <v>19403</v>
      </c>
      <c r="Q13" s="0" t="n">
        <v>9652</v>
      </c>
      <c r="R13" s="0" t="n">
        <v>5054</v>
      </c>
      <c r="S13" s="0" t="n">
        <v>1218</v>
      </c>
      <c r="T13" s="0" t="n">
        <v>358</v>
      </c>
      <c r="U13" s="0" t="n">
        <v>95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13988</v>
      </c>
      <c r="C14" s="0" t="n">
        <v>9243</v>
      </c>
      <c r="D14" s="0" t="n">
        <v>4745</v>
      </c>
      <c r="E14" s="0" t="n">
        <v>33.9219330855019</v>
      </c>
      <c r="F14" s="0" t="n">
        <v>2331</v>
      </c>
      <c r="G14" s="0" t="n">
        <v>16.6642836717186</v>
      </c>
      <c r="H14" s="0" t="n">
        <v>2998</v>
      </c>
      <c r="I14" s="0" t="n">
        <v>2565</v>
      </c>
      <c r="J14" s="0" t="n">
        <v>18.3371461252502</v>
      </c>
      <c r="K14" s="0" t="n">
        <v>7.33</v>
      </c>
      <c r="L14" s="0" t="n">
        <v>2451</v>
      </c>
      <c r="M14" s="0" t="n">
        <v>935</v>
      </c>
      <c r="N14" s="0" t="n">
        <v>1516</v>
      </c>
      <c r="O14" s="0" t="n">
        <v>10831</v>
      </c>
      <c r="P14" s="0" t="n">
        <v>20386</v>
      </c>
      <c r="Q14" s="0" t="n">
        <v>9555</v>
      </c>
      <c r="R14" s="0" t="n">
        <v>4000</v>
      </c>
      <c r="S14" s="0" t="n">
        <v>848</v>
      </c>
      <c r="T14" s="0" t="n">
        <v>353</v>
      </c>
      <c r="U14" s="0" t="n">
        <v>95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13448</v>
      </c>
      <c r="C15" s="0" t="n">
        <v>9054</v>
      </c>
      <c r="D15" s="0" t="n">
        <v>4394</v>
      </c>
      <c r="E15" s="0" t="n">
        <v>32.674003569304</v>
      </c>
      <c r="F15" s="0" t="n">
        <v>1978</v>
      </c>
      <c r="G15" s="0" t="n">
        <v>14.708506841166</v>
      </c>
      <c r="H15" s="0" t="n">
        <v>2668</v>
      </c>
      <c r="I15" s="0" t="n">
        <v>1844</v>
      </c>
      <c r="J15" s="0" t="n">
        <v>13.7120761451517</v>
      </c>
      <c r="K15" s="0" t="n">
        <v>5.46</v>
      </c>
      <c r="L15" s="0" t="n">
        <v>2422</v>
      </c>
      <c r="M15" s="0" t="n">
        <v>749</v>
      </c>
      <c r="N15" s="0" t="n">
        <v>1673</v>
      </c>
      <c r="O15" s="0" t="n">
        <v>10570</v>
      </c>
      <c r="P15" s="0" t="n">
        <v>19694</v>
      </c>
      <c r="Q15" s="0" t="n">
        <v>9124</v>
      </c>
      <c r="R15" s="0" t="n">
        <v>3965</v>
      </c>
      <c r="S15" s="0" t="n">
        <v>927</v>
      </c>
      <c r="T15" s="0" t="n">
        <v>340</v>
      </c>
      <c r="U15" s="0" t="n">
        <v>75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12172</v>
      </c>
      <c r="C16" s="0" t="n">
        <v>8437</v>
      </c>
      <c r="D16" s="0" t="n">
        <v>3735</v>
      </c>
      <c r="E16" s="0" t="n">
        <v>30.6851790995728</v>
      </c>
      <c r="F16" s="0" t="n">
        <v>537</v>
      </c>
      <c r="G16" s="0" t="n">
        <v>4.41176470588235</v>
      </c>
      <c r="H16" s="0" t="n">
        <v>1248</v>
      </c>
      <c r="I16" s="0" t="n">
        <v>-241</v>
      </c>
      <c r="J16" s="0" t="n">
        <v>-1.97995399277029</v>
      </c>
      <c r="K16" s="0" t="n">
        <v>-0.73</v>
      </c>
      <c r="L16" s="0" t="n">
        <v>1992</v>
      </c>
      <c r="M16" s="0" t="n">
        <v>560</v>
      </c>
      <c r="N16" s="0" t="n">
        <v>1432</v>
      </c>
      <c r="O16" s="0" t="n">
        <v>9383</v>
      </c>
      <c r="P16" s="0" t="n">
        <v>19242</v>
      </c>
      <c r="Q16" s="0" t="n">
        <v>9747</v>
      </c>
      <c r="R16" s="0" t="n">
        <v>4146</v>
      </c>
      <c r="S16" s="0" t="n">
        <v>945</v>
      </c>
      <c r="T16" s="0" t="n">
        <v>332</v>
      </c>
      <c r="U16" s="0" t="n">
        <v>74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14923</v>
      </c>
      <c r="C17" s="0" t="n">
        <v>10036</v>
      </c>
      <c r="D17" s="0" t="n">
        <v>4887</v>
      </c>
      <c r="E17" s="0" t="n">
        <v>32.7481069490049</v>
      </c>
      <c r="F17" s="0" t="n">
        <v>2434</v>
      </c>
      <c r="G17" s="0" t="n">
        <v>16.3103933525431</v>
      </c>
      <c r="H17" s="0" t="n">
        <v>3203</v>
      </c>
      <c r="I17" s="0" t="n">
        <v>2261</v>
      </c>
      <c r="J17" s="0" t="n">
        <v>15.1511090263352</v>
      </c>
      <c r="K17" s="0" t="n">
        <v>6.85</v>
      </c>
      <c r="L17" s="0" t="n">
        <v>2676</v>
      </c>
      <c r="M17" s="0" t="n">
        <v>690</v>
      </c>
      <c r="N17" s="0" t="n">
        <v>1986</v>
      </c>
      <c r="O17" s="0" t="n">
        <v>10634</v>
      </c>
      <c r="P17" s="0" t="n">
        <v>21462</v>
      </c>
      <c r="Q17" s="0" t="n">
        <v>10714</v>
      </c>
      <c r="R17" s="0" t="n">
        <v>4092</v>
      </c>
      <c r="S17" s="0" t="n">
        <v>1203</v>
      </c>
      <c r="T17" s="0" t="n">
        <v>333</v>
      </c>
      <c r="U17" s="0" t="n">
        <v>94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16281</v>
      </c>
      <c r="C18" s="0" t="n">
        <v>11037</v>
      </c>
      <c r="D18" s="0" t="n">
        <v>5244</v>
      </c>
      <c r="E18" s="0" t="n">
        <v>32.2093237516123</v>
      </c>
      <c r="F18" s="0" t="n">
        <v>2756</v>
      </c>
      <c r="G18" s="0" t="n">
        <v>16.9277071432959</v>
      </c>
      <c r="H18" s="0" t="n">
        <v>3541</v>
      </c>
      <c r="I18" s="0" t="n">
        <v>2428</v>
      </c>
      <c r="J18" s="0" t="n">
        <v>14.9130888766046</v>
      </c>
      <c r="K18" s="0" t="n">
        <v>7.52</v>
      </c>
      <c r="L18" s="0" t="n">
        <v>2468</v>
      </c>
      <c r="M18" s="0" t="n">
        <v>768</v>
      </c>
      <c r="N18" s="0" t="n">
        <v>1700</v>
      </c>
      <c r="O18" s="0" t="n">
        <v>10802</v>
      </c>
      <c r="P18" s="0" t="n">
        <v>20782</v>
      </c>
      <c r="Q18" s="0" t="n">
        <v>9885</v>
      </c>
      <c r="R18" s="0" t="n">
        <v>4206</v>
      </c>
      <c r="S18" s="0" t="n">
        <v>1088</v>
      </c>
      <c r="T18" s="0" t="n">
        <v>325</v>
      </c>
      <c r="U18" s="0" t="n">
        <v>119</v>
      </c>
      <c r="V18" s="0" t="n">
        <v>2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16034</v>
      </c>
      <c r="C19" s="0" t="n">
        <v>10979</v>
      </c>
      <c r="D19" s="0" t="n">
        <v>5055</v>
      </c>
      <c r="E19" s="0" t="n">
        <v>31.526755644256</v>
      </c>
      <c r="F19" s="0" t="n">
        <v>2304</v>
      </c>
      <c r="G19" s="0" t="n">
        <v>14.3694648871149</v>
      </c>
      <c r="H19" s="0" t="n">
        <v>3098</v>
      </c>
      <c r="I19" s="0" t="n">
        <v>1910</v>
      </c>
      <c r="J19" s="0" t="n">
        <v>11.9121866034676</v>
      </c>
      <c r="K19" s="0" t="n">
        <v>6.06</v>
      </c>
      <c r="L19" s="0" t="n">
        <v>3132</v>
      </c>
      <c r="M19" s="0" t="n">
        <v>732</v>
      </c>
      <c r="N19" s="0" t="n">
        <v>2400</v>
      </c>
      <c r="O19" s="0" t="n">
        <v>11551</v>
      </c>
      <c r="P19" s="0" t="n">
        <v>21712</v>
      </c>
      <c r="Q19" s="0" t="n">
        <v>10057</v>
      </c>
      <c r="R19" s="0" t="n">
        <v>4211</v>
      </c>
      <c r="S19" s="0" t="n">
        <v>1661</v>
      </c>
      <c r="T19" s="0" t="n">
        <v>317</v>
      </c>
      <c r="U19" s="0" t="n">
        <v>123</v>
      </c>
      <c r="V19" s="0" t="n">
        <v>2.24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15845</v>
      </c>
      <c r="C20" s="0" t="n">
        <v>10389</v>
      </c>
      <c r="D20" s="0" t="n">
        <v>5456</v>
      </c>
      <c r="E20" s="0" t="n">
        <v>34.4335752603345</v>
      </c>
      <c r="F20" s="0" t="n">
        <v>2796</v>
      </c>
      <c r="G20" s="0" t="n">
        <v>17.6459450930893</v>
      </c>
      <c r="H20" s="0" t="n">
        <v>3622</v>
      </c>
      <c r="I20" s="0" t="n">
        <v>3193</v>
      </c>
      <c r="J20" s="0" t="n">
        <v>20.1514673398549</v>
      </c>
      <c r="K20" s="0" t="n">
        <v>10.4</v>
      </c>
      <c r="L20" s="0" t="n">
        <v>3477</v>
      </c>
      <c r="M20" s="0" t="n">
        <v>680</v>
      </c>
      <c r="N20" s="0" t="n">
        <v>2797</v>
      </c>
      <c r="O20" s="0" t="n">
        <v>12355</v>
      </c>
      <c r="P20" s="0" t="n">
        <v>22854</v>
      </c>
      <c r="Q20" s="0" t="n">
        <v>10368</v>
      </c>
      <c r="R20" s="0" t="n">
        <v>4203</v>
      </c>
      <c r="S20" s="0" t="n">
        <v>1319</v>
      </c>
      <c r="T20" s="0" t="n">
        <v>309</v>
      </c>
      <c r="U20" s="0" t="n">
        <v>127</v>
      </c>
      <c r="V20" s="0" t="n">
        <v>2.36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17262</v>
      </c>
      <c r="C21" s="0" t="n">
        <v>11183</v>
      </c>
      <c r="D21" s="0" t="n">
        <v>6079</v>
      </c>
      <c r="E21" s="0" t="n">
        <v>35.2160815664465</v>
      </c>
      <c r="F21" s="0" t="n">
        <v>3211</v>
      </c>
      <c r="G21" s="0" t="n">
        <v>18.6015525431584</v>
      </c>
      <c r="H21" s="0" t="n">
        <v>4049</v>
      </c>
      <c r="I21" s="0" t="n">
        <v>1842</v>
      </c>
      <c r="J21" s="0" t="n">
        <v>10.670837678137</v>
      </c>
      <c r="K21" s="0" t="n">
        <v>6.2</v>
      </c>
      <c r="L21" s="0" t="n">
        <v>4139</v>
      </c>
      <c r="M21" s="0" t="n">
        <v>936</v>
      </c>
      <c r="N21" s="0" t="n">
        <v>3203</v>
      </c>
      <c r="O21" s="0" t="n">
        <v>12585</v>
      </c>
      <c r="P21" s="0" t="n">
        <v>25081</v>
      </c>
      <c r="Q21" s="0" t="n">
        <v>12351</v>
      </c>
      <c r="R21" s="0" t="n">
        <v>5694</v>
      </c>
      <c r="S21" s="0" t="n">
        <v>1255</v>
      </c>
      <c r="T21" s="0" t="n">
        <v>299</v>
      </c>
      <c r="U21" s="0" t="n">
        <v>149</v>
      </c>
      <c r="V21" s="0" t="n">
        <v>2.6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217.76</v>
      </c>
    </row>
    <row r="3" customFormat="false" ht="15" hidden="false" customHeight="false" outlineLevel="0" collapsed="false">
      <c r="A3" s="0" t="s">
        <v>86</v>
      </c>
      <c r="B3" s="3" t="n">
        <v>293</v>
      </c>
    </row>
    <row r="4" customFormat="false" ht="15" hidden="false" customHeight="false" outlineLevel="0" collapsed="false">
      <c r="A4" s="0" t="s">
        <v>87</v>
      </c>
      <c r="B4" s="3" t="n">
        <v>4393</v>
      </c>
    </row>
    <row r="5" customFormat="false" ht="15" hidden="false" customHeight="false" outlineLevel="0" collapsed="false">
      <c r="A5" s="0" t="s">
        <v>88</v>
      </c>
      <c r="B5" s="3" t="n">
        <v>-1400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19823</v>
      </c>
    </row>
    <row r="8" customFormat="false" ht="15" hidden="false" customHeight="false" outlineLevel="0" collapsed="false">
      <c r="A8" s="0" t="s">
        <v>91</v>
      </c>
      <c r="B8" s="3" t="s">
        <v>92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2</v>
      </c>
      <c r="D13" s="3" t="n">
        <v>-4</v>
      </c>
      <c r="E13" s="3" t="n">
        <v>3</v>
      </c>
      <c r="F13" s="3" t="n">
        <v>4</v>
      </c>
      <c r="G13" s="3" t="n">
        <v>4</v>
      </c>
      <c r="H13" s="3" t="n">
        <v>3.5</v>
      </c>
      <c r="I13" s="3" t="n">
        <v>3</v>
      </c>
      <c r="J13" s="3" t="n">
        <v>3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108</v>
      </c>
      <c r="C14" s="3" t="n">
        <v>24.5</v>
      </c>
      <c r="D14" s="3" t="n">
        <v>22.5</v>
      </c>
      <c r="E14" s="3" t="n">
        <v>23</v>
      </c>
      <c r="F14" s="3" t="n">
        <v>23.5</v>
      </c>
      <c r="G14" s="3" t="n">
        <v>23.5</v>
      </c>
      <c r="H14" s="3" t="n">
        <v>23.5</v>
      </c>
      <c r="I14" s="3" t="n">
        <v>23.5</v>
      </c>
      <c r="J14" s="3" t="n">
        <v>23.5</v>
      </c>
      <c r="K14" s="3" t="n">
        <v>23.5</v>
      </c>
      <c r="L14" s="3" t="n">
        <v>23.5</v>
      </c>
    </row>
    <row r="15" customFormat="false" ht="15" hidden="false" customHeight="false" outlineLevel="0" collapsed="false">
      <c r="A15" s="0" t="s">
        <v>109</v>
      </c>
      <c r="C15" s="3" t="n">
        <v>0.87</v>
      </c>
      <c r="D15" s="3" t="n">
        <v>0.87</v>
      </c>
      <c r="E15" s="3" t="n">
        <v>0.85</v>
      </c>
      <c r="F15" s="3" t="n">
        <v>0.85</v>
      </c>
      <c r="G15" s="3" t="n">
        <v>0.85</v>
      </c>
      <c r="H15" s="3" t="n">
        <v>0.85</v>
      </c>
      <c r="I15" s="3" t="n">
        <v>0.85</v>
      </c>
      <c r="J15" s="3" t="n">
        <v>0.85</v>
      </c>
      <c r="K15" s="3" t="n">
        <v>0.85</v>
      </c>
      <c r="L15" s="3" t="n">
        <v>0.85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5.1</v>
      </c>
      <c r="D17" s="3" t="n">
        <v>5.2</v>
      </c>
      <c r="E17" s="3" t="n">
        <v>5.1</v>
      </c>
      <c r="F17" s="3" t="n">
        <v>5</v>
      </c>
      <c r="G17" s="3" t="n">
        <v>4.9</v>
      </c>
      <c r="H17" s="3" t="n">
        <v>4.9</v>
      </c>
      <c r="I17" s="3" t="n">
        <v>4.9</v>
      </c>
      <c r="J17" s="3" t="n">
        <v>4.9</v>
      </c>
      <c r="K17" s="3" t="n">
        <v>4.9</v>
      </c>
      <c r="L17" s="3" t="n">
        <v>4.9</v>
      </c>
    </row>
    <row r="18" customFormat="false" ht="15" hidden="false" customHeight="false" outlineLevel="0" collapsed="false">
      <c r="A18" s="0" t="s">
        <v>112</v>
      </c>
      <c r="C18" s="3" t="n">
        <v>5.4</v>
      </c>
      <c r="D18" s="3" t="n">
        <v>4.8</v>
      </c>
      <c r="E18" s="3" t="n">
        <v>4.8</v>
      </c>
      <c r="F18" s="3" t="n">
        <v>4.8</v>
      </c>
      <c r="G18" s="3" t="n">
        <v>4.8</v>
      </c>
      <c r="H18" s="3" t="n">
        <v>4.8</v>
      </c>
      <c r="I18" s="3" t="n">
        <v>4.8</v>
      </c>
      <c r="J18" s="3" t="n">
        <v>4.8</v>
      </c>
      <c r="K18" s="3" t="n">
        <v>4.8</v>
      </c>
      <c r="L18" s="3" t="n">
        <v>4.8</v>
      </c>
    </row>
    <row r="19" customFormat="false" ht="15" hidden="false" customHeight="false" outlineLevel="0" collapsed="false">
      <c r="A19" s="0" t="s">
        <v>113</v>
      </c>
      <c r="C19" s="3" t="n">
        <v>18</v>
      </c>
      <c r="D19" s="3" t="n">
        <v>18.5</v>
      </c>
      <c r="E19" s="3" t="n">
        <v>19</v>
      </c>
      <c r="F19" s="3" t="n">
        <v>19.5</v>
      </c>
      <c r="G19" s="3" t="n">
        <v>20</v>
      </c>
      <c r="H19" s="3" t="n">
        <v>20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114</v>
      </c>
      <c r="B20" s="3" t="n">
        <v>9.3</v>
      </c>
    </row>
    <row r="21" customFormat="false" ht="15" hidden="false" customHeight="false" outlineLevel="0" collapsed="false">
      <c r="A21" s="0" t="s">
        <v>115</v>
      </c>
      <c r="B21" s="3" t="n">
        <v>2</v>
      </c>
    </row>
    <row r="22" customFormat="false" ht="15" hidden="false" customHeight="false" outlineLevel="0" collapsed="false">
      <c r="A22" s="0" t="s">
        <v>116</v>
      </c>
      <c r="B22" s="3" t="n">
        <v>13</v>
      </c>
    </row>
    <row r="23" customFormat="false" ht="15" hidden="false" customHeight="false" outlineLevel="0" collapsed="false">
      <c r="A23" s="0" t="s">
        <v>117</v>
      </c>
      <c r="B23" s="3" t="n">
        <v>-17</v>
      </c>
    </row>
    <row r="24" customFormat="false" ht="15" hidden="false" customHeight="false" outlineLevel="0" collapsed="false">
      <c r="A24" s="0" t="s">
        <v>118</v>
      </c>
      <c r="B24" s="3" t="n">
        <v>0.2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9</v>
      </c>
      <c r="D27" s="3" t="n">
        <v>7</v>
      </c>
      <c r="E27" s="3" t="n">
        <v>6</v>
      </c>
      <c r="F27" s="3" t="n">
        <v>5.5</v>
      </c>
      <c r="G27" s="3" t="n">
        <v>5</v>
      </c>
      <c r="H27" s="3" t="n">
        <v>4.5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108</v>
      </c>
      <c r="C28" s="3" t="n">
        <v>26.2</v>
      </c>
      <c r="D28" s="3" t="n">
        <v>26.2</v>
      </c>
      <c r="E28" s="3" t="n">
        <v>26</v>
      </c>
      <c r="F28" s="3" t="n">
        <v>25.8</v>
      </c>
      <c r="G28" s="3" t="n">
        <v>25.5</v>
      </c>
      <c r="H28" s="3" t="n">
        <v>25.5</v>
      </c>
      <c r="I28" s="3" t="n">
        <v>25.5</v>
      </c>
      <c r="J28" s="3" t="n">
        <v>25.5</v>
      </c>
      <c r="K28" s="3" t="n">
        <v>25.5</v>
      </c>
      <c r="L28" s="3" t="n">
        <v>25.5</v>
      </c>
    </row>
    <row r="29" customFormat="false" ht="15" hidden="false" customHeight="false" outlineLevel="0" collapsed="false">
      <c r="A29" s="0" t="s">
        <v>109</v>
      </c>
      <c r="C29" s="3" t="n">
        <v>0.87</v>
      </c>
      <c r="D29" s="3" t="n">
        <v>0.87</v>
      </c>
      <c r="E29" s="3" t="n">
        <v>0.85</v>
      </c>
      <c r="F29" s="3" t="n">
        <v>0.85</v>
      </c>
      <c r="G29" s="3" t="n">
        <v>0.85</v>
      </c>
      <c r="H29" s="3" t="n">
        <v>0.85</v>
      </c>
      <c r="I29" s="3" t="n">
        <v>0.85</v>
      </c>
      <c r="J29" s="3" t="n">
        <v>0.85</v>
      </c>
      <c r="K29" s="3" t="n">
        <v>0.85</v>
      </c>
      <c r="L29" s="3" t="n">
        <v>0.85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5.1</v>
      </c>
      <c r="D31" s="3" t="n">
        <v>5</v>
      </c>
      <c r="E31" s="3" t="n">
        <v>5</v>
      </c>
      <c r="F31" s="3" t="n">
        <v>4.9</v>
      </c>
      <c r="G31" s="3" t="n">
        <v>4.8</v>
      </c>
      <c r="H31" s="3" t="n">
        <v>4.8</v>
      </c>
      <c r="I31" s="3" t="n">
        <v>4.8</v>
      </c>
      <c r="J31" s="3" t="n">
        <v>4.8</v>
      </c>
      <c r="K31" s="3" t="n">
        <v>4.8</v>
      </c>
      <c r="L31" s="3" t="n">
        <v>4.8</v>
      </c>
    </row>
    <row r="32" customFormat="false" ht="15" hidden="false" customHeight="false" outlineLevel="0" collapsed="false">
      <c r="A32" s="0" t="s">
        <v>112</v>
      </c>
      <c r="C32" s="3" t="n">
        <v>5.6</v>
      </c>
      <c r="D32" s="3" t="n">
        <v>5.5</v>
      </c>
      <c r="E32" s="3" t="n">
        <v>5.3</v>
      </c>
      <c r="F32" s="3" t="n">
        <v>5.2</v>
      </c>
      <c r="G32" s="3" t="n">
        <v>5</v>
      </c>
      <c r="H32" s="3" t="n">
        <v>5</v>
      </c>
      <c r="I32" s="3" t="n">
        <v>5</v>
      </c>
      <c r="J32" s="3" t="n">
        <v>5</v>
      </c>
      <c r="K32" s="3" t="n">
        <v>5</v>
      </c>
      <c r="L32" s="3" t="n">
        <v>5</v>
      </c>
    </row>
    <row r="33" customFormat="false" ht="15" hidden="false" customHeight="false" outlineLevel="0" collapsed="false">
      <c r="A33" s="0" t="s">
        <v>113</v>
      </c>
      <c r="C33" s="3" t="n">
        <v>18</v>
      </c>
      <c r="D33" s="3" t="n">
        <v>18.5</v>
      </c>
      <c r="E33" s="3" t="n">
        <v>19</v>
      </c>
      <c r="F33" s="3" t="n">
        <v>19.5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114</v>
      </c>
      <c r="B34" s="3" t="n">
        <v>9.3</v>
      </c>
    </row>
    <row r="35" customFormat="false" ht="15" hidden="false" customHeight="false" outlineLevel="0" collapsed="false">
      <c r="A35" s="0" t="s">
        <v>115</v>
      </c>
      <c r="B35" s="3" t="n">
        <v>2.5</v>
      </c>
    </row>
    <row r="36" customFormat="false" ht="15" hidden="false" customHeight="false" outlineLevel="0" collapsed="false">
      <c r="A36" s="0" t="s">
        <v>116</v>
      </c>
      <c r="B36" s="3" t="n">
        <v>15</v>
      </c>
    </row>
    <row r="37" customFormat="false" ht="15" hidden="false" customHeight="false" outlineLevel="0" collapsed="false">
      <c r="A37" s="0" t="s">
        <v>117</v>
      </c>
      <c r="B37" s="3" t="n">
        <v>-17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12</v>
      </c>
      <c r="D41" s="3" t="n">
        <v>10</v>
      </c>
      <c r="E41" s="3" t="n">
        <v>9</v>
      </c>
      <c r="F41" s="3" t="n">
        <v>8</v>
      </c>
      <c r="G41" s="3" t="n">
        <v>7</v>
      </c>
      <c r="H41" s="3" t="n">
        <v>6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108</v>
      </c>
      <c r="C42" s="3" t="n">
        <v>26.5</v>
      </c>
      <c r="D42" s="3" t="n">
        <v>27</v>
      </c>
      <c r="E42" s="3" t="n">
        <v>27.3</v>
      </c>
      <c r="F42" s="3" t="n">
        <v>27.5</v>
      </c>
      <c r="G42" s="3" t="n">
        <v>27.5</v>
      </c>
      <c r="H42" s="3" t="n">
        <v>27.5</v>
      </c>
      <c r="I42" s="3" t="n">
        <v>27.5</v>
      </c>
      <c r="J42" s="3" t="n">
        <v>27.5</v>
      </c>
      <c r="K42" s="3" t="n">
        <v>27.5</v>
      </c>
      <c r="L42" s="3" t="n">
        <v>27.5</v>
      </c>
    </row>
    <row r="43" customFormat="false" ht="15" hidden="false" customHeight="false" outlineLevel="0" collapsed="false">
      <c r="A43" s="0" t="s">
        <v>109</v>
      </c>
      <c r="C43" s="3" t="n">
        <v>0.87</v>
      </c>
      <c r="D43" s="3" t="n">
        <v>0.87</v>
      </c>
      <c r="E43" s="3" t="n">
        <v>0.85</v>
      </c>
      <c r="F43" s="3" t="n">
        <v>0.85</v>
      </c>
      <c r="G43" s="3" t="n">
        <v>0.85</v>
      </c>
      <c r="H43" s="3" t="n">
        <v>0.85</v>
      </c>
      <c r="I43" s="3" t="n">
        <v>0.85</v>
      </c>
      <c r="J43" s="3" t="n">
        <v>0.85</v>
      </c>
      <c r="K43" s="3" t="n">
        <v>0.85</v>
      </c>
      <c r="L43" s="3" t="n">
        <v>0.85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5.1</v>
      </c>
      <c r="D45" s="3" t="n">
        <v>5</v>
      </c>
      <c r="E45" s="3" t="n">
        <v>5</v>
      </c>
      <c r="F45" s="3" t="n">
        <v>4.9</v>
      </c>
      <c r="G45" s="3" t="n">
        <v>4.8</v>
      </c>
      <c r="H45" s="3" t="n">
        <v>4.8</v>
      </c>
      <c r="I45" s="3" t="n">
        <v>4.8</v>
      </c>
      <c r="J45" s="3" t="n">
        <v>4.8</v>
      </c>
      <c r="K45" s="3" t="n">
        <v>4.8</v>
      </c>
      <c r="L45" s="3" t="n">
        <v>4.8</v>
      </c>
    </row>
    <row r="46" customFormat="false" ht="15" hidden="false" customHeight="false" outlineLevel="0" collapsed="false">
      <c r="A46" s="0" t="s">
        <v>112</v>
      </c>
      <c r="C46" s="3" t="n">
        <v>5.8</v>
      </c>
      <c r="D46" s="3" t="n">
        <v>5.7</v>
      </c>
      <c r="E46" s="3" t="n">
        <v>5.5</v>
      </c>
      <c r="F46" s="3" t="n">
        <v>5.4</v>
      </c>
      <c r="G46" s="3" t="n">
        <v>5.2</v>
      </c>
      <c r="H46" s="3" t="n">
        <v>5.2</v>
      </c>
      <c r="I46" s="3" t="n">
        <v>5.2</v>
      </c>
      <c r="J46" s="3" t="n">
        <v>5.2</v>
      </c>
      <c r="K46" s="3" t="n">
        <v>5.2</v>
      </c>
      <c r="L46" s="3" t="n">
        <v>5.2</v>
      </c>
    </row>
    <row r="47" customFormat="false" ht="15" hidden="false" customHeight="false" outlineLevel="0" collapsed="false">
      <c r="A47" s="0" t="s">
        <v>113</v>
      </c>
      <c r="C47" s="3" t="n">
        <v>18</v>
      </c>
      <c r="D47" s="3" t="n">
        <v>18.5</v>
      </c>
      <c r="E47" s="3" t="n">
        <v>19</v>
      </c>
      <c r="F47" s="3" t="n">
        <v>19.5</v>
      </c>
      <c r="G47" s="3" t="n">
        <v>20</v>
      </c>
      <c r="H47" s="3" t="n">
        <v>20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114</v>
      </c>
      <c r="B48" s="3" t="n">
        <v>9.3</v>
      </c>
    </row>
    <row r="49" customFormat="false" ht="15" hidden="false" customHeight="false" outlineLevel="0" collapsed="false">
      <c r="A49" s="0" t="s">
        <v>115</v>
      </c>
      <c r="B49" s="3" t="n">
        <v>3</v>
      </c>
    </row>
    <row r="50" customFormat="false" ht="15" hidden="false" customHeight="false" outlineLevel="0" collapsed="false">
      <c r="A50" s="0" t="s">
        <v>116</v>
      </c>
      <c r="B50" s="3" t="n">
        <v>17</v>
      </c>
    </row>
    <row r="51" customFormat="false" ht="15" hidden="false" customHeight="false" outlineLevel="0" collapsed="false">
      <c r="A51" s="0" t="s">
        <v>117</v>
      </c>
      <c r="B51" s="3" t="n">
        <v>-17</v>
      </c>
    </row>
    <row r="52" customFormat="false" ht="15" hidden="false" customHeight="false" outlineLevel="0" collapsed="false">
      <c r="A52" s="0" t="s">
        <v>118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2</v>
      </c>
      <c r="D5" s="4" t="n">
        <f aca="false">Assumptions!D13</f>
        <v>-4</v>
      </c>
      <c r="E5" s="4" t="n">
        <f aca="false">Assumptions!E13</f>
        <v>3</v>
      </c>
      <c r="F5" s="4" t="n">
        <f aca="false">Assumptions!F13</f>
        <v>4</v>
      </c>
      <c r="G5" s="4" t="n">
        <f aca="false">Assumptions!G13</f>
        <v>4</v>
      </c>
      <c r="H5" s="4" t="n">
        <f aca="false">Assumptions!H13</f>
        <v>3.5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19823</v>
      </c>
      <c r="C6" s="0" t="n">
        <f aca="false">B6*(1+C5/100)</f>
        <v>20219.46</v>
      </c>
      <c r="D6" s="0" t="n">
        <f aca="false">C6*(1+D5/100)</f>
        <v>19410.6816</v>
      </c>
      <c r="E6" s="0" t="n">
        <f aca="false">D6*(1+E5/100)</f>
        <v>19993.002048</v>
      </c>
      <c r="F6" s="0" t="n">
        <f aca="false">E6*(1+F5/100)</f>
        <v>20792.72212992</v>
      </c>
      <c r="G6" s="0" t="n">
        <f aca="false">F6*(1+G5/100)</f>
        <v>21624.4310151168</v>
      </c>
      <c r="H6" s="0" t="n">
        <f aca="false">G6*(1+H5/100)</f>
        <v>22381.2861006459</v>
      </c>
      <c r="I6" s="0" t="n">
        <f aca="false">H6*(1+I5/100)</f>
        <v>23052.7246836653</v>
      </c>
      <c r="J6" s="0" t="n">
        <f aca="false">I6*(1+J5/100)</f>
        <v>23744.3064241752</v>
      </c>
      <c r="K6" s="0" t="n">
        <f aca="false">J6*(1+K5/100)</f>
        <v>24337.9140847796</v>
      </c>
      <c r="L6" s="0" t="n">
        <f aca="false">K6*(1+L5/100)</f>
        <v>24946.3619368991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24.5</v>
      </c>
      <c r="D7" s="4" t="n">
        <f aca="false">Assumptions!D14</f>
        <v>22.5</v>
      </c>
      <c r="E7" s="4" t="n">
        <f aca="false">Assumptions!E14</f>
        <v>23</v>
      </c>
      <c r="F7" s="4" t="n">
        <f aca="false">Assumptions!F14</f>
        <v>23.5</v>
      </c>
      <c r="G7" s="4" t="n">
        <f aca="false">Assumptions!G14</f>
        <v>23.5</v>
      </c>
      <c r="H7" s="4" t="n">
        <f aca="false">Assumptions!H14</f>
        <v>23.5</v>
      </c>
      <c r="I7" s="4" t="n">
        <f aca="false">Assumptions!I14</f>
        <v>23.5</v>
      </c>
      <c r="J7" s="4" t="n">
        <f aca="false">Assumptions!J14</f>
        <v>23.5</v>
      </c>
      <c r="K7" s="4" t="n">
        <f aca="false">Assumptions!K14</f>
        <v>23.5</v>
      </c>
      <c r="L7" s="4" t="n">
        <f aca="false">Assumptions!L14</f>
        <v>23.5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4953.7677</v>
      </c>
      <c r="D8" s="0" t="n">
        <f aca="false">D6*D7/100</f>
        <v>4367.40336</v>
      </c>
      <c r="E8" s="0" t="n">
        <f aca="false">E6*E7/100</f>
        <v>4598.39047104</v>
      </c>
      <c r="F8" s="0" t="n">
        <f aca="false">F6*F7/100</f>
        <v>4886.2897005312</v>
      </c>
      <c r="G8" s="0" t="n">
        <f aca="false">G6*G7/100</f>
        <v>5081.74128855245</v>
      </c>
      <c r="H8" s="0" t="n">
        <f aca="false">H6*H7/100</f>
        <v>5259.60223365178</v>
      </c>
      <c r="I8" s="0" t="n">
        <f aca="false">I6*I7/100</f>
        <v>5417.39030066134</v>
      </c>
      <c r="J8" s="0" t="n">
        <f aca="false">J6*J7/100</f>
        <v>5579.91200968118</v>
      </c>
      <c r="K8" s="0" t="n">
        <f aca="false">K6*K7/100</f>
        <v>5719.40980992321</v>
      </c>
      <c r="L8" s="0" t="n">
        <f aca="false">L6*L7/100</f>
        <v>5862.39505517129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0.87</v>
      </c>
      <c r="D9" s="4" t="n">
        <f aca="false">Assumptions!D15</f>
        <v>0.87</v>
      </c>
      <c r="E9" s="4" t="n">
        <f aca="false">Assumptions!E15</f>
        <v>0.85</v>
      </c>
      <c r="F9" s="4" t="n">
        <f aca="false">Assumptions!F15</f>
        <v>0.85</v>
      </c>
      <c r="G9" s="4" t="n">
        <f aca="false">Assumptions!G15</f>
        <v>0.85</v>
      </c>
      <c r="H9" s="4" t="n">
        <f aca="false">Assumptions!H15</f>
        <v>0.85</v>
      </c>
      <c r="I9" s="4" t="n">
        <f aca="false">Assumptions!I15</f>
        <v>0.85</v>
      </c>
      <c r="J9" s="4" t="n">
        <f aca="false">Assumptions!J15</f>
        <v>0.85</v>
      </c>
      <c r="K9" s="4" t="n">
        <f aca="false">Assumptions!K15</f>
        <v>0.85</v>
      </c>
      <c r="L9" s="4" t="n">
        <f aca="false">Assumptions!L15</f>
        <v>0.85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-175.909302</v>
      </c>
      <c r="D10" s="0" t="n">
        <f aca="false">-D6*D9/100</f>
        <v>-168.87292992</v>
      </c>
      <c r="E10" s="0" t="n">
        <f aca="false">-E6*E9/100</f>
        <v>-169.940517408</v>
      </c>
      <c r="F10" s="0" t="n">
        <f aca="false">-F6*F9/100</f>
        <v>-176.73813810432</v>
      </c>
      <c r="G10" s="0" t="n">
        <f aca="false">-G6*G9/100</f>
        <v>-183.807663628493</v>
      </c>
      <c r="H10" s="0" t="n">
        <f aca="false">-H6*H9/100</f>
        <v>-190.24093185549</v>
      </c>
      <c r="I10" s="0" t="n">
        <f aca="false">-I6*I9/100</f>
        <v>-195.948159811155</v>
      </c>
      <c r="J10" s="0" t="n">
        <f aca="false">-J6*J9/100</f>
        <v>-201.826604605489</v>
      </c>
      <c r="K10" s="0" t="n">
        <f aca="false">-K6*K9/100</f>
        <v>-206.872269720627</v>
      </c>
      <c r="L10" s="0" t="n">
        <f aca="false">-L6*L9/100</f>
        <v>-212.044076463642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4777.858398</v>
      </c>
      <c r="D11" s="0" t="n">
        <f aca="false">D8+D10+D24</f>
        <v>4198.53043008</v>
      </c>
      <c r="E11" s="0" t="n">
        <f aca="false">E8+E10+E24</f>
        <v>4428.449953632</v>
      </c>
      <c r="F11" s="0" t="n">
        <f aca="false">F8+F10+F24</f>
        <v>4709.55156242688</v>
      </c>
      <c r="G11" s="0" t="n">
        <f aca="false">G8+G10+G24</f>
        <v>4897.93362492396</v>
      </c>
      <c r="H11" s="0" t="n">
        <f aca="false">H8+H10+H24</f>
        <v>5069.36130179629</v>
      </c>
      <c r="I11" s="0" t="n">
        <f aca="false">I8+I10+I24</f>
        <v>5221.44214085018</v>
      </c>
      <c r="J11" s="0" t="n">
        <f aca="false">J8+J10+J24</f>
        <v>5378.08540507569</v>
      </c>
      <c r="K11" s="0" t="n">
        <f aca="false">K8+K10+K24</f>
        <v>5512.53754020258</v>
      </c>
      <c r="L11" s="0" t="n">
        <f aca="false">L8+L10+L24</f>
        <v>5650.35097870764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-1031.19246</v>
      </c>
      <c r="D12" s="4" t="n">
        <f aca="false">-D6*Assumptions!D17/100</f>
        <v>-1009.3554432</v>
      </c>
      <c r="E12" s="4" t="n">
        <f aca="false">-E6*Assumptions!E17/100</f>
        <v>-1019.643104448</v>
      </c>
      <c r="F12" s="4" t="n">
        <f aca="false">-F6*Assumptions!F17/100</f>
        <v>-1039.636106496</v>
      </c>
      <c r="G12" s="4" t="n">
        <f aca="false">-G6*Assumptions!G17/100</f>
        <v>-1059.59711974072</v>
      </c>
      <c r="H12" s="4" t="n">
        <f aca="false">-H6*Assumptions!H17/100</f>
        <v>-1096.68301893165</v>
      </c>
      <c r="I12" s="4" t="n">
        <f aca="false">-I6*Assumptions!I17/100</f>
        <v>-1129.5835094996</v>
      </c>
      <c r="J12" s="4" t="n">
        <f aca="false">-J6*Assumptions!J17/100</f>
        <v>-1163.47101478459</v>
      </c>
      <c r="K12" s="4" t="n">
        <f aca="false">-K6*Assumptions!K17/100</f>
        <v>-1192.5577901542</v>
      </c>
      <c r="L12" s="4" t="n">
        <f aca="false">-L6*Assumptions!L17/100</f>
        <v>-1222.37173490806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3746.665938</v>
      </c>
      <c r="D13" s="0" t="n">
        <f aca="false">D11+D12</f>
        <v>3189.17498688</v>
      </c>
      <c r="E13" s="0" t="n">
        <f aca="false">E11+E12</f>
        <v>3408.806849184</v>
      </c>
      <c r="F13" s="0" t="n">
        <f aca="false">F11+F12</f>
        <v>3669.91545593088</v>
      </c>
      <c r="G13" s="0" t="n">
        <f aca="false">G11+G12</f>
        <v>3838.33650518323</v>
      </c>
      <c r="H13" s="0" t="n">
        <f aca="false">H11+H12</f>
        <v>3972.67828286464</v>
      </c>
      <c r="I13" s="0" t="n">
        <f aca="false">I11+I12</f>
        <v>4091.85863135058</v>
      </c>
      <c r="J13" s="0" t="n">
        <f aca="false">J11+J12</f>
        <v>4214.6143902911</v>
      </c>
      <c r="K13" s="0" t="n">
        <f aca="false">K11+K12</f>
        <v>4319.97975004838</v>
      </c>
      <c r="L13" s="0" t="n">
        <f aca="false">L11+L12</f>
        <v>4427.97924379959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18</v>
      </c>
      <c r="D14" s="4" t="n">
        <f aca="false">Assumptions!D19</f>
        <v>18.5</v>
      </c>
      <c r="E14" s="4" t="n">
        <f aca="false">Assumptions!E19</f>
        <v>19</v>
      </c>
      <c r="F14" s="4" t="n">
        <f aca="false">Assumptions!F19</f>
        <v>19.5</v>
      </c>
      <c r="G14" s="4" t="n">
        <f aca="false">Assumptions!G19</f>
        <v>20</v>
      </c>
      <c r="H14" s="4" t="n">
        <f aca="false">Assumptions!H19</f>
        <v>20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3072.26606916</v>
      </c>
      <c r="D15" s="0" t="n">
        <f aca="false">D13-MAX(0,D13)*D14/100</f>
        <v>2599.1776143072</v>
      </c>
      <c r="E15" s="0" t="n">
        <f aca="false">E13-MAX(0,E13)*E14/100</f>
        <v>2761.13354783904</v>
      </c>
      <c r="F15" s="0" t="n">
        <f aca="false">F13-MAX(0,F13)*F14/100</f>
        <v>2954.28194202436</v>
      </c>
      <c r="G15" s="0" t="n">
        <f aca="false">G13-MAX(0,G13)*G14/100</f>
        <v>3070.66920414659</v>
      </c>
      <c r="H15" s="0" t="n">
        <f aca="false">H13-MAX(0,H13)*H14/100</f>
        <v>3178.14262629172</v>
      </c>
      <c r="I15" s="0" t="n">
        <f aca="false">I13-MAX(0,I13)*I14/100</f>
        <v>3273.48690508047</v>
      </c>
      <c r="J15" s="0" t="n">
        <f aca="false">J13-MAX(0,J13)*J14/100</f>
        <v>3371.69151223288</v>
      </c>
      <c r="K15" s="0" t="n">
        <f aca="false">K13-MAX(0,K13)*K14/100</f>
        <v>3455.9838000387</v>
      </c>
      <c r="L15" s="0" t="n">
        <f aca="false">L13-MAX(0,L13)*L14/100</f>
        <v>3542.38339503967</v>
      </c>
    </row>
    <row r="16" customFormat="false" ht="15" hidden="false" customHeight="false" outlineLevel="0" collapsed="false">
      <c r="A16" s="0" t="s">
        <v>129</v>
      </c>
      <c r="C16" s="0" t="n">
        <f aca="false">-C12</f>
        <v>1031.19246</v>
      </c>
      <c r="D16" s="0" t="n">
        <f aca="false">-D12</f>
        <v>1009.3554432</v>
      </c>
      <c r="E16" s="0" t="n">
        <f aca="false">-E12</f>
        <v>1019.643104448</v>
      </c>
      <c r="F16" s="0" t="n">
        <f aca="false">-F12</f>
        <v>1039.636106496</v>
      </c>
      <c r="G16" s="0" t="n">
        <f aca="false">-G12</f>
        <v>1059.59711974072</v>
      </c>
      <c r="H16" s="0" t="n">
        <f aca="false">-H12</f>
        <v>1096.68301893165</v>
      </c>
      <c r="I16" s="0" t="n">
        <f aca="false">-I12</f>
        <v>1129.5835094996</v>
      </c>
      <c r="J16" s="0" t="n">
        <f aca="false">-J12</f>
        <v>1163.47101478459</v>
      </c>
      <c r="K16" s="0" t="n">
        <f aca="false">-K12</f>
        <v>1192.5577901542</v>
      </c>
      <c r="L16" s="0" t="n">
        <f aca="false">-L12</f>
        <v>1222.37173490806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-1091.85084</v>
      </c>
      <c r="D17" s="4" t="n">
        <f aca="false">-D6*Assumptions!D18/100</f>
        <v>-931.7127168</v>
      </c>
      <c r="E17" s="4" t="n">
        <f aca="false">-E6*Assumptions!E18/100</f>
        <v>-959.664098304</v>
      </c>
      <c r="F17" s="4" t="n">
        <f aca="false">-F6*Assumptions!F18/100</f>
        <v>-998.05066223616</v>
      </c>
      <c r="G17" s="4" t="n">
        <f aca="false">-G6*Assumptions!G18/100</f>
        <v>-1037.97268872561</v>
      </c>
      <c r="H17" s="4" t="n">
        <f aca="false">-H6*Assumptions!H18/100</f>
        <v>-1074.301732831</v>
      </c>
      <c r="I17" s="4" t="n">
        <f aca="false">-I6*Assumptions!I18/100</f>
        <v>-1106.53078481593</v>
      </c>
      <c r="J17" s="4" t="n">
        <f aca="false">-J6*Assumptions!J18/100</f>
        <v>-1139.72670836041</v>
      </c>
      <c r="K17" s="4" t="n">
        <f aca="false">-K6*Assumptions!K18/100</f>
        <v>-1168.21987606942</v>
      </c>
      <c r="L17" s="4" t="n">
        <f aca="false">-L6*Assumptions!L18/100</f>
        <v>-1197.42537297116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-67.3981999999999</v>
      </c>
      <c r="D18" s="4" t="n">
        <f aca="false">(D6-C6)*Assumptions!$B$23/100</f>
        <v>137.492328</v>
      </c>
      <c r="E18" s="4" t="n">
        <f aca="false">(E6-D6)*Assumptions!$B$23/100</f>
        <v>-98.9944761600004</v>
      </c>
      <c r="F18" s="4" t="n">
        <f aca="false">(F6-E6)*Assumptions!$B$23/100</f>
        <v>-135.9524139264</v>
      </c>
      <c r="G18" s="4" t="n">
        <f aca="false">(G6-F6)*Assumptions!$B$23/100</f>
        <v>-141.390510483456</v>
      </c>
      <c r="H18" s="4" t="n">
        <f aca="false">(H6-G6)*Assumptions!$B$23/100</f>
        <v>-128.665364539944</v>
      </c>
      <c r="I18" s="4" t="n">
        <f aca="false">(I6-H6)*Assumptions!$B$23/100</f>
        <v>-114.144559113294</v>
      </c>
      <c r="J18" s="4" t="n">
        <f aca="false">(J6-I6)*Assumptions!$B$23/100</f>
        <v>-117.568895886693</v>
      </c>
      <c r="K18" s="4" t="n">
        <f aca="false">(K6-J6)*Assumptions!$B$23/100</f>
        <v>-100.913302302744</v>
      </c>
      <c r="L18" s="4" t="n">
        <f aca="false">(L6-K6)*Assumptions!$B$23/100</f>
        <v>-103.436134860313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2944.20948916</v>
      </c>
      <c r="D19" s="0" t="n">
        <f aca="false">D15+D16+D17+D18</f>
        <v>2814.3126687072</v>
      </c>
      <c r="E19" s="0" t="n">
        <f aca="false">E15+E16+E17+E18</f>
        <v>2722.11807782304</v>
      </c>
      <c r="F19" s="0" t="n">
        <f aca="false">F15+F16+F17+F18</f>
        <v>2859.9149723578</v>
      </c>
      <c r="G19" s="0" t="n">
        <f aca="false">G15+G16+G17+G18</f>
        <v>2950.90312467825</v>
      </c>
      <c r="H19" s="0" t="n">
        <f aca="false">H15+H16+H17+H18</f>
        <v>3071.85854785242</v>
      </c>
      <c r="I19" s="0" t="n">
        <f aca="false">I15+I16+I17+I18</f>
        <v>3182.39507065084</v>
      </c>
      <c r="J19" s="0" t="n">
        <f aca="false">J15+J16+J17+J18</f>
        <v>3277.86692277036</v>
      </c>
      <c r="K19" s="0" t="n">
        <f aca="false">K15+K16+K17+K18</f>
        <v>3379.40841182074</v>
      </c>
      <c r="L19" s="0" t="n">
        <f aca="false">L15+L16+L17+L18</f>
        <v>3463.89362211626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0.914913083257091</v>
      </c>
      <c r="D20" s="0" t="n">
        <f aca="false">1/(1+$B$27/100)^D4</f>
        <v>0.837065949914996</v>
      </c>
      <c r="E20" s="0" t="n">
        <f aca="false">1/(1+$B$27/100)^E4</f>
        <v>0.765842589126254</v>
      </c>
      <c r="F20" s="0" t="n">
        <f aca="false">1/(1+$B$27/100)^F4</f>
        <v>0.700679404507095</v>
      </c>
      <c r="G20" s="0" t="n">
        <f aca="false">1/(1+$B$27/100)^G4</f>
        <v>0.641060754352328</v>
      </c>
      <c r="H20" s="0" t="n">
        <f aca="false">1/(1+$B$27/100)^H4</f>
        <v>0.586514871319605</v>
      </c>
      <c r="I20" s="0" t="n">
        <f aca="false">1/(1+$B$27/100)^I4</f>
        <v>0.536610129295155</v>
      </c>
      <c r="J20" s="0" t="n">
        <f aca="false">1/(1+$B$27/100)^J4</f>
        <v>0.490951627900417</v>
      </c>
      <c r="K20" s="0" t="n">
        <f aca="false">1/(1+$B$27/100)^K4</f>
        <v>0.449178067612458</v>
      </c>
      <c r="L20" s="0" t="n">
        <f aca="false">1/(1+$B$27/100)^L4</f>
        <v>0.410958890770776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2693.69578148216</v>
      </c>
      <c r="D21" s="0" t="n">
        <f aca="false">D19*D20</f>
        <v>2355.7653073892</v>
      </c>
      <c r="E21" s="0" t="n">
        <f aca="false">E19*E20</f>
        <v>2084.71395662738</v>
      </c>
      <c r="F21" s="0" t="n">
        <f aca="false">F19*F20</f>
        <v>2003.88351977259</v>
      </c>
      <c r="G21" s="0" t="n">
        <f aca="false">G19*G20</f>
        <v>1891.70818312688</v>
      </c>
      <c r="H21" s="0" t="n">
        <f aca="false">H19*H20</f>
        <v>1801.69072090569</v>
      </c>
      <c r="I21" s="0" t="n">
        <f aca="false">I19*I20</f>
        <v>1707.70543033021</v>
      </c>
      <c r="J21" s="0" t="n">
        <f aca="false">J19*J20</f>
        <v>1609.27410177504</v>
      </c>
      <c r="K21" s="0" t="n">
        <f aca="false">K19*K20</f>
        <v>1517.95614009493</v>
      </c>
      <c r="L21" s="0" t="n">
        <f aca="false">L19*L20</f>
        <v>1423.51788069286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9.3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19089.9110221969</v>
      </c>
    </row>
    <row r="31" customFormat="false" ht="15" hidden="false" customHeight="false" outlineLevel="0" collapsed="false">
      <c r="A31" s="0" t="s">
        <v>138</v>
      </c>
      <c r="B31" s="0" t="n">
        <f aca="false">L19</f>
        <v>3463.89362211626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48399.6095145011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45030.6170875113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45030.6170875113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18505.7324490072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37595.6434712041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31802.6434712041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108.541445294212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-0.501554714850238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1169.99372801284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1217.59214283798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116.690202532611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27178.2422658352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54.3283474224249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9</v>
      </c>
      <c r="D5" s="4" t="n">
        <f aca="false">Assumptions!D27</f>
        <v>7</v>
      </c>
      <c r="E5" s="4" t="n">
        <f aca="false">Assumptions!E27</f>
        <v>6</v>
      </c>
      <c r="F5" s="4" t="n">
        <f aca="false">Assumptions!F27</f>
        <v>5.5</v>
      </c>
      <c r="G5" s="4" t="n">
        <f aca="false">Assumptions!G27</f>
        <v>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19823</v>
      </c>
      <c r="C6" s="0" t="n">
        <f aca="false">B6*(1+C5/100)</f>
        <v>21607.07</v>
      </c>
      <c r="D6" s="0" t="n">
        <f aca="false">C6*(1+D5/100)</f>
        <v>23119.5649</v>
      </c>
      <c r="E6" s="0" t="n">
        <f aca="false">D6*(1+E5/100)</f>
        <v>24506.738794</v>
      </c>
      <c r="F6" s="0" t="n">
        <f aca="false">E6*(1+F5/100)</f>
        <v>25854.60942767</v>
      </c>
      <c r="G6" s="0" t="n">
        <f aca="false">F6*(1+G5/100)</f>
        <v>27147.3398990535</v>
      </c>
      <c r="H6" s="0" t="n">
        <f aca="false">G6*(1+H5/100)</f>
        <v>28368.9701945109</v>
      </c>
      <c r="I6" s="0" t="n">
        <f aca="false">H6*(1+I5/100)</f>
        <v>29503.7290022913</v>
      </c>
      <c r="J6" s="0" t="n">
        <f aca="false">I6*(1+J5/100)</f>
        <v>30536.3595173715</v>
      </c>
      <c r="K6" s="0" t="n">
        <f aca="false">J6*(1+K5/100)</f>
        <v>31452.4503028927</v>
      </c>
      <c r="L6" s="0" t="n">
        <f aca="false">K6*(1+L5/100)</f>
        <v>32396.0238119795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26.2</v>
      </c>
      <c r="D7" s="4" t="n">
        <f aca="false">Assumptions!D28</f>
        <v>26.2</v>
      </c>
      <c r="E7" s="4" t="n">
        <f aca="false">Assumptions!E28</f>
        <v>26</v>
      </c>
      <c r="F7" s="4" t="n">
        <f aca="false">Assumptions!F28</f>
        <v>25.8</v>
      </c>
      <c r="G7" s="4" t="n">
        <f aca="false">Assumptions!G28</f>
        <v>25.5</v>
      </c>
      <c r="H7" s="4" t="n">
        <f aca="false">Assumptions!H28</f>
        <v>25.5</v>
      </c>
      <c r="I7" s="4" t="n">
        <f aca="false">Assumptions!I28</f>
        <v>25.5</v>
      </c>
      <c r="J7" s="4" t="n">
        <f aca="false">Assumptions!J28</f>
        <v>25.5</v>
      </c>
      <c r="K7" s="4" t="n">
        <f aca="false">Assumptions!K28</f>
        <v>25.5</v>
      </c>
      <c r="L7" s="4" t="n">
        <f aca="false">Assumptions!L28</f>
        <v>25.5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5661.05234</v>
      </c>
      <c r="D8" s="0" t="n">
        <f aca="false">D6*D7/100</f>
        <v>6057.3260038</v>
      </c>
      <c r="E8" s="0" t="n">
        <f aca="false">E6*E7/100</f>
        <v>6371.75208644</v>
      </c>
      <c r="F8" s="0" t="n">
        <f aca="false">F6*F7/100</f>
        <v>6670.48923233886</v>
      </c>
      <c r="G8" s="0" t="n">
        <f aca="false">G6*G7/100</f>
        <v>6922.57167425864</v>
      </c>
      <c r="H8" s="0" t="n">
        <f aca="false">H6*H7/100</f>
        <v>7234.08739960028</v>
      </c>
      <c r="I8" s="0" t="n">
        <f aca="false">I6*I7/100</f>
        <v>7523.45089558429</v>
      </c>
      <c r="J8" s="0" t="n">
        <f aca="false">J6*J7/100</f>
        <v>7786.77167692974</v>
      </c>
      <c r="K8" s="0" t="n">
        <f aca="false">K6*K7/100</f>
        <v>8020.37482723764</v>
      </c>
      <c r="L8" s="0" t="n">
        <f aca="false">L6*L7/100</f>
        <v>8260.98607205477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0.87</v>
      </c>
      <c r="D9" s="4" t="n">
        <f aca="false">Assumptions!D29</f>
        <v>0.87</v>
      </c>
      <c r="E9" s="4" t="n">
        <f aca="false">Assumptions!E29</f>
        <v>0.85</v>
      </c>
      <c r="F9" s="4" t="n">
        <f aca="false">Assumptions!F29</f>
        <v>0.85</v>
      </c>
      <c r="G9" s="4" t="n">
        <f aca="false">Assumptions!G29</f>
        <v>0.85</v>
      </c>
      <c r="H9" s="4" t="n">
        <f aca="false">Assumptions!H29</f>
        <v>0.85</v>
      </c>
      <c r="I9" s="4" t="n">
        <f aca="false">Assumptions!I29</f>
        <v>0.85</v>
      </c>
      <c r="J9" s="4" t="n">
        <f aca="false">Assumptions!J29</f>
        <v>0.85</v>
      </c>
      <c r="K9" s="4" t="n">
        <f aca="false">Assumptions!K29</f>
        <v>0.85</v>
      </c>
      <c r="L9" s="4" t="n">
        <f aca="false">Assumptions!L29</f>
        <v>0.85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-187.981509</v>
      </c>
      <c r="D10" s="0" t="n">
        <f aca="false">-D6*D9/100</f>
        <v>-201.14021463</v>
      </c>
      <c r="E10" s="0" t="n">
        <f aca="false">-E6*E9/100</f>
        <v>-208.307279749</v>
      </c>
      <c r="F10" s="0" t="n">
        <f aca="false">-F6*F9/100</f>
        <v>-219.764180135195</v>
      </c>
      <c r="G10" s="0" t="n">
        <f aca="false">-G6*G9/100</f>
        <v>-230.752389141955</v>
      </c>
      <c r="H10" s="0" t="n">
        <f aca="false">-H6*H9/100</f>
        <v>-241.136246653343</v>
      </c>
      <c r="I10" s="0" t="n">
        <f aca="false">-I6*I9/100</f>
        <v>-250.781696519476</v>
      </c>
      <c r="J10" s="0" t="n">
        <f aca="false">-J6*J9/100</f>
        <v>-259.559055897658</v>
      </c>
      <c r="K10" s="0" t="n">
        <f aca="false">-K6*K9/100</f>
        <v>-267.345827574588</v>
      </c>
      <c r="L10" s="0" t="n">
        <f aca="false">-L6*L9/100</f>
        <v>-275.366202401826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5473.070831</v>
      </c>
      <c r="D11" s="0" t="n">
        <f aca="false">D8+D10+D24</f>
        <v>5856.18578917</v>
      </c>
      <c r="E11" s="0" t="n">
        <f aca="false">E8+E10+E24</f>
        <v>6163.444806691</v>
      </c>
      <c r="F11" s="0" t="n">
        <f aca="false">F8+F10+F24</f>
        <v>6450.72505220367</v>
      </c>
      <c r="G11" s="0" t="n">
        <f aca="false">G8+G10+G24</f>
        <v>6691.81928511669</v>
      </c>
      <c r="H11" s="0" t="n">
        <f aca="false">H8+H10+H24</f>
        <v>6992.95115294694</v>
      </c>
      <c r="I11" s="0" t="n">
        <f aca="false">I8+I10+I24</f>
        <v>7272.66919906482</v>
      </c>
      <c r="J11" s="0" t="n">
        <f aca="false">J8+J10+J24</f>
        <v>7527.21262103209</v>
      </c>
      <c r="K11" s="0" t="n">
        <f aca="false">K8+K10+K24</f>
        <v>7753.02899966305</v>
      </c>
      <c r="L11" s="0" t="n">
        <f aca="false">L8+L10+L24</f>
        <v>7985.61986965294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-1101.96057</v>
      </c>
      <c r="D12" s="4" t="n">
        <f aca="false">-D6*Assumptions!D31/100</f>
        <v>-1155.978245</v>
      </c>
      <c r="E12" s="4" t="n">
        <f aca="false">-E6*Assumptions!E31/100</f>
        <v>-1225.3369397</v>
      </c>
      <c r="F12" s="4" t="n">
        <f aca="false">-F6*Assumptions!F31/100</f>
        <v>-1266.87586195583</v>
      </c>
      <c r="G12" s="4" t="n">
        <f aca="false">-G6*Assumptions!G31/100</f>
        <v>-1303.07231515457</v>
      </c>
      <c r="H12" s="4" t="n">
        <f aca="false">-H6*Assumptions!H31/100</f>
        <v>-1361.71056933652</v>
      </c>
      <c r="I12" s="4" t="n">
        <f aca="false">-I6*Assumptions!I31/100</f>
        <v>-1416.17899210998</v>
      </c>
      <c r="J12" s="4" t="n">
        <f aca="false">-J6*Assumptions!J31/100</f>
        <v>-1465.74525683383</v>
      </c>
      <c r="K12" s="4" t="n">
        <f aca="false">-K6*Assumptions!K31/100</f>
        <v>-1509.71761453885</v>
      </c>
      <c r="L12" s="4" t="n">
        <f aca="false">-L6*Assumptions!L31/100</f>
        <v>-1555.00914297501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4371.110261</v>
      </c>
      <c r="D13" s="0" t="n">
        <f aca="false">D11+D12</f>
        <v>4700.20754417</v>
      </c>
      <c r="E13" s="0" t="n">
        <f aca="false">E11+E12</f>
        <v>4938.107866991</v>
      </c>
      <c r="F13" s="0" t="n">
        <f aca="false">F11+F12</f>
        <v>5183.84919024784</v>
      </c>
      <c r="G13" s="0" t="n">
        <f aca="false">G11+G12</f>
        <v>5388.74696996212</v>
      </c>
      <c r="H13" s="0" t="n">
        <f aca="false">H11+H12</f>
        <v>5631.24058361042</v>
      </c>
      <c r="I13" s="0" t="n">
        <f aca="false">I11+I12</f>
        <v>5856.49020695483</v>
      </c>
      <c r="J13" s="0" t="n">
        <f aca="false">J11+J12</f>
        <v>6061.46736419825</v>
      </c>
      <c r="K13" s="0" t="n">
        <f aca="false">K11+K12</f>
        <v>6243.3113851242</v>
      </c>
      <c r="L13" s="0" t="n">
        <f aca="false">L11+L12</f>
        <v>6430.61072667793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18</v>
      </c>
      <c r="D14" s="4" t="n">
        <f aca="false">Assumptions!D33</f>
        <v>18.5</v>
      </c>
      <c r="E14" s="4" t="n">
        <f aca="false">Assumptions!E33</f>
        <v>19</v>
      </c>
      <c r="F14" s="4" t="n">
        <f aca="false">Assumptions!F33</f>
        <v>19.5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3584.31041402</v>
      </c>
      <c r="D15" s="0" t="n">
        <f aca="false">D13-MAX(0,D13)*D14/100</f>
        <v>3830.66914849855</v>
      </c>
      <c r="E15" s="0" t="n">
        <f aca="false">E13-MAX(0,E13)*E14/100</f>
        <v>3999.86737226271</v>
      </c>
      <c r="F15" s="0" t="n">
        <f aca="false">F13-MAX(0,F13)*F14/100</f>
        <v>4172.99859814951</v>
      </c>
      <c r="G15" s="0" t="n">
        <f aca="false">G13-MAX(0,G13)*G14/100</f>
        <v>4310.9975759697</v>
      </c>
      <c r="H15" s="0" t="n">
        <f aca="false">H13-MAX(0,H13)*H14/100</f>
        <v>4504.99246688833</v>
      </c>
      <c r="I15" s="0" t="n">
        <f aca="false">I13-MAX(0,I13)*I14/100</f>
        <v>4685.19216556387</v>
      </c>
      <c r="J15" s="0" t="n">
        <f aca="false">J13-MAX(0,J13)*J14/100</f>
        <v>4849.1738913586</v>
      </c>
      <c r="K15" s="0" t="n">
        <f aca="false">K13-MAX(0,K13)*K14/100</f>
        <v>4994.64910809936</v>
      </c>
      <c r="L15" s="0" t="n">
        <f aca="false">L13-MAX(0,L13)*L14/100</f>
        <v>5144.48858134234</v>
      </c>
    </row>
    <row r="16" customFormat="false" ht="15" hidden="false" customHeight="false" outlineLevel="0" collapsed="false">
      <c r="A16" s="0" t="s">
        <v>129</v>
      </c>
      <c r="C16" s="0" t="n">
        <f aca="false">-C12</f>
        <v>1101.96057</v>
      </c>
      <c r="D16" s="0" t="n">
        <f aca="false">-D12</f>
        <v>1155.978245</v>
      </c>
      <c r="E16" s="0" t="n">
        <f aca="false">-E12</f>
        <v>1225.3369397</v>
      </c>
      <c r="F16" s="0" t="n">
        <f aca="false">-F12</f>
        <v>1266.87586195583</v>
      </c>
      <c r="G16" s="0" t="n">
        <f aca="false">-G12</f>
        <v>1303.07231515457</v>
      </c>
      <c r="H16" s="0" t="n">
        <f aca="false">-H12</f>
        <v>1361.71056933652</v>
      </c>
      <c r="I16" s="0" t="n">
        <f aca="false">-I12</f>
        <v>1416.17899210998</v>
      </c>
      <c r="J16" s="0" t="n">
        <f aca="false">-J12</f>
        <v>1465.74525683383</v>
      </c>
      <c r="K16" s="0" t="n">
        <f aca="false">-K12</f>
        <v>1509.71761453885</v>
      </c>
      <c r="L16" s="0" t="n">
        <f aca="false">-L12</f>
        <v>1555.00914297501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-1209.99592</v>
      </c>
      <c r="D17" s="4" t="n">
        <f aca="false">-D6*Assumptions!D32/100</f>
        <v>-1271.5760695</v>
      </c>
      <c r="E17" s="4" t="n">
        <f aca="false">-E6*Assumptions!E32/100</f>
        <v>-1298.857156082</v>
      </c>
      <c r="F17" s="4" t="n">
        <f aca="false">-F6*Assumptions!F32/100</f>
        <v>-1344.43969023884</v>
      </c>
      <c r="G17" s="4" t="n">
        <f aca="false">-G6*Assumptions!G32/100</f>
        <v>-1357.36699495268</v>
      </c>
      <c r="H17" s="4" t="n">
        <f aca="false">-H6*Assumptions!H32/100</f>
        <v>-1418.44850972555</v>
      </c>
      <c r="I17" s="4" t="n">
        <f aca="false">-I6*Assumptions!I32/100</f>
        <v>-1475.18645011457</v>
      </c>
      <c r="J17" s="4" t="n">
        <f aca="false">-J6*Assumptions!J32/100</f>
        <v>-1526.81797586858</v>
      </c>
      <c r="K17" s="4" t="n">
        <f aca="false">-K6*Assumptions!K32/100</f>
        <v>-1572.62251514463</v>
      </c>
      <c r="L17" s="4" t="n">
        <f aca="false">-L6*Assumptions!L32/100</f>
        <v>-1619.80119059897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-303.291900000001</v>
      </c>
      <c r="D18" s="4" t="n">
        <f aca="false">(D6-C6)*Assumptions!$B$37/100</f>
        <v>-257.124133</v>
      </c>
      <c r="E18" s="4" t="n">
        <f aca="false">(E6-D6)*Assumptions!$B$37/100</f>
        <v>-235.819561980001</v>
      </c>
      <c r="F18" s="4" t="n">
        <f aca="false">(F6-E6)*Assumptions!$B$37/100</f>
        <v>-229.1380077239</v>
      </c>
      <c r="G18" s="4" t="n">
        <f aca="false">(G6-F6)*Assumptions!$B$37/100</f>
        <v>-219.764180135195</v>
      </c>
      <c r="H18" s="4" t="n">
        <f aca="false">(H6-G6)*Assumptions!$B$37/100</f>
        <v>-207.677150227759</v>
      </c>
      <c r="I18" s="4" t="n">
        <f aca="false">(I6-H6)*Assumptions!$B$37/100</f>
        <v>-192.908997322674</v>
      </c>
      <c r="J18" s="4" t="n">
        <f aca="false">(J6-I6)*Assumptions!$B$37/100</f>
        <v>-175.547187563633</v>
      </c>
      <c r="K18" s="4" t="n">
        <f aca="false">(K6-J6)*Assumptions!$B$37/100</f>
        <v>-155.735433538595</v>
      </c>
      <c r="L18" s="4" t="n">
        <f aca="false">(L6-K6)*Assumptions!$B$37/100</f>
        <v>-160.407496544753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3172.98316402</v>
      </c>
      <c r="D19" s="0" t="n">
        <f aca="false">D15+D16+D17+D18</f>
        <v>3457.94719099855</v>
      </c>
      <c r="E19" s="0" t="n">
        <f aca="false">E15+E16+E17+E18</f>
        <v>3690.52759390071</v>
      </c>
      <c r="F19" s="0" t="n">
        <f aca="false">F15+F16+F17+F18</f>
        <v>3866.2967621426</v>
      </c>
      <c r="G19" s="0" t="n">
        <f aca="false">G15+G16+G17+G18</f>
        <v>4036.93871603639</v>
      </c>
      <c r="H19" s="0" t="n">
        <f aca="false">H15+H16+H17+H18</f>
        <v>4240.57737627155</v>
      </c>
      <c r="I19" s="0" t="n">
        <f aca="false">I15+I16+I17+I18</f>
        <v>4433.27571023661</v>
      </c>
      <c r="J19" s="0" t="n">
        <f aca="false">J15+J16+J17+J18</f>
        <v>4612.55398476022</v>
      </c>
      <c r="K19" s="0" t="n">
        <f aca="false">K15+K16+K17+K18</f>
        <v>4776.00877395498</v>
      </c>
      <c r="L19" s="0" t="n">
        <f aca="false">L15+L16+L17+L18</f>
        <v>4919.28903717363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0.914913083257091</v>
      </c>
      <c r="D20" s="0" t="n">
        <f aca="false">1/(1+$B$27/100)^D4</f>
        <v>0.837065949914996</v>
      </c>
      <c r="E20" s="0" t="n">
        <f aca="false">1/(1+$B$27/100)^E4</f>
        <v>0.765842589126254</v>
      </c>
      <c r="F20" s="0" t="n">
        <f aca="false">1/(1+$B$27/100)^F4</f>
        <v>0.700679404507095</v>
      </c>
      <c r="G20" s="0" t="n">
        <f aca="false">1/(1+$B$27/100)^G4</f>
        <v>0.641060754352328</v>
      </c>
      <c r="H20" s="0" t="n">
        <f aca="false">1/(1+$B$27/100)^H4</f>
        <v>0.586514871319605</v>
      </c>
      <c r="I20" s="0" t="n">
        <f aca="false">1/(1+$B$27/100)^I4</f>
        <v>0.536610129295155</v>
      </c>
      <c r="J20" s="0" t="n">
        <f aca="false">1/(1+$B$27/100)^J4</f>
        <v>0.490951627900417</v>
      </c>
      <c r="K20" s="0" t="n">
        <f aca="false">1/(1+$B$27/100)^K4</f>
        <v>0.449178067612458</v>
      </c>
      <c r="L20" s="0" t="n">
        <f aca="false">1/(1+$B$27/100)^L4</f>
        <v>0.410958890770776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2903.00380971638</v>
      </c>
      <c r="D21" s="0" t="n">
        <f aca="false">D19*D20</f>
        <v>2894.52985018909</v>
      </c>
      <c r="E21" s="0" t="n">
        <f aca="false">E19*E20</f>
        <v>2826.36320775481</v>
      </c>
      <c r="F21" s="0" t="n">
        <f aca="false">F19*F20</f>
        <v>2709.03451294578</v>
      </c>
      <c r="G21" s="0" t="n">
        <f aca="false">G19*G20</f>
        <v>2587.92297857641</v>
      </c>
      <c r="H21" s="0" t="n">
        <f aca="false">H19*H20</f>
        <v>2487.16169416474</v>
      </c>
      <c r="I21" s="0" t="n">
        <f aca="false">I19*I20</f>
        <v>2378.94065207114</v>
      </c>
      <c r="J21" s="0" t="n">
        <f aca="false">J19*J20</f>
        <v>2264.54088759659</v>
      </c>
      <c r="K21" s="0" t="n">
        <f aca="false">K19*K20</f>
        <v>2145.27839198524</v>
      </c>
      <c r="L21" s="0" t="n">
        <f aca="false">L19*L20</f>
        <v>2021.62556609771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9.3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25218.4015510979</v>
      </c>
    </row>
    <row r="31" customFormat="false" ht="15" hidden="false" customHeight="false" outlineLevel="0" collapsed="false">
      <c r="A31" s="0" t="s">
        <v>138</v>
      </c>
      <c r="B31" s="0" t="n">
        <f aca="false">L19</f>
        <v>4919.28903717363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74151.0479868084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73789.3355576044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73789.3355576044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30324.3834914657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55542.7850425636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49749.7850425636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169.794488199876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-0.220267780125479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1438.47849440659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1705.7837326792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180.525758599486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40338.1701048238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81.1516619775516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12</v>
      </c>
      <c r="D5" s="4" t="n">
        <f aca="false">Assumptions!D41</f>
        <v>10</v>
      </c>
      <c r="E5" s="4" t="n">
        <f aca="false">Assumptions!E41</f>
        <v>9</v>
      </c>
      <c r="F5" s="4" t="n">
        <f aca="false">Assumptions!F41</f>
        <v>8</v>
      </c>
      <c r="G5" s="4" t="n">
        <f aca="false">Assumptions!G41</f>
        <v>7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19823</v>
      </c>
      <c r="C6" s="0" t="n">
        <f aca="false">B6*(1+C5/100)</f>
        <v>22201.76</v>
      </c>
      <c r="D6" s="0" t="n">
        <f aca="false">C6*(1+D5/100)</f>
        <v>24421.936</v>
      </c>
      <c r="E6" s="0" t="n">
        <f aca="false">D6*(1+E5/100)</f>
        <v>26619.91024</v>
      </c>
      <c r="F6" s="0" t="n">
        <f aca="false">E6*(1+F5/100)</f>
        <v>28749.5030592</v>
      </c>
      <c r="G6" s="0" t="n">
        <f aca="false">F6*(1+G5/100)</f>
        <v>30761.968273344</v>
      </c>
      <c r="H6" s="0" t="n">
        <f aca="false">G6*(1+H5/100)</f>
        <v>32607.6863697447</v>
      </c>
      <c r="I6" s="0" t="n">
        <f aca="false">H6*(1+I5/100)</f>
        <v>34238.0706882319</v>
      </c>
      <c r="J6" s="0" t="n">
        <f aca="false">I6*(1+J5/100)</f>
        <v>35778.7838692023</v>
      </c>
      <c r="K6" s="0" t="n">
        <f aca="false">J6*(1+K5/100)</f>
        <v>37209.9352239704</v>
      </c>
      <c r="L6" s="0" t="n">
        <f aca="false">K6*(1+L5/100)</f>
        <v>38512.2829568094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26.5</v>
      </c>
      <c r="D7" s="4" t="n">
        <f aca="false">Assumptions!D42</f>
        <v>27</v>
      </c>
      <c r="E7" s="4" t="n">
        <f aca="false">Assumptions!E42</f>
        <v>27.3</v>
      </c>
      <c r="F7" s="4" t="n">
        <f aca="false">Assumptions!F42</f>
        <v>27.5</v>
      </c>
      <c r="G7" s="4" t="n">
        <f aca="false">Assumptions!G42</f>
        <v>27.5</v>
      </c>
      <c r="H7" s="4" t="n">
        <f aca="false">Assumptions!H42</f>
        <v>27.5</v>
      </c>
      <c r="I7" s="4" t="n">
        <f aca="false">Assumptions!I42</f>
        <v>27.5</v>
      </c>
      <c r="J7" s="4" t="n">
        <f aca="false">Assumptions!J42</f>
        <v>27.5</v>
      </c>
      <c r="K7" s="4" t="n">
        <f aca="false">Assumptions!K42</f>
        <v>27.5</v>
      </c>
      <c r="L7" s="4" t="n">
        <f aca="false">Assumptions!L42</f>
        <v>27.5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5883.4664</v>
      </c>
      <c r="D8" s="0" t="n">
        <f aca="false">D6*D7/100</f>
        <v>6593.92272</v>
      </c>
      <c r="E8" s="0" t="n">
        <f aca="false">E6*E7/100</f>
        <v>7267.23549552</v>
      </c>
      <c r="F8" s="0" t="n">
        <f aca="false">F6*F7/100</f>
        <v>7906.11334128</v>
      </c>
      <c r="G8" s="0" t="n">
        <f aca="false">G6*G7/100</f>
        <v>8459.5412751696</v>
      </c>
      <c r="H8" s="0" t="n">
        <f aca="false">H6*H7/100</f>
        <v>8967.11375167978</v>
      </c>
      <c r="I8" s="0" t="n">
        <f aca="false">I6*I7/100</f>
        <v>9415.46943926377</v>
      </c>
      <c r="J8" s="0" t="n">
        <f aca="false">J6*J7/100</f>
        <v>9839.16556403064</v>
      </c>
      <c r="K8" s="0" t="n">
        <f aca="false">K6*K7/100</f>
        <v>10232.7321865919</v>
      </c>
      <c r="L8" s="0" t="n">
        <f aca="false">L6*L7/100</f>
        <v>10590.8778131226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0.87</v>
      </c>
      <c r="D9" s="4" t="n">
        <f aca="false">Assumptions!D43</f>
        <v>0.87</v>
      </c>
      <c r="E9" s="4" t="n">
        <f aca="false">Assumptions!E43</f>
        <v>0.85</v>
      </c>
      <c r="F9" s="4" t="n">
        <f aca="false">Assumptions!F43</f>
        <v>0.85</v>
      </c>
      <c r="G9" s="4" t="n">
        <f aca="false">Assumptions!G43</f>
        <v>0.85</v>
      </c>
      <c r="H9" s="4" t="n">
        <f aca="false">Assumptions!H43</f>
        <v>0.85</v>
      </c>
      <c r="I9" s="4" t="n">
        <f aca="false">Assumptions!I43</f>
        <v>0.85</v>
      </c>
      <c r="J9" s="4" t="n">
        <f aca="false">Assumptions!J43</f>
        <v>0.85</v>
      </c>
      <c r="K9" s="4" t="n">
        <f aca="false">Assumptions!K43</f>
        <v>0.85</v>
      </c>
      <c r="L9" s="4" t="n">
        <f aca="false">Assumptions!L43</f>
        <v>0.85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-193.155312</v>
      </c>
      <c r="D10" s="0" t="n">
        <f aca="false">-D6*D9/100</f>
        <v>-212.4708432</v>
      </c>
      <c r="E10" s="0" t="n">
        <f aca="false">-E6*E9/100</f>
        <v>-226.26923704</v>
      </c>
      <c r="F10" s="0" t="n">
        <f aca="false">-F6*F9/100</f>
        <v>-244.3707760032</v>
      </c>
      <c r="G10" s="0" t="n">
        <f aca="false">-G6*G9/100</f>
        <v>-261.476730323424</v>
      </c>
      <c r="H10" s="0" t="n">
        <f aca="false">-H6*H9/100</f>
        <v>-277.16533414283</v>
      </c>
      <c r="I10" s="0" t="n">
        <f aca="false">-I6*I9/100</f>
        <v>-291.023600849971</v>
      </c>
      <c r="J10" s="0" t="n">
        <f aca="false">-J6*J9/100</f>
        <v>-304.11966288822</v>
      </c>
      <c r="K10" s="0" t="n">
        <f aca="false">-K6*K9/100</f>
        <v>-316.284449403749</v>
      </c>
      <c r="L10" s="0" t="n">
        <f aca="false">-L6*L9/100</f>
        <v>-327.35440513288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5690.311088</v>
      </c>
      <c r="D11" s="0" t="n">
        <f aca="false">D8+D10+D24</f>
        <v>6381.4518768</v>
      </c>
      <c r="E11" s="0" t="n">
        <f aca="false">E8+E10+E24</f>
        <v>7040.96625848</v>
      </c>
      <c r="F11" s="0" t="n">
        <f aca="false">F8+F10+F24</f>
        <v>7661.7425652768</v>
      </c>
      <c r="G11" s="0" t="n">
        <f aca="false">G8+G10+G24</f>
        <v>8198.06454484618</v>
      </c>
      <c r="H11" s="0" t="n">
        <f aca="false">H8+H10+H24</f>
        <v>8689.94841753695</v>
      </c>
      <c r="I11" s="0" t="n">
        <f aca="false">I8+I10+I24</f>
        <v>9124.4458384138</v>
      </c>
      <c r="J11" s="0" t="n">
        <f aca="false">J8+J10+J24</f>
        <v>9535.04590114242</v>
      </c>
      <c r="K11" s="0" t="n">
        <f aca="false">K8+K10+K24</f>
        <v>9916.44773718812</v>
      </c>
      <c r="L11" s="0" t="n">
        <f aca="false">L8+L10+L24</f>
        <v>10263.5234079897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-1132.28976</v>
      </c>
      <c r="D12" s="4" t="n">
        <f aca="false">-D6*Assumptions!D45/100</f>
        <v>-1221.0968</v>
      </c>
      <c r="E12" s="4" t="n">
        <f aca="false">-E6*Assumptions!E45/100</f>
        <v>-1330.995512</v>
      </c>
      <c r="F12" s="4" t="n">
        <f aca="false">-F6*Assumptions!F45/100</f>
        <v>-1408.7256499008</v>
      </c>
      <c r="G12" s="4" t="n">
        <f aca="false">-G6*Assumptions!G45/100</f>
        <v>-1476.57447712051</v>
      </c>
      <c r="H12" s="4" t="n">
        <f aca="false">-H6*Assumptions!H45/100</f>
        <v>-1565.16894574774</v>
      </c>
      <c r="I12" s="4" t="n">
        <f aca="false">-I6*Assumptions!I45/100</f>
        <v>-1643.42739303513</v>
      </c>
      <c r="J12" s="4" t="n">
        <f aca="false">-J6*Assumptions!J45/100</f>
        <v>-1717.38162572171</v>
      </c>
      <c r="K12" s="4" t="n">
        <f aca="false">-K6*Assumptions!K45/100</f>
        <v>-1786.07689075058</v>
      </c>
      <c r="L12" s="4" t="n">
        <f aca="false">-L6*Assumptions!L45/100</f>
        <v>-1848.58958192685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4558.021328</v>
      </c>
      <c r="D13" s="0" t="n">
        <f aca="false">D11+D12</f>
        <v>5160.3550768</v>
      </c>
      <c r="E13" s="0" t="n">
        <f aca="false">E11+E12</f>
        <v>5709.97074648</v>
      </c>
      <c r="F13" s="0" t="n">
        <f aca="false">F11+F12</f>
        <v>6253.016915376</v>
      </c>
      <c r="G13" s="0" t="n">
        <f aca="false">G11+G12</f>
        <v>6721.49006772567</v>
      </c>
      <c r="H13" s="0" t="n">
        <f aca="false">H11+H12</f>
        <v>7124.77947178921</v>
      </c>
      <c r="I13" s="0" t="n">
        <f aca="false">I11+I12</f>
        <v>7481.01844537867</v>
      </c>
      <c r="J13" s="0" t="n">
        <f aca="false">J11+J12</f>
        <v>7817.66427542071</v>
      </c>
      <c r="K13" s="0" t="n">
        <f aca="false">K11+K12</f>
        <v>8130.37084643754</v>
      </c>
      <c r="L13" s="0" t="n">
        <f aca="false">L11+L12</f>
        <v>8414.93382606285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18</v>
      </c>
      <c r="D14" s="4" t="n">
        <f aca="false">Assumptions!D47</f>
        <v>18.5</v>
      </c>
      <c r="E14" s="4" t="n">
        <f aca="false">Assumptions!E47</f>
        <v>19</v>
      </c>
      <c r="F14" s="4" t="n">
        <f aca="false">Assumptions!F47</f>
        <v>19.5</v>
      </c>
      <c r="G14" s="4" t="n">
        <f aca="false">Assumptions!G47</f>
        <v>20</v>
      </c>
      <c r="H14" s="4" t="n">
        <f aca="false">Assumptions!H47</f>
        <v>20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3737.57748896</v>
      </c>
      <c r="D15" s="0" t="n">
        <f aca="false">D13-MAX(0,D13)*D14/100</f>
        <v>4205.689387592</v>
      </c>
      <c r="E15" s="0" t="n">
        <f aca="false">E13-MAX(0,E13)*E14/100</f>
        <v>4625.0763046488</v>
      </c>
      <c r="F15" s="0" t="n">
        <f aca="false">F13-MAX(0,F13)*F14/100</f>
        <v>5033.67861687768</v>
      </c>
      <c r="G15" s="0" t="n">
        <f aca="false">G13-MAX(0,G13)*G14/100</f>
        <v>5377.19205418053</v>
      </c>
      <c r="H15" s="0" t="n">
        <f aca="false">H13-MAX(0,H13)*H14/100</f>
        <v>5699.82357743137</v>
      </c>
      <c r="I15" s="0" t="n">
        <f aca="false">I13-MAX(0,I13)*I14/100</f>
        <v>5984.81475630294</v>
      </c>
      <c r="J15" s="0" t="n">
        <f aca="false">J13-MAX(0,J13)*J14/100</f>
        <v>6254.13142033657</v>
      </c>
      <c r="K15" s="0" t="n">
        <f aca="false">K13-MAX(0,K13)*K14/100</f>
        <v>6504.29667715003</v>
      </c>
      <c r="L15" s="0" t="n">
        <f aca="false">L13-MAX(0,L13)*L14/100</f>
        <v>6731.94706085028</v>
      </c>
    </row>
    <row r="16" customFormat="false" ht="15" hidden="false" customHeight="false" outlineLevel="0" collapsed="false">
      <c r="A16" s="0" t="s">
        <v>129</v>
      </c>
      <c r="C16" s="0" t="n">
        <f aca="false">-C12</f>
        <v>1132.28976</v>
      </c>
      <c r="D16" s="0" t="n">
        <f aca="false">-D12</f>
        <v>1221.0968</v>
      </c>
      <c r="E16" s="0" t="n">
        <f aca="false">-E12</f>
        <v>1330.995512</v>
      </c>
      <c r="F16" s="0" t="n">
        <f aca="false">-F12</f>
        <v>1408.7256499008</v>
      </c>
      <c r="G16" s="0" t="n">
        <f aca="false">-G12</f>
        <v>1476.57447712051</v>
      </c>
      <c r="H16" s="0" t="n">
        <f aca="false">-H12</f>
        <v>1565.16894574774</v>
      </c>
      <c r="I16" s="0" t="n">
        <f aca="false">-I12</f>
        <v>1643.42739303513</v>
      </c>
      <c r="J16" s="0" t="n">
        <f aca="false">-J12</f>
        <v>1717.38162572171</v>
      </c>
      <c r="K16" s="0" t="n">
        <f aca="false">-K12</f>
        <v>1786.07689075058</v>
      </c>
      <c r="L16" s="0" t="n">
        <f aca="false">-L12</f>
        <v>1848.58958192685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-1287.70208</v>
      </c>
      <c r="D17" s="4" t="n">
        <f aca="false">-D6*Assumptions!D46/100</f>
        <v>-1392.050352</v>
      </c>
      <c r="E17" s="4" t="n">
        <f aca="false">-E6*Assumptions!E46/100</f>
        <v>-1464.0950632</v>
      </c>
      <c r="F17" s="4" t="n">
        <f aca="false">-F6*Assumptions!F46/100</f>
        <v>-1552.4731651968</v>
      </c>
      <c r="G17" s="4" t="n">
        <f aca="false">-G6*Assumptions!G46/100</f>
        <v>-1599.62235021389</v>
      </c>
      <c r="H17" s="4" t="n">
        <f aca="false">-H6*Assumptions!H46/100</f>
        <v>-1695.59969122672</v>
      </c>
      <c r="I17" s="4" t="n">
        <f aca="false">-I6*Assumptions!I46/100</f>
        <v>-1780.37967578806</v>
      </c>
      <c r="J17" s="4" t="n">
        <f aca="false">-J6*Assumptions!J46/100</f>
        <v>-1860.49676119852</v>
      </c>
      <c r="K17" s="4" t="n">
        <f aca="false">-K6*Assumptions!K46/100</f>
        <v>-1934.91663164646</v>
      </c>
      <c r="L17" s="4" t="n">
        <f aca="false">-L6*Assumptions!L46/100</f>
        <v>-2002.63871375409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-404.3892</v>
      </c>
      <c r="D18" s="4" t="n">
        <f aca="false">(D6-C6)*Assumptions!$B$51/100</f>
        <v>-377.429920000001</v>
      </c>
      <c r="E18" s="4" t="n">
        <f aca="false">(E6-D6)*Assumptions!$B$51/100</f>
        <v>-373.655620800001</v>
      </c>
      <c r="F18" s="4" t="n">
        <f aca="false">(F6-E6)*Assumptions!$B$51/100</f>
        <v>-362.030779264</v>
      </c>
      <c r="G18" s="4" t="n">
        <f aca="false">(G6-F6)*Assumptions!$B$51/100</f>
        <v>-342.11908640448</v>
      </c>
      <c r="H18" s="4" t="n">
        <f aca="false">(H6-G6)*Assumptions!$B$51/100</f>
        <v>-313.772076388109</v>
      </c>
      <c r="I18" s="4" t="n">
        <f aca="false">(I6-H6)*Assumptions!$B$51/100</f>
        <v>-277.16533414283</v>
      </c>
      <c r="J18" s="4" t="n">
        <f aca="false">(J6-I6)*Assumptions!$B$51/100</f>
        <v>-261.921240764973</v>
      </c>
      <c r="K18" s="4" t="n">
        <f aca="false">(K6-J6)*Assumptions!$B$51/100</f>
        <v>-243.295730310576</v>
      </c>
      <c r="L18" s="4" t="n">
        <f aca="false">(L6-K6)*Assumptions!$B$51/100</f>
        <v>-221.399114582624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3177.77596896</v>
      </c>
      <c r="D19" s="0" t="n">
        <f aca="false">D15+D16+D17+D18</f>
        <v>3657.305915592</v>
      </c>
      <c r="E19" s="0" t="n">
        <f aca="false">E15+E16+E17+E18</f>
        <v>4118.3211326488</v>
      </c>
      <c r="F19" s="0" t="n">
        <f aca="false">F15+F16+F17+F18</f>
        <v>4527.90032231768</v>
      </c>
      <c r="G19" s="0" t="n">
        <f aca="false">G15+G16+G17+G18</f>
        <v>4912.02509468268</v>
      </c>
      <c r="H19" s="0" t="n">
        <f aca="false">H15+H16+H17+H18</f>
        <v>5255.62075556428</v>
      </c>
      <c r="I19" s="0" t="n">
        <f aca="false">I15+I16+I17+I18</f>
        <v>5570.69713940718</v>
      </c>
      <c r="J19" s="0" t="n">
        <f aca="false">J15+J16+J17+J18</f>
        <v>5849.09504409478</v>
      </c>
      <c r="K19" s="0" t="n">
        <f aca="false">K15+K16+K17+K18</f>
        <v>6112.16120594357</v>
      </c>
      <c r="L19" s="0" t="n">
        <f aca="false">L15+L16+L17+L18</f>
        <v>6356.49881444042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0.914913083257091</v>
      </c>
      <c r="D20" s="0" t="n">
        <f aca="false">1/(1+$B$27/100)^D4</f>
        <v>0.837065949914996</v>
      </c>
      <c r="E20" s="0" t="n">
        <f aca="false">1/(1+$B$27/100)^E4</f>
        <v>0.765842589126254</v>
      </c>
      <c r="F20" s="0" t="n">
        <f aca="false">1/(1+$B$27/100)^F4</f>
        <v>0.700679404507095</v>
      </c>
      <c r="G20" s="0" t="n">
        <f aca="false">1/(1+$B$27/100)^G4</f>
        <v>0.641060754352328</v>
      </c>
      <c r="H20" s="0" t="n">
        <f aca="false">1/(1+$B$27/100)^H4</f>
        <v>0.586514871319605</v>
      </c>
      <c r="I20" s="0" t="n">
        <f aca="false">1/(1+$B$27/100)^I4</f>
        <v>0.536610129295155</v>
      </c>
      <c r="J20" s="0" t="n">
        <f aca="false">1/(1+$B$27/100)^J4</f>
        <v>0.490951627900417</v>
      </c>
      <c r="K20" s="0" t="n">
        <f aca="false">1/(1+$B$27/100)^K4</f>
        <v>0.449178067612458</v>
      </c>
      <c r="L20" s="0" t="n">
        <f aca="false">1/(1+$B$27/100)^L4</f>
        <v>0.410958890770776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2907.38880966148</v>
      </c>
      <c r="D21" s="0" t="n">
        <f aca="false">D19*D20</f>
        <v>3061.40625036475</v>
      </c>
      <c r="E21" s="0" t="n">
        <f aca="false">E19*E20</f>
        <v>3153.98571908113</v>
      </c>
      <c r="F21" s="0" t="n">
        <f aca="false">F19*F20</f>
        <v>3172.60650150903</v>
      </c>
      <c r="G21" s="0" t="n">
        <f aca="false">G19*G20</f>
        <v>3148.90651259484</v>
      </c>
      <c r="H21" s="0" t="n">
        <f aca="false">H19*H20</f>
        <v>3082.49973115443</v>
      </c>
      <c r="I21" s="0" t="n">
        <f aca="false">I19*I20</f>
        <v>2989.29251224144</v>
      </c>
      <c r="J21" s="0" t="n">
        <f aca="false">J19*J20</f>
        <v>2871.62273364259</v>
      </c>
      <c r="K21" s="0" t="n">
        <f aca="false">K19*K20</f>
        <v>2745.44875942157</v>
      </c>
      <c r="L21" s="0" t="n">
        <f aca="false">L19*L20</f>
        <v>2612.25970196819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9.3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17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29745.4172316395</v>
      </c>
    </row>
    <row r="31" customFormat="false" ht="15" hidden="false" customHeight="false" outlineLevel="0" collapsed="false">
      <c r="A31" s="0" t="s">
        <v>138</v>
      </c>
      <c r="B31" s="0" t="n">
        <f aca="false">L19</f>
        <v>6356.49881444042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103923.710775772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108060.479845487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103923.710775772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42708.3729051942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72453.7901368336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66660.7901368336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227.511229135951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0.0447797076412144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1611.34017533372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2199.44570347628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240.517324285473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54559.9481572803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104.259774789881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108.541445294212</v>
      </c>
      <c r="C4" s="0" t="n">
        <f aca="false">B4/Assumptions!$B$2-1</f>
        <v>-0.501554714850238</v>
      </c>
      <c r="D4" s="4" t="n">
        <f aca="false">Assumptions!$B$24</f>
        <v>0.2</v>
      </c>
      <c r="E4" s="4" t="n">
        <f aca="false">DCF_Bear!$B$43</f>
        <v>116.690202532611</v>
      </c>
      <c r="F4" s="4" t="n">
        <f aca="false">DCF_Bear!$B$47</f>
        <v>54.3283474224249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169.794488199876</v>
      </c>
      <c r="C5" s="0" t="n">
        <f aca="false">B5/Assumptions!$B$2-1</f>
        <v>-0.220267780125479</v>
      </c>
      <c r="D5" s="4" t="n">
        <f aca="false">Assumptions!$B$38</f>
        <v>0.5</v>
      </c>
      <c r="E5" s="4" t="n">
        <f aca="false">DCF_Base!$B$43</f>
        <v>180.525758599486</v>
      </c>
      <c r="F5" s="4" t="n">
        <f aca="false">DCF_Base!$B$47</f>
        <v>81.1516619775516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227.511229135951</v>
      </c>
      <c r="C6" s="0" t="n">
        <f aca="false">B6/Assumptions!$B$2-1</f>
        <v>0.0447797076412144</v>
      </c>
      <c r="D6" s="4" t="n">
        <f aca="false">Assumptions!$B$52</f>
        <v>0.3</v>
      </c>
      <c r="E6" s="4" t="n">
        <f aca="false">DCF_Bull!$B$43</f>
        <v>240.517324285473</v>
      </c>
      <c r="F6" s="4" t="n">
        <f aca="false">DCF_Bull!$B$47</f>
        <v>104.259774789881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174.858901899566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185.756117091907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-0.245346949079411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393.688638273246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82.7194329102251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173.910907262765</v>
      </c>
      <c r="C15" s="3" t="n">
        <v>9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169.794488199876</v>
      </c>
      <c r="C16" s="3" t="n">
        <v>9.3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151.986943820081</v>
      </c>
      <c r="C17" s="3" t="n">
        <v>10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131.087387842217</v>
      </c>
      <c r="C18" s="3" t="n">
        <v>11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114.619113796673</v>
      </c>
      <c r="C19" s="3" t="n">
        <v>12</v>
      </c>
    </row>
    <row r="20" customFormat="false" ht="15" hidden="false" customHeight="false" outlineLevel="0" collapsed="false">
      <c r="A20" s="0" t="s">
        <v>174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81.1516619775516</v>
      </c>
      <c r="C20" s="3" t="n">
        <v>15</v>
      </c>
    </row>
    <row r="22" customFormat="false" ht="15" hidden="false" customHeight="false" outlineLevel="0" collapsed="false">
      <c r="A22" s="2" t="s">
        <v>175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7.3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199.524941465132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199.524941465132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199.524941465132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199.524941465132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199.524941465132</v>
      </c>
    </row>
    <row r="25" customFormat="false" ht="15" hidden="false" customHeight="false" outlineLevel="0" collapsed="false">
      <c r="A25" s="3" t="n">
        <v>8.3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183.414037547048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183.970212268132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183.970212268132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183.970212268132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183.970212268132</v>
      </c>
    </row>
    <row r="26" customFormat="false" ht="15" hidden="false" customHeight="false" outlineLevel="0" collapsed="false">
      <c r="A26" s="3" t="n">
        <v>9.3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156.08345456265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162.705708104624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169.794488199876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169.794488199876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169.794488199876</v>
      </c>
    </row>
    <row r="27" customFormat="false" ht="15" hidden="false" customHeight="false" outlineLevel="0" collapsed="false">
      <c r="A27" s="3" t="n">
        <v>10.3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135.027956292043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139.784202722285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145.150224335891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151.251317403416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156.860119189881</v>
      </c>
    </row>
    <row r="28" customFormat="false" ht="15" hidden="false" customHeight="false" outlineLevel="0" collapsed="false">
      <c r="A28" s="3" t="n">
        <v>11.3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118.322503466025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121.836806612816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125.750462389924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130.135642959455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135.083026166105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2026-10-02T09:29:17Z</dcterms:created>
  <dc:creator>openpyxl</dc:creator>
  <dc:description/>
  <dc:language>en-NZ</dc:language>
  <cp:lastModifiedBy/>
  <dcterms:modified xsi:type="dcterms:W3CDTF">2026-10-02T09:29:17Z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