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<sst xmlns="http://schemas.openxmlformats.org/spreadsheetml/2006/main" count="361" uniqueCount="167">
  <si>
    <t xml:space="preserve">Ticker</t>
  </si>
  <si>
    <t xml:space="preserve">3306.HK</t>
  </si>
  <si>
    <t xml:space="preserve">Company</t>
  </si>
  <si>
    <t xml:space="preserve">JNBY Design Limited</t>
  </si>
  <si>
    <t xml:space="preserve">Valuation date</t>
  </si>
  <si>
    <t xml:space="preserve">2026-10-22</t>
  </si>
  <si>
    <t xml:space="preserve">Current price</t>
  </si>
  <si>
    <t xml:space="preserve">Price as of</t>
  </si>
  <si>
    <t xml:space="preserve">2026-10-22T07:18:18Z (HKEX afternoon session, regular trading; not an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</si>
  <si>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</si>
  <si>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</si>
  <si>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</si>
  <si>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</si>
  <si>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</si>
  <si>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</si>
  <si>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</si>
  <si>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</si>
  <si>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</si>
  <si>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</si>
  <si>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</si>
  <si>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</si>
  <si>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</si>
  <si>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2026-10-22T07:39:49Z</t>
  </si>
  <si>
    <t xml:space="preserve">Drivers file</t>
  </si>
  <si>
    <t xml:space="preserve">3306.HK_Drivers.json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</si>
  <si>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</si>
  <si>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</si>
  <si>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</si>
  <si>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owner cash flow of a high-gross-margin (66.6%), net-cash, high-payout Chinese designer-apparel group on a strict basis: SBC expensed, lease cash charged in full (treatment B), interest and fair-value gains stripped with their assets put back in the bridge, the already-paid post-year-end dividend removed from cash, and a 15x terminal cap so the result does not depend on a re-rating the HK market has never granted (stock at ~10x P/E). Scenario weights, not a WACC premium, carry the China consumer risk.
key_risks_to_valuation: Chinese discretionary consumption: FY2020 and FY2022 both saw revenue fall; a repeat is the bear case, and the 25% bear weight is a judgment.; Flat store count: growth now depends on SSSG, online mix and younger brands; CROQUIS (-25 stores) and jnby by JNBY (-8) shrank in FY2026.; Rent and S&amp;M ratio creep: selling &amp; marketing rose to 36.0% of revenue; lease cash is 5.6% and ~RMB675m of total lease outflow sits in the P&amp;L -- under treatment (B) a 1pp lease-ratio move is ~RMB60m of annual owner FCF.; Park capex: construction scope beyond the contracted 37% of the site is unquantified; the model assumes ~RMB400m incremental over FY2027-29.; Governance / related parties: HQ and retail premises leased from chairman-related Huizhan/Huikang; VC-fund stakes are related to a NED; founder family controls the company.; FX: CNY flows against an HKD quote -- a 5% CNY move is ~HK$1.7/share of value; fx_rate is dated 2026-10-22 and is not refreshed by price-only updates.; Dividend policy: payout ~70% plus the 10th-anniversary special; the valuation does not assume the special recurs.; Government grants (RMB66m, ~5% of PBT) are treated as recurring operating income; their withdrawal would cost ~RMB0.09/share of annual FCF.</t>
  </si>
  <si>
    <t xml:space="preserve">Data sources</t>
  </si>
  <si>
    <t xml:space="preserve">price: Yahoo Finance chart API at inputs.price_as_of; 52-week range 16.50-23.66 HKD
fx: Yahoo Finance CNYHKD=X at the timestamp in inputs.fx_note
financials: 3306.HK_Metrics.csv (FY2017-FY2026, H1 FY2025-H1 FY2026) and the FY2026 annual report (research/3306.HK/Extracted/3306.HK_Annual_FY2025.txt -- filename runs one fiscal year behind): income statement l.5432-5471, balance sheet l.5497-5564, cash flow l.5696-5757, expenses by nature l.7037-7057, note 7 other income l.7078-7090, note 9 finance income l.7188-7198, note 11 EPS l.7392-7435, note 14 lease cash l.7638, note 20 FVTPL l.8156-8212, note 23 share capital l.8308-8349, note 32(b) related-party leases, MD&amp;A capex l.986-991, capital assets l.1126-1147, dividend l.1745-1756
qualitative: 3306.HK_Analysis.json (2026-10-22: business model, competitive position, bull/bear cases, guidance) and the FY2026 annual report chairman's statement, MD&amp;A (stores l.630-665, SSSG l.727-765, members l.767-786) and outlook l.1178-1240</t>
  </si>
  <si>
    <t xml:space="preserve">Scenario narrative: bear</t>
  </si>
  <si>
    <t xml:space="preserve">A renewed consumption downturn, which the data already hint at (H1 FY2026 offline SSSG -2.2%; NBS clothing sales negative in Aug-2026): revenue +2% then -1%/0% before a 2% crawl, the 54%-of-revenue JNBY flagship stalls before the emerging brands are large enough to matter, 166-day inventory forces markdowns and provisions, and S&amp;M (36.0%) and rent deleverage on flat sales -- EBITDA compresses to 26%, lease ratio to 6%, terminal growth 2%. Net cash and the ~70% payout mean no solvency question; the downside is a de-rated, ex-growth cash cow that still has to build the park.</t>
  </si>
  <si>
    <t xml:space="preserve">Scenario narrative: base</t>
  </si>
  <si>
    <t xml:space="preserve">JNBY compounds as a mature 2,100-store designer-brand platform: revenue +7% in FY2027 fading to 3% by FY2034 (5yr revenue CAGR 7.9%, FY2026 +9.0% with flat stores), pre-SBC IFRS-16 EBITDA ~29.5%, lease cash ~5.5% of sales, capex front-loaded at 5.5% for the Shuangpu park then ~3%, 26% cash tax. Owner-FCF margin (post-lease) ~11% in the park years rising to ~14% at maturity, against 13.0% actual in FY2026.</t>
  </si>
  <si>
    <t xml:space="preserve">Scenario narrative: bull</t>
  </si>
  <si>
    <t xml:space="preserve">The H2 FY2026 re-acceleration (+11.6%) persists: policy-supported consumption recovers and the K-shaped market concentrates share in head designer brands; online (24% of revenue, +20.5% in FY2026) and the emerging brands (+32%, 8% of revenue) keep compounding, members with &gt;RMB5k annual spend grow ~9%/yr, multi-brand formats and the Box Project lift store productivity, and the owned park trims rent -- 10% growth for two years fading to 3.5%, EBITDA to 31%, terminal growth 3%.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</si>
  <si>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</si>
  <si>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</si>
  <si>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</si>
  <si>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</si>
  <si>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</si>
  <si>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</si>
  <si>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</si>
  <si>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</si>
  <si>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</si>
  <si>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</si>
  <si>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</si>
  <si>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</si>
  <si>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</si>
  <si>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</si>
  <si>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</si>
  <si>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</si>
  <si>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</si>
  <si>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</si>
  <si>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</si>
  <si>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</si>
  <si>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</si>
  <si>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</si>
  <si>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</si>
  <si>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</si>
  <si>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</si>
  <si>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</si>
  <si>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</si>
  <si>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EPSDiluted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</si>
  <si>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</si>
  <si>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</si>
  <si>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</si>
  <si>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</si>
  <si>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</si>
  <si>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</si>
  <si>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</si>
  <si>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</si>
  <si>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</si>
  <si>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</si>
  <si>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</si>
  <si>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</si>
  <si>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</si>
  <si>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</si>
  <si>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</si>
  <si>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</si>
  <si>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</si>
  <si>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</si>
  <si>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</si>
  <si>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</si>
  <si>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</si>
  <si>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</si>
  <si>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</si>
  <si>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</si>
  <si>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</si>
  <si>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</si>
  <si>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</si>
  <si>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</si>
  <si>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</si>
  <si>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</si>
  <si>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</si>
  <si>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</si>
  <si>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</si>
  <si>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</si>
  <si>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</si>
  <si>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</si>
  <si>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</si>
  <si>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</si>
  <si>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</si>
  <si>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</si>
  <si>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</si>
  <si>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</si>
  <si>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</si>
  <si>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</si>
  <si>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</si>
  <si>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</si>
  <si>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</si>
  <si>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3306.HK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</si>
  <si>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</si>
  <si>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</si>
  <si>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</si>
  <si>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</si>
  <si>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</si>
  <si>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</si>
  <si>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</si>
  <si>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</si>
  <si>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</si>
  <si>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</si>
  <si>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</si>
  <si>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</si>
  <si>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</si>
  <si>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</si>
  <si>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</si>
  <si>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</si>
  <si>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</si>
  <si>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</si>
  <si>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</si>
  <si>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</si>
  <si>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</si>
  <si>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</si>
  <si>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</si>
  <si>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</si>
  <si>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</si>
  <si>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</si>
  <si>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</si>
  <si>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</si>
  <si>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</si>
  <si>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</si>
  <si>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3306.HK owner-FCF component DCF: base case (millions, CNY)</t>
  </si>
  <si>
    <t xml:space="preserve">3306.HK owner-FCF component DCF: bull case (millions, CNY)</t>
  </si>
  <si>
    <t xml:space="preserve">3306.HK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</si>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</sst>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21.84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2332.29</v>
      </c>
      <c r="C2" s="0" t="n">
        <v>-857.682</v>
      </c>
      <c r="D2" s="0" t="n">
        <v>1474.608</v>
      </c>
      <c r="E2" s="0" t="n">
        <v>63.2</v>
      </c>
      <c r="F2" s="0" t="n">
        <v>459.636</v>
      </c>
      <c r="G2" s="0" t="n">
        <v>19.7</v>
      </c>
      <c r="I2" s="0" t="n">
        <v>331.572</v>
      </c>
      <c r="J2" s="0" t="n">
        <v>14.2</v>
      </c>
      <c r="K2" s="0" t="n">
        <v>0.71</v>
      </c>
      <c r="L2" s="0" t="n">
        <v>290.62</v>
      </c>
      <c r="M2" s="0" t="n">
        <v>57.486</v>
      </c>
      <c r="N2" s="0" t="n">
        <v>233.134</v>
      </c>
      <c r="O2" s="0" t="n">
        <v>1257.239</v>
      </c>
      <c r="P2" s="0" t="n">
        <v>1924.982</v>
      </c>
      <c r="Q2" s="0" t="n">
        <v>667.743</v>
      </c>
      <c r="R2" s="0" t="n">
        <v>0</v>
      </c>
      <c r="S2" s="0" t="n">
        <v>494.334</v>
      </c>
      <c r="T2" s="0" t="n">
        <v>473.662</v>
      </c>
      <c r="U2" s="0" t="n">
        <v>5.96</v>
      </c>
      <c r="AA2" s="0" t="s">
        <v>18</v>
      </c>
      <c r="AB2" s="0" t="s">
        <v>14</v>
      </c>
      <c r="AC2" s="0" t="n">
        <v>0.7</v>
      </c>
    </row>
    <row r="3" customFormat="false" ht="15" hidden="false" customHeight="false" outlineLevel="0" collapsed="false">
      <c r="A3" s="0" t="s">
        <v>66</v>
      </c>
      <c r="B3" s="0" t="n">
        <v>2864.059</v>
      </c>
      <c r="C3" s="0" t="n">
        <v>-1038.259</v>
      </c>
      <c r="D3" s="0" t="n">
        <v>1825.8</v>
      </c>
      <c r="E3" s="0" t="n">
        <v>63.7</v>
      </c>
      <c r="F3" s="0" t="n">
        <v>556.064</v>
      </c>
      <c r="G3" s="0" t="n">
        <v>19.4</v>
      </c>
      <c r="I3" s="0" t="n">
        <v>410.351</v>
      </c>
      <c r="J3" s="0" t="n">
        <v>14.3</v>
      </c>
      <c r="K3" s="0" t="n">
        <v>0.8</v>
      </c>
      <c r="L3" s="0" t="n">
        <v>378.838</v>
      </c>
      <c r="M3" s="0" t="n">
        <v>119.126</v>
      </c>
      <c r="N3" s="0" t="n">
        <v>259.712</v>
      </c>
      <c r="O3" s="0" t="n">
        <v>1287.879</v>
      </c>
      <c r="P3" s="0" t="n">
        <v>2121.849</v>
      </c>
      <c r="Q3" s="0" t="n">
        <v>833.97</v>
      </c>
      <c r="R3" s="0" t="n">
        <v>0</v>
      </c>
      <c r="S3" s="0" t="n">
        <v>333.405</v>
      </c>
      <c r="T3" s="0" t="n">
        <v>521.692</v>
      </c>
      <c r="U3" s="0" t="n">
        <v>10.413</v>
      </c>
      <c r="AA3" s="0" t="s">
        <v>18</v>
      </c>
      <c r="AB3" s="0" t="s">
        <v>14</v>
      </c>
      <c r="AC3" s="0" t="n">
        <v>0.79</v>
      </c>
    </row>
    <row r="4" customFormat="false" ht="15" hidden="false" customHeight="false" outlineLevel="0" collapsed="false">
      <c r="A4" s="0" t="s">
        <v>67</v>
      </c>
      <c r="B4" s="0" t="n">
        <v>3358.168</v>
      </c>
      <c r="C4" s="0" t="n">
        <v>-1302.109</v>
      </c>
      <c r="D4" s="0" t="n">
        <v>2056.059</v>
      </c>
      <c r="E4" s="0" t="n">
        <v>61.2</v>
      </c>
      <c r="F4" s="0" t="n">
        <v>644.973</v>
      </c>
      <c r="G4" s="0" t="n">
        <v>19.2</v>
      </c>
      <c r="I4" s="0" t="n">
        <v>484.779</v>
      </c>
      <c r="J4" s="0" t="n">
        <v>14.4</v>
      </c>
      <c r="K4" s="0" t="n">
        <v>0.95</v>
      </c>
      <c r="L4" s="0" t="n">
        <v>335.612</v>
      </c>
      <c r="M4" s="0" t="n">
        <v>163.689</v>
      </c>
      <c r="N4" s="0" t="n">
        <v>171.923</v>
      </c>
      <c r="O4" s="0" t="n">
        <v>1411.076</v>
      </c>
      <c r="P4" s="0" t="n">
        <v>2284.952</v>
      </c>
      <c r="Q4" s="0" t="n">
        <v>873.876</v>
      </c>
      <c r="R4" s="0" t="n">
        <v>0</v>
      </c>
      <c r="S4" s="0" t="n">
        <v>216.465</v>
      </c>
      <c r="T4" s="0" t="n">
        <v>516.02</v>
      </c>
      <c r="U4" s="0" t="n">
        <v>14.592</v>
      </c>
      <c r="AA4" s="0" t="s">
        <v>18</v>
      </c>
      <c r="AB4" s="0" t="s">
        <v>14</v>
      </c>
      <c r="AC4" s="0" t="n">
        <v>0.94</v>
      </c>
    </row>
    <row r="5" customFormat="false" ht="15" hidden="false" customHeight="false" outlineLevel="0" collapsed="false">
      <c r="A5" s="0" t="s">
        <v>68</v>
      </c>
      <c r="B5" s="0" t="n">
        <v>3099.431</v>
      </c>
      <c r="C5" s="0" t="n">
        <v>-1249.776</v>
      </c>
      <c r="D5" s="0" t="n">
        <v>1849.655</v>
      </c>
      <c r="E5" s="0" t="n">
        <v>59.7</v>
      </c>
      <c r="F5" s="0" t="n">
        <v>485.005</v>
      </c>
      <c r="G5" s="0" t="n">
        <v>15.6</v>
      </c>
      <c r="I5" s="0" t="n">
        <v>346.698</v>
      </c>
      <c r="J5" s="0" t="n">
        <v>11.2</v>
      </c>
      <c r="K5" s="0" t="n">
        <v>0.68</v>
      </c>
      <c r="L5" s="0" t="n">
        <v>668.767</v>
      </c>
      <c r="M5" s="0" t="n">
        <v>120.963</v>
      </c>
      <c r="N5" s="0" t="n">
        <v>547.804</v>
      </c>
      <c r="O5" s="0" t="n">
        <v>1485.912</v>
      </c>
      <c r="P5" s="0" t="n">
        <v>2834.209</v>
      </c>
      <c r="Q5" s="0" t="n">
        <v>1348.297</v>
      </c>
      <c r="R5" s="0" t="n">
        <v>187.683</v>
      </c>
      <c r="S5" s="0" t="n">
        <v>336.672</v>
      </c>
      <c r="T5" s="0" t="n">
        <v>513.662</v>
      </c>
      <c r="U5" s="0" t="n">
        <v>38.61</v>
      </c>
      <c r="AA5" s="0" t="s">
        <v>18</v>
      </c>
      <c r="AB5" s="0" t="s">
        <v>14</v>
      </c>
      <c r="AC5" s="0" t="n">
        <v>0.67</v>
      </c>
    </row>
    <row r="6" customFormat="false" ht="15" hidden="false" customHeight="false" outlineLevel="0" collapsed="false">
      <c r="A6" s="0" t="s">
        <v>69</v>
      </c>
      <c r="B6" s="0" t="n">
        <v>4126.225</v>
      </c>
      <c r="C6" s="0" t="n">
        <v>-1528.873</v>
      </c>
      <c r="D6" s="0" t="n">
        <v>2597.352</v>
      </c>
      <c r="E6" s="0" t="n">
        <v>62.9</v>
      </c>
      <c r="F6" s="0" t="n">
        <v>883.861</v>
      </c>
      <c r="G6" s="0" t="n">
        <v>21.4</v>
      </c>
      <c r="I6" s="0" t="n">
        <v>647.195</v>
      </c>
      <c r="J6" s="0" t="n">
        <v>15.7</v>
      </c>
      <c r="K6" s="0" t="n">
        <v>1.3</v>
      </c>
      <c r="L6" s="0" t="n">
        <v>1336.578</v>
      </c>
      <c r="M6" s="0" t="n">
        <v>128.499</v>
      </c>
      <c r="N6" s="0" t="n">
        <v>1208.079</v>
      </c>
      <c r="O6" s="0" t="n">
        <v>1716.251</v>
      </c>
      <c r="P6" s="0" t="n">
        <v>3818.643</v>
      </c>
      <c r="Q6" s="0" t="n">
        <v>2102.392</v>
      </c>
      <c r="R6" s="0" t="n">
        <v>243.619</v>
      </c>
      <c r="S6" s="0" t="n">
        <v>549.012</v>
      </c>
      <c r="T6" s="0" t="n">
        <v>501.702</v>
      </c>
      <c r="U6" s="0" t="n">
        <v>16.523</v>
      </c>
      <c r="AA6" s="0" t="s">
        <v>18</v>
      </c>
      <c r="AB6" s="0" t="s">
        <v>14</v>
      </c>
      <c r="AC6" s="0" t="n">
        <v>1.29</v>
      </c>
    </row>
    <row r="7" customFormat="false" ht="15" hidden="false" customHeight="false" outlineLevel="0" collapsed="false">
      <c r="A7" s="0" t="s">
        <v>70</v>
      </c>
      <c r="B7" s="0" t="n">
        <v>4085.868</v>
      </c>
      <c r="C7" s="0" t="n">
        <v>-1478.498</v>
      </c>
      <c r="D7" s="0" t="n">
        <v>2607.37</v>
      </c>
      <c r="E7" s="0" t="n">
        <v>63.8</v>
      </c>
      <c r="F7" s="0" t="n">
        <v>775.852</v>
      </c>
      <c r="G7" s="0" t="n">
        <v>19</v>
      </c>
      <c r="I7" s="0" t="n">
        <v>558.873</v>
      </c>
      <c r="J7" s="0" t="n">
        <v>13.7</v>
      </c>
      <c r="K7" s="0" t="n">
        <v>1.12</v>
      </c>
      <c r="L7" s="0" t="n">
        <v>852.874</v>
      </c>
      <c r="M7" s="0" t="n">
        <v>139.988</v>
      </c>
      <c r="N7" s="0" t="n">
        <v>712.886</v>
      </c>
      <c r="O7" s="0" t="n">
        <v>1684.965</v>
      </c>
      <c r="P7" s="0" t="n">
        <v>3899.835</v>
      </c>
      <c r="Q7" s="0" t="n">
        <v>2214.87</v>
      </c>
      <c r="R7" s="0" t="n">
        <v>148.868</v>
      </c>
      <c r="S7" s="0" t="n">
        <v>591.746</v>
      </c>
      <c r="T7" s="0" t="n">
        <v>508.066</v>
      </c>
      <c r="U7" s="0" t="n">
        <v>44.633</v>
      </c>
      <c r="AA7" s="0" t="s">
        <v>18</v>
      </c>
      <c r="AB7" s="0" t="s">
        <v>14</v>
      </c>
      <c r="AC7" s="0" t="n">
        <v>1.1</v>
      </c>
    </row>
    <row r="8" customFormat="false" ht="15" hidden="false" customHeight="false" outlineLevel="0" collapsed="false">
      <c r="A8" s="0" t="s">
        <v>71</v>
      </c>
      <c r="B8" s="0" t="n">
        <v>4465.124</v>
      </c>
      <c r="C8" s="0" t="n">
        <v>-1548.132</v>
      </c>
      <c r="D8" s="0" t="n">
        <v>2916.992</v>
      </c>
      <c r="E8" s="0" t="n">
        <v>65.3</v>
      </c>
      <c r="F8" s="0" t="n">
        <v>857.898</v>
      </c>
      <c r="G8" s="0" t="n">
        <v>19.2</v>
      </c>
      <c r="I8" s="0" t="n">
        <v>621.283</v>
      </c>
      <c r="J8" s="0" t="n">
        <v>13.9</v>
      </c>
      <c r="K8" s="0" t="n">
        <v>1.24</v>
      </c>
      <c r="L8" s="0" t="n">
        <v>939.119</v>
      </c>
      <c r="M8" s="0" t="n">
        <v>155.395</v>
      </c>
      <c r="N8" s="0" t="n">
        <v>783.724</v>
      </c>
      <c r="O8" s="0" t="n">
        <v>1981.523</v>
      </c>
      <c r="P8" s="0" t="n">
        <v>4065.827</v>
      </c>
      <c r="Q8" s="0" t="n">
        <v>2084.304</v>
      </c>
      <c r="R8" s="0" t="n">
        <v>99.514</v>
      </c>
      <c r="S8" s="0" t="n">
        <v>525.147</v>
      </c>
      <c r="T8" s="0" t="n">
        <v>509.248</v>
      </c>
      <c r="U8" s="0" t="n">
        <v>36.038</v>
      </c>
      <c r="AA8" s="0" t="s">
        <v>18</v>
      </c>
      <c r="AB8" s="0" t="s">
        <v>14</v>
      </c>
      <c r="AC8" s="0" t="n">
        <v>1.22</v>
      </c>
    </row>
    <row r="9" customFormat="false" ht="15" hidden="false" customHeight="false" outlineLevel="0" collapsed="false">
      <c r="A9" s="0" t="s">
        <v>72</v>
      </c>
      <c r="B9" s="0" t="n">
        <v>5238.149</v>
      </c>
      <c r="C9" s="0" t="n">
        <v>-1767.664</v>
      </c>
      <c r="D9" s="0" t="n">
        <v>3470.485</v>
      </c>
      <c r="E9" s="0" t="n">
        <v>66.3</v>
      </c>
      <c r="F9" s="0" t="n">
        <v>1194.266</v>
      </c>
      <c r="G9" s="0" t="n">
        <v>22.8</v>
      </c>
      <c r="I9" s="0" t="n">
        <v>849.087</v>
      </c>
      <c r="J9" s="0" t="n">
        <v>16.2</v>
      </c>
      <c r="K9" s="0" t="n">
        <v>1.67</v>
      </c>
      <c r="L9" s="0" t="n">
        <v>1602.967</v>
      </c>
      <c r="M9" s="0" t="n">
        <v>143.891</v>
      </c>
      <c r="N9" s="0" t="n">
        <v>1459.076</v>
      </c>
      <c r="O9" s="0" t="n">
        <v>2211.569</v>
      </c>
      <c r="P9" s="0" t="n">
        <v>4372.335</v>
      </c>
      <c r="Q9" s="0" t="n">
        <v>2160.766</v>
      </c>
      <c r="R9" s="0" t="n">
        <v>0</v>
      </c>
      <c r="S9" s="0" t="n">
        <v>698.645</v>
      </c>
      <c r="T9" s="0" t="n">
        <v>517.736</v>
      </c>
      <c r="U9" s="0" t="n">
        <v>38.217</v>
      </c>
      <c r="AA9" s="0" t="s">
        <v>18</v>
      </c>
      <c r="AB9" s="0" t="s">
        <v>14</v>
      </c>
      <c r="AC9" s="0" t="n">
        <v>1.64</v>
      </c>
    </row>
    <row r="10" customFormat="false" ht="15" hidden="false" customHeight="false" outlineLevel="0" collapsed="false">
      <c r="A10" s="0" t="s">
        <v>73</v>
      </c>
      <c r="B10" s="0" t="n">
        <v>5548.385</v>
      </c>
      <c r="C10" s="0" t="n">
        <v>-1909.444</v>
      </c>
      <c r="D10" s="0" t="n">
        <v>3638.941</v>
      </c>
      <c r="E10" s="0" t="n">
        <v>65.6</v>
      </c>
      <c r="F10" s="0" t="n">
        <v>1197.171</v>
      </c>
      <c r="G10" s="0" t="n">
        <v>21.6</v>
      </c>
      <c r="I10" s="0" t="n">
        <v>892.65</v>
      </c>
      <c r="J10" s="0" t="n">
        <v>16.1</v>
      </c>
      <c r="K10" s="0" t="n">
        <v>1.74</v>
      </c>
      <c r="L10" s="0" t="n">
        <v>1132.989</v>
      </c>
      <c r="M10" s="0" t="n">
        <v>160.785</v>
      </c>
      <c r="N10" s="0" t="n">
        <v>972.204</v>
      </c>
      <c r="O10" s="0" t="n">
        <v>2408.243</v>
      </c>
      <c r="P10" s="0" t="n">
        <v>4528.424</v>
      </c>
      <c r="Q10" s="0" t="n">
        <v>2120.181</v>
      </c>
      <c r="R10" s="0" t="n">
        <v>0</v>
      </c>
      <c r="S10" s="0" t="n">
        <v>262.733</v>
      </c>
      <c r="T10" s="0" t="n">
        <v>525.088</v>
      </c>
      <c r="U10" s="0" t="n">
        <v>50.119</v>
      </c>
      <c r="AA10" s="0" t="s">
        <v>18</v>
      </c>
      <c r="AB10" s="0" t="s">
        <v>14</v>
      </c>
      <c r="AC10" s="0" t="n">
        <v>1.7</v>
      </c>
    </row>
    <row r="11" customFormat="false" ht="15" hidden="false" customHeight="false" outlineLevel="0" collapsed="false">
      <c r="A11" s="0" t="s">
        <v>74</v>
      </c>
      <c r="B11" s="0" t="n">
        <v>6046.259</v>
      </c>
      <c r="C11" s="0" t="n">
        <v>-2016.589</v>
      </c>
      <c r="D11" s="0" t="n">
        <v>4029.67</v>
      </c>
      <c r="E11" s="0" t="n">
        <v>66.6</v>
      </c>
      <c r="F11" s="0" t="n">
        <v>1333.902</v>
      </c>
      <c r="G11" s="0" t="n">
        <v>22.1</v>
      </c>
      <c r="I11" s="0" t="n">
        <v>997.445</v>
      </c>
      <c r="J11" s="0" t="n">
        <v>16.5</v>
      </c>
      <c r="K11" s="0" t="n">
        <v>1.93</v>
      </c>
      <c r="L11" s="0" t="n">
        <v>1432.937</v>
      </c>
      <c r="M11" s="0" t="n">
        <v>202.081</v>
      </c>
      <c r="N11" s="0" t="n">
        <v>1230.856</v>
      </c>
      <c r="O11" s="0" t="n">
        <v>2888.102</v>
      </c>
      <c r="P11" s="0" t="n">
        <v>5280.143</v>
      </c>
      <c r="Q11" s="0" t="n">
        <v>2392.041</v>
      </c>
      <c r="R11" s="0" t="n">
        <v>249.312</v>
      </c>
      <c r="S11" s="0" t="n">
        <v>519.37</v>
      </c>
      <c r="T11" s="0" t="n">
        <v>527.749</v>
      </c>
      <c r="U11" s="0" t="n">
        <v>68.398</v>
      </c>
      <c r="AA11" s="0" t="s">
        <v>18</v>
      </c>
      <c r="AB11" s="0" t="s">
        <v>14</v>
      </c>
      <c r="AC11" s="0" t="n">
        <v>1.89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21.84</v>
      </c>
    </row>
    <row r="3" customFormat="false" ht="15" hidden="false" customHeight="false" outlineLevel="0" collapsed="false">
      <c r="A3" s="0" t="s">
        <v>78</v>
      </c>
      <c r="B3" s="3" t="n">
        <v>533.285</v>
      </c>
    </row>
    <row r="4" customFormat="false" ht="15" hidden="false" customHeight="false" outlineLevel="0" collapsed="false">
      <c r="A4" s="0" t="s">
        <v>79</v>
      </c>
      <c r="B4" s="3" t="n">
        <v>-1463.969</v>
      </c>
    </row>
    <row r="5" customFormat="false" ht="15" hidden="false" customHeight="false" outlineLevel="0" collapsed="false">
      <c r="A5" s="0" t="s">
        <v>80</v>
      </c>
      <c r="B5" s="3" t="n">
        <v>-623.868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6046.259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1.1736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2</v>
      </c>
      <c r="D13" s="3" t="n">
        <v>-1</v>
      </c>
      <c r="E13" s="3" t="n">
        <v>0</v>
      </c>
      <c r="F13" s="3" t="n">
        <v>1.5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28.5</v>
      </c>
      <c r="D14" s="3" t="n">
        <v>27.5</v>
      </c>
      <c r="E14" s="3" t="n">
        <v>26.5</v>
      </c>
      <c r="F14" s="3" t="n">
        <v>26</v>
      </c>
      <c r="G14" s="3" t="n">
        <v>26</v>
      </c>
      <c r="H14" s="3" t="n">
        <v>26</v>
      </c>
      <c r="I14" s="3" t="n">
        <v>26</v>
      </c>
      <c r="J14" s="3" t="n">
        <v>26</v>
      </c>
      <c r="K14" s="3" t="n">
        <v>26</v>
      </c>
      <c r="L14" s="3" t="n">
        <v>26</v>
      </c>
    </row>
    <row r="15" customFormat="false" ht="15" hidden="false" customHeight="false" outlineLevel="0" collapsed="false">
      <c r="A15" s="0" t="s">
        <v>100</v>
      </c>
      <c r="C15" s="3" t="n">
        <v>1.1</v>
      </c>
      <c r="D15" s="3" t="n">
        <v>1.1</v>
      </c>
      <c r="E15" s="3" t="n">
        <v>1.1</v>
      </c>
      <c r="F15" s="3" t="n">
        <v>1.1</v>
      </c>
      <c r="G15" s="3" t="n">
        <v>1.1</v>
      </c>
      <c r="H15" s="3" t="n">
        <v>1.1</v>
      </c>
      <c r="I15" s="3" t="n">
        <v>1.1</v>
      </c>
      <c r="J15" s="3" t="n">
        <v>1.1</v>
      </c>
      <c r="K15" s="3" t="n">
        <v>1.1</v>
      </c>
      <c r="L15" s="3" t="n">
        <v>1.1</v>
      </c>
    </row>
    <row r="16" customFormat="false" ht="15" hidden="false" customHeight="false" outlineLevel="0" collapsed="false">
      <c r="A16" s="0" t="s">
        <v>101</v>
      </c>
      <c r="C16" s="3" t="n">
        <v>5.8</v>
      </c>
      <c r="D16" s="3" t="n">
        <v>6</v>
      </c>
      <c r="E16" s="3" t="n">
        <v>6</v>
      </c>
      <c r="F16" s="3" t="n">
        <v>6</v>
      </c>
      <c r="G16" s="3" t="n">
        <v>5.9</v>
      </c>
      <c r="H16" s="3" t="n">
        <v>5.9</v>
      </c>
      <c r="I16" s="3" t="n">
        <v>5.9</v>
      </c>
      <c r="J16" s="3" t="n">
        <v>5.9</v>
      </c>
      <c r="K16" s="3" t="n">
        <v>5.9</v>
      </c>
      <c r="L16" s="3" t="n">
        <v>5.9</v>
      </c>
    </row>
    <row r="17" customFormat="false" ht="15" hidden="false" customHeight="false" outlineLevel="0" collapsed="false">
      <c r="A17" s="0" t="s">
        <v>102</v>
      </c>
      <c r="C17" s="3" t="n">
        <v>2.1</v>
      </c>
      <c r="D17" s="3" t="n">
        <v>2.2</v>
      </c>
      <c r="E17" s="3" t="n">
        <v>2.4</v>
      </c>
      <c r="F17" s="3" t="n">
        <v>2.6</v>
      </c>
      <c r="G17" s="3" t="n">
        <v>2.7</v>
      </c>
      <c r="H17" s="3" t="n">
        <v>2.7</v>
      </c>
      <c r="I17" s="3" t="n">
        <v>2.7</v>
      </c>
      <c r="J17" s="3" t="n">
        <v>2.7</v>
      </c>
      <c r="K17" s="3" t="n">
        <v>2.7</v>
      </c>
      <c r="L17" s="3" t="n">
        <v>2.7</v>
      </c>
    </row>
    <row r="18" customFormat="false" ht="15" hidden="false" customHeight="false" outlineLevel="0" collapsed="false">
      <c r="A18" s="0" t="s">
        <v>103</v>
      </c>
      <c r="C18" s="3" t="n">
        <v>5.5</v>
      </c>
      <c r="D18" s="3" t="n">
        <v>5.5</v>
      </c>
      <c r="E18" s="3" t="n">
        <v>4.5</v>
      </c>
      <c r="F18" s="3" t="n">
        <v>3.5</v>
      </c>
      <c r="G18" s="3" t="n">
        <v>3.2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104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105</v>
      </c>
      <c r="B20" s="3" t="n">
        <v>9.5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15</v>
      </c>
    </row>
    <row r="23" customFormat="false" ht="15" hidden="false" customHeight="false" outlineLevel="0" collapsed="false">
      <c r="A23" s="0" t="s">
        <v>108</v>
      </c>
      <c r="B23" s="3" t="n">
        <v>-10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7</v>
      </c>
      <c r="D27" s="3" t="n">
        <v>6.5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99</v>
      </c>
      <c r="C28" s="3" t="n">
        <v>29.4</v>
      </c>
      <c r="D28" s="3" t="n">
        <v>29.4</v>
      </c>
      <c r="E28" s="3" t="n">
        <v>29.5</v>
      </c>
      <c r="F28" s="3" t="n">
        <v>29.5</v>
      </c>
      <c r="G28" s="3" t="n">
        <v>29.6</v>
      </c>
      <c r="H28" s="3" t="n">
        <v>29.6</v>
      </c>
      <c r="I28" s="3" t="n">
        <v>29.6</v>
      </c>
      <c r="J28" s="3" t="n">
        <v>29.6</v>
      </c>
      <c r="K28" s="3" t="n">
        <v>29.6</v>
      </c>
      <c r="L28" s="3" t="n">
        <v>29.6</v>
      </c>
    </row>
    <row r="29" customFormat="false" ht="15" hidden="false" customHeight="false" outlineLevel="0" collapsed="false">
      <c r="A29" s="0" t="s">
        <v>100</v>
      </c>
      <c r="C29" s="3" t="n">
        <v>1.1</v>
      </c>
      <c r="D29" s="3" t="n">
        <v>1.1</v>
      </c>
      <c r="E29" s="3" t="n">
        <v>1.1</v>
      </c>
      <c r="F29" s="3" t="n">
        <v>1.1</v>
      </c>
      <c r="G29" s="3" t="n">
        <v>1.1</v>
      </c>
      <c r="H29" s="3" t="n">
        <v>1.1</v>
      </c>
      <c r="I29" s="3" t="n">
        <v>1.1</v>
      </c>
      <c r="J29" s="3" t="n">
        <v>1.1</v>
      </c>
      <c r="K29" s="3" t="n">
        <v>1.1</v>
      </c>
      <c r="L29" s="3" t="n">
        <v>1.1</v>
      </c>
    </row>
    <row r="30" customFormat="false" ht="15" hidden="false" customHeight="false" outlineLevel="0" collapsed="false">
      <c r="A30" s="0" t="s">
        <v>101</v>
      </c>
      <c r="C30" s="3" t="n">
        <v>5.6</v>
      </c>
      <c r="D30" s="3" t="n">
        <v>5.6</v>
      </c>
      <c r="E30" s="3" t="n">
        <v>5.5</v>
      </c>
      <c r="F30" s="3" t="n">
        <v>5.5</v>
      </c>
      <c r="G30" s="3" t="n">
        <v>5.4</v>
      </c>
      <c r="H30" s="3" t="n">
        <v>5.4</v>
      </c>
      <c r="I30" s="3" t="n">
        <v>5.4</v>
      </c>
      <c r="J30" s="3" t="n">
        <v>5.4</v>
      </c>
      <c r="K30" s="3" t="n">
        <v>5.4</v>
      </c>
      <c r="L30" s="3" t="n">
        <v>5.4</v>
      </c>
    </row>
    <row r="31" customFormat="false" ht="15" hidden="false" customHeight="false" outlineLevel="0" collapsed="false">
      <c r="A31" s="0" t="s">
        <v>102</v>
      </c>
      <c r="C31" s="3" t="n">
        <v>2.1</v>
      </c>
      <c r="D31" s="3" t="n">
        <v>2.1</v>
      </c>
      <c r="E31" s="3" t="n">
        <v>2.2</v>
      </c>
      <c r="F31" s="3" t="n">
        <v>2.4</v>
      </c>
      <c r="G31" s="3" t="n">
        <v>2.5</v>
      </c>
      <c r="H31" s="3" t="n">
        <v>2.5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103</v>
      </c>
      <c r="C32" s="3" t="n">
        <v>5.5</v>
      </c>
      <c r="D32" s="3" t="n">
        <v>5.5</v>
      </c>
      <c r="E32" s="3" t="n">
        <v>4.5</v>
      </c>
      <c r="F32" s="3" t="n">
        <v>3.5</v>
      </c>
      <c r="G32" s="3" t="n">
        <v>3.3</v>
      </c>
      <c r="H32" s="3" t="n">
        <v>3.2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104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105</v>
      </c>
      <c r="B34" s="3" t="n">
        <v>9.5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-10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10</v>
      </c>
      <c r="D41" s="3" t="n">
        <v>10</v>
      </c>
      <c r="E41" s="3" t="n">
        <v>9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99</v>
      </c>
      <c r="C42" s="3" t="n">
        <v>29.6</v>
      </c>
      <c r="D42" s="3" t="n">
        <v>29.9</v>
      </c>
      <c r="E42" s="3" t="n">
        <v>30.2</v>
      </c>
      <c r="F42" s="3" t="n">
        <v>30.5</v>
      </c>
      <c r="G42" s="3" t="n">
        <v>30.8</v>
      </c>
      <c r="H42" s="3" t="n">
        <v>31</v>
      </c>
      <c r="I42" s="3" t="n">
        <v>31</v>
      </c>
      <c r="J42" s="3" t="n">
        <v>31</v>
      </c>
      <c r="K42" s="3" t="n">
        <v>31</v>
      </c>
      <c r="L42" s="3" t="n">
        <v>31</v>
      </c>
    </row>
    <row r="43" customFormat="false" ht="15" hidden="false" customHeight="false" outlineLevel="0" collapsed="false">
      <c r="A43" s="0" t="s">
        <v>100</v>
      </c>
      <c r="C43" s="3" t="n">
        <v>1.1</v>
      </c>
      <c r="D43" s="3" t="n">
        <v>1.1</v>
      </c>
      <c r="E43" s="3" t="n">
        <v>1.1</v>
      </c>
      <c r="F43" s="3" t="n">
        <v>1.1</v>
      </c>
      <c r="G43" s="3" t="n">
        <v>1.1</v>
      </c>
      <c r="H43" s="3" t="n">
        <v>1.1</v>
      </c>
      <c r="I43" s="3" t="n">
        <v>1.1</v>
      </c>
      <c r="J43" s="3" t="n">
        <v>1.1</v>
      </c>
      <c r="K43" s="3" t="n">
        <v>1.1</v>
      </c>
      <c r="L43" s="3" t="n">
        <v>1.1</v>
      </c>
    </row>
    <row r="44" customFormat="false" ht="15" hidden="false" customHeight="false" outlineLevel="0" collapsed="false">
      <c r="A44" s="0" t="s">
        <v>101</v>
      </c>
      <c r="C44" s="3" t="n">
        <v>5.5</v>
      </c>
      <c r="D44" s="3" t="n">
        <v>5.5</v>
      </c>
      <c r="E44" s="3" t="n">
        <v>5.4</v>
      </c>
      <c r="F44" s="3" t="n">
        <v>5.3</v>
      </c>
      <c r="G44" s="3" t="n">
        <v>5.2</v>
      </c>
      <c r="H44" s="3" t="n">
        <v>5.2</v>
      </c>
      <c r="I44" s="3" t="n">
        <v>5.2</v>
      </c>
      <c r="J44" s="3" t="n">
        <v>5.2</v>
      </c>
      <c r="K44" s="3" t="n">
        <v>5.2</v>
      </c>
      <c r="L44" s="3" t="n">
        <v>5.2</v>
      </c>
    </row>
    <row r="45" customFormat="false" ht="15" hidden="false" customHeight="false" outlineLevel="0" collapsed="false">
      <c r="A45" s="0" t="s">
        <v>102</v>
      </c>
      <c r="C45" s="3" t="n">
        <v>2.1</v>
      </c>
      <c r="D45" s="3" t="n">
        <v>2.1</v>
      </c>
      <c r="E45" s="3" t="n">
        <v>2.2</v>
      </c>
      <c r="F45" s="3" t="n">
        <v>2.4</v>
      </c>
      <c r="G45" s="3" t="n">
        <v>2.5</v>
      </c>
      <c r="H45" s="3" t="n">
        <v>2.5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103</v>
      </c>
      <c r="C46" s="3" t="n">
        <v>5.5</v>
      </c>
      <c r="D46" s="3" t="n">
        <v>5.5</v>
      </c>
      <c r="E46" s="3" t="n">
        <v>4.5</v>
      </c>
      <c r="F46" s="3" t="n">
        <v>3.5</v>
      </c>
      <c r="G46" s="3" t="n">
        <v>3.3</v>
      </c>
      <c r="H46" s="3" t="n">
        <v>3.2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104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105</v>
      </c>
      <c r="B48" s="3" t="n">
        <v>9.5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15</v>
      </c>
    </row>
    <row r="51" customFormat="false" ht="15" hidden="false" customHeight="false" outlineLevel="0" collapsed="false">
      <c r="A51" s="0" t="s">
        <v>108</v>
      </c>
      <c r="B51" s="3" t="n">
        <v>-10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2</v>
      </c>
      <c r="D5" s="4" t="n">
        <f aca="false">Assumptions!D13</f>
        <v>-1</v>
      </c>
      <c r="E5" s="4" t="n">
        <f aca="false">Assumptions!E13</f>
        <v>0</v>
      </c>
      <c r="F5" s="4" t="n">
        <f aca="false">Assumptions!F13</f>
        <v>1.5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6046.259</v>
      </c>
      <c r="C6" s="0" t="n">
        <f aca="false">B6*(1+C5/100)</f>
        <v>6167.18418</v>
      </c>
      <c r="D6" s="0" t="n">
        <f aca="false">C6*(1+D5/100)</f>
        <v>6105.5123382</v>
      </c>
      <c r="E6" s="0" t="n">
        <f aca="false">D6*(1+E5/100)</f>
        <v>6105.5123382</v>
      </c>
      <c r="F6" s="0" t="n">
        <f aca="false">E6*(1+F5/100)</f>
        <v>6197.095023273</v>
      </c>
      <c r="G6" s="0" t="n">
        <f aca="false">F6*(1+G5/100)</f>
        <v>6321.03692373846</v>
      </c>
      <c r="H6" s="0" t="n">
        <f aca="false">G6*(1+H5/100)</f>
        <v>6447.45766221323</v>
      </c>
      <c r="I6" s="0" t="n">
        <f aca="false">H6*(1+I5/100)</f>
        <v>6576.40681545749</v>
      </c>
      <c r="J6" s="0" t="n">
        <f aca="false">I6*(1+J5/100)</f>
        <v>6707.93495176664</v>
      </c>
      <c r="K6" s="0" t="n">
        <f aca="false">J6*(1+K5/100)</f>
        <v>6842.09365080198</v>
      </c>
      <c r="L6" s="0" t="n">
        <f aca="false">K6*(1+L5/100)</f>
        <v>6978.93552381802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28.5</v>
      </c>
      <c r="D7" s="4" t="n">
        <f aca="false">Assumptions!D14</f>
        <v>27.5</v>
      </c>
      <c r="E7" s="4" t="n">
        <f aca="false">Assumptions!E14</f>
        <v>26.5</v>
      </c>
      <c r="F7" s="4" t="n">
        <f aca="false">Assumptions!F14</f>
        <v>26</v>
      </c>
      <c r="G7" s="4" t="n">
        <f aca="false">Assumptions!G14</f>
        <v>26</v>
      </c>
      <c r="H7" s="4" t="n">
        <f aca="false">Assumptions!H14</f>
        <v>26</v>
      </c>
      <c r="I7" s="4" t="n">
        <f aca="false">Assumptions!I14</f>
        <v>26</v>
      </c>
      <c r="J7" s="4" t="n">
        <f aca="false">Assumptions!J14</f>
        <v>26</v>
      </c>
      <c r="K7" s="4" t="n">
        <f aca="false">Assumptions!K14</f>
        <v>26</v>
      </c>
      <c r="L7" s="4" t="n">
        <f aca="false">Assumptions!L14</f>
        <v>26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1757.6474913</v>
      </c>
      <c r="D8" s="0" t="n">
        <f aca="false">D6*D7/100</f>
        <v>1679.015893005</v>
      </c>
      <c r="E8" s="0" t="n">
        <f aca="false">E6*E7/100</f>
        <v>1617.960769623</v>
      </c>
      <c r="F8" s="0" t="n">
        <f aca="false">F6*F7/100</f>
        <v>1611.24470605098</v>
      </c>
      <c r="G8" s="0" t="n">
        <f aca="false">G6*G7/100</f>
        <v>1643.469600172</v>
      </c>
      <c r="H8" s="0" t="n">
        <f aca="false">H6*H7/100</f>
        <v>1676.33899217544</v>
      </c>
      <c r="I8" s="0" t="n">
        <f aca="false">I6*I7/100</f>
        <v>1709.86577201895</v>
      </c>
      <c r="J8" s="0" t="n">
        <f aca="false">J6*J7/100</f>
        <v>1744.06308745933</v>
      </c>
      <c r="K8" s="0" t="n">
        <f aca="false">K6*K7/100</f>
        <v>1778.94434920851</v>
      </c>
      <c r="L8" s="0" t="n">
        <f aca="false">L6*L7/100</f>
        <v>1814.52323619268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1.1</v>
      </c>
      <c r="D9" s="4" t="n">
        <f aca="false">Assumptions!D15</f>
        <v>1.1</v>
      </c>
      <c r="E9" s="4" t="n">
        <f aca="false">Assumptions!E15</f>
        <v>1.1</v>
      </c>
      <c r="F9" s="4" t="n">
        <f aca="false">Assumptions!F15</f>
        <v>1.1</v>
      </c>
      <c r="G9" s="4" t="n">
        <f aca="false">Assumptions!G15</f>
        <v>1.1</v>
      </c>
      <c r="H9" s="4" t="n">
        <f aca="false">Assumptions!H15</f>
        <v>1.1</v>
      </c>
      <c r="I9" s="4" t="n">
        <f aca="false">Assumptions!I15</f>
        <v>1.1</v>
      </c>
      <c r="J9" s="4" t="n">
        <f aca="false">Assumptions!J15</f>
        <v>1.1</v>
      </c>
      <c r="K9" s="4" t="n">
        <f aca="false">Assumptions!K15</f>
        <v>1.1</v>
      </c>
      <c r="L9" s="4" t="n">
        <f aca="false">Assumptions!L15</f>
        <v>1.1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-67.83902598</v>
      </c>
      <c r="D10" s="0" t="n">
        <f aca="false">-D6*D9/100</f>
        <v>-67.1606357202</v>
      </c>
      <c r="E10" s="0" t="n">
        <f aca="false">-E6*E9/100</f>
        <v>-67.1606357202</v>
      </c>
      <c r="F10" s="0" t="n">
        <f aca="false">-F6*F9/100</f>
        <v>-68.168045256003</v>
      </c>
      <c r="G10" s="0" t="n">
        <f aca="false">-G6*G9/100</f>
        <v>-69.5314061611231</v>
      </c>
      <c r="H10" s="0" t="n">
        <f aca="false">-H6*H9/100</f>
        <v>-70.9220342843455</v>
      </c>
      <c r="I10" s="0" t="n">
        <f aca="false">-I6*I9/100</f>
        <v>-72.3404749700324</v>
      </c>
      <c r="J10" s="0" t="n">
        <f aca="false">-J6*J9/100</f>
        <v>-73.7872844694331</v>
      </c>
      <c r="K10" s="0" t="n">
        <f aca="false">-K6*K9/100</f>
        <v>-75.2630301588217</v>
      </c>
      <c r="L10" s="0" t="n">
        <f aca="false">-L6*L9/100</f>
        <v>-76.7682907619982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1332.11178288</v>
      </c>
      <c r="D11" s="0" t="n">
        <f aca="false">D8+D10+D24</f>
        <v>1245.5245169928</v>
      </c>
      <c r="E11" s="0" t="n">
        <f aca="false">E8+E10+E24</f>
        <v>1184.4693936108</v>
      </c>
      <c r="F11" s="0" t="n">
        <f aca="false">F8+F10+F24</f>
        <v>1171.2509593986</v>
      </c>
      <c r="G11" s="0" t="n">
        <f aca="false">G8+G10+G24</f>
        <v>1200.99701551031</v>
      </c>
      <c r="H11" s="0" t="n">
        <f aca="false">H8+H10+H24</f>
        <v>1225.01695582051</v>
      </c>
      <c r="I11" s="0" t="n">
        <f aca="false">I8+I10+I24</f>
        <v>1249.51729493692</v>
      </c>
      <c r="J11" s="0" t="n">
        <f aca="false">J8+J10+J24</f>
        <v>1274.50764083566</v>
      </c>
      <c r="K11" s="0" t="n">
        <f aca="false">K8+K10+K24</f>
        <v>1299.99779365238</v>
      </c>
      <c r="L11" s="0" t="n">
        <f aca="false">L8+L10+L24</f>
        <v>1325.99774952542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-129.51086778</v>
      </c>
      <c r="D12" s="4" t="n">
        <f aca="false">-D6*Assumptions!D17/100</f>
        <v>-134.3212714404</v>
      </c>
      <c r="E12" s="4" t="n">
        <f aca="false">-E6*Assumptions!E17/100</f>
        <v>-146.5322961168</v>
      </c>
      <c r="F12" s="4" t="n">
        <f aca="false">-F6*Assumptions!F17/100</f>
        <v>-161.124470605098</v>
      </c>
      <c r="G12" s="4" t="n">
        <f aca="false">-G6*Assumptions!G17/100</f>
        <v>-170.667996940938</v>
      </c>
      <c r="H12" s="4" t="n">
        <f aca="false">-H6*Assumptions!H17/100</f>
        <v>-174.081356879757</v>
      </c>
      <c r="I12" s="4" t="n">
        <f aca="false">-I6*Assumptions!I17/100</f>
        <v>-177.562984017352</v>
      </c>
      <c r="J12" s="4" t="n">
        <f aca="false">-J6*Assumptions!J17/100</f>
        <v>-181.114243697699</v>
      </c>
      <c r="K12" s="4" t="n">
        <f aca="false">-K6*Assumptions!K17/100</f>
        <v>-184.736528571653</v>
      </c>
      <c r="L12" s="4" t="n">
        <f aca="false">-L6*Assumptions!L17/100</f>
        <v>-188.431259143086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1202.6009151</v>
      </c>
      <c r="D13" s="0" t="n">
        <f aca="false">D11+D12</f>
        <v>1111.2032455524</v>
      </c>
      <c r="E13" s="0" t="n">
        <f aca="false">E11+E12</f>
        <v>1037.937097494</v>
      </c>
      <c r="F13" s="0" t="n">
        <f aca="false">F11+F12</f>
        <v>1010.1264887935</v>
      </c>
      <c r="G13" s="0" t="n">
        <f aca="false">G11+G12</f>
        <v>1030.32901856937</v>
      </c>
      <c r="H13" s="0" t="n">
        <f aca="false">H11+H12</f>
        <v>1050.93559894076</v>
      </c>
      <c r="I13" s="0" t="n">
        <f aca="false">I11+I12</f>
        <v>1071.95431091957</v>
      </c>
      <c r="J13" s="0" t="n">
        <f aca="false">J11+J12</f>
        <v>1093.39339713796</v>
      </c>
      <c r="K13" s="0" t="n">
        <f aca="false">K11+K12</f>
        <v>1115.26126508072</v>
      </c>
      <c r="L13" s="0" t="n">
        <f aca="false">L11+L12</f>
        <v>1137.56649038234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889.924677174</v>
      </c>
      <c r="D15" s="0" t="n">
        <f aca="false">D13-MAX(0,D13)*D14/100</f>
        <v>822.290401708776</v>
      </c>
      <c r="E15" s="0" t="n">
        <f aca="false">E13-MAX(0,E13)*E14/100</f>
        <v>768.07345214556</v>
      </c>
      <c r="F15" s="0" t="n">
        <f aca="false">F13-MAX(0,F13)*F14/100</f>
        <v>747.493601707189</v>
      </c>
      <c r="G15" s="0" t="n">
        <f aca="false">G13-MAX(0,G13)*G14/100</f>
        <v>762.443473741333</v>
      </c>
      <c r="H15" s="0" t="n">
        <f aca="false">H13-MAX(0,H13)*H14/100</f>
        <v>777.69234321616</v>
      </c>
      <c r="I15" s="0" t="n">
        <f aca="false">I13-MAX(0,I13)*I14/100</f>
        <v>793.246190080483</v>
      </c>
      <c r="J15" s="0" t="n">
        <f aca="false">J13-MAX(0,J13)*J14/100</f>
        <v>809.111113882093</v>
      </c>
      <c r="K15" s="0" t="n">
        <f aca="false">K13-MAX(0,K13)*K14/100</f>
        <v>825.293336159735</v>
      </c>
      <c r="L15" s="0" t="n">
        <f aca="false">L13-MAX(0,L13)*L14/100</f>
        <v>841.799202882929</v>
      </c>
    </row>
    <row r="16" customFormat="false" ht="15" hidden="false" customHeight="false" outlineLevel="0" collapsed="false">
      <c r="A16" s="0" t="s">
        <v>120</v>
      </c>
      <c r="C16" s="0" t="n">
        <f aca="false">-C12</f>
        <v>129.51086778</v>
      </c>
      <c r="D16" s="0" t="n">
        <f aca="false">-D12</f>
        <v>134.3212714404</v>
      </c>
      <c r="E16" s="0" t="n">
        <f aca="false">-E12</f>
        <v>146.5322961168</v>
      </c>
      <c r="F16" s="0" t="n">
        <f aca="false">-F12</f>
        <v>161.124470605098</v>
      </c>
      <c r="G16" s="0" t="n">
        <f aca="false">-G12</f>
        <v>170.667996940938</v>
      </c>
      <c r="H16" s="0" t="n">
        <f aca="false">-H12</f>
        <v>174.081356879757</v>
      </c>
      <c r="I16" s="0" t="n">
        <f aca="false">-I12</f>
        <v>177.562984017352</v>
      </c>
      <c r="J16" s="0" t="n">
        <f aca="false">-J12</f>
        <v>181.114243697699</v>
      </c>
      <c r="K16" s="0" t="n">
        <f aca="false">-K12</f>
        <v>184.736528571653</v>
      </c>
      <c r="L16" s="0" t="n">
        <f aca="false">-L12</f>
        <v>188.431259143086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-339.1951299</v>
      </c>
      <c r="D17" s="4" t="n">
        <f aca="false">-D6*Assumptions!D18/100</f>
        <v>-335.803178601</v>
      </c>
      <c r="E17" s="4" t="n">
        <f aca="false">-E6*Assumptions!E18/100</f>
        <v>-274.748055219</v>
      </c>
      <c r="F17" s="4" t="n">
        <f aca="false">-F6*Assumptions!F18/100</f>
        <v>-216.898325814555</v>
      </c>
      <c r="G17" s="4" t="n">
        <f aca="false">-G6*Assumptions!G18/100</f>
        <v>-202.273181559631</v>
      </c>
      <c r="H17" s="4" t="n">
        <f aca="false">-H6*Assumptions!H18/100</f>
        <v>-193.423729866397</v>
      </c>
      <c r="I17" s="4" t="n">
        <f aca="false">-I6*Assumptions!I18/100</f>
        <v>-197.292204463725</v>
      </c>
      <c r="J17" s="4" t="n">
        <f aca="false">-J6*Assumptions!J18/100</f>
        <v>-201.238048552999</v>
      </c>
      <c r="K17" s="4" t="n">
        <f aca="false">-K6*Assumptions!K18/100</f>
        <v>-205.262809524059</v>
      </c>
      <c r="L17" s="4" t="n">
        <f aca="false">-L6*Assumptions!L18/100</f>
        <v>-209.36806571454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-12.092518</v>
      </c>
      <c r="D18" s="4" t="n">
        <f aca="false">(D6-C6)*Assumptions!$B$23/100</f>
        <v>6.16718418</v>
      </c>
      <c r="E18" s="4" t="n">
        <f aca="false">(E6-D6)*Assumptions!$B$23/100</f>
        <v>-0</v>
      </c>
      <c r="F18" s="4" t="n">
        <f aca="false">(F6-E6)*Assumptions!$B$23/100</f>
        <v>-9.15826850729991</v>
      </c>
      <c r="G18" s="4" t="n">
        <f aca="false">(G6-F6)*Assumptions!$B$23/100</f>
        <v>-12.394190046546</v>
      </c>
      <c r="H18" s="4" t="n">
        <f aca="false">(H6-G6)*Assumptions!$B$23/100</f>
        <v>-12.642073847477</v>
      </c>
      <c r="I18" s="4" t="n">
        <f aca="false">(I6-H6)*Assumptions!$B$23/100</f>
        <v>-12.8949153244264</v>
      </c>
      <c r="J18" s="4" t="n">
        <f aca="false">(J6-I6)*Assumptions!$B$23/100</f>
        <v>-13.152813630915</v>
      </c>
      <c r="K18" s="4" t="n">
        <f aca="false">(K6-J6)*Assumptions!$B$23/100</f>
        <v>-13.4158699035333</v>
      </c>
      <c r="L18" s="4" t="n">
        <f aca="false">(L6-K6)*Assumptions!$B$23/100</f>
        <v>-13.6841873016039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668.147897054</v>
      </c>
      <c r="D19" s="0" t="n">
        <f aca="false">D15+D16+D17+D18</f>
        <v>626.975678728176</v>
      </c>
      <c r="E19" s="0" t="n">
        <f aca="false">E15+E16+E17+E18</f>
        <v>639.85769304336</v>
      </c>
      <c r="F19" s="0" t="n">
        <f aca="false">F15+F16+F17+F18</f>
        <v>682.561477990432</v>
      </c>
      <c r="G19" s="0" t="n">
        <f aca="false">G15+G16+G17+G18</f>
        <v>718.444099076095</v>
      </c>
      <c r="H19" s="0" t="n">
        <f aca="false">H15+H16+H17+H18</f>
        <v>745.707896382043</v>
      </c>
      <c r="I19" s="0" t="n">
        <f aca="false">I15+I16+I17+I18</f>
        <v>760.622054309684</v>
      </c>
      <c r="J19" s="0" t="n">
        <f aca="false">J15+J16+J17+J18</f>
        <v>775.834495395878</v>
      </c>
      <c r="K19" s="0" t="n">
        <f aca="false">K15+K16+K17+K18</f>
        <v>791.351185303795</v>
      </c>
      <c r="L19" s="0" t="n">
        <f aca="false">L15+L16+L17+L18</f>
        <v>807.178209009871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610.180727903196</v>
      </c>
      <c r="D21" s="0" t="n">
        <f aca="false">D19*D20</f>
        <v>522.904592254687</v>
      </c>
      <c r="E21" s="0" t="n">
        <f aca="false">E19*E20</f>
        <v>487.350076231733</v>
      </c>
      <c r="F21" s="0" t="n">
        <f aca="false">F19*F20</f>
        <v>474.772217812343</v>
      </c>
      <c r="G21" s="0" t="n">
        <f aca="false">G19*G20</f>
        <v>456.375567691638</v>
      </c>
      <c r="H21" s="0" t="n">
        <f aca="false">H19*H20</f>
        <v>432.597521462113</v>
      </c>
      <c r="I21" s="0" t="n">
        <f aca="false">I19*I20</f>
        <v>402.96755423868</v>
      </c>
      <c r="J21" s="0" t="n">
        <f aca="false">J19*J20</f>
        <v>375.367036825072</v>
      </c>
      <c r="K21" s="0" t="n">
        <f aca="false">K19*K20</f>
        <v>349.656965809656</v>
      </c>
      <c r="L21" s="0" t="n">
        <f aca="false">L19*L20</f>
        <v>325.70785856242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5.8</v>
      </c>
      <c r="D23" s="4" t="n">
        <f aca="false">Assumptions!D16</f>
        <v>6</v>
      </c>
      <c r="E23" s="4" t="n">
        <f aca="false">Assumptions!E16</f>
        <v>6</v>
      </c>
      <c r="F23" s="4" t="n">
        <f aca="false">Assumptions!F16</f>
        <v>6</v>
      </c>
      <c r="G23" s="4" t="n">
        <f aca="false">Assumptions!G16</f>
        <v>5.9</v>
      </c>
      <c r="H23" s="4" t="n">
        <f aca="false">Assumptions!H16</f>
        <v>5.9</v>
      </c>
      <c r="I23" s="4" t="n">
        <f aca="false">Assumptions!I16</f>
        <v>5.9</v>
      </c>
      <c r="J23" s="4" t="n">
        <f aca="false">Assumptions!J16</f>
        <v>5.9</v>
      </c>
      <c r="K23" s="4" t="n">
        <f aca="false">Assumptions!K16</f>
        <v>5.9</v>
      </c>
      <c r="L23" s="4" t="n">
        <f aca="false">Assumptions!L16</f>
        <v>5.9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-357.69668244</v>
      </c>
      <c r="D24" s="0" t="n">
        <f aca="false">-D6*D23/100</f>
        <v>-366.330740292</v>
      </c>
      <c r="E24" s="0" t="n">
        <f aca="false">-E6*E23/100</f>
        <v>-366.330740292</v>
      </c>
      <c r="F24" s="0" t="n">
        <f aca="false">-F6*F23/100</f>
        <v>-371.82570139638</v>
      </c>
      <c r="G24" s="0" t="n">
        <f aca="false">-G6*G23/100</f>
        <v>-372.941178500569</v>
      </c>
      <c r="H24" s="0" t="n">
        <f aca="false">-H6*H23/100</f>
        <v>-380.400002070581</v>
      </c>
      <c r="I24" s="0" t="n">
        <f aca="false">-I6*I23/100</f>
        <v>-388.008002111992</v>
      </c>
      <c r="J24" s="0" t="n">
        <f aca="false">-J6*J23/100</f>
        <v>-395.768162154232</v>
      </c>
      <c r="K24" s="0" t="n">
        <f aca="false">-K6*K23/100</f>
        <v>-403.683525397317</v>
      </c>
      <c r="L24" s="0" t="n">
        <f aca="false">-L6*L23/100</f>
        <v>-411.757195905263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4437.88011879154</v>
      </c>
    </row>
    <row r="31" customFormat="false" ht="15" hidden="false" customHeight="false" outlineLevel="0" collapsed="false">
      <c r="A31" s="0" t="s">
        <v>129</v>
      </c>
      <c r="B31" s="0" t="n">
        <f aca="false">L19</f>
        <v>807.178209009871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10977.6236425342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12107.6731351481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10977.6236425342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4429.62687644891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8867.50699524045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9707.60799524044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21.363527463203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-0.0218165080951031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440.103550754232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421.288484033187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23.2591924303903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6333.24440915437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13.017714979693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7</v>
      </c>
      <c r="D5" s="4" t="n">
        <f aca="false">Assumptions!D27</f>
        <v>6.5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6046.259</v>
      </c>
      <c r="C6" s="0" t="n">
        <f aca="false">B6*(1+C5/100)</f>
        <v>6469.49713</v>
      </c>
      <c r="D6" s="0" t="n">
        <f aca="false">C6*(1+D5/100)</f>
        <v>6890.01444345</v>
      </c>
      <c r="E6" s="0" t="n">
        <f aca="false">D6*(1+E5/100)</f>
        <v>7303.415310057</v>
      </c>
      <c r="F6" s="0" t="n">
        <f aca="false">E6*(1+F5/100)</f>
        <v>7705.10315211014</v>
      </c>
      <c r="G6" s="0" t="n">
        <f aca="false">F6*(1+G5/100)</f>
        <v>8090.35830971564</v>
      </c>
      <c r="H6" s="0" t="n">
        <f aca="false">G6*(1+H5/100)</f>
        <v>8454.42443365285</v>
      </c>
      <c r="I6" s="0" t="n">
        <f aca="false">H6*(1+I5/100)</f>
        <v>8792.60141099896</v>
      </c>
      <c r="J6" s="0" t="n">
        <f aca="false">I6*(1+J5/100)</f>
        <v>9100.34246038392</v>
      </c>
      <c r="K6" s="0" t="n">
        <f aca="false">J6*(1+K5/100)</f>
        <v>9373.35273419544</v>
      </c>
      <c r="L6" s="0" t="n">
        <f aca="false">K6*(1+L5/100)</f>
        <v>9654.55331622131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29.4</v>
      </c>
      <c r="D7" s="4" t="n">
        <f aca="false">Assumptions!D28</f>
        <v>29.4</v>
      </c>
      <c r="E7" s="4" t="n">
        <f aca="false">Assumptions!E28</f>
        <v>29.5</v>
      </c>
      <c r="F7" s="4" t="n">
        <f aca="false">Assumptions!F28</f>
        <v>29.5</v>
      </c>
      <c r="G7" s="4" t="n">
        <f aca="false">Assumptions!G28</f>
        <v>29.6</v>
      </c>
      <c r="H7" s="4" t="n">
        <f aca="false">Assumptions!H28</f>
        <v>29.6</v>
      </c>
      <c r="I7" s="4" t="n">
        <f aca="false">Assumptions!I28</f>
        <v>29.6</v>
      </c>
      <c r="J7" s="4" t="n">
        <f aca="false">Assumptions!J28</f>
        <v>29.6</v>
      </c>
      <c r="K7" s="4" t="n">
        <f aca="false">Assumptions!K28</f>
        <v>29.6</v>
      </c>
      <c r="L7" s="4" t="n">
        <f aca="false">Assumptions!L28</f>
        <v>29.6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1902.03215622</v>
      </c>
      <c r="D8" s="0" t="n">
        <f aca="false">D6*D7/100</f>
        <v>2025.6642463743</v>
      </c>
      <c r="E8" s="0" t="n">
        <f aca="false">E6*E7/100</f>
        <v>2154.50751646682</v>
      </c>
      <c r="F8" s="0" t="n">
        <f aca="false">F6*F7/100</f>
        <v>2273.00542987249</v>
      </c>
      <c r="G8" s="0" t="n">
        <f aca="false">G6*G7/100</f>
        <v>2394.74605967583</v>
      </c>
      <c r="H8" s="0" t="n">
        <f aca="false">H6*H7/100</f>
        <v>2502.50963236124</v>
      </c>
      <c r="I8" s="0" t="n">
        <f aca="false">I6*I7/100</f>
        <v>2602.61001765569</v>
      </c>
      <c r="J8" s="0" t="n">
        <f aca="false">J6*J7/100</f>
        <v>2693.70136827364</v>
      </c>
      <c r="K8" s="0" t="n">
        <f aca="false">K6*K7/100</f>
        <v>2774.51240932185</v>
      </c>
      <c r="L8" s="0" t="n">
        <f aca="false">L6*L7/100</f>
        <v>2857.74778160151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1.1</v>
      </c>
      <c r="D9" s="4" t="n">
        <f aca="false">Assumptions!D29</f>
        <v>1.1</v>
      </c>
      <c r="E9" s="4" t="n">
        <f aca="false">Assumptions!E29</f>
        <v>1.1</v>
      </c>
      <c r="F9" s="4" t="n">
        <f aca="false">Assumptions!F29</f>
        <v>1.1</v>
      </c>
      <c r="G9" s="4" t="n">
        <f aca="false">Assumptions!G29</f>
        <v>1.1</v>
      </c>
      <c r="H9" s="4" t="n">
        <f aca="false">Assumptions!H29</f>
        <v>1.1</v>
      </c>
      <c r="I9" s="4" t="n">
        <f aca="false">Assumptions!I29</f>
        <v>1.1</v>
      </c>
      <c r="J9" s="4" t="n">
        <f aca="false">Assumptions!J29</f>
        <v>1.1</v>
      </c>
      <c r="K9" s="4" t="n">
        <f aca="false">Assumptions!K29</f>
        <v>1.1</v>
      </c>
      <c r="L9" s="4" t="n">
        <f aca="false">Assumptions!L29</f>
        <v>1.1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-71.16446843</v>
      </c>
      <c r="D10" s="0" t="n">
        <f aca="false">-D6*D9/100</f>
        <v>-75.79015887795</v>
      </c>
      <c r="E10" s="0" t="n">
        <f aca="false">-E6*E9/100</f>
        <v>-80.337568410627</v>
      </c>
      <c r="F10" s="0" t="n">
        <f aca="false">-F6*F9/100</f>
        <v>-84.7561346732115</v>
      </c>
      <c r="G10" s="0" t="n">
        <f aca="false">-G6*G9/100</f>
        <v>-88.9939414068721</v>
      </c>
      <c r="H10" s="0" t="n">
        <f aca="false">-H6*H9/100</f>
        <v>-92.9986687701813</v>
      </c>
      <c r="I10" s="0" t="n">
        <f aca="false">-I6*I9/100</f>
        <v>-96.7186155209886</v>
      </c>
      <c r="J10" s="0" t="n">
        <f aca="false">-J6*J9/100</f>
        <v>-100.103767064223</v>
      </c>
      <c r="K10" s="0" t="n">
        <f aca="false">-K6*K9/100</f>
        <v>-103.10688007615</v>
      </c>
      <c r="L10" s="0" t="n">
        <f aca="false">-L6*L9/100</f>
        <v>-106.200086478434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1468.57584851</v>
      </c>
      <c r="D11" s="0" t="n">
        <f aca="false">D8+D10+D24</f>
        <v>1564.03327866315</v>
      </c>
      <c r="E11" s="0" t="n">
        <f aca="false">E8+E10+E24</f>
        <v>1672.48210600305</v>
      </c>
      <c r="F11" s="0" t="n">
        <f aca="false">F8+F10+F24</f>
        <v>1764.46862183322</v>
      </c>
      <c r="G11" s="0" t="n">
        <f aca="false">G8+G10+G24</f>
        <v>1868.87276954431</v>
      </c>
      <c r="H11" s="0" t="n">
        <f aca="false">H8+H10+H24</f>
        <v>1952.97204417381</v>
      </c>
      <c r="I11" s="0" t="n">
        <f aca="false">I8+I10+I24</f>
        <v>2031.09092594076</v>
      </c>
      <c r="J11" s="0" t="n">
        <f aca="false">J8+J10+J24</f>
        <v>2102.17910834869</v>
      </c>
      <c r="K11" s="0" t="n">
        <f aca="false">K8+K10+K24</f>
        <v>2165.24448159915</v>
      </c>
      <c r="L11" s="0" t="n">
        <f aca="false">L8+L10+L24</f>
        <v>2230.20181604712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-135.85943973</v>
      </c>
      <c r="D12" s="4" t="n">
        <f aca="false">-D6*Assumptions!D31/100</f>
        <v>-144.69030331245</v>
      </c>
      <c r="E12" s="4" t="n">
        <f aca="false">-E6*Assumptions!E31/100</f>
        <v>-160.675136821254</v>
      </c>
      <c r="F12" s="4" t="n">
        <f aca="false">-F6*Assumptions!F31/100</f>
        <v>-184.922475650643</v>
      </c>
      <c r="G12" s="4" t="n">
        <f aca="false">-G6*Assumptions!G31/100</f>
        <v>-202.258957742891</v>
      </c>
      <c r="H12" s="4" t="n">
        <f aca="false">-H6*Assumptions!H31/100</f>
        <v>-211.360610841321</v>
      </c>
      <c r="I12" s="4" t="n">
        <f aca="false">-I6*Assumptions!I31/100</f>
        <v>-219.815035274974</v>
      </c>
      <c r="J12" s="4" t="n">
        <f aca="false">-J6*Assumptions!J31/100</f>
        <v>-227.508561509598</v>
      </c>
      <c r="K12" s="4" t="n">
        <f aca="false">-K6*Assumptions!K31/100</f>
        <v>-234.333818354886</v>
      </c>
      <c r="L12" s="4" t="n">
        <f aca="false">-L6*Assumptions!L31/100</f>
        <v>-241.363832905533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1332.71640878</v>
      </c>
      <c r="D13" s="0" t="n">
        <f aca="false">D11+D12</f>
        <v>1419.3429753507</v>
      </c>
      <c r="E13" s="0" t="n">
        <f aca="false">E11+E12</f>
        <v>1511.8069691818</v>
      </c>
      <c r="F13" s="0" t="n">
        <f aca="false">F11+F12</f>
        <v>1579.54614618258</v>
      </c>
      <c r="G13" s="0" t="n">
        <f aca="false">G11+G12</f>
        <v>1666.61381180142</v>
      </c>
      <c r="H13" s="0" t="n">
        <f aca="false">H11+H12</f>
        <v>1741.61143333249</v>
      </c>
      <c r="I13" s="0" t="n">
        <f aca="false">I11+I12</f>
        <v>1811.27589066579</v>
      </c>
      <c r="J13" s="0" t="n">
        <f aca="false">J11+J12</f>
        <v>1874.67054683909</v>
      </c>
      <c r="K13" s="0" t="n">
        <f aca="false">K11+K12</f>
        <v>1930.91066324426</v>
      </c>
      <c r="L13" s="0" t="n">
        <f aca="false">L11+L12</f>
        <v>1988.83798314159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986.2101424972</v>
      </c>
      <c r="D15" s="0" t="n">
        <f aca="false">D13-MAX(0,D13)*D14/100</f>
        <v>1050.31380175952</v>
      </c>
      <c r="E15" s="0" t="n">
        <f aca="false">E13-MAX(0,E13)*E14/100</f>
        <v>1118.73715719453</v>
      </c>
      <c r="F15" s="0" t="n">
        <f aca="false">F13-MAX(0,F13)*F14/100</f>
        <v>1168.86414817511</v>
      </c>
      <c r="G15" s="0" t="n">
        <f aca="false">G13-MAX(0,G13)*G14/100</f>
        <v>1233.29422073305</v>
      </c>
      <c r="H15" s="0" t="n">
        <f aca="false">H13-MAX(0,H13)*H14/100</f>
        <v>1288.79246066604</v>
      </c>
      <c r="I15" s="0" t="n">
        <f aca="false">I13-MAX(0,I13)*I14/100</f>
        <v>1340.34415909268</v>
      </c>
      <c r="J15" s="0" t="n">
        <f aca="false">J13-MAX(0,J13)*J14/100</f>
        <v>1387.25620466093</v>
      </c>
      <c r="K15" s="0" t="n">
        <f aca="false">K13-MAX(0,K13)*K14/100</f>
        <v>1428.87389080075</v>
      </c>
      <c r="L15" s="0" t="n">
        <f aca="false">L13-MAX(0,L13)*L14/100</f>
        <v>1471.74010752478</v>
      </c>
    </row>
    <row r="16" customFormat="false" ht="15" hidden="false" customHeight="false" outlineLevel="0" collapsed="false">
      <c r="A16" s="0" t="s">
        <v>120</v>
      </c>
      <c r="C16" s="0" t="n">
        <f aca="false">-C12</f>
        <v>135.85943973</v>
      </c>
      <c r="D16" s="0" t="n">
        <f aca="false">-D12</f>
        <v>144.69030331245</v>
      </c>
      <c r="E16" s="0" t="n">
        <f aca="false">-E12</f>
        <v>160.675136821254</v>
      </c>
      <c r="F16" s="0" t="n">
        <f aca="false">-F12</f>
        <v>184.922475650643</v>
      </c>
      <c r="G16" s="0" t="n">
        <f aca="false">-G12</f>
        <v>202.258957742891</v>
      </c>
      <c r="H16" s="0" t="n">
        <f aca="false">-H12</f>
        <v>211.360610841321</v>
      </c>
      <c r="I16" s="0" t="n">
        <f aca="false">-I12</f>
        <v>219.815035274974</v>
      </c>
      <c r="J16" s="0" t="n">
        <f aca="false">-J12</f>
        <v>227.508561509598</v>
      </c>
      <c r="K16" s="0" t="n">
        <f aca="false">-K12</f>
        <v>234.333818354886</v>
      </c>
      <c r="L16" s="0" t="n">
        <f aca="false">-L12</f>
        <v>241.363832905533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-355.82234215</v>
      </c>
      <c r="D17" s="4" t="n">
        <f aca="false">-D6*Assumptions!D32/100</f>
        <v>-378.95079438975</v>
      </c>
      <c r="E17" s="4" t="n">
        <f aca="false">-E6*Assumptions!E32/100</f>
        <v>-328.653688952565</v>
      </c>
      <c r="F17" s="4" t="n">
        <f aca="false">-F6*Assumptions!F32/100</f>
        <v>-269.678610323855</v>
      </c>
      <c r="G17" s="4" t="n">
        <f aca="false">-G6*Assumptions!G32/100</f>
        <v>-266.981824220616</v>
      </c>
      <c r="H17" s="4" t="n">
        <f aca="false">-H6*Assumptions!H32/100</f>
        <v>-270.541581876891</v>
      </c>
      <c r="I17" s="4" t="n">
        <f aca="false">-I6*Assumptions!I32/100</f>
        <v>-263.778042329969</v>
      </c>
      <c r="J17" s="4" t="n">
        <f aca="false">-J6*Assumptions!J32/100</f>
        <v>-273.010273811518</v>
      </c>
      <c r="K17" s="4" t="n">
        <f aca="false">-K6*Assumptions!K32/100</f>
        <v>-281.200582025863</v>
      </c>
      <c r="L17" s="4" t="n">
        <f aca="false">-L6*Assumptions!L32/100</f>
        <v>-289.636599486639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-42.3238130000001</v>
      </c>
      <c r="D18" s="4" t="n">
        <f aca="false">(D6-C6)*Assumptions!$B$37/100</f>
        <v>-42.051731345</v>
      </c>
      <c r="E18" s="4" t="n">
        <f aca="false">(E6-D6)*Assumptions!$B$37/100</f>
        <v>-41.3400866607</v>
      </c>
      <c r="F18" s="4" t="n">
        <f aca="false">(F6-E6)*Assumptions!$B$37/100</f>
        <v>-40.1687842053135</v>
      </c>
      <c r="G18" s="4" t="n">
        <f aca="false">(G6-F6)*Assumptions!$B$37/100</f>
        <v>-38.5255157605508</v>
      </c>
      <c r="H18" s="4" t="n">
        <f aca="false">(H6-G6)*Assumptions!$B$37/100</f>
        <v>-36.4066123937203</v>
      </c>
      <c r="I18" s="4" t="n">
        <f aca="false">(I6-H6)*Assumptions!$B$37/100</f>
        <v>-33.8176977346115</v>
      </c>
      <c r="J18" s="4" t="n">
        <f aca="false">(J6-I6)*Assumptions!$B$37/100</f>
        <v>-30.7741049384962</v>
      </c>
      <c r="K18" s="4" t="n">
        <f aca="false">(K6-J6)*Assumptions!$B$37/100</f>
        <v>-27.3010273811518</v>
      </c>
      <c r="L18" s="4" t="n">
        <f aca="false">(L6-K6)*Assumptions!$B$37/100</f>
        <v>-28.1200582025864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723.9234270772</v>
      </c>
      <c r="D19" s="0" t="n">
        <f aca="false">D15+D16+D17+D18</f>
        <v>774.001579337218</v>
      </c>
      <c r="E19" s="0" t="n">
        <f aca="false">E15+E16+E17+E18</f>
        <v>909.41851840252</v>
      </c>
      <c r="F19" s="0" t="n">
        <f aca="false">F15+F16+F17+F18</f>
        <v>1043.93922929658</v>
      </c>
      <c r="G19" s="0" t="n">
        <f aca="false">G15+G16+G17+G18</f>
        <v>1130.04583849478</v>
      </c>
      <c r="H19" s="0" t="n">
        <f aca="false">H15+H16+H17+H18</f>
        <v>1193.20487723675</v>
      </c>
      <c r="I19" s="0" t="n">
        <f aca="false">I15+I16+I17+I18</f>
        <v>1262.56345430308</v>
      </c>
      <c r="J19" s="0" t="n">
        <f aca="false">J15+J16+J17+J18</f>
        <v>1310.98038742051</v>
      </c>
      <c r="K19" s="0" t="n">
        <f aca="false">K15+K16+K17+K18</f>
        <v>1354.70609974862</v>
      </c>
      <c r="L19" s="0" t="n">
        <f aca="false">L15+L16+L17+L18</f>
        <v>1395.34728274108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661.117285002009</v>
      </c>
      <c r="D21" s="0" t="n">
        <f aca="false">D19*D20</f>
        <v>645.525805831587</v>
      </c>
      <c r="E21" s="0" t="n">
        <f aca="false">E19*E20</f>
        <v>692.662117043553</v>
      </c>
      <c r="F21" s="0" t="n">
        <f aca="false">F19*F20</f>
        <v>726.137291857824</v>
      </c>
      <c r="G21" s="0" t="n">
        <f aca="false">G19*G20</f>
        <v>717.836379648521</v>
      </c>
      <c r="H21" s="0" t="n">
        <f aca="false">H19*H20</f>
        <v>692.197943716923</v>
      </c>
      <c r="I21" s="0" t="n">
        <f aca="false">I19*I20</f>
        <v>668.889502176472</v>
      </c>
      <c r="J21" s="0" t="n">
        <f aca="false">J19*J20</f>
        <v>634.283247628379</v>
      </c>
      <c r="K21" s="0" t="n">
        <f aca="false">K19*K20</f>
        <v>598.574227471579</v>
      </c>
      <c r="L21" s="0" t="n">
        <f aca="false">L19*L20</f>
        <v>563.042424014362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5.6</v>
      </c>
      <c r="D23" s="4" t="n">
        <f aca="false">Assumptions!D30</f>
        <v>5.6</v>
      </c>
      <c r="E23" s="4" t="n">
        <f aca="false">Assumptions!E30</f>
        <v>5.5</v>
      </c>
      <c r="F23" s="4" t="n">
        <f aca="false">Assumptions!F30</f>
        <v>5.5</v>
      </c>
      <c r="G23" s="4" t="n">
        <f aca="false">Assumptions!G30</f>
        <v>5.4</v>
      </c>
      <c r="H23" s="4" t="n">
        <f aca="false">Assumptions!H30</f>
        <v>5.4</v>
      </c>
      <c r="I23" s="4" t="n">
        <f aca="false">Assumptions!I30</f>
        <v>5.4</v>
      </c>
      <c r="J23" s="4" t="n">
        <f aca="false">Assumptions!J30</f>
        <v>5.4</v>
      </c>
      <c r="K23" s="4" t="n">
        <f aca="false">Assumptions!K30</f>
        <v>5.4</v>
      </c>
      <c r="L23" s="4" t="n">
        <f aca="false">Assumptions!L30</f>
        <v>5.4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-362.29183928</v>
      </c>
      <c r="D24" s="0" t="n">
        <f aca="false">-D6*D23/100</f>
        <v>-385.8408088332</v>
      </c>
      <c r="E24" s="0" t="n">
        <f aca="false">-E6*E23/100</f>
        <v>-401.687842053135</v>
      </c>
      <c r="F24" s="0" t="n">
        <f aca="false">-F6*F23/100</f>
        <v>-423.780673366057</v>
      </c>
      <c r="G24" s="0" t="n">
        <f aca="false">-G6*G23/100</f>
        <v>-436.879348724645</v>
      </c>
      <c r="H24" s="0" t="n">
        <f aca="false">-H6*H23/100</f>
        <v>-456.538919417254</v>
      </c>
      <c r="I24" s="0" t="n">
        <f aca="false">-I6*I23/100</f>
        <v>-474.800476193944</v>
      </c>
      <c r="J24" s="0" t="n">
        <f aca="false">-J6*J23/100</f>
        <v>-491.418492860732</v>
      </c>
      <c r="K24" s="0" t="n">
        <f aca="false">-K6*K23/100</f>
        <v>-506.161047646554</v>
      </c>
      <c r="L24" s="0" t="n">
        <f aca="false">-L6*L23/100</f>
        <v>-521.345879075951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6600.26622439121</v>
      </c>
    </row>
    <row r="31" customFormat="false" ht="15" hidden="false" customHeight="false" outlineLevel="0" collapsed="false">
      <c r="A31" s="0" t="s">
        <v>129</v>
      </c>
      <c r="B31" s="0" t="n">
        <f aca="false">L19</f>
        <v>1395.34728274108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20431.8709258516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20930.2092411162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20431.8709258516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8244.5497802103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14844.8160046015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15684.9170046015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34.517788043167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0.580484800511311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546.908925086161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627.493893788275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37.1022956671037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11441.8477184769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19.3415809063987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10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6046.259</v>
      </c>
      <c r="C6" s="0" t="n">
        <f aca="false">B6*(1+C5/100)</f>
        <v>6650.8849</v>
      </c>
      <c r="D6" s="0" t="n">
        <f aca="false">C6*(1+D5/100)</f>
        <v>7315.97339</v>
      </c>
      <c r="E6" s="0" t="n">
        <f aca="false">D6*(1+E5/100)</f>
        <v>7974.4109951</v>
      </c>
      <c r="F6" s="0" t="n">
        <f aca="false">E6*(1+F5/100)</f>
        <v>8612.363874708</v>
      </c>
      <c r="G6" s="0" t="n">
        <f aca="false">F6*(1+G5/100)</f>
        <v>9215.22934593757</v>
      </c>
      <c r="H6" s="0" t="n">
        <f aca="false">G6*(1+H5/100)</f>
        <v>9768.14310669382</v>
      </c>
      <c r="I6" s="0" t="n">
        <f aca="false">H6*(1+I5/100)</f>
        <v>10256.5502620285</v>
      </c>
      <c r="J6" s="0" t="n">
        <f aca="false">I6*(1+J5/100)</f>
        <v>10718.0950238198</v>
      </c>
      <c r="K6" s="0" t="n">
        <f aca="false">J6*(1+K5/100)</f>
        <v>11146.8188247726</v>
      </c>
      <c r="L6" s="0" t="n">
        <f aca="false">K6*(1+L5/100)</f>
        <v>11536.9574836396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29.6</v>
      </c>
      <c r="D7" s="4" t="n">
        <f aca="false">Assumptions!D42</f>
        <v>29.9</v>
      </c>
      <c r="E7" s="4" t="n">
        <f aca="false">Assumptions!E42</f>
        <v>30.2</v>
      </c>
      <c r="F7" s="4" t="n">
        <f aca="false">Assumptions!F42</f>
        <v>30.5</v>
      </c>
      <c r="G7" s="4" t="n">
        <f aca="false">Assumptions!G42</f>
        <v>30.8</v>
      </c>
      <c r="H7" s="4" t="n">
        <f aca="false">Assumptions!H42</f>
        <v>31</v>
      </c>
      <c r="I7" s="4" t="n">
        <f aca="false">Assumptions!I42</f>
        <v>31</v>
      </c>
      <c r="J7" s="4" t="n">
        <f aca="false">Assumptions!J42</f>
        <v>31</v>
      </c>
      <c r="K7" s="4" t="n">
        <f aca="false">Assumptions!K42</f>
        <v>31</v>
      </c>
      <c r="L7" s="4" t="n">
        <f aca="false">Assumptions!L42</f>
        <v>31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1968.6619304</v>
      </c>
      <c r="D8" s="0" t="n">
        <f aca="false">D6*D7/100</f>
        <v>2187.47604361</v>
      </c>
      <c r="E8" s="0" t="n">
        <f aca="false">E6*E7/100</f>
        <v>2408.2721205202</v>
      </c>
      <c r="F8" s="0" t="n">
        <f aca="false">F6*F7/100</f>
        <v>2626.77098178594</v>
      </c>
      <c r="G8" s="0" t="n">
        <f aca="false">G6*G7/100</f>
        <v>2838.29063854877</v>
      </c>
      <c r="H8" s="0" t="n">
        <f aca="false">H6*H7/100</f>
        <v>3028.12436307508</v>
      </c>
      <c r="I8" s="0" t="n">
        <f aca="false">I6*I7/100</f>
        <v>3179.53058122884</v>
      </c>
      <c r="J8" s="0" t="n">
        <f aca="false">J6*J7/100</f>
        <v>3322.60945738414</v>
      </c>
      <c r="K8" s="0" t="n">
        <f aca="false">K6*K7/100</f>
        <v>3455.5138356795</v>
      </c>
      <c r="L8" s="0" t="n">
        <f aca="false">L6*L7/100</f>
        <v>3576.45681992828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1.1</v>
      </c>
      <c r="D9" s="4" t="n">
        <f aca="false">Assumptions!D43</f>
        <v>1.1</v>
      </c>
      <c r="E9" s="4" t="n">
        <f aca="false">Assumptions!E43</f>
        <v>1.1</v>
      </c>
      <c r="F9" s="4" t="n">
        <f aca="false">Assumptions!F43</f>
        <v>1.1</v>
      </c>
      <c r="G9" s="4" t="n">
        <f aca="false">Assumptions!G43</f>
        <v>1.1</v>
      </c>
      <c r="H9" s="4" t="n">
        <f aca="false">Assumptions!H43</f>
        <v>1.1</v>
      </c>
      <c r="I9" s="4" t="n">
        <f aca="false">Assumptions!I43</f>
        <v>1.1</v>
      </c>
      <c r="J9" s="4" t="n">
        <f aca="false">Assumptions!J43</f>
        <v>1.1</v>
      </c>
      <c r="K9" s="4" t="n">
        <f aca="false">Assumptions!K43</f>
        <v>1.1</v>
      </c>
      <c r="L9" s="4" t="n">
        <f aca="false">Assumptions!L43</f>
        <v>1.1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-73.1597339</v>
      </c>
      <c r="D10" s="0" t="n">
        <f aca="false">-D6*D9/100</f>
        <v>-80.47570729</v>
      </c>
      <c r="E10" s="0" t="n">
        <f aca="false">-E6*E9/100</f>
        <v>-87.7185209461</v>
      </c>
      <c r="F10" s="0" t="n">
        <f aca="false">-F6*F9/100</f>
        <v>-94.7360026217881</v>
      </c>
      <c r="G10" s="0" t="n">
        <f aca="false">-G6*G9/100</f>
        <v>-101.367522805313</v>
      </c>
      <c r="H10" s="0" t="n">
        <f aca="false">-H6*H9/100</f>
        <v>-107.449574173632</v>
      </c>
      <c r="I10" s="0" t="n">
        <f aca="false">-I6*I9/100</f>
        <v>-112.822052882314</v>
      </c>
      <c r="J10" s="0" t="n">
        <f aca="false">-J6*J9/100</f>
        <v>-117.899045262018</v>
      </c>
      <c r="K10" s="0" t="n">
        <f aca="false">-K6*K9/100</f>
        <v>-122.615007072498</v>
      </c>
      <c r="L10" s="0" t="n">
        <f aca="false">-L6*L9/100</f>
        <v>-126.906532320036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1529.703527</v>
      </c>
      <c r="D11" s="0" t="n">
        <f aca="false">D8+D10+D24</f>
        <v>1704.62179987</v>
      </c>
      <c r="E11" s="0" t="n">
        <f aca="false">E8+E10+E24</f>
        <v>1889.9354058387</v>
      </c>
      <c r="F11" s="0" t="n">
        <f aca="false">F8+F10+F24</f>
        <v>2075.57969380463</v>
      </c>
      <c r="G11" s="0" t="n">
        <f aca="false">G8+G10+G24</f>
        <v>2257.7311897547</v>
      </c>
      <c r="H11" s="0" t="n">
        <f aca="false">H8+H10+H24</f>
        <v>2412.73134735337</v>
      </c>
      <c r="I11" s="0" t="n">
        <f aca="false">I8+I10+I24</f>
        <v>2533.36791472104</v>
      </c>
      <c r="J11" s="0" t="n">
        <f aca="false">J8+J10+J24</f>
        <v>2647.36947088349</v>
      </c>
      <c r="K11" s="0" t="n">
        <f aca="false">K8+K10+K24</f>
        <v>2753.26424971883</v>
      </c>
      <c r="L11" s="0" t="n">
        <f aca="false">L8+L10+L24</f>
        <v>2849.62849845899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-139.6685829</v>
      </c>
      <c r="D12" s="4" t="n">
        <f aca="false">-D6*Assumptions!D45/100</f>
        <v>-153.63544119</v>
      </c>
      <c r="E12" s="4" t="n">
        <f aca="false">-E6*Assumptions!E45/100</f>
        <v>-175.4370418922</v>
      </c>
      <c r="F12" s="4" t="n">
        <f aca="false">-F6*Assumptions!F45/100</f>
        <v>-206.696732992992</v>
      </c>
      <c r="G12" s="4" t="n">
        <f aca="false">-G6*Assumptions!G45/100</f>
        <v>-230.380733648439</v>
      </c>
      <c r="H12" s="4" t="n">
        <f aca="false">-H6*Assumptions!H45/100</f>
        <v>-244.203577667346</v>
      </c>
      <c r="I12" s="4" t="n">
        <f aca="false">-I6*Assumptions!I45/100</f>
        <v>-256.413756550713</v>
      </c>
      <c r="J12" s="4" t="n">
        <f aca="false">-J6*Assumptions!J45/100</f>
        <v>-267.952375595495</v>
      </c>
      <c r="K12" s="4" t="n">
        <f aca="false">-K6*Assumptions!K45/100</f>
        <v>-278.670470619315</v>
      </c>
      <c r="L12" s="4" t="n">
        <f aca="false">-L6*Assumptions!L45/100</f>
        <v>-288.423937090991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1390.0349441</v>
      </c>
      <c r="D13" s="0" t="n">
        <f aca="false">D11+D12</f>
        <v>1550.98635868</v>
      </c>
      <c r="E13" s="0" t="n">
        <f aca="false">E11+E12</f>
        <v>1714.4983639465</v>
      </c>
      <c r="F13" s="0" t="n">
        <f aca="false">F11+F12</f>
        <v>1868.88296081164</v>
      </c>
      <c r="G13" s="0" t="n">
        <f aca="false">G11+G12</f>
        <v>2027.35045610626</v>
      </c>
      <c r="H13" s="0" t="n">
        <f aca="false">H11+H12</f>
        <v>2168.52776968603</v>
      </c>
      <c r="I13" s="0" t="n">
        <f aca="false">I11+I12</f>
        <v>2276.95415817033</v>
      </c>
      <c r="J13" s="0" t="n">
        <f aca="false">J11+J12</f>
        <v>2379.41709528799</v>
      </c>
      <c r="K13" s="0" t="n">
        <f aca="false">K11+K12</f>
        <v>2474.59377909951</v>
      </c>
      <c r="L13" s="0" t="n">
        <f aca="false">L11+L12</f>
        <v>2561.204561368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1028.625858634</v>
      </c>
      <c r="D15" s="0" t="n">
        <f aca="false">D13-MAX(0,D13)*D14/100</f>
        <v>1147.7299054232</v>
      </c>
      <c r="E15" s="0" t="n">
        <f aca="false">E13-MAX(0,E13)*E14/100</f>
        <v>1268.72878932041</v>
      </c>
      <c r="F15" s="0" t="n">
        <f aca="false">F13-MAX(0,F13)*F14/100</f>
        <v>1382.97339100061</v>
      </c>
      <c r="G15" s="0" t="n">
        <f aca="false">G13-MAX(0,G13)*G14/100</f>
        <v>1500.23933751864</v>
      </c>
      <c r="H15" s="0" t="n">
        <f aca="false">H13-MAX(0,H13)*H14/100</f>
        <v>1604.71054956766</v>
      </c>
      <c r="I15" s="0" t="n">
        <f aca="false">I13-MAX(0,I13)*I14/100</f>
        <v>1684.94607704604</v>
      </c>
      <c r="J15" s="0" t="n">
        <f aca="false">J13-MAX(0,J13)*J14/100</f>
        <v>1760.76865051312</v>
      </c>
      <c r="K15" s="0" t="n">
        <f aca="false">K13-MAX(0,K13)*K14/100</f>
        <v>1831.19939653364</v>
      </c>
      <c r="L15" s="0" t="n">
        <f aca="false">L13-MAX(0,L13)*L14/100</f>
        <v>1895.29137541232</v>
      </c>
    </row>
    <row r="16" customFormat="false" ht="15" hidden="false" customHeight="false" outlineLevel="0" collapsed="false">
      <c r="A16" s="0" t="s">
        <v>120</v>
      </c>
      <c r="C16" s="0" t="n">
        <f aca="false">-C12</f>
        <v>139.6685829</v>
      </c>
      <c r="D16" s="0" t="n">
        <f aca="false">-D12</f>
        <v>153.63544119</v>
      </c>
      <c r="E16" s="0" t="n">
        <f aca="false">-E12</f>
        <v>175.4370418922</v>
      </c>
      <c r="F16" s="0" t="n">
        <f aca="false">-F12</f>
        <v>206.696732992992</v>
      </c>
      <c r="G16" s="0" t="n">
        <f aca="false">-G12</f>
        <v>230.380733648439</v>
      </c>
      <c r="H16" s="0" t="n">
        <f aca="false">-H12</f>
        <v>244.203577667346</v>
      </c>
      <c r="I16" s="0" t="n">
        <f aca="false">-I12</f>
        <v>256.413756550713</v>
      </c>
      <c r="J16" s="0" t="n">
        <f aca="false">-J12</f>
        <v>267.952375595495</v>
      </c>
      <c r="K16" s="0" t="n">
        <f aca="false">-K12</f>
        <v>278.670470619315</v>
      </c>
      <c r="L16" s="0" t="n">
        <f aca="false">-L12</f>
        <v>288.423937090991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-365.7986695</v>
      </c>
      <c r="D17" s="4" t="n">
        <f aca="false">-D6*Assumptions!D46/100</f>
        <v>-402.37853645</v>
      </c>
      <c r="E17" s="4" t="n">
        <f aca="false">-E6*Assumptions!E46/100</f>
        <v>-358.8484947795</v>
      </c>
      <c r="F17" s="4" t="n">
        <f aca="false">-F6*Assumptions!F46/100</f>
        <v>-301.43273561478</v>
      </c>
      <c r="G17" s="4" t="n">
        <f aca="false">-G6*Assumptions!G46/100</f>
        <v>-304.10256841594</v>
      </c>
      <c r="H17" s="4" t="n">
        <f aca="false">-H6*Assumptions!H46/100</f>
        <v>-312.580579414202</v>
      </c>
      <c r="I17" s="4" t="n">
        <f aca="false">-I6*Assumptions!I46/100</f>
        <v>-307.696507860855</v>
      </c>
      <c r="J17" s="4" t="n">
        <f aca="false">-J6*Assumptions!J46/100</f>
        <v>-321.542850714594</v>
      </c>
      <c r="K17" s="4" t="n">
        <f aca="false">-K6*Assumptions!K46/100</f>
        <v>-334.404564743178</v>
      </c>
      <c r="L17" s="4" t="n">
        <f aca="false">-L6*Assumptions!L46/100</f>
        <v>-346.108724509189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-60.4625900000001</v>
      </c>
      <c r="D18" s="4" t="n">
        <f aca="false">(D6-C6)*Assumptions!$B$51/100</f>
        <v>-66.5088490000001</v>
      </c>
      <c r="E18" s="4" t="n">
        <f aca="false">(E6-D6)*Assumptions!$B$51/100</f>
        <v>-65.8437605100001</v>
      </c>
      <c r="F18" s="4" t="n">
        <f aca="false">(F6-E6)*Assumptions!$B$51/100</f>
        <v>-63.7952879608001</v>
      </c>
      <c r="G18" s="4" t="n">
        <f aca="false">(G6-F6)*Assumptions!$B$51/100</f>
        <v>-60.2865471229561</v>
      </c>
      <c r="H18" s="4" t="n">
        <f aca="false">(H6-G6)*Assumptions!$B$51/100</f>
        <v>-55.2913760756255</v>
      </c>
      <c r="I18" s="4" t="n">
        <f aca="false">(I6-H6)*Assumptions!$B$51/100</f>
        <v>-48.8407155334691</v>
      </c>
      <c r="J18" s="4" t="n">
        <f aca="false">(J6-I6)*Assumptions!$B$51/100</f>
        <v>-46.1544761791281</v>
      </c>
      <c r="K18" s="4" t="n">
        <f aca="false">(K6-J6)*Assumptions!$B$51/100</f>
        <v>-42.8723800952792</v>
      </c>
      <c r="L18" s="4" t="n">
        <f aca="false">(L6-K6)*Assumptions!$B$51/100</f>
        <v>-39.0138658867039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742.033182034</v>
      </c>
      <c r="D19" s="0" t="n">
        <f aca="false">D15+D16+D17+D18</f>
        <v>832.4779611632</v>
      </c>
      <c r="E19" s="0" t="n">
        <f aca="false">E15+E16+E17+E18</f>
        <v>1019.47357592311</v>
      </c>
      <c r="F19" s="0" t="n">
        <f aca="false">F15+F16+F17+F18</f>
        <v>1224.44210041802</v>
      </c>
      <c r="G19" s="0" t="n">
        <f aca="false">G15+G16+G17+G18</f>
        <v>1366.23095562818</v>
      </c>
      <c r="H19" s="0" t="n">
        <f aca="false">H15+H16+H17+H18</f>
        <v>1481.04217174518</v>
      </c>
      <c r="I19" s="0" t="n">
        <f aca="false">I15+I16+I17+I18</f>
        <v>1584.82261020243</v>
      </c>
      <c r="J19" s="0" t="n">
        <f aca="false">J15+J16+J17+J18</f>
        <v>1661.02369921489</v>
      </c>
      <c r="K19" s="0" t="n">
        <f aca="false">K15+K16+K17+K18</f>
        <v>1732.5929223145</v>
      </c>
      <c r="L19" s="0" t="n">
        <f aca="false">L15+L16+L17+L18</f>
        <v>1798.59272210742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677.655874003653</v>
      </c>
      <c r="D21" s="0" t="n">
        <f aca="false">D19*D20</f>
        <v>694.295749599216</v>
      </c>
      <c r="E21" s="0" t="n">
        <f aca="false">E19*E20</f>
        <v>776.485975466261</v>
      </c>
      <c r="F21" s="0" t="n">
        <f aca="false">F19*F20</f>
        <v>851.690448909889</v>
      </c>
      <c r="G21" s="0" t="n">
        <f aca="false">G19*G20</f>
        <v>867.867700179495</v>
      </c>
      <c r="H21" s="0" t="n">
        <f aca="false">H19*H20</f>
        <v>859.177133280062</v>
      </c>
      <c r="I21" s="0" t="n">
        <f aca="false">I19*I20</f>
        <v>839.61816189387</v>
      </c>
      <c r="J21" s="0" t="n">
        <f aca="false">J19*J20</f>
        <v>803.642462110902</v>
      </c>
      <c r="K21" s="0" t="n">
        <f aca="false">K19*K20</f>
        <v>765.542777278086</v>
      </c>
      <c r="L21" s="0" t="n">
        <f aca="false">L19*L20</f>
        <v>725.757679536657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5.5</v>
      </c>
      <c r="D23" s="4" t="n">
        <f aca="false">Assumptions!D44</f>
        <v>5.5</v>
      </c>
      <c r="E23" s="4" t="n">
        <f aca="false">Assumptions!E44</f>
        <v>5.4</v>
      </c>
      <c r="F23" s="4" t="n">
        <f aca="false">Assumptions!F44</f>
        <v>5.3</v>
      </c>
      <c r="G23" s="4" t="n">
        <f aca="false">Assumptions!G44</f>
        <v>5.2</v>
      </c>
      <c r="H23" s="4" t="n">
        <f aca="false">Assumptions!H44</f>
        <v>5.2</v>
      </c>
      <c r="I23" s="4" t="n">
        <f aca="false">Assumptions!I44</f>
        <v>5.2</v>
      </c>
      <c r="J23" s="4" t="n">
        <f aca="false">Assumptions!J44</f>
        <v>5.2</v>
      </c>
      <c r="K23" s="4" t="n">
        <f aca="false">Assumptions!K44</f>
        <v>5.2</v>
      </c>
      <c r="L23" s="4" t="n">
        <f aca="false">Assumptions!L44</f>
        <v>5.2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-365.7986695</v>
      </c>
      <c r="D24" s="0" t="n">
        <f aca="false">-D6*D23/100</f>
        <v>-402.37853645</v>
      </c>
      <c r="E24" s="0" t="n">
        <f aca="false">-E6*E23/100</f>
        <v>-430.6181937354</v>
      </c>
      <c r="F24" s="0" t="n">
        <f aca="false">-F6*F23/100</f>
        <v>-456.455285359524</v>
      </c>
      <c r="G24" s="0" t="n">
        <f aca="false">-G6*G23/100</f>
        <v>-479.191925988753</v>
      </c>
      <c r="H24" s="0" t="n">
        <f aca="false">-H6*H23/100</f>
        <v>-507.943441548079</v>
      </c>
      <c r="I24" s="0" t="n">
        <f aca="false">-I6*I23/100</f>
        <v>-533.340613625483</v>
      </c>
      <c r="J24" s="0" t="n">
        <f aca="false">-J6*J23/100</f>
        <v>-557.340941238629</v>
      </c>
      <c r="K24" s="0" t="n">
        <f aca="false">-K6*K23/100</f>
        <v>-579.634578888175</v>
      </c>
      <c r="L24" s="0" t="n">
        <f aca="false">-L6*L23/100</f>
        <v>-599.921789149261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7861.73396225809</v>
      </c>
    </row>
    <row r="31" customFormat="false" ht="15" hidden="false" customHeight="false" outlineLevel="0" collapsed="false">
      <c r="A31" s="0" t="s">
        <v>129</v>
      </c>
      <c r="B31" s="0" t="n">
        <f aca="false">L19</f>
        <v>1798.59272210742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28500.7769810867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26978.8908316112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26978.8908316112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10886.3651930499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18748.099155308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19588.200155308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43.1077410807906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0.973797668534368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615.561742726432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811.459134868824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46.2481851246804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15437.9208647553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23.5401594125072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21.363527463203</v>
      </c>
      <c r="C4" s="0" t="n">
        <f aca="false">B4/Assumptions!$B$2-1</f>
        <v>-0.0218165080951031</v>
      </c>
      <c r="D4" s="4" t="n">
        <f aca="false">Assumptions!$B$24</f>
        <v>0.25</v>
      </c>
      <c r="E4" s="4" t="n">
        <f aca="false">DCF_Bear!$B$43</f>
        <v>23.2591924303903</v>
      </c>
      <c r="F4" s="4" t="n">
        <f aca="false">DCF_Bear!$B$47</f>
        <v>13.017714979693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34.517788043167</v>
      </c>
      <c r="C5" s="0" t="n">
        <f aca="false">B5/Assumptions!$B$2-1</f>
        <v>0.580484800511311</v>
      </c>
      <c r="D5" s="4" t="n">
        <f aca="false">Assumptions!$B$38</f>
        <v>0.5</v>
      </c>
      <c r="E5" s="4" t="n">
        <f aca="false">DCF_Base!$B$43</f>
        <v>37.1022956671037</v>
      </c>
      <c r="F5" s="4" t="n">
        <f aca="false">DCF_Base!$B$47</f>
        <v>19.3415809063987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43.1077410807906</v>
      </c>
      <c r="C6" s="0" t="n">
        <f aca="false">B6/Assumptions!$B$2-1</f>
        <v>0.973797668534368</v>
      </c>
      <c r="D6" s="4" t="n">
        <f aca="false">Assumptions!$B$52</f>
        <v>0.25</v>
      </c>
      <c r="E6" s="4" t="n">
        <f aca="false">DCF_Bull!$B$43</f>
        <v>46.2481851246804</v>
      </c>
      <c r="F6" s="4" t="n">
        <f aca="false">DCF_Bull!$B$47</f>
        <v>23.5401594125072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33.3767111575819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35.9279922223195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0.345651526392564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-452.192873495434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18.8102590512494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36.1934241460374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34.517788043167</v>
      </c>
      <c r="C16" s="3" t="n">
        <v>9.5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32.2040551075746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28.4013968991063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25.4085867837064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19.3415809063987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40.255704686682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40.255704686682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40.255704686682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40.255704686682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40.255704686682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36.8058153065583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37.4848870601485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37.4848870601485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37.4848870601485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37.4848870601485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32.0949301409951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33.2255971620087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34.517788043167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34.9603191668514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34.9603191668514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28.4460703634777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29.2632002791412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30.1824714342627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31.2243120767337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32.4149870967005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25.5397360208366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26.1464941955509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26.8206699452334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27.5741604889963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28.4218373507295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2026-10-22T07:39:49Z</dcterms:created>
  <dc:creator>openpyxl</dc:creator>
  <dc:description/>
  <dc:language>en-NZ</dc:language>
  <cp:lastModifiedBy/>
  <dcterms:modified xsi:type="dcterms:W3CDTF">2026-10-22T07:39:49Z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