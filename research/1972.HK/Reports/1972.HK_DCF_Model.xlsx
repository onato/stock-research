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<sst xmlns="http://schemas.openxmlformats.org/spreadsheetml/2006/main" count="366" uniqueCount="173">
  <si>
    <t xml:space="preserve">Ticker</t>
  </si>
  <si>
    <t xml:space="preserve">1972.HK</t>
  </si>
  <si>
    <t xml:space="preserve">Company</t>
  </si>
  <si>
    <t xml:space="preserve">Swire Properties Limited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</si>
  <si>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</si>
  <si>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</si>
  <si>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</si>
  <si>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</si>
  <si>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(HKEX regular close)</t>
  </si>
  <si>
    <t xml:space="preserve">Balance sheet date</t>
  </si>
  <si>
    <t xml:space="preserve">2026-06-30</t>
  </si>
  <si>
    <t xml:space="preserve">Model</t>
  </si>
  <si>
    <t xml:space="preserve">Recurring underlying profit capitalisation at cost of equity (engine route)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</si>
  <si>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</si>
  <si>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</si>
  <si>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</si>
  <si>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</si>
  <si>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</si>
  <si>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</si>
  <si>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</si>
  <si>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</si>
  <si>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2026-10-17T00:29:12Z</t>
  </si>
  <si>
    <t xml:space="preserve">Drivers file</t>
  </si>
  <si>
    <t xml:space="preserve">1972.HK_Drivers.json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</si>
  <si>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</si>
  <si>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</si>
  <si>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</si>
  <si>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Swire Properties is valued as what it is economically: a landlord whose distributable, post-interest, post-tax recurring profit accrues to equity holders. That stream is capitalised at an 8% HKD cost of equity with net debt held at zero (the debt is already serviced inside the flow). Revaluation gains and losses, and one-off divestment profits, are excluded. The result is deliberately an earnings value, not an appraisal NAV: book NAV of HK$47.08/share rests on 2.6-5.5% HK cap rates that no equity investor can earn, which is why the market prices the stock at ~0.5x book. The gap between this model and NAV is the value of being able to sell assets at appraisal (capital recycling), which the model does not credit.
key_risks_to_valuation: HK office rental reversion: Taikoo Place and Pacific Place offices are ~40% of gross rental income and face record Grade-A vacancy.; Chinese Mainland exposure (~40% of rents) to office oversupply and consumer weakness; the HK$100bn plan concentrates HK$46bn of commitments there.; Chinese Mainland retail lease-expiry concentration: ~31% of attributable Mainland retail gross rental income expires in 2026, into cautious tenant demand.; Rising net finance costs as the plan is debt-funded before new projects produce rent.; Trading profits are lumpy; the FY2026 base year normalises them, but a weak HK luxury residential market would undershoot.; Upside risk not in the model: continued capital recycling at or near appraisal values (e.g. Brickell City Centre, FY2025 divestment gains HK$2.36bn) realises NAV that the capitalisation approach ignores.; Dividend (HK$1.15 FY2025, 5% progressive growth) already exceeds recurring underlying EPS; sustaining it relies on divestment gains or rising gearing.; Partial offset in the base case: average cost of debt fell to 3.5% in FY2025 from 4.0%, which slows the finance-cost drag on the post-interest stream.</t>
  </si>
  <si>
    <t xml:space="preserve">Data sources</t>
  </si>
  <si>
    <t xml:space="preserve">price: Yahoo Finance chart API at inputs.price_as_of; 52-week range 19.90-27.18.
financials: 1972.HK_Metrics.csv / core_metrics (FY2017-H1 FY2026); FY2025 Annual Report ten-year summary, segment revenue/profit and IP valuation note 16; H1 FY2026 Interim Report highlights, underlying-profit reconciliation (p.17), capital commitments and net debt.
qualitative: 1972.HK_Analysis.json (2026-10-17): competitive position, risks, guidance (progressive mid-single-digit DPS growth, ~70% of HK$100bn plan committed) and bull/bear cases; plus chairman's/CEO statements in the FY2025 annual and H1 FY2026 interim.</t>
  </si>
  <si>
    <t xml:space="preserve">Scenario narrative: bear</t>
  </si>
  <si>
    <t xml:space="preserve">Structural HK and Mainland office oversupply, thinner trading profits and rising finance costs leave recurring profit flat for four years; 9% cost of equity and a 12x exit cap.</t>
  </si>
  <si>
    <t xml:space="preserve">Scenario narrative: base</t>
  </si>
  <si>
    <t xml:space="preserve">Ex-growth to 2027 as HK office reversion and plan-related interest offset the HK retail recovery; committed Mainland projects lift recurring profit ~4%/yr from 2028; capitalised at an 8% HKD cost of equity with net debt already serviced inside the flow.</t>
  </si>
  <si>
    <t xml:space="preserve">Scenario narrative: bull</t>
  </si>
  <si>
    <t xml:space="preserve">Office trough passes, HK retail and Mainland malls keep outperforming, trading book realises steadily; ~6%/yr recurring growth to FY2029 and a 7.5% cost of equity.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</si>
  <si>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</si>
  <si>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</si>
  <si>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</si>
  <si>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</si>
  <si>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</si>
  <si>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</si>
  <si>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</si>
  <si>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</si>
  <si>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</si>
  <si>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</si>
  <si>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</si>
  <si>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</si>
  <si>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</si>
  <si>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</si>
  <si>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</si>
  <si>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</si>
  <si>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</si>
  <si>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</si>
  <si>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</si>
  <si>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</si>
  <si>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</si>
  <si>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</si>
  <si>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</si>
  <si>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</si>
  <si>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</si>
  <si>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</si>
  <si>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</si>
  <si>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BookValuePerShare</t>
  </si>
  <si>
    <t xml:space="preserve">CapexPPE</t>
  </si>
  <si>
    <t xml:space="preserve">CashGeneratedFromOperations</t>
  </si>
  <si>
    <t xml:space="preserve">InvestmentPropertyFairValueChange</t>
  </si>
  <si>
    <t xml:space="preserve">NPAT</t>
  </si>
  <si>
    <t xml:space="preserve">RecurringUnderlyingProfit</t>
  </si>
  <si>
    <t xml:space="preserve">TotalEquityInclNCI</t>
  </si>
  <si>
    <t xml:space="preserve">UnderlyingEPS</t>
  </si>
  <si>
    <t xml:space="preserve">UnderlyingProfit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</si>
  <si>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</si>
  <si>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</si>
  <si>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</si>
  <si>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</si>
  <si>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</si>
  <si>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</si>
  <si>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</si>
  <si>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</si>
  <si>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</si>
  <si>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</si>
  <si>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</si>
  <si>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</si>
  <si>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</si>
  <si>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</si>
  <si>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</si>
  <si>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</si>
  <si>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</si>
  <si>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</si>
  <si>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</si>
  <si>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</si>
  <si>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</si>
  <si>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</si>
  <si>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</si>
  <si>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</si>
  <si>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</si>
  <si>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</si>
  <si>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</si>
  <si>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</si>
  <si>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</si>
  <si>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</si>
  <si>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</si>
  <si>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</si>
  <si>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</si>
  <si>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</si>
  <si>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</si>
  <si>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</si>
  <si>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</si>
  <si>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</si>
  <si>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</si>
  <si>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</si>
  <si>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</si>
  <si>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</si>
  <si>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</si>
  <si>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</si>
  <si>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</si>
  <si>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</si>
  <si>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1972.HK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</si>
  <si>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</si>
  <si>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</si>
  <si>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</si>
  <si>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</si>
  <si>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</si>
  <si>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</si>
  <si>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</si>
  <si>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</si>
  <si>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</si>
  <si>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</si>
  <si>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</si>
  <si>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</si>
  <si>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</si>
  <si>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</si>
  <si>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</si>
  <si>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</si>
  <si>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</si>
  <si>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</si>
  <si>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</si>
  <si>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</si>
  <si>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</si>
  <si>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</si>
  <si>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</si>
  <si>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</si>
  <si>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</si>
  <si>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</si>
  <si>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</si>
  <si>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</si>
  <si>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</si>
  <si>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</si>
  <si>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1972.HK owner-FCF component DCF: base case (millions, HKD)</t>
  </si>
  <si>
    <t xml:space="preserve">1972.HK owner-FCF component DCF: bull case (millions, HKD)</t>
  </si>
  <si>
    <t xml:space="preserve">1972.HK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</si>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</sst>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24.44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  <c r="AJ1" s="2" t="s">
        <v>70</v>
      </c>
      <c r="AK1" s="2" t="s">
        <v>71</v>
      </c>
    </row>
    <row r="2" customFormat="false" ht="15" hidden="false" customHeight="false" outlineLevel="0" collapsed="false">
      <c r="A2" s="0" t="s">
        <v>72</v>
      </c>
      <c r="B2" s="0" t="n">
        <v>18558</v>
      </c>
      <c r="C2" s="0" t="n">
        <v>7569</v>
      </c>
      <c r="D2" s="0" t="n">
        <v>10989</v>
      </c>
      <c r="E2" s="0" t="n">
        <v>59.2</v>
      </c>
      <c r="F2" s="0" t="n">
        <v>34930</v>
      </c>
      <c r="G2" s="0" t="n">
        <v>188.2</v>
      </c>
      <c r="I2" s="0" t="n">
        <v>33957</v>
      </c>
      <c r="J2" s="0" t="n">
        <v>183</v>
      </c>
      <c r="K2" s="0" t="n">
        <v>5.8</v>
      </c>
      <c r="L2" s="0" t="n">
        <v>11756</v>
      </c>
      <c r="M2" s="0" t="n">
        <v>6040</v>
      </c>
      <c r="N2" s="0" t="n">
        <v>5716</v>
      </c>
      <c r="O2" s="0" t="n">
        <v>257381</v>
      </c>
      <c r="P2" s="0" t="n">
        <v>314309</v>
      </c>
      <c r="Q2" s="0" t="n">
        <v>54931</v>
      </c>
      <c r="R2" s="0" t="n">
        <v>37055</v>
      </c>
      <c r="S2" s="0" t="n">
        <v>1708</v>
      </c>
      <c r="T2" s="0" t="n">
        <v>5850</v>
      </c>
      <c r="U2" s="0" t="n">
        <v>0</v>
      </c>
      <c r="V2" s="0" t="n">
        <v>0.77</v>
      </c>
      <c r="AA2" s="0" t="s">
        <v>17</v>
      </c>
      <c r="AB2" s="0" t="s">
        <v>14</v>
      </c>
      <c r="AC2" s="0" t="n">
        <v>44</v>
      </c>
      <c r="AD2" s="0" t="n">
        <v>217</v>
      </c>
      <c r="AE2" s="0" t="n">
        <v>13680</v>
      </c>
      <c r="AF2" s="0" t="n">
        <v>25463</v>
      </c>
      <c r="AG2" s="0" t="n">
        <v>34015</v>
      </c>
      <c r="AH2" s="0" t="n">
        <v>7813</v>
      </c>
      <c r="AI2" s="0" t="n">
        <v>259378</v>
      </c>
      <c r="AJ2" s="0" t="n">
        <v>1.34</v>
      </c>
      <c r="AK2" s="0" t="n">
        <v>7834</v>
      </c>
    </row>
    <row r="3" customFormat="false" ht="15" hidden="false" customHeight="false" outlineLevel="0" collapsed="false">
      <c r="A3" s="0" t="s">
        <v>73</v>
      </c>
      <c r="B3" s="0" t="n">
        <v>14719</v>
      </c>
      <c r="C3" s="0" t="n">
        <v>4493</v>
      </c>
      <c r="D3" s="0" t="n">
        <v>10226</v>
      </c>
      <c r="E3" s="0" t="n">
        <v>69.5</v>
      </c>
      <c r="F3" s="0" t="n">
        <v>29365</v>
      </c>
      <c r="G3" s="0" t="n">
        <v>199.5</v>
      </c>
      <c r="I3" s="0" t="n">
        <v>28666</v>
      </c>
      <c r="J3" s="0" t="n">
        <v>194.8</v>
      </c>
      <c r="K3" s="0" t="n">
        <v>4.9</v>
      </c>
      <c r="L3" s="0" t="n">
        <v>9391</v>
      </c>
      <c r="M3" s="0" t="n">
        <v>4506</v>
      </c>
      <c r="N3" s="0" t="n">
        <v>4885</v>
      </c>
      <c r="O3" s="0" t="n">
        <v>279275</v>
      </c>
      <c r="P3" s="0" t="n">
        <v>333647</v>
      </c>
      <c r="Q3" s="0" t="n">
        <v>52356</v>
      </c>
      <c r="R3" s="0" t="n">
        <v>31999</v>
      </c>
      <c r="S3" s="0" t="n">
        <v>2093</v>
      </c>
      <c r="T3" s="0" t="n">
        <v>5850</v>
      </c>
      <c r="U3" s="0" t="n">
        <v>0</v>
      </c>
      <c r="V3" s="0" t="n">
        <v>0.84</v>
      </c>
      <c r="AA3" s="0" t="s">
        <v>17</v>
      </c>
      <c r="AB3" s="0" t="s">
        <v>14</v>
      </c>
      <c r="AC3" s="0" t="n">
        <v>47.74</v>
      </c>
      <c r="AD3" s="0" t="n">
        <v>121</v>
      </c>
      <c r="AE3" s="0" t="n">
        <v>11619</v>
      </c>
      <c r="AF3" s="0" t="n">
        <v>19452</v>
      </c>
      <c r="AG3" s="0" t="n">
        <v>28721</v>
      </c>
      <c r="AH3" s="0" t="n">
        <v>7521</v>
      </c>
      <c r="AI3" s="0" t="n">
        <v>281291</v>
      </c>
      <c r="AJ3" s="0" t="n">
        <v>1.74</v>
      </c>
      <c r="AK3" s="0" t="n">
        <v>10148</v>
      </c>
    </row>
    <row r="4" customFormat="false" ht="15" hidden="false" customHeight="false" outlineLevel="0" collapsed="false">
      <c r="A4" s="0" t="s">
        <v>74</v>
      </c>
      <c r="B4" s="0" t="n">
        <v>14222</v>
      </c>
      <c r="C4" s="0" t="n">
        <v>4028</v>
      </c>
      <c r="D4" s="0" t="n">
        <v>10194</v>
      </c>
      <c r="E4" s="0" t="n">
        <v>71.7</v>
      </c>
      <c r="F4" s="0" t="n">
        <v>14397</v>
      </c>
      <c r="G4" s="0" t="n">
        <v>101.2</v>
      </c>
      <c r="I4" s="0" t="n">
        <v>13423</v>
      </c>
      <c r="J4" s="0" t="n">
        <v>94.4</v>
      </c>
      <c r="K4" s="0" t="n">
        <v>2.29</v>
      </c>
      <c r="L4" s="0" t="n">
        <v>4375</v>
      </c>
      <c r="M4" s="0" t="n">
        <v>2105</v>
      </c>
      <c r="N4" s="0" t="n">
        <v>2270</v>
      </c>
      <c r="O4" s="0" t="n">
        <v>286927</v>
      </c>
      <c r="P4" s="0" t="n">
        <v>337864</v>
      </c>
      <c r="Q4" s="0" t="n">
        <v>48953</v>
      </c>
      <c r="R4" s="0" t="n">
        <v>29729</v>
      </c>
      <c r="S4" s="0" t="n">
        <v>14963</v>
      </c>
      <c r="T4" s="0" t="n">
        <v>5850</v>
      </c>
      <c r="U4" s="0" t="n">
        <v>0</v>
      </c>
      <c r="V4" s="0" t="n">
        <v>0.88</v>
      </c>
      <c r="AA4" s="0" t="s">
        <v>17</v>
      </c>
      <c r="AB4" s="0" t="s">
        <v>14</v>
      </c>
      <c r="AC4" s="0" t="n">
        <v>49.05</v>
      </c>
      <c r="AD4" s="0" t="n">
        <v>120</v>
      </c>
      <c r="AE4" s="0" t="n">
        <v>5499</v>
      </c>
      <c r="AF4" s="0" t="n">
        <v>3720</v>
      </c>
      <c r="AG4" s="0" t="n">
        <v>13466</v>
      </c>
      <c r="AH4" s="0" t="n">
        <v>7633</v>
      </c>
      <c r="AI4" s="0" t="n">
        <v>288911</v>
      </c>
      <c r="AJ4" s="0" t="n">
        <v>4.12</v>
      </c>
      <c r="AK4" s="0" t="n">
        <v>24130</v>
      </c>
    </row>
    <row r="5" customFormat="false" ht="15" hidden="false" customHeight="false" outlineLevel="0" collapsed="false">
      <c r="A5" s="0" t="s">
        <v>75</v>
      </c>
      <c r="B5" s="0" t="n">
        <v>13308</v>
      </c>
      <c r="C5" s="0" t="n">
        <v>3396</v>
      </c>
      <c r="D5" s="0" t="n">
        <v>9912</v>
      </c>
      <c r="E5" s="0" t="n">
        <v>74.5</v>
      </c>
      <c r="F5" s="0" t="n">
        <v>5506</v>
      </c>
      <c r="G5" s="0" t="n">
        <v>41.4</v>
      </c>
      <c r="I5" s="0" t="n">
        <v>4096</v>
      </c>
      <c r="J5" s="0" t="n">
        <v>30.8</v>
      </c>
      <c r="K5" s="0" t="n">
        <v>0.7</v>
      </c>
      <c r="L5" s="0" t="n">
        <v>5469</v>
      </c>
      <c r="M5" s="0" t="n">
        <v>1543</v>
      </c>
      <c r="N5" s="0" t="n">
        <v>3926</v>
      </c>
      <c r="O5" s="0" t="n">
        <v>288736</v>
      </c>
      <c r="P5" s="0" t="n">
        <v>337387</v>
      </c>
      <c r="Q5" s="0" t="n">
        <v>46707</v>
      </c>
      <c r="R5" s="0" t="n">
        <v>27257</v>
      </c>
      <c r="S5" s="0" t="n">
        <v>21202</v>
      </c>
      <c r="T5" s="0" t="n">
        <v>5850</v>
      </c>
      <c r="U5" s="0" t="n">
        <v>0</v>
      </c>
      <c r="V5" s="0" t="n">
        <v>0.91</v>
      </c>
      <c r="AA5" s="0" t="s">
        <v>17</v>
      </c>
      <c r="AB5" s="0" t="s">
        <v>14</v>
      </c>
      <c r="AC5" s="0" t="n">
        <v>49.36</v>
      </c>
      <c r="AD5" s="0" t="n">
        <v>121</v>
      </c>
      <c r="AE5" s="0" t="n">
        <v>7550</v>
      </c>
      <c r="AF5" s="0" t="n">
        <v>-4465</v>
      </c>
      <c r="AG5" s="0" t="n">
        <v>4069</v>
      </c>
      <c r="AH5" s="0" t="n">
        <v>7089</v>
      </c>
      <c r="AI5" s="0" t="n">
        <v>290680</v>
      </c>
      <c r="AJ5" s="0" t="n">
        <v>2.17</v>
      </c>
      <c r="AK5" s="0" t="n">
        <v>12679</v>
      </c>
    </row>
    <row r="6" customFormat="false" ht="15" hidden="false" customHeight="false" outlineLevel="0" collapsed="false">
      <c r="A6" s="0" t="s">
        <v>76</v>
      </c>
      <c r="B6" s="0" t="n">
        <v>15891</v>
      </c>
      <c r="C6" s="0" t="n">
        <v>5369</v>
      </c>
      <c r="D6" s="0" t="n">
        <v>10522</v>
      </c>
      <c r="E6" s="0" t="n">
        <v>66.2</v>
      </c>
      <c r="F6" s="0" t="n">
        <v>7839</v>
      </c>
      <c r="G6" s="0" t="n">
        <v>49.3</v>
      </c>
      <c r="I6" s="0" t="n">
        <v>7121</v>
      </c>
      <c r="J6" s="0" t="n">
        <v>44.8</v>
      </c>
      <c r="K6" s="0" t="n">
        <v>1.22</v>
      </c>
      <c r="L6" s="0" t="n">
        <v>5045</v>
      </c>
      <c r="M6" s="0" t="n">
        <v>4092</v>
      </c>
      <c r="N6" s="0" t="n">
        <v>953</v>
      </c>
      <c r="O6" s="0" t="n">
        <v>292155</v>
      </c>
      <c r="P6" s="0" t="n">
        <v>340323</v>
      </c>
      <c r="Q6" s="0" t="n">
        <v>46165</v>
      </c>
      <c r="R6" s="0" t="n">
        <v>24601</v>
      </c>
      <c r="S6" s="0" t="n">
        <v>14833</v>
      </c>
      <c r="T6" s="0" t="n">
        <v>5850</v>
      </c>
      <c r="U6" s="0" t="n">
        <v>0</v>
      </c>
      <c r="V6" s="0" t="n">
        <v>0.95</v>
      </c>
      <c r="AA6" s="0" t="s">
        <v>17</v>
      </c>
      <c r="AB6" s="0" t="s">
        <v>14</v>
      </c>
      <c r="AC6" s="0" t="n">
        <v>49.85</v>
      </c>
      <c r="AD6" s="0" t="n">
        <v>180</v>
      </c>
      <c r="AE6" s="0" t="n">
        <v>7028</v>
      </c>
      <c r="AF6" s="0" t="n">
        <v>-1947</v>
      </c>
      <c r="AG6" s="0" t="n">
        <v>7289</v>
      </c>
      <c r="AH6" s="0" t="n">
        <v>7143</v>
      </c>
      <c r="AI6" s="0" t="n">
        <v>294158</v>
      </c>
      <c r="AJ6" s="0" t="n">
        <v>1.63</v>
      </c>
      <c r="AK6" s="0" t="n">
        <v>9532</v>
      </c>
    </row>
    <row r="7" customFormat="false" ht="15" hidden="false" customHeight="false" outlineLevel="0" collapsed="false">
      <c r="A7" s="0" t="s">
        <v>77</v>
      </c>
      <c r="B7" s="0" t="n">
        <v>13826</v>
      </c>
      <c r="C7" s="0" t="n">
        <v>4303</v>
      </c>
      <c r="D7" s="0" t="n">
        <v>9523</v>
      </c>
      <c r="E7" s="0" t="n">
        <v>68.9</v>
      </c>
      <c r="F7" s="0" t="n">
        <v>9024</v>
      </c>
      <c r="G7" s="0" t="n">
        <v>65.3</v>
      </c>
      <c r="I7" s="0" t="n">
        <v>7980</v>
      </c>
      <c r="J7" s="0" t="n">
        <v>57.7</v>
      </c>
      <c r="K7" s="0" t="n">
        <v>1.36</v>
      </c>
      <c r="L7" s="0" t="n">
        <v>4756</v>
      </c>
      <c r="M7" s="0" t="n">
        <v>7287</v>
      </c>
      <c r="N7" s="0" t="n">
        <v>-2531</v>
      </c>
      <c r="O7" s="0" t="n">
        <v>289211</v>
      </c>
      <c r="P7" s="0" t="n">
        <v>337162</v>
      </c>
      <c r="Q7" s="0" t="n">
        <v>44904</v>
      </c>
      <c r="R7" s="0" t="n">
        <v>22835</v>
      </c>
      <c r="S7" s="0" t="n">
        <v>4502</v>
      </c>
      <c r="T7" s="0" t="n">
        <v>5850</v>
      </c>
      <c r="U7" s="0" t="n">
        <v>0</v>
      </c>
      <c r="V7" s="0" t="n">
        <v>1</v>
      </c>
      <c r="AA7" s="0" t="s">
        <v>17</v>
      </c>
      <c r="AB7" s="0" t="s">
        <v>14</v>
      </c>
      <c r="AC7" s="0" t="n">
        <v>49.44</v>
      </c>
      <c r="AD7" s="0" t="n">
        <v>133</v>
      </c>
      <c r="AE7" s="0" t="n">
        <v>6332</v>
      </c>
      <c r="AF7" s="0" t="n">
        <v>801</v>
      </c>
      <c r="AG7" s="0" t="n">
        <v>8227</v>
      </c>
      <c r="AH7" s="0" t="n">
        <v>7176</v>
      </c>
      <c r="AI7" s="0" t="n">
        <v>292258</v>
      </c>
      <c r="AJ7" s="0" t="n">
        <v>1.49</v>
      </c>
      <c r="AK7" s="0" t="n">
        <v>8706</v>
      </c>
    </row>
    <row r="8" customFormat="false" ht="15" hidden="false" customHeight="false" outlineLevel="0" collapsed="false">
      <c r="A8" s="0" t="s">
        <v>78</v>
      </c>
      <c r="B8" s="0" t="n">
        <v>14670</v>
      </c>
      <c r="C8" s="0" t="n">
        <v>4284</v>
      </c>
      <c r="D8" s="0" t="n">
        <v>10386</v>
      </c>
      <c r="E8" s="0" t="n">
        <v>70.8</v>
      </c>
      <c r="F8" s="0" t="n">
        <v>5180</v>
      </c>
      <c r="G8" s="0" t="n">
        <v>35.3</v>
      </c>
      <c r="I8" s="0" t="n">
        <v>2637</v>
      </c>
      <c r="J8" s="0" t="n">
        <v>18</v>
      </c>
      <c r="K8" s="0" t="n">
        <v>0.45</v>
      </c>
      <c r="L8" s="0" t="n">
        <v>5445</v>
      </c>
      <c r="M8" s="0" t="n">
        <v>3052</v>
      </c>
      <c r="N8" s="0" t="n">
        <v>2393</v>
      </c>
      <c r="O8" s="0" t="n">
        <v>285082</v>
      </c>
      <c r="P8" s="0" t="n">
        <v>354488</v>
      </c>
      <c r="Q8" s="0" t="n">
        <v>66339</v>
      </c>
      <c r="R8" s="0" t="n">
        <v>41169</v>
      </c>
      <c r="S8" s="0" t="n">
        <v>5097</v>
      </c>
      <c r="T8" s="0" t="n">
        <v>5850</v>
      </c>
      <c r="U8" s="0" t="n">
        <v>0</v>
      </c>
      <c r="V8" s="0" t="n">
        <v>1.05</v>
      </c>
      <c r="AA8" s="0" t="s">
        <v>17</v>
      </c>
      <c r="AB8" s="0" t="s">
        <v>14</v>
      </c>
      <c r="AC8" s="0" t="n">
        <v>48.73</v>
      </c>
      <c r="AD8" s="0" t="n">
        <v>217</v>
      </c>
      <c r="AE8" s="0" t="n">
        <v>7492</v>
      </c>
      <c r="AF8" s="0" t="n">
        <v>-2829</v>
      </c>
      <c r="AG8" s="0" t="n">
        <v>2751</v>
      </c>
      <c r="AH8" s="0" t="n">
        <v>7285</v>
      </c>
      <c r="AI8" s="0" t="n">
        <v>288149</v>
      </c>
      <c r="AJ8" s="0" t="n">
        <v>1.98</v>
      </c>
      <c r="AK8" s="0" t="n">
        <v>11570</v>
      </c>
    </row>
    <row r="9" customFormat="false" ht="15" hidden="false" customHeight="false" outlineLevel="0" collapsed="false">
      <c r="A9" s="0" t="s">
        <v>79</v>
      </c>
      <c r="B9" s="0" t="n">
        <v>14428</v>
      </c>
      <c r="C9" s="0" t="n">
        <v>4258</v>
      </c>
      <c r="D9" s="0" t="n">
        <v>10170</v>
      </c>
      <c r="E9" s="0" t="n">
        <v>70.5</v>
      </c>
      <c r="F9" s="0" t="n">
        <v>1702</v>
      </c>
      <c r="G9" s="0" t="n">
        <v>11.8</v>
      </c>
      <c r="I9" s="0" t="n">
        <v>-766</v>
      </c>
      <c r="J9" s="0" t="n">
        <v>-5.3</v>
      </c>
      <c r="K9" s="0" t="n">
        <v>-0.13</v>
      </c>
      <c r="L9" s="0" t="n">
        <v>3762</v>
      </c>
      <c r="M9" s="0" t="n">
        <v>4491</v>
      </c>
      <c r="N9" s="0" t="n">
        <v>-729</v>
      </c>
      <c r="O9" s="0" t="n">
        <v>275326</v>
      </c>
      <c r="P9" s="0" t="n">
        <v>355426</v>
      </c>
      <c r="Q9" s="0" t="n">
        <v>76999</v>
      </c>
      <c r="R9" s="0" t="n">
        <v>48347</v>
      </c>
      <c r="S9" s="0" t="n">
        <v>5121</v>
      </c>
      <c r="T9" s="0" t="n">
        <v>5814.7</v>
      </c>
      <c r="U9" s="0" t="n">
        <v>0</v>
      </c>
      <c r="V9" s="0" t="n">
        <v>1.1</v>
      </c>
      <c r="AA9" s="0" t="s">
        <v>17</v>
      </c>
      <c r="AB9" s="0" t="s">
        <v>14</v>
      </c>
      <c r="AC9" s="0" t="n">
        <v>47.35</v>
      </c>
      <c r="AD9" s="0" t="n">
        <v>276</v>
      </c>
      <c r="AE9" s="0" t="n">
        <v>6489</v>
      </c>
      <c r="AF9" s="0" t="n">
        <v>-5996</v>
      </c>
      <c r="AG9" s="0" t="n">
        <v>-601</v>
      </c>
      <c r="AH9" s="0" t="n">
        <v>6479</v>
      </c>
      <c r="AI9" s="0" t="n">
        <v>278427</v>
      </c>
      <c r="AJ9" s="0" t="n">
        <v>1.16</v>
      </c>
      <c r="AK9" s="0" t="n">
        <v>6768</v>
      </c>
    </row>
    <row r="10" customFormat="false" ht="15" hidden="false" customHeight="false" outlineLevel="0" collapsed="false">
      <c r="A10" s="0" t="s">
        <v>80</v>
      </c>
      <c r="B10" s="0" t="n">
        <v>16041</v>
      </c>
      <c r="C10" s="0" t="n">
        <v>5384</v>
      </c>
      <c r="D10" s="0" t="n">
        <v>10657</v>
      </c>
      <c r="E10" s="0" t="n">
        <v>66.4</v>
      </c>
      <c r="F10" s="0" t="n">
        <v>1958</v>
      </c>
      <c r="G10" s="0" t="n">
        <v>12.2</v>
      </c>
      <c r="I10" s="0" t="n">
        <v>-1533</v>
      </c>
      <c r="J10" s="0" t="n">
        <v>-9.6</v>
      </c>
      <c r="K10" s="0" t="n">
        <v>-0.27</v>
      </c>
      <c r="L10" s="0" t="n">
        <v>7471</v>
      </c>
      <c r="M10" s="0" t="n">
        <v>2183</v>
      </c>
      <c r="N10" s="0" t="n">
        <v>5288</v>
      </c>
      <c r="O10" s="0" t="n">
        <v>269460</v>
      </c>
      <c r="P10" s="0" t="n">
        <v>353532</v>
      </c>
      <c r="Q10" s="0" t="n">
        <v>82190</v>
      </c>
      <c r="R10" s="0" t="n">
        <v>49243</v>
      </c>
      <c r="S10" s="0" t="n">
        <v>10183</v>
      </c>
      <c r="T10" s="0" t="n">
        <v>5757.7</v>
      </c>
      <c r="U10" s="0" t="n">
        <v>0</v>
      </c>
      <c r="V10" s="0" t="n">
        <v>1.15</v>
      </c>
      <c r="AA10" s="0" t="s">
        <v>17</v>
      </c>
      <c r="AB10" s="0" t="s">
        <v>14</v>
      </c>
      <c r="AC10" s="0" t="n">
        <v>46.8</v>
      </c>
      <c r="AD10" s="0" t="n">
        <v>182</v>
      </c>
      <c r="AE10" s="0" t="n">
        <v>10024</v>
      </c>
      <c r="AF10" s="0" t="n">
        <v>-6095</v>
      </c>
      <c r="AG10" s="0" t="n">
        <v>-1551</v>
      </c>
      <c r="AH10" s="0" t="n">
        <v>6260</v>
      </c>
      <c r="AI10" s="0" t="n">
        <v>271342</v>
      </c>
      <c r="AJ10" s="0" t="n">
        <v>1.49</v>
      </c>
      <c r="AK10" s="0" t="n">
        <v>8620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24.44</v>
      </c>
    </row>
    <row r="3" customFormat="false" ht="15" hidden="false" customHeight="false" outlineLevel="0" collapsed="false">
      <c r="A3" s="0" t="s">
        <v>84</v>
      </c>
      <c r="B3" s="3" t="n">
        <v>5757.485</v>
      </c>
    </row>
    <row r="4" customFormat="false" ht="15" hidden="false" customHeight="false" outlineLevel="0" collapsed="false">
      <c r="A4" s="0" t="s">
        <v>85</v>
      </c>
      <c r="B4" s="3" t="n">
        <v>0</v>
      </c>
    </row>
    <row r="5" customFormat="false" ht="15" hidden="false" customHeight="false" outlineLevel="0" collapsed="false">
      <c r="A5" s="0" t="s">
        <v>86</v>
      </c>
      <c r="B5" s="3" t="n">
        <v>0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6260</v>
      </c>
    </row>
    <row r="8" customFormat="false" ht="15" hidden="false" customHeight="false" outlineLevel="0" collapsed="false">
      <c r="A8" s="0" t="s">
        <v>89</v>
      </c>
      <c r="B8" s="3" t="s">
        <v>80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4</v>
      </c>
      <c r="D13" s="3" t="n">
        <v>-2</v>
      </c>
      <c r="E13" s="3" t="n">
        <v>0</v>
      </c>
      <c r="F13" s="3" t="n">
        <v>1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105</v>
      </c>
      <c r="C14" s="3" t="n">
        <v>100</v>
      </c>
      <c r="D14" s="3" t="n">
        <v>100</v>
      </c>
      <c r="E14" s="3" t="n">
        <v>100</v>
      </c>
      <c r="F14" s="3" t="n">
        <v>100</v>
      </c>
      <c r="G14" s="3" t="n">
        <v>100</v>
      </c>
      <c r="H14" s="3" t="n">
        <v>100</v>
      </c>
      <c r="I14" s="3" t="n">
        <v>100</v>
      </c>
      <c r="J14" s="3" t="n">
        <v>100</v>
      </c>
      <c r="K14" s="3" t="n">
        <v>100</v>
      </c>
      <c r="L14" s="3" t="n">
        <v>100</v>
      </c>
    </row>
    <row r="15" customFormat="false" ht="15" hidden="false" customHeight="false" outlineLevel="0" collapsed="false">
      <c r="A15" s="0" t="s">
        <v>106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108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109</v>
      </c>
      <c r="C18" s="3" t="n">
        <v>10</v>
      </c>
      <c r="D18" s="3" t="n">
        <v>10</v>
      </c>
      <c r="E18" s="3" t="n">
        <v>10</v>
      </c>
      <c r="F18" s="3" t="n">
        <v>10</v>
      </c>
      <c r="G18" s="3" t="n">
        <v>10</v>
      </c>
      <c r="H18" s="3" t="n">
        <v>10</v>
      </c>
      <c r="I18" s="3" t="n">
        <v>10</v>
      </c>
      <c r="J18" s="3" t="n">
        <v>10</v>
      </c>
      <c r="K18" s="3" t="n">
        <v>10</v>
      </c>
      <c r="L18" s="3" t="n">
        <v>10</v>
      </c>
    </row>
    <row r="19" customFormat="false" ht="15" hidden="false" customHeight="false" outlineLevel="0" collapsed="false">
      <c r="A19" s="0" t="s">
        <v>110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111</v>
      </c>
      <c r="B20" s="3" t="n">
        <v>9</v>
      </c>
    </row>
    <row r="21" customFormat="false" ht="15" hidden="false" customHeight="false" outlineLevel="0" collapsed="false">
      <c r="A21" s="0" t="s">
        <v>112</v>
      </c>
      <c r="B21" s="3" t="n">
        <v>1.5</v>
      </c>
    </row>
    <row r="22" customFormat="false" ht="15" hidden="false" customHeight="false" outlineLevel="0" collapsed="false">
      <c r="A22" s="0" t="s">
        <v>113</v>
      </c>
      <c r="B22" s="3" t="n">
        <v>12</v>
      </c>
    </row>
    <row r="23" customFormat="false" ht="15" hidden="false" customHeight="false" outlineLevel="0" collapsed="false">
      <c r="A23" s="0" t="s">
        <v>114</v>
      </c>
      <c r="B23" s="3" t="n">
        <v>0</v>
      </c>
    </row>
    <row r="24" customFormat="false" ht="15" hidden="false" customHeight="false" outlineLevel="0" collapsed="false">
      <c r="A24" s="0" t="s">
        <v>115</v>
      </c>
      <c r="B24" s="3" t="n">
        <v>0.25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10</v>
      </c>
      <c r="D27" s="3" t="n">
        <v>3</v>
      </c>
      <c r="E27" s="3" t="n">
        <v>4</v>
      </c>
      <c r="F27" s="3" t="n">
        <v>4</v>
      </c>
      <c r="G27" s="3" t="n">
        <v>4</v>
      </c>
      <c r="H27" s="3" t="n">
        <v>3.5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105</v>
      </c>
      <c r="C28" s="3" t="n">
        <v>100</v>
      </c>
      <c r="D28" s="3" t="n">
        <v>100</v>
      </c>
      <c r="E28" s="3" t="n">
        <v>100</v>
      </c>
      <c r="F28" s="3" t="n">
        <v>100</v>
      </c>
      <c r="G28" s="3" t="n">
        <v>100</v>
      </c>
      <c r="H28" s="3" t="n">
        <v>100</v>
      </c>
      <c r="I28" s="3" t="n">
        <v>100</v>
      </c>
      <c r="J28" s="3" t="n">
        <v>100</v>
      </c>
      <c r="K28" s="3" t="n">
        <v>100</v>
      </c>
      <c r="L28" s="3" t="n">
        <v>100</v>
      </c>
    </row>
    <row r="29" customFormat="false" ht="15" hidden="false" customHeight="false" outlineLevel="0" collapsed="false">
      <c r="A29" s="0" t="s">
        <v>106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108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109</v>
      </c>
      <c r="C32" s="3" t="n">
        <v>8</v>
      </c>
      <c r="D32" s="3" t="n">
        <v>8</v>
      </c>
      <c r="E32" s="3" t="n">
        <v>8</v>
      </c>
      <c r="F32" s="3" t="n">
        <v>8</v>
      </c>
      <c r="G32" s="3" t="n">
        <v>8</v>
      </c>
      <c r="H32" s="3" t="n">
        <v>8</v>
      </c>
      <c r="I32" s="3" t="n">
        <v>8</v>
      </c>
      <c r="J32" s="3" t="n">
        <v>8</v>
      </c>
      <c r="K32" s="3" t="n">
        <v>8</v>
      </c>
      <c r="L32" s="3" t="n">
        <v>8</v>
      </c>
    </row>
    <row r="33" customFormat="false" ht="15" hidden="false" customHeight="false" outlineLevel="0" collapsed="false">
      <c r="A33" s="0" t="s">
        <v>110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111</v>
      </c>
      <c r="B34" s="3" t="n">
        <v>8</v>
      </c>
    </row>
    <row r="35" customFormat="false" ht="15" hidden="false" customHeight="false" outlineLevel="0" collapsed="false">
      <c r="A35" s="0" t="s">
        <v>112</v>
      </c>
      <c r="B35" s="3" t="n">
        <v>2.5</v>
      </c>
    </row>
    <row r="36" customFormat="false" ht="15" hidden="false" customHeight="false" outlineLevel="0" collapsed="false">
      <c r="A36" s="0" t="s">
        <v>113</v>
      </c>
      <c r="B36" s="3" t="n">
        <v>16</v>
      </c>
    </row>
    <row r="37" customFormat="false" ht="15" hidden="false" customHeight="false" outlineLevel="0" collapsed="false">
      <c r="A37" s="0" t="s">
        <v>114</v>
      </c>
      <c r="B37" s="3" t="n">
        <v>0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16</v>
      </c>
      <c r="D41" s="3" t="n">
        <v>6</v>
      </c>
      <c r="E41" s="3" t="n">
        <v>6</v>
      </c>
      <c r="F41" s="3" t="n">
        <v>6</v>
      </c>
      <c r="G41" s="3" t="n">
        <v>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105</v>
      </c>
      <c r="C42" s="3" t="n">
        <v>100</v>
      </c>
      <c r="D42" s="3" t="n">
        <v>100</v>
      </c>
      <c r="E42" s="3" t="n">
        <v>100</v>
      </c>
      <c r="F42" s="3" t="n">
        <v>100</v>
      </c>
      <c r="G42" s="3" t="n">
        <v>100</v>
      </c>
      <c r="H42" s="3" t="n">
        <v>100</v>
      </c>
      <c r="I42" s="3" t="n">
        <v>100</v>
      </c>
      <c r="J42" s="3" t="n">
        <v>100</v>
      </c>
      <c r="K42" s="3" t="n">
        <v>100</v>
      </c>
      <c r="L42" s="3" t="n">
        <v>100</v>
      </c>
    </row>
    <row r="43" customFormat="false" ht="15" hidden="false" customHeight="false" outlineLevel="0" collapsed="false">
      <c r="A43" s="0" t="s">
        <v>106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108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109</v>
      </c>
      <c r="C46" s="3" t="n">
        <v>7</v>
      </c>
      <c r="D46" s="3" t="n">
        <v>7</v>
      </c>
      <c r="E46" s="3" t="n">
        <v>7</v>
      </c>
      <c r="F46" s="3" t="n">
        <v>7</v>
      </c>
      <c r="G46" s="3" t="n">
        <v>7</v>
      </c>
      <c r="H46" s="3" t="n">
        <v>7</v>
      </c>
      <c r="I46" s="3" t="n">
        <v>7</v>
      </c>
      <c r="J46" s="3" t="n">
        <v>7</v>
      </c>
      <c r="K46" s="3" t="n">
        <v>7</v>
      </c>
      <c r="L46" s="3" t="n">
        <v>7</v>
      </c>
    </row>
    <row r="47" customFormat="false" ht="15" hidden="false" customHeight="false" outlineLevel="0" collapsed="false">
      <c r="A47" s="0" t="s">
        <v>110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111</v>
      </c>
      <c r="B48" s="3" t="n">
        <v>7.5</v>
      </c>
    </row>
    <row r="49" customFormat="false" ht="15" hidden="false" customHeight="false" outlineLevel="0" collapsed="false">
      <c r="A49" s="0" t="s">
        <v>112</v>
      </c>
      <c r="B49" s="3" t="n">
        <v>3</v>
      </c>
    </row>
    <row r="50" customFormat="false" ht="15" hidden="false" customHeight="false" outlineLevel="0" collapsed="false">
      <c r="A50" s="0" t="s">
        <v>113</v>
      </c>
      <c r="B50" s="3" t="n">
        <v>18</v>
      </c>
    </row>
    <row r="51" customFormat="false" ht="15" hidden="false" customHeight="false" outlineLevel="0" collapsed="false">
      <c r="A51" s="0" t="s">
        <v>114</v>
      </c>
      <c r="B51" s="3" t="n">
        <v>0</v>
      </c>
    </row>
    <row r="52" customFormat="false" ht="15" hidden="false" customHeight="false" outlineLevel="0" collapsed="false">
      <c r="A52" s="0" t="s">
        <v>115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4</v>
      </c>
      <c r="D5" s="4" t="n">
        <f aca="false">Assumptions!D13</f>
        <v>-2</v>
      </c>
      <c r="E5" s="4" t="n">
        <f aca="false">Assumptions!E13</f>
        <v>0</v>
      </c>
      <c r="F5" s="4" t="n">
        <f aca="false">Assumptions!F13</f>
        <v>1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6260</v>
      </c>
      <c r="C6" s="0" t="n">
        <f aca="false">B6*(1+C5/100)</f>
        <v>6510.4</v>
      </c>
      <c r="D6" s="0" t="n">
        <f aca="false">C6*(1+D5/100)</f>
        <v>6380.192</v>
      </c>
      <c r="E6" s="0" t="n">
        <f aca="false">D6*(1+E5/100)</f>
        <v>6380.192</v>
      </c>
      <c r="F6" s="0" t="n">
        <f aca="false">E6*(1+F5/100)</f>
        <v>6443.99392</v>
      </c>
      <c r="G6" s="0" t="n">
        <f aca="false">F6*(1+G5/100)</f>
        <v>6572.8737984</v>
      </c>
      <c r="H6" s="0" t="n">
        <f aca="false">G6*(1+H5/100)</f>
        <v>6704.331274368</v>
      </c>
      <c r="I6" s="0" t="n">
        <f aca="false">H6*(1+I5/100)</f>
        <v>6838.41789985536</v>
      </c>
      <c r="J6" s="0" t="n">
        <f aca="false">I6*(1+J5/100)</f>
        <v>6975.18625785247</v>
      </c>
      <c r="K6" s="0" t="n">
        <f aca="false">J6*(1+K5/100)</f>
        <v>7079.81405172025</v>
      </c>
      <c r="L6" s="0" t="n">
        <f aca="false">K6*(1+L5/100)</f>
        <v>7186.01126249606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100</v>
      </c>
      <c r="D7" s="4" t="n">
        <f aca="false">Assumptions!D14</f>
        <v>100</v>
      </c>
      <c r="E7" s="4" t="n">
        <f aca="false">Assumptions!E14</f>
        <v>100</v>
      </c>
      <c r="F7" s="4" t="n">
        <f aca="false">Assumptions!F14</f>
        <v>100</v>
      </c>
      <c r="G7" s="4" t="n">
        <f aca="false">Assumptions!G14</f>
        <v>100</v>
      </c>
      <c r="H7" s="4" t="n">
        <f aca="false">Assumptions!H14</f>
        <v>100</v>
      </c>
      <c r="I7" s="4" t="n">
        <f aca="false">Assumptions!I14</f>
        <v>100</v>
      </c>
      <c r="J7" s="4" t="n">
        <f aca="false">Assumptions!J14</f>
        <v>100</v>
      </c>
      <c r="K7" s="4" t="n">
        <f aca="false">Assumptions!K14</f>
        <v>100</v>
      </c>
      <c r="L7" s="4" t="n">
        <f aca="false">Assumptions!L14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6510.4</v>
      </c>
      <c r="D8" s="0" t="n">
        <f aca="false">D6*D7/100</f>
        <v>6380.192</v>
      </c>
      <c r="E8" s="0" t="n">
        <f aca="false">E6*E7/100</f>
        <v>6380.192</v>
      </c>
      <c r="F8" s="0" t="n">
        <f aca="false">F6*F7/100</f>
        <v>6443.99392</v>
      </c>
      <c r="G8" s="0" t="n">
        <f aca="false">G6*G7/100</f>
        <v>6572.8737984</v>
      </c>
      <c r="H8" s="0" t="n">
        <f aca="false">H6*H7/100</f>
        <v>6704.331274368</v>
      </c>
      <c r="I8" s="0" t="n">
        <f aca="false">I6*I7/100</f>
        <v>6838.41789985536</v>
      </c>
      <c r="J8" s="0" t="n">
        <f aca="false">J6*J7/100</f>
        <v>6975.18625785247</v>
      </c>
      <c r="K8" s="0" t="n">
        <f aca="false">K6*K7/100</f>
        <v>7079.81405172025</v>
      </c>
      <c r="L8" s="0" t="n">
        <f aca="false">L6*L7/100</f>
        <v>7186.01126249606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6510.4</v>
      </c>
      <c r="D11" s="0" t="n">
        <f aca="false">D8+D10+D24</f>
        <v>6380.192</v>
      </c>
      <c r="E11" s="0" t="n">
        <f aca="false">E8+E10+E24</f>
        <v>6380.192</v>
      </c>
      <c r="F11" s="0" t="n">
        <f aca="false">F8+F10+F24</f>
        <v>6443.99392</v>
      </c>
      <c r="G11" s="0" t="n">
        <f aca="false">G8+G10+G24</f>
        <v>6572.8737984</v>
      </c>
      <c r="H11" s="0" t="n">
        <f aca="false">H8+H10+H24</f>
        <v>6704.331274368</v>
      </c>
      <c r="I11" s="0" t="n">
        <f aca="false">I8+I10+I24</f>
        <v>6838.41789985536</v>
      </c>
      <c r="J11" s="0" t="n">
        <f aca="false">J8+J10+J24</f>
        <v>6975.18625785247</v>
      </c>
      <c r="K11" s="0" t="n">
        <f aca="false">K8+K10+K24</f>
        <v>7079.81405172025</v>
      </c>
      <c r="L11" s="0" t="n">
        <f aca="false">L8+L10+L24</f>
        <v>7186.01126249606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6510.4</v>
      </c>
      <c r="D13" s="0" t="n">
        <f aca="false">D11+D12</f>
        <v>6380.192</v>
      </c>
      <c r="E13" s="0" t="n">
        <f aca="false">E11+E12</f>
        <v>6380.192</v>
      </c>
      <c r="F13" s="0" t="n">
        <f aca="false">F11+F12</f>
        <v>6443.99392</v>
      </c>
      <c r="G13" s="0" t="n">
        <f aca="false">G11+G12</f>
        <v>6572.8737984</v>
      </c>
      <c r="H13" s="0" t="n">
        <f aca="false">H11+H12</f>
        <v>6704.331274368</v>
      </c>
      <c r="I13" s="0" t="n">
        <f aca="false">I11+I12</f>
        <v>6838.41789985536</v>
      </c>
      <c r="J13" s="0" t="n">
        <f aca="false">J11+J12</f>
        <v>6975.18625785247</v>
      </c>
      <c r="K13" s="0" t="n">
        <f aca="false">K11+K12</f>
        <v>7079.81405172025</v>
      </c>
      <c r="L13" s="0" t="n">
        <f aca="false">L11+L12</f>
        <v>7186.01126249606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6510.4</v>
      </c>
      <c r="D15" s="0" t="n">
        <f aca="false">D13-MAX(0,D13)*D14/100</f>
        <v>6380.192</v>
      </c>
      <c r="E15" s="0" t="n">
        <f aca="false">E13-MAX(0,E13)*E14/100</f>
        <v>6380.192</v>
      </c>
      <c r="F15" s="0" t="n">
        <f aca="false">F13-MAX(0,F13)*F14/100</f>
        <v>6443.99392</v>
      </c>
      <c r="G15" s="0" t="n">
        <f aca="false">G13-MAX(0,G13)*G14/100</f>
        <v>6572.8737984</v>
      </c>
      <c r="H15" s="0" t="n">
        <f aca="false">H13-MAX(0,H13)*H14/100</f>
        <v>6704.331274368</v>
      </c>
      <c r="I15" s="0" t="n">
        <f aca="false">I13-MAX(0,I13)*I14/100</f>
        <v>6838.41789985536</v>
      </c>
      <c r="J15" s="0" t="n">
        <f aca="false">J13-MAX(0,J13)*J14/100</f>
        <v>6975.18625785247</v>
      </c>
      <c r="K15" s="0" t="n">
        <f aca="false">K13-MAX(0,K13)*K14/100</f>
        <v>7079.81405172025</v>
      </c>
      <c r="L15" s="0" t="n">
        <f aca="false">L13-MAX(0,L13)*L14/100</f>
        <v>7186.01126249606</v>
      </c>
    </row>
    <row r="16" customFormat="false" ht="15" hidden="false" customHeight="false" outlineLevel="0" collapsed="false">
      <c r="A16" s="0" t="s">
        <v>126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-651.04</v>
      </c>
      <c r="D17" s="4" t="n">
        <f aca="false">-D6*Assumptions!D18/100</f>
        <v>-638.0192</v>
      </c>
      <c r="E17" s="4" t="n">
        <f aca="false">-E6*Assumptions!E18/100</f>
        <v>-638.0192</v>
      </c>
      <c r="F17" s="4" t="n">
        <f aca="false">-F6*Assumptions!F18/100</f>
        <v>-644.399392</v>
      </c>
      <c r="G17" s="4" t="n">
        <f aca="false">-G6*Assumptions!G18/100</f>
        <v>-657.28737984</v>
      </c>
      <c r="H17" s="4" t="n">
        <f aca="false">-H6*Assumptions!H18/100</f>
        <v>-670.4331274368</v>
      </c>
      <c r="I17" s="4" t="n">
        <f aca="false">-I6*Assumptions!I18/100</f>
        <v>-683.841789985536</v>
      </c>
      <c r="J17" s="4" t="n">
        <f aca="false">-J6*Assumptions!J18/100</f>
        <v>-697.518625785247</v>
      </c>
      <c r="K17" s="4" t="n">
        <f aca="false">-K6*Assumptions!K18/100</f>
        <v>-707.981405172026</v>
      </c>
      <c r="L17" s="4" t="n">
        <f aca="false">-L6*Assumptions!L18/100</f>
        <v>-718.601126249606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5859.36</v>
      </c>
      <c r="D19" s="0" t="n">
        <f aca="false">D15+D16+D17+D18</f>
        <v>5742.1728</v>
      </c>
      <c r="E19" s="0" t="n">
        <f aca="false">E15+E16+E17+E18</f>
        <v>5742.1728</v>
      </c>
      <c r="F19" s="0" t="n">
        <f aca="false">F15+F16+F17+F18</f>
        <v>5799.594528</v>
      </c>
      <c r="G19" s="0" t="n">
        <f aca="false">G15+G16+G17+G18</f>
        <v>5915.58641856</v>
      </c>
      <c r="H19" s="0" t="n">
        <f aca="false">H15+H16+H17+H18</f>
        <v>6033.8981469312</v>
      </c>
      <c r="I19" s="0" t="n">
        <f aca="false">I15+I16+I17+I18</f>
        <v>6154.57610986982</v>
      </c>
      <c r="J19" s="0" t="n">
        <f aca="false">J15+J16+J17+J18</f>
        <v>6277.66763206722</v>
      </c>
      <c r="K19" s="0" t="n">
        <f aca="false">K15+K16+K17+K18</f>
        <v>6371.83264654823</v>
      </c>
      <c r="L19" s="0" t="n">
        <f aca="false">L15+L16+L17+L18</f>
        <v>6467.41013624645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5375.55963302752</v>
      </c>
      <c r="D21" s="0" t="n">
        <f aca="false">D19*D20</f>
        <v>4833.07196363942</v>
      </c>
      <c r="E21" s="0" t="n">
        <f aca="false">E19*E20</f>
        <v>4434.01097581598</v>
      </c>
      <c r="F21" s="0" t="n">
        <f aca="false">F19*F20</f>
        <v>4108.57897759096</v>
      </c>
      <c r="G21" s="0" t="n">
        <f aca="false">G19*G20</f>
        <v>3844.72528178236</v>
      </c>
      <c r="H21" s="0" t="n">
        <f aca="false">H19*H20</f>
        <v>3597.81631873212</v>
      </c>
      <c r="I21" s="0" t="n">
        <f aca="false">I19*I20</f>
        <v>3366.76389459336</v>
      </c>
      <c r="J21" s="0" t="n">
        <f aca="false">J19*J20</f>
        <v>3150.54969952773</v>
      </c>
      <c r="K21" s="0" t="n">
        <f aca="false">K19*K20</f>
        <v>2933.76875689968</v>
      </c>
      <c r="L21" s="0" t="n">
        <f aca="false">L19*L20</f>
        <v>2731.90393417722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38376.7494357864</v>
      </c>
    </row>
    <row r="31" customFormat="false" ht="15" hidden="false" customHeight="false" outlineLevel="0" collapsed="false">
      <c r="A31" s="0" t="s">
        <v>135</v>
      </c>
      <c r="B31" s="0" t="n">
        <f aca="false">L19</f>
        <v>6467.41013624645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87525.617177202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77608.9216349574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77608.9216349574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32782.8472101266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71159.596645913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71159.596645913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12.3594931894591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-0.494292422689889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12.3594931894591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48625.3428762233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7.27287990910414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10</v>
      </c>
      <c r="D5" s="4" t="n">
        <f aca="false">Assumptions!D27</f>
        <v>3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6260</v>
      </c>
      <c r="C6" s="0" t="n">
        <f aca="false">B6*(1+C5/100)</f>
        <v>6886</v>
      </c>
      <c r="D6" s="0" t="n">
        <f aca="false">C6*(1+D5/100)</f>
        <v>7092.58</v>
      </c>
      <c r="E6" s="0" t="n">
        <f aca="false">D6*(1+E5/100)</f>
        <v>7376.2832</v>
      </c>
      <c r="F6" s="0" t="n">
        <f aca="false">E6*(1+F5/100)</f>
        <v>7671.334528</v>
      </c>
      <c r="G6" s="0" t="n">
        <f aca="false">F6*(1+G5/100)</f>
        <v>7978.18790912</v>
      </c>
      <c r="H6" s="0" t="n">
        <f aca="false">G6*(1+H5/100)</f>
        <v>8257.4244859392</v>
      </c>
      <c r="I6" s="0" t="n">
        <f aca="false">H6*(1+I5/100)</f>
        <v>8505.14722051738</v>
      </c>
      <c r="J6" s="0" t="n">
        <f aca="false">I6*(1+J5/100)</f>
        <v>8717.77590103031</v>
      </c>
      <c r="K6" s="0" t="n">
        <f aca="false">J6*(1+K5/100)</f>
        <v>8935.72029855607</v>
      </c>
      <c r="L6" s="0" t="n">
        <f aca="false">K6*(1+L5/100)</f>
        <v>9159.11330601997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100</v>
      </c>
      <c r="D7" s="4" t="n">
        <f aca="false">Assumptions!D28</f>
        <v>100</v>
      </c>
      <c r="E7" s="4" t="n">
        <f aca="false">Assumptions!E28</f>
        <v>100</v>
      </c>
      <c r="F7" s="4" t="n">
        <f aca="false">Assumptions!F28</f>
        <v>100</v>
      </c>
      <c r="G7" s="4" t="n">
        <f aca="false">Assumptions!G28</f>
        <v>100</v>
      </c>
      <c r="H7" s="4" t="n">
        <f aca="false">Assumptions!H28</f>
        <v>100</v>
      </c>
      <c r="I7" s="4" t="n">
        <f aca="false">Assumptions!I28</f>
        <v>100</v>
      </c>
      <c r="J7" s="4" t="n">
        <f aca="false">Assumptions!J28</f>
        <v>100</v>
      </c>
      <c r="K7" s="4" t="n">
        <f aca="false">Assumptions!K28</f>
        <v>100</v>
      </c>
      <c r="L7" s="4" t="n">
        <f aca="false">Assumptions!L28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6886</v>
      </c>
      <c r="D8" s="0" t="n">
        <f aca="false">D6*D7/100</f>
        <v>7092.58</v>
      </c>
      <c r="E8" s="0" t="n">
        <f aca="false">E6*E7/100</f>
        <v>7376.2832</v>
      </c>
      <c r="F8" s="0" t="n">
        <f aca="false">F6*F7/100</f>
        <v>7671.334528</v>
      </c>
      <c r="G8" s="0" t="n">
        <f aca="false">G6*G7/100</f>
        <v>7978.18790912</v>
      </c>
      <c r="H8" s="0" t="n">
        <f aca="false">H6*H7/100</f>
        <v>8257.4244859392</v>
      </c>
      <c r="I8" s="0" t="n">
        <f aca="false">I6*I7/100</f>
        <v>8505.14722051738</v>
      </c>
      <c r="J8" s="0" t="n">
        <f aca="false">J6*J7/100</f>
        <v>8717.77590103031</v>
      </c>
      <c r="K8" s="0" t="n">
        <f aca="false">K6*K7/100</f>
        <v>8935.72029855607</v>
      </c>
      <c r="L8" s="0" t="n">
        <f aca="false">L6*L7/100</f>
        <v>9159.11330601997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6886</v>
      </c>
      <c r="D11" s="0" t="n">
        <f aca="false">D8+D10+D24</f>
        <v>7092.58</v>
      </c>
      <c r="E11" s="0" t="n">
        <f aca="false">E8+E10+E24</f>
        <v>7376.2832</v>
      </c>
      <c r="F11" s="0" t="n">
        <f aca="false">F8+F10+F24</f>
        <v>7671.334528</v>
      </c>
      <c r="G11" s="0" t="n">
        <f aca="false">G8+G10+G24</f>
        <v>7978.18790912</v>
      </c>
      <c r="H11" s="0" t="n">
        <f aca="false">H8+H10+H24</f>
        <v>8257.4244859392</v>
      </c>
      <c r="I11" s="0" t="n">
        <f aca="false">I8+I10+I24</f>
        <v>8505.14722051738</v>
      </c>
      <c r="J11" s="0" t="n">
        <f aca="false">J8+J10+J24</f>
        <v>8717.77590103031</v>
      </c>
      <c r="K11" s="0" t="n">
        <f aca="false">K8+K10+K24</f>
        <v>8935.72029855607</v>
      </c>
      <c r="L11" s="0" t="n">
        <f aca="false">L8+L10+L24</f>
        <v>9159.11330601997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6886</v>
      </c>
      <c r="D13" s="0" t="n">
        <f aca="false">D11+D12</f>
        <v>7092.58</v>
      </c>
      <c r="E13" s="0" t="n">
        <f aca="false">E11+E12</f>
        <v>7376.2832</v>
      </c>
      <c r="F13" s="0" t="n">
        <f aca="false">F11+F12</f>
        <v>7671.334528</v>
      </c>
      <c r="G13" s="0" t="n">
        <f aca="false">G11+G12</f>
        <v>7978.18790912</v>
      </c>
      <c r="H13" s="0" t="n">
        <f aca="false">H11+H12</f>
        <v>8257.4244859392</v>
      </c>
      <c r="I13" s="0" t="n">
        <f aca="false">I11+I12</f>
        <v>8505.14722051738</v>
      </c>
      <c r="J13" s="0" t="n">
        <f aca="false">J11+J12</f>
        <v>8717.77590103031</v>
      </c>
      <c r="K13" s="0" t="n">
        <f aca="false">K11+K12</f>
        <v>8935.72029855607</v>
      </c>
      <c r="L13" s="0" t="n">
        <f aca="false">L11+L12</f>
        <v>9159.11330601997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6886</v>
      </c>
      <c r="D15" s="0" t="n">
        <f aca="false">D13-MAX(0,D13)*D14/100</f>
        <v>7092.58</v>
      </c>
      <c r="E15" s="0" t="n">
        <f aca="false">E13-MAX(0,E13)*E14/100</f>
        <v>7376.2832</v>
      </c>
      <c r="F15" s="0" t="n">
        <f aca="false">F13-MAX(0,F13)*F14/100</f>
        <v>7671.334528</v>
      </c>
      <c r="G15" s="0" t="n">
        <f aca="false">G13-MAX(0,G13)*G14/100</f>
        <v>7978.18790912</v>
      </c>
      <c r="H15" s="0" t="n">
        <f aca="false">H13-MAX(0,H13)*H14/100</f>
        <v>8257.4244859392</v>
      </c>
      <c r="I15" s="0" t="n">
        <f aca="false">I13-MAX(0,I13)*I14/100</f>
        <v>8505.14722051738</v>
      </c>
      <c r="J15" s="0" t="n">
        <f aca="false">J13-MAX(0,J13)*J14/100</f>
        <v>8717.77590103031</v>
      </c>
      <c r="K15" s="0" t="n">
        <f aca="false">K13-MAX(0,K13)*K14/100</f>
        <v>8935.72029855607</v>
      </c>
      <c r="L15" s="0" t="n">
        <f aca="false">L13-MAX(0,L13)*L14/100</f>
        <v>9159.11330601997</v>
      </c>
    </row>
    <row r="16" customFormat="false" ht="15" hidden="false" customHeight="false" outlineLevel="0" collapsed="false">
      <c r="A16" s="0" t="s">
        <v>126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-550.88</v>
      </c>
      <c r="D17" s="4" t="n">
        <f aca="false">-D6*Assumptions!D32/100</f>
        <v>-567.4064</v>
      </c>
      <c r="E17" s="4" t="n">
        <f aca="false">-E6*Assumptions!E32/100</f>
        <v>-590.102656</v>
      </c>
      <c r="F17" s="4" t="n">
        <f aca="false">-F6*Assumptions!F32/100</f>
        <v>-613.70676224</v>
      </c>
      <c r="G17" s="4" t="n">
        <f aca="false">-G6*Assumptions!G32/100</f>
        <v>-638.2550327296</v>
      </c>
      <c r="H17" s="4" t="n">
        <f aca="false">-H6*Assumptions!H32/100</f>
        <v>-660.593958875136</v>
      </c>
      <c r="I17" s="4" t="n">
        <f aca="false">-I6*Assumptions!I32/100</f>
        <v>-680.41177764139</v>
      </c>
      <c r="J17" s="4" t="n">
        <f aca="false">-J6*Assumptions!J32/100</f>
        <v>-697.422072082425</v>
      </c>
      <c r="K17" s="4" t="n">
        <f aca="false">-K6*Assumptions!K32/100</f>
        <v>-714.857623884485</v>
      </c>
      <c r="L17" s="4" t="n">
        <f aca="false">-L6*Assumptions!L32/100</f>
        <v>-732.729064481597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6335.12</v>
      </c>
      <c r="D19" s="0" t="n">
        <f aca="false">D15+D16+D17+D18</f>
        <v>6525.1736</v>
      </c>
      <c r="E19" s="0" t="n">
        <f aca="false">E15+E16+E17+E18</f>
        <v>6786.180544</v>
      </c>
      <c r="F19" s="0" t="n">
        <f aca="false">F15+F16+F17+F18</f>
        <v>7057.62776576</v>
      </c>
      <c r="G19" s="0" t="n">
        <f aca="false">G15+G16+G17+G18</f>
        <v>7339.9328763904</v>
      </c>
      <c r="H19" s="0" t="n">
        <f aca="false">H15+H16+H17+H18</f>
        <v>7596.83052706407</v>
      </c>
      <c r="I19" s="0" t="n">
        <f aca="false">I15+I16+I17+I18</f>
        <v>7824.73544287599</v>
      </c>
      <c r="J19" s="0" t="n">
        <f aca="false">J15+J16+J17+J18</f>
        <v>8020.35382894789</v>
      </c>
      <c r="K19" s="0" t="n">
        <f aca="false">K15+K16+K17+K18</f>
        <v>8220.86267467158</v>
      </c>
      <c r="L19" s="0" t="n">
        <f aca="false">L15+L16+L17+L18</f>
        <v>8426.38424153837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5865.85185185185</v>
      </c>
      <c r="D21" s="0" t="n">
        <f aca="false">D19*D20</f>
        <v>5594.28463648834</v>
      </c>
      <c r="E21" s="0" t="n">
        <f aca="false">E19*E20</f>
        <v>5387.08890921099</v>
      </c>
      <c r="F21" s="0" t="n">
        <f aca="false">F19*F20</f>
        <v>5187.56709775874</v>
      </c>
      <c r="G21" s="0" t="n">
        <f aca="false">G19*G20</f>
        <v>4995.43498302693</v>
      </c>
      <c r="H21" s="0" t="n">
        <f aca="false">H19*H20</f>
        <v>4787.29185873414</v>
      </c>
      <c r="I21" s="0" t="n">
        <f aca="false">I19*I20</f>
        <v>4565.65797638534</v>
      </c>
      <c r="J21" s="0" t="n">
        <f aca="false">J19*J20</f>
        <v>4333.14761647682</v>
      </c>
      <c r="K21" s="0" t="n">
        <f aca="false">K19*K20</f>
        <v>4112.47806193402</v>
      </c>
      <c r="L21" s="0" t="n">
        <f aca="false">L19*L20</f>
        <v>3903.04630877997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48731.8493006472</v>
      </c>
    </row>
    <row r="31" customFormat="false" ht="15" hidden="false" customHeight="false" outlineLevel="0" collapsed="false">
      <c r="A31" s="0" t="s">
        <v>135</v>
      </c>
      <c r="B31" s="0" t="n">
        <f aca="false">L19</f>
        <v>8426.38424153837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157037.160865033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134822.147864614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134822.147864614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62448.7409404796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111180.590241127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111180.590241127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19.3106174381916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-0.209876536898869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19.3106174381916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69096.3507806146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9.19435656110486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16</v>
      </c>
      <c r="D5" s="4" t="n">
        <f aca="false">Assumptions!D41</f>
        <v>6</v>
      </c>
      <c r="E5" s="4" t="n">
        <f aca="false">Assumptions!E41</f>
        <v>6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6260</v>
      </c>
      <c r="C6" s="0" t="n">
        <f aca="false">B6*(1+C5/100)</f>
        <v>7261.6</v>
      </c>
      <c r="D6" s="0" t="n">
        <f aca="false">C6*(1+D5/100)</f>
        <v>7697.296</v>
      </c>
      <c r="E6" s="0" t="n">
        <f aca="false">D6*(1+E5/100)</f>
        <v>8159.13376</v>
      </c>
      <c r="F6" s="0" t="n">
        <f aca="false">E6*(1+F5/100)</f>
        <v>8648.6817856</v>
      </c>
      <c r="G6" s="0" t="n">
        <f aca="false">F6*(1+G5/100)</f>
        <v>9081.11587488</v>
      </c>
      <c r="H6" s="0" t="n">
        <f aca="false">G6*(1+H5/100)</f>
        <v>9444.3605098752</v>
      </c>
      <c r="I6" s="0" t="n">
        <f aca="false">H6*(1+I5/100)</f>
        <v>9774.91312772083</v>
      </c>
      <c r="J6" s="0" t="n">
        <f aca="false">I6*(1+J5/100)</f>
        <v>10068.1605215525</v>
      </c>
      <c r="K6" s="0" t="n">
        <f aca="false">J6*(1+K5/100)</f>
        <v>10370.205337199</v>
      </c>
      <c r="L6" s="0" t="n">
        <f aca="false">K6*(1+L5/100)</f>
        <v>10681.311497315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100</v>
      </c>
      <c r="D7" s="4" t="n">
        <f aca="false">Assumptions!D42</f>
        <v>100</v>
      </c>
      <c r="E7" s="4" t="n">
        <f aca="false">Assumptions!E42</f>
        <v>100</v>
      </c>
      <c r="F7" s="4" t="n">
        <f aca="false">Assumptions!F42</f>
        <v>100</v>
      </c>
      <c r="G7" s="4" t="n">
        <f aca="false">Assumptions!G42</f>
        <v>100</v>
      </c>
      <c r="H7" s="4" t="n">
        <f aca="false">Assumptions!H42</f>
        <v>100</v>
      </c>
      <c r="I7" s="4" t="n">
        <f aca="false">Assumptions!I42</f>
        <v>100</v>
      </c>
      <c r="J7" s="4" t="n">
        <f aca="false">Assumptions!J42</f>
        <v>100</v>
      </c>
      <c r="K7" s="4" t="n">
        <f aca="false">Assumptions!K42</f>
        <v>100</v>
      </c>
      <c r="L7" s="4" t="n">
        <f aca="false">Assumptions!L42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7261.6</v>
      </c>
      <c r="D8" s="0" t="n">
        <f aca="false">D6*D7/100</f>
        <v>7697.296</v>
      </c>
      <c r="E8" s="0" t="n">
        <f aca="false">E6*E7/100</f>
        <v>8159.13376</v>
      </c>
      <c r="F8" s="0" t="n">
        <f aca="false">F6*F7/100</f>
        <v>8648.6817856</v>
      </c>
      <c r="G8" s="0" t="n">
        <f aca="false">G6*G7/100</f>
        <v>9081.11587488</v>
      </c>
      <c r="H8" s="0" t="n">
        <f aca="false">H6*H7/100</f>
        <v>9444.3605098752</v>
      </c>
      <c r="I8" s="0" t="n">
        <f aca="false">I6*I7/100</f>
        <v>9774.91312772083</v>
      </c>
      <c r="J8" s="0" t="n">
        <f aca="false">J6*J7/100</f>
        <v>10068.1605215525</v>
      </c>
      <c r="K8" s="0" t="n">
        <f aca="false">K6*K7/100</f>
        <v>10370.205337199</v>
      </c>
      <c r="L8" s="0" t="n">
        <f aca="false">L6*L7/100</f>
        <v>10681.311497315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7261.6</v>
      </c>
      <c r="D11" s="0" t="n">
        <f aca="false">D8+D10+D24</f>
        <v>7697.296</v>
      </c>
      <c r="E11" s="0" t="n">
        <f aca="false">E8+E10+E24</f>
        <v>8159.13376</v>
      </c>
      <c r="F11" s="0" t="n">
        <f aca="false">F8+F10+F24</f>
        <v>8648.6817856</v>
      </c>
      <c r="G11" s="0" t="n">
        <f aca="false">G8+G10+G24</f>
        <v>9081.11587488</v>
      </c>
      <c r="H11" s="0" t="n">
        <f aca="false">H8+H10+H24</f>
        <v>9444.3605098752</v>
      </c>
      <c r="I11" s="0" t="n">
        <f aca="false">I8+I10+I24</f>
        <v>9774.91312772083</v>
      </c>
      <c r="J11" s="0" t="n">
        <f aca="false">J8+J10+J24</f>
        <v>10068.1605215525</v>
      </c>
      <c r="K11" s="0" t="n">
        <f aca="false">K8+K10+K24</f>
        <v>10370.205337199</v>
      </c>
      <c r="L11" s="0" t="n">
        <f aca="false">L8+L10+L24</f>
        <v>10681.311497315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7261.6</v>
      </c>
      <c r="D13" s="0" t="n">
        <f aca="false">D11+D12</f>
        <v>7697.296</v>
      </c>
      <c r="E13" s="0" t="n">
        <f aca="false">E11+E12</f>
        <v>8159.13376</v>
      </c>
      <c r="F13" s="0" t="n">
        <f aca="false">F11+F12</f>
        <v>8648.6817856</v>
      </c>
      <c r="G13" s="0" t="n">
        <f aca="false">G11+G12</f>
        <v>9081.11587488</v>
      </c>
      <c r="H13" s="0" t="n">
        <f aca="false">H11+H12</f>
        <v>9444.3605098752</v>
      </c>
      <c r="I13" s="0" t="n">
        <f aca="false">I11+I12</f>
        <v>9774.91312772083</v>
      </c>
      <c r="J13" s="0" t="n">
        <f aca="false">J11+J12</f>
        <v>10068.1605215525</v>
      </c>
      <c r="K13" s="0" t="n">
        <f aca="false">K11+K12</f>
        <v>10370.205337199</v>
      </c>
      <c r="L13" s="0" t="n">
        <f aca="false">L11+L12</f>
        <v>10681.311497315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7261.6</v>
      </c>
      <c r="D15" s="0" t="n">
        <f aca="false">D13-MAX(0,D13)*D14/100</f>
        <v>7697.296</v>
      </c>
      <c r="E15" s="0" t="n">
        <f aca="false">E13-MAX(0,E13)*E14/100</f>
        <v>8159.13376</v>
      </c>
      <c r="F15" s="0" t="n">
        <f aca="false">F13-MAX(0,F13)*F14/100</f>
        <v>8648.6817856</v>
      </c>
      <c r="G15" s="0" t="n">
        <f aca="false">G13-MAX(0,G13)*G14/100</f>
        <v>9081.11587488</v>
      </c>
      <c r="H15" s="0" t="n">
        <f aca="false">H13-MAX(0,H13)*H14/100</f>
        <v>9444.3605098752</v>
      </c>
      <c r="I15" s="0" t="n">
        <f aca="false">I13-MAX(0,I13)*I14/100</f>
        <v>9774.91312772083</v>
      </c>
      <c r="J15" s="0" t="n">
        <f aca="false">J13-MAX(0,J13)*J14/100</f>
        <v>10068.1605215525</v>
      </c>
      <c r="K15" s="0" t="n">
        <f aca="false">K13-MAX(0,K13)*K14/100</f>
        <v>10370.205337199</v>
      </c>
      <c r="L15" s="0" t="n">
        <f aca="false">L13-MAX(0,L13)*L14/100</f>
        <v>10681.311497315</v>
      </c>
    </row>
    <row r="16" customFormat="false" ht="15" hidden="false" customHeight="false" outlineLevel="0" collapsed="false">
      <c r="A16" s="0" t="s">
        <v>126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-508.312</v>
      </c>
      <c r="D17" s="4" t="n">
        <f aca="false">-D6*Assumptions!D46/100</f>
        <v>-538.81072</v>
      </c>
      <c r="E17" s="4" t="n">
        <f aca="false">-E6*Assumptions!E46/100</f>
        <v>-571.1393632</v>
      </c>
      <c r="F17" s="4" t="n">
        <f aca="false">-F6*Assumptions!F46/100</f>
        <v>-605.407724992</v>
      </c>
      <c r="G17" s="4" t="n">
        <f aca="false">-G6*Assumptions!G46/100</f>
        <v>-635.6781112416</v>
      </c>
      <c r="H17" s="4" t="n">
        <f aca="false">-H6*Assumptions!H46/100</f>
        <v>-661.105235691264</v>
      </c>
      <c r="I17" s="4" t="n">
        <f aca="false">-I6*Assumptions!I46/100</f>
        <v>-684.243918940458</v>
      </c>
      <c r="J17" s="4" t="n">
        <f aca="false">-J6*Assumptions!J46/100</f>
        <v>-704.771236508672</v>
      </c>
      <c r="K17" s="4" t="n">
        <f aca="false">-K6*Assumptions!K46/100</f>
        <v>-725.914373603932</v>
      </c>
      <c r="L17" s="4" t="n">
        <f aca="false">-L6*Assumptions!L46/100</f>
        <v>-747.69180481205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6753.288</v>
      </c>
      <c r="D19" s="0" t="n">
        <f aca="false">D15+D16+D17+D18</f>
        <v>7158.48528</v>
      </c>
      <c r="E19" s="0" t="n">
        <f aca="false">E15+E16+E17+E18</f>
        <v>7587.9943968</v>
      </c>
      <c r="F19" s="0" t="n">
        <f aca="false">F15+F16+F17+F18</f>
        <v>8043.274060608</v>
      </c>
      <c r="G19" s="0" t="n">
        <f aca="false">G15+G16+G17+G18</f>
        <v>8445.4377636384</v>
      </c>
      <c r="H19" s="0" t="n">
        <f aca="false">H15+H16+H17+H18</f>
        <v>8783.25527418394</v>
      </c>
      <c r="I19" s="0" t="n">
        <f aca="false">I15+I16+I17+I18</f>
        <v>9090.66920878038</v>
      </c>
      <c r="J19" s="0" t="n">
        <f aca="false">J15+J16+J17+J18</f>
        <v>9363.38928504379</v>
      </c>
      <c r="K19" s="0" t="n">
        <f aca="false">K15+K16+K17+K18</f>
        <v>9644.2909635951</v>
      </c>
      <c r="L19" s="0" t="n">
        <f aca="false">L15+L16+L17+L18</f>
        <v>9933.61969250295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6282.12837209302</v>
      </c>
      <c r="D21" s="0" t="n">
        <f aca="false">D19*D20</f>
        <v>6194.47076690103</v>
      </c>
      <c r="E21" s="0" t="n">
        <f aca="false">E19*E20</f>
        <v>6108.03629108381</v>
      </c>
      <c r="F21" s="0" t="n">
        <f aca="false">F19*F20</f>
        <v>6022.80787771984</v>
      </c>
      <c r="G21" s="0" t="n">
        <f aca="false">G19*G20</f>
        <v>5882.74257823799</v>
      </c>
      <c r="H21" s="0" t="n">
        <f aca="false">H19*H20</f>
        <v>5691.21142452792</v>
      </c>
      <c r="I21" s="0" t="n">
        <f aca="false">I19*I20</f>
        <v>5479.44541803385</v>
      </c>
      <c r="J21" s="0" t="n">
        <f aca="false">J19*J20</f>
        <v>5250.07328425569</v>
      </c>
      <c r="K21" s="0" t="n">
        <f aca="false">K19*K20</f>
        <v>5030.3027746822</v>
      </c>
      <c r="L21" s="0" t="n">
        <f aca="false">L19*L20</f>
        <v>4819.73196085829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56760.9507483936</v>
      </c>
    </row>
    <row r="31" customFormat="false" ht="15" hidden="false" customHeight="false" outlineLevel="0" collapsed="false">
      <c r="A31" s="0" t="s">
        <v>135</v>
      </c>
      <c r="B31" s="0" t="n">
        <f aca="false">L19</f>
        <v>9933.61969250295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227369.517406179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178805.154465053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178805.154465053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86755.1752954493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143516.126043843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143516.126043843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24.9268779760334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0.0199213574481767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24.9268779760334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85263.569027317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10.7026957739124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12.3594931894591</v>
      </c>
      <c r="C4" s="0" t="n">
        <f aca="false">B4/Assumptions!$B$2-1</f>
        <v>-0.494292422689889</v>
      </c>
      <c r="D4" s="4" t="n">
        <f aca="false">Assumptions!$B$24</f>
        <v>0.25</v>
      </c>
      <c r="E4" s="4" t="n">
        <f aca="false">DCF_Bear!$B$43</f>
        <v>12.3594931894591</v>
      </c>
      <c r="F4" s="4" t="n">
        <f aca="false">DCF_Bear!$B$47</f>
        <v>7.27287990910414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19.3106174381916</v>
      </c>
      <c r="C5" s="0" t="n">
        <f aca="false">B5/Assumptions!$B$2-1</f>
        <v>-0.209876536898869</v>
      </c>
      <c r="D5" s="4" t="n">
        <f aca="false">Assumptions!$B$38</f>
        <v>0.5</v>
      </c>
      <c r="E5" s="4" t="n">
        <f aca="false">DCF_Base!$B$43</f>
        <v>19.3106174381916</v>
      </c>
      <c r="F5" s="4" t="n">
        <f aca="false">DCF_Base!$B$47</f>
        <v>9.19435656110486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24.9268779760334</v>
      </c>
      <c r="C6" s="0" t="n">
        <f aca="false">B6/Assumptions!$B$2-1</f>
        <v>0.0199213574481767</v>
      </c>
      <c r="D6" s="4" t="n">
        <f aca="false">Assumptions!$B$52</f>
        <v>0.25</v>
      </c>
      <c r="E6" s="4" t="n">
        <f aca="false">DCF_Bull!$B$43</f>
        <v>24.9268779760334</v>
      </c>
      <c r="F6" s="4" t="n">
        <f aca="false">DCF_Bull!$B$47</f>
        <v>10.7026957739124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18.976901510469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18.976901510469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-0.287881479835748</v>
      </c>
    </row>
    <row r="11" customFormat="false" ht="15" hidden="false" customHeight="false" outlineLevel="0" collapsed="false">
      <c r="A11" s="0" t="s">
        <v>162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9.09107220130657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19.3106174381916</v>
      </c>
      <c r="C15" s="3" t="n">
        <v>8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17.8243283721169</v>
      </c>
      <c r="C16" s="3" t="n">
        <v>9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15.4248091385568</v>
      </c>
      <c r="C17" s="3" t="n">
        <v>10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13.5907567995749</v>
      </c>
      <c r="C18" s="3" t="n">
        <v>11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12.1435601356422</v>
      </c>
      <c r="C19" s="3" t="n">
        <v>12</v>
      </c>
    </row>
    <row r="20" customFormat="false" ht="15" hidden="false" customHeight="false" outlineLevel="0" collapsed="false">
      <c r="A20" s="0" t="s">
        <v>171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9.19435656110486</v>
      </c>
      <c r="C20" s="3" t="n">
        <v>15</v>
      </c>
    </row>
    <row r="22" customFormat="false" ht="15" hidden="false" customHeight="false" outlineLevel="0" collapsed="false">
      <c r="A22" s="2" t="s">
        <v>172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22.4062109987839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22.4062109987839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22.4062109987839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22.4062109987839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22.4062109987839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20.7854319205236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20.7854319205236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20.7854319205236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20.7854319205236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20.7854319205236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19.0498835140523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19.3106174381916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19.3106174381916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19.3106174381916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19.3106174381916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16.44205054281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17.083822392131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17.8243283721169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17.9669946618389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17.9669946618389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14.4511788221122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14.9075680329456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15.4248091385568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16.0159418306839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16.6980180139075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2026-10-17T00:29:12Z</dcterms:created>
  <dc:creator>openpyxl</dc:creator>
  <dc:description/>
  <dc:language>en-NZ</dc:language>
  <cp:lastModifiedBy/>
  <dcterms:modified xsi:type="dcterms:W3CDTF">2026-10-17T00:29:12Z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