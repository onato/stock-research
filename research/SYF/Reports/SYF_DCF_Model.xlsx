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<sst xmlns="http://schemas.openxmlformats.org/spreadsheetml/2006/main" count="374" uniqueCount="170">
  <si>
    <t xml:space="preserve">Ticker</t>
  </si>
  <si>
    <t xml:space="preserve">SYF</t>
  </si>
  <si>
    <t xml:space="preserve">Company</t>
  </si>
  <si>
    <t xml:space="preserve">Synchrony Financial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</si>
  <si>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</si>
  <si>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</si>
  <si>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</si>
  <si>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</si>
  <si>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2026-10-01T20:00:03Z regular close (Yahoo chart API)</t>
  </si>
  <si>
    <t xml:space="preserve">Balance sheet date</t>
  </si>
  <si>
    <t xml:space="preserve">2026-06-30</t>
  </si>
  <si>
    <t xml:space="preserve">Model</t>
  </si>
  <si>
    <t xml:space="preserve">Bank FCFE at cost of equity on tangible book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</si>
  <si>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</si>
  <si>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</si>
  <si>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</si>
  <si>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</si>
  <si>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</si>
  <si>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</si>
  <si>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</si>
  <si>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</si>
  <si>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2026-10-02T09:16:33Z</t>
  </si>
  <si>
    <t xml:space="preserve">Drivers file</t>
  </si>
  <si>
    <t xml:space="preserve">SYF_Drivers.json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</si>
  <si>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</si>
  <si>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</si>
  <si>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</si>
  <si>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card lender's owner earnings are net income less the equity it must retain to fund receivables growth at its CET1 target; everything above that is distributable (SYF pays out ~100% via buybacks). We capitalise that FCFE at a 12% cost of equity on a through-cycle 28% pretax margin, so a credit downturn is inside the base case, and model a full recession in the bear.
key_risks_to_valuation: Credit cycle: every 1pp of net charge-offs on ~$100B receivables is ~$1.0B pretax (~23% of FY26E pretax); Partner concentration and RSA renegotiation (Walmart/OnePay execution, Amazon, PayPal renewals); CFPB/state late-fee and add-on product rulemaking; Deposit pricing and NIM as the Fed cuts; Capital rules (Basel III endgame, CCAR SCB) constraining the buyback pace</t>
  </si>
  <si>
    <t xml:space="preserve">Data sources</t>
  </si>
  <si>
    <t xml:space="preserve">price: Yahoo Finance chart API at inputs.price_as_of; 52-week range 63.08-88.77
financials: SEC XBRL companyfacts (CIK 1601712) and FY2025 10-K (filed 2026-02-06) / Q2-2026 10-Q (filed 2026-07-23) income statements, balance sheet, capital table; SYF_Metrics.csv
qualitative: SYF_Analysis.json (2026-10-02): FY2026 EPS guidance $9.25-9.50, NCO below 5.5-6.0% target, mid-single-digit receivables growth</t>
  </si>
  <si>
    <t xml:space="preserve">Scenario narrative: bear</t>
  </si>
  <si>
    <t xml:space="preserve">US consumer recession in FY27-28: charge-offs to ~8%, reserve build, receivables shrink 3%; pretax margin troughs at 15% (FY2020 was 16.1%) and recovers only to 26.5% as CFPB/state fee rules and partner RSA renegotiations cap economics.</t>
  </si>
  <si>
    <t xml:space="preserve">Scenario narrative: base</t>
  </si>
  <si>
    <t xml:space="preserve">Walmart/OnePay and Amazon BNPL lift receivables growth to ~6% in FY27 then fade to 3%; pretax margin settles at a 28% through-cycle level (FY2016-25 average 30.3% incl. the 2021 reserve-release freak, 27.8% ex-2021), i.e. one mild credit downturn is priced inside the base.</t>
  </si>
  <si>
    <t xml:space="preserve">Scenario narrative: bull</t>
  </si>
  <si>
    <t xml:space="preserve">Walmart/OnePay becomes a top-5 program and NIM rebuilds above 15% as late-fee headwinds roll off; net charge-offs stay below the 5.5-6.0% target and pretax margin holds ~30% (FY2019/FY2022/FY2025 level).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</si>
  <si>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</si>
  <si>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</si>
  <si>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</si>
  <si>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</si>
  <si>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</si>
  <si>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</si>
  <si>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</si>
  <si>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</si>
  <si>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</si>
  <si>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</si>
  <si>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</si>
  <si>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</si>
  <si>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</si>
  <si>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</si>
  <si>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</si>
  <si>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</si>
  <si>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</si>
  <si>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</si>
  <si>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</si>
  <si>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</si>
  <si>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</si>
  <si>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</si>
  <si>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</si>
  <si>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</si>
  <si>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</si>
  <si>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</si>
  <si>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</si>
  <si>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</si>
  <si>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</si>
  <si>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</si>
  <si>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</si>
  <si>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</si>
  <si>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</si>
  <si>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</si>
  <si>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</si>
  <si>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</si>
  <si>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</si>
  <si>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</si>
  <si>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</si>
  <si>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</si>
  <si>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</si>
  <si>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</si>
  <si>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</si>
  <si>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</si>
  <si>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</si>
  <si>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</si>
  <si>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</si>
  <si>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</si>
  <si>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</si>
  <si>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</si>
  <si>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</si>
  <si>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</si>
  <si>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</si>
  <si>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</si>
  <si>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</si>
  <si>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</si>
  <si>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</si>
  <si>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</si>
  <si>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</si>
  <si>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</si>
  <si>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</si>
  <si>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</si>
  <si>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</si>
  <si>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</si>
  <si>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</si>
  <si>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</si>
  <si>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</si>
  <si>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</si>
  <si>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</si>
  <si>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</si>
  <si>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</si>
  <si>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</si>
  <si>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</si>
  <si>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</si>
  <si>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</si>
  <si>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</si>
  <si>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</si>
  <si>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</si>
  <si>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</si>
  <si>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</si>
  <si>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SYF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</si>
  <si>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</si>
  <si>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</si>
  <si>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</si>
  <si>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</si>
  <si>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</si>
  <si>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</si>
  <si>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</si>
  <si>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</si>
  <si>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</si>
  <si>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</si>
  <si>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</si>
  <si>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</si>
  <si>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</si>
  <si>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</si>
  <si>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</si>
  <si>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</si>
  <si>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</si>
  <si>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</si>
  <si>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</si>
  <si>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</si>
  <si>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</si>
  <si>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</si>
  <si>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</si>
  <si>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</si>
  <si>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</si>
  <si>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</si>
  <si>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</si>
  <si>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</si>
  <si>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</si>
  <si>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</si>
  <si>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SYF owner-FCF component DCF: base case (millions, USD)</t>
  </si>
  <si>
    <t xml:space="preserve">SYF owner-FCF component DCF: bull case (millions, USD)</t>
  </si>
  <si>
    <t xml:space="preserve">SYF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</si>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</sst>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71.51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4328</v>
      </c>
      <c r="S2" s="0" t="n">
        <v>1187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2119</v>
      </c>
      <c r="K3" s="0" t="n">
        <v>3</v>
      </c>
      <c r="L3" s="0" t="n">
        <v>5637</v>
      </c>
      <c r="O3" s="0" t="n">
        <v>4582</v>
      </c>
      <c r="S3" s="0" t="n">
        <v>1334</v>
      </c>
      <c r="T3" s="0" t="n">
        <v>705.3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I4" s="0" t="n">
        <v>1979</v>
      </c>
      <c r="K4" s="0" t="n">
        <v>2.81</v>
      </c>
      <c r="L4" s="0" t="n">
        <v>5679</v>
      </c>
      <c r="O4" s="0" t="n">
        <v>5960</v>
      </c>
      <c r="P4" s="0" t="n">
        <v>59085</v>
      </c>
      <c r="Q4" s="0" t="n">
        <v>53125</v>
      </c>
      <c r="S4" s="0" t="n">
        <v>2319</v>
      </c>
      <c r="T4" s="0" t="n">
        <v>705.3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I5" s="0" t="n">
        <v>2109</v>
      </c>
      <c r="K5" s="0" t="n">
        <v>2.78</v>
      </c>
      <c r="L5" s="0" t="n">
        <v>5340</v>
      </c>
      <c r="O5" s="0" t="n">
        <v>10478</v>
      </c>
      <c r="P5" s="0" t="n">
        <v>75707</v>
      </c>
      <c r="Q5" s="0" t="n">
        <v>65229</v>
      </c>
      <c r="S5" s="0" t="n">
        <v>11828</v>
      </c>
      <c r="T5" s="0" t="n">
        <v>833.764589</v>
      </c>
      <c r="V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I6" s="0" t="n">
        <v>2214</v>
      </c>
      <c r="K6" s="0" t="n">
        <v>2.66</v>
      </c>
      <c r="L6" s="0" t="n">
        <v>6184</v>
      </c>
      <c r="O6" s="0" t="n">
        <v>12604</v>
      </c>
      <c r="P6" s="0" t="n">
        <v>83990</v>
      </c>
      <c r="Q6" s="0" t="n">
        <v>71386</v>
      </c>
      <c r="R6" s="0" t="n">
        <v>24279</v>
      </c>
      <c r="S6" s="0" t="n">
        <v>12325</v>
      </c>
      <c r="T6" s="0" t="n">
        <v>835.5</v>
      </c>
      <c r="V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I7" s="0" t="n">
        <v>2251</v>
      </c>
      <c r="K7" s="0" t="n">
        <v>2.71</v>
      </c>
      <c r="L7" s="0" t="n">
        <v>6511</v>
      </c>
      <c r="O7" s="0" t="n">
        <v>14196</v>
      </c>
      <c r="P7" s="0" t="n">
        <v>90207</v>
      </c>
      <c r="Q7" s="0" t="n">
        <v>76011</v>
      </c>
      <c r="R7" s="0" t="n">
        <v>20147</v>
      </c>
      <c r="S7" s="0" t="n">
        <v>9321</v>
      </c>
      <c r="T7" s="0" t="n">
        <v>831.5</v>
      </c>
      <c r="V7" s="0" t="n">
        <v>0.26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I8" s="0" t="n">
        <v>1935</v>
      </c>
      <c r="K8" s="0" t="n">
        <v>2.43</v>
      </c>
      <c r="L8" s="0" t="n">
        <v>8575</v>
      </c>
      <c r="O8" s="0" t="n">
        <v>14234</v>
      </c>
      <c r="P8" s="0" t="n">
        <v>95808</v>
      </c>
      <c r="Q8" s="0" t="n">
        <v>81574</v>
      </c>
      <c r="R8" s="0" t="n">
        <v>20799</v>
      </c>
      <c r="S8" s="0" t="n">
        <v>11602</v>
      </c>
      <c r="T8" s="0" t="n">
        <v>799.7</v>
      </c>
      <c r="V8" s="0" t="n">
        <v>0.56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I9" s="0" t="n">
        <v>2790</v>
      </c>
      <c r="K9" s="0" t="n">
        <v>3.76</v>
      </c>
      <c r="L9" s="0" t="n">
        <v>9342</v>
      </c>
      <c r="O9" s="0" t="n">
        <v>14678</v>
      </c>
      <c r="P9" s="0" t="n">
        <v>106792</v>
      </c>
      <c r="Q9" s="0" t="n">
        <v>92114</v>
      </c>
      <c r="R9" s="0" t="n">
        <v>23996</v>
      </c>
      <c r="S9" s="0" t="n">
        <v>9396</v>
      </c>
      <c r="T9" s="0" t="n">
        <v>746.9</v>
      </c>
      <c r="V9" s="0" t="n">
        <v>0.72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I10" s="0" t="n">
        <v>3747</v>
      </c>
      <c r="K10" s="0" t="n">
        <v>5.59</v>
      </c>
      <c r="L10" s="0" t="n">
        <v>8990</v>
      </c>
      <c r="O10" s="0" t="n">
        <v>15088</v>
      </c>
      <c r="P10" s="0" t="n">
        <v>104826</v>
      </c>
      <c r="Q10" s="0" t="n">
        <v>89738</v>
      </c>
      <c r="R10" s="0" t="n">
        <v>19866</v>
      </c>
      <c r="S10" s="0" t="n">
        <v>12147</v>
      </c>
      <c r="T10" s="0" t="n">
        <v>673.5</v>
      </c>
      <c r="V10" s="0" t="n">
        <v>0.86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I11" s="0" t="n">
        <v>1385</v>
      </c>
      <c r="K11" s="0" t="n">
        <v>2.28</v>
      </c>
      <c r="L11" s="0" t="n">
        <v>7487</v>
      </c>
      <c r="O11" s="0" t="n">
        <v>12701</v>
      </c>
      <c r="P11" s="0" t="n">
        <v>95948</v>
      </c>
      <c r="Q11" s="0" t="n">
        <v>83247</v>
      </c>
      <c r="R11" s="0" t="n">
        <v>15775</v>
      </c>
      <c r="S11" s="0" t="n">
        <v>11524</v>
      </c>
      <c r="T11" s="0" t="n">
        <v>590.8</v>
      </c>
      <c r="V11" s="0" t="n">
        <v>0.88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I12" s="0" t="n">
        <v>4221</v>
      </c>
      <c r="K12" s="0" t="n">
        <v>7.4</v>
      </c>
      <c r="L12" s="0" t="n">
        <v>7099</v>
      </c>
      <c r="O12" s="0" t="n">
        <v>13655</v>
      </c>
      <c r="P12" s="0" t="n">
        <v>95748</v>
      </c>
      <c r="Q12" s="0" t="n">
        <v>82093</v>
      </c>
      <c r="R12" s="0" t="n">
        <v>14507</v>
      </c>
      <c r="S12" s="0" t="n">
        <v>8337</v>
      </c>
      <c r="T12" s="0" t="n">
        <v>569.3</v>
      </c>
      <c r="V12" s="0" t="n">
        <v>0.88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I13" s="0" t="n">
        <v>3016</v>
      </c>
      <c r="K13" s="0" t="n">
        <v>6.19</v>
      </c>
      <c r="L13" s="0" t="n">
        <v>6694</v>
      </c>
      <c r="O13" s="0" t="n">
        <v>12873</v>
      </c>
      <c r="P13" s="0" t="n">
        <v>104564</v>
      </c>
      <c r="Q13" s="0" t="n">
        <v>91691</v>
      </c>
      <c r="R13" s="0" t="n">
        <v>14191</v>
      </c>
      <c r="S13" s="0" t="n">
        <v>10294</v>
      </c>
      <c r="T13" s="0" t="n">
        <v>483.4</v>
      </c>
      <c r="V13" s="0" t="n">
        <v>0.9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I14" s="0" t="n">
        <v>2238</v>
      </c>
      <c r="K14" s="0" t="n">
        <v>5.21</v>
      </c>
      <c r="L14" s="0" t="n">
        <v>8593</v>
      </c>
      <c r="O14" s="0" t="n">
        <v>13903</v>
      </c>
      <c r="P14" s="0" t="n">
        <v>117479</v>
      </c>
      <c r="Q14" s="0" t="n">
        <v>103576</v>
      </c>
      <c r="R14" s="0" t="n">
        <v>15982</v>
      </c>
      <c r="S14" s="0" t="n">
        <v>14259</v>
      </c>
      <c r="T14" s="0" t="n">
        <v>423.5</v>
      </c>
      <c r="V14" s="0" t="n">
        <v>0.96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I15" s="0" t="n">
        <v>3499</v>
      </c>
      <c r="K15" s="0" t="n">
        <v>8.64</v>
      </c>
      <c r="L15" s="0" t="n">
        <v>9848</v>
      </c>
      <c r="O15" s="0" t="n">
        <v>16580</v>
      </c>
      <c r="P15" s="0" t="n">
        <v>119463</v>
      </c>
      <c r="Q15" s="0" t="n">
        <v>102883</v>
      </c>
      <c r="R15" s="0" t="n">
        <v>15462</v>
      </c>
      <c r="S15" s="0" t="n">
        <v>14711</v>
      </c>
      <c r="T15" s="0" t="n">
        <v>400.6</v>
      </c>
      <c r="V15" s="0" t="n">
        <v>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I16" s="0" t="n">
        <v>3552</v>
      </c>
      <c r="K16" s="0" t="n">
        <v>9.38</v>
      </c>
      <c r="L16" s="0" t="n">
        <v>9851</v>
      </c>
      <c r="O16" s="0" t="n">
        <v>16766</v>
      </c>
      <c r="P16" s="0" t="n">
        <v>119095</v>
      </c>
      <c r="Q16" s="0" t="n">
        <v>102329</v>
      </c>
      <c r="R16" s="0" t="n">
        <v>15182</v>
      </c>
      <c r="S16" s="0" t="n">
        <v>14973</v>
      </c>
      <c r="T16" s="0" t="n">
        <v>373.9</v>
      </c>
      <c r="V16" s="0" t="n">
        <v>1.15</v>
      </c>
      <c r="AA16" s="0" t="s">
        <v>17</v>
      </c>
      <c r="AB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71.51</v>
      </c>
    </row>
    <row r="3" customFormat="false" ht="15" hidden="false" customHeight="false" outlineLevel="0" collapsed="false">
      <c r="A3" s="0" t="s">
        <v>81</v>
      </c>
      <c r="B3" s="3" t="n">
        <v>328.2</v>
      </c>
    </row>
    <row r="4" customFormat="false" ht="15" hidden="false" customHeight="false" outlineLevel="0" collapsed="false">
      <c r="A4" s="0" t="s">
        <v>82</v>
      </c>
      <c r="B4" s="3" t="n">
        <v>0</v>
      </c>
    </row>
    <row r="5" customFormat="false" ht="15" hidden="false" customHeight="false" outlineLevel="0" collapsed="false">
      <c r="A5" s="0" t="s">
        <v>83</v>
      </c>
      <c r="B5" s="3" t="n">
        <v>-1716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15260</v>
      </c>
    </row>
    <row r="8" customFormat="false" ht="15" hidden="false" customHeight="false" outlineLevel="0" collapsed="false">
      <c r="A8" s="0" t="s">
        <v>86</v>
      </c>
      <c r="B8" s="3" t="s">
        <v>87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2</v>
      </c>
      <c r="D13" s="3" t="n">
        <v>-3</v>
      </c>
      <c r="E13" s="3" t="n">
        <v>1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103</v>
      </c>
      <c r="C14" s="3" t="n">
        <v>25.7</v>
      </c>
      <c r="D14" s="3" t="n">
        <v>19.7</v>
      </c>
      <c r="E14" s="3" t="n">
        <v>26.7</v>
      </c>
      <c r="F14" s="3" t="n">
        <v>29.7</v>
      </c>
      <c r="G14" s="3" t="n">
        <v>31.2</v>
      </c>
      <c r="H14" s="3" t="n">
        <v>31.2</v>
      </c>
      <c r="I14" s="3" t="n">
        <v>31.2</v>
      </c>
      <c r="J14" s="3" t="n">
        <v>31.2</v>
      </c>
      <c r="K14" s="3" t="n">
        <v>31.2</v>
      </c>
      <c r="L14" s="3" t="n">
        <v>31.2</v>
      </c>
    </row>
    <row r="15" customFormat="false" ht="15" hidden="false" customHeight="false" outlineLevel="0" collapsed="false">
      <c r="A15" s="0" t="s">
        <v>104</v>
      </c>
      <c r="C15" s="3" t="n">
        <v>0.9</v>
      </c>
      <c r="D15" s="3" t="n">
        <v>0.9</v>
      </c>
      <c r="E15" s="3" t="n">
        <v>0.9</v>
      </c>
      <c r="F15" s="3" t="n">
        <v>0.9</v>
      </c>
      <c r="G15" s="3" t="n">
        <v>0.9</v>
      </c>
      <c r="H15" s="3" t="n">
        <v>0.9</v>
      </c>
      <c r="I15" s="3" t="n">
        <v>0.9</v>
      </c>
      <c r="J15" s="3" t="n">
        <v>0.9</v>
      </c>
      <c r="K15" s="3" t="n">
        <v>0.9</v>
      </c>
      <c r="L15" s="3" t="n">
        <v>0.9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3.8</v>
      </c>
      <c r="D17" s="3" t="n">
        <v>3.8</v>
      </c>
      <c r="E17" s="3" t="n">
        <v>3.8</v>
      </c>
      <c r="F17" s="3" t="n">
        <v>3.8</v>
      </c>
      <c r="G17" s="3" t="n">
        <v>3.8</v>
      </c>
      <c r="H17" s="3" t="n">
        <v>3.8</v>
      </c>
      <c r="I17" s="3" t="n">
        <v>3.8</v>
      </c>
      <c r="J17" s="3" t="n">
        <v>3.8</v>
      </c>
      <c r="K17" s="3" t="n">
        <v>3.8</v>
      </c>
      <c r="L17" s="3" t="n">
        <v>3.8</v>
      </c>
    </row>
    <row r="18" customFormat="false" ht="15" hidden="false" customHeight="false" outlineLevel="0" collapsed="false">
      <c r="A18" s="0" t="s">
        <v>107</v>
      </c>
      <c r="C18" s="3" t="n">
        <v>5.4</v>
      </c>
      <c r="D18" s="3" t="n">
        <v>3.8</v>
      </c>
      <c r="E18" s="3" t="n">
        <v>4.6</v>
      </c>
      <c r="F18" s="3" t="n">
        <v>6.2</v>
      </c>
      <c r="G18" s="3" t="n">
        <v>6.2</v>
      </c>
      <c r="H18" s="3" t="n">
        <v>6.2</v>
      </c>
      <c r="I18" s="3" t="n">
        <v>6.2</v>
      </c>
      <c r="J18" s="3" t="n">
        <v>6.2</v>
      </c>
      <c r="K18" s="3" t="n">
        <v>5.8</v>
      </c>
      <c r="L18" s="3" t="n">
        <v>5.8</v>
      </c>
    </row>
    <row r="19" customFormat="false" ht="15" hidden="false" customHeight="false" outlineLevel="0" collapsed="false">
      <c r="A19" s="0" t="s">
        <v>108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109</v>
      </c>
      <c r="B20" s="3" t="n">
        <v>12</v>
      </c>
    </row>
    <row r="21" customFormat="false" ht="15" hidden="false" customHeight="false" outlineLevel="0" collapsed="false">
      <c r="A21" s="0" t="s">
        <v>110</v>
      </c>
      <c r="B21" s="3" t="n">
        <v>2.5</v>
      </c>
    </row>
    <row r="22" customFormat="false" ht="15" hidden="false" customHeight="false" outlineLevel="0" collapsed="false">
      <c r="A22" s="0" t="s">
        <v>111</v>
      </c>
      <c r="B22" s="3" t="n">
        <v>8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6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103</v>
      </c>
      <c r="C28" s="3" t="n">
        <v>32.2</v>
      </c>
      <c r="D28" s="3" t="n">
        <v>33.2</v>
      </c>
      <c r="E28" s="3" t="n">
        <v>33.7</v>
      </c>
      <c r="F28" s="3" t="n">
        <v>33.2</v>
      </c>
      <c r="G28" s="3" t="n">
        <v>32.7</v>
      </c>
      <c r="H28" s="3" t="n">
        <v>32.7</v>
      </c>
      <c r="I28" s="3" t="n">
        <v>32.7</v>
      </c>
      <c r="J28" s="3" t="n">
        <v>32.7</v>
      </c>
      <c r="K28" s="3" t="n">
        <v>32.7</v>
      </c>
      <c r="L28" s="3" t="n">
        <v>32.7</v>
      </c>
    </row>
    <row r="29" customFormat="false" ht="15" hidden="false" customHeight="false" outlineLevel="0" collapsed="false">
      <c r="A29" s="0" t="s">
        <v>104</v>
      </c>
      <c r="C29" s="3" t="n">
        <v>0.9</v>
      </c>
      <c r="D29" s="3" t="n">
        <v>0.9</v>
      </c>
      <c r="E29" s="3" t="n">
        <v>0.9</v>
      </c>
      <c r="F29" s="3" t="n">
        <v>0.9</v>
      </c>
      <c r="G29" s="3" t="n">
        <v>0.9</v>
      </c>
      <c r="H29" s="3" t="n">
        <v>0.9</v>
      </c>
      <c r="I29" s="3" t="n">
        <v>0.9</v>
      </c>
      <c r="J29" s="3" t="n">
        <v>0.9</v>
      </c>
      <c r="K29" s="3" t="n">
        <v>0.9</v>
      </c>
      <c r="L29" s="3" t="n">
        <v>0.9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3.8</v>
      </c>
      <c r="D31" s="3" t="n">
        <v>3.8</v>
      </c>
      <c r="E31" s="3" t="n">
        <v>3.8</v>
      </c>
      <c r="F31" s="3" t="n">
        <v>3.8</v>
      </c>
      <c r="G31" s="3" t="n">
        <v>3.8</v>
      </c>
      <c r="H31" s="3" t="n">
        <v>3.8</v>
      </c>
      <c r="I31" s="3" t="n">
        <v>3.8</v>
      </c>
      <c r="J31" s="3" t="n">
        <v>3.8</v>
      </c>
      <c r="K31" s="3" t="n">
        <v>3.8</v>
      </c>
      <c r="L31" s="3" t="n">
        <v>3.8</v>
      </c>
    </row>
    <row r="32" customFormat="false" ht="15" hidden="false" customHeight="false" outlineLevel="0" collapsed="false">
      <c r="A32" s="0" t="s">
        <v>107</v>
      </c>
      <c r="C32" s="3" t="n">
        <v>6.8</v>
      </c>
      <c r="D32" s="3" t="n">
        <v>8.2</v>
      </c>
      <c r="E32" s="3" t="n">
        <v>7.8</v>
      </c>
      <c r="F32" s="3" t="n">
        <v>7.4</v>
      </c>
      <c r="G32" s="3" t="n">
        <v>7</v>
      </c>
      <c r="H32" s="3" t="n">
        <v>7</v>
      </c>
      <c r="I32" s="3" t="n">
        <v>6.6</v>
      </c>
      <c r="J32" s="3" t="n">
        <v>6.6</v>
      </c>
      <c r="K32" s="3" t="n">
        <v>6.2</v>
      </c>
      <c r="L32" s="3" t="n">
        <v>6.2</v>
      </c>
    </row>
    <row r="33" customFormat="false" ht="15" hidden="false" customHeight="false" outlineLevel="0" collapsed="false">
      <c r="A33" s="0" t="s">
        <v>108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109</v>
      </c>
      <c r="B34" s="3" t="n">
        <v>12</v>
      </c>
    </row>
    <row r="35" customFormat="false" ht="15" hidden="false" customHeight="false" outlineLevel="0" collapsed="false">
      <c r="A35" s="0" t="s">
        <v>110</v>
      </c>
      <c r="B35" s="3" t="n">
        <v>3</v>
      </c>
    </row>
    <row r="36" customFormat="false" ht="15" hidden="false" customHeight="false" outlineLevel="0" collapsed="false">
      <c r="A36" s="0" t="s">
        <v>111</v>
      </c>
      <c r="B36" s="3" t="n">
        <v>10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8</v>
      </c>
      <c r="D41" s="3" t="n">
        <v>8</v>
      </c>
      <c r="E41" s="3" t="n">
        <v>7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103</v>
      </c>
      <c r="C42" s="3" t="n">
        <v>33.7</v>
      </c>
      <c r="D42" s="3" t="n">
        <v>35.2</v>
      </c>
      <c r="E42" s="3" t="n">
        <v>35.7</v>
      </c>
      <c r="F42" s="3" t="n">
        <v>35.7</v>
      </c>
      <c r="G42" s="3" t="n">
        <v>35.2</v>
      </c>
      <c r="H42" s="3" t="n">
        <v>34.7</v>
      </c>
      <c r="I42" s="3" t="n">
        <v>34.7</v>
      </c>
      <c r="J42" s="3" t="n">
        <v>34.7</v>
      </c>
      <c r="K42" s="3" t="n">
        <v>34.7</v>
      </c>
      <c r="L42" s="3" t="n">
        <v>34.7</v>
      </c>
    </row>
    <row r="43" customFormat="false" ht="15" hidden="false" customHeight="false" outlineLevel="0" collapsed="false">
      <c r="A43" s="0" t="s">
        <v>104</v>
      </c>
      <c r="C43" s="3" t="n">
        <v>0.9</v>
      </c>
      <c r="D43" s="3" t="n">
        <v>0.9</v>
      </c>
      <c r="E43" s="3" t="n">
        <v>0.9</v>
      </c>
      <c r="F43" s="3" t="n">
        <v>0.9</v>
      </c>
      <c r="G43" s="3" t="n">
        <v>0.9</v>
      </c>
      <c r="H43" s="3" t="n">
        <v>0.9</v>
      </c>
      <c r="I43" s="3" t="n">
        <v>0.9</v>
      </c>
      <c r="J43" s="3" t="n">
        <v>0.9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3.8</v>
      </c>
      <c r="D45" s="3" t="n">
        <v>3.8</v>
      </c>
      <c r="E45" s="3" t="n">
        <v>3.8</v>
      </c>
      <c r="F45" s="3" t="n">
        <v>3.8</v>
      </c>
      <c r="G45" s="3" t="n">
        <v>3.8</v>
      </c>
      <c r="H45" s="3" t="n">
        <v>3.8</v>
      </c>
      <c r="I45" s="3" t="n">
        <v>3.8</v>
      </c>
      <c r="J45" s="3" t="n">
        <v>3.8</v>
      </c>
      <c r="K45" s="3" t="n">
        <v>3.8</v>
      </c>
      <c r="L45" s="3" t="n">
        <v>3.8</v>
      </c>
    </row>
    <row r="46" customFormat="false" ht="15" hidden="false" customHeight="false" outlineLevel="0" collapsed="false">
      <c r="A46" s="0" t="s">
        <v>107</v>
      </c>
      <c r="C46" s="3" t="n">
        <v>7.8</v>
      </c>
      <c r="D46" s="3" t="n">
        <v>10.2</v>
      </c>
      <c r="E46" s="3" t="n">
        <v>9.4</v>
      </c>
      <c r="F46" s="3" t="n">
        <v>8.6</v>
      </c>
      <c r="G46" s="3" t="n">
        <v>8.2</v>
      </c>
      <c r="H46" s="3" t="n">
        <v>7.8</v>
      </c>
      <c r="I46" s="3" t="n">
        <v>7.4</v>
      </c>
      <c r="J46" s="3" t="n">
        <v>7</v>
      </c>
      <c r="K46" s="3" t="n">
        <v>6.6</v>
      </c>
      <c r="L46" s="3" t="n">
        <v>6.6</v>
      </c>
    </row>
    <row r="47" customFormat="false" ht="15" hidden="false" customHeight="false" outlineLevel="0" collapsed="false">
      <c r="A47" s="0" t="s">
        <v>108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109</v>
      </c>
      <c r="B48" s="3" t="n">
        <v>12</v>
      </c>
    </row>
    <row r="49" customFormat="false" ht="15" hidden="false" customHeight="false" outlineLevel="0" collapsed="false">
      <c r="A49" s="0" t="s">
        <v>110</v>
      </c>
      <c r="B49" s="3" t="n">
        <v>3</v>
      </c>
    </row>
    <row r="50" customFormat="false" ht="15" hidden="false" customHeight="false" outlineLevel="0" collapsed="false">
      <c r="A50" s="0" t="s">
        <v>111</v>
      </c>
      <c r="B50" s="3" t="n">
        <v>11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2</v>
      </c>
      <c r="D5" s="4" t="n">
        <f aca="false">Assumptions!D13</f>
        <v>-3</v>
      </c>
      <c r="E5" s="4" t="n">
        <f aca="false">Assumptions!E13</f>
        <v>1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15260</v>
      </c>
      <c r="C6" s="0" t="n">
        <f aca="false">B6*(1+C5/100)</f>
        <v>15565.2</v>
      </c>
      <c r="D6" s="0" t="n">
        <f aca="false">C6*(1+D5/100)</f>
        <v>15098.244</v>
      </c>
      <c r="E6" s="0" t="n">
        <f aca="false">D6*(1+E5/100)</f>
        <v>15249.22644</v>
      </c>
      <c r="F6" s="0" t="n">
        <f aca="false">E6*(1+F5/100)</f>
        <v>15706.7032332</v>
      </c>
      <c r="G6" s="0" t="n">
        <f aca="false">F6*(1+G5/100)</f>
        <v>16177.904330196</v>
      </c>
      <c r="H6" s="0" t="n">
        <f aca="false">G6*(1+H5/100)</f>
        <v>16663.2414601019</v>
      </c>
      <c r="I6" s="0" t="n">
        <f aca="false">H6*(1+I5/100)</f>
        <v>17163.1387039049</v>
      </c>
      <c r="J6" s="0" t="n">
        <f aca="false">I6*(1+J5/100)</f>
        <v>17678.0328650221</v>
      </c>
      <c r="K6" s="0" t="n">
        <f aca="false">J6*(1+K5/100)</f>
        <v>18119.9836866476</v>
      </c>
      <c r="L6" s="0" t="n">
        <f aca="false">K6*(1+L5/100)</f>
        <v>18572.9832788138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25.7</v>
      </c>
      <c r="D7" s="4" t="n">
        <f aca="false">Assumptions!D14</f>
        <v>19.7</v>
      </c>
      <c r="E7" s="4" t="n">
        <f aca="false">Assumptions!E14</f>
        <v>26.7</v>
      </c>
      <c r="F7" s="4" t="n">
        <f aca="false">Assumptions!F14</f>
        <v>29.7</v>
      </c>
      <c r="G7" s="4" t="n">
        <f aca="false">Assumptions!G14</f>
        <v>31.2</v>
      </c>
      <c r="H7" s="4" t="n">
        <f aca="false">Assumptions!H14</f>
        <v>31.2</v>
      </c>
      <c r="I7" s="4" t="n">
        <f aca="false">Assumptions!I14</f>
        <v>31.2</v>
      </c>
      <c r="J7" s="4" t="n">
        <f aca="false">Assumptions!J14</f>
        <v>31.2</v>
      </c>
      <c r="K7" s="4" t="n">
        <f aca="false">Assumptions!K14</f>
        <v>31.2</v>
      </c>
      <c r="L7" s="4" t="n">
        <f aca="false">Assumptions!L14</f>
        <v>31.2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4000.2564</v>
      </c>
      <c r="D8" s="0" t="n">
        <f aca="false">D6*D7/100</f>
        <v>2974.354068</v>
      </c>
      <c r="E8" s="0" t="n">
        <f aca="false">E6*E7/100</f>
        <v>4071.54345948</v>
      </c>
      <c r="F8" s="0" t="n">
        <f aca="false">F6*F7/100</f>
        <v>4664.8908602604</v>
      </c>
      <c r="G8" s="0" t="n">
        <f aca="false">G6*G7/100</f>
        <v>5047.50615102115</v>
      </c>
      <c r="H8" s="0" t="n">
        <f aca="false">H6*H7/100</f>
        <v>5198.93133555179</v>
      </c>
      <c r="I8" s="0" t="n">
        <f aca="false">I6*I7/100</f>
        <v>5354.89927561834</v>
      </c>
      <c r="J8" s="0" t="n">
        <f aca="false">J6*J7/100</f>
        <v>5515.54625388689</v>
      </c>
      <c r="K8" s="0" t="n">
        <f aca="false">K6*K7/100</f>
        <v>5653.43491023406</v>
      </c>
      <c r="L8" s="0" t="n">
        <f aca="false">L6*L7/100</f>
        <v>5794.77078298992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0.9</v>
      </c>
      <c r="D9" s="4" t="n">
        <f aca="false">Assumptions!D15</f>
        <v>0.9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0.9</v>
      </c>
      <c r="H9" s="4" t="n">
        <f aca="false">Assumptions!H15</f>
        <v>0.9</v>
      </c>
      <c r="I9" s="4" t="n">
        <f aca="false">Assumptions!I15</f>
        <v>0.9</v>
      </c>
      <c r="J9" s="4" t="n">
        <f aca="false">Assumptions!J15</f>
        <v>0.9</v>
      </c>
      <c r="K9" s="4" t="n">
        <f aca="false">Assumptions!K15</f>
        <v>0.9</v>
      </c>
      <c r="L9" s="4" t="n">
        <f aca="false">Assumptions!L15</f>
        <v>0.9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-140.0868</v>
      </c>
      <c r="D10" s="0" t="n">
        <f aca="false">-D6*D9/100</f>
        <v>-135.884196</v>
      </c>
      <c r="E10" s="0" t="n">
        <f aca="false">-E6*E9/100</f>
        <v>-137.24303796</v>
      </c>
      <c r="F10" s="0" t="n">
        <f aca="false">-F6*F9/100</f>
        <v>-141.3603290988</v>
      </c>
      <c r="G10" s="0" t="n">
        <f aca="false">-G6*G9/100</f>
        <v>-145.601138971764</v>
      </c>
      <c r="H10" s="0" t="n">
        <f aca="false">-H6*H9/100</f>
        <v>-149.969173140917</v>
      </c>
      <c r="I10" s="0" t="n">
        <f aca="false">-I6*I9/100</f>
        <v>-154.468248335144</v>
      </c>
      <c r="J10" s="0" t="n">
        <f aca="false">-J6*J9/100</f>
        <v>-159.102295785199</v>
      </c>
      <c r="K10" s="0" t="n">
        <f aca="false">-K6*K9/100</f>
        <v>-163.079853179829</v>
      </c>
      <c r="L10" s="0" t="n">
        <f aca="false">-L6*L9/100</f>
        <v>-167.156849509325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3860.1696</v>
      </c>
      <c r="D11" s="0" t="n">
        <f aca="false">D8+D10+D24</f>
        <v>2838.469872</v>
      </c>
      <c r="E11" s="0" t="n">
        <f aca="false">E8+E10+E24</f>
        <v>3934.30042152</v>
      </c>
      <c r="F11" s="0" t="n">
        <f aca="false">F8+F10+F24</f>
        <v>4523.5305311616</v>
      </c>
      <c r="G11" s="0" t="n">
        <f aca="false">G8+G10+G24</f>
        <v>4901.90501204939</v>
      </c>
      <c r="H11" s="0" t="n">
        <f aca="false">H8+H10+H24</f>
        <v>5048.96216241087</v>
      </c>
      <c r="I11" s="0" t="n">
        <f aca="false">I8+I10+I24</f>
        <v>5200.4310272832</v>
      </c>
      <c r="J11" s="0" t="n">
        <f aca="false">J8+J10+J24</f>
        <v>5356.44395810169</v>
      </c>
      <c r="K11" s="0" t="n">
        <f aca="false">K8+K10+K24</f>
        <v>5490.35505705424</v>
      </c>
      <c r="L11" s="0" t="n">
        <f aca="false">L8+L10+L24</f>
        <v>5627.61393348059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-591.4776</v>
      </c>
      <c r="D12" s="4" t="n">
        <f aca="false">-D6*Assumptions!D17/100</f>
        <v>-573.733272</v>
      </c>
      <c r="E12" s="4" t="n">
        <f aca="false">-E6*Assumptions!E17/100</f>
        <v>-579.47060472</v>
      </c>
      <c r="F12" s="4" t="n">
        <f aca="false">-F6*Assumptions!F17/100</f>
        <v>-596.8547228616</v>
      </c>
      <c r="G12" s="4" t="n">
        <f aca="false">-G6*Assumptions!G17/100</f>
        <v>-614.760364547448</v>
      </c>
      <c r="H12" s="4" t="n">
        <f aca="false">-H6*Assumptions!H17/100</f>
        <v>-633.203175483872</v>
      </c>
      <c r="I12" s="4" t="n">
        <f aca="false">-I6*Assumptions!I17/100</f>
        <v>-652.199270748388</v>
      </c>
      <c r="J12" s="4" t="n">
        <f aca="false">-J6*Assumptions!J17/100</f>
        <v>-671.765248870839</v>
      </c>
      <c r="K12" s="4" t="n">
        <f aca="false">-K6*Assumptions!K17/100</f>
        <v>-688.55938009261</v>
      </c>
      <c r="L12" s="4" t="n">
        <f aca="false">-L6*Assumptions!L17/100</f>
        <v>-705.773364594926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3268.692</v>
      </c>
      <c r="D13" s="0" t="n">
        <f aca="false">D11+D12</f>
        <v>2264.7366</v>
      </c>
      <c r="E13" s="0" t="n">
        <f aca="false">E11+E12</f>
        <v>3354.8298168</v>
      </c>
      <c r="F13" s="0" t="n">
        <f aca="false">F11+F12</f>
        <v>3926.6758083</v>
      </c>
      <c r="G13" s="0" t="n">
        <f aca="false">G11+G12</f>
        <v>4287.14464750194</v>
      </c>
      <c r="H13" s="0" t="n">
        <f aca="false">H11+H12</f>
        <v>4415.758986927</v>
      </c>
      <c r="I13" s="0" t="n">
        <f aca="false">I11+I12</f>
        <v>4548.23175653481</v>
      </c>
      <c r="J13" s="0" t="n">
        <f aca="false">J11+J12</f>
        <v>4684.67870923085</v>
      </c>
      <c r="K13" s="0" t="n">
        <f aca="false">K11+K12</f>
        <v>4801.79567696163</v>
      </c>
      <c r="L13" s="0" t="n">
        <f aca="false">L11+L12</f>
        <v>4921.84056888567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2467.86246</v>
      </c>
      <c r="D15" s="0" t="n">
        <f aca="false">D13-MAX(0,D13)*D14/100</f>
        <v>1709.876133</v>
      </c>
      <c r="E15" s="0" t="n">
        <f aca="false">E13-MAX(0,E13)*E14/100</f>
        <v>2532.896511684</v>
      </c>
      <c r="F15" s="0" t="n">
        <f aca="false">F13-MAX(0,F13)*F14/100</f>
        <v>2964.6402352665</v>
      </c>
      <c r="G15" s="0" t="n">
        <f aca="false">G13-MAX(0,G13)*G14/100</f>
        <v>3236.79420886396</v>
      </c>
      <c r="H15" s="0" t="n">
        <f aca="false">H13-MAX(0,H13)*H14/100</f>
        <v>3333.89803512988</v>
      </c>
      <c r="I15" s="0" t="n">
        <f aca="false">I13-MAX(0,I13)*I14/100</f>
        <v>3433.91497618378</v>
      </c>
      <c r="J15" s="0" t="n">
        <f aca="false">J13-MAX(0,J13)*J14/100</f>
        <v>3536.93242546929</v>
      </c>
      <c r="K15" s="0" t="n">
        <f aca="false">K13-MAX(0,K13)*K14/100</f>
        <v>3625.35573610603</v>
      </c>
      <c r="L15" s="0" t="n">
        <f aca="false">L13-MAX(0,L13)*L14/100</f>
        <v>3715.98962950868</v>
      </c>
    </row>
    <row r="16" customFormat="false" ht="15" hidden="false" customHeight="false" outlineLevel="0" collapsed="false">
      <c r="A16" s="0" t="s">
        <v>124</v>
      </c>
      <c r="C16" s="0" t="n">
        <f aca="false">-C12</f>
        <v>591.4776</v>
      </c>
      <c r="D16" s="0" t="n">
        <f aca="false">-D12</f>
        <v>573.733272</v>
      </c>
      <c r="E16" s="0" t="n">
        <f aca="false">-E12</f>
        <v>579.47060472</v>
      </c>
      <c r="F16" s="0" t="n">
        <f aca="false">-F12</f>
        <v>596.8547228616</v>
      </c>
      <c r="G16" s="0" t="n">
        <f aca="false">-G12</f>
        <v>614.760364547448</v>
      </c>
      <c r="H16" s="0" t="n">
        <f aca="false">-H12</f>
        <v>633.203175483872</v>
      </c>
      <c r="I16" s="0" t="n">
        <f aca="false">-I12</f>
        <v>652.199270748388</v>
      </c>
      <c r="J16" s="0" t="n">
        <f aca="false">-J12</f>
        <v>671.765248870839</v>
      </c>
      <c r="K16" s="0" t="n">
        <f aca="false">-K12</f>
        <v>688.55938009261</v>
      </c>
      <c r="L16" s="0" t="n">
        <f aca="false">-L12</f>
        <v>705.773364594926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-840.5208</v>
      </c>
      <c r="D17" s="4" t="n">
        <f aca="false">-D6*Assumptions!D18/100</f>
        <v>-573.733272</v>
      </c>
      <c r="E17" s="4" t="n">
        <f aca="false">-E6*Assumptions!E18/100</f>
        <v>-701.46441624</v>
      </c>
      <c r="F17" s="4" t="n">
        <f aca="false">-F6*Assumptions!F18/100</f>
        <v>-973.8156004584</v>
      </c>
      <c r="G17" s="4" t="n">
        <f aca="false">-G6*Assumptions!G18/100</f>
        <v>-1003.03006847215</v>
      </c>
      <c r="H17" s="4" t="n">
        <f aca="false">-H6*Assumptions!H18/100</f>
        <v>-1033.12097052632</v>
      </c>
      <c r="I17" s="4" t="n">
        <f aca="false">-I6*Assumptions!I18/100</f>
        <v>-1064.11459964211</v>
      </c>
      <c r="J17" s="4" t="n">
        <f aca="false">-J6*Assumptions!J18/100</f>
        <v>-1096.03803763137</v>
      </c>
      <c r="K17" s="4" t="n">
        <f aca="false">-K6*Assumptions!K18/100</f>
        <v>-1050.95905382556</v>
      </c>
      <c r="L17" s="4" t="n">
        <f aca="false">-L6*Assumptions!L18/100</f>
        <v>-1077.2330301712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2218.81926</v>
      </c>
      <c r="D19" s="0" t="n">
        <f aca="false">D15+D16+D17+D18</f>
        <v>1709.876133</v>
      </c>
      <c r="E19" s="0" t="n">
        <f aca="false">E15+E16+E17+E18</f>
        <v>2410.902700164</v>
      </c>
      <c r="F19" s="0" t="n">
        <f aca="false">F15+F16+F17+F18</f>
        <v>2587.6793576697</v>
      </c>
      <c r="G19" s="0" t="n">
        <f aca="false">G15+G16+G17+G18</f>
        <v>2848.52450493926</v>
      </c>
      <c r="H19" s="0" t="n">
        <f aca="false">H15+H16+H17+H18</f>
        <v>2933.98024008744</v>
      </c>
      <c r="I19" s="0" t="n">
        <f aca="false">I15+I16+I17+I18</f>
        <v>3021.99964729006</v>
      </c>
      <c r="J19" s="0" t="n">
        <f aca="false">J15+J16+J17+J18</f>
        <v>3112.65963670876</v>
      </c>
      <c r="K19" s="0" t="n">
        <f aca="false">K15+K16+K17+K18</f>
        <v>3262.95606237307</v>
      </c>
      <c r="L19" s="0" t="n">
        <f aca="false">L15+L16+L17+L18</f>
        <v>3344.5299639324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1981.088625</v>
      </c>
      <c r="D21" s="0" t="n">
        <f aca="false">D19*D20</f>
        <v>1363.10278459821</v>
      </c>
      <c r="E21" s="0" t="n">
        <f aca="false">E19*E20</f>
        <v>1716.03292137675</v>
      </c>
      <c r="F21" s="0" t="n">
        <f aca="false">F19*F20</f>
        <v>1644.51701291409</v>
      </c>
      <c r="G21" s="0" t="n">
        <f aca="false">G19*G20</f>
        <v>1616.32930327506</v>
      </c>
      <c r="H21" s="0" t="n">
        <f aca="false">H19*H20</f>
        <v>1486.4456985476</v>
      </c>
      <c r="I21" s="0" t="n">
        <f aca="false">I19*I20</f>
        <v>1366.99916920003</v>
      </c>
      <c r="J21" s="0" t="n">
        <f aca="false">J19*J20</f>
        <v>1257.15102167503</v>
      </c>
      <c r="K21" s="0" t="n">
        <f aca="false">K19*K20</f>
        <v>1176.65466716615</v>
      </c>
      <c r="L21" s="0" t="n">
        <f aca="false">L19*L20</f>
        <v>1076.84913736188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14685.1703411148</v>
      </c>
    </row>
    <row r="31" customFormat="false" ht="15" hidden="false" customHeight="false" outlineLevel="0" collapsed="false">
      <c r="A31" s="0" t="s">
        <v>133</v>
      </c>
      <c r="B31" s="0" t="n">
        <f aca="false">L19</f>
        <v>3344.5299639324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36085.7180319022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26756.2397114592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26756.2397114592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8614.79309889503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23299.9634400098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21583.9634400098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65.764666179189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-0.0803430823774435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826.285125708247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580.689817380964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70.0516099424103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26756.2397114592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54.1660687279236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15260</v>
      </c>
      <c r="C6" s="0" t="n">
        <f aca="false">B6*(1+C5/100)</f>
        <v>16175.6</v>
      </c>
      <c r="D6" s="0" t="n">
        <f aca="false">C6*(1+D5/100)</f>
        <v>17065.258</v>
      </c>
      <c r="E6" s="0" t="n">
        <f aca="false">D6*(1+E5/100)</f>
        <v>17918.5209</v>
      </c>
      <c r="F6" s="0" t="n">
        <f aca="false">E6*(1+F5/100)</f>
        <v>18724.8543405</v>
      </c>
      <c r="G6" s="0" t="n">
        <f aca="false">F6*(1+G5/100)</f>
        <v>19473.84851412</v>
      </c>
      <c r="H6" s="0" t="n">
        <f aca="false">G6*(1+H5/100)</f>
        <v>20252.8024546848</v>
      </c>
      <c r="I6" s="0" t="n">
        <f aca="false">H6*(1+I5/100)</f>
        <v>20961.6505405988</v>
      </c>
      <c r="J6" s="0" t="n">
        <f aca="false">I6*(1+J5/100)</f>
        <v>21695.3083095197</v>
      </c>
      <c r="K6" s="0" t="n">
        <f aca="false">J6*(1+K5/100)</f>
        <v>22346.1675588053</v>
      </c>
      <c r="L6" s="0" t="n">
        <f aca="false">K6*(1+L5/100)</f>
        <v>23016.5525855695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32.2</v>
      </c>
      <c r="D7" s="4" t="n">
        <f aca="false">Assumptions!D28</f>
        <v>33.2</v>
      </c>
      <c r="E7" s="4" t="n">
        <f aca="false">Assumptions!E28</f>
        <v>33.7</v>
      </c>
      <c r="F7" s="4" t="n">
        <f aca="false">Assumptions!F28</f>
        <v>33.2</v>
      </c>
      <c r="G7" s="4" t="n">
        <f aca="false">Assumptions!G28</f>
        <v>32.7</v>
      </c>
      <c r="H7" s="4" t="n">
        <f aca="false">Assumptions!H28</f>
        <v>32.7</v>
      </c>
      <c r="I7" s="4" t="n">
        <f aca="false">Assumptions!I28</f>
        <v>32.7</v>
      </c>
      <c r="J7" s="4" t="n">
        <f aca="false">Assumptions!J28</f>
        <v>32.7</v>
      </c>
      <c r="K7" s="4" t="n">
        <f aca="false">Assumptions!K28</f>
        <v>32.7</v>
      </c>
      <c r="L7" s="4" t="n">
        <f aca="false">Assumptions!L28</f>
        <v>32.7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5208.5432</v>
      </c>
      <c r="D8" s="0" t="n">
        <f aca="false">D6*D7/100</f>
        <v>5665.665656</v>
      </c>
      <c r="E8" s="0" t="n">
        <f aca="false">E6*E7/100</f>
        <v>6038.5415433</v>
      </c>
      <c r="F8" s="0" t="n">
        <f aca="false">F6*F7/100</f>
        <v>6216.651641046</v>
      </c>
      <c r="G8" s="0" t="n">
        <f aca="false">G6*G7/100</f>
        <v>6367.94846411724</v>
      </c>
      <c r="H8" s="0" t="n">
        <f aca="false">H6*H7/100</f>
        <v>6622.66640268193</v>
      </c>
      <c r="I8" s="0" t="n">
        <f aca="false">I6*I7/100</f>
        <v>6854.4597267758</v>
      </c>
      <c r="J8" s="0" t="n">
        <f aca="false">J6*J7/100</f>
        <v>7094.36581721295</v>
      </c>
      <c r="K8" s="0" t="n">
        <f aca="false">K6*K7/100</f>
        <v>7307.19679172934</v>
      </c>
      <c r="L8" s="0" t="n">
        <f aca="false">L6*L7/100</f>
        <v>7526.41269548122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0.9</v>
      </c>
      <c r="D9" s="4" t="n">
        <f aca="false">Assumptions!D29</f>
        <v>0.9</v>
      </c>
      <c r="E9" s="4" t="n">
        <f aca="false">Assumptions!E29</f>
        <v>0.9</v>
      </c>
      <c r="F9" s="4" t="n">
        <f aca="false">Assumptions!F29</f>
        <v>0.9</v>
      </c>
      <c r="G9" s="4" t="n">
        <f aca="false">Assumptions!G29</f>
        <v>0.9</v>
      </c>
      <c r="H9" s="4" t="n">
        <f aca="false">Assumptions!H29</f>
        <v>0.9</v>
      </c>
      <c r="I9" s="4" t="n">
        <f aca="false">Assumptions!I29</f>
        <v>0.9</v>
      </c>
      <c r="J9" s="4" t="n">
        <f aca="false">Assumptions!J29</f>
        <v>0.9</v>
      </c>
      <c r="K9" s="4" t="n">
        <f aca="false">Assumptions!K29</f>
        <v>0.9</v>
      </c>
      <c r="L9" s="4" t="n">
        <f aca="false">Assumptions!L29</f>
        <v>0.9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-145.5804</v>
      </c>
      <c r="D10" s="0" t="n">
        <f aca="false">-D6*D9/100</f>
        <v>-153.587322</v>
      </c>
      <c r="E10" s="0" t="n">
        <f aca="false">-E6*E9/100</f>
        <v>-161.2666881</v>
      </c>
      <c r="F10" s="0" t="n">
        <f aca="false">-F6*F9/100</f>
        <v>-168.5236890645</v>
      </c>
      <c r="G10" s="0" t="n">
        <f aca="false">-G6*G9/100</f>
        <v>-175.26463662708</v>
      </c>
      <c r="H10" s="0" t="n">
        <f aca="false">-H6*H9/100</f>
        <v>-182.275222092163</v>
      </c>
      <c r="I10" s="0" t="n">
        <f aca="false">-I6*I9/100</f>
        <v>-188.654854865389</v>
      </c>
      <c r="J10" s="0" t="n">
        <f aca="false">-J6*J9/100</f>
        <v>-195.257774785678</v>
      </c>
      <c r="K10" s="0" t="n">
        <f aca="false">-K6*K9/100</f>
        <v>-201.115508029248</v>
      </c>
      <c r="L10" s="0" t="n">
        <f aca="false">-L6*L9/100</f>
        <v>-207.148973270125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5062.9628</v>
      </c>
      <c r="D11" s="0" t="n">
        <f aca="false">D8+D10+D24</f>
        <v>5512.078334</v>
      </c>
      <c r="E11" s="0" t="n">
        <f aca="false">E8+E10+E24</f>
        <v>5877.2748552</v>
      </c>
      <c r="F11" s="0" t="n">
        <f aca="false">F8+F10+F24</f>
        <v>6048.1279519815</v>
      </c>
      <c r="G11" s="0" t="n">
        <f aca="false">G8+G10+G24</f>
        <v>6192.68382749016</v>
      </c>
      <c r="H11" s="0" t="n">
        <f aca="false">H8+H10+H24</f>
        <v>6440.39118058977</v>
      </c>
      <c r="I11" s="0" t="n">
        <f aca="false">I8+I10+I24</f>
        <v>6665.80487191041</v>
      </c>
      <c r="J11" s="0" t="n">
        <f aca="false">J8+J10+J24</f>
        <v>6899.10804242727</v>
      </c>
      <c r="K11" s="0" t="n">
        <f aca="false">K8+K10+K24</f>
        <v>7106.08128370009</v>
      </c>
      <c r="L11" s="0" t="n">
        <f aca="false">L8+L10+L24</f>
        <v>7319.26372221109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-614.6728</v>
      </c>
      <c r="D12" s="4" t="n">
        <f aca="false">-D6*Assumptions!D31/100</f>
        <v>-648.479804</v>
      </c>
      <c r="E12" s="4" t="n">
        <f aca="false">-E6*Assumptions!E31/100</f>
        <v>-680.9037942</v>
      </c>
      <c r="F12" s="4" t="n">
        <f aca="false">-F6*Assumptions!F31/100</f>
        <v>-711.544464939</v>
      </c>
      <c r="G12" s="4" t="n">
        <f aca="false">-G6*Assumptions!G31/100</f>
        <v>-740.00624353656</v>
      </c>
      <c r="H12" s="4" t="n">
        <f aca="false">-H6*Assumptions!H31/100</f>
        <v>-769.606493278022</v>
      </c>
      <c r="I12" s="4" t="n">
        <f aca="false">-I6*Assumptions!I31/100</f>
        <v>-796.542720542753</v>
      </c>
      <c r="J12" s="4" t="n">
        <f aca="false">-J6*Assumptions!J31/100</f>
        <v>-824.421715761749</v>
      </c>
      <c r="K12" s="4" t="n">
        <f aca="false">-K6*Assumptions!K31/100</f>
        <v>-849.154367234602</v>
      </c>
      <c r="L12" s="4" t="n">
        <f aca="false">-L6*Assumptions!L31/100</f>
        <v>-874.62899825164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4448.29</v>
      </c>
      <c r="D13" s="0" t="n">
        <f aca="false">D11+D12</f>
        <v>4863.59853</v>
      </c>
      <c r="E13" s="0" t="n">
        <f aca="false">E11+E12</f>
        <v>5196.371061</v>
      </c>
      <c r="F13" s="0" t="n">
        <f aca="false">F11+F12</f>
        <v>5336.5834870425</v>
      </c>
      <c r="G13" s="0" t="n">
        <f aca="false">G11+G12</f>
        <v>5452.6775839536</v>
      </c>
      <c r="H13" s="0" t="n">
        <f aca="false">H11+H12</f>
        <v>5670.78468731174</v>
      </c>
      <c r="I13" s="0" t="n">
        <f aca="false">I11+I12</f>
        <v>5869.26215136766</v>
      </c>
      <c r="J13" s="0" t="n">
        <f aca="false">J11+J12</f>
        <v>6074.68632666552</v>
      </c>
      <c r="K13" s="0" t="n">
        <f aca="false">K11+K12</f>
        <v>6256.92691646549</v>
      </c>
      <c r="L13" s="0" t="n">
        <f aca="false">L11+L12</f>
        <v>6444.63472395945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3358.45895</v>
      </c>
      <c r="D15" s="0" t="n">
        <f aca="false">D13-MAX(0,D13)*D14/100</f>
        <v>3672.01689015</v>
      </c>
      <c r="E15" s="0" t="n">
        <f aca="false">E13-MAX(0,E13)*E14/100</f>
        <v>3923.260151055</v>
      </c>
      <c r="F15" s="0" t="n">
        <f aca="false">F13-MAX(0,F13)*F14/100</f>
        <v>4029.12053271709</v>
      </c>
      <c r="G15" s="0" t="n">
        <f aca="false">G13-MAX(0,G13)*G14/100</f>
        <v>4116.77157588497</v>
      </c>
      <c r="H15" s="0" t="n">
        <f aca="false">H13-MAX(0,H13)*H14/100</f>
        <v>4281.44243892037</v>
      </c>
      <c r="I15" s="0" t="n">
        <f aca="false">I13-MAX(0,I13)*I14/100</f>
        <v>4431.29292428258</v>
      </c>
      <c r="J15" s="0" t="n">
        <f aca="false">J13-MAX(0,J13)*J14/100</f>
        <v>4586.38817663247</v>
      </c>
      <c r="K15" s="0" t="n">
        <f aca="false">K13-MAX(0,K13)*K14/100</f>
        <v>4723.97982193145</v>
      </c>
      <c r="L15" s="0" t="n">
        <f aca="false">L13-MAX(0,L13)*L14/100</f>
        <v>4865.69921658939</v>
      </c>
    </row>
    <row r="16" customFormat="false" ht="15" hidden="false" customHeight="false" outlineLevel="0" collapsed="false">
      <c r="A16" s="0" t="s">
        <v>124</v>
      </c>
      <c r="C16" s="0" t="n">
        <f aca="false">-C12</f>
        <v>614.6728</v>
      </c>
      <c r="D16" s="0" t="n">
        <f aca="false">-D12</f>
        <v>648.479804</v>
      </c>
      <c r="E16" s="0" t="n">
        <f aca="false">-E12</f>
        <v>680.9037942</v>
      </c>
      <c r="F16" s="0" t="n">
        <f aca="false">-F12</f>
        <v>711.544464939</v>
      </c>
      <c r="G16" s="0" t="n">
        <f aca="false">-G12</f>
        <v>740.00624353656</v>
      </c>
      <c r="H16" s="0" t="n">
        <f aca="false">-H12</f>
        <v>769.606493278022</v>
      </c>
      <c r="I16" s="0" t="n">
        <f aca="false">-I12</f>
        <v>796.542720542753</v>
      </c>
      <c r="J16" s="0" t="n">
        <f aca="false">-J12</f>
        <v>824.421715761749</v>
      </c>
      <c r="K16" s="0" t="n">
        <f aca="false">-K12</f>
        <v>849.154367234602</v>
      </c>
      <c r="L16" s="0" t="n">
        <f aca="false">-L12</f>
        <v>874.62899825164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-1099.9408</v>
      </c>
      <c r="D17" s="4" t="n">
        <f aca="false">-D6*Assumptions!D32/100</f>
        <v>-1399.351156</v>
      </c>
      <c r="E17" s="4" t="n">
        <f aca="false">-E6*Assumptions!E32/100</f>
        <v>-1397.6446302</v>
      </c>
      <c r="F17" s="4" t="n">
        <f aca="false">-F6*Assumptions!F32/100</f>
        <v>-1385.639221197</v>
      </c>
      <c r="G17" s="4" t="n">
        <f aca="false">-G6*Assumptions!G32/100</f>
        <v>-1363.1693959884</v>
      </c>
      <c r="H17" s="4" t="n">
        <f aca="false">-H6*Assumptions!H32/100</f>
        <v>-1417.69617182794</v>
      </c>
      <c r="I17" s="4" t="n">
        <f aca="false">-I6*Assumptions!I32/100</f>
        <v>-1383.46893567952</v>
      </c>
      <c r="J17" s="4" t="n">
        <f aca="false">-J6*Assumptions!J32/100</f>
        <v>-1431.8903484283</v>
      </c>
      <c r="K17" s="4" t="n">
        <f aca="false">-K6*Assumptions!K32/100</f>
        <v>-1385.46238864593</v>
      </c>
      <c r="L17" s="4" t="n">
        <f aca="false">-L6*Assumptions!L32/100</f>
        <v>-1427.02626030531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2873.19095</v>
      </c>
      <c r="D19" s="0" t="n">
        <f aca="false">D15+D16+D17+D18</f>
        <v>2921.14553815</v>
      </c>
      <c r="E19" s="0" t="n">
        <f aca="false">E15+E16+E17+E18</f>
        <v>3206.519315055</v>
      </c>
      <c r="F19" s="0" t="n">
        <f aca="false">F15+F16+F17+F18</f>
        <v>3355.02577645909</v>
      </c>
      <c r="G19" s="0" t="n">
        <f aca="false">G15+G16+G17+G18</f>
        <v>3493.60842343313</v>
      </c>
      <c r="H19" s="0" t="n">
        <f aca="false">H15+H16+H17+H18</f>
        <v>3633.35276037045</v>
      </c>
      <c r="I19" s="0" t="n">
        <f aca="false">I15+I16+I17+I18</f>
        <v>3844.36670914581</v>
      </c>
      <c r="J19" s="0" t="n">
        <f aca="false">J15+J16+J17+J18</f>
        <v>3978.91954396592</v>
      </c>
      <c r="K19" s="0" t="n">
        <f aca="false">K15+K16+K17+K18</f>
        <v>4187.67180052012</v>
      </c>
      <c r="L19" s="0" t="n">
        <f aca="false">L15+L16+L17+L18</f>
        <v>4313.30195453572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2565.3490625</v>
      </c>
      <c r="D21" s="0" t="n">
        <f aca="false">D19*D20</f>
        <v>2328.71933844866</v>
      </c>
      <c r="E21" s="0" t="n">
        <f aca="false">E19*E20</f>
        <v>2282.33711268834</v>
      </c>
      <c r="F21" s="0" t="n">
        <f aca="false">F19*F20</f>
        <v>2132.17953445396</v>
      </c>
      <c r="G21" s="0" t="n">
        <f aca="false">G19*G20</f>
        <v>1982.36724282067</v>
      </c>
      <c r="H21" s="0" t="n">
        <f aca="false">H19*H20</f>
        <v>1840.7695826192</v>
      </c>
      <c r="I21" s="0" t="n">
        <f aca="false">I19*I20</f>
        <v>1738.99626434938</v>
      </c>
      <c r="J21" s="0" t="n">
        <f aca="false">J19*J20</f>
        <v>1607.01886928715</v>
      </c>
      <c r="K21" s="0" t="n">
        <f aca="false">K19*K20</f>
        <v>1510.11643260022</v>
      </c>
      <c r="L21" s="0" t="n">
        <f aca="false">L19*L20</f>
        <v>1388.76779069484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12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19376.6212304624</v>
      </c>
    </row>
    <row r="31" customFormat="false" ht="15" hidden="false" customHeight="false" outlineLevel="0" collapsed="false">
      <c r="A31" s="0" t="s">
        <v>133</v>
      </c>
      <c r="B31" s="0" t="n">
        <f aca="false">L19</f>
        <v>4313.30195453572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49363.3445907977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43133.0195453572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43133.0195453572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13887.6779069484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33264.2991374108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31548.2991374108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96.1252258909531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0.344220750817412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969.523738530246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763.303534906983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101.405016486435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37022.5084430983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74.5871146055763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8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15260</v>
      </c>
      <c r="C6" s="0" t="n">
        <f aca="false">B6*(1+C5/100)</f>
        <v>16480.8</v>
      </c>
      <c r="D6" s="0" t="n">
        <f aca="false">C6*(1+D5/100)</f>
        <v>17799.264</v>
      </c>
      <c r="E6" s="0" t="n">
        <f aca="false">D6*(1+E5/100)</f>
        <v>19045.21248</v>
      </c>
      <c r="F6" s="0" t="n">
        <f aca="false">E6*(1+F5/100)</f>
        <v>20187.9252288</v>
      </c>
      <c r="G6" s="0" t="n">
        <f aca="false">F6*(1+G5/100)</f>
        <v>21298.261116384</v>
      </c>
      <c r="H6" s="0" t="n">
        <f aca="false">G6*(1+H5/100)</f>
        <v>22363.1741722032</v>
      </c>
      <c r="I6" s="0" t="n">
        <f aca="false">H6*(1+I5/100)</f>
        <v>23369.5170099523</v>
      </c>
      <c r="J6" s="0" t="n">
        <f aca="false">I6*(1+J5/100)</f>
        <v>24304.2976903504</v>
      </c>
      <c r="K6" s="0" t="n">
        <f aca="false">J6*(1+K5/100)</f>
        <v>25154.9481095127</v>
      </c>
      <c r="L6" s="0" t="n">
        <f aca="false">K6*(1+L5/100)</f>
        <v>26035.3712933456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33.7</v>
      </c>
      <c r="D7" s="4" t="n">
        <f aca="false">Assumptions!D42</f>
        <v>35.2</v>
      </c>
      <c r="E7" s="4" t="n">
        <f aca="false">Assumptions!E42</f>
        <v>35.7</v>
      </c>
      <c r="F7" s="4" t="n">
        <f aca="false">Assumptions!F42</f>
        <v>35.7</v>
      </c>
      <c r="G7" s="4" t="n">
        <f aca="false">Assumptions!G42</f>
        <v>35.2</v>
      </c>
      <c r="H7" s="4" t="n">
        <f aca="false">Assumptions!H42</f>
        <v>34.7</v>
      </c>
      <c r="I7" s="4" t="n">
        <f aca="false">Assumptions!I42</f>
        <v>34.7</v>
      </c>
      <c r="J7" s="4" t="n">
        <f aca="false">Assumptions!J42</f>
        <v>34.7</v>
      </c>
      <c r="K7" s="4" t="n">
        <f aca="false">Assumptions!K42</f>
        <v>34.7</v>
      </c>
      <c r="L7" s="4" t="n">
        <f aca="false">Assumptions!L42</f>
        <v>34.7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5554.0296</v>
      </c>
      <c r="D8" s="0" t="n">
        <f aca="false">D6*D7/100</f>
        <v>6265.340928</v>
      </c>
      <c r="E8" s="0" t="n">
        <f aca="false">E6*E7/100</f>
        <v>6799.14085536</v>
      </c>
      <c r="F8" s="0" t="n">
        <f aca="false">F6*F7/100</f>
        <v>7207.0893066816</v>
      </c>
      <c r="G8" s="0" t="n">
        <f aca="false">G6*G7/100</f>
        <v>7496.98791296717</v>
      </c>
      <c r="H8" s="0" t="n">
        <f aca="false">H6*H7/100</f>
        <v>7760.02143775451</v>
      </c>
      <c r="I8" s="0" t="n">
        <f aca="false">I6*I7/100</f>
        <v>8109.22240245346</v>
      </c>
      <c r="J8" s="0" t="n">
        <f aca="false">J6*J7/100</f>
        <v>8433.5912985516</v>
      </c>
      <c r="K8" s="0" t="n">
        <f aca="false">K6*K7/100</f>
        <v>8728.76699400091</v>
      </c>
      <c r="L8" s="0" t="n">
        <f aca="false">L6*L7/100</f>
        <v>9034.27383879094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0.9</v>
      </c>
      <c r="D9" s="4" t="n">
        <f aca="false">Assumptions!D43</f>
        <v>0.9</v>
      </c>
      <c r="E9" s="4" t="n">
        <f aca="false">Assumptions!E43</f>
        <v>0.9</v>
      </c>
      <c r="F9" s="4" t="n">
        <f aca="false">Assumptions!F43</f>
        <v>0.9</v>
      </c>
      <c r="G9" s="4" t="n">
        <f aca="false">Assumptions!G43</f>
        <v>0.9</v>
      </c>
      <c r="H9" s="4" t="n">
        <f aca="false">Assumptions!H43</f>
        <v>0.9</v>
      </c>
      <c r="I9" s="4" t="n">
        <f aca="false">Assumptions!I43</f>
        <v>0.9</v>
      </c>
      <c r="J9" s="4" t="n">
        <f aca="false">Assumptions!J43</f>
        <v>0.9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-148.3272</v>
      </c>
      <c r="D10" s="0" t="n">
        <f aca="false">-D6*D9/100</f>
        <v>-160.193376</v>
      </c>
      <c r="E10" s="0" t="n">
        <f aca="false">-E6*E9/100</f>
        <v>-171.40691232</v>
      </c>
      <c r="F10" s="0" t="n">
        <f aca="false">-F6*F9/100</f>
        <v>-181.6913270592</v>
      </c>
      <c r="G10" s="0" t="n">
        <f aca="false">-G6*G9/100</f>
        <v>-191.684350047456</v>
      </c>
      <c r="H10" s="0" t="n">
        <f aca="false">-H6*H9/100</f>
        <v>-201.268567549829</v>
      </c>
      <c r="I10" s="0" t="n">
        <f aca="false">-I6*I9/100</f>
        <v>-210.325653089571</v>
      </c>
      <c r="J10" s="0" t="n">
        <f aca="false">-J6*J9/100</f>
        <v>-218.738679213154</v>
      </c>
      <c r="K10" s="0" t="n">
        <f aca="false">-K6*K9/100</f>
        <v>-226.394532985614</v>
      </c>
      <c r="L10" s="0" t="n">
        <f aca="false">-L6*L9/100</f>
        <v>-234.318341640111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5405.7024</v>
      </c>
      <c r="D11" s="0" t="n">
        <f aca="false">D8+D10+D24</f>
        <v>6105.147552</v>
      </c>
      <c r="E11" s="0" t="n">
        <f aca="false">E8+E10+E24</f>
        <v>6627.73394304</v>
      </c>
      <c r="F11" s="0" t="n">
        <f aca="false">F8+F10+F24</f>
        <v>7025.3979796224</v>
      </c>
      <c r="G11" s="0" t="n">
        <f aca="false">G8+G10+G24</f>
        <v>7305.30356291971</v>
      </c>
      <c r="H11" s="0" t="n">
        <f aca="false">H8+H10+H24</f>
        <v>7558.75287020468</v>
      </c>
      <c r="I11" s="0" t="n">
        <f aca="false">I8+I10+I24</f>
        <v>7898.89674936389</v>
      </c>
      <c r="J11" s="0" t="n">
        <f aca="false">J8+J10+J24</f>
        <v>8214.85261933845</v>
      </c>
      <c r="K11" s="0" t="n">
        <f aca="false">K8+K10+K24</f>
        <v>8502.3724610153</v>
      </c>
      <c r="L11" s="0" t="n">
        <f aca="false">L8+L10+L24</f>
        <v>8799.95549715083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-626.2704</v>
      </c>
      <c r="D12" s="4" t="n">
        <f aca="false">-D6*Assumptions!D45/100</f>
        <v>-676.372032</v>
      </c>
      <c r="E12" s="4" t="n">
        <f aca="false">-E6*Assumptions!E45/100</f>
        <v>-723.71807424</v>
      </c>
      <c r="F12" s="4" t="n">
        <f aca="false">-F6*Assumptions!F45/100</f>
        <v>-767.1411586944</v>
      </c>
      <c r="G12" s="4" t="n">
        <f aca="false">-G6*Assumptions!G45/100</f>
        <v>-809.333922422592</v>
      </c>
      <c r="H12" s="4" t="n">
        <f aca="false">-H6*Assumptions!H45/100</f>
        <v>-849.800618543722</v>
      </c>
      <c r="I12" s="4" t="n">
        <f aca="false">-I6*Assumptions!I45/100</f>
        <v>-888.041646378189</v>
      </c>
      <c r="J12" s="4" t="n">
        <f aca="false">-J6*Assumptions!J45/100</f>
        <v>-923.563312233317</v>
      </c>
      <c r="K12" s="4" t="n">
        <f aca="false">-K6*Assumptions!K45/100</f>
        <v>-955.888028161483</v>
      </c>
      <c r="L12" s="4" t="n">
        <f aca="false">-L6*Assumptions!L45/100</f>
        <v>-989.344109147134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4779.432</v>
      </c>
      <c r="D13" s="0" t="n">
        <f aca="false">D11+D12</f>
        <v>5428.77552</v>
      </c>
      <c r="E13" s="0" t="n">
        <f aca="false">E11+E12</f>
        <v>5904.0158688</v>
      </c>
      <c r="F13" s="0" t="n">
        <f aca="false">F11+F12</f>
        <v>6258.256820928</v>
      </c>
      <c r="G13" s="0" t="n">
        <f aca="false">G11+G12</f>
        <v>6495.96964049712</v>
      </c>
      <c r="H13" s="0" t="n">
        <f aca="false">H11+H12</f>
        <v>6708.95225166096</v>
      </c>
      <c r="I13" s="0" t="n">
        <f aca="false">I11+I12</f>
        <v>7010.8551029857</v>
      </c>
      <c r="J13" s="0" t="n">
        <f aca="false">J11+J12</f>
        <v>7291.28930710513</v>
      </c>
      <c r="K13" s="0" t="n">
        <f aca="false">K11+K12</f>
        <v>7546.48443285381</v>
      </c>
      <c r="L13" s="0" t="n">
        <f aca="false">L11+L12</f>
        <v>7810.61138800369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3608.47116</v>
      </c>
      <c r="D15" s="0" t="n">
        <f aca="false">D13-MAX(0,D13)*D14/100</f>
        <v>4098.7255176</v>
      </c>
      <c r="E15" s="0" t="n">
        <f aca="false">E13-MAX(0,E13)*E14/100</f>
        <v>4457.531980944</v>
      </c>
      <c r="F15" s="0" t="n">
        <f aca="false">F13-MAX(0,F13)*F14/100</f>
        <v>4724.98389980064</v>
      </c>
      <c r="G15" s="0" t="n">
        <f aca="false">G13-MAX(0,G13)*G14/100</f>
        <v>4904.45707857533</v>
      </c>
      <c r="H15" s="0" t="n">
        <f aca="false">H13-MAX(0,H13)*H14/100</f>
        <v>5065.25895000403</v>
      </c>
      <c r="I15" s="0" t="n">
        <f aca="false">I13-MAX(0,I13)*I14/100</f>
        <v>5293.19560275421</v>
      </c>
      <c r="J15" s="0" t="n">
        <f aca="false">J13-MAX(0,J13)*J14/100</f>
        <v>5504.92342686437</v>
      </c>
      <c r="K15" s="0" t="n">
        <f aca="false">K13-MAX(0,K13)*K14/100</f>
        <v>5697.59574680463</v>
      </c>
      <c r="L15" s="0" t="n">
        <f aca="false">L13-MAX(0,L13)*L14/100</f>
        <v>5897.01159794279</v>
      </c>
    </row>
    <row r="16" customFormat="false" ht="15" hidden="false" customHeight="false" outlineLevel="0" collapsed="false">
      <c r="A16" s="0" t="s">
        <v>124</v>
      </c>
      <c r="C16" s="0" t="n">
        <f aca="false">-C12</f>
        <v>626.2704</v>
      </c>
      <c r="D16" s="0" t="n">
        <f aca="false">-D12</f>
        <v>676.372032</v>
      </c>
      <c r="E16" s="0" t="n">
        <f aca="false">-E12</f>
        <v>723.71807424</v>
      </c>
      <c r="F16" s="0" t="n">
        <f aca="false">-F12</f>
        <v>767.1411586944</v>
      </c>
      <c r="G16" s="0" t="n">
        <f aca="false">-G12</f>
        <v>809.333922422592</v>
      </c>
      <c r="H16" s="0" t="n">
        <f aca="false">-H12</f>
        <v>849.800618543722</v>
      </c>
      <c r="I16" s="0" t="n">
        <f aca="false">-I12</f>
        <v>888.041646378189</v>
      </c>
      <c r="J16" s="0" t="n">
        <f aca="false">-J12</f>
        <v>923.563312233317</v>
      </c>
      <c r="K16" s="0" t="n">
        <f aca="false">-K12</f>
        <v>955.888028161483</v>
      </c>
      <c r="L16" s="0" t="n">
        <f aca="false">-L12</f>
        <v>989.344109147134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-1285.5024</v>
      </c>
      <c r="D17" s="4" t="n">
        <f aca="false">-D6*Assumptions!D46/100</f>
        <v>-1815.524928</v>
      </c>
      <c r="E17" s="4" t="n">
        <f aca="false">-E6*Assumptions!E46/100</f>
        <v>-1790.24997312</v>
      </c>
      <c r="F17" s="4" t="n">
        <f aca="false">-F6*Assumptions!F46/100</f>
        <v>-1736.1615696768</v>
      </c>
      <c r="G17" s="4" t="n">
        <f aca="false">-G6*Assumptions!G46/100</f>
        <v>-1746.45741154349</v>
      </c>
      <c r="H17" s="4" t="n">
        <f aca="false">-H6*Assumptions!H46/100</f>
        <v>-1744.32758543185</v>
      </c>
      <c r="I17" s="4" t="n">
        <f aca="false">-I6*Assumptions!I46/100</f>
        <v>-1729.34425873647</v>
      </c>
      <c r="J17" s="4" t="n">
        <f aca="false">-J6*Assumptions!J46/100</f>
        <v>-1701.30083832453</v>
      </c>
      <c r="K17" s="4" t="n">
        <f aca="false">-K6*Assumptions!K46/100</f>
        <v>-1660.22657522784</v>
      </c>
      <c r="L17" s="4" t="n">
        <f aca="false">-L6*Assumptions!L46/100</f>
        <v>-1718.33450536081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2949.23916</v>
      </c>
      <c r="D19" s="0" t="n">
        <f aca="false">D15+D16+D17+D18</f>
        <v>2959.5726216</v>
      </c>
      <c r="E19" s="0" t="n">
        <f aca="false">E15+E16+E17+E18</f>
        <v>3391.000082064</v>
      </c>
      <c r="F19" s="0" t="n">
        <f aca="false">F15+F16+F17+F18</f>
        <v>3755.96348881824</v>
      </c>
      <c r="G19" s="0" t="n">
        <f aca="false">G15+G16+G17+G18</f>
        <v>3967.33358945443</v>
      </c>
      <c r="H19" s="0" t="n">
        <f aca="false">H15+H16+H17+H18</f>
        <v>4170.7319831159</v>
      </c>
      <c r="I19" s="0" t="n">
        <f aca="false">I15+I16+I17+I18</f>
        <v>4451.89299039592</v>
      </c>
      <c r="J19" s="0" t="n">
        <f aca="false">J15+J16+J17+J18</f>
        <v>4727.18590077316</v>
      </c>
      <c r="K19" s="0" t="n">
        <f aca="false">K15+K16+K17+K18</f>
        <v>4993.25719973827</v>
      </c>
      <c r="L19" s="0" t="n">
        <f aca="false">L15+L16+L17+L18</f>
        <v>5168.02120172911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2633.24925</v>
      </c>
      <c r="D21" s="0" t="n">
        <f aca="false">D19*D20</f>
        <v>2359.35317410714</v>
      </c>
      <c r="E21" s="0" t="n">
        <f aca="false">E19*E20</f>
        <v>2413.64687874681</v>
      </c>
      <c r="F21" s="0" t="n">
        <f aca="false">F19*F20</f>
        <v>2386.98269897247</v>
      </c>
      <c r="G21" s="0" t="n">
        <f aca="false">G19*G20</f>
        <v>2251.17162425091</v>
      </c>
      <c r="H21" s="0" t="n">
        <f aca="false">H19*H20</f>
        <v>2113.02262073612</v>
      </c>
      <c r="I21" s="0" t="n">
        <f aca="false">I19*I20</f>
        <v>2013.81030096941</v>
      </c>
      <c r="J21" s="0" t="n">
        <f aca="false">J19*J20</f>
        <v>1909.23110086283</v>
      </c>
      <c r="K21" s="0" t="n">
        <f aca="false">K19*K20</f>
        <v>1800.61860353707</v>
      </c>
      <c r="L21" s="0" t="n">
        <f aca="false">L19*L20</f>
        <v>1663.96451309006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12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11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21545.0507652728</v>
      </c>
    </row>
    <row r="31" customFormat="false" ht="15" hidden="false" customHeight="false" outlineLevel="0" collapsed="false">
      <c r="A31" s="0" t="s">
        <v>133</v>
      </c>
      <c r="B31" s="0" t="n">
        <f aca="false">L19</f>
        <v>5168.02120172911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59145.1315308998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56848.2332190202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56848.2332190202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18303.6096439907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39848.6604092635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38132.6604092635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116.187265110492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0.624769474346133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1048.9180252393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863.417354399376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122.014003013108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44358.8486481749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85.6787487116706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65.764666179189</v>
      </c>
      <c r="C4" s="0" t="n">
        <f aca="false">B4/Assumptions!$B$2-1</f>
        <v>-0.0803430823774435</v>
      </c>
      <c r="D4" s="4" t="n">
        <f aca="false">Assumptions!$B$24</f>
        <v>0.25</v>
      </c>
      <c r="E4" s="4" t="n">
        <f aca="false">DCF_Bear!$B$43</f>
        <v>70.0516099424103</v>
      </c>
      <c r="F4" s="4" t="n">
        <f aca="false">DCF_Bear!$B$47</f>
        <v>54.1660687279236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96.1252258909531</v>
      </c>
      <c r="C5" s="0" t="n">
        <f aca="false">B5/Assumptions!$B$2-1</f>
        <v>0.344220750817412</v>
      </c>
      <c r="D5" s="4" t="n">
        <f aca="false">Assumptions!$B$38</f>
        <v>0.5</v>
      </c>
      <c r="E5" s="4" t="n">
        <f aca="false">DCF_Base!$B$43</f>
        <v>101.405016486435</v>
      </c>
      <c r="F5" s="4" t="n">
        <f aca="false">DCF_Base!$B$47</f>
        <v>74.5871146055763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116.187265110492</v>
      </c>
      <c r="C6" s="0" t="n">
        <f aca="false">B6/Assumptions!$B$2-1</f>
        <v>0.624769474346133</v>
      </c>
      <c r="D6" s="4" t="n">
        <f aca="false">Assumptions!$B$52</f>
        <v>0.25</v>
      </c>
      <c r="E6" s="4" t="n">
        <f aca="false">DCF_Bull!$B$43</f>
        <v>122.014003013108</v>
      </c>
      <c r="F6" s="4" t="n">
        <f aca="false">DCF_Bull!$B$47</f>
        <v>85.6787487116706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93.5505957678968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98.7189114820973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0.235600806034208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-426.456063961769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72.2547616626867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118.032697482892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110.080863811427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102.799952442642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96.1252258909531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74.5871146055763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10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110.080863811427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110.080863811427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110.080863811427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110.080863811427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110.080863811427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102.799952442642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102.799952442642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102.799952442642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102.799952442642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102.799952442642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96.1252258909531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96.1252258909531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96.1252258909531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96.1252258909531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96.1252258909531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87.1831359611322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89.0770196959262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89.9988215137462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89.9988215137462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89.9988215137462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79.0513819171263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80.5156430725467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82.11301887846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83.8625257135078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84.3689619026006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2026-10-02T09:16:33Z</dcterms:created>
  <dc:creator>openpyxl</dc:creator>
  <dc:description/>
  <dc:language>en-NZ</dc:language>
  <cp:lastModifiedBy/>
  <dcterms:modified xsi:type="dcterms:W3CDTF">2026-10-02T09:16:33Z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