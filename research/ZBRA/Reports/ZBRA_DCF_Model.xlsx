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<sst xmlns="http://schemas.openxmlformats.org/spreadsheetml/2006/main" count="386" uniqueCount="174">
  <si>
    <t xml:space="preserve">Ticker</t>
  </si>
  <si>
    <t xml:space="preserve">ZBRA</t>
  </si>
  <si>
    <t xml:space="preserve">Company</t>
  </si>
  <si>
    <t xml:space="preserve">Zebra Technologies Corporation</t>
  </si>
  <si>
    <t xml:space="preserve">Valuation date</t>
  </si>
  <si>
    <t xml:space="preserve">2026-10-03</t>
  </si>
  <si>
    <t xml:space="preserve">Current price</t>
  </si>
  <si>
    <t xml:space="preserve">Price as of</t>
  </si>
  <si>
    <t xml:space="preserve">2026-10-02T20:00:00Z regular close (Yahoo chart API)</t>
  </si>
  <si>
    <t xml:space="preserve">Balance sheet date</t>
  </si>
  <si>
    <t xml:space="preserve">2026-07-04</t>
  </si>
  <si>
    <t xml:space="preserve">Model</t>
  </si>
  <si>
    <t xml:space="preserve">owner_fcf_dcf_component</t>
  </si>
  <si>
    <t xml:space="preserve">Currency (model)</t>
  </si>
  <si>
    <t xml:space="preserve">USD</t>
  </si>
  <si>
    <t xml:space="preserve">Currency (quote)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</si>
  <si>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</si>
  <si>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</si>
  <si>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</si>
  <si>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</si>
  <si>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</si>
  <si>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2026-10-02T22:09:01Z</t>
  </si>
  <si>
    <t xml:space="preserve">Drivers file</t>
  </si>
  <si>
    <t xml:space="preserve">ZBRA_Drivers.json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</si>
  <si>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</si>
  <si>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</si>
  <si>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</si>
  <si>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Cyclical enterprise-hardware compounder valued on unlevered owner FCF (SBC fully expensed, share count flat) through a mid-cycle margin lens: the FY26 guided peak is the starting point, not the run-rate. Cyclicality is charged in the bear flows and weight, not in the discount rate.
key_risks_to_valuation: Channel destock: ~50% of sales via ScanSource, BlueStar and Ingram Micro; FY22-23 showed a -21% revenue swing; Peak-margin extrapolation: FY26 adjusted EBITDA 23.5-24.0% includes tariff-mitigation and volume leverage that may not persist; Refinancing: $2,275M of debt is current at 2026-07-04; Tariff regime changes; the ~$73M IEEPA refund is excluded; Equity-award withholding taxes not disclosed in XBRL after FY2021, so house SBC may be understated by up to ~$30M/yr</t>
  </si>
  <si>
    <t xml:space="preserve">Data sources</t>
  </si>
  <si>
    <t xml:space="preserve">price: Yahoo Finance chart API at inputs.price_as_of; 52-week range 199.05-386.23
financials: ZBRA_Metrics.csv (SEC XBRL core_metrics, FY2007-Q2 2026); SEC companyfacts API (CIK 877212) for SBC expense, D&amp;A, debt, cash, working capital, buybacks, diluted share count and dei cover-page shares at 2026-07-28
qualitative: ZBRA_Analysis.json (2026-10-03): Q2-26 guidance raise (sales +14-16%, adj. EBITDA 23.5-24.0%, FCF &gt;$1.0B), segments, competitive position, bull/bear cases</t>
  </si>
  <si>
    <t xml:space="preserve">Scenario narrative: bear</t>
  </si>
  <si>
    <t xml:space="preserve">The FY26 beat is a channel pull-forward: distributors destock as in FY22-23 (revenue -21% then), FY27 revenue -10% with adjusted EBITDA margin at 19%, recovering only to 21% as tariffs return and low-cost Asian entrants and smartphone/vision-based capture press on pricing; 12x exit.</t>
  </si>
  <si>
    <t xml:space="preserve">Scenario narrative: base</t>
  </si>
  <si>
    <t xml:space="preserve">Refresh cycle and Elo integration carry FY27 to +6%, then growth settles into management's 5-7% organic band and fades to 3% by FY34. Adjusted EBITDA margin returns from the FY26 guided 23.75% peak to a 22.5% mid-cycle level as tariff tailwinds and volume leverage normalise. SBC 3.1% of revenue gliding to 2.6%; cash tax ramps 20% -&gt; 21%.</t>
  </si>
  <si>
    <t xml:space="preserve">Scenario narrative: bull</t>
  </si>
  <si>
    <t xml:space="preserve">Machine vision (Photoneo, Matrox), RFID tagging mandates and the Frontline AI Suite turn Zebra into a software-enabled automation platform: growth 9% fading to 3.5%, adjusted EBITDA 25.5% on software mix and completed tariff mitigation, exit multiple 16x owner FCF.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</si>
  <si>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</si>
  <si>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</si>
  <si>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</si>
  <si>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</si>
  <si>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</si>
  <si>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</si>
  <si>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</si>
  <si>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</si>
  <si>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</si>
  <si>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</si>
  <si>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</si>
  <si>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</si>
  <si>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</si>
  <si>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</si>
  <si>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</si>
  <si>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</si>
  <si>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</si>
  <si>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</si>
  <si>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</si>
  <si>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</si>
  <si>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</si>
  <si>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</si>
  <si>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</si>
  <si>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</si>
  <si>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</si>
  <si>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</si>
  <si>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</si>
  <si>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FY2007</t>
  </si>
  <si>
    <t xml:space="preserve">FY2008</t>
  </si>
  <si>
    <t xml:space="preserve">FY2009</t>
  </si>
  <si>
    <t xml:space="preserve">FY2010</t>
  </si>
  <si>
    <t xml:space="preserve">FY2011</t>
  </si>
  <si>
    <t xml:space="preserve">FY2012</t>
  </si>
  <si>
    <t xml:space="preserve">FY2013</t>
  </si>
  <si>
    <t xml:space="preserve">FY2014</t>
  </si>
  <si>
    <t xml:space="preserve">FY2015</t>
  </si>
  <si>
    <t xml:space="preserve">FY2016</t>
  </si>
  <si>
    <t xml:space="preserve">FY2017</t>
  </si>
  <si>
    <t xml:space="preserve">FY2018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</si>
  <si>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</si>
  <si>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</si>
  <si>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</si>
  <si>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</si>
  <si>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</si>
  <si>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</si>
  <si>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</si>
  <si>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</si>
  <si>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</si>
  <si>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</si>
  <si>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</si>
  <si>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</si>
  <si>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</si>
  <si>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</si>
  <si>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</si>
  <si>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</si>
  <si>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FY2026E</t>
  </si>
  <si>
    <t xml:space="preserve">Currency / units</t>
  </si>
  <si>
    <t xml:space="preserve">USD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</si>
  <si>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</si>
  <si>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</si>
  <si>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</si>
  <si>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</si>
  <si>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</si>
  <si>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</si>
  <si>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</si>
  <si>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</si>
  <si>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</si>
  <si>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</si>
  <si>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</si>
  <si>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</si>
  <si>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</si>
  <si>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</si>
  <si>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</si>
  <si>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</si>
  <si>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</si>
  <si>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</si>
  <si>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</si>
  <si>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</si>
  <si>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</si>
  <si>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</si>
  <si>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</si>
  <si>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</si>
  <si>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</si>
  <si>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</si>
  <si>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ZBRA owner-FCF component DCF: bear case (millions, USD)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</si>
  <si>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</si>
  <si>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</si>
  <si>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</si>
  <si>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</si>
  <si>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</si>
  <si>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</si>
  <si>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</si>
  <si>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</si>
  <si>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</si>
  <si>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</si>
  <si>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</si>
  <si>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</si>
  <si>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</si>
  <si>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</si>
  <si>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</si>
  <si>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</si>
  <si>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</si>
  <si>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</si>
  <si>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</si>
  <si>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</si>
  <si>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</si>
  <si>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</si>
  <si>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</si>
  <si>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</si>
  <si>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</si>
  <si>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</si>
  <si>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</si>
  <si>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</si>
  <si>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</si>
  <si>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</si>
  <si>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ZBRA owner-FCF component DCF: base case (millions, USD)</t>
  </si>
  <si>
    <t xml:space="preserve">ZBRA owner-FCF component DCF: bull case (millions, USD)</t>
  </si>
  <si>
    <t xml:space="preserve">ZBRA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</si>
  <si>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</si>
  <si>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</si>
  <si>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</si>
  <si>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</si>
  <si>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</si>
  <si>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</si>
  <si>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</si>
  <si>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</si>
  <si>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</si>
  <si>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</si>
  <si>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</si>
  <si>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</si>
  <si>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</si>
  <si>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</si>
  <si>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9%</t>
  </si>
  <si>
    <t xml:space="preserve">Value per share at 10% (WACC)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</si>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</sst>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375.86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14</v>
      </c>
    </row>
    <row r="10" customFormat="false" ht="15" hidden="false" customHeight="false" outlineLevel="0" collapsed="false">
      <c r="A10" s="0" t="s">
        <v>16</v>
      </c>
      <c r="B10" s="0" t="s">
        <v>17</v>
      </c>
    </row>
    <row r="11" customFormat="false" ht="15" hidden="false" customHeight="false" outlineLevel="0" collapsed="false">
      <c r="A11" s="0" t="s">
        <v>18</v>
      </c>
      <c r="B11" s="0" t="s">
        <v>19</v>
      </c>
    </row>
    <row r="12" customFormat="false" ht="15" hidden="false" customHeight="false" outlineLevel="0" collapsed="false">
      <c r="A12" s="0" t="s">
        <v>20</v>
      </c>
      <c r="B12" s="0" t="s">
        <v>21</v>
      </c>
    </row>
    <row r="13" customFormat="false" ht="15" hidden="false" customHeight="false" outlineLevel="0" collapsed="false">
      <c r="A13" s="0" t="s">
        <v>22</v>
      </c>
      <c r="B13" s="0" t="s">
        <v>23</v>
      </c>
    </row>
    <row r="14" customFormat="false" ht="15" hidden="false" customHeight="false" outlineLevel="0" collapsed="false">
      <c r="A14" s="0" t="s">
        <v>24</v>
      </c>
      <c r="B14" s="0" t="s">
        <v>25</v>
      </c>
    </row>
    <row r="15" customFormat="false" ht="23.85" hidden="false" customHeight="false" outlineLevel="0" collapsed="false">
      <c r="A15" s="0" t="s">
        <v>26</v>
      </c>
      <c r="B15" s="1" t="s">
        <v>27</v>
      </c>
    </row>
    <row r="16" customFormat="false" ht="35.05" hidden="false" customHeight="false" outlineLevel="0" collapsed="false">
      <c r="A16" s="0" t="s">
        <v>28</v>
      </c>
      <c r="B16" s="1" t="s">
        <v>29</v>
      </c>
    </row>
    <row r="17" customFormat="false" ht="15" hidden="false" customHeight="false" outlineLevel="0" collapsed="false">
      <c r="A17" s="0" t="s">
        <v>30</v>
      </c>
      <c r="B17" s="0" t="s">
        <v>31</v>
      </c>
    </row>
    <row r="18" customFormat="false" ht="15" hidden="false" customHeight="false" outlineLevel="0" collapsed="false">
      <c r="A18" s="0" t="s">
        <v>32</v>
      </c>
      <c r="B18" s="0" t="s">
        <v>33</v>
      </c>
    </row>
    <row r="19" customFormat="false" ht="15" hidden="false" customHeight="false" outlineLevel="0" collapsed="false">
      <c r="A19" s="0" t="s">
        <v>34</v>
      </c>
      <c r="B19" s="0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36</v>
      </c>
      <c r="B1" s="2" t="s">
        <v>37</v>
      </c>
      <c r="C1" s="2" t="s">
        <v>38</v>
      </c>
      <c r="D1" s="2" t="s">
        <v>39</v>
      </c>
      <c r="E1" s="2" t="s">
        <v>40</v>
      </c>
      <c r="F1" s="2" t="s">
        <v>41</v>
      </c>
      <c r="G1" s="2" t="s">
        <v>42</v>
      </c>
      <c r="H1" s="2" t="s">
        <v>43</v>
      </c>
      <c r="I1" s="2" t="s">
        <v>44</v>
      </c>
      <c r="J1" s="2" t="s">
        <v>45</v>
      </c>
      <c r="K1" s="2" t="s">
        <v>46</v>
      </c>
      <c r="L1" s="2" t="s">
        <v>47</v>
      </c>
      <c r="M1" s="2" t="s">
        <v>48</v>
      </c>
      <c r="N1" s="2" t="s">
        <v>49</v>
      </c>
      <c r="O1" s="2" t="s">
        <v>50</v>
      </c>
      <c r="P1" s="2" t="s">
        <v>51</v>
      </c>
      <c r="Q1" s="2" t="s">
        <v>52</v>
      </c>
      <c r="R1" s="2" t="s">
        <v>53</v>
      </c>
      <c r="S1" s="2" t="s">
        <v>54</v>
      </c>
      <c r="T1" s="2" t="s">
        <v>55</v>
      </c>
      <c r="U1" s="2" t="s">
        <v>56</v>
      </c>
      <c r="V1" s="2" t="s">
        <v>57</v>
      </c>
      <c r="W1" s="2" t="s">
        <v>58</v>
      </c>
      <c r="X1" s="2" t="s">
        <v>59</v>
      </c>
      <c r="Y1" s="2" t="s">
        <v>60</v>
      </c>
      <c r="Z1" s="2" t="s">
        <v>61</v>
      </c>
      <c r="AA1" s="2" t="s">
        <v>16</v>
      </c>
      <c r="AB1" s="2" t="s">
        <v>62</v>
      </c>
    </row>
    <row r="2" customFormat="false" ht="15" hidden="false" customHeight="false" outlineLevel="0" collapsed="false">
      <c r="A2" s="0" t="s">
        <v>63</v>
      </c>
      <c r="O2" s="0" t="n">
        <v>902.693</v>
      </c>
      <c r="S2" s="0" t="n">
        <v>38.211</v>
      </c>
      <c r="AA2" s="0" t="s">
        <v>17</v>
      </c>
      <c r="AB2" s="0" t="s">
        <v>14</v>
      </c>
    </row>
    <row r="3" customFormat="false" ht="15" hidden="false" customHeight="false" outlineLevel="0" collapsed="false">
      <c r="A3" s="0" t="s">
        <v>64</v>
      </c>
      <c r="B3" s="0" t="n">
        <v>976.7</v>
      </c>
      <c r="C3" s="0" t="n">
        <v>497.395</v>
      </c>
      <c r="D3" s="0" t="n">
        <v>479.305</v>
      </c>
      <c r="E3" s="0" t="n">
        <v>49.0739223917272</v>
      </c>
      <c r="F3" s="0" t="n">
        <v>-15.346</v>
      </c>
      <c r="G3" s="0" t="n">
        <v>-1.57120917374834</v>
      </c>
      <c r="H3" s="0" t="n">
        <v>23.235</v>
      </c>
      <c r="I3" s="0" t="n">
        <v>-38.421</v>
      </c>
      <c r="J3" s="0" t="n">
        <v>-3.93375652708099</v>
      </c>
      <c r="K3" s="0" t="n">
        <v>-0.6</v>
      </c>
      <c r="L3" s="0" t="n">
        <v>138.282</v>
      </c>
      <c r="M3" s="0" t="n">
        <v>40.889</v>
      </c>
      <c r="N3" s="0" t="n">
        <v>97.393</v>
      </c>
      <c r="O3" s="0" t="n">
        <v>710.738</v>
      </c>
      <c r="S3" s="0" t="n">
        <v>29.827</v>
      </c>
      <c r="T3" s="0" t="n">
        <v>64.524</v>
      </c>
      <c r="U3" s="0" t="n">
        <v>14.962</v>
      </c>
      <c r="AA3" s="0" t="s">
        <v>17</v>
      </c>
      <c r="AB3" s="0" t="s">
        <v>14</v>
      </c>
    </row>
    <row r="4" customFormat="false" ht="15" hidden="false" customHeight="false" outlineLevel="0" collapsed="false">
      <c r="A4" s="0" t="s">
        <v>65</v>
      </c>
      <c r="B4" s="0" t="n">
        <v>738.482</v>
      </c>
      <c r="C4" s="0" t="n">
        <v>420.895</v>
      </c>
      <c r="D4" s="0" t="n">
        <v>317.587</v>
      </c>
      <c r="E4" s="0" t="n">
        <v>43.0053813092262</v>
      </c>
      <c r="F4" s="0" t="n">
        <v>70.279</v>
      </c>
      <c r="G4" s="0" t="n">
        <v>9.51668422520793</v>
      </c>
      <c r="H4" s="0" t="n">
        <v>103.192</v>
      </c>
      <c r="I4" s="0" t="n">
        <v>47.104</v>
      </c>
      <c r="J4" s="0" t="n">
        <v>6.37848992934154</v>
      </c>
      <c r="K4" s="0" t="n">
        <v>0.79</v>
      </c>
      <c r="L4" s="0" t="n">
        <v>105.698</v>
      </c>
      <c r="M4" s="0" t="n">
        <v>24.89</v>
      </c>
      <c r="N4" s="0" t="n">
        <v>80.808</v>
      </c>
      <c r="O4" s="0" t="n">
        <v>712.129</v>
      </c>
      <c r="P4" s="0" t="n">
        <v>830.479</v>
      </c>
      <c r="Q4" s="0" t="n">
        <v>118.35</v>
      </c>
      <c r="S4" s="0" t="n">
        <v>37.249</v>
      </c>
      <c r="T4" s="0" t="n">
        <v>59.425</v>
      </c>
      <c r="U4" s="0" t="n">
        <v>11.467</v>
      </c>
      <c r="AA4" s="0" t="s">
        <v>17</v>
      </c>
      <c r="AB4" s="0" t="s">
        <v>14</v>
      </c>
    </row>
    <row r="5" customFormat="false" ht="15" hidden="false" customHeight="false" outlineLevel="0" collapsed="false">
      <c r="A5" s="0" t="s">
        <v>66</v>
      </c>
      <c r="B5" s="0" t="n">
        <v>894.359</v>
      </c>
      <c r="C5" s="0" t="n">
        <v>473.584</v>
      </c>
      <c r="D5" s="0" t="n">
        <v>420.775</v>
      </c>
      <c r="E5" s="0" t="n">
        <v>47.0476620685877</v>
      </c>
      <c r="F5" s="0" t="n">
        <v>148.215</v>
      </c>
      <c r="G5" s="0" t="n">
        <v>16.5722042267143</v>
      </c>
      <c r="H5" s="0" t="n">
        <v>179.424</v>
      </c>
      <c r="I5" s="0" t="n">
        <v>101.778</v>
      </c>
      <c r="J5" s="0" t="n">
        <v>11.3799939397938</v>
      </c>
      <c r="K5" s="0" t="n">
        <v>1.78</v>
      </c>
      <c r="L5" s="0" t="n">
        <v>141.837</v>
      </c>
      <c r="M5" s="0" t="n">
        <v>30.721</v>
      </c>
      <c r="N5" s="0" t="n">
        <v>111.116</v>
      </c>
      <c r="O5" s="0" t="n">
        <v>730.032</v>
      </c>
      <c r="P5" s="0" t="n">
        <v>878.864</v>
      </c>
      <c r="Q5" s="0" t="n">
        <v>148.832</v>
      </c>
      <c r="S5" s="0" t="n">
        <v>47.553</v>
      </c>
      <c r="T5" s="0" t="n">
        <v>57.428</v>
      </c>
      <c r="U5" s="0" t="n">
        <v>11.871</v>
      </c>
      <c r="AA5" s="0" t="s">
        <v>17</v>
      </c>
      <c r="AB5" s="0" t="s">
        <v>14</v>
      </c>
    </row>
    <row r="6" customFormat="false" ht="15" hidden="false" customHeight="false" outlineLevel="0" collapsed="false">
      <c r="A6" s="0" t="s">
        <v>67</v>
      </c>
      <c r="B6" s="0" t="n">
        <v>983.488</v>
      </c>
      <c r="C6" s="0" t="n">
        <v>496.719</v>
      </c>
      <c r="D6" s="0" t="n">
        <v>486.769</v>
      </c>
      <c r="E6" s="0" t="n">
        <v>49.4941473612286</v>
      </c>
      <c r="F6" s="0" t="n">
        <v>182.036</v>
      </c>
      <c r="G6" s="0" t="n">
        <v>18.5092243118371</v>
      </c>
      <c r="H6" s="0" t="n">
        <v>206.036</v>
      </c>
      <c r="I6" s="0" t="n">
        <v>174.643</v>
      </c>
      <c r="J6" s="0" t="n">
        <v>17.7575120387844</v>
      </c>
      <c r="K6" s="0" t="n">
        <v>3.24</v>
      </c>
      <c r="L6" s="0" t="n">
        <v>78.308</v>
      </c>
      <c r="M6" s="0" t="n">
        <v>26.918</v>
      </c>
      <c r="N6" s="0" t="n">
        <v>51.39</v>
      </c>
      <c r="O6" s="0" t="n">
        <v>776.925</v>
      </c>
      <c r="P6" s="0" t="n">
        <v>899.006</v>
      </c>
      <c r="Q6" s="0" t="n">
        <v>122.081</v>
      </c>
      <c r="S6" s="0" t="n">
        <v>36.418</v>
      </c>
      <c r="T6" s="0" t="n">
        <v>52.095166</v>
      </c>
      <c r="U6" s="0" t="n">
        <v>14.095</v>
      </c>
      <c r="AA6" s="0" t="s">
        <v>17</v>
      </c>
      <c r="AB6" s="0" t="s">
        <v>14</v>
      </c>
    </row>
    <row r="7" customFormat="false" ht="15" hidden="false" customHeight="false" outlineLevel="0" collapsed="false">
      <c r="A7" s="0" t="s">
        <v>68</v>
      </c>
      <c r="B7" s="0" t="n">
        <v>996.168</v>
      </c>
      <c r="C7" s="0" t="n">
        <v>504.524</v>
      </c>
      <c r="D7" s="0" t="n">
        <v>491.644</v>
      </c>
      <c r="E7" s="0" t="n">
        <v>49.3535226989825</v>
      </c>
      <c r="F7" s="0" t="n">
        <v>164.351</v>
      </c>
      <c r="G7" s="0" t="n">
        <v>16.4983215682495</v>
      </c>
      <c r="H7" s="0" t="n">
        <v>190.528</v>
      </c>
      <c r="I7" s="0" t="n">
        <v>122.904</v>
      </c>
      <c r="J7" s="0" t="n">
        <v>12.3376779820271</v>
      </c>
      <c r="K7" s="0" t="n">
        <v>2.38</v>
      </c>
      <c r="L7" s="0" t="n">
        <v>183.331</v>
      </c>
      <c r="M7" s="0" t="n">
        <v>22.443</v>
      </c>
      <c r="N7" s="0" t="n">
        <v>160.888</v>
      </c>
      <c r="O7" s="0" t="n">
        <v>857</v>
      </c>
      <c r="P7" s="0" t="n">
        <v>967.748</v>
      </c>
      <c r="Q7" s="0" t="n">
        <v>110.746</v>
      </c>
      <c r="S7" s="0" t="n">
        <v>65</v>
      </c>
      <c r="T7" s="0" t="n">
        <v>51.843</v>
      </c>
      <c r="U7" s="0" t="n">
        <v>14.727</v>
      </c>
      <c r="AA7" s="0" t="s">
        <v>17</v>
      </c>
      <c r="AB7" s="0" t="s">
        <v>14</v>
      </c>
    </row>
    <row r="8" customFormat="false" ht="15" hidden="false" customHeight="false" outlineLevel="0" collapsed="false">
      <c r="A8" s="0" t="s">
        <v>69</v>
      </c>
      <c r="B8" s="0" t="n">
        <v>1038</v>
      </c>
      <c r="C8" s="0" t="n">
        <v>535</v>
      </c>
      <c r="D8" s="0" t="n">
        <v>503</v>
      </c>
      <c r="E8" s="0" t="n">
        <v>48.4585741811175</v>
      </c>
      <c r="F8" s="0" t="n">
        <v>160</v>
      </c>
      <c r="G8" s="0" t="n">
        <v>15.4142581888247</v>
      </c>
      <c r="H8" s="0" t="n">
        <v>192</v>
      </c>
      <c r="I8" s="0" t="n">
        <v>134</v>
      </c>
      <c r="J8" s="0" t="n">
        <v>12.9094412331407</v>
      </c>
      <c r="K8" s="0" t="n">
        <v>2.65</v>
      </c>
      <c r="L8" s="0" t="n">
        <v>194.766</v>
      </c>
      <c r="M8" s="0" t="n">
        <v>20</v>
      </c>
      <c r="N8" s="0" t="n">
        <v>174.766</v>
      </c>
      <c r="O8" s="0" t="n">
        <v>959</v>
      </c>
      <c r="P8" s="0" t="n">
        <v>1119.812</v>
      </c>
      <c r="Q8" s="0" t="n">
        <v>161.154</v>
      </c>
      <c r="R8" s="0" t="n">
        <v>0</v>
      </c>
      <c r="S8" s="0" t="n">
        <v>63</v>
      </c>
      <c r="T8" s="0" t="n">
        <v>51.063189</v>
      </c>
      <c r="U8" s="0" t="n">
        <v>13</v>
      </c>
      <c r="AA8" s="0" t="s">
        <v>17</v>
      </c>
      <c r="AB8" s="0" t="s">
        <v>14</v>
      </c>
    </row>
    <row r="9" customFormat="false" ht="15" hidden="false" customHeight="false" outlineLevel="0" collapsed="false">
      <c r="A9" s="0" t="s">
        <v>70</v>
      </c>
      <c r="B9" s="0" t="n">
        <v>1671</v>
      </c>
      <c r="C9" s="0" t="n">
        <v>893</v>
      </c>
      <c r="D9" s="0" t="n">
        <v>778</v>
      </c>
      <c r="E9" s="0" t="n">
        <v>46.55894673848</v>
      </c>
      <c r="F9" s="0" t="n">
        <v>89</v>
      </c>
      <c r="G9" s="0" t="n">
        <v>5.32615200478755</v>
      </c>
      <c r="H9" s="0" t="n">
        <v>170</v>
      </c>
      <c r="I9" s="0" t="n">
        <v>32</v>
      </c>
      <c r="J9" s="0" t="n">
        <v>1.91502094554159</v>
      </c>
      <c r="K9" s="0" t="n">
        <v>0.64</v>
      </c>
      <c r="M9" s="0" t="n">
        <v>39</v>
      </c>
      <c r="O9" s="0" t="n">
        <v>1040</v>
      </c>
      <c r="P9" s="0" t="n">
        <v>5539</v>
      </c>
      <c r="Q9" s="0" t="n">
        <v>4499</v>
      </c>
      <c r="R9" s="0" t="n">
        <v>3160</v>
      </c>
      <c r="S9" s="0" t="n">
        <v>394</v>
      </c>
      <c r="T9" s="0" t="n">
        <v>51.654337</v>
      </c>
      <c r="U9" s="0" t="n">
        <v>20</v>
      </c>
      <c r="AA9" s="0" t="s">
        <v>17</v>
      </c>
      <c r="AB9" s="0" t="s">
        <v>14</v>
      </c>
    </row>
    <row r="10" customFormat="false" ht="15" hidden="false" customHeight="false" outlineLevel="0" collapsed="false">
      <c r="A10" s="0" t="s">
        <v>71</v>
      </c>
      <c r="B10" s="0" t="n">
        <v>3650</v>
      </c>
      <c r="C10" s="0" t="n">
        <v>2006</v>
      </c>
      <c r="D10" s="0" t="n">
        <v>1644</v>
      </c>
      <c r="E10" s="0" t="n">
        <v>45.041095890411</v>
      </c>
      <c r="F10" s="0" t="n">
        <v>37</v>
      </c>
      <c r="G10" s="0" t="n">
        <v>1.01369863013699</v>
      </c>
      <c r="H10" s="0" t="n">
        <v>357</v>
      </c>
      <c r="I10" s="0" t="n">
        <v>-158</v>
      </c>
      <c r="J10" s="0" t="n">
        <v>-4.32876712328767</v>
      </c>
      <c r="K10" s="0" t="n">
        <v>-3.1</v>
      </c>
      <c r="L10" s="0" t="n">
        <v>122</v>
      </c>
      <c r="M10" s="0" t="n">
        <v>122</v>
      </c>
      <c r="N10" s="0" t="n">
        <v>0</v>
      </c>
      <c r="O10" s="0" t="n">
        <v>893</v>
      </c>
      <c r="P10" s="0" t="n">
        <v>5040</v>
      </c>
      <c r="Q10" s="0" t="n">
        <v>4147</v>
      </c>
      <c r="R10" s="0" t="n">
        <v>3012</v>
      </c>
      <c r="S10" s="0" t="n">
        <v>192</v>
      </c>
      <c r="T10" s="0" t="n">
        <v>50.996297</v>
      </c>
      <c r="U10" s="0" t="n">
        <v>33</v>
      </c>
      <c r="AA10" s="0" t="s">
        <v>17</v>
      </c>
      <c r="AB10" s="0" t="s">
        <v>14</v>
      </c>
    </row>
    <row r="11" customFormat="false" ht="15" hidden="false" customHeight="false" outlineLevel="0" collapsed="false">
      <c r="A11" s="0" t="s">
        <v>72</v>
      </c>
      <c r="B11" s="0" t="n">
        <v>3574</v>
      </c>
      <c r="C11" s="0" t="n">
        <v>1932</v>
      </c>
      <c r="D11" s="0" t="n">
        <v>1642</v>
      </c>
      <c r="E11" s="0" t="n">
        <v>45.9429210968103</v>
      </c>
      <c r="F11" s="0" t="n">
        <v>80</v>
      </c>
      <c r="G11" s="0" t="n">
        <v>2.23838836038053</v>
      </c>
      <c r="H11" s="0" t="n">
        <v>384</v>
      </c>
      <c r="I11" s="0" t="n">
        <v>-137</v>
      </c>
      <c r="J11" s="0" t="n">
        <v>-3.83324006715165</v>
      </c>
      <c r="K11" s="0" t="n">
        <v>-2.65</v>
      </c>
      <c r="L11" s="0" t="n">
        <v>380</v>
      </c>
      <c r="M11" s="0" t="n">
        <v>77</v>
      </c>
      <c r="N11" s="0" t="n">
        <v>303</v>
      </c>
      <c r="O11" s="0" t="n">
        <v>792</v>
      </c>
      <c r="P11" s="0" t="n">
        <v>4632</v>
      </c>
      <c r="Q11" s="0" t="n">
        <v>3840</v>
      </c>
      <c r="R11" s="0" t="n">
        <v>2648</v>
      </c>
      <c r="S11" s="0" t="n">
        <v>156</v>
      </c>
      <c r="T11" s="0" t="n">
        <v>51.579112</v>
      </c>
      <c r="U11" s="0" t="n">
        <v>28</v>
      </c>
      <c r="AA11" s="0" t="s">
        <v>17</v>
      </c>
      <c r="AB11" s="0" t="s">
        <v>14</v>
      </c>
    </row>
    <row r="12" customFormat="false" ht="15" hidden="false" customHeight="false" outlineLevel="0" collapsed="false">
      <c r="A12" s="0" t="s">
        <v>73</v>
      </c>
      <c r="B12" s="0" t="n">
        <v>3722</v>
      </c>
      <c r="C12" s="0" t="n">
        <v>2012</v>
      </c>
      <c r="D12" s="0" t="n">
        <v>1710</v>
      </c>
      <c r="E12" s="0" t="n">
        <v>45.9430413756045</v>
      </c>
      <c r="F12" s="0" t="n">
        <v>322</v>
      </c>
      <c r="G12" s="0" t="n">
        <v>8.65126276195594</v>
      </c>
      <c r="H12" s="0" t="n">
        <v>585</v>
      </c>
      <c r="I12" s="0" t="n">
        <v>17</v>
      </c>
      <c r="J12" s="0" t="n">
        <v>0.45674368619022</v>
      </c>
      <c r="K12" s="0" t="n">
        <v>0.33</v>
      </c>
      <c r="L12" s="0" t="n">
        <v>478</v>
      </c>
      <c r="M12" s="0" t="n">
        <v>50</v>
      </c>
      <c r="N12" s="0" t="n">
        <v>428</v>
      </c>
      <c r="O12" s="0" t="n">
        <v>834</v>
      </c>
      <c r="P12" s="0" t="n">
        <v>4275</v>
      </c>
      <c r="Q12" s="0" t="n">
        <v>3441</v>
      </c>
      <c r="R12" s="0" t="n">
        <v>2227</v>
      </c>
      <c r="S12" s="0" t="n">
        <v>62</v>
      </c>
      <c r="T12" s="0" t="n">
        <v>53.688832</v>
      </c>
      <c r="U12" s="0" t="n">
        <v>38</v>
      </c>
      <c r="AA12" s="0" t="s">
        <v>17</v>
      </c>
      <c r="AB12" s="0" t="s">
        <v>14</v>
      </c>
    </row>
    <row r="13" customFormat="false" ht="15" hidden="false" customHeight="false" outlineLevel="0" collapsed="false">
      <c r="A13" s="0" t="s">
        <v>74</v>
      </c>
      <c r="B13" s="0" t="n">
        <v>4218</v>
      </c>
      <c r="C13" s="0" t="n">
        <v>2237</v>
      </c>
      <c r="D13" s="0" t="n">
        <v>1981</v>
      </c>
      <c r="E13" s="0" t="n">
        <v>46.9653864390707</v>
      </c>
      <c r="F13" s="0" t="n">
        <v>610</v>
      </c>
      <c r="G13" s="0" t="n">
        <v>14.4618302513039</v>
      </c>
      <c r="H13" s="0" t="n">
        <v>785</v>
      </c>
      <c r="I13" s="0" t="n">
        <v>421</v>
      </c>
      <c r="J13" s="0" t="n">
        <v>9.98103366524419</v>
      </c>
      <c r="K13" s="0" t="n">
        <v>7.86</v>
      </c>
      <c r="L13" s="0" t="n">
        <v>785</v>
      </c>
      <c r="M13" s="0" t="n">
        <v>64</v>
      </c>
      <c r="N13" s="0" t="n">
        <v>721</v>
      </c>
      <c r="O13" s="0" t="n">
        <v>1335</v>
      </c>
      <c r="P13" s="0" t="n">
        <v>4339</v>
      </c>
      <c r="Q13" s="0" t="n">
        <v>3004</v>
      </c>
      <c r="R13" s="0" t="n">
        <v>1591</v>
      </c>
      <c r="S13" s="0" t="n">
        <v>44</v>
      </c>
      <c r="T13" s="0" t="n">
        <v>54.299812</v>
      </c>
      <c r="U13" s="0" t="n">
        <v>53</v>
      </c>
      <c r="AA13" s="0" t="s">
        <v>17</v>
      </c>
      <c r="AB13" s="0" t="s">
        <v>14</v>
      </c>
    </row>
    <row r="14" customFormat="false" ht="15" hidden="false" customHeight="false" outlineLevel="0" collapsed="false">
      <c r="A14" s="0" t="s">
        <v>75</v>
      </c>
      <c r="B14" s="0" t="n">
        <v>4485</v>
      </c>
      <c r="C14" s="0" t="n">
        <v>2385</v>
      </c>
      <c r="D14" s="0" t="n">
        <v>2100</v>
      </c>
      <c r="E14" s="0" t="n">
        <v>46.8227424749164</v>
      </c>
      <c r="F14" s="0" t="n">
        <v>692</v>
      </c>
      <c r="G14" s="0" t="n">
        <v>15.4292084726867</v>
      </c>
      <c r="H14" s="0" t="n">
        <v>867</v>
      </c>
      <c r="I14" s="0" t="n">
        <v>544</v>
      </c>
      <c r="J14" s="0" t="n">
        <v>12.1293199554069</v>
      </c>
      <c r="K14" s="0" t="n">
        <v>10.08</v>
      </c>
      <c r="L14" s="0" t="n">
        <v>685</v>
      </c>
      <c r="M14" s="0" t="n">
        <v>61</v>
      </c>
      <c r="N14" s="0" t="n">
        <v>624</v>
      </c>
      <c r="O14" s="0" t="n">
        <v>1839</v>
      </c>
      <c r="P14" s="0" t="n">
        <v>4711</v>
      </c>
      <c r="Q14" s="0" t="n">
        <v>2872</v>
      </c>
      <c r="R14" s="0" t="n">
        <v>1277</v>
      </c>
      <c r="S14" s="0" t="n">
        <v>30</v>
      </c>
      <c r="T14" s="0" t="n">
        <v>54.594417</v>
      </c>
      <c r="U14" s="0" t="n">
        <v>60</v>
      </c>
      <c r="AA14" s="0" t="s">
        <v>17</v>
      </c>
      <c r="AB14" s="0" t="s">
        <v>14</v>
      </c>
    </row>
    <row r="15" customFormat="false" ht="15" hidden="false" customHeight="false" outlineLevel="0" collapsed="false">
      <c r="A15" s="0" t="s">
        <v>76</v>
      </c>
      <c r="B15" s="0" t="n">
        <v>4448</v>
      </c>
      <c r="C15" s="0" t="n">
        <v>2445</v>
      </c>
      <c r="D15" s="0" t="n">
        <v>2003</v>
      </c>
      <c r="E15" s="0" t="n">
        <v>45.0314748201439</v>
      </c>
      <c r="F15" s="0" t="n">
        <v>651</v>
      </c>
      <c r="G15" s="0" t="n">
        <v>14.6357913669065</v>
      </c>
      <c r="H15" s="0" t="n">
        <v>797</v>
      </c>
      <c r="I15" s="0" t="n">
        <v>504</v>
      </c>
      <c r="J15" s="0" t="n">
        <v>11.3309352517986</v>
      </c>
      <c r="K15" s="0" t="n">
        <v>9.43</v>
      </c>
      <c r="L15" s="0" t="n">
        <v>962</v>
      </c>
      <c r="M15" s="0" t="n">
        <v>67</v>
      </c>
      <c r="N15" s="0" t="n">
        <v>895</v>
      </c>
      <c r="O15" s="0" t="n">
        <v>2144</v>
      </c>
      <c r="P15" s="0" t="n">
        <v>5375</v>
      </c>
      <c r="Q15" s="0" t="n">
        <v>3231</v>
      </c>
      <c r="R15" s="0" t="n">
        <v>1245</v>
      </c>
      <c r="S15" s="0" t="n">
        <v>168</v>
      </c>
      <c r="T15" s="0" t="n">
        <v>53.913245</v>
      </c>
      <c r="U15" s="0" t="n">
        <v>59</v>
      </c>
      <c r="AA15" s="0" t="s">
        <v>17</v>
      </c>
      <c r="AB15" s="0" t="s">
        <v>14</v>
      </c>
    </row>
    <row r="16" customFormat="false" ht="15" hidden="false" customHeight="false" outlineLevel="0" collapsed="false">
      <c r="A16" s="0" t="s">
        <v>77</v>
      </c>
      <c r="B16" s="0" t="n">
        <v>5627</v>
      </c>
      <c r="C16" s="0" t="n">
        <v>2999</v>
      </c>
      <c r="D16" s="0" t="n">
        <v>2628</v>
      </c>
      <c r="E16" s="0" t="n">
        <v>46.703394348676</v>
      </c>
      <c r="F16" s="0" t="n">
        <v>979</v>
      </c>
      <c r="G16" s="0" t="n">
        <v>17.3982583970144</v>
      </c>
      <c r="H16" s="0" t="n">
        <v>1166</v>
      </c>
      <c r="I16" s="0" t="n">
        <v>837</v>
      </c>
      <c r="J16" s="0" t="n">
        <v>14.8747112137907</v>
      </c>
      <c r="K16" s="0" t="n">
        <v>15.66</v>
      </c>
      <c r="L16" s="0" t="n">
        <v>1069</v>
      </c>
      <c r="M16" s="0" t="n">
        <v>59</v>
      </c>
      <c r="N16" s="0" t="n">
        <v>1010</v>
      </c>
      <c r="O16" s="0" t="n">
        <v>2984</v>
      </c>
      <c r="P16" s="0" t="n">
        <v>6215</v>
      </c>
      <c r="Q16" s="0" t="n">
        <v>3231</v>
      </c>
      <c r="R16" s="0" t="n">
        <v>991</v>
      </c>
      <c r="S16" s="0" t="n">
        <v>332</v>
      </c>
      <c r="T16" s="0" t="n">
        <v>53.90243</v>
      </c>
      <c r="U16" s="0" t="n">
        <v>93</v>
      </c>
      <c r="AA16" s="0" t="s">
        <v>17</v>
      </c>
      <c r="AB16" s="0" t="s">
        <v>14</v>
      </c>
    </row>
    <row r="17" customFormat="false" ht="15" hidden="false" customHeight="false" outlineLevel="0" collapsed="false">
      <c r="A17" s="0" t="s">
        <v>78</v>
      </c>
      <c r="B17" s="0" t="n">
        <v>5781</v>
      </c>
      <c r="C17" s="0" t="n">
        <v>3157</v>
      </c>
      <c r="D17" s="0" t="n">
        <v>2624</v>
      </c>
      <c r="E17" s="0" t="n">
        <v>45.3900709219858</v>
      </c>
      <c r="F17" s="0" t="n">
        <v>529</v>
      </c>
      <c r="G17" s="0" t="n">
        <v>9.15066597474485</v>
      </c>
      <c r="H17" s="0" t="n">
        <v>733</v>
      </c>
      <c r="I17" s="0" t="n">
        <v>463</v>
      </c>
      <c r="J17" s="0" t="n">
        <v>8.00899498356686</v>
      </c>
      <c r="K17" s="0" t="n">
        <v>8.86</v>
      </c>
      <c r="L17" s="0" t="n">
        <v>488</v>
      </c>
      <c r="M17" s="0" t="n">
        <v>75</v>
      </c>
      <c r="N17" s="0" t="n">
        <v>413</v>
      </c>
      <c r="O17" s="0" t="n">
        <v>2733</v>
      </c>
      <c r="P17" s="0" t="n">
        <v>7529</v>
      </c>
      <c r="Q17" s="0" t="n">
        <v>4796</v>
      </c>
      <c r="R17" s="0" t="n">
        <v>2023</v>
      </c>
      <c r="S17" s="0" t="n">
        <v>105</v>
      </c>
      <c r="T17" s="0" t="n">
        <v>52.558712</v>
      </c>
      <c r="U17" s="0" t="n">
        <v>96</v>
      </c>
      <c r="AA17" s="0" t="s">
        <v>17</v>
      </c>
      <c r="AB17" s="0" t="s">
        <v>14</v>
      </c>
    </row>
    <row r="18" customFormat="false" ht="15" hidden="false" customHeight="false" outlineLevel="0" collapsed="false">
      <c r="A18" s="0" t="s">
        <v>79</v>
      </c>
      <c r="B18" s="0" t="n">
        <v>4584</v>
      </c>
      <c r="C18" s="0" t="n">
        <v>2461</v>
      </c>
      <c r="D18" s="0" t="n">
        <v>2123</v>
      </c>
      <c r="E18" s="0" t="n">
        <v>46.3132635253054</v>
      </c>
      <c r="F18" s="0" t="n">
        <v>481</v>
      </c>
      <c r="G18" s="0" t="n">
        <v>10.4930191972077</v>
      </c>
      <c r="H18" s="0" t="n">
        <v>657</v>
      </c>
      <c r="I18" s="0" t="n">
        <v>296</v>
      </c>
      <c r="J18" s="0" t="n">
        <v>6.45724258289703</v>
      </c>
      <c r="K18" s="0" t="n">
        <v>5.75</v>
      </c>
      <c r="L18" s="0" t="n">
        <v>-4</v>
      </c>
      <c r="M18" s="0" t="n">
        <v>87</v>
      </c>
      <c r="N18" s="0" t="n">
        <v>-91</v>
      </c>
      <c r="O18" s="0" t="n">
        <v>3036</v>
      </c>
      <c r="P18" s="0" t="n">
        <v>7306</v>
      </c>
      <c r="Q18" s="0" t="n">
        <v>4270</v>
      </c>
      <c r="R18" s="0" t="n">
        <v>2220</v>
      </c>
      <c r="S18" s="0" t="n">
        <v>137</v>
      </c>
      <c r="T18" s="0" t="n">
        <v>51.710962</v>
      </c>
      <c r="U18" s="0" t="n">
        <v>66</v>
      </c>
      <c r="AA18" s="0" t="s">
        <v>17</v>
      </c>
      <c r="AB18" s="0" t="s">
        <v>14</v>
      </c>
    </row>
    <row r="19" customFormat="false" ht="15" hidden="false" customHeight="false" outlineLevel="0" collapsed="false">
      <c r="A19" s="0" t="s">
        <v>80</v>
      </c>
      <c r="B19" s="0" t="n">
        <v>4981</v>
      </c>
      <c r="C19" s="0" t="n">
        <v>2568</v>
      </c>
      <c r="D19" s="0" t="n">
        <v>2413</v>
      </c>
      <c r="E19" s="0" t="n">
        <v>48.444087532624</v>
      </c>
      <c r="F19" s="0" t="n">
        <v>742</v>
      </c>
      <c r="G19" s="0" t="n">
        <v>14.8966071070066</v>
      </c>
      <c r="H19" s="0" t="n">
        <v>914</v>
      </c>
      <c r="I19" s="0" t="n">
        <v>528</v>
      </c>
      <c r="J19" s="0" t="n">
        <v>10.6002810680586</v>
      </c>
      <c r="K19" s="0" t="n">
        <v>10.25</v>
      </c>
      <c r="L19" s="0" t="n">
        <v>1013</v>
      </c>
      <c r="M19" s="0" t="n">
        <v>59</v>
      </c>
      <c r="N19" s="0" t="n">
        <v>954</v>
      </c>
      <c r="O19" s="0" t="n">
        <v>3586</v>
      </c>
      <c r="P19" s="0" t="n">
        <v>7968</v>
      </c>
      <c r="Q19" s="0" t="n">
        <v>4382</v>
      </c>
      <c r="R19" s="0" t="n">
        <v>2171</v>
      </c>
      <c r="S19" s="0" t="n">
        <v>901</v>
      </c>
      <c r="T19" s="0" t="n">
        <v>51.879709</v>
      </c>
      <c r="U19" s="0" t="n">
        <v>110</v>
      </c>
      <c r="AA19" s="0" t="s">
        <v>17</v>
      </c>
      <c r="AB19" s="0" t="s">
        <v>14</v>
      </c>
    </row>
    <row r="20" customFormat="false" ht="15" hidden="false" customHeight="false" outlineLevel="0" collapsed="false">
      <c r="A20" s="0" t="s">
        <v>81</v>
      </c>
      <c r="B20" s="0" t="n">
        <v>5396</v>
      </c>
      <c r="C20" s="0" t="n">
        <v>2803</v>
      </c>
      <c r="D20" s="0" t="n">
        <v>2593</v>
      </c>
      <c r="E20" s="0" t="n">
        <v>48.054114158636</v>
      </c>
      <c r="F20" s="0" t="n">
        <v>700</v>
      </c>
      <c r="G20" s="0" t="n">
        <v>12.9725722757598</v>
      </c>
      <c r="H20" s="0" t="n">
        <v>885</v>
      </c>
      <c r="I20" s="0" t="n">
        <v>419</v>
      </c>
      <c r="J20" s="0" t="n">
        <v>7.76501111934767</v>
      </c>
      <c r="K20" s="0" t="n">
        <v>8.24</v>
      </c>
      <c r="L20" s="0" t="n">
        <v>917</v>
      </c>
      <c r="M20" s="0" t="n">
        <v>86</v>
      </c>
      <c r="N20" s="0" t="n">
        <v>831</v>
      </c>
      <c r="O20" s="0" t="n">
        <v>3588</v>
      </c>
      <c r="P20" s="0" t="n">
        <v>8502</v>
      </c>
      <c r="Q20" s="0" t="n">
        <v>4914</v>
      </c>
      <c r="R20" s="0" t="n">
        <v>2502</v>
      </c>
      <c r="S20" s="0" t="n">
        <v>125</v>
      </c>
      <c r="T20" s="0" t="n">
        <v>51.212395</v>
      </c>
      <c r="U20" s="0" t="n">
        <v>175</v>
      </c>
      <c r="AA20" s="0" t="s">
        <v>17</v>
      </c>
      <c r="AB20" s="0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82</v>
      </c>
      <c r="B1" s="2" t="s">
        <v>83</v>
      </c>
    </row>
    <row r="2" customFormat="false" ht="15" hidden="false" customHeight="false" outlineLevel="0" collapsed="false">
      <c r="A2" s="0" t="s">
        <v>84</v>
      </c>
      <c r="B2" s="3" t="n">
        <v>375.86</v>
      </c>
    </row>
    <row r="3" customFormat="false" ht="15" hidden="false" customHeight="false" outlineLevel="0" collapsed="false">
      <c r="A3" s="0" t="s">
        <v>85</v>
      </c>
      <c r="B3" s="3" t="n">
        <v>47.72</v>
      </c>
    </row>
    <row r="4" customFormat="false" ht="15" hidden="false" customHeight="false" outlineLevel="0" collapsed="false">
      <c r="A4" s="0" t="s">
        <v>86</v>
      </c>
      <c r="B4" s="3" t="n">
        <v>2619</v>
      </c>
    </row>
    <row r="5" customFormat="false" ht="15" hidden="false" customHeight="false" outlineLevel="0" collapsed="false">
      <c r="A5" s="0" t="s">
        <v>87</v>
      </c>
      <c r="B5" s="3" t="n">
        <v>0</v>
      </c>
    </row>
    <row r="6" customFormat="false" ht="15" hidden="false" customHeight="false" outlineLevel="0" collapsed="false">
      <c r="A6" s="0" t="s">
        <v>88</v>
      </c>
      <c r="B6" s="3" t="n">
        <v>15</v>
      </c>
    </row>
    <row r="7" customFormat="false" ht="15" hidden="false" customHeight="false" outlineLevel="0" collapsed="false">
      <c r="A7" s="0" t="s">
        <v>89</v>
      </c>
      <c r="B7" s="3" t="n">
        <v>6205</v>
      </c>
    </row>
    <row r="8" customFormat="false" ht="15" hidden="false" customHeight="false" outlineLevel="0" collapsed="false">
      <c r="A8" s="0" t="s">
        <v>90</v>
      </c>
      <c r="B8" s="3" t="s">
        <v>91</v>
      </c>
    </row>
    <row r="9" customFormat="false" ht="15" hidden="false" customHeight="false" outlineLevel="0" collapsed="false">
      <c r="A9" s="0" t="s">
        <v>92</v>
      </c>
      <c r="B9" s="3" t="s">
        <v>93</v>
      </c>
    </row>
    <row r="10" customFormat="false" ht="15" hidden="false" customHeight="false" outlineLevel="0" collapsed="false">
      <c r="A10" s="0" t="s">
        <v>94</v>
      </c>
      <c r="B10" s="3" t="n">
        <v>1</v>
      </c>
    </row>
    <row r="12" customFormat="false" ht="15" hidden="false" customHeight="false" outlineLevel="0" collapsed="false">
      <c r="A12" s="2" t="s">
        <v>95</v>
      </c>
      <c r="C12" s="2" t="s">
        <v>96</v>
      </c>
      <c r="D12" s="2" t="s">
        <v>97</v>
      </c>
      <c r="E12" s="2" t="s">
        <v>98</v>
      </c>
      <c r="F12" s="2" t="s">
        <v>99</v>
      </c>
      <c r="G12" s="2" t="s">
        <v>100</v>
      </c>
      <c r="H12" s="2" t="s">
        <v>101</v>
      </c>
      <c r="I12" s="2" t="s">
        <v>102</v>
      </c>
      <c r="J12" s="2" t="s">
        <v>103</v>
      </c>
      <c r="K12" s="2" t="s">
        <v>104</v>
      </c>
      <c r="L12" s="2" t="s">
        <v>105</v>
      </c>
    </row>
    <row r="13" customFormat="false" ht="15" hidden="false" customHeight="false" outlineLevel="0" collapsed="false">
      <c r="A13" s="0" t="s">
        <v>106</v>
      </c>
      <c r="C13" s="3" t="n">
        <v>-10</v>
      </c>
      <c r="D13" s="3" t="n">
        <v>1</v>
      </c>
      <c r="E13" s="3" t="n">
        <v>5</v>
      </c>
      <c r="F13" s="3" t="n">
        <v>4</v>
      </c>
      <c r="G13" s="3" t="n">
        <v>3</v>
      </c>
      <c r="H13" s="3" t="n">
        <v>3</v>
      </c>
      <c r="I13" s="3" t="n">
        <v>3</v>
      </c>
      <c r="J13" s="3" t="n">
        <v>2.5</v>
      </c>
      <c r="K13" s="3" t="n">
        <v>2.5</v>
      </c>
      <c r="L13" s="3" t="n">
        <v>2.5</v>
      </c>
    </row>
    <row r="14" customFormat="false" ht="15" hidden="false" customHeight="false" outlineLevel="0" collapsed="false">
      <c r="A14" s="0" t="s">
        <v>107</v>
      </c>
      <c r="C14" s="3" t="n">
        <v>19</v>
      </c>
      <c r="D14" s="3" t="n">
        <v>20</v>
      </c>
      <c r="E14" s="3" t="n">
        <v>21</v>
      </c>
      <c r="F14" s="3" t="n">
        <v>21</v>
      </c>
      <c r="G14" s="3" t="n">
        <v>21</v>
      </c>
      <c r="H14" s="3" t="n">
        <v>21</v>
      </c>
      <c r="I14" s="3" t="n">
        <v>21</v>
      </c>
      <c r="J14" s="3" t="n">
        <v>21</v>
      </c>
      <c r="K14" s="3" t="n">
        <v>21</v>
      </c>
      <c r="L14" s="3" t="n">
        <v>21</v>
      </c>
    </row>
    <row r="15" customFormat="false" ht="15" hidden="false" customHeight="false" outlineLevel="0" collapsed="false">
      <c r="A15" s="0" t="s">
        <v>108</v>
      </c>
      <c r="C15" s="3" t="n">
        <v>3.4</v>
      </c>
      <c r="D15" s="3" t="n">
        <v>3.2</v>
      </c>
      <c r="E15" s="3" t="n">
        <v>3</v>
      </c>
      <c r="F15" s="3" t="n">
        <v>2.9</v>
      </c>
      <c r="G15" s="3" t="n">
        <v>2.8</v>
      </c>
      <c r="H15" s="3" t="n">
        <v>2.7</v>
      </c>
      <c r="I15" s="3" t="n">
        <v>2.7</v>
      </c>
      <c r="J15" s="3" t="n">
        <v>2.6</v>
      </c>
      <c r="K15" s="3" t="n">
        <v>2.6</v>
      </c>
      <c r="L15" s="3" t="n">
        <v>2.6</v>
      </c>
    </row>
    <row r="16" customFormat="false" ht="15" hidden="false" customHeight="false" outlineLevel="0" collapsed="false">
      <c r="A16" s="0" t="s">
        <v>109</v>
      </c>
      <c r="C16" s="3" t="n">
        <v>0</v>
      </c>
      <c r="D16" s="3" t="n">
        <v>0</v>
      </c>
      <c r="E16" s="3" t="n">
        <v>0</v>
      </c>
      <c r="F16" s="3" t="n">
        <v>0</v>
      </c>
      <c r="G16" s="3" t="n">
        <v>0</v>
      </c>
      <c r="H16" s="3" t="n">
        <v>0</v>
      </c>
      <c r="I16" s="3" t="n">
        <v>0</v>
      </c>
      <c r="J16" s="3" t="n">
        <v>0</v>
      </c>
      <c r="K16" s="3" t="n">
        <v>0</v>
      </c>
      <c r="L16" s="3" t="n">
        <v>0</v>
      </c>
    </row>
    <row r="17" customFormat="false" ht="15" hidden="false" customHeight="false" outlineLevel="0" collapsed="false">
      <c r="A17" s="0" t="s">
        <v>110</v>
      </c>
      <c r="C17" s="3" t="n">
        <v>3.8</v>
      </c>
      <c r="D17" s="3" t="n">
        <v>3.5</v>
      </c>
      <c r="E17" s="3" t="n">
        <v>3.2</v>
      </c>
      <c r="F17" s="3" t="n">
        <v>3</v>
      </c>
      <c r="G17" s="3" t="n">
        <v>2.8</v>
      </c>
      <c r="H17" s="3" t="n">
        <v>2.6</v>
      </c>
      <c r="I17" s="3" t="n">
        <v>2.4</v>
      </c>
      <c r="J17" s="3" t="n">
        <v>2.2</v>
      </c>
      <c r="K17" s="3" t="n">
        <v>2</v>
      </c>
      <c r="L17" s="3" t="n">
        <v>2</v>
      </c>
    </row>
    <row r="18" customFormat="false" ht="15" hidden="false" customHeight="false" outlineLevel="0" collapsed="false">
      <c r="A18" s="0" t="s">
        <v>111</v>
      </c>
      <c r="C18" s="3" t="n">
        <v>1.6</v>
      </c>
      <c r="D18" s="3" t="n">
        <v>1.6</v>
      </c>
      <c r="E18" s="3" t="n">
        <v>1.6</v>
      </c>
      <c r="F18" s="3" t="n">
        <v>1.6</v>
      </c>
      <c r="G18" s="3" t="n">
        <v>1.6</v>
      </c>
      <c r="H18" s="3" t="n">
        <v>1.6</v>
      </c>
      <c r="I18" s="3" t="n">
        <v>1.6</v>
      </c>
      <c r="J18" s="3" t="n">
        <v>1.6</v>
      </c>
      <c r="K18" s="3" t="n">
        <v>1.6</v>
      </c>
      <c r="L18" s="3" t="n">
        <v>1.6</v>
      </c>
    </row>
    <row r="19" customFormat="false" ht="15" hidden="false" customHeight="false" outlineLevel="0" collapsed="false">
      <c r="A19" s="0" t="s">
        <v>112</v>
      </c>
      <c r="C19" s="3" t="n">
        <v>20</v>
      </c>
      <c r="D19" s="3" t="n">
        <v>20.5</v>
      </c>
      <c r="E19" s="3" t="n">
        <v>21</v>
      </c>
      <c r="F19" s="3" t="n">
        <v>21</v>
      </c>
      <c r="G19" s="3" t="n">
        <v>21</v>
      </c>
      <c r="H19" s="3" t="n">
        <v>21</v>
      </c>
      <c r="I19" s="3" t="n">
        <v>21</v>
      </c>
      <c r="J19" s="3" t="n">
        <v>21</v>
      </c>
      <c r="K19" s="3" t="n">
        <v>21</v>
      </c>
      <c r="L19" s="3" t="n">
        <v>21</v>
      </c>
    </row>
    <row r="20" customFormat="false" ht="15" hidden="false" customHeight="false" outlineLevel="0" collapsed="false">
      <c r="A20" s="0" t="s">
        <v>113</v>
      </c>
      <c r="B20" s="3" t="n">
        <v>10</v>
      </c>
    </row>
    <row r="21" customFormat="false" ht="15" hidden="false" customHeight="false" outlineLevel="0" collapsed="false">
      <c r="A21" s="0" t="s">
        <v>114</v>
      </c>
      <c r="B21" s="3" t="n">
        <v>2.5</v>
      </c>
    </row>
    <row r="22" customFormat="false" ht="15" hidden="false" customHeight="false" outlineLevel="0" collapsed="false">
      <c r="A22" s="0" t="s">
        <v>115</v>
      </c>
      <c r="B22" s="3" t="n">
        <v>12</v>
      </c>
    </row>
    <row r="23" customFormat="false" ht="15" hidden="false" customHeight="false" outlineLevel="0" collapsed="false">
      <c r="A23" s="0" t="s">
        <v>116</v>
      </c>
      <c r="B23" s="3" t="n">
        <v>-5</v>
      </c>
    </row>
    <row r="24" customFormat="false" ht="15" hidden="false" customHeight="false" outlineLevel="0" collapsed="false">
      <c r="A24" s="0" t="s">
        <v>117</v>
      </c>
      <c r="B24" s="3" t="n">
        <v>0.25</v>
      </c>
    </row>
    <row r="26" customFormat="false" ht="15" hidden="false" customHeight="false" outlineLevel="0" collapsed="false">
      <c r="A26" s="2" t="s">
        <v>118</v>
      </c>
      <c r="C26" s="2" t="s">
        <v>96</v>
      </c>
      <c r="D26" s="2" t="s">
        <v>97</v>
      </c>
      <c r="E26" s="2" t="s">
        <v>98</v>
      </c>
      <c r="F26" s="2" t="s">
        <v>99</v>
      </c>
      <c r="G26" s="2" t="s">
        <v>100</v>
      </c>
      <c r="H26" s="2" t="s">
        <v>101</v>
      </c>
      <c r="I26" s="2" t="s">
        <v>102</v>
      </c>
      <c r="J26" s="2" t="s">
        <v>103</v>
      </c>
      <c r="K26" s="2" t="s">
        <v>104</v>
      </c>
      <c r="L26" s="2" t="s">
        <v>105</v>
      </c>
    </row>
    <row r="27" customFormat="false" ht="15" hidden="false" customHeight="false" outlineLevel="0" collapsed="false">
      <c r="A27" s="0" t="s">
        <v>106</v>
      </c>
      <c r="C27" s="3" t="n">
        <v>6</v>
      </c>
      <c r="D27" s="3" t="n">
        <v>5</v>
      </c>
      <c r="E27" s="3" t="n">
        <v>4.5</v>
      </c>
      <c r="F27" s="3" t="n">
        <v>4</v>
      </c>
      <c r="G27" s="3" t="n">
        <v>4</v>
      </c>
      <c r="H27" s="3" t="n">
        <v>3.5</v>
      </c>
      <c r="I27" s="3" t="n">
        <v>3.5</v>
      </c>
      <c r="J27" s="3" t="n">
        <v>3</v>
      </c>
      <c r="K27" s="3" t="n">
        <v>3</v>
      </c>
      <c r="L27" s="3" t="n">
        <v>3</v>
      </c>
    </row>
    <row r="28" customFormat="false" ht="15" hidden="false" customHeight="false" outlineLevel="0" collapsed="false">
      <c r="A28" s="0" t="s">
        <v>107</v>
      </c>
      <c r="C28" s="3" t="n">
        <v>23.5</v>
      </c>
      <c r="D28" s="3" t="n">
        <v>23</v>
      </c>
      <c r="E28" s="3" t="n">
        <v>22.75</v>
      </c>
      <c r="F28" s="3" t="n">
        <v>22.5</v>
      </c>
      <c r="G28" s="3" t="n">
        <v>22.5</v>
      </c>
      <c r="H28" s="3" t="n">
        <v>22.5</v>
      </c>
      <c r="I28" s="3" t="n">
        <v>22.5</v>
      </c>
      <c r="J28" s="3" t="n">
        <v>22.5</v>
      </c>
      <c r="K28" s="3" t="n">
        <v>22.5</v>
      </c>
      <c r="L28" s="3" t="n">
        <v>22.5</v>
      </c>
    </row>
    <row r="29" customFormat="false" ht="15" hidden="false" customHeight="false" outlineLevel="0" collapsed="false">
      <c r="A29" s="0" t="s">
        <v>108</v>
      </c>
      <c r="C29" s="3" t="n">
        <v>3.1</v>
      </c>
      <c r="D29" s="3" t="n">
        <v>3</v>
      </c>
      <c r="E29" s="3" t="n">
        <v>2.9</v>
      </c>
      <c r="F29" s="3" t="n">
        <v>2.8</v>
      </c>
      <c r="G29" s="3" t="n">
        <v>2.8</v>
      </c>
      <c r="H29" s="3" t="n">
        <v>2.7</v>
      </c>
      <c r="I29" s="3" t="n">
        <v>2.7</v>
      </c>
      <c r="J29" s="3" t="n">
        <v>2.6</v>
      </c>
      <c r="K29" s="3" t="n">
        <v>2.6</v>
      </c>
      <c r="L29" s="3" t="n">
        <v>2.6</v>
      </c>
    </row>
    <row r="30" customFormat="false" ht="15" hidden="false" customHeight="false" outlineLevel="0" collapsed="false">
      <c r="A30" s="0" t="s">
        <v>109</v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</row>
    <row r="31" customFormat="false" ht="15" hidden="false" customHeight="false" outlineLevel="0" collapsed="false">
      <c r="A31" s="0" t="s">
        <v>110</v>
      </c>
      <c r="C31" s="3" t="n">
        <v>3.5</v>
      </c>
      <c r="D31" s="3" t="n">
        <v>3.3</v>
      </c>
      <c r="E31" s="3" t="n">
        <v>3.1</v>
      </c>
      <c r="F31" s="3" t="n">
        <v>2.9</v>
      </c>
      <c r="G31" s="3" t="n">
        <v>2.7</v>
      </c>
      <c r="H31" s="3" t="n">
        <v>2.5</v>
      </c>
      <c r="I31" s="3" t="n">
        <v>2.3</v>
      </c>
      <c r="J31" s="3" t="n">
        <v>2.1</v>
      </c>
      <c r="K31" s="3" t="n">
        <v>2</v>
      </c>
      <c r="L31" s="3" t="n">
        <v>2</v>
      </c>
    </row>
    <row r="32" customFormat="false" ht="15" hidden="false" customHeight="false" outlineLevel="0" collapsed="false">
      <c r="A32" s="0" t="s">
        <v>111</v>
      </c>
      <c r="C32" s="3" t="n">
        <v>1.6</v>
      </c>
      <c r="D32" s="3" t="n">
        <v>1.6</v>
      </c>
      <c r="E32" s="3" t="n">
        <v>1.6</v>
      </c>
      <c r="F32" s="3" t="n">
        <v>1.6</v>
      </c>
      <c r="G32" s="3" t="n">
        <v>1.6</v>
      </c>
      <c r="H32" s="3" t="n">
        <v>1.6</v>
      </c>
      <c r="I32" s="3" t="n">
        <v>1.6</v>
      </c>
      <c r="J32" s="3" t="n">
        <v>1.6</v>
      </c>
      <c r="K32" s="3" t="n">
        <v>1.6</v>
      </c>
      <c r="L32" s="3" t="n">
        <v>1.6</v>
      </c>
    </row>
    <row r="33" customFormat="false" ht="15" hidden="false" customHeight="false" outlineLevel="0" collapsed="false">
      <c r="A33" s="0" t="s">
        <v>112</v>
      </c>
      <c r="C33" s="3" t="n">
        <v>20</v>
      </c>
      <c r="D33" s="3" t="n">
        <v>20.5</v>
      </c>
      <c r="E33" s="3" t="n">
        <v>21</v>
      </c>
      <c r="F33" s="3" t="n">
        <v>21</v>
      </c>
      <c r="G33" s="3" t="n">
        <v>21</v>
      </c>
      <c r="H33" s="3" t="n">
        <v>21</v>
      </c>
      <c r="I33" s="3" t="n">
        <v>21</v>
      </c>
      <c r="J33" s="3" t="n">
        <v>21</v>
      </c>
      <c r="K33" s="3" t="n">
        <v>21</v>
      </c>
      <c r="L33" s="3" t="n">
        <v>21</v>
      </c>
    </row>
    <row r="34" customFormat="false" ht="15" hidden="false" customHeight="false" outlineLevel="0" collapsed="false">
      <c r="A34" s="0" t="s">
        <v>113</v>
      </c>
      <c r="B34" s="3" t="n">
        <v>10</v>
      </c>
    </row>
    <row r="35" customFormat="false" ht="15" hidden="false" customHeight="false" outlineLevel="0" collapsed="false">
      <c r="A35" s="0" t="s">
        <v>114</v>
      </c>
      <c r="B35" s="3" t="n">
        <v>3</v>
      </c>
    </row>
    <row r="36" customFormat="false" ht="15" hidden="false" customHeight="false" outlineLevel="0" collapsed="false">
      <c r="A36" s="0" t="s">
        <v>115</v>
      </c>
      <c r="B36" s="3" t="n">
        <v>14</v>
      </c>
    </row>
    <row r="37" customFormat="false" ht="15" hidden="false" customHeight="false" outlineLevel="0" collapsed="false">
      <c r="A37" s="0" t="s">
        <v>116</v>
      </c>
      <c r="B37" s="3" t="n">
        <v>-5</v>
      </c>
    </row>
    <row r="38" customFormat="false" ht="15" hidden="false" customHeight="false" outlineLevel="0" collapsed="false">
      <c r="A38" s="0" t="s">
        <v>117</v>
      </c>
      <c r="B38" s="3" t="n">
        <v>0.5</v>
      </c>
    </row>
    <row r="40" customFormat="false" ht="15" hidden="false" customHeight="false" outlineLevel="0" collapsed="false">
      <c r="A40" s="2" t="s">
        <v>119</v>
      </c>
      <c r="C40" s="2" t="s">
        <v>96</v>
      </c>
      <c r="D40" s="2" t="s">
        <v>97</v>
      </c>
      <c r="E40" s="2" t="s">
        <v>98</v>
      </c>
      <c r="F40" s="2" t="s">
        <v>99</v>
      </c>
      <c r="G40" s="2" t="s">
        <v>100</v>
      </c>
      <c r="H40" s="2" t="s">
        <v>101</v>
      </c>
      <c r="I40" s="2" t="s">
        <v>102</v>
      </c>
      <c r="J40" s="2" t="s">
        <v>103</v>
      </c>
      <c r="K40" s="2" t="s">
        <v>104</v>
      </c>
      <c r="L40" s="2" t="s">
        <v>105</v>
      </c>
    </row>
    <row r="41" customFormat="false" ht="15" hidden="false" customHeight="false" outlineLevel="0" collapsed="false">
      <c r="A41" s="0" t="s">
        <v>106</v>
      </c>
      <c r="C41" s="3" t="n">
        <v>9</v>
      </c>
      <c r="D41" s="3" t="n">
        <v>8</v>
      </c>
      <c r="E41" s="3" t="n">
        <v>7</v>
      </c>
      <c r="F41" s="3" t="n">
        <v>6.5</v>
      </c>
      <c r="G41" s="3" t="n">
        <v>6</v>
      </c>
      <c r="H41" s="3" t="n">
        <v>5</v>
      </c>
      <c r="I41" s="3" t="n">
        <v>4.5</v>
      </c>
      <c r="J41" s="3" t="n">
        <v>4</v>
      </c>
      <c r="K41" s="3" t="n">
        <v>3.5</v>
      </c>
      <c r="L41" s="3" t="n">
        <v>3.5</v>
      </c>
    </row>
    <row r="42" customFormat="false" ht="15" hidden="false" customHeight="false" outlineLevel="0" collapsed="false">
      <c r="A42" s="0" t="s">
        <v>107</v>
      </c>
      <c r="C42" s="3" t="n">
        <v>24.5</v>
      </c>
      <c r="D42" s="3" t="n">
        <v>25</v>
      </c>
      <c r="E42" s="3" t="n">
        <v>25.5</v>
      </c>
      <c r="F42" s="3" t="n">
        <v>25.5</v>
      </c>
      <c r="G42" s="3" t="n">
        <v>25.5</v>
      </c>
      <c r="H42" s="3" t="n">
        <v>25.5</v>
      </c>
      <c r="I42" s="3" t="n">
        <v>25.5</v>
      </c>
      <c r="J42" s="3" t="n">
        <v>25.5</v>
      </c>
      <c r="K42" s="3" t="n">
        <v>25.5</v>
      </c>
      <c r="L42" s="3" t="n">
        <v>25.5</v>
      </c>
    </row>
    <row r="43" customFormat="false" ht="15" hidden="false" customHeight="false" outlineLevel="0" collapsed="false">
      <c r="A43" s="0" t="s">
        <v>108</v>
      </c>
      <c r="C43" s="3" t="n">
        <v>3.1</v>
      </c>
      <c r="D43" s="3" t="n">
        <v>3</v>
      </c>
      <c r="E43" s="3" t="n">
        <v>2.9</v>
      </c>
      <c r="F43" s="3" t="n">
        <v>2.8</v>
      </c>
      <c r="G43" s="3" t="n">
        <v>2.8</v>
      </c>
      <c r="H43" s="3" t="n">
        <v>2.7</v>
      </c>
      <c r="I43" s="3" t="n">
        <v>2.7</v>
      </c>
      <c r="J43" s="3" t="n">
        <v>2.6</v>
      </c>
      <c r="K43" s="3" t="n">
        <v>2.6</v>
      </c>
      <c r="L43" s="3" t="n">
        <v>2.6</v>
      </c>
    </row>
    <row r="44" customFormat="false" ht="15" hidden="false" customHeight="false" outlineLevel="0" collapsed="false">
      <c r="A44" s="0" t="s">
        <v>109</v>
      </c>
      <c r="C44" s="3" t="n">
        <v>0</v>
      </c>
      <c r="D44" s="3" t="n">
        <v>0</v>
      </c>
      <c r="E44" s="3" t="n">
        <v>0</v>
      </c>
      <c r="F44" s="3" t="n">
        <v>0</v>
      </c>
      <c r="G44" s="3" t="n">
        <v>0</v>
      </c>
      <c r="H44" s="3" t="n">
        <v>0</v>
      </c>
      <c r="I44" s="3" t="n">
        <v>0</v>
      </c>
      <c r="J44" s="3" t="n">
        <v>0</v>
      </c>
      <c r="K44" s="3" t="n">
        <v>0</v>
      </c>
      <c r="L44" s="3" t="n">
        <v>0</v>
      </c>
    </row>
    <row r="45" customFormat="false" ht="15" hidden="false" customHeight="false" outlineLevel="0" collapsed="false">
      <c r="A45" s="0" t="s">
        <v>110</v>
      </c>
      <c r="C45" s="3" t="n">
        <v>3.5</v>
      </c>
      <c r="D45" s="3" t="n">
        <v>3.3</v>
      </c>
      <c r="E45" s="3" t="n">
        <v>3.1</v>
      </c>
      <c r="F45" s="3" t="n">
        <v>2.9</v>
      </c>
      <c r="G45" s="3" t="n">
        <v>2.7</v>
      </c>
      <c r="H45" s="3" t="n">
        <v>2.5</v>
      </c>
      <c r="I45" s="3" t="n">
        <v>2.3</v>
      </c>
      <c r="J45" s="3" t="n">
        <v>2.1</v>
      </c>
      <c r="K45" s="3" t="n">
        <v>2</v>
      </c>
      <c r="L45" s="3" t="n">
        <v>2</v>
      </c>
    </row>
    <row r="46" customFormat="false" ht="15" hidden="false" customHeight="false" outlineLevel="0" collapsed="false">
      <c r="A46" s="0" t="s">
        <v>111</v>
      </c>
      <c r="C46" s="3" t="n">
        <v>1.6</v>
      </c>
      <c r="D46" s="3" t="n">
        <v>1.6</v>
      </c>
      <c r="E46" s="3" t="n">
        <v>1.6</v>
      </c>
      <c r="F46" s="3" t="n">
        <v>1.6</v>
      </c>
      <c r="G46" s="3" t="n">
        <v>1.6</v>
      </c>
      <c r="H46" s="3" t="n">
        <v>1.6</v>
      </c>
      <c r="I46" s="3" t="n">
        <v>1.6</v>
      </c>
      <c r="J46" s="3" t="n">
        <v>1.6</v>
      </c>
      <c r="K46" s="3" t="n">
        <v>1.6</v>
      </c>
      <c r="L46" s="3" t="n">
        <v>1.6</v>
      </c>
    </row>
    <row r="47" customFormat="false" ht="15" hidden="false" customHeight="false" outlineLevel="0" collapsed="false">
      <c r="A47" s="0" t="s">
        <v>112</v>
      </c>
      <c r="C47" s="3" t="n">
        <v>20</v>
      </c>
      <c r="D47" s="3" t="n">
        <v>20.5</v>
      </c>
      <c r="E47" s="3" t="n">
        <v>21</v>
      </c>
      <c r="F47" s="3" t="n">
        <v>21</v>
      </c>
      <c r="G47" s="3" t="n">
        <v>21</v>
      </c>
      <c r="H47" s="3" t="n">
        <v>21</v>
      </c>
      <c r="I47" s="3" t="n">
        <v>21</v>
      </c>
      <c r="J47" s="3" t="n">
        <v>21</v>
      </c>
      <c r="K47" s="3" t="n">
        <v>21</v>
      </c>
      <c r="L47" s="3" t="n">
        <v>21</v>
      </c>
    </row>
    <row r="48" customFormat="false" ht="15" hidden="false" customHeight="false" outlineLevel="0" collapsed="false">
      <c r="A48" s="0" t="s">
        <v>113</v>
      </c>
      <c r="B48" s="3" t="n">
        <v>10</v>
      </c>
    </row>
    <row r="49" customFormat="false" ht="15" hidden="false" customHeight="false" outlineLevel="0" collapsed="false">
      <c r="A49" s="0" t="s">
        <v>114</v>
      </c>
      <c r="B49" s="3" t="n">
        <v>3</v>
      </c>
    </row>
    <row r="50" customFormat="false" ht="15" hidden="false" customHeight="false" outlineLevel="0" collapsed="false">
      <c r="A50" s="0" t="s">
        <v>115</v>
      </c>
      <c r="B50" s="3" t="n">
        <v>16</v>
      </c>
    </row>
    <row r="51" customFormat="false" ht="15" hidden="false" customHeight="false" outlineLevel="0" collapsed="false">
      <c r="A51" s="0" t="s">
        <v>116</v>
      </c>
      <c r="B51" s="3" t="n">
        <v>-5</v>
      </c>
    </row>
    <row r="52" customFormat="false" ht="15" hidden="false" customHeight="false" outlineLevel="0" collapsed="false">
      <c r="A52" s="0" t="s">
        <v>117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120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Assumptions!C13</f>
        <v>-10</v>
      </c>
      <c r="D5" s="4" t="n">
        <f aca="false">Assumptions!D13</f>
        <v>1</v>
      </c>
      <c r="E5" s="4" t="n">
        <f aca="false">Assumptions!E13</f>
        <v>5</v>
      </c>
      <c r="F5" s="4" t="n">
        <f aca="false">Assumptions!F13</f>
        <v>4</v>
      </c>
      <c r="G5" s="4" t="n">
        <f aca="false">Assumptions!G13</f>
        <v>3</v>
      </c>
      <c r="H5" s="4" t="n">
        <f aca="false">Assumptions!H13</f>
        <v>3</v>
      </c>
      <c r="I5" s="4" t="n">
        <f aca="false">Assumptions!I13</f>
        <v>3</v>
      </c>
      <c r="J5" s="4" t="n">
        <f aca="false">Assumptions!J13</f>
        <v>2.5</v>
      </c>
      <c r="K5" s="4" t="n">
        <f aca="false">Assumptions!K13</f>
        <v>2.5</v>
      </c>
      <c r="L5" s="4" t="n">
        <f aca="false">Assumptions!L13</f>
        <v>2.5</v>
      </c>
    </row>
    <row r="6" customFormat="false" ht="15" hidden="false" customHeight="false" outlineLevel="0" collapsed="false">
      <c r="A6" s="0" t="s">
        <v>37</v>
      </c>
      <c r="B6" s="3" t="n">
        <v>6205</v>
      </c>
      <c r="C6" s="0" t="n">
        <f aca="false">B6*(1+C5/100)</f>
        <v>5584.5</v>
      </c>
      <c r="D6" s="0" t="n">
        <f aca="false">C6*(1+D5/100)</f>
        <v>5640.345</v>
      </c>
      <c r="E6" s="0" t="n">
        <f aca="false">D6*(1+E5/100)</f>
        <v>5922.36225</v>
      </c>
      <c r="F6" s="0" t="n">
        <f aca="false">E6*(1+F5/100)</f>
        <v>6159.25674</v>
      </c>
      <c r="G6" s="0" t="n">
        <f aca="false">F6*(1+G5/100)</f>
        <v>6344.0344422</v>
      </c>
      <c r="H6" s="0" t="n">
        <f aca="false">G6*(1+H5/100)</f>
        <v>6534.355475466</v>
      </c>
      <c r="I6" s="0" t="n">
        <f aca="false">H6*(1+I5/100)</f>
        <v>6730.38613972998</v>
      </c>
      <c r="J6" s="0" t="n">
        <f aca="false">I6*(1+J5/100)</f>
        <v>6898.64579322323</v>
      </c>
      <c r="K6" s="0" t="n">
        <f aca="false">J6*(1+K5/100)</f>
        <v>7071.11193805381</v>
      </c>
      <c r="L6" s="0" t="n">
        <f aca="false">K6*(1+L5/100)</f>
        <v>7247.88973650516</v>
      </c>
    </row>
    <row r="7" customFormat="false" ht="15" hidden="false" customHeight="false" outlineLevel="0" collapsed="false">
      <c r="A7" s="0" t="s">
        <v>107</v>
      </c>
      <c r="C7" s="4" t="n">
        <f aca="false">Assumptions!C14</f>
        <v>19</v>
      </c>
      <c r="D7" s="4" t="n">
        <f aca="false">Assumptions!D14</f>
        <v>20</v>
      </c>
      <c r="E7" s="4" t="n">
        <f aca="false">Assumptions!E14</f>
        <v>21</v>
      </c>
      <c r="F7" s="4" t="n">
        <f aca="false">Assumptions!F14</f>
        <v>21</v>
      </c>
      <c r="G7" s="4" t="n">
        <f aca="false">Assumptions!G14</f>
        <v>21</v>
      </c>
      <c r="H7" s="4" t="n">
        <f aca="false">Assumptions!H14</f>
        <v>21</v>
      </c>
      <c r="I7" s="4" t="n">
        <f aca="false">Assumptions!I14</f>
        <v>21</v>
      </c>
      <c r="J7" s="4" t="n">
        <f aca="false">Assumptions!J14</f>
        <v>21</v>
      </c>
      <c r="K7" s="4" t="n">
        <f aca="false">Assumptions!K14</f>
        <v>21</v>
      </c>
      <c r="L7" s="4" t="n">
        <f aca="false">Assumptions!L14</f>
        <v>21</v>
      </c>
    </row>
    <row r="8" customFormat="false" ht="15" hidden="false" customHeight="false" outlineLevel="0" collapsed="false">
      <c r="A8" s="0" t="s">
        <v>43</v>
      </c>
      <c r="C8" s="0" t="n">
        <f aca="false">C6*C7/100</f>
        <v>1061.055</v>
      </c>
      <c r="D8" s="0" t="n">
        <f aca="false">D6*D7/100</f>
        <v>1128.069</v>
      </c>
      <c r="E8" s="0" t="n">
        <f aca="false">E6*E7/100</f>
        <v>1243.6960725</v>
      </c>
      <c r="F8" s="0" t="n">
        <f aca="false">F6*F7/100</f>
        <v>1293.4439154</v>
      </c>
      <c r="G8" s="0" t="n">
        <f aca="false">G6*G7/100</f>
        <v>1332.247232862</v>
      </c>
      <c r="H8" s="0" t="n">
        <f aca="false">H6*H7/100</f>
        <v>1372.21464984786</v>
      </c>
      <c r="I8" s="0" t="n">
        <f aca="false">I6*I7/100</f>
        <v>1413.3810893433</v>
      </c>
      <c r="J8" s="0" t="n">
        <f aca="false">J6*J7/100</f>
        <v>1448.71561657688</v>
      </c>
      <c r="K8" s="0" t="n">
        <f aca="false">K6*K7/100</f>
        <v>1484.9335069913</v>
      </c>
      <c r="L8" s="0" t="n">
        <f aca="false">L6*L7/100</f>
        <v>1522.05684466608</v>
      </c>
    </row>
    <row r="9" customFormat="false" ht="15" hidden="false" customHeight="false" outlineLevel="0" collapsed="false">
      <c r="A9" s="0" t="s">
        <v>108</v>
      </c>
      <c r="C9" s="4" t="n">
        <f aca="false">Assumptions!C15</f>
        <v>3.4</v>
      </c>
      <c r="D9" s="4" t="n">
        <f aca="false">Assumptions!D15</f>
        <v>3.2</v>
      </c>
      <c r="E9" s="4" t="n">
        <f aca="false">Assumptions!E15</f>
        <v>3</v>
      </c>
      <c r="F9" s="4" t="n">
        <f aca="false">Assumptions!F15</f>
        <v>2.9</v>
      </c>
      <c r="G9" s="4" t="n">
        <f aca="false">Assumptions!G15</f>
        <v>2.8</v>
      </c>
      <c r="H9" s="4" t="n">
        <f aca="false">Assumptions!H15</f>
        <v>2.7</v>
      </c>
      <c r="I9" s="4" t="n">
        <f aca="false">Assumptions!I15</f>
        <v>2.7</v>
      </c>
      <c r="J9" s="4" t="n">
        <f aca="false">Assumptions!J15</f>
        <v>2.6</v>
      </c>
      <c r="K9" s="4" t="n">
        <f aca="false">Assumptions!K15</f>
        <v>2.6</v>
      </c>
      <c r="L9" s="4" t="n">
        <f aca="false">Assumptions!L15</f>
        <v>2.6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-189.873</v>
      </c>
      <c r="D10" s="0" t="n">
        <f aca="false">-D6*D9/100</f>
        <v>-180.49104</v>
      </c>
      <c r="E10" s="0" t="n">
        <f aca="false">-E6*E9/100</f>
        <v>-177.6708675</v>
      </c>
      <c r="F10" s="0" t="n">
        <f aca="false">-F6*F9/100</f>
        <v>-178.61844546</v>
      </c>
      <c r="G10" s="0" t="n">
        <f aca="false">-G6*G9/100</f>
        <v>-177.6329643816</v>
      </c>
      <c r="H10" s="0" t="n">
        <f aca="false">-H6*H9/100</f>
        <v>-176.427597837582</v>
      </c>
      <c r="I10" s="0" t="n">
        <f aca="false">-I6*I9/100</f>
        <v>-181.72042577271</v>
      </c>
      <c r="J10" s="0" t="n">
        <f aca="false">-J6*J9/100</f>
        <v>-179.364790623804</v>
      </c>
      <c r="K10" s="0" t="n">
        <f aca="false">-K6*K9/100</f>
        <v>-183.848910389399</v>
      </c>
      <c r="L10" s="0" t="n">
        <f aca="false">-L6*L9/100</f>
        <v>-188.445133149134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871.182</v>
      </c>
      <c r="D11" s="0" t="n">
        <f aca="false">D8+D10+D24</f>
        <v>947.57796</v>
      </c>
      <c r="E11" s="0" t="n">
        <f aca="false">E8+E10+E24</f>
        <v>1066.025205</v>
      </c>
      <c r="F11" s="0" t="n">
        <f aca="false">F8+F10+F24</f>
        <v>1114.82546994</v>
      </c>
      <c r="G11" s="0" t="n">
        <f aca="false">G8+G10+G24</f>
        <v>1154.6142684804</v>
      </c>
      <c r="H11" s="0" t="n">
        <f aca="false">H8+H10+H24</f>
        <v>1195.78705201028</v>
      </c>
      <c r="I11" s="0" t="n">
        <f aca="false">I8+I10+I24</f>
        <v>1231.66066357059</v>
      </c>
      <c r="J11" s="0" t="n">
        <f aca="false">J8+J10+J24</f>
        <v>1269.35082595307</v>
      </c>
      <c r="K11" s="0" t="n">
        <f aca="false">K8+K10+K24</f>
        <v>1301.0845966019</v>
      </c>
      <c r="L11" s="0" t="n">
        <f aca="false">L8+L10+L24</f>
        <v>1333.61171151695</v>
      </c>
    </row>
    <row r="12" customFormat="false" ht="15" hidden="false" customHeight="false" outlineLevel="0" collapsed="false">
      <c r="A12" s="0" t="s">
        <v>125</v>
      </c>
      <c r="C12" s="4" t="n">
        <f aca="false">-C6*Assumptions!C17/100</f>
        <v>-212.211</v>
      </c>
      <c r="D12" s="4" t="n">
        <f aca="false">-D6*Assumptions!D17/100</f>
        <v>-197.412075</v>
      </c>
      <c r="E12" s="4" t="n">
        <f aca="false">-E6*Assumptions!E17/100</f>
        <v>-189.515592</v>
      </c>
      <c r="F12" s="4" t="n">
        <f aca="false">-F6*Assumptions!F17/100</f>
        <v>-184.7777022</v>
      </c>
      <c r="G12" s="4" t="n">
        <f aca="false">-G6*Assumptions!G17/100</f>
        <v>-177.6329643816</v>
      </c>
      <c r="H12" s="4" t="n">
        <f aca="false">-H6*Assumptions!H17/100</f>
        <v>-169.893242362116</v>
      </c>
      <c r="I12" s="4" t="n">
        <f aca="false">-I6*Assumptions!I17/100</f>
        <v>-161.52926735352</v>
      </c>
      <c r="J12" s="4" t="n">
        <f aca="false">-J6*Assumptions!J17/100</f>
        <v>-151.770207450911</v>
      </c>
      <c r="K12" s="4" t="n">
        <f aca="false">-K6*Assumptions!K17/100</f>
        <v>-141.422238761076</v>
      </c>
      <c r="L12" s="4" t="n">
        <f aca="false">-L6*Assumptions!L17/100</f>
        <v>-144.957794730103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658.971</v>
      </c>
      <c r="D13" s="0" t="n">
        <f aca="false">D11+D12</f>
        <v>750.165885</v>
      </c>
      <c r="E13" s="0" t="n">
        <f aca="false">E11+E12</f>
        <v>876.509613</v>
      </c>
      <c r="F13" s="0" t="n">
        <f aca="false">F11+F12</f>
        <v>930.04776774</v>
      </c>
      <c r="G13" s="0" t="n">
        <f aca="false">G11+G12</f>
        <v>976.9813040988</v>
      </c>
      <c r="H13" s="0" t="n">
        <f aca="false">H11+H12</f>
        <v>1025.89380964816</v>
      </c>
      <c r="I13" s="0" t="n">
        <f aca="false">I11+I12</f>
        <v>1070.13139621707</v>
      </c>
      <c r="J13" s="0" t="n">
        <f aca="false">J11+J12</f>
        <v>1117.58061850216</v>
      </c>
      <c r="K13" s="0" t="n">
        <f aca="false">K11+K12</f>
        <v>1159.66235784082</v>
      </c>
      <c r="L13" s="0" t="n">
        <f aca="false">L11+L12</f>
        <v>1188.65391678685</v>
      </c>
    </row>
    <row r="14" customFormat="false" ht="15" hidden="false" customHeight="false" outlineLevel="0" collapsed="false">
      <c r="A14" s="0" t="s">
        <v>112</v>
      </c>
      <c r="C14" s="4" t="n">
        <f aca="false">Assumptions!C19</f>
        <v>20</v>
      </c>
      <c r="D14" s="4" t="n">
        <f aca="false">Assumptions!D19</f>
        <v>20.5</v>
      </c>
      <c r="E14" s="4" t="n">
        <f aca="false">Assumptions!E19</f>
        <v>21</v>
      </c>
      <c r="F14" s="4" t="n">
        <f aca="false">Assumptions!F19</f>
        <v>21</v>
      </c>
      <c r="G14" s="4" t="n">
        <f aca="false">Assumptions!G19</f>
        <v>21</v>
      </c>
      <c r="H14" s="4" t="n">
        <f aca="false">Assumptions!H19</f>
        <v>21</v>
      </c>
      <c r="I14" s="4" t="n">
        <f aca="false">Assumptions!I19</f>
        <v>21</v>
      </c>
      <c r="J14" s="4" t="n">
        <f aca="false">Assumptions!J19</f>
        <v>21</v>
      </c>
      <c r="K14" s="4" t="n">
        <f aca="false">Assumptions!K19</f>
        <v>21</v>
      </c>
      <c r="L14" s="4" t="n">
        <f aca="false">Assumptions!L19</f>
        <v>21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527.1768</v>
      </c>
      <c r="D15" s="0" t="n">
        <f aca="false">D13-MAX(0,D13)*D14/100</f>
        <v>596.381878575</v>
      </c>
      <c r="E15" s="0" t="n">
        <f aca="false">E13-MAX(0,E13)*E14/100</f>
        <v>692.44259427</v>
      </c>
      <c r="F15" s="0" t="n">
        <f aca="false">F13-MAX(0,F13)*F14/100</f>
        <v>734.7377365146</v>
      </c>
      <c r="G15" s="0" t="n">
        <f aca="false">G13-MAX(0,G13)*G14/100</f>
        <v>771.815230238052</v>
      </c>
      <c r="H15" s="0" t="n">
        <f aca="false">H13-MAX(0,H13)*H14/100</f>
        <v>810.456109622048</v>
      </c>
      <c r="I15" s="0" t="n">
        <f aca="false">I13-MAX(0,I13)*I14/100</f>
        <v>845.403803011483</v>
      </c>
      <c r="J15" s="0" t="n">
        <f aca="false">J13-MAX(0,J13)*J14/100</f>
        <v>882.888688616709</v>
      </c>
      <c r="K15" s="0" t="n">
        <f aca="false">K13-MAX(0,K13)*K14/100</f>
        <v>916.133262694252</v>
      </c>
      <c r="L15" s="0" t="n">
        <f aca="false">L13-MAX(0,L13)*L14/100</f>
        <v>939.036594261608</v>
      </c>
    </row>
    <row r="16" customFormat="false" ht="15" hidden="false" customHeight="false" outlineLevel="0" collapsed="false">
      <c r="A16" s="0" t="s">
        <v>128</v>
      </c>
      <c r="C16" s="0" t="n">
        <f aca="false">-C12</f>
        <v>212.211</v>
      </c>
      <c r="D16" s="0" t="n">
        <f aca="false">-D12</f>
        <v>197.412075</v>
      </c>
      <c r="E16" s="0" t="n">
        <f aca="false">-E12</f>
        <v>189.515592</v>
      </c>
      <c r="F16" s="0" t="n">
        <f aca="false">-F12</f>
        <v>184.7777022</v>
      </c>
      <c r="G16" s="0" t="n">
        <f aca="false">-G12</f>
        <v>177.6329643816</v>
      </c>
      <c r="H16" s="0" t="n">
        <f aca="false">-H12</f>
        <v>169.893242362116</v>
      </c>
      <c r="I16" s="0" t="n">
        <f aca="false">-I12</f>
        <v>161.52926735352</v>
      </c>
      <c r="J16" s="0" t="n">
        <f aca="false">-J12</f>
        <v>151.770207450911</v>
      </c>
      <c r="K16" s="0" t="n">
        <f aca="false">-K12</f>
        <v>141.422238761076</v>
      </c>
      <c r="L16" s="0" t="n">
        <f aca="false">-L12</f>
        <v>144.957794730103</v>
      </c>
    </row>
    <row r="17" customFormat="false" ht="15" hidden="false" customHeight="false" outlineLevel="0" collapsed="false">
      <c r="A17" s="0" t="s">
        <v>129</v>
      </c>
      <c r="C17" s="4" t="n">
        <f aca="false">-C6*Assumptions!C18/100</f>
        <v>-89.352</v>
      </c>
      <c r="D17" s="4" t="n">
        <f aca="false">-D6*Assumptions!D18/100</f>
        <v>-90.24552</v>
      </c>
      <c r="E17" s="4" t="n">
        <f aca="false">-E6*Assumptions!E18/100</f>
        <v>-94.757796</v>
      </c>
      <c r="F17" s="4" t="n">
        <f aca="false">-F6*Assumptions!F18/100</f>
        <v>-98.54810784</v>
      </c>
      <c r="G17" s="4" t="n">
        <f aca="false">-G6*Assumptions!G18/100</f>
        <v>-101.5045510752</v>
      </c>
      <c r="H17" s="4" t="n">
        <f aca="false">-H6*Assumptions!H18/100</f>
        <v>-104.549687607456</v>
      </c>
      <c r="I17" s="4" t="n">
        <f aca="false">-I6*Assumptions!I18/100</f>
        <v>-107.68617823568</v>
      </c>
      <c r="J17" s="4" t="n">
        <f aca="false">-J6*Assumptions!J18/100</f>
        <v>-110.378332691572</v>
      </c>
      <c r="K17" s="4" t="n">
        <f aca="false">-K6*Assumptions!K18/100</f>
        <v>-113.137791008861</v>
      </c>
      <c r="L17" s="4" t="n">
        <f aca="false">-L6*Assumptions!L18/100</f>
        <v>-115.966235784082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(C6-B6)*Assumptions!$B$23/100</f>
        <v>31.025</v>
      </c>
      <c r="D18" s="4" t="n">
        <f aca="false">(D6-C6)*Assumptions!$B$23/100</f>
        <v>-2.79225000000001</v>
      </c>
      <c r="E18" s="4" t="n">
        <f aca="false">(E6-D6)*Assumptions!$B$23/100</f>
        <v>-14.1008625</v>
      </c>
      <c r="F18" s="4" t="n">
        <f aca="false">(F6-E6)*Assumptions!$B$23/100</f>
        <v>-11.8447245</v>
      </c>
      <c r="G18" s="4" t="n">
        <f aca="false">(G6-F6)*Assumptions!$B$23/100</f>
        <v>-9.23888511</v>
      </c>
      <c r="H18" s="4" t="n">
        <f aca="false">(H6-G6)*Assumptions!$B$23/100</f>
        <v>-9.5160516633</v>
      </c>
      <c r="I18" s="4" t="n">
        <f aca="false">(I6-H6)*Assumptions!$B$23/100</f>
        <v>-9.80153321319899</v>
      </c>
      <c r="J18" s="4" t="n">
        <f aca="false">(J6-I6)*Assumptions!$B$23/100</f>
        <v>-8.41298267466245</v>
      </c>
      <c r="K18" s="4" t="n">
        <f aca="false">(K6-J6)*Assumptions!$B$23/100</f>
        <v>-8.62330724152903</v>
      </c>
      <c r="L18" s="4" t="n">
        <f aca="false">(L6-K6)*Assumptions!$B$23/100</f>
        <v>-8.83888992256725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681.0608</v>
      </c>
      <c r="D19" s="0" t="n">
        <f aca="false">D15+D16+D17+D18</f>
        <v>700.756183575</v>
      </c>
      <c r="E19" s="0" t="n">
        <f aca="false">E15+E16+E17+E18</f>
        <v>773.09952777</v>
      </c>
      <c r="F19" s="0" t="n">
        <f aca="false">F15+F16+F17+F18</f>
        <v>809.1226063746</v>
      </c>
      <c r="G19" s="0" t="n">
        <f aca="false">G15+G16+G17+G18</f>
        <v>838.704758434452</v>
      </c>
      <c r="H19" s="0" t="n">
        <f aca="false">H15+H16+H17+H18</f>
        <v>866.283612713408</v>
      </c>
      <c r="I19" s="0" t="n">
        <f aca="false">I15+I16+I17+I18</f>
        <v>889.445358916124</v>
      </c>
      <c r="J19" s="0" t="n">
        <f aca="false">J15+J16+J17+J18</f>
        <v>915.867580701386</v>
      </c>
      <c r="K19" s="0" t="n">
        <f aca="false">K15+K16+K17+K18</f>
        <v>935.794403204938</v>
      </c>
      <c r="L19" s="0" t="n">
        <f aca="false">L15+L16+L17+L18</f>
        <v>959.189263285061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619.146181818182</v>
      </c>
      <c r="D21" s="0" t="n">
        <f aca="false">D19*D20</f>
        <v>579.137341797521</v>
      </c>
      <c r="E21" s="0" t="n">
        <f aca="false">E19*E20</f>
        <v>580.841117783621</v>
      </c>
      <c r="F21" s="0" t="n">
        <f aca="false">F19*F20</f>
        <v>552.641627193907</v>
      </c>
      <c r="G21" s="0" t="n">
        <f aca="false">G19*G20</f>
        <v>520.769668263129</v>
      </c>
      <c r="H21" s="0" t="n">
        <f aca="false">H19*H20</f>
        <v>488.994515409522</v>
      </c>
      <c r="I21" s="0" t="n">
        <f aca="false">I19*I20</f>
        <v>456.426106650433</v>
      </c>
      <c r="J21" s="0" t="n">
        <f aca="false">J19*J20</f>
        <v>427.25898569203</v>
      </c>
      <c r="K21" s="0" t="n">
        <f aca="false">K19*K20</f>
        <v>396.868177685515</v>
      </c>
      <c r="L21" s="0" t="n">
        <f aca="false">L19*L20</f>
        <v>369.808983752411</v>
      </c>
    </row>
    <row r="23" customFormat="false" ht="15" hidden="false" customHeight="false" outlineLevel="0" collapsed="false">
      <c r="A23" s="0" t="s">
        <v>109</v>
      </c>
      <c r="C23" s="4" t="n">
        <f aca="false">Assumptions!C16</f>
        <v>0</v>
      </c>
      <c r="D23" s="4" t="n">
        <f aca="false">Assumptions!D16</f>
        <v>0</v>
      </c>
      <c r="E23" s="4" t="n">
        <f aca="false">Assumptions!E16</f>
        <v>0</v>
      </c>
      <c r="F23" s="4" t="n">
        <f aca="false">Assumptions!F16</f>
        <v>0</v>
      </c>
      <c r="G23" s="4" t="n">
        <f aca="false">Assumptions!G16</f>
        <v>0</v>
      </c>
      <c r="H23" s="4" t="n">
        <f aca="false">Assumptions!H16</f>
        <v>0</v>
      </c>
      <c r="I23" s="4" t="n">
        <f aca="false">Assumptions!I16</f>
        <v>0</v>
      </c>
      <c r="J23" s="4" t="n">
        <f aca="false">Assumptions!J16</f>
        <v>0</v>
      </c>
      <c r="K23" s="4" t="n">
        <f aca="false">Assumptions!K16</f>
        <v>0</v>
      </c>
      <c r="L23" s="4" t="n">
        <f aca="false">Assumptions!L16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Assumptions!$B$20</f>
        <v>10</v>
      </c>
    </row>
    <row r="28" customFormat="false" ht="15" hidden="false" customHeight="false" outlineLevel="0" collapsed="false">
      <c r="A28" s="0" t="s">
        <v>114</v>
      </c>
      <c r="B28" s="4" t="n">
        <f aca="false">Assumptions!$B$21</f>
        <v>2.5</v>
      </c>
    </row>
    <row r="29" customFormat="false" ht="15" hidden="false" customHeight="false" outlineLevel="0" collapsed="false">
      <c r="A29" s="0" t="s">
        <v>115</v>
      </c>
      <c r="B29" s="4" t="n">
        <f aca="false">Assumptions!$B$22</f>
        <v>12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4991.89270604627</v>
      </c>
    </row>
    <row r="31" customFormat="false" ht="15" hidden="false" customHeight="false" outlineLevel="0" collapsed="false">
      <c r="A31" s="0" t="s">
        <v>137</v>
      </c>
      <c r="B31" s="0" t="n">
        <f aca="false">L19</f>
        <v>959.189263285061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13108.9199315625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11510.2711594207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11510.2711594207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4437.70780502894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9429.60051107521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6810.60051107521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142.720044238793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-0.620284030652921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1114.69834765077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992.934672321143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186.886704338791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7865.3519589375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70.1304044131814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151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Assumptions!C27</f>
        <v>6</v>
      </c>
      <c r="D5" s="4" t="n">
        <f aca="false">Assumptions!D27</f>
        <v>5</v>
      </c>
      <c r="E5" s="4" t="n">
        <f aca="false">Assumptions!E27</f>
        <v>4.5</v>
      </c>
      <c r="F5" s="4" t="n">
        <f aca="false">Assumptions!F27</f>
        <v>4</v>
      </c>
      <c r="G5" s="4" t="n">
        <f aca="false">Assumptions!G27</f>
        <v>4</v>
      </c>
      <c r="H5" s="4" t="n">
        <f aca="false">Assumptions!H27</f>
        <v>3.5</v>
      </c>
      <c r="I5" s="4" t="n">
        <f aca="false">Assumptions!I27</f>
        <v>3.5</v>
      </c>
      <c r="J5" s="4" t="n">
        <f aca="false">Assumptions!J27</f>
        <v>3</v>
      </c>
      <c r="K5" s="4" t="n">
        <f aca="false">Assumptions!K27</f>
        <v>3</v>
      </c>
      <c r="L5" s="4" t="n">
        <f aca="false">Assumptions!L27</f>
        <v>3</v>
      </c>
    </row>
    <row r="6" customFormat="false" ht="15" hidden="false" customHeight="false" outlineLevel="0" collapsed="false">
      <c r="A6" s="0" t="s">
        <v>37</v>
      </c>
      <c r="B6" s="3" t="n">
        <v>6205</v>
      </c>
      <c r="C6" s="0" t="n">
        <f aca="false">B6*(1+C5/100)</f>
        <v>6577.3</v>
      </c>
      <c r="D6" s="0" t="n">
        <f aca="false">C6*(1+D5/100)</f>
        <v>6906.165</v>
      </c>
      <c r="E6" s="0" t="n">
        <f aca="false">D6*(1+E5/100)</f>
        <v>7216.942425</v>
      </c>
      <c r="F6" s="0" t="n">
        <f aca="false">E6*(1+F5/100)</f>
        <v>7505.620122</v>
      </c>
      <c r="G6" s="0" t="n">
        <f aca="false">F6*(1+G5/100)</f>
        <v>7805.84492688</v>
      </c>
      <c r="H6" s="0" t="n">
        <f aca="false">G6*(1+H5/100)</f>
        <v>8079.0494993208</v>
      </c>
      <c r="I6" s="0" t="n">
        <f aca="false">H6*(1+I5/100)</f>
        <v>8361.81623179703</v>
      </c>
      <c r="J6" s="0" t="n">
        <f aca="false">I6*(1+J5/100)</f>
        <v>8612.67071875094</v>
      </c>
      <c r="K6" s="0" t="n">
        <f aca="false">J6*(1+K5/100)</f>
        <v>8871.05084031347</v>
      </c>
      <c r="L6" s="0" t="n">
        <f aca="false">K6*(1+L5/100)</f>
        <v>9137.18236552287</v>
      </c>
    </row>
    <row r="7" customFormat="false" ht="15" hidden="false" customHeight="false" outlineLevel="0" collapsed="false">
      <c r="A7" s="0" t="s">
        <v>107</v>
      </c>
      <c r="C7" s="4" t="n">
        <f aca="false">Assumptions!C28</f>
        <v>23.5</v>
      </c>
      <c r="D7" s="4" t="n">
        <f aca="false">Assumptions!D28</f>
        <v>23</v>
      </c>
      <c r="E7" s="4" t="n">
        <f aca="false">Assumptions!E28</f>
        <v>22.75</v>
      </c>
      <c r="F7" s="4" t="n">
        <f aca="false">Assumptions!F28</f>
        <v>22.5</v>
      </c>
      <c r="G7" s="4" t="n">
        <f aca="false">Assumptions!G28</f>
        <v>22.5</v>
      </c>
      <c r="H7" s="4" t="n">
        <f aca="false">Assumptions!H28</f>
        <v>22.5</v>
      </c>
      <c r="I7" s="4" t="n">
        <f aca="false">Assumptions!I28</f>
        <v>22.5</v>
      </c>
      <c r="J7" s="4" t="n">
        <f aca="false">Assumptions!J28</f>
        <v>22.5</v>
      </c>
      <c r="K7" s="4" t="n">
        <f aca="false">Assumptions!K28</f>
        <v>22.5</v>
      </c>
      <c r="L7" s="4" t="n">
        <f aca="false">Assumptions!L28</f>
        <v>22.5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1545.6655</v>
      </c>
      <c r="D8" s="0" t="n">
        <f aca="false">D6*D7/100</f>
        <v>1588.41795</v>
      </c>
      <c r="E8" s="0" t="n">
        <f aca="false">E6*E7/100</f>
        <v>1641.8544016875</v>
      </c>
      <c r="F8" s="0" t="n">
        <f aca="false">F6*F7/100</f>
        <v>1688.76452745</v>
      </c>
      <c r="G8" s="0" t="n">
        <f aca="false">G6*G7/100</f>
        <v>1756.315108548</v>
      </c>
      <c r="H8" s="0" t="n">
        <f aca="false">H6*H7/100</f>
        <v>1817.78613734718</v>
      </c>
      <c r="I8" s="0" t="n">
        <f aca="false">I6*I7/100</f>
        <v>1881.40865215433</v>
      </c>
      <c r="J8" s="0" t="n">
        <f aca="false">J6*J7/100</f>
        <v>1937.85091171896</v>
      </c>
      <c r="K8" s="0" t="n">
        <f aca="false">K6*K7/100</f>
        <v>1995.98643907053</v>
      </c>
      <c r="L8" s="0" t="n">
        <f aca="false">L6*L7/100</f>
        <v>2055.86603224265</v>
      </c>
    </row>
    <row r="9" customFormat="false" ht="15" hidden="false" customHeight="false" outlineLevel="0" collapsed="false">
      <c r="A9" s="0" t="s">
        <v>108</v>
      </c>
      <c r="C9" s="4" t="n">
        <f aca="false">Assumptions!C29</f>
        <v>3.1</v>
      </c>
      <c r="D9" s="4" t="n">
        <f aca="false">Assumptions!D29</f>
        <v>3</v>
      </c>
      <c r="E9" s="4" t="n">
        <f aca="false">Assumptions!E29</f>
        <v>2.9</v>
      </c>
      <c r="F9" s="4" t="n">
        <f aca="false">Assumptions!F29</f>
        <v>2.8</v>
      </c>
      <c r="G9" s="4" t="n">
        <f aca="false">Assumptions!G29</f>
        <v>2.8</v>
      </c>
      <c r="H9" s="4" t="n">
        <f aca="false">Assumptions!H29</f>
        <v>2.7</v>
      </c>
      <c r="I9" s="4" t="n">
        <f aca="false">Assumptions!I29</f>
        <v>2.7</v>
      </c>
      <c r="J9" s="4" t="n">
        <f aca="false">Assumptions!J29</f>
        <v>2.6</v>
      </c>
      <c r="K9" s="4" t="n">
        <f aca="false">Assumptions!K29</f>
        <v>2.6</v>
      </c>
      <c r="L9" s="4" t="n">
        <f aca="false">Assumptions!L29</f>
        <v>2.6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-203.8963</v>
      </c>
      <c r="D10" s="0" t="n">
        <f aca="false">-D6*D9/100</f>
        <v>-207.18495</v>
      </c>
      <c r="E10" s="0" t="n">
        <f aca="false">-E6*E9/100</f>
        <v>-209.291330325</v>
      </c>
      <c r="F10" s="0" t="n">
        <f aca="false">-F6*F9/100</f>
        <v>-210.157363416</v>
      </c>
      <c r="G10" s="0" t="n">
        <f aca="false">-G6*G9/100</f>
        <v>-218.56365795264</v>
      </c>
      <c r="H10" s="0" t="n">
        <f aca="false">-H6*H9/100</f>
        <v>-218.134336481662</v>
      </c>
      <c r="I10" s="0" t="n">
        <f aca="false">-I6*I9/100</f>
        <v>-225.76903825852</v>
      </c>
      <c r="J10" s="0" t="n">
        <f aca="false">-J6*J9/100</f>
        <v>-223.929438687524</v>
      </c>
      <c r="K10" s="0" t="n">
        <f aca="false">-K6*K9/100</f>
        <v>-230.64732184815</v>
      </c>
      <c r="L10" s="0" t="n">
        <f aca="false">-L6*L9/100</f>
        <v>-237.566741503595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1341.7692</v>
      </c>
      <c r="D11" s="0" t="n">
        <f aca="false">D8+D10+D24</f>
        <v>1381.233</v>
      </c>
      <c r="E11" s="0" t="n">
        <f aca="false">E8+E10+E24</f>
        <v>1432.5630713625</v>
      </c>
      <c r="F11" s="0" t="n">
        <f aca="false">F8+F10+F24</f>
        <v>1478.607164034</v>
      </c>
      <c r="G11" s="0" t="n">
        <f aca="false">G8+G10+G24</f>
        <v>1537.75145059536</v>
      </c>
      <c r="H11" s="0" t="n">
        <f aca="false">H8+H10+H24</f>
        <v>1599.65180086552</v>
      </c>
      <c r="I11" s="0" t="n">
        <f aca="false">I8+I10+I24</f>
        <v>1655.63961389581</v>
      </c>
      <c r="J11" s="0" t="n">
        <f aca="false">J8+J10+J24</f>
        <v>1713.92147303144</v>
      </c>
      <c r="K11" s="0" t="n">
        <f aca="false">K8+K10+K24</f>
        <v>1765.33911722238</v>
      </c>
      <c r="L11" s="0" t="n">
        <f aca="false">L8+L10+L24</f>
        <v>1818.29929073905</v>
      </c>
    </row>
    <row r="12" customFormat="false" ht="15" hidden="false" customHeight="false" outlineLevel="0" collapsed="false">
      <c r="A12" s="0" t="s">
        <v>125</v>
      </c>
      <c r="C12" s="4" t="n">
        <f aca="false">-C6*Assumptions!C31/100</f>
        <v>-230.2055</v>
      </c>
      <c r="D12" s="4" t="n">
        <f aca="false">-D6*Assumptions!D31/100</f>
        <v>-227.903445</v>
      </c>
      <c r="E12" s="4" t="n">
        <f aca="false">-E6*Assumptions!E31/100</f>
        <v>-223.725215175</v>
      </c>
      <c r="F12" s="4" t="n">
        <f aca="false">-F6*Assumptions!F31/100</f>
        <v>-217.662983538</v>
      </c>
      <c r="G12" s="4" t="n">
        <f aca="false">-G6*Assumptions!G31/100</f>
        <v>-210.75781302576</v>
      </c>
      <c r="H12" s="4" t="n">
        <f aca="false">-H6*Assumptions!H31/100</f>
        <v>-201.97623748302</v>
      </c>
      <c r="I12" s="4" t="n">
        <f aca="false">-I6*Assumptions!I31/100</f>
        <v>-192.321773331332</v>
      </c>
      <c r="J12" s="4" t="n">
        <f aca="false">-J6*Assumptions!J31/100</f>
        <v>-180.86608509377</v>
      </c>
      <c r="K12" s="4" t="n">
        <f aca="false">-K6*Assumptions!K31/100</f>
        <v>-177.421016806269</v>
      </c>
      <c r="L12" s="4" t="n">
        <f aca="false">-L6*Assumptions!L31/100</f>
        <v>-182.743647310457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1111.5637</v>
      </c>
      <c r="D13" s="0" t="n">
        <f aca="false">D11+D12</f>
        <v>1153.329555</v>
      </c>
      <c r="E13" s="0" t="n">
        <f aca="false">E11+E12</f>
        <v>1208.8378561875</v>
      </c>
      <c r="F13" s="0" t="n">
        <f aca="false">F11+F12</f>
        <v>1260.944180496</v>
      </c>
      <c r="G13" s="0" t="n">
        <f aca="false">G11+G12</f>
        <v>1326.9936375696</v>
      </c>
      <c r="H13" s="0" t="n">
        <f aca="false">H11+H12</f>
        <v>1397.6755633825</v>
      </c>
      <c r="I13" s="0" t="n">
        <f aca="false">I11+I12</f>
        <v>1463.31784056448</v>
      </c>
      <c r="J13" s="0" t="n">
        <f aca="false">J11+J12</f>
        <v>1533.05538793767</v>
      </c>
      <c r="K13" s="0" t="n">
        <f aca="false">K11+K12</f>
        <v>1587.91810041611</v>
      </c>
      <c r="L13" s="0" t="n">
        <f aca="false">L11+L12</f>
        <v>1635.55564342859</v>
      </c>
    </row>
    <row r="14" customFormat="false" ht="15" hidden="false" customHeight="false" outlineLevel="0" collapsed="false">
      <c r="A14" s="0" t="s">
        <v>112</v>
      </c>
      <c r="C14" s="4" t="n">
        <f aca="false">Assumptions!C33</f>
        <v>20</v>
      </c>
      <c r="D14" s="4" t="n">
        <f aca="false">Assumptions!D33</f>
        <v>20.5</v>
      </c>
      <c r="E14" s="4" t="n">
        <f aca="false">Assumptions!E33</f>
        <v>21</v>
      </c>
      <c r="F14" s="4" t="n">
        <f aca="false">Assumptions!F33</f>
        <v>21</v>
      </c>
      <c r="G14" s="4" t="n">
        <f aca="false">Assumptions!G33</f>
        <v>21</v>
      </c>
      <c r="H14" s="4" t="n">
        <f aca="false">Assumptions!H33</f>
        <v>21</v>
      </c>
      <c r="I14" s="4" t="n">
        <f aca="false">Assumptions!I33</f>
        <v>21</v>
      </c>
      <c r="J14" s="4" t="n">
        <f aca="false">Assumptions!J33</f>
        <v>21</v>
      </c>
      <c r="K14" s="4" t="n">
        <f aca="false">Assumptions!K33</f>
        <v>21</v>
      </c>
      <c r="L14" s="4" t="n">
        <f aca="false">Assumptions!L33</f>
        <v>21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889.25096</v>
      </c>
      <c r="D15" s="0" t="n">
        <f aca="false">D13-MAX(0,D13)*D14/100</f>
        <v>916.896996225</v>
      </c>
      <c r="E15" s="0" t="n">
        <f aca="false">E13-MAX(0,E13)*E14/100</f>
        <v>954.981906388125</v>
      </c>
      <c r="F15" s="0" t="n">
        <f aca="false">F13-MAX(0,F13)*F14/100</f>
        <v>996.14590259184</v>
      </c>
      <c r="G15" s="0" t="n">
        <f aca="false">G13-MAX(0,G13)*G14/100</f>
        <v>1048.32497367998</v>
      </c>
      <c r="H15" s="0" t="n">
        <f aca="false">H13-MAX(0,H13)*H14/100</f>
        <v>1104.16369507217</v>
      </c>
      <c r="I15" s="0" t="n">
        <f aca="false">I13-MAX(0,I13)*I14/100</f>
        <v>1156.02109404594</v>
      </c>
      <c r="J15" s="0" t="n">
        <f aca="false">J13-MAX(0,J13)*J14/100</f>
        <v>1211.11375647076</v>
      </c>
      <c r="K15" s="0" t="n">
        <f aca="false">K13-MAX(0,K13)*K14/100</f>
        <v>1254.45529932873</v>
      </c>
      <c r="L15" s="0" t="n">
        <f aca="false">L13-MAX(0,L13)*L14/100</f>
        <v>1292.08895830859</v>
      </c>
    </row>
    <row r="16" customFormat="false" ht="15" hidden="false" customHeight="false" outlineLevel="0" collapsed="false">
      <c r="A16" s="0" t="s">
        <v>128</v>
      </c>
      <c r="C16" s="0" t="n">
        <f aca="false">-C12</f>
        <v>230.2055</v>
      </c>
      <c r="D16" s="0" t="n">
        <f aca="false">-D12</f>
        <v>227.903445</v>
      </c>
      <c r="E16" s="0" t="n">
        <f aca="false">-E12</f>
        <v>223.725215175</v>
      </c>
      <c r="F16" s="0" t="n">
        <f aca="false">-F12</f>
        <v>217.662983538</v>
      </c>
      <c r="G16" s="0" t="n">
        <f aca="false">-G12</f>
        <v>210.75781302576</v>
      </c>
      <c r="H16" s="0" t="n">
        <f aca="false">-H12</f>
        <v>201.97623748302</v>
      </c>
      <c r="I16" s="0" t="n">
        <f aca="false">-I12</f>
        <v>192.321773331332</v>
      </c>
      <c r="J16" s="0" t="n">
        <f aca="false">-J12</f>
        <v>180.86608509377</v>
      </c>
      <c r="K16" s="0" t="n">
        <f aca="false">-K12</f>
        <v>177.421016806269</v>
      </c>
      <c r="L16" s="0" t="n">
        <f aca="false">-L12</f>
        <v>182.743647310457</v>
      </c>
    </row>
    <row r="17" customFormat="false" ht="15" hidden="false" customHeight="false" outlineLevel="0" collapsed="false">
      <c r="A17" s="0" t="s">
        <v>129</v>
      </c>
      <c r="C17" s="4" t="n">
        <f aca="false">-C6*Assumptions!C32/100</f>
        <v>-105.2368</v>
      </c>
      <c r="D17" s="4" t="n">
        <f aca="false">-D6*Assumptions!D32/100</f>
        <v>-110.49864</v>
      </c>
      <c r="E17" s="4" t="n">
        <f aca="false">-E6*Assumptions!E32/100</f>
        <v>-115.4710788</v>
      </c>
      <c r="F17" s="4" t="n">
        <f aca="false">-F6*Assumptions!F32/100</f>
        <v>-120.089921952</v>
      </c>
      <c r="G17" s="4" t="n">
        <f aca="false">-G6*Assumptions!G32/100</f>
        <v>-124.89351883008</v>
      </c>
      <c r="H17" s="4" t="n">
        <f aca="false">-H6*Assumptions!H32/100</f>
        <v>-129.264791989133</v>
      </c>
      <c r="I17" s="4" t="n">
        <f aca="false">-I6*Assumptions!I32/100</f>
        <v>-133.789059708752</v>
      </c>
      <c r="J17" s="4" t="n">
        <f aca="false">-J6*Assumptions!J32/100</f>
        <v>-137.802731500015</v>
      </c>
      <c r="K17" s="4" t="n">
        <f aca="false">-K6*Assumptions!K32/100</f>
        <v>-141.936813445015</v>
      </c>
      <c r="L17" s="4" t="n">
        <f aca="false">-L6*Assumptions!L32/100</f>
        <v>-146.194917848366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(C6-B6)*Assumptions!$B$37/100</f>
        <v>-18.615</v>
      </c>
      <c r="D18" s="4" t="n">
        <f aca="false">(D6-C6)*Assumptions!$B$37/100</f>
        <v>-16.44325</v>
      </c>
      <c r="E18" s="4" t="n">
        <f aca="false">(E6-D6)*Assumptions!$B$37/100</f>
        <v>-15.53887125</v>
      </c>
      <c r="F18" s="4" t="n">
        <f aca="false">(F6-E6)*Assumptions!$B$37/100</f>
        <v>-14.43388485</v>
      </c>
      <c r="G18" s="4" t="n">
        <f aca="false">(G6-F6)*Assumptions!$B$37/100</f>
        <v>-15.011240244</v>
      </c>
      <c r="H18" s="4" t="n">
        <f aca="false">(H6-G6)*Assumptions!$B$37/100</f>
        <v>-13.6602286220399</v>
      </c>
      <c r="I18" s="4" t="n">
        <f aca="false">(I6-H6)*Assumptions!$B$37/100</f>
        <v>-14.1383366238114</v>
      </c>
      <c r="J18" s="4" t="n">
        <f aca="false">(J6-I6)*Assumptions!$B$37/100</f>
        <v>-12.5427243476955</v>
      </c>
      <c r="K18" s="4" t="n">
        <f aca="false">(K6-J6)*Assumptions!$B$37/100</f>
        <v>-12.9190060781264</v>
      </c>
      <c r="L18" s="4" t="n">
        <f aca="false">(L6-K6)*Assumptions!$B$37/100</f>
        <v>-13.3065762604702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995.60466</v>
      </c>
      <c r="D19" s="0" t="n">
        <f aca="false">D15+D16+D17+D18</f>
        <v>1017.858551225</v>
      </c>
      <c r="E19" s="0" t="n">
        <f aca="false">E15+E16+E17+E18</f>
        <v>1047.69717151313</v>
      </c>
      <c r="F19" s="0" t="n">
        <f aca="false">F15+F16+F17+F18</f>
        <v>1079.28507932784</v>
      </c>
      <c r="G19" s="0" t="n">
        <f aca="false">G15+G16+G17+G18</f>
        <v>1119.17802763166</v>
      </c>
      <c r="H19" s="0" t="n">
        <f aca="false">H15+H16+H17+H18</f>
        <v>1163.21491194402</v>
      </c>
      <c r="I19" s="0" t="n">
        <f aca="false">I15+I16+I17+I18</f>
        <v>1200.41547104471</v>
      </c>
      <c r="J19" s="0" t="n">
        <f aca="false">J15+J16+J17+J18</f>
        <v>1241.63438571682</v>
      </c>
      <c r="K19" s="0" t="n">
        <f aca="false">K15+K16+K17+K18</f>
        <v>1277.02049661185</v>
      </c>
      <c r="L19" s="0" t="n">
        <f aca="false">L15+L16+L17+L18</f>
        <v>1315.33111151021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905.095145454545</v>
      </c>
      <c r="D21" s="0" t="n">
        <f aca="false">D19*D20</f>
        <v>841.205414235537</v>
      </c>
      <c r="E21" s="0" t="n">
        <f aca="false">E19*E20</f>
        <v>787.15039182053</v>
      </c>
      <c r="F21" s="0" t="n">
        <f aca="false">F19*F20</f>
        <v>737.166231355673</v>
      </c>
      <c r="G21" s="0" t="n">
        <f aca="false">G19*G20</f>
        <v>694.921501655788</v>
      </c>
      <c r="H21" s="0" t="n">
        <f aca="false">H19*H20</f>
        <v>656.6044928422</v>
      </c>
      <c r="I21" s="0" t="n">
        <f aca="false">I19*I20</f>
        <v>616.002944216329</v>
      </c>
      <c r="J21" s="0" t="n">
        <f aca="false">J19*J20</f>
        <v>579.231604459073</v>
      </c>
      <c r="K21" s="0" t="n">
        <f aca="false">K19*K20</f>
        <v>541.581351225935</v>
      </c>
      <c r="L21" s="0" t="n">
        <f aca="false">L19*L20</f>
        <v>507.117083420648</v>
      </c>
    </row>
    <row r="23" customFormat="false" ht="15" hidden="false" customHeight="false" outlineLevel="0" collapsed="false">
      <c r="A23" s="0" t="s">
        <v>109</v>
      </c>
      <c r="C23" s="4" t="n">
        <f aca="false">Assumptions!C30</f>
        <v>0</v>
      </c>
      <c r="D23" s="4" t="n">
        <f aca="false">Assumptions!D30</f>
        <v>0</v>
      </c>
      <c r="E23" s="4" t="n">
        <f aca="false">Assumptions!E30</f>
        <v>0</v>
      </c>
      <c r="F23" s="4" t="n">
        <f aca="false">Assumptions!F30</f>
        <v>0</v>
      </c>
      <c r="G23" s="4" t="n">
        <f aca="false">Assumptions!G30</f>
        <v>0</v>
      </c>
      <c r="H23" s="4" t="n">
        <f aca="false">Assumptions!H30</f>
        <v>0</v>
      </c>
      <c r="I23" s="4" t="n">
        <f aca="false">Assumptions!I30</f>
        <v>0</v>
      </c>
      <c r="J23" s="4" t="n">
        <f aca="false">Assumptions!J30</f>
        <v>0</v>
      </c>
      <c r="K23" s="4" t="n">
        <f aca="false">Assumptions!K30</f>
        <v>0</v>
      </c>
      <c r="L23" s="4" t="n">
        <f aca="false">Assumptions!L30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Assumptions!$B$34</f>
        <v>10</v>
      </c>
    </row>
    <row r="28" customFormat="false" ht="15" hidden="false" customHeight="false" outlineLevel="0" collapsed="false">
      <c r="A28" s="0" t="s">
        <v>114</v>
      </c>
      <c r="B28" s="4" t="n">
        <f aca="false">Assumptions!$B$35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Assumptions!$B$36</f>
        <v>14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6866.07616068626</v>
      </c>
    </row>
    <row r="31" customFormat="false" ht="15" hidden="false" customHeight="false" outlineLevel="0" collapsed="false">
      <c r="A31" s="0" t="s">
        <v>137</v>
      </c>
      <c r="B31" s="0" t="n">
        <f aca="false">L19</f>
        <v>1315.33111151021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19354.1577836502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18414.6355611429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18414.6355611429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7099.63916788908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13965.7153285753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11346.7153285753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237.77693479831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-0.367378984732854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1325.94266060463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1347.71472668145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293.804960516794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11289.925373796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119.817287871317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152</v>
      </c>
    </row>
    <row r="3" customFormat="false" ht="15" hidden="false" customHeight="false" outlineLevel="0" collapsed="false">
      <c r="A3" s="0" t="s">
        <v>121</v>
      </c>
      <c r="B3" s="0" t="s">
        <v>91</v>
      </c>
      <c r="C3" s="2" t="s">
        <v>96</v>
      </c>
      <c r="D3" s="2" t="s">
        <v>97</v>
      </c>
      <c r="E3" s="2" t="s">
        <v>98</v>
      </c>
      <c r="F3" s="2" t="s">
        <v>99</v>
      </c>
      <c r="G3" s="2" t="s">
        <v>100</v>
      </c>
      <c r="H3" s="2" t="s">
        <v>101</v>
      </c>
      <c r="I3" s="2" t="s">
        <v>102</v>
      </c>
      <c r="J3" s="2" t="s">
        <v>103</v>
      </c>
      <c r="K3" s="2" t="s">
        <v>104</v>
      </c>
      <c r="L3" s="2" t="s">
        <v>105</v>
      </c>
    </row>
    <row r="4" customFormat="false" ht="15" hidden="false" customHeight="false" outlineLevel="0" collapsed="false">
      <c r="A4" s="0" t="s">
        <v>122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106</v>
      </c>
      <c r="C5" s="4" t="n">
        <f aca="false">Assumptions!C41</f>
        <v>9</v>
      </c>
      <c r="D5" s="4" t="n">
        <f aca="false">Assumptions!D41</f>
        <v>8</v>
      </c>
      <c r="E5" s="4" t="n">
        <f aca="false">Assumptions!E41</f>
        <v>7</v>
      </c>
      <c r="F5" s="4" t="n">
        <f aca="false">Assumptions!F41</f>
        <v>6.5</v>
      </c>
      <c r="G5" s="4" t="n">
        <f aca="false">Assumptions!G41</f>
        <v>6</v>
      </c>
      <c r="H5" s="4" t="n">
        <f aca="false">Assumptions!H41</f>
        <v>5</v>
      </c>
      <c r="I5" s="4" t="n">
        <f aca="false">Assumptions!I41</f>
        <v>4.5</v>
      </c>
      <c r="J5" s="4" t="n">
        <f aca="false">Assumptions!J41</f>
        <v>4</v>
      </c>
      <c r="K5" s="4" t="n">
        <f aca="false">Assumptions!K41</f>
        <v>3.5</v>
      </c>
      <c r="L5" s="4" t="n">
        <f aca="false">Assumptions!L41</f>
        <v>3.5</v>
      </c>
    </row>
    <row r="6" customFormat="false" ht="15" hidden="false" customHeight="false" outlineLevel="0" collapsed="false">
      <c r="A6" s="0" t="s">
        <v>37</v>
      </c>
      <c r="B6" s="3" t="n">
        <v>6205</v>
      </c>
      <c r="C6" s="0" t="n">
        <f aca="false">B6*(1+C5/100)</f>
        <v>6763.45</v>
      </c>
      <c r="D6" s="0" t="n">
        <f aca="false">C6*(1+D5/100)</f>
        <v>7304.526</v>
      </c>
      <c r="E6" s="0" t="n">
        <f aca="false">D6*(1+E5/100)</f>
        <v>7815.84282</v>
      </c>
      <c r="F6" s="0" t="n">
        <f aca="false">E6*(1+F5/100)</f>
        <v>8323.8726033</v>
      </c>
      <c r="G6" s="0" t="n">
        <f aca="false">F6*(1+G5/100)</f>
        <v>8823.304959498</v>
      </c>
      <c r="H6" s="0" t="n">
        <f aca="false">G6*(1+H5/100)</f>
        <v>9264.4702074729</v>
      </c>
      <c r="I6" s="0" t="n">
        <f aca="false">H6*(1+I5/100)</f>
        <v>9681.37136680918</v>
      </c>
      <c r="J6" s="0" t="n">
        <f aca="false">I6*(1+J5/100)</f>
        <v>10068.6262214816</v>
      </c>
      <c r="K6" s="0" t="n">
        <f aca="false">J6*(1+K5/100)</f>
        <v>10421.0281392334</v>
      </c>
      <c r="L6" s="0" t="n">
        <f aca="false">K6*(1+L5/100)</f>
        <v>10785.7641241066</v>
      </c>
    </row>
    <row r="7" customFormat="false" ht="15" hidden="false" customHeight="false" outlineLevel="0" collapsed="false">
      <c r="A7" s="0" t="s">
        <v>107</v>
      </c>
      <c r="C7" s="4" t="n">
        <f aca="false">Assumptions!C42</f>
        <v>24.5</v>
      </c>
      <c r="D7" s="4" t="n">
        <f aca="false">Assumptions!D42</f>
        <v>25</v>
      </c>
      <c r="E7" s="4" t="n">
        <f aca="false">Assumptions!E42</f>
        <v>25.5</v>
      </c>
      <c r="F7" s="4" t="n">
        <f aca="false">Assumptions!F42</f>
        <v>25.5</v>
      </c>
      <c r="G7" s="4" t="n">
        <f aca="false">Assumptions!G42</f>
        <v>25.5</v>
      </c>
      <c r="H7" s="4" t="n">
        <f aca="false">Assumptions!H42</f>
        <v>25.5</v>
      </c>
      <c r="I7" s="4" t="n">
        <f aca="false">Assumptions!I42</f>
        <v>25.5</v>
      </c>
      <c r="J7" s="4" t="n">
        <f aca="false">Assumptions!J42</f>
        <v>25.5</v>
      </c>
      <c r="K7" s="4" t="n">
        <f aca="false">Assumptions!K42</f>
        <v>25.5</v>
      </c>
      <c r="L7" s="4" t="n">
        <f aca="false">Assumptions!L42</f>
        <v>25.5</v>
      </c>
    </row>
    <row r="8" customFormat="false" ht="15" hidden="false" customHeight="false" outlineLevel="0" collapsed="false">
      <c r="A8" s="0" t="s">
        <v>43</v>
      </c>
      <c r="C8" s="0" t="n">
        <f aca="false">C6*C7/100</f>
        <v>1657.04525</v>
      </c>
      <c r="D8" s="0" t="n">
        <f aca="false">D6*D7/100</f>
        <v>1826.1315</v>
      </c>
      <c r="E8" s="0" t="n">
        <f aca="false">E6*E7/100</f>
        <v>1993.0399191</v>
      </c>
      <c r="F8" s="0" t="n">
        <f aca="false">F6*F7/100</f>
        <v>2122.5875138415</v>
      </c>
      <c r="G8" s="0" t="n">
        <f aca="false">G6*G7/100</f>
        <v>2249.94276467199</v>
      </c>
      <c r="H8" s="0" t="n">
        <f aca="false">H6*H7/100</f>
        <v>2362.43990290559</v>
      </c>
      <c r="I8" s="0" t="n">
        <f aca="false">I6*I7/100</f>
        <v>2468.74969853634</v>
      </c>
      <c r="J8" s="0" t="n">
        <f aca="false">J6*J7/100</f>
        <v>2567.4996864778</v>
      </c>
      <c r="K8" s="0" t="n">
        <f aca="false">K6*K7/100</f>
        <v>2657.36217550452</v>
      </c>
      <c r="L8" s="0" t="n">
        <f aca="false">L6*L7/100</f>
        <v>2750.36985164718</v>
      </c>
    </row>
    <row r="9" customFormat="false" ht="15" hidden="false" customHeight="false" outlineLevel="0" collapsed="false">
      <c r="A9" s="0" t="s">
        <v>108</v>
      </c>
      <c r="C9" s="4" t="n">
        <f aca="false">Assumptions!C43</f>
        <v>3.1</v>
      </c>
      <c r="D9" s="4" t="n">
        <f aca="false">Assumptions!D43</f>
        <v>3</v>
      </c>
      <c r="E9" s="4" t="n">
        <f aca="false">Assumptions!E43</f>
        <v>2.9</v>
      </c>
      <c r="F9" s="4" t="n">
        <f aca="false">Assumptions!F43</f>
        <v>2.8</v>
      </c>
      <c r="G9" s="4" t="n">
        <f aca="false">Assumptions!G43</f>
        <v>2.8</v>
      </c>
      <c r="H9" s="4" t="n">
        <f aca="false">Assumptions!H43</f>
        <v>2.7</v>
      </c>
      <c r="I9" s="4" t="n">
        <f aca="false">Assumptions!I43</f>
        <v>2.7</v>
      </c>
      <c r="J9" s="4" t="n">
        <f aca="false">Assumptions!J43</f>
        <v>2.6</v>
      </c>
      <c r="K9" s="4" t="n">
        <f aca="false">Assumptions!K43</f>
        <v>2.6</v>
      </c>
      <c r="L9" s="4" t="n">
        <f aca="false">Assumptions!L43</f>
        <v>2.6</v>
      </c>
    </row>
    <row r="10" customFormat="false" ht="15" hidden="false" customHeight="false" outlineLevel="0" collapsed="false">
      <c r="A10" s="0" t="s">
        <v>123</v>
      </c>
      <c r="C10" s="0" t="n">
        <f aca="false">-C6*C9/100</f>
        <v>-209.66695</v>
      </c>
      <c r="D10" s="0" t="n">
        <f aca="false">-D6*D9/100</f>
        <v>-219.13578</v>
      </c>
      <c r="E10" s="0" t="n">
        <f aca="false">-E6*E9/100</f>
        <v>-226.65944178</v>
      </c>
      <c r="F10" s="0" t="n">
        <f aca="false">-F6*F9/100</f>
        <v>-233.0684328924</v>
      </c>
      <c r="G10" s="0" t="n">
        <f aca="false">-G6*G9/100</f>
        <v>-247.052538865944</v>
      </c>
      <c r="H10" s="0" t="n">
        <f aca="false">-H6*H9/100</f>
        <v>-250.140695601768</v>
      </c>
      <c r="I10" s="0" t="n">
        <f aca="false">-I6*I9/100</f>
        <v>-261.397026903848</v>
      </c>
      <c r="J10" s="0" t="n">
        <f aca="false">-J6*J9/100</f>
        <v>-261.78428175852</v>
      </c>
      <c r="K10" s="0" t="n">
        <f aca="false">-K6*K9/100</f>
        <v>-270.946731620069</v>
      </c>
      <c r="L10" s="0" t="n">
        <f aca="false">-L6*L9/100</f>
        <v>-280.429867226771</v>
      </c>
    </row>
    <row r="11" customFormat="false" ht="15" hidden="false" customHeight="false" outlineLevel="0" collapsed="false">
      <c r="A11" s="0" t="s">
        <v>124</v>
      </c>
      <c r="C11" s="0" t="n">
        <f aca="false">C8+C10+C24</f>
        <v>1447.3783</v>
      </c>
      <c r="D11" s="0" t="n">
        <f aca="false">D8+D10+D24</f>
        <v>1606.99572</v>
      </c>
      <c r="E11" s="0" t="n">
        <f aca="false">E8+E10+E24</f>
        <v>1766.38047732</v>
      </c>
      <c r="F11" s="0" t="n">
        <f aca="false">F8+F10+F24</f>
        <v>1889.5190809491</v>
      </c>
      <c r="G11" s="0" t="n">
        <f aca="false">G8+G10+G24</f>
        <v>2002.89022580605</v>
      </c>
      <c r="H11" s="0" t="n">
        <f aca="false">H8+H10+H24</f>
        <v>2112.29920730382</v>
      </c>
      <c r="I11" s="0" t="n">
        <f aca="false">I8+I10+I24</f>
        <v>2207.35267163249</v>
      </c>
      <c r="J11" s="0" t="n">
        <f aca="false">J8+J10+J24</f>
        <v>2305.71540471928</v>
      </c>
      <c r="K11" s="0" t="n">
        <f aca="false">K8+K10+K24</f>
        <v>2386.41544388445</v>
      </c>
      <c r="L11" s="0" t="n">
        <f aca="false">L8+L10+L24</f>
        <v>2469.93998442041</v>
      </c>
    </row>
    <row r="12" customFormat="false" ht="15" hidden="false" customHeight="false" outlineLevel="0" collapsed="false">
      <c r="A12" s="0" t="s">
        <v>125</v>
      </c>
      <c r="C12" s="4" t="n">
        <f aca="false">-C6*Assumptions!C45/100</f>
        <v>-236.72075</v>
      </c>
      <c r="D12" s="4" t="n">
        <f aca="false">-D6*Assumptions!D45/100</f>
        <v>-241.049358</v>
      </c>
      <c r="E12" s="4" t="n">
        <f aca="false">-E6*Assumptions!E45/100</f>
        <v>-242.29112742</v>
      </c>
      <c r="F12" s="4" t="n">
        <f aca="false">-F6*Assumptions!F45/100</f>
        <v>-241.3923054957</v>
      </c>
      <c r="G12" s="4" t="n">
        <f aca="false">-G6*Assumptions!G45/100</f>
        <v>-238.229233906446</v>
      </c>
      <c r="H12" s="4" t="n">
        <f aca="false">-H6*Assumptions!H45/100</f>
        <v>-231.611755186823</v>
      </c>
      <c r="I12" s="4" t="n">
        <f aca="false">-I6*Assumptions!I45/100</f>
        <v>-222.671541436611</v>
      </c>
      <c r="J12" s="4" t="n">
        <f aca="false">-J6*Assumptions!J45/100</f>
        <v>-211.441150651113</v>
      </c>
      <c r="K12" s="4" t="n">
        <f aca="false">-K6*Assumptions!K45/100</f>
        <v>-208.420562784668</v>
      </c>
      <c r="L12" s="4" t="n">
        <f aca="false">-L6*Assumptions!L45/100</f>
        <v>-215.715282482131</v>
      </c>
    </row>
    <row r="13" customFormat="false" ht="15" hidden="false" customHeight="false" outlineLevel="0" collapsed="false">
      <c r="A13" s="0" t="s">
        <v>126</v>
      </c>
      <c r="C13" s="0" t="n">
        <f aca="false">C11+C12</f>
        <v>1210.65755</v>
      </c>
      <c r="D13" s="0" t="n">
        <f aca="false">D11+D12</f>
        <v>1365.946362</v>
      </c>
      <c r="E13" s="0" t="n">
        <f aca="false">E11+E12</f>
        <v>1524.0893499</v>
      </c>
      <c r="F13" s="0" t="n">
        <f aca="false">F11+F12</f>
        <v>1648.1267754534</v>
      </c>
      <c r="G13" s="0" t="n">
        <f aca="false">G11+G12</f>
        <v>1764.6609918996</v>
      </c>
      <c r="H13" s="0" t="n">
        <f aca="false">H11+H12</f>
        <v>1880.687452117</v>
      </c>
      <c r="I13" s="0" t="n">
        <f aca="false">I11+I12</f>
        <v>1984.68113019588</v>
      </c>
      <c r="J13" s="0" t="n">
        <f aca="false">J11+J12</f>
        <v>2094.27425406816</v>
      </c>
      <c r="K13" s="0" t="n">
        <f aca="false">K11+K12</f>
        <v>2177.99488109978</v>
      </c>
      <c r="L13" s="0" t="n">
        <f aca="false">L11+L12</f>
        <v>2254.22470193827</v>
      </c>
    </row>
    <row r="14" customFormat="false" ht="15" hidden="false" customHeight="false" outlineLevel="0" collapsed="false">
      <c r="A14" s="0" t="s">
        <v>112</v>
      </c>
      <c r="C14" s="4" t="n">
        <f aca="false">Assumptions!C47</f>
        <v>20</v>
      </c>
      <c r="D14" s="4" t="n">
        <f aca="false">Assumptions!D47</f>
        <v>20.5</v>
      </c>
      <c r="E14" s="4" t="n">
        <f aca="false">Assumptions!E47</f>
        <v>21</v>
      </c>
      <c r="F14" s="4" t="n">
        <f aca="false">Assumptions!F47</f>
        <v>21</v>
      </c>
      <c r="G14" s="4" t="n">
        <f aca="false">Assumptions!G47</f>
        <v>21</v>
      </c>
      <c r="H14" s="4" t="n">
        <f aca="false">Assumptions!H47</f>
        <v>21</v>
      </c>
      <c r="I14" s="4" t="n">
        <f aca="false">Assumptions!I47</f>
        <v>21</v>
      </c>
      <c r="J14" s="4" t="n">
        <f aca="false">Assumptions!J47</f>
        <v>21</v>
      </c>
      <c r="K14" s="4" t="n">
        <f aca="false">Assumptions!K47</f>
        <v>21</v>
      </c>
      <c r="L14" s="4" t="n">
        <f aca="false">Assumptions!L47</f>
        <v>21</v>
      </c>
    </row>
    <row r="15" customFormat="false" ht="15" hidden="false" customHeight="false" outlineLevel="0" collapsed="false">
      <c r="A15" s="0" t="s">
        <v>127</v>
      </c>
      <c r="C15" s="0" t="n">
        <f aca="false">C13-MAX(0,C13)*C14/100</f>
        <v>968.52604</v>
      </c>
      <c r="D15" s="0" t="n">
        <f aca="false">D13-MAX(0,D13)*D14/100</f>
        <v>1085.92735779</v>
      </c>
      <c r="E15" s="0" t="n">
        <f aca="false">E13-MAX(0,E13)*E14/100</f>
        <v>1204.030586421</v>
      </c>
      <c r="F15" s="0" t="n">
        <f aca="false">F13-MAX(0,F13)*F14/100</f>
        <v>1302.02015260819</v>
      </c>
      <c r="G15" s="0" t="n">
        <f aca="false">G13-MAX(0,G13)*G14/100</f>
        <v>1394.08218360068</v>
      </c>
      <c r="H15" s="0" t="n">
        <f aca="false">H13-MAX(0,H13)*H14/100</f>
        <v>1485.74308717243</v>
      </c>
      <c r="I15" s="0" t="n">
        <f aca="false">I13-MAX(0,I13)*I14/100</f>
        <v>1567.89809285475</v>
      </c>
      <c r="J15" s="0" t="n">
        <f aca="false">J13-MAX(0,J13)*J14/100</f>
        <v>1654.47666071385</v>
      </c>
      <c r="K15" s="0" t="n">
        <f aca="false">K13-MAX(0,K13)*K14/100</f>
        <v>1720.61595606883</v>
      </c>
      <c r="L15" s="0" t="n">
        <f aca="false">L13-MAX(0,L13)*L14/100</f>
        <v>1780.83751453124</v>
      </c>
    </row>
    <row r="16" customFormat="false" ht="15" hidden="false" customHeight="false" outlineLevel="0" collapsed="false">
      <c r="A16" s="0" t="s">
        <v>128</v>
      </c>
      <c r="C16" s="0" t="n">
        <f aca="false">-C12</f>
        <v>236.72075</v>
      </c>
      <c r="D16" s="0" t="n">
        <f aca="false">-D12</f>
        <v>241.049358</v>
      </c>
      <c r="E16" s="0" t="n">
        <f aca="false">-E12</f>
        <v>242.29112742</v>
      </c>
      <c r="F16" s="0" t="n">
        <f aca="false">-F12</f>
        <v>241.3923054957</v>
      </c>
      <c r="G16" s="0" t="n">
        <f aca="false">-G12</f>
        <v>238.229233906446</v>
      </c>
      <c r="H16" s="0" t="n">
        <f aca="false">-H12</f>
        <v>231.611755186823</v>
      </c>
      <c r="I16" s="0" t="n">
        <f aca="false">-I12</f>
        <v>222.671541436611</v>
      </c>
      <c r="J16" s="0" t="n">
        <f aca="false">-J12</f>
        <v>211.441150651113</v>
      </c>
      <c r="K16" s="0" t="n">
        <f aca="false">-K12</f>
        <v>208.420562784668</v>
      </c>
      <c r="L16" s="0" t="n">
        <f aca="false">-L12</f>
        <v>215.715282482131</v>
      </c>
    </row>
    <row r="17" customFormat="false" ht="15" hidden="false" customHeight="false" outlineLevel="0" collapsed="false">
      <c r="A17" s="0" t="s">
        <v>129</v>
      </c>
      <c r="C17" s="4" t="n">
        <f aca="false">-C6*Assumptions!C46/100</f>
        <v>-108.2152</v>
      </c>
      <c r="D17" s="4" t="n">
        <f aca="false">-D6*Assumptions!D46/100</f>
        <v>-116.872416</v>
      </c>
      <c r="E17" s="4" t="n">
        <f aca="false">-E6*Assumptions!E46/100</f>
        <v>-125.05348512</v>
      </c>
      <c r="F17" s="4" t="n">
        <f aca="false">-F6*Assumptions!F46/100</f>
        <v>-133.1819616528</v>
      </c>
      <c r="G17" s="4" t="n">
        <f aca="false">-G6*Assumptions!G46/100</f>
        <v>-141.172879351968</v>
      </c>
      <c r="H17" s="4" t="n">
        <f aca="false">-H6*Assumptions!H46/100</f>
        <v>-148.231523319566</v>
      </c>
      <c r="I17" s="4" t="n">
        <f aca="false">-I6*Assumptions!I46/100</f>
        <v>-154.901941868947</v>
      </c>
      <c r="J17" s="4" t="n">
        <f aca="false">-J6*Assumptions!J46/100</f>
        <v>-161.098019543705</v>
      </c>
      <c r="K17" s="4" t="n">
        <f aca="false">-K6*Assumptions!K46/100</f>
        <v>-166.736450227734</v>
      </c>
      <c r="L17" s="4" t="n">
        <f aca="false">-L6*Assumptions!L46/100</f>
        <v>-172.572225985705</v>
      </c>
    </row>
    <row r="18" customFormat="false" ht="15" hidden="false" customHeight="false" outlineLevel="0" collapsed="false">
      <c r="A18" s="0" t="s">
        <v>130</v>
      </c>
      <c r="C18" s="4" t="n">
        <f aca="false">(C6-B6)*Assumptions!$B$51/100</f>
        <v>-27.9225</v>
      </c>
      <c r="D18" s="4" t="n">
        <f aca="false">(D6-C6)*Assumptions!$B$51/100</f>
        <v>-27.0538</v>
      </c>
      <c r="E18" s="4" t="n">
        <f aca="false">(E6-D6)*Assumptions!$B$51/100</f>
        <v>-25.565841</v>
      </c>
      <c r="F18" s="4" t="n">
        <f aca="false">(F6-E6)*Assumptions!$B$51/100</f>
        <v>-25.401489165</v>
      </c>
      <c r="G18" s="4" t="n">
        <f aca="false">(G6-F6)*Assumptions!$B$51/100</f>
        <v>-24.9716178099</v>
      </c>
      <c r="H18" s="4" t="n">
        <f aca="false">(H6-G6)*Assumptions!$B$51/100</f>
        <v>-22.058262398745</v>
      </c>
      <c r="I18" s="4" t="n">
        <f aca="false">(I6-H6)*Assumptions!$B$51/100</f>
        <v>-20.845057966814</v>
      </c>
      <c r="J18" s="4" t="n">
        <f aca="false">(J6-I6)*Assumptions!$B$51/100</f>
        <v>-19.3627427336184</v>
      </c>
      <c r="K18" s="4" t="n">
        <f aca="false">(K6-J6)*Assumptions!$B$51/100</f>
        <v>-17.6200958875927</v>
      </c>
      <c r="L18" s="4" t="n">
        <f aca="false">(L6-K6)*Assumptions!$B$51/100</f>
        <v>-18.2367992436584</v>
      </c>
    </row>
    <row r="19" customFormat="false" ht="15" hidden="false" customHeight="false" outlineLevel="0" collapsed="false">
      <c r="A19" s="0" t="s">
        <v>131</v>
      </c>
      <c r="C19" s="0" t="n">
        <f aca="false">C15+C16+C17+C18</f>
        <v>1069.10909</v>
      </c>
      <c r="D19" s="0" t="n">
        <f aca="false">D15+D16+D17+D18</f>
        <v>1183.05049979</v>
      </c>
      <c r="E19" s="0" t="n">
        <f aca="false">E15+E16+E17+E18</f>
        <v>1295.702387721</v>
      </c>
      <c r="F19" s="0" t="n">
        <f aca="false">F15+F16+F17+F18</f>
        <v>1384.82900728609</v>
      </c>
      <c r="G19" s="0" t="n">
        <f aca="false">G15+G16+G17+G18</f>
        <v>1466.16692034526</v>
      </c>
      <c r="H19" s="0" t="n">
        <f aca="false">H15+H16+H17+H18</f>
        <v>1547.06505664094</v>
      </c>
      <c r="I19" s="0" t="n">
        <f aca="false">I15+I16+I17+I18</f>
        <v>1614.8226344556</v>
      </c>
      <c r="J19" s="0" t="n">
        <f aca="false">J15+J16+J17+J18</f>
        <v>1685.45704908764</v>
      </c>
      <c r="K19" s="0" t="n">
        <f aca="false">K15+K16+K17+K18</f>
        <v>1744.67997273817</v>
      </c>
      <c r="L19" s="0" t="n">
        <f aca="false">L15+L16+L17+L18</f>
        <v>1805.743771784</v>
      </c>
    </row>
    <row r="20" customFormat="false" ht="15" hidden="false" customHeight="false" outlineLevel="0" collapsed="false">
      <c r="A20" s="0" t="s">
        <v>132</v>
      </c>
      <c r="C20" s="0" t="n">
        <f aca="false">1/(1+$B$27/100)^C4</f>
        <v>0.909090909090909</v>
      </c>
      <c r="D20" s="0" t="n">
        <f aca="false">1/(1+$B$27/100)^D4</f>
        <v>0.826446280991735</v>
      </c>
      <c r="E20" s="0" t="n">
        <f aca="false">1/(1+$B$27/100)^E4</f>
        <v>0.751314800901578</v>
      </c>
      <c r="F20" s="0" t="n">
        <f aca="false">1/(1+$B$27/100)^F4</f>
        <v>0.683013455365071</v>
      </c>
      <c r="G20" s="0" t="n">
        <f aca="false">1/(1+$B$27/100)^G4</f>
        <v>0.620921323059155</v>
      </c>
      <c r="H20" s="0" t="n">
        <f aca="false">1/(1+$B$27/100)^H4</f>
        <v>0.564473930053777</v>
      </c>
      <c r="I20" s="0" t="n">
        <f aca="false">1/(1+$B$27/100)^I4</f>
        <v>0.513158118230707</v>
      </c>
      <c r="J20" s="0" t="n">
        <f aca="false">1/(1+$B$27/100)^J4</f>
        <v>0.466507380209733</v>
      </c>
      <c r="K20" s="0" t="n">
        <f aca="false">1/(1+$B$27/100)^K4</f>
        <v>0.424097618372485</v>
      </c>
      <c r="L20" s="0" t="n">
        <f aca="false">1/(1+$B$27/100)^L4</f>
        <v>0.385543289429531</v>
      </c>
    </row>
    <row r="21" customFormat="false" ht="15" hidden="false" customHeight="false" outlineLevel="0" collapsed="false">
      <c r="A21" s="0" t="s">
        <v>133</v>
      </c>
      <c r="C21" s="0" t="n">
        <f aca="false">C19*C20</f>
        <v>971.917354545455</v>
      </c>
      <c r="D21" s="0" t="n">
        <f aca="false">D19*D20</f>
        <v>977.72768577686</v>
      </c>
      <c r="E21" s="0" t="n">
        <f aca="false">E19*E20</f>
        <v>973.480381458302</v>
      </c>
      <c r="F21" s="0" t="n">
        <f aca="false">F19*F20</f>
        <v>945.85684535625</v>
      </c>
      <c r="G21" s="0" t="n">
        <f aca="false">G19*G20</f>
        <v>910.374304006347</v>
      </c>
      <c r="H21" s="0" t="n">
        <f aca="false">H19*H20</f>
        <v>873.277892570981</v>
      </c>
      <c r="I21" s="0" t="n">
        <f aca="false">I19*I20</f>
        <v>828.659344373586</v>
      </c>
      <c r="J21" s="0" t="n">
        <f aca="false">J19*J20</f>
        <v>786.278152425902</v>
      </c>
      <c r="K21" s="0" t="n">
        <f aca="false">K19*K20</f>
        <v>739.914621260429</v>
      </c>
      <c r="L21" s="0" t="n">
        <f aca="false">L19*L20</f>
        <v>696.192393640494</v>
      </c>
    </row>
    <row r="23" customFormat="false" ht="15" hidden="false" customHeight="false" outlineLevel="0" collapsed="false">
      <c r="A23" s="0" t="s">
        <v>109</v>
      </c>
      <c r="C23" s="4" t="n">
        <f aca="false">Assumptions!C44</f>
        <v>0</v>
      </c>
      <c r="D23" s="4" t="n">
        <f aca="false">Assumptions!D44</f>
        <v>0</v>
      </c>
      <c r="E23" s="4" t="n">
        <f aca="false">Assumptions!E44</f>
        <v>0</v>
      </c>
      <c r="F23" s="4" t="n">
        <f aca="false">Assumptions!F44</f>
        <v>0</v>
      </c>
      <c r="G23" s="4" t="n">
        <f aca="false">Assumptions!G44</f>
        <v>0</v>
      </c>
      <c r="H23" s="4" t="n">
        <f aca="false">Assumptions!H44</f>
        <v>0</v>
      </c>
      <c r="I23" s="4" t="n">
        <f aca="false">Assumptions!I44</f>
        <v>0</v>
      </c>
      <c r="J23" s="4" t="n">
        <f aca="false">Assumptions!J44</f>
        <v>0</v>
      </c>
      <c r="K23" s="4" t="n">
        <f aca="false">Assumptions!K44</f>
        <v>0</v>
      </c>
      <c r="L23" s="4" t="n">
        <f aca="false">Assumptions!L44</f>
        <v>0</v>
      </c>
    </row>
    <row r="24" customFormat="false" ht="15" hidden="false" customHeight="false" outlineLevel="0" collapsed="false">
      <c r="A24" s="0" t="s">
        <v>134</v>
      </c>
      <c r="C24" s="0" t="n">
        <f aca="false">-C6*C23/100</f>
        <v>-0</v>
      </c>
      <c r="D24" s="0" t="n">
        <f aca="false">-D6*D23/100</f>
        <v>-0</v>
      </c>
      <c r="E24" s="0" t="n">
        <f aca="false">-E6*E23/100</f>
        <v>-0</v>
      </c>
      <c r="F24" s="0" t="n">
        <f aca="false">-F6*F23/100</f>
        <v>-0</v>
      </c>
      <c r="G24" s="0" t="n">
        <f aca="false">-G6*G23/100</f>
        <v>-0</v>
      </c>
      <c r="H24" s="0" t="n">
        <f aca="false">-H6*H23/100</f>
        <v>-0</v>
      </c>
      <c r="I24" s="0" t="n">
        <f aca="false">-I6*I23/100</f>
        <v>-0</v>
      </c>
      <c r="J24" s="0" t="n">
        <f aca="false">-J6*J23/100</f>
        <v>-0</v>
      </c>
      <c r="K24" s="0" t="n">
        <f aca="false">-K6*K23/100</f>
        <v>-0</v>
      </c>
      <c r="L24" s="0" t="n">
        <f aca="false">-L6*L23/100</f>
        <v>-0</v>
      </c>
    </row>
    <row r="26" customFormat="false" ht="15" hidden="false" customHeight="false" outlineLevel="0" collapsed="false">
      <c r="A26" s="2" t="s">
        <v>135</v>
      </c>
    </row>
    <row r="27" customFormat="false" ht="15" hidden="false" customHeight="false" outlineLevel="0" collapsed="false">
      <c r="A27" s="0" t="s">
        <v>113</v>
      </c>
      <c r="B27" s="4" t="n">
        <f aca="false">Assumptions!$B$48</f>
        <v>10</v>
      </c>
    </row>
    <row r="28" customFormat="false" ht="15" hidden="false" customHeight="false" outlineLevel="0" collapsed="false">
      <c r="A28" s="0" t="s">
        <v>114</v>
      </c>
      <c r="B28" s="4" t="n">
        <f aca="false">Assumptions!$B$49</f>
        <v>3</v>
      </c>
    </row>
    <row r="29" customFormat="false" ht="15" hidden="false" customHeight="false" outlineLevel="0" collapsed="false">
      <c r="A29" s="0" t="s">
        <v>115</v>
      </c>
      <c r="B29" s="4" t="n">
        <f aca="false">Assumptions!$B$50</f>
        <v>16</v>
      </c>
    </row>
    <row r="30" customFormat="false" ht="15" hidden="false" customHeight="false" outlineLevel="0" collapsed="false">
      <c r="A30" s="0" t="s">
        <v>136</v>
      </c>
      <c r="B30" s="0" t="n">
        <f aca="false">SUM(C21:L21)</f>
        <v>8703.67897541461</v>
      </c>
    </row>
    <row r="31" customFormat="false" ht="15" hidden="false" customHeight="false" outlineLevel="0" collapsed="false">
      <c r="A31" s="0" t="s">
        <v>137</v>
      </c>
      <c r="B31" s="0" t="n">
        <f aca="false">L19</f>
        <v>1805.743771784</v>
      </c>
    </row>
    <row r="32" customFormat="false" ht="15" hidden="false" customHeight="false" outlineLevel="0" collapsed="false">
      <c r="A32" s="0" t="s">
        <v>138</v>
      </c>
      <c r="B32" s="0" t="n">
        <f aca="false">IF(B27&gt;B28,B31*(1+B28/100)/((B27-B28)/100),B31*B29)</f>
        <v>26570.2297848218</v>
      </c>
    </row>
    <row r="33" customFormat="false" ht="15" hidden="false" customHeight="false" outlineLevel="0" collapsed="false">
      <c r="A33" s="0" t="s">
        <v>139</v>
      </c>
      <c r="B33" s="0" t="n">
        <f aca="false">B31*B29</f>
        <v>28891.9003485441</v>
      </c>
    </row>
    <row r="34" customFormat="false" ht="15" hidden="false" customHeight="false" outlineLevel="0" collapsed="false">
      <c r="A34" s="0" t="s">
        <v>140</v>
      </c>
      <c r="B34" s="0" t="n">
        <f aca="false">MAX(0,MIN(B32,B33))</f>
        <v>26570.2297848218</v>
      </c>
    </row>
    <row r="35" customFormat="false" ht="15" hidden="false" customHeight="false" outlineLevel="0" collapsed="false">
      <c r="A35" s="0" t="s">
        <v>141</v>
      </c>
      <c r="B35" s="0" t="n">
        <f aca="false">B34/(1+B27/100)^L4</f>
        <v>10243.9737921387</v>
      </c>
    </row>
    <row r="36" customFormat="false" ht="15" hidden="false" customHeight="false" outlineLevel="0" collapsed="false">
      <c r="A36" s="0" t="s">
        <v>142</v>
      </c>
      <c r="B36" s="0" t="n">
        <f aca="false">B30+B35</f>
        <v>18947.6527675533</v>
      </c>
    </row>
    <row r="37" customFormat="false" ht="15" hidden="false" customHeight="false" outlineLevel="0" collapsed="false">
      <c r="A37" s="0" t="s">
        <v>143</v>
      </c>
      <c r="B37" s="0" t="n">
        <f aca="false">B36+Assumptions!$B$5-Assumptions!$B$4</f>
        <v>16328.6527675533</v>
      </c>
    </row>
    <row r="38" customFormat="false" ht="15" hidden="false" customHeight="false" outlineLevel="0" collapsed="false">
      <c r="A38" s="0" t="s">
        <v>144</v>
      </c>
      <c r="B38" s="0" t="n">
        <f aca="false">B37/Assumptions!$B$3*Assumptions!$B$10</f>
        <v>342.176294374545</v>
      </c>
    </row>
    <row r="39" customFormat="false" ht="15" hidden="false" customHeight="false" outlineLevel="0" collapsed="false">
      <c r="A39" s="0" t="s">
        <v>145</v>
      </c>
      <c r="B39" s="4" t="n">
        <f aca="false">B38/Assumptions!$B$2-1</f>
        <v>-0.0896176917614397</v>
      </c>
    </row>
    <row r="41" customFormat="false" ht="15" hidden="false" customHeight="false" outlineLevel="0" collapsed="false">
      <c r="A41" s="0" t="s">
        <v>146</v>
      </c>
      <c r="B41" s="0" t="n">
        <f aca="false">SUMPRODUCT(-C10:L10/(1+$B$27/100)^C4:L4)</f>
        <v>1475.0778514164</v>
      </c>
    </row>
    <row r="42" customFormat="false" ht="15" hidden="false" customHeight="false" outlineLevel="0" collapsed="false">
      <c r="A42" s="0" t="s">
        <v>147</v>
      </c>
      <c r="B42" s="0" t="n">
        <f aca="false">IF(B27&gt;B28,-L10*(1+B28/100)/((B27-B28)/100),-L10*20)/(1+B27/100)^L4</f>
        <v>1590.87698669776</v>
      </c>
    </row>
    <row r="43" customFormat="false" ht="15" hidden="false" customHeight="false" outlineLevel="0" collapsed="false">
      <c r="A43" s="0" t="s">
        <v>148</v>
      </c>
      <c r="B43" s="0" t="n">
        <f aca="false">(B37+B41+B42)/Assumptions!$B$3*Assumptions!$B$10</f>
        <v>406.425138425554</v>
      </c>
    </row>
    <row r="45" customFormat="false" ht="15" hidden="false" customHeight="false" outlineLevel="0" collapsed="false">
      <c r="A45" s="0" t="s">
        <v>88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149</v>
      </c>
      <c r="B46" s="0" t="n">
        <f aca="false">MAX(0,MIN(IF(B45&gt;B28,B31*(1+B28/100)/((B45-B28)/100),B31*B29),B31*B29))</f>
        <v>15499.3007078127</v>
      </c>
    </row>
    <row r="47" customFormat="false" ht="15" hidden="false" customHeight="false" outlineLevel="0" collapsed="false">
      <c r="A47" s="0" t="s">
        <v>150</v>
      </c>
      <c r="B47" s="0" t="n">
        <f aca="false">(SUMPRODUCT(C19:L19/(1+B45/100)^C4:L4)+B46/(1+B45/100)^L4+Assumptions!$B$5-Assumptions!$B$4)/Assumptions!$B$3*Assumptions!$B$10</f>
        <v>171.38023606056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153</v>
      </c>
    </row>
    <row r="3" customFormat="false" ht="15" hidden="false" customHeight="false" outlineLevel="0" collapsed="false">
      <c r="A3" s="2" t="s">
        <v>154</v>
      </c>
      <c r="B3" s="2" t="s">
        <v>155</v>
      </c>
      <c r="C3" s="2" t="s">
        <v>145</v>
      </c>
      <c r="D3" s="2" t="s">
        <v>156</v>
      </c>
      <c r="E3" s="2" t="s">
        <v>148</v>
      </c>
      <c r="F3" s="2" t="s">
        <v>157</v>
      </c>
    </row>
    <row r="4" customFormat="false" ht="15" hidden="false" customHeight="false" outlineLevel="0" collapsed="false">
      <c r="A4" s="0" t="s">
        <v>158</v>
      </c>
      <c r="B4" s="4" t="n">
        <f aca="false">DCF_Bear!$B$38</f>
        <v>142.720044238793</v>
      </c>
      <c r="C4" s="0" t="n">
        <f aca="false">B4/Assumptions!$B$2-1</f>
        <v>-0.620284030652921</v>
      </c>
      <c r="D4" s="4" t="n">
        <f aca="false">Assumptions!$B$24</f>
        <v>0.25</v>
      </c>
      <c r="E4" s="4" t="n">
        <f aca="false">DCF_Bear!$B$43</f>
        <v>186.886704338791</v>
      </c>
      <c r="F4" s="4" t="n">
        <f aca="false">DCF_Bear!$B$47</f>
        <v>70.1304044131814</v>
      </c>
    </row>
    <row r="5" customFormat="false" ht="15" hidden="false" customHeight="false" outlineLevel="0" collapsed="false">
      <c r="A5" s="0" t="s">
        <v>159</v>
      </c>
      <c r="B5" s="4" t="n">
        <f aca="false">DCF_Base!$B$38</f>
        <v>237.77693479831</v>
      </c>
      <c r="C5" s="0" t="n">
        <f aca="false">B5/Assumptions!$B$2-1</f>
        <v>-0.367378984732854</v>
      </c>
      <c r="D5" s="4" t="n">
        <f aca="false">Assumptions!$B$38</f>
        <v>0.5</v>
      </c>
      <c r="E5" s="4" t="n">
        <f aca="false">DCF_Base!$B$43</f>
        <v>293.804960516794</v>
      </c>
      <c r="F5" s="4" t="n">
        <f aca="false">DCF_Base!$B$47</f>
        <v>119.817287871317</v>
      </c>
    </row>
    <row r="6" customFormat="false" ht="15" hidden="false" customHeight="false" outlineLevel="0" collapsed="false">
      <c r="A6" s="0" t="s">
        <v>160</v>
      </c>
      <c r="B6" s="4" t="n">
        <f aca="false">DCF_Bull!$B$38</f>
        <v>342.176294374545</v>
      </c>
      <c r="C6" s="0" t="n">
        <f aca="false">B6/Assumptions!$B$2-1</f>
        <v>-0.0896176917614397</v>
      </c>
      <c r="D6" s="4" t="n">
        <f aca="false">Assumptions!$B$52</f>
        <v>0.25</v>
      </c>
      <c r="E6" s="4" t="n">
        <f aca="false">DCF_Bull!$B$43</f>
        <v>406.425138425554</v>
      </c>
      <c r="F6" s="4" t="n">
        <f aca="false">DCF_Bull!$B$47</f>
        <v>171.38023606056</v>
      </c>
    </row>
    <row r="8" customFormat="false" ht="15" hidden="false" customHeight="false" outlineLevel="0" collapsed="false">
      <c r="A8" s="0" t="s">
        <v>161</v>
      </c>
      <c r="B8" s="0" t="n">
        <f aca="false">SUMPRODUCT(B4:B6,D4:D6)</f>
        <v>240.112552052489</v>
      </c>
    </row>
    <row r="9" customFormat="false" ht="15" hidden="false" customHeight="false" outlineLevel="0" collapsed="false">
      <c r="A9" s="0" t="s">
        <v>162</v>
      </c>
      <c r="B9" s="0" t="n">
        <f aca="false">SUMPRODUCT(E4:E6,D4:D6)</f>
        <v>295.230440949484</v>
      </c>
    </row>
    <row r="10" customFormat="false" ht="15" hidden="false" customHeight="false" outlineLevel="0" collapsed="false">
      <c r="A10" s="0" t="s">
        <v>163</v>
      </c>
      <c r="B10" s="0" t="n">
        <f aca="false">1-Assumptions!$B$2/B8</f>
        <v>-0.565349236377429</v>
      </c>
    </row>
    <row r="11" customFormat="false" ht="15" hidden="false" customHeight="false" outlineLevel="0" collapsed="false">
      <c r="A11" s="0" t="s">
        <v>164</v>
      </c>
      <c r="B11" s="0" t="n">
        <f aca="false">IF(ABS(B9-B8)&gt;0.01*ABS(B8),(Assumptions!$B$2-B8)/(B9-B8)*100,"n/a")</f>
        <v>246.285644577569</v>
      </c>
    </row>
    <row r="12" customFormat="false" ht="15" hidden="false" customHeight="false" outlineLevel="0" collapsed="false">
      <c r="A12" s="0" t="s">
        <v>165</v>
      </c>
      <c r="B12" s="0" t="n">
        <f aca="false">SUMPRODUCT(F4:F6,D4:D6)</f>
        <v>120.286304054094</v>
      </c>
    </row>
    <row r="14" customFormat="false" ht="15" hidden="false" customHeight="false" outlineLevel="0" collapsed="false">
      <c r="A14" s="2" t="s">
        <v>166</v>
      </c>
      <c r="C14" s="0" t="s">
        <v>167</v>
      </c>
    </row>
    <row r="15" customFormat="false" ht="15" hidden="false" customHeight="false" outlineLevel="0" collapsed="false">
      <c r="A15" s="0" t="s">
        <v>168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258.751525248243</v>
      </c>
      <c r="C15" s="3" t="n">
        <v>9</v>
      </c>
    </row>
    <row r="16" customFormat="false" ht="15" hidden="false" customHeight="false" outlineLevel="0" collapsed="false">
      <c r="A16" s="0" t="s">
        <v>169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237.77693479831</v>
      </c>
      <c r="C16" s="3" t="n">
        <v>10</v>
      </c>
    </row>
    <row r="17" customFormat="false" ht="15" hidden="false" customHeight="false" outlineLevel="0" collapsed="false">
      <c r="A17" s="0" t="s">
        <v>170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207.686392332492</v>
      </c>
      <c r="C17" s="3" t="n">
        <v>11</v>
      </c>
    </row>
    <row r="18" customFormat="false" ht="15" hidden="false" customHeight="false" outlineLevel="0" collapsed="false">
      <c r="A18" s="0" t="s">
        <v>171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178.38641534013</v>
      </c>
      <c r="C18" s="3" t="n">
        <v>12</v>
      </c>
    </row>
    <row r="19" customFormat="false" ht="15" hidden="false" customHeight="false" outlineLevel="0" collapsed="false">
      <c r="A19" s="0" t="s">
        <v>172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119.817287871317</v>
      </c>
      <c r="C19" s="3" t="n">
        <v>15</v>
      </c>
    </row>
    <row r="21" customFormat="false" ht="15" hidden="false" customHeight="false" outlineLevel="0" collapsed="false">
      <c r="A21" s="2" t="s">
        <v>173</v>
      </c>
    </row>
    <row r="22" customFormat="false" ht="15" hidden="false" customHeight="false" outlineLevel="0" collapsed="false">
      <c r="B22" s="3" t="n">
        <v>2</v>
      </c>
      <c r="C22" s="3" t="n">
        <v>2.5</v>
      </c>
      <c r="D22" s="3" t="n">
        <v>3</v>
      </c>
      <c r="E22" s="3" t="n">
        <v>3.5</v>
      </c>
      <c r="F22" s="3" t="n">
        <v>4</v>
      </c>
    </row>
    <row r="23" customFormat="false" ht="15" hidden="false" customHeight="false" outlineLevel="0" collapsed="false">
      <c r="A23" s="3" t="n">
        <v>8</v>
      </c>
      <c r="B23" s="0" t="n">
        <f aca="false">(SUMPRODUCT(DCF_Base!$C$19:$L$19/(1+$A$23/100)^DCF_Base!$C$4:$L$4)+MAX(0,MIN(IF($A$23&gt;$B$22,DCF_Base!$L$19*(1+$B$22/100)/(($A$23-$B$22)/100),DCF_Base!$L$19*DCF_Base!$B$29),DCF_Base!$L$19*DCF_Base!$B$29))/(1+$A$23/100)^DCF_Base!$L$4+Assumptions!$B$5-Assumptions!$B$4)/Assumptions!$B$3*Assumptions!$B$10</f>
        <v>281.728676015305</v>
      </c>
      <c r="C23" s="0" t="n">
        <f aca="false">(SUMPRODUCT(DCF_Base!$C$19:$L$19/(1+$A$23/100)^DCF_Base!$C$4:$L$4)+MAX(0,MIN(IF($A$23&gt;$C$22,DCF_Base!$L$19*(1+$C$22/100)/(($A$23-$C$22)/100),DCF_Base!$L$19*DCF_Base!$B$29),DCF_Base!$L$19*DCF_Base!$B$29))/(1+$A$23/100)^DCF_Base!$L$4+Assumptions!$B$5-Assumptions!$B$4)/Assumptions!$B$3*Assumptions!$B$10</f>
        <v>281.728676015305</v>
      </c>
      <c r="D23" s="0" t="n">
        <f aca="false">(SUMPRODUCT(DCF_Base!$C$19:$L$19/(1+$A$23/100)^DCF_Base!$C$4:$L$4)+MAX(0,MIN(IF($A$23&gt;$D$22,DCF_Base!$L$19*(1+$D$22/100)/(($A$23-$D$22)/100),DCF_Base!$L$19*DCF_Base!$B$29),DCF_Base!$L$19*DCF_Base!$B$29))/(1+$A$23/100)^DCF_Base!$L$4+Assumptions!$B$5-Assumptions!$B$4)/Assumptions!$B$3*Assumptions!$B$10</f>
        <v>281.728676015305</v>
      </c>
      <c r="E23" s="0" t="n">
        <f aca="false">(SUMPRODUCT(DCF_Base!$C$19:$L$19/(1+$A$23/100)^DCF_Base!$C$4:$L$4)+MAX(0,MIN(IF($A$23&gt;$E$22,DCF_Base!$L$19*(1+$E$22/100)/(($A$23-$E$22)/100),DCF_Base!$L$19*DCF_Base!$B$29),DCF_Base!$L$19*DCF_Base!$B$29))/(1+$A$23/100)^DCF_Base!$L$4+Assumptions!$B$5-Assumptions!$B$4)/Assumptions!$B$3*Assumptions!$B$10</f>
        <v>281.728676015305</v>
      </c>
      <c r="F23" s="0" t="n">
        <f aca="false">(SUMPRODUCT(DCF_Base!$C$19:$L$19/(1+$A$23/100)^DCF_Base!$C$4:$L$4)+MAX(0,MIN(IF($A$23&gt;$F$22,DCF_Base!$L$19*(1+$F$22/100)/(($A$23-$F$22)/100),DCF_Base!$L$19*DCF_Base!$B$29),DCF_Base!$L$19*DCF_Base!$B$29))/(1+$A$23/100)^DCF_Base!$L$4+Assumptions!$B$5-Assumptions!$B$4)/Assumptions!$B$3*Assumptions!$B$10</f>
        <v>281.728676015305</v>
      </c>
    </row>
    <row r="24" customFormat="false" ht="15" hidden="false" customHeight="false" outlineLevel="0" collapsed="false">
      <c r="A24" s="3" t="n">
        <v>9</v>
      </c>
      <c r="B24" s="0" t="n">
        <f aca="false">(SUMPRODUCT(DCF_Base!$C$19:$L$19/(1+$A$24/100)^DCF_Base!$C$4:$L$4)+MAX(0,MIN(IF($A$24&gt;$B$22,DCF_Base!$L$19*(1+$B$22/100)/(($A$24-$B$22)/100),DCF_Base!$L$19*DCF_Base!$B$29),DCF_Base!$L$19*DCF_Base!$B$29))/(1+$A$24/100)^DCF_Base!$L$4+Assumptions!$B$5-Assumptions!$B$4)/Assumptions!$B$3*Assumptions!$B$10</f>
        <v>258.751525248243</v>
      </c>
      <c r="C24" s="0" t="n">
        <f aca="false">(SUMPRODUCT(DCF_Base!$C$19:$L$19/(1+$A$24/100)^DCF_Base!$C$4:$L$4)+MAX(0,MIN(IF($A$24&gt;$C$22,DCF_Base!$L$19*(1+$C$22/100)/(($A$24-$C$22)/100),DCF_Base!$L$19*DCF_Base!$B$29),DCF_Base!$L$19*DCF_Base!$B$29))/(1+$A$24/100)^DCF_Base!$L$4+Assumptions!$B$5-Assumptions!$B$4)/Assumptions!$B$3*Assumptions!$B$10</f>
        <v>258.751525248243</v>
      </c>
      <c r="D24" s="0" t="n">
        <f aca="false">(SUMPRODUCT(DCF_Base!$C$19:$L$19/(1+$A$24/100)^DCF_Base!$C$4:$L$4)+MAX(0,MIN(IF($A$24&gt;$D$22,DCF_Base!$L$19*(1+$D$22/100)/(($A$24-$D$22)/100),DCF_Base!$L$19*DCF_Base!$B$29),DCF_Base!$L$19*DCF_Base!$B$29))/(1+$A$24/100)^DCF_Base!$L$4+Assumptions!$B$5-Assumptions!$B$4)/Assumptions!$B$3*Assumptions!$B$10</f>
        <v>258.751525248243</v>
      </c>
      <c r="E24" s="0" t="n">
        <f aca="false">(SUMPRODUCT(DCF_Base!$C$19:$L$19/(1+$A$24/100)^DCF_Base!$C$4:$L$4)+MAX(0,MIN(IF($A$24&gt;$E$22,DCF_Base!$L$19*(1+$E$22/100)/(($A$24-$E$22)/100),DCF_Base!$L$19*DCF_Base!$B$29),DCF_Base!$L$19*DCF_Base!$B$29))/(1+$A$24/100)^DCF_Base!$L$4+Assumptions!$B$5-Assumptions!$B$4)/Assumptions!$B$3*Assumptions!$B$10</f>
        <v>258.751525248243</v>
      </c>
      <c r="F24" s="0" t="n">
        <f aca="false">(SUMPRODUCT(DCF_Base!$C$19:$L$19/(1+$A$24/100)^DCF_Base!$C$4:$L$4)+MAX(0,MIN(IF($A$24&gt;$F$22,DCF_Base!$L$19*(1+$F$22/100)/(($A$24-$F$22)/100),DCF_Base!$L$19*DCF_Base!$B$29),DCF_Base!$L$19*DCF_Base!$B$29))/(1+$A$24/100)^DCF_Base!$L$4+Assumptions!$B$5-Assumptions!$B$4)/Assumptions!$B$3*Assumptions!$B$10</f>
        <v>258.751525248243</v>
      </c>
    </row>
    <row r="25" customFormat="false" ht="15" hidden="false" customHeight="false" outlineLevel="0" collapsed="false">
      <c r="A25" s="3" t="n">
        <v>10</v>
      </c>
      <c r="B25" s="0" t="n">
        <f aca="false">(SUMPRODUCT(DCF_Base!$C$19:$L$19/(1+$A$25/100)^DCF_Base!$C$4:$L$4)+MAX(0,MIN(IF($A$25&gt;$B$22,DCF_Base!$L$19*(1+$B$22/100)/(($A$25-$B$22)/100),DCF_Base!$L$19*DCF_Base!$B$29),DCF_Base!$L$19*DCF_Base!$B$29))/(1+$A$25/100)^DCF_Base!$L$4+Assumptions!$B$5-Assumptions!$B$4)/Assumptions!$B$3*Assumptions!$B$10</f>
        <v>224.493272722119</v>
      </c>
      <c r="C25" s="0" t="n">
        <f aca="false">(SUMPRODUCT(DCF_Base!$C$19:$L$19/(1+$A$25/100)^DCF_Base!$C$4:$L$4)+MAX(0,MIN(IF($A$25&gt;$C$22,DCF_Base!$L$19*(1+$C$22/100)/(($A$25-$C$22)/100),DCF_Base!$L$19*DCF_Base!$B$29),DCF_Base!$L$19*DCF_Base!$B$29))/(1+$A$25/100)^DCF_Base!$L$4+Assumptions!$B$5-Assumptions!$B$4)/Assumptions!$B$3*Assumptions!$B$10</f>
        <v>234.234624911325</v>
      </c>
      <c r="D25" s="0" t="n">
        <f aca="false">(SUMPRODUCT(DCF_Base!$C$19:$L$19/(1+$A$25/100)^DCF_Base!$C$4:$L$4)+MAX(0,MIN(IF($A$25&gt;$D$22,DCF_Base!$L$19*(1+$D$22/100)/(($A$25-$D$22)/100),DCF_Base!$L$19*DCF_Base!$B$29),DCF_Base!$L$19*DCF_Base!$B$29))/(1+$A$25/100)^DCF_Base!$L$4+Assumptions!$B$5-Assumptions!$B$4)/Assumptions!$B$3*Assumptions!$B$10</f>
        <v>237.77693479831</v>
      </c>
      <c r="E25" s="0" t="n">
        <f aca="false">(SUMPRODUCT(DCF_Base!$C$19:$L$19/(1+$A$25/100)^DCF_Base!$C$4:$L$4)+MAX(0,MIN(IF($A$25&gt;$E$22,DCF_Base!$L$19*(1+$E$22/100)/(($A$25-$E$22)/100),DCF_Base!$L$19*DCF_Base!$B$29),DCF_Base!$L$19*DCF_Base!$B$29))/(1+$A$25/100)^DCF_Base!$L$4+Assumptions!$B$5-Assumptions!$B$4)/Assumptions!$B$3*Assumptions!$B$10</f>
        <v>237.77693479831</v>
      </c>
      <c r="F25" s="0" t="n">
        <f aca="false">(SUMPRODUCT(DCF_Base!$C$19:$L$19/(1+$A$25/100)^DCF_Base!$C$4:$L$4)+MAX(0,MIN(IF($A$25&gt;$F$22,DCF_Base!$L$19*(1+$F$22/100)/(($A$25-$F$22)/100),DCF_Base!$L$19*DCF_Base!$B$29),DCF_Base!$L$19*DCF_Base!$B$29))/(1+$A$25/100)^DCF_Base!$L$4+Assumptions!$B$5-Assumptions!$B$4)/Assumptions!$B$3*Assumptions!$B$10</f>
        <v>237.77693479831</v>
      </c>
    </row>
    <row r="26" customFormat="false" ht="15" hidden="false" customHeight="false" outlineLevel="0" collapsed="false">
      <c r="A26" s="3" t="n">
        <v>11</v>
      </c>
      <c r="B26" s="0" t="n">
        <f aca="false">(SUMPRODUCT(DCF_Base!$C$19:$L$19/(1+$A$26/100)^DCF_Base!$C$4:$L$4)+MAX(0,MIN(IF($A$26&gt;$B$22,DCF_Base!$L$19*(1+$B$22/100)/(($A$26-$B$22)/100),DCF_Base!$L$19*DCF_Base!$B$29),DCF_Base!$L$19*DCF_Base!$B$29))/(1+$A$26/100)^DCF_Base!$L$4+Assumptions!$B$5-Assumptions!$B$4)/Assumptions!$B$3*Assumptions!$B$10</f>
        <v>192.720750331275</v>
      </c>
      <c r="C26" s="0" t="n">
        <f aca="false">(SUMPRODUCT(DCF_Base!$C$19:$L$19/(1+$A$26/100)^DCF_Base!$C$4:$L$4)+MAX(0,MIN(IF($A$26&gt;$C$22,DCF_Base!$L$19*(1+$C$22/100)/(($A$26-$C$22)/100),DCF_Base!$L$19*DCF_Base!$B$29),DCF_Base!$L$19*DCF_Base!$B$29))/(1+$A$26/100)^DCF_Base!$L$4+Assumptions!$B$5-Assumptions!$B$4)/Assumptions!$B$3*Assumptions!$B$10</f>
        <v>199.763405390671</v>
      </c>
      <c r="D26" s="0" t="n">
        <f aca="false">(SUMPRODUCT(DCF_Base!$C$19:$L$19/(1+$A$26/100)^DCF_Base!$C$4:$L$4)+MAX(0,MIN(IF($A$26&gt;$D$22,DCF_Base!$L$19*(1+$D$22/100)/(($A$26-$D$22)/100),DCF_Base!$L$19*DCF_Base!$B$29),DCF_Base!$L$19*DCF_Base!$B$29))/(1+$A$26/100)^DCF_Base!$L$4+Assumptions!$B$5-Assumptions!$B$4)/Assumptions!$B$3*Assumptions!$B$10</f>
        <v>207.686392332492</v>
      </c>
      <c r="E26" s="0" t="n">
        <f aca="false">(SUMPRODUCT(DCF_Base!$C$19:$L$19/(1+$A$26/100)^DCF_Base!$C$4:$L$4)+MAX(0,MIN(IF($A$26&gt;$E$22,DCF_Base!$L$19*(1+$E$22/100)/(($A$26-$E$22)/100),DCF_Base!$L$19*DCF_Base!$B$29),DCF_Base!$L$19*DCF_Base!$B$29))/(1+$A$26/100)^DCF_Base!$L$4+Assumptions!$B$5-Assumptions!$B$4)/Assumptions!$B$3*Assumptions!$B$10</f>
        <v>216.665777533222</v>
      </c>
      <c r="F26" s="0" t="n">
        <f aca="false">(SUMPRODUCT(DCF_Base!$C$19:$L$19/(1+$A$26/100)^DCF_Base!$C$4:$L$4)+MAX(0,MIN(IF($A$26&gt;$F$22,DCF_Base!$L$19*(1+$F$22/100)/(($A$26-$F$22)/100),DCF_Base!$L$19*DCF_Base!$B$29),DCF_Base!$L$19*DCF_Base!$B$29))/(1+$A$26/100)^DCF_Base!$L$4+Assumptions!$B$5-Assumptions!$B$4)/Assumptions!$B$3*Assumptions!$B$10</f>
        <v>218.607266225272</v>
      </c>
    </row>
    <row r="27" customFormat="false" ht="15" hidden="false" customHeight="false" outlineLevel="0" collapsed="false">
      <c r="A27" s="3" t="n">
        <v>12</v>
      </c>
      <c r="B27" s="0" t="n">
        <f aca="false">(SUMPRODUCT(DCF_Base!$C$19:$L$19/(1+$A$27/100)^DCF_Base!$C$4:$L$4)+MAX(0,MIN(IF($A$27&gt;$B$22,DCF_Base!$L$19*(1+$B$22/100)/(($A$27-$B$22)/100),DCF_Base!$L$19*DCF_Base!$B$29),DCF_Base!$L$19*DCF_Base!$B$29))/(1+$A$27/100)^DCF_Base!$L$4+Assumptions!$B$5-Assumptions!$B$4)/Assumptions!$B$3*Assumptions!$B$10</f>
        <v>167.342325161758</v>
      </c>
      <c r="C27" s="0" t="n">
        <f aca="false">(SUMPRODUCT(DCF_Base!$C$19:$L$19/(1+$A$27/100)^DCF_Base!$C$4:$L$4)+MAX(0,MIN(IF($A$27&gt;$C$22,DCF_Base!$L$19*(1+$C$22/100)/(($A$27-$C$22)/100),DCF_Base!$L$19*DCF_Base!$B$29),DCF_Base!$L$19*DCF_Base!$B$29))/(1+$A$27/100)^DCF_Base!$L$4+Assumptions!$B$5-Assumptions!$B$4)/Assumptions!$B$3*Assumptions!$B$10</f>
        <v>172.573736298881</v>
      </c>
      <c r="D27" s="0" t="n">
        <f aca="false">(SUMPRODUCT(DCF_Base!$C$19:$L$19/(1+$A$27/100)^DCF_Base!$C$4:$L$4)+MAX(0,MIN(IF($A$27&gt;$D$22,DCF_Base!$L$19*(1+$D$22/100)/(($A$27-$D$22)/100),DCF_Base!$L$19*DCF_Base!$B$29),DCF_Base!$L$19*DCF_Base!$B$29))/(1+$A$27/100)^DCF_Base!$L$4+Assumptions!$B$5-Assumptions!$B$4)/Assumptions!$B$3*Assumptions!$B$10</f>
        <v>178.38641534013</v>
      </c>
      <c r="E27" s="0" t="n">
        <f aca="false">(SUMPRODUCT(DCF_Base!$C$19:$L$19/(1+$A$27/100)^DCF_Base!$C$4:$L$4)+MAX(0,MIN(IF($A$27&gt;$E$22,DCF_Base!$L$19*(1+$E$22/100)/(($A$27-$E$22)/100),DCF_Base!$L$19*DCF_Base!$B$29),DCF_Base!$L$19*DCF_Base!$B$29))/(1+$A$27/100)^DCF_Base!$L$4+Assumptions!$B$5-Assumptions!$B$4)/Assumptions!$B$3*Assumptions!$B$10</f>
        <v>184.882938974467</v>
      </c>
      <c r="F27" s="0" t="n">
        <f aca="false">(SUMPRODUCT(DCF_Base!$C$19:$L$19/(1+$A$27/100)^DCF_Base!$C$4:$L$4)+MAX(0,MIN(IF($A$27&gt;$F$22,DCF_Base!$L$19*(1+$F$22/100)/(($A$27-$F$22)/100),DCF_Base!$L$19*DCF_Base!$B$29),DCF_Base!$L$19*DCF_Base!$B$29))/(1+$A$27/100)^DCF_Base!$L$4+Assumptions!$B$5-Assumptions!$B$4)/Assumptions!$B$3*Assumptions!$B$10</f>
        <v>192.191528063096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2026-10-02T22:09:01Z</dcterms:created>
  <dc:creator>openpyxl</dc:creator>
  <dc:description/>
  <dc:language>en-NZ</dc:language>
  <cp:lastModifiedBy/>
  <dcterms:modified xsi:type="dcterms:W3CDTF">2026-10-02T22:09:01Z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