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<sst xmlns="http://schemas.openxmlformats.org/spreadsheetml/2006/main" count="368" uniqueCount="171">
  <si>
    <t xml:space="preserve">Ticker</t>
  </si>
  <si>
    <t xml:space="preserve">HO.PA</t>
  </si>
  <si>
    <t xml:space="preserve">Company</t>
  </si>
  <si>
    <t xml:space="preserve">Thales SA</t>
  </si>
  <si>
    <t xml:space="preserve">Valuation date</t>
  </si>
  <si>
    <t xml:space="preserve">2026-10-26</t>
  </si>
  <si>
    <t xml:space="preserve">Current price</t>
  </si>
  <si>
    <t xml:space="preserve">Price as of</t>
  </si>
  <si>
    <t xml:space="preserve">2026-10-23T15:35:15Z (Euronext Paris regular session, last print before the weekend; Yahoo chart API, state None)</t>
  </si>
  <si>
    <t xml:space="preserve">Balance sheet date</t>
  </si>
  <si>
    <t xml:space="preserve">2025-12-31</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</si>
  <si>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</si>
  <si>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</si>
  <si>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</si>
  <si>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</si>
  <si>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</si>
  <si>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</si>
  <si>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</si>
  <si>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</si>
  <si>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</si>
  <si>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</si>
  <si>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2026-10-25T15:18:37Z</t>
  </si>
  <si>
    <t xml:space="preserve">Drivers file</t>
  </si>
  <si>
    <t xml:space="preserve">HO.PA_Drivers.json</t>
  </si>
  <si>
    <t xml:space="preserve">Convention</t>
  </si>
  <si>
    <t xml:space="preserve">Percents stored as percents; formulas divide by 100. Blue = input, green = link, black = formula.</t>
  </si>
  <si>
    <t xml:space="preserve">Methodology</t>
  </si>
  <si>
    <t xml:space="preserve">summary: Thales is valued as an operating cash-flow compounder on an unlevered owner-FCF basis built from components anchored to the FY2025 adjusted income statement and the FY2026 guidance, with IFRS 16 leases treated as debt, pensions and NCI deducted in the bridge, the terminal value capped at 18x FCF (Gordon at 7.5%/2.5% would be 20.5x), and SBC -- immaterial at 0.17% of revenue -- expensed with a flat share count. The house and street bases are nearly coincident because SBC is tiny; band_position is close to degenerate and should be read as such. Value is dominated by the terminal (roughly 60% of EV), so the WACC x terminal-growth grid and the 18x cap matter more than any single year's driver.
key_risks_to_valuation: Balance-sheet anchors are from 31/12/2025; the H1 2026 interim (F126 provision, May 2026 dividend, H1 cash flow) is not yet extracted -- net debt could be EUR 0.5-1.0bn different; Defence cycle duration: 60% of sales to governments; a peace settlement or budget consolidation would cut the growth path and the working-capital tailwind together; Programme execution on fixed-price contracts (F126 precedent) -- a single large overrun is EUR 0.3-0.5bn, ~EUR 1.5-2.5/share each time; French fiscal policy: the temporary surtax (EUR 90-100m/yr) is modelled as rolling off after FY2026 in base; permanence is worth ~EUR 4-5/share; Working-capital capture: FY2025 FOCF was 128% of ANI on a EUR 724m advance inflow; the model assumes 12% capture of revenue growth, and an unwind of advances in a flat-order year would push a year's FCF well below the build; Space (Thales Alenia Space) restructuring and the Airbus-Leonardo-Thales combination (2027 target) -- deconsolidation could change the perimeter materially; Terminal value: ~60% of EV; the 18x cap binds in base, so the valuation is effectively 18x year-10 FCF plus ten years of flows; Equity-affiliate income (EUR 213m, mainly Naval Group 35%) is inside Adjusted EBIT and taxed again in the build; cash dividends from affiliates are lower than the equity-accounted share</t>
  </si>
  <si>
    <t xml:space="preserve">Data sources</t>
  </si>
  <si>
    <t xml:space="preserve">price: Yahoo Finance chart API (query1.finance.yahoo.com) at inputs.price_as_of; 52-week range 211.9-274.2 EUR
financials: HO.PA_Metrics.csv / HO.PA.duckdb core_metrics and kpis, built from the FY2015-FY2025 Universal Registration Documents and H1 2019-2025 interims; FY2025 URD for the adjusted income statement (lines 2318-2346), FOCF bridge (2416-2442), net debt Note 6.2 (17913-17925), D&amp;A and PPA amortisation Note 4.2 (17168, 17441), lease debt and ROU roll-forward (18016-18041, 17736), EPS Note 8.2 (18690-18712), outlook section 2.3.9 (2883-2935)
qualitative: HO.PA_Analysis.json (2026-10-26) for H1 2026 results, F126 cancellation, guidance upgrades, bull/bear axes; FY2025 URD section 2.3.9 outlook and CMD 2024-2028 targets</t>
  </si>
  <si>
    <t xml:space="preserve">Scenario narrative: bear</t>
  </si>
  <si>
    <t xml:space="preserve">Defence order momentum fades (a Ukraine settlement or European budget consolidation pulls book-to-bill to ~1), programme execution bites again after F126 (fixed-price overruns, offset obligations in India/UAE), Space losses persist if the three-way combination stalls, and Cyber &amp; Digital keeps shrinking on physical-card declines and Broadcom/Cloudflare competition. Growth slows to 2% by FY2031, the Adjusted EBIT margin stalls at ~12.5% (FY2026 guidance missed, 2028 target abandoned), the French surtax becomes structural (21% on EBIT), no working-capital tailwind, terminal growth 2% with a 16x cap. The group remains solidly profitable and A-rated throughout: this is a stalled-re-rating case, not a solvency case.</t>
  </si>
  <si>
    <t xml:space="preserve">Scenario narrative: base</t>
  </si>
  <si>
    <t xml:space="preserve">Thales delivers the FY2026 guidance (organic +6-7%, Adjusted EBIT margin 12.6-12.8%, book-to-bill &gt;1.1, cash conversion 100-110%) and the 2024-2028 CMD roadmap at the upper half: ~6% organic growth through FY2028 on the EUR 53bn order book (Defence EUR 41.6bn = 3.4 years of segment sales) and European rearmament, Adjusted EBIT margin reaching 13.5% in FY2028 and maturing at 14.0% by FY2032 as defence operating leverage and the Avionics/IFE recovery outweigh a sluggish Cyber &amp; Digital (payment cards, connectivity) and the Space restructuring. Capex steps up for capacity in FY2026-27 and fades; the French surtax rolls off after FY2026; customer advances keep working capital a modest tailwind (12% of revenue growth). Growth decelerates to 2.5% terminal as budgets plateau in the 2030s.</t>
  </si>
  <si>
    <t xml:space="preserve">Scenario narrative: bull</t>
  </si>
  <si>
    <t xml:space="preserve">The rearmament cycle lasts 'about a generation' as management frames it: NATO 3.5% GDP core targets lift Defence growth to 8% in FY2027-28 (book-to-bill stays &gt;1.2), Space turns EBIT-positive inside the Airbus-Leonardo-Thales combination, Avionics rides the Airbus/Boeing production ramp, Cyber &amp; Digital returns to growth post-Imperva integration, and group Adjusted EBIT margin passes the CMD range to 15% by FY2031. Customer advances capture 15% of revenue growth, the normalised tax rate settles at 19%, terminal growth 3% with a 20x FCF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</si>
  <si>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</si>
  <si>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</si>
  <si>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</si>
  <si>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</si>
  <si>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</si>
  <si>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</si>
  <si>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</si>
  <si>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</si>
  <si>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</si>
  <si>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</si>
  <si>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</si>
  <si>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</si>
  <si>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</si>
  <si>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</si>
  <si>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</si>
  <si>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</si>
  <si>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</si>
  <si>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</si>
  <si>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</si>
  <si>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</si>
  <si>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</si>
  <si>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</si>
  <si>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</si>
  <si>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</si>
  <si>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</si>
  <si>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</si>
  <si>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</si>
  <si>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t>
  </si>
  <si>
    <t xml:space="preserve">BookToBill</t>
  </si>
  <si>
    <t xml:space="preserve">OrderBook</t>
  </si>
  <si>
    <t xml:space="preserve">OrderIntake</t>
  </si>
  <si>
    <t xml:space="preserve">TotalEquityInclNCI</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</si>
  <si>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</si>
  <si>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</si>
  <si>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</si>
  <si>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</si>
  <si>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</si>
  <si>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</si>
  <si>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</si>
  <si>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</si>
  <si>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</si>
  <si>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</si>
  <si>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</si>
  <si>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</si>
  <si>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</si>
  <si>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</si>
  <si>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</si>
  <si>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</si>
  <si>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</si>
  <si>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</si>
  <si>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</si>
  <si>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</si>
  <si>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</si>
  <si>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</si>
  <si>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</si>
  <si>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</si>
  <si>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</si>
  <si>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</si>
  <si>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</si>
  <si>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</si>
  <si>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</si>
  <si>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</si>
  <si>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</si>
  <si>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</si>
  <si>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</si>
  <si>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</si>
  <si>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</si>
  <si>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</si>
  <si>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</si>
  <si>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</si>
  <si>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</si>
  <si>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</si>
  <si>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</si>
  <si>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</si>
  <si>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</si>
  <si>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</si>
  <si>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</si>
  <si>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</si>
  <si>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</si>
  <si>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</si>
  <si>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HO.PA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</si>
  <si>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</si>
  <si>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</si>
  <si>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</si>
  <si>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</si>
  <si>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</si>
  <si>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</si>
  <si>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</si>
  <si>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</si>
  <si>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</si>
  <si>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</si>
  <si>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</si>
  <si>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</si>
  <si>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</si>
  <si>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</si>
  <si>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</si>
  <si>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</si>
  <si>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</si>
  <si>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</si>
  <si>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</si>
  <si>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</si>
  <si>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</si>
  <si>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</si>
  <si>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</si>
  <si>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</si>
  <si>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</si>
  <si>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</si>
  <si>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</si>
  <si>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</si>
  <si>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</si>
  <si>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</si>
  <si>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HO.PA owner-FCF component DCF: base case (millions, EUR)</t>
  </si>
  <si>
    <t xml:space="preserve">HO.PA owner-FCF component DCF: bull case (millions, EUR)</t>
  </si>
  <si>
    <t xml:space="preserve">HO.PA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</si>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</sst>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228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row>
    <row r="2" customFormat="false" ht="15" hidden="false" customHeight="false" outlineLevel="0" collapsed="false">
      <c r="A2" s="0" t="s">
        <v>68</v>
      </c>
      <c r="B2" s="0" t="n">
        <v>14063.2</v>
      </c>
      <c r="C2" s="0" t="n">
        <v>10688.1</v>
      </c>
      <c r="D2" s="0" t="n">
        <v>3375.1</v>
      </c>
      <c r="E2" s="0" t="n">
        <v>23.9995</v>
      </c>
      <c r="F2" s="0" t="n">
        <v>964.5</v>
      </c>
      <c r="G2" s="0" t="n">
        <v>6.8583</v>
      </c>
      <c r="H2" s="0" t="n">
        <v>1457.4</v>
      </c>
      <c r="I2" s="0" t="n">
        <v>765.1</v>
      </c>
      <c r="J2" s="0" t="n">
        <v>5.4404</v>
      </c>
      <c r="K2" s="0" t="n">
        <v>3.63</v>
      </c>
      <c r="L2" s="0" t="n">
        <v>1467.7</v>
      </c>
      <c r="M2" s="0" t="n">
        <v>473.4</v>
      </c>
      <c r="N2" s="0" t="n">
        <v>994.3</v>
      </c>
      <c r="O2" s="0" t="n">
        <v>4645.9</v>
      </c>
      <c r="P2" s="0" t="n">
        <v>21560.2</v>
      </c>
      <c r="Q2" s="0" t="n">
        <v>16618.4</v>
      </c>
      <c r="R2" s="0" t="n">
        <v>1536.3</v>
      </c>
      <c r="S2" s="0" t="n">
        <v>3450.2</v>
      </c>
      <c r="T2" s="0" t="n">
        <v>210.7713</v>
      </c>
      <c r="U2" s="0" t="n">
        <v>22.2</v>
      </c>
      <c r="AA2" s="0" t="s">
        <v>17</v>
      </c>
      <c r="AB2" s="0" t="s">
        <v>14</v>
      </c>
      <c r="AG2" s="0" t="n">
        <v>4941.8</v>
      </c>
    </row>
    <row r="3" customFormat="false" ht="15" hidden="false" customHeight="false" outlineLevel="0" collapsed="false">
      <c r="A3" s="0" t="s">
        <v>69</v>
      </c>
      <c r="B3" s="0" t="n">
        <v>14884.8</v>
      </c>
      <c r="C3" s="0" t="n">
        <v>11274.6</v>
      </c>
      <c r="D3" s="0" t="n">
        <v>3610.2</v>
      </c>
      <c r="E3" s="0" t="n">
        <v>24.2543</v>
      </c>
      <c r="F3" s="0" t="n">
        <v>1097.4</v>
      </c>
      <c r="G3" s="0" t="n">
        <v>7.3726</v>
      </c>
      <c r="H3" s="0" t="n">
        <v>1589.3</v>
      </c>
      <c r="I3" s="0" t="n">
        <v>946.4</v>
      </c>
      <c r="J3" s="0" t="n">
        <v>6.3582</v>
      </c>
      <c r="K3" s="0" t="n">
        <v>4.44</v>
      </c>
      <c r="L3" s="0" t="n">
        <v>1337.9</v>
      </c>
      <c r="M3" s="0" t="n">
        <v>480.3</v>
      </c>
      <c r="N3" s="0" t="n">
        <v>857.6</v>
      </c>
      <c r="O3" s="0" t="n">
        <v>4640.1</v>
      </c>
      <c r="P3" s="0" t="n">
        <v>22689.6</v>
      </c>
      <c r="Q3" s="0" t="n">
        <v>17823.6</v>
      </c>
      <c r="R3" s="0" t="n">
        <v>1545.1</v>
      </c>
      <c r="S3" s="0" t="n">
        <v>3616.9</v>
      </c>
      <c r="T3" s="0" t="n">
        <v>213.1532</v>
      </c>
      <c r="U3" s="0" t="n">
        <v>16.7</v>
      </c>
      <c r="AA3" s="0" t="s">
        <v>17</v>
      </c>
      <c r="AB3" s="0" t="s">
        <v>14</v>
      </c>
      <c r="AD3" s="0" t="n">
        <v>1.109</v>
      </c>
      <c r="AF3" s="0" t="n">
        <v>16514</v>
      </c>
      <c r="AG3" s="0" t="n">
        <v>4866</v>
      </c>
    </row>
    <row r="4" customFormat="false" ht="15" hidden="false" customHeight="false" outlineLevel="0" collapsed="false">
      <c r="A4" s="0" t="s">
        <v>70</v>
      </c>
      <c r="B4" s="0" t="n">
        <v>15227.5</v>
      </c>
      <c r="C4" s="0" t="n">
        <v>11516.7</v>
      </c>
      <c r="D4" s="0" t="n">
        <v>3710.8</v>
      </c>
      <c r="E4" s="0" t="n">
        <v>24.3691</v>
      </c>
      <c r="F4" s="0" t="n">
        <v>1095.5</v>
      </c>
      <c r="G4" s="0" t="n">
        <v>7.1942</v>
      </c>
      <c r="H4" s="0" t="n">
        <v>1599.6</v>
      </c>
      <c r="I4" s="0" t="n">
        <v>679.8</v>
      </c>
      <c r="J4" s="0" t="n">
        <v>4.4643</v>
      </c>
      <c r="K4" s="0" t="n">
        <v>3.19</v>
      </c>
      <c r="L4" s="0" t="n">
        <v>1713.3</v>
      </c>
      <c r="M4" s="0" t="n">
        <v>438.9</v>
      </c>
      <c r="N4" s="0" t="n">
        <v>1274.4</v>
      </c>
      <c r="O4" s="0" t="n">
        <v>4921.7</v>
      </c>
      <c r="P4" s="0" t="n">
        <v>23449.7</v>
      </c>
      <c r="Q4" s="0" t="n">
        <v>18311.2</v>
      </c>
      <c r="R4" s="0" t="n">
        <v>1660.8</v>
      </c>
      <c r="S4" s="0" t="n">
        <v>4282.7</v>
      </c>
      <c r="T4" s="0" t="n">
        <v>213.1034</v>
      </c>
      <c r="U4" s="0" t="n">
        <v>21.8</v>
      </c>
      <c r="AA4" s="0" t="s">
        <v>17</v>
      </c>
      <c r="AB4" s="0" t="s">
        <v>14</v>
      </c>
      <c r="AC4" s="0" t="n">
        <v>1365</v>
      </c>
      <c r="AD4" s="0" t="n">
        <v>0.981</v>
      </c>
      <c r="AE4" s="0" t="n">
        <v>32064</v>
      </c>
      <c r="AF4" s="0" t="n">
        <v>14931</v>
      </c>
      <c r="AG4" s="0" t="n">
        <v>5138.5</v>
      </c>
    </row>
    <row r="5" customFormat="false" ht="15" hidden="false" customHeight="false" outlineLevel="0" collapsed="false">
      <c r="A5" s="0" t="s">
        <v>71</v>
      </c>
      <c r="B5" s="0" t="n">
        <v>15854.7</v>
      </c>
      <c r="C5" s="0" t="n">
        <v>11870.3</v>
      </c>
      <c r="D5" s="0" t="n">
        <v>3984.4</v>
      </c>
      <c r="E5" s="0" t="n">
        <v>25.1307</v>
      </c>
      <c r="F5" s="0" t="n">
        <v>1402.8</v>
      </c>
      <c r="G5" s="0" t="n">
        <v>8.8478</v>
      </c>
      <c r="H5" s="0" t="n">
        <v>1887.8</v>
      </c>
      <c r="I5" s="0" t="n">
        <v>981.8</v>
      </c>
      <c r="J5" s="0" t="n">
        <v>6.1925</v>
      </c>
      <c r="K5" s="0" t="n">
        <v>4.6</v>
      </c>
      <c r="L5" s="0" t="n">
        <v>1092.7</v>
      </c>
      <c r="M5" s="0" t="n">
        <v>393.2</v>
      </c>
      <c r="N5" s="0" t="n">
        <v>699.5</v>
      </c>
      <c r="O5" s="0" t="n">
        <v>5699.6</v>
      </c>
      <c r="P5" s="0" t="n">
        <v>25505.8</v>
      </c>
      <c r="Q5" s="0" t="n">
        <v>19581.3</v>
      </c>
      <c r="R5" s="0" t="n">
        <v>2729.7</v>
      </c>
      <c r="S5" s="0" t="n">
        <v>5637.5</v>
      </c>
      <c r="T5" s="0" t="n">
        <v>213.4348</v>
      </c>
      <c r="U5" s="0" t="n">
        <v>16.3</v>
      </c>
      <c r="AA5" s="0" t="s">
        <v>17</v>
      </c>
      <c r="AB5" s="0" t="s">
        <v>14</v>
      </c>
      <c r="AD5" s="0" t="n">
        <v>1.011</v>
      </c>
      <c r="AE5" s="0" t="n">
        <v>32329</v>
      </c>
      <c r="AF5" s="0" t="n">
        <v>16034</v>
      </c>
      <c r="AG5" s="0" t="n">
        <v>5924.5</v>
      </c>
    </row>
    <row r="6" customFormat="false" ht="15" hidden="false" customHeight="false" outlineLevel="0" collapsed="false">
      <c r="A6" s="0" t="s">
        <v>72</v>
      </c>
      <c r="B6" s="0" t="n">
        <v>18401</v>
      </c>
      <c r="C6" s="0" t="n">
        <v>13877.3</v>
      </c>
      <c r="D6" s="0" t="n">
        <v>4523.7</v>
      </c>
      <c r="E6" s="0" t="n">
        <v>24.584</v>
      </c>
      <c r="F6" s="0" t="n">
        <v>1283.4</v>
      </c>
      <c r="G6" s="0" t="n">
        <v>6.9746</v>
      </c>
      <c r="H6" s="0" t="n">
        <v>2395.9</v>
      </c>
      <c r="I6" s="0" t="n">
        <v>1121.9</v>
      </c>
      <c r="J6" s="0" t="n">
        <v>6.097</v>
      </c>
      <c r="K6" s="0" t="n">
        <v>5.26</v>
      </c>
      <c r="L6" s="0" t="n">
        <v>1770.2</v>
      </c>
      <c r="M6" s="0" t="n">
        <v>503.3</v>
      </c>
      <c r="N6" s="0" t="n">
        <v>1266.9</v>
      </c>
      <c r="O6" s="0" t="n">
        <v>5449.2</v>
      </c>
      <c r="P6" s="0" t="n">
        <v>31223.4</v>
      </c>
      <c r="Q6" s="0" t="n">
        <v>25541.3</v>
      </c>
      <c r="R6" s="0" t="n">
        <v>6274.7</v>
      </c>
      <c r="S6" s="0" t="n">
        <v>2931.4</v>
      </c>
      <c r="T6" s="0" t="n">
        <v>213.289</v>
      </c>
      <c r="U6" s="0" t="n">
        <v>26.3</v>
      </c>
      <c r="AA6" s="0" t="s">
        <v>17</v>
      </c>
      <c r="AB6" s="0" t="s">
        <v>14</v>
      </c>
      <c r="AD6" s="0" t="n">
        <v>1.04</v>
      </c>
      <c r="AE6" s="0" t="n">
        <v>33839</v>
      </c>
      <c r="AF6" s="0" t="n">
        <v>19142</v>
      </c>
      <c r="AG6" s="0" t="n">
        <v>5682.1</v>
      </c>
    </row>
    <row r="7" customFormat="false" ht="15" hidden="false" customHeight="false" outlineLevel="0" collapsed="false">
      <c r="A7" s="0" t="s">
        <v>73</v>
      </c>
      <c r="B7" s="0" t="n">
        <v>15371</v>
      </c>
      <c r="C7" s="0" t="n">
        <v>11791.2</v>
      </c>
      <c r="D7" s="0" t="n">
        <v>3579.8</v>
      </c>
      <c r="E7" s="0" t="n">
        <v>23.2893</v>
      </c>
      <c r="F7" s="0" t="n">
        <v>734.2</v>
      </c>
      <c r="G7" s="0" t="n">
        <v>4.7765</v>
      </c>
      <c r="H7" s="0" t="n">
        <v>1860.4</v>
      </c>
      <c r="I7" s="0" t="n">
        <v>483.4</v>
      </c>
      <c r="J7" s="0" t="n">
        <v>3.1449</v>
      </c>
      <c r="K7" s="0" t="n">
        <v>2.27</v>
      </c>
      <c r="L7" s="0" t="n">
        <v>1155.4</v>
      </c>
      <c r="M7" s="0" t="n">
        <v>379.4</v>
      </c>
      <c r="N7" s="0" t="n">
        <v>776</v>
      </c>
      <c r="O7" s="0" t="n">
        <v>5142.4</v>
      </c>
      <c r="P7" s="0" t="n">
        <v>31799.8</v>
      </c>
      <c r="Q7" s="0" t="n">
        <v>26460.9</v>
      </c>
      <c r="R7" s="0" t="n">
        <v>7598.4</v>
      </c>
      <c r="S7" s="0" t="n">
        <v>5003.9</v>
      </c>
      <c r="T7" s="0" t="n">
        <v>212.9515</v>
      </c>
      <c r="U7" s="0" t="n">
        <v>13.4</v>
      </c>
      <c r="AA7" s="0" t="s">
        <v>17</v>
      </c>
      <c r="AB7" s="0" t="s">
        <v>14</v>
      </c>
      <c r="AC7" s="0" t="n">
        <v>1248</v>
      </c>
      <c r="AD7" s="0" t="n">
        <v>1.095</v>
      </c>
      <c r="AE7" s="0" t="n">
        <v>30512</v>
      </c>
      <c r="AF7" s="0" t="n">
        <v>16824</v>
      </c>
      <c r="AG7" s="0" t="n">
        <v>5338.9</v>
      </c>
    </row>
    <row r="8" customFormat="false" ht="15" hidden="false" customHeight="false" outlineLevel="0" collapsed="false">
      <c r="A8" s="0" t="s">
        <v>74</v>
      </c>
      <c r="B8" s="0" t="n">
        <v>16192</v>
      </c>
      <c r="C8" s="0" t="n">
        <v>12158.9</v>
      </c>
      <c r="D8" s="0" t="n">
        <v>4033.1</v>
      </c>
      <c r="E8" s="0" t="n">
        <v>24.908</v>
      </c>
      <c r="F8" s="0" t="n">
        <v>1143.5</v>
      </c>
      <c r="G8" s="0" t="n">
        <v>7.0621</v>
      </c>
      <c r="H8" s="0" t="n">
        <v>2206.1</v>
      </c>
      <c r="I8" s="0" t="n">
        <v>1088.8</v>
      </c>
      <c r="J8" s="0" t="n">
        <v>6.7243</v>
      </c>
      <c r="K8" s="0" t="n">
        <v>5.11</v>
      </c>
      <c r="L8" s="0" t="n">
        <v>2706.7</v>
      </c>
      <c r="M8" s="0" t="n">
        <v>450.8</v>
      </c>
      <c r="N8" s="0" t="n">
        <v>2255.9</v>
      </c>
      <c r="O8" s="0" t="n">
        <v>6480.1</v>
      </c>
      <c r="P8" s="0" t="n">
        <v>32840.8</v>
      </c>
      <c r="Q8" s="0" t="n">
        <v>26116.3</v>
      </c>
      <c r="R8" s="0" t="n">
        <v>5921.4</v>
      </c>
      <c r="S8" s="0" t="n">
        <v>5049.4</v>
      </c>
      <c r="T8" s="0" t="n">
        <v>213.0724</v>
      </c>
      <c r="U8" s="0" t="n">
        <v>25</v>
      </c>
      <c r="AA8" s="0" t="s">
        <v>17</v>
      </c>
      <c r="AB8" s="0" t="s">
        <v>14</v>
      </c>
      <c r="AC8" s="0" t="n">
        <v>1649</v>
      </c>
      <c r="AD8" s="0" t="n">
        <v>1.23</v>
      </c>
      <c r="AE8" s="0" t="n">
        <v>34744</v>
      </c>
      <c r="AF8" s="0" t="n">
        <v>19909</v>
      </c>
      <c r="AG8" s="0" t="n">
        <v>6724.5</v>
      </c>
    </row>
    <row r="9" customFormat="false" ht="15" hidden="false" customHeight="false" outlineLevel="0" collapsed="false">
      <c r="A9" s="0" t="s">
        <v>75</v>
      </c>
      <c r="B9" s="0" t="n">
        <v>17568.8</v>
      </c>
      <c r="C9" s="0" t="n">
        <v>13113.4</v>
      </c>
      <c r="D9" s="0" t="n">
        <v>4455.4</v>
      </c>
      <c r="E9" s="0" t="n">
        <v>25.3597</v>
      </c>
      <c r="F9" s="0" t="n">
        <v>1344.4</v>
      </c>
      <c r="G9" s="0" t="n">
        <v>7.6522</v>
      </c>
      <c r="H9" s="0" t="n">
        <v>2403.2</v>
      </c>
      <c r="I9" s="0" t="n">
        <v>1120.6</v>
      </c>
      <c r="J9" s="0" t="n">
        <v>6.3784</v>
      </c>
      <c r="K9" s="0" t="n">
        <v>5.28</v>
      </c>
      <c r="L9" s="0" t="n">
        <v>3025.4</v>
      </c>
      <c r="M9" s="0" t="n">
        <v>534.6</v>
      </c>
      <c r="N9" s="0" t="n">
        <v>2490.8</v>
      </c>
      <c r="O9" s="0" t="n">
        <v>7173.9</v>
      </c>
      <c r="P9" s="0" t="n">
        <v>34420.5</v>
      </c>
      <c r="Q9" s="0" t="n">
        <v>27039</v>
      </c>
      <c r="R9" s="0" t="n">
        <v>5471.4</v>
      </c>
      <c r="S9" s="0" t="n">
        <v>5099.6</v>
      </c>
      <c r="T9" s="0" t="n">
        <v>212.2348</v>
      </c>
      <c r="U9" s="0" t="n">
        <v>22.8</v>
      </c>
      <c r="AA9" s="0" t="s">
        <v>17</v>
      </c>
      <c r="AB9" s="0" t="s">
        <v>14</v>
      </c>
      <c r="AC9" s="0" t="n">
        <v>1935</v>
      </c>
      <c r="AD9" s="0" t="n">
        <v>1.341</v>
      </c>
      <c r="AE9" s="0" t="n">
        <v>40957</v>
      </c>
      <c r="AF9" s="0" t="n">
        <v>23551</v>
      </c>
      <c r="AG9" s="0" t="n">
        <v>7381.5</v>
      </c>
    </row>
    <row r="10" customFormat="false" ht="15" hidden="false" customHeight="false" outlineLevel="0" collapsed="false">
      <c r="A10" s="0" t="s">
        <v>76</v>
      </c>
      <c r="B10" s="0" t="n">
        <v>18428.4</v>
      </c>
      <c r="C10" s="0" t="n">
        <v>13662</v>
      </c>
      <c r="D10" s="0" t="n">
        <v>4766.4</v>
      </c>
      <c r="E10" s="0" t="n">
        <v>25.8644</v>
      </c>
      <c r="F10" s="0" t="n">
        <v>1562.3</v>
      </c>
      <c r="G10" s="0" t="n">
        <v>8.4777</v>
      </c>
      <c r="H10" s="0" t="n">
        <v>2607.4</v>
      </c>
      <c r="I10" s="0" t="n">
        <v>1023.4</v>
      </c>
      <c r="J10" s="0" t="n">
        <v>5.5534</v>
      </c>
      <c r="K10" s="0" t="n">
        <v>4.89</v>
      </c>
      <c r="L10" s="0" t="n">
        <v>1511.4</v>
      </c>
      <c r="M10" s="0" t="n">
        <v>625.6</v>
      </c>
      <c r="N10" s="0" t="n">
        <v>885.8</v>
      </c>
      <c r="O10" s="0" t="n">
        <v>6830</v>
      </c>
      <c r="P10" s="0" t="n">
        <v>38785.7</v>
      </c>
      <c r="Q10" s="0" t="n">
        <v>31816.7</v>
      </c>
      <c r="R10" s="0" t="n">
        <v>8433.6</v>
      </c>
      <c r="S10" s="0" t="n">
        <v>3979.9</v>
      </c>
      <c r="T10" s="0" t="n">
        <v>209.2843</v>
      </c>
      <c r="U10" s="0" t="n">
        <v>24.4</v>
      </c>
      <c r="AA10" s="0" t="s">
        <v>17</v>
      </c>
      <c r="AB10" s="0" t="s">
        <v>14</v>
      </c>
      <c r="AC10" s="0" t="n">
        <v>2132</v>
      </c>
      <c r="AD10" s="0" t="n">
        <v>1.255</v>
      </c>
      <c r="AE10" s="0" t="n">
        <v>45251</v>
      </c>
      <c r="AF10" s="0" t="n">
        <v>23132</v>
      </c>
      <c r="AG10" s="0" t="n">
        <v>6969</v>
      </c>
    </row>
    <row r="11" customFormat="false" ht="15" hidden="false" customHeight="false" outlineLevel="0" collapsed="false">
      <c r="A11" s="0" t="s">
        <v>77</v>
      </c>
      <c r="B11" s="0" t="n">
        <v>20576.6</v>
      </c>
      <c r="C11" s="0" t="n">
        <v>15202.7</v>
      </c>
      <c r="D11" s="0" t="n">
        <v>5373.9</v>
      </c>
      <c r="E11" s="0" t="n">
        <v>26.1166</v>
      </c>
      <c r="F11" s="0" t="n">
        <v>1698.7</v>
      </c>
      <c r="G11" s="0" t="n">
        <v>8.2555</v>
      </c>
      <c r="H11" s="0" t="n">
        <v>2854.1</v>
      </c>
      <c r="I11" s="0" t="n">
        <v>1419.5</v>
      </c>
      <c r="J11" s="0" t="n">
        <v>6.8986</v>
      </c>
      <c r="K11" s="0" t="n">
        <v>6.89</v>
      </c>
      <c r="L11" s="0" t="n">
        <v>2746.4</v>
      </c>
      <c r="M11" s="0" t="n">
        <v>623.1</v>
      </c>
      <c r="N11" s="0" t="n">
        <v>2123.3</v>
      </c>
      <c r="O11" s="0" t="n">
        <v>7515.2</v>
      </c>
      <c r="P11" s="0" t="n">
        <v>39989.8</v>
      </c>
      <c r="Q11" s="0" t="n">
        <v>32431.7</v>
      </c>
      <c r="R11" s="0" t="n">
        <v>7823.4</v>
      </c>
      <c r="S11" s="0" t="n">
        <v>4767.1</v>
      </c>
      <c r="T11" s="0" t="n">
        <v>206.0232</v>
      </c>
      <c r="U11" s="0" t="n">
        <v>60</v>
      </c>
      <c r="AA11" s="0" t="s">
        <v>17</v>
      </c>
      <c r="AB11" s="0" t="s">
        <v>14</v>
      </c>
      <c r="AC11" s="0" t="n">
        <v>2419</v>
      </c>
      <c r="AD11" s="0" t="n">
        <v>1.229</v>
      </c>
      <c r="AE11" s="0" t="n">
        <v>50602</v>
      </c>
      <c r="AF11" s="0" t="n">
        <v>25289</v>
      </c>
      <c r="AG11" s="0" t="n">
        <v>7558.1</v>
      </c>
    </row>
    <row r="12" customFormat="false" ht="15" hidden="false" customHeight="false" outlineLevel="0" collapsed="false">
      <c r="A12" s="0" t="s">
        <v>78</v>
      </c>
      <c r="B12" s="0" t="n">
        <v>22136.4</v>
      </c>
      <c r="C12" s="0" t="n">
        <v>16283.2</v>
      </c>
      <c r="D12" s="0" t="n">
        <v>5853.2</v>
      </c>
      <c r="E12" s="0" t="n">
        <v>26.4415</v>
      </c>
      <c r="F12" s="0" t="n">
        <v>2086.7</v>
      </c>
      <c r="G12" s="0" t="n">
        <v>9.4266</v>
      </c>
      <c r="H12" s="0" t="n">
        <v>3174</v>
      </c>
      <c r="I12" s="0" t="n">
        <v>1674.5</v>
      </c>
      <c r="J12" s="0" t="n">
        <v>7.5645</v>
      </c>
      <c r="K12" s="0" t="n">
        <v>8.13</v>
      </c>
      <c r="L12" s="0" t="n">
        <v>3321.8</v>
      </c>
      <c r="M12" s="0" t="n">
        <v>756.7</v>
      </c>
      <c r="N12" s="0" t="n">
        <v>2565.1</v>
      </c>
      <c r="O12" s="0" t="n">
        <v>7968.4</v>
      </c>
      <c r="P12" s="0" t="n">
        <v>39155.4</v>
      </c>
      <c r="Q12" s="0" t="n">
        <v>31167.7</v>
      </c>
      <c r="R12" s="0" t="n">
        <v>6129.5</v>
      </c>
      <c r="S12" s="0" t="n">
        <v>4446.5</v>
      </c>
      <c r="T12" s="0" t="n">
        <v>205.9656</v>
      </c>
      <c r="U12" s="0" t="n">
        <v>37.3</v>
      </c>
      <c r="AA12" s="0" t="s">
        <v>17</v>
      </c>
      <c r="AB12" s="0" t="s">
        <v>14</v>
      </c>
      <c r="AC12" s="0" t="n">
        <v>2740</v>
      </c>
      <c r="AD12" s="0" t="n">
        <v>1.141</v>
      </c>
      <c r="AE12" s="0" t="n">
        <v>53323</v>
      </c>
      <c r="AF12" s="0" t="n">
        <v>25264</v>
      </c>
      <c r="AG12" s="0" t="n">
        <v>7987.7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228</v>
      </c>
    </row>
    <row r="3" customFormat="false" ht="15" hidden="false" customHeight="false" outlineLevel="0" collapsed="false">
      <c r="A3" s="0" t="s">
        <v>82</v>
      </c>
      <c r="B3" s="3" t="n">
        <v>206.4</v>
      </c>
    </row>
    <row r="4" customFormat="false" ht="15" hidden="false" customHeight="false" outlineLevel="0" collapsed="false">
      <c r="A4" s="0" t="s">
        <v>83</v>
      </c>
      <c r="B4" s="3" t="n">
        <v>1618.4</v>
      </c>
    </row>
    <row r="5" customFormat="false" ht="15" hidden="false" customHeight="false" outlineLevel="0" collapsed="false">
      <c r="A5" s="0" t="s">
        <v>84</v>
      </c>
      <c r="B5" s="3" t="n">
        <v>-1615</v>
      </c>
    </row>
    <row r="6" customFormat="false" ht="15" hidden="false" customHeight="false" outlineLevel="0" collapsed="false">
      <c r="A6" s="0" t="s">
        <v>85</v>
      </c>
      <c r="B6" s="3" t="n">
        <v>15</v>
      </c>
    </row>
    <row r="7" customFormat="false" ht="15" hidden="false" customHeight="false" outlineLevel="0" collapsed="false">
      <c r="A7" s="0" t="s">
        <v>86</v>
      </c>
      <c r="B7" s="3" t="n">
        <v>22136.4</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5</v>
      </c>
      <c r="D13" s="3" t="n">
        <v>4</v>
      </c>
      <c r="E13" s="3" t="n">
        <v>3</v>
      </c>
      <c r="F13" s="3" t="n">
        <v>2.5</v>
      </c>
      <c r="G13" s="3" t="n">
        <v>2.5</v>
      </c>
      <c r="H13" s="3" t="n">
        <v>2</v>
      </c>
      <c r="I13" s="3" t="n">
        <v>2</v>
      </c>
      <c r="J13" s="3" t="n">
        <v>2</v>
      </c>
      <c r="K13" s="3" t="n">
        <v>2</v>
      </c>
      <c r="L13" s="3" t="n">
        <v>2</v>
      </c>
    </row>
    <row r="14" customFormat="false" ht="15" hidden="false" customHeight="false" outlineLevel="0" collapsed="false">
      <c r="A14" s="0" t="s">
        <v>103</v>
      </c>
      <c r="C14" s="3" t="n">
        <v>15.77</v>
      </c>
      <c r="D14" s="3" t="n">
        <v>15.77</v>
      </c>
      <c r="E14" s="3" t="n">
        <v>15.97</v>
      </c>
      <c r="F14" s="3" t="n">
        <v>16.07</v>
      </c>
      <c r="G14" s="3" t="n">
        <v>16.07</v>
      </c>
      <c r="H14" s="3" t="n">
        <v>16.07</v>
      </c>
      <c r="I14" s="3" t="n">
        <v>16.07</v>
      </c>
      <c r="J14" s="3" t="n">
        <v>16.07</v>
      </c>
      <c r="K14" s="3" t="n">
        <v>16.07</v>
      </c>
      <c r="L14" s="3" t="n">
        <v>16.07</v>
      </c>
    </row>
    <row r="15" customFormat="false" ht="15" hidden="false" customHeight="false" outlineLevel="0" collapsed="false">
      <c r="A15" s="0" t="s">
        <v>104</v>
      </c>
      <c r="C15" s="3" t="n">
        <v>0.17</v>
      </c>
      <c r="D15" s="3" t="n">
        <v>0.17</v>
      </c>
      <c r="E15" s="3" t="n">
        <v>0.17</v>
      </c>
      <c r="F15" s="3" t="n">
        <v>0.17</v>
      </c>
      <c r="G15" s="3" t="n">
        <v>0.17</v>
      </c>
      <c r="H15" s="3" t="n">
        <v>0.17</v>
      </c>
      <c r="I15" s="3" t="n">
        <v>0.17</v>
      </c>
      <c r="J15" s="3" t="n">
        <v>0.17</v>
      </c>
      <c r="K15" s="3" t="n">
        <v>0.17</v>
      </c>
      <c r="L15" s="3" t="n">
        <v>0.17</v>
      </c>
    </row>
    <row r="16" customFormat="false" ht="15" hidden="false" customHeight="false" outlineLevel="0" collapsed="false">
      <c r="A16" s="0" t="s">
        <v>105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106</v>
      </c>
      <c r="C17" s="3" t="n">
        <v>3.2</v>
      </c>
      <c r="D17" s="3" t="n">
        <v>3.3</v>
      </c>
      <c r="E17" s="3" t="n">
        <v>3.4</v>
      </c>
      <c r="F17" s="3" t="n">
        <v>3.4</v>
      </c>
      <c r="G17" s="3" t="n">
        <v>3.4</v>
      </c>
      <c r="H17" s="3" t="n">
        <v>3.4</v>
      </c>
      <c r="I17" s="3" t="n">
        <v>3.4</v>
      </c>
      <c r="J17" s="3" t="n">
        <v>3.4</v>
      </c>
      <c r="K17" s="3" t="n">
        <v>3.4</v>
      </c>
      <c r="L17" s="3" t="n">
        <v>3.4</v>
      </c>
    </row>
    <row r="18" customFormat="false" ht="15" hidden="false" customHeight="false" outlineLevel="0" collapsed="false">
      <c r="A18" s="0" t="s">
        <v>107</v>
      </c>
      <c r="C18" s="3" t="n">
        <v>4.6</v>
      </c>
      <c r="D18" s="3" t="n">
        <v>4.6</v>
      </c>
      <c r="E18" s="3" t="n">
        <v>4.5</v>
      </c>
      <c r="F18" s="3" t="n">
        <v>4.4</v>
      </c>
      <c r="G18" s="3" t="n">
        <v>4.3</v>
      </c>
      <c r="H18" s="3" t="n">
        <v>4.2</v>
      </c>
      <c r="I18" s="3" t="n">
        <v>4.1</v>
      </c>
      <c r="J18" s="3" t="n">
        <v>4</v>
      </c>
      <c r="K18" s="3" t="n">
        <v>4</v>
      </c>
      <c r="L18" s="3" t="n">
        <v>4</v>
      </c>
    </row>
    <row r="19" customFormat="false" ht="15" hidden="false" customHeight="false" outlineLevel="0" collapsed="false">
      <c r="A19" s="0" t="s">
        <v>108</v>
      </c>
      <c r="C19" s="3" t="n">
        <v>23</v>
      </c>
      <c r="D19" s="3" t="n">
        <v>22</v>
      </c>
      <c r="E19" s="3" t="n">
        <v>21</v>
      </c>
      <c r="F19" s="3" t="n">
        <v>21</v>
      </c>
      <c r="G19" s="3" t="n">
        <v>21</v>
      </c>
      <c r="H19" s="3" t="n">
        <v>21</v>
      </c>
      <c r="I19" s="3" t="n">
        <v>21</v>
      </c>
      <c r="J19" s="3" t="n">
        <v>21</v>
      </c>
      <c r="K19" s="3" t="n">
        <v>21</v>
      </c>
      <c r="L19" s="3" t="n">
        <v>21</v>
      </c>
    </row>
    <row r="20" customFormat="false" ht="15" hidden="false" customHeight="false" outlineLevel="0" collapsed="false">
      <c r="A20" s="0" t="s">
        <v>109</v>
      </c>
      <c r="B20" s="3" t="n">
        <v>7.5</v>
      </c>
    </row>
    <row r="21" customFormat="false" ht="15" hidden="false" customHeight="false" outlineLevel="0" collapsed="false">
      <c r="A21" s="0" t="s">
        <v>110</v>
      </c>
      <c r="B21" s="3" t="n">
        <v>2</v>
      </c>
    </row>
    <row r="22" customFormat="false" ht="15" hidden="false" customHeight="false" outlineLevel="0" collapsed="false">
      <c r="A22" s="0" t="s">
        <v>111</v>
      </c>
      <c r="B22" s="3" t="n">
        <v>16</v>
      </c>
    </row>
    <row r="23" customFormat="false" ht="15" hidden="false" customHeight="false" outlineLevel="0" collapsed="false">
      <c r="A23" s="0" t="s">
        <v>112</v>
      </c>
      <c r="B23" s="3" t="n">
        <v>0</v>
      </c>
    </row>
    <row r="24" customFormat="false" ht="15" hidden="false" customHeight="false" outlineLevel="0" collapsed="false">
      <c r="A24" s="0" t="s">
        <v>113</v>
      </c>
      <c r="B24" s="3" t="n">
        <v>0.2</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6</v>
      </c>
      <c r="D27" s="3" t="n">
        <v>6</v>
      </c>
      <c r="E27" s="3" t="n">
        <v>6</v>
      </c>
      <c r="F27" s="3" t="n">
        <v>5</v>
      </c>
      <c r="G27" s="3" t="n">
        <v>4.5</v>
      </c>
      <c r="H27" s="3" t="n">
        <v>4</v>
      </c>
      <c r="I27" s="3" t="n">
        <v>3.5</v>
      </c>
      <c r="J27" s="3" t="n">
        <v>3</v>
      </c>
      <c r="K27" s="3" t="n">
        <v>3</v>
      </c>
      <c r="L27" s="3" t="n">
        <v>2.5</v>
      </c>
    </row>
    <row r="28" customFormat="false" ht="15" hidden="false" customHeight="false" outlineLevel="0" collapsed="false">
      <c r="A28" s="0" t="s">
        <v>103</v>
      </c>
      <c r="C28" s="3" t="n">
        <v>16.07</v>
      </c>
      <c r="D28" s="3" t="n">
        <v>16.52</v>
      </c>
      <c r="E28" s="3" t="n">
        <v>16.97</v>
      </c>
      <c r="F28" s="3" t="n">
        <v>17.22</v>
      </c>
      <c r="G28" s="3" t="n">
        <v>17.37</v>
      </c>
      <c r="H28" s="3" t="n">
        <v>17.47</v>
      </c>
      <c r="I28" s="3" t="n">
        <v>17.57</v>
      </c>
      <c r="J28" s="3" t="n">
        <v>17.57</v>
      </c>
      <c r="K28" s="3" t="n">
        <v>17.57</v>
      </c>
      <c r="L28" s="3" t="n">
        <v>17.57</v>
      </c>
    </row>
    <row r="29" customFormat="false" ht="15" hidden="false" customHeight="false" outlineLevel="0" collapsed="false">
      <c r="A29" s="0" t="s">
        <v>104</v>
      </c>
      <c r="C29" s="3" t="n">
        <v>0.17</v>
      </c>
      <c r="D29" s="3" t="n">
        <v>0.17</v>
      </c>
      <c r="E29" s="3" t="n">
        <v>0.17</v>
      </c>
      <c r="F29" s="3" t="n">
        <v>0.17</v>
      </c>
      <c r="G29" s="3" t="n">
        <v>0.17</v>
      </c>
      <c r="H29" s="3" t="n">
        <v>0.17</v>
      </c>
      <c r="I29" s="3" t="n">
        <v>0.17</v>
      </c>
      <c r="J29" s="3" t="n">
        <v>0.17</v>
      </c>
      <c r="K29" s="3" t="n">
        <v>0.17</v>
      </c>
      <c r="L29" s="3" t="n">
        <v>0.17</v>
      </c>
    </row>
    <row r="30" customFormat="false" ht="15" hidden="false" customHeight="false" outlineLevel="0" collapsed="false">
      <c r="A30" s="0" t="s">
        <v>105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106</v>
      </c>
      <c r="C31" s="3" t="n">
        <v>3.2</v>
      </c>
      <c r="D31" s="3" t="n">
        <v>3.25</v>
      </c>
      <c r="E31" s="3" t="n">
        <v>3.3</v>
      </c>
      <c r="F31" s="3" t="n">
        <v>3.35</v>
      </c>
      <c r="G31" s="3" t="n">
        <v>3.4</v>
      </c>
      <c r="H31" s="3" t="n">
        <v>3.4</v>
      </c>
      <c r="I31" s="3" t="n">
        <v>3.4</v>
      </c>
      <c r="J31" s="3" t="n">
        <v>3.4</v>
      </c>
      <c r="K31" s="3" t="n">
        <v>3.4</v>
      </c>
      <c r="L31" s="3" t="n">
        <v>3.4</v>
      </c>
    </row>
    <row r="32" customFormat="false" ht="15" hidden="false" customHeight="false" outlineLevel="0" collapsed="false">
      <c r="A32" s="0" t="s">
        <v>107</v>
      </c>
      <c r="C32" s="3" t="n">
        <v>4.6</v>
      </c>
      <c r="D32" s="3" t="n">
        <v>4.6</v>
      </c>
      <c r="E32" s="3" t="n">
        <v>4.5</v>
      </c>
      <c r="F32" s="3" t="n">
        <v>4.4</v>
      </c>
      <c r="G32" s="3" t="n">
        <v>4.3</v>
      </c>
      <c r="H32" s="3" t="n">
        <v>4.2</v>
      </c>
      <c r="I32" s="3" t="n">
        <v>4.1</v>
      </c>
      <c r="J32" s="3" t="n">
        <v>4</v>
      </c>
      <c r="K32" s="3" t="n">
        <v>4</v>
      </c>
      <c r="L32" s="3" t="n">
        <v>4</v>
      </c>
    </row>
    <row r="33" customFormat="false" ht="15" hidden="false" customHeight="false" outlineLevel="0" collapsed="false">
      <c r="A33" s="0" t="s">
        <v>108</v>
      </c>
      <c r="C33" s="3" t="n">
        <v>22</v>
      </c>
      <c r="D33" s="3" t="n">
        <v>20</v>
      </c>
      <c r="E33" s="3" t="n">
        <v>19.5</v>
      </c>
      <c r="F33" s="3" t="n">
        <v>19.5</v>
      </c>
      <c r="G33" s="3" t="n">
        <v>19.5</v>
      </c>
      <c r="H33" s="3" t="n">
        <v>19.5</v>
      </c>
      <c r="I33" s="3" t="n">
        <v>19.5</v>
      </c>
      <c r="J33" s="3" t="n">
        <v>19.5</v>
      </c>
      <c r="K33" s="3" t="n">
        <v>19.5</v>
      </c>
      <c r="L33" s="3" t="n">
        <v>19.5</v>
      </c>
    </row>
    <row r="34" customFormat="false" ht="15" hidden="false" customHeight="false" outlineLevel="0" collapsed="false">
      <c r="A34" s="0" t="s">
        <v>109</v>
      </c>
      <c r="B34" s="3" t="n">
        <v>7.5</v>
      </c>
    </row>
    <row r="35" customFormat="false" ht="15" hidden="false" customHeight="false" outlineLevel="0" collapsed="false">
      <c r="A35" s="0" t="s">
        <v>110</v>
      </c>
      <c r="B35" s="3" t="n">
        <v>2.5</v>
      </c>
    </row>
    <row r="36" customFormat="false" ht="15" hidden="false" customHeight="false" outlineLevel="0" collapsed="false">
      <c r="A36" s="0" t="s">
        <v>111</v>
      </c>
      <c r="B36" s="3" t="n">
        <v>18</v>
      </c>
    </row>
    <row r="37" customFormat="false" ht="15" hidden="false" customHeight="false" outlineLevel="0" collapsed="false">
      <c r="A37" s="0" t="s">
        <v>112</v>
      </c>
      <c r="B37" s="3" t="n">
        <v>12</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7</v>
      </c>
      <c r="D41" s="3" t="n">
        <v>8</v>
      </c>
      <c r="E41" s="3" t="n">
        <v>8</v>
      </c>
      <c r="F41" s="3" t="n">
        <v>7</v>
      </c>
      <c r="G41" s="3" t="n">
        <v>6</v>
      </c>
      <c r="H41" s="3" t="n">
        <v>5</v>
      </c>
      <c r="I41" s="3" t="n">
        <v>4.5</v>
      </c>
      <c r="J41" s="3" t="n">
        <v>4</v>
      </c>
      <c r="K41" s="3" t="n">
        <v>3.5</v>
      </c>
      <c r="L41" s="3" t="n">
        <v>3</v>
      </c>
    </row>
    <row r="42" customFormat="false" ht="15" hidden="false" customHeight="false" outlineLevel="0" collapsed="false">
      <c r="A42" s="0" t="s">
        <v>103</v>
      </c>
      <c r="C42" s="3" t="n">
        <v>16.17</v>
      </c>
      <c r="D42" s="3" t="n">
        <v>16.82</v>
      </c>
      <c r="E42" s="3" t="n">
        <v>17.47</v>
      </c>
      <c r="F42" s="3" t="n">
        <v>17.92</v>
      </c>
      <c r="G42" s="3" t="n">
        <v>18.27</v>
      </c>
      <c r="H42" s="3" t="n">
        <v>18.57</v>
      </c>
      <c r="I42" s="3" t="n">
        <v>18.57</v>
      </c>
      <c r="J42" s="3" t="n">
        <v>18.57</v>
      </c>
      <c r="K42" s="3" t="n">
        <v>18.57</v>
      </c>
      <c r="L42" s="3" t="n">
        <v>18.57</v>
      </c>
    </row>
    <row r="43" customFormat="false" ht="15" hidden="false" customHeight="false" outlineLevel="0" collapsed="false">
      <c r="A43" s="0" t="s">
        <v>104</v>
      </c>
      <c r="C43" s="3" t="n">
        <v>0.17</v>
      </c>
      <c r="D43" s="3" t="n">
        <v>0.17</v>
      </c>
      <c r="E43" s="3" t="n">
        <v>0.17</v>
      </c>
      <c r="F43" s="3" t="n">
        <v>0.17</v>
      </c>
      <c r="G43" s="3" t="n">
        <v>0.17</v>
      </c>
      <c r="H43" s="3" t="n">
        <v>0.17</v>
      </c>
      <c r="I43" s="3" t="n">
        <v>0.17</v>
      </c>
      <c r="J43" s="3" t="n">
        <v>0.17</v>
      </c>
      <c r="K43" s="3" t="n">
        <v>0.17</v>
      </c>
      <c r="L43" s="3" t="n">
        <v>0.17</v>
      </c>
    </row>
    <row r="44" customFormat="false" ht="15" hidden="false" customHeight="false" outlineLevel="0" collapsed="false">
      <c r="A44" s="0" t="s">
        <v>105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106</v>
      </c>
      <c r="C45" s="3" t="n">
        <v>3.2</v>
      </c>
      <c r="D45" s="3" t="n">
        <v>3.25</v>
      </c>
      <c r="E45" s="3" t="n">
        <v>3.3</v>
      </c>
      <c r="F45" s="3" t="n">
        <v>3.35</v>
      </c>
      <c r="G45" s="3" t="n">
        <v>3.4</v>
      </c>
      <c r="H45" s="3" t="n">
        <v>3.4</v>
      </c>
      <c r="I45" s="3" t="n">
        <v>3.4</v>
      </c>
      <c r="J45" s="3" t="n">
        <v>3.4</v>
      </c>
      <c r="K45" s="3" t="n">
        <v>3.4</v>
      </c>
      <c r="L45" s="3" t="n">
        <v>3.4</v>
      </c>
    </row>
    <row r="46" customFormat="false" ht="15" hidden="false" customHeight="false" outlineLevel="0" collapsed="false">
      <c r="A46" s="0" t="s">
        <v>107</v>
      </c>
      <c r="C46" s="3" t="n">
        <v>4.6</v>
      </c>
      <c r="D46" s="3" t="n">
        <v>4.6</v>
      </c>
      <c r="E46" s="3" t="n">
        <v>4.5</v>
      </c>
      <c r="F46" s="3" t="n">
        <v>4.4</v>
      </c>
      <c r="G46" s="3" t="n">
        <v>4.3</v>
      </c>
      <c r="H46" s="3" t="n">
        <v>4.2</v>
      </c>
      <c r="I46" s="3" t="n">
        <v>4.1</v>
      </c>
      <c r="J46" s="3" t="n">
        <v>4</v>
      </c>
      <c r="K46" s="3" t="n">
        <v>4</v>
      </c>
      <c r="L46" s="3" t="n">
        <v>4</v>
      </c>
    </row>
    <row r="47" customFormat="false" ht="15" hidden="false" customHeight="false" outlineLevel="0" collapsed="false">
      <c r="A47" s="0" t="s">
        <v>108</v>
      </c>
      <c r="C47" s="3" t="n">
        <v>22</v>
      </c>
      <c r="D47" s="3" t="n">
        <v>19.5</v>
      </c>
      <c r="E47" s="3" t="n">
        <v>19</v>
      </c>
      <c r="F47" s="3" t="n">
        <v>19</v>
      </c>
      <c r="G47" s="3" t="n">
        <v>19</v>
      </c>
      <c r="H47" s="3" t="n">
        <v>19</v>
      </c>
      <c r="I47" s="3" t="n">
        <v>19</v>
      </c>
      <c r="J47" s="3" t="n">
        <v>19</v>
      </c>
      <c r="K47" s="3" t="n">
        <v>19</v>
      </c>
      <c r="L47" s="3" t="n">
        <v>19</v>
      </c>
    </row>
    <row r="48" customFormat="false" ht="15" hidden="false" customHeight="false" outlineLevel="0" collapsed="false">
      <c r="A48" s="0" t="s">
        <v>109</v>
      </c>
      <c r="B48" s="3" t="n">
        <v>7.5</v>
      </c>
    </row>
    <row r="49" customFormat="false" ht="15" hidden="false" customHeight="false" outlineLevel="0" collapsed="false">
      <c r="A49" s="0" t="s">
        <v>110</v>
      </c>
      <c r="B49" s="3" t="n">
        <v>3</v>
      </c>
    </row>
    <row r="50" customFormat="false" ht="15" hidden="false" customHeight="false" outlineLevel="0" collapsed="false">
      <c r="A50" s="0" t="s">
        <v>111</v>
      </c>
      <c r="B50" s="3" t="n">
        <v>20</v>
      </c>
    </row>
    <row r="51" customFormat="false" ht="15" hidden="false" customHeight="false" outlineLevel="0" collapsed="false">
      <c r="A51" s="0" t="s">
        <v>112</v>
      </c>
      <c r="B51" s="3" t="n">
        <v>15</v>
      </c>
    </row>
    <row r="52" customFormat="false" ht="15" hidden="false" customHeight="false" outlineLevel="0" collapsed="false">
      <c r="A52" s="0" t="s">
        <v>113</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5</v>
      </c>
      <c r="D5" s="4" t="n">
        <f aca="false">Assumptions!D13</f>
        <v>4</v>
      </c>
      <c r="E5" s="4" t="n">
        <f aca="false">Assumptions!E13</f>
        <v>3</v>
      </c>
      <c r="F5" s="4" t="n">
        <f aca="false">Assumptions!F13</f>
        <v>2.5</v>
      </c>
      <c r="G5" s="4" t="n">
        <f aca="false">Assumptions!G13</f>
        <v>2.5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22136.4</v>
      </c>
      <c r="C6" s="0" t="n">
        <f aca="false">B6*(1+C5/100)</f>
        <v>23243.22</v>
      </c>
      <c r="D6" s="0" t="n">
        <f aca="false">C6*(1+D5/100)</f>
        <v>24172.9488</v>
      </c>
      <c r="E6" s="0" t="n">
        <f aca="false">D6*(1+E5/100)</f>
        <v>24898.137264</v>
      </c>
      <c r="F6" s="0" t="n">
        <f aca="false">E6*(1+F5/100)</f>
        <v>25520.5906956</v>
      </c>
      <c r="G6" s="0" t="n">
        <f aca="false">F6*(1+G5/100)</f>
        <v>26158.60546299</v>
      </c>
      <c r="H6" s="0" t="n">
        <f aca="false">G6*(1+H5/100)</f>
        <v>26681.7775722498</v>
      </c>
      <c r="I6" s="0" t="n">
        <f aca="false">H6*(1+I5/100)</f>
        <v>27215.4131236948</v>
      </c>
      <c r="J6" s="0" t="n">
        <f aca="false">I6*(1+J5/100)</f>
        <v>27759.7213861687</v>
      </c>
      <c r="K6" s="0" t="n">
        <f aca="false">J6*(1+K5/100)</f>
        <v>28314.9158138921</v>
      </c>
      <c r="L6" s="0" t="n">
        <f aca="false">K6*(1+L5/100)</f>
        <v>28881.2141301699</v>
      </c>
    </row>
    <row r="7" customFormat="false" ht="15" hidden="false" customHeight="false" outlineLevel="0" collapsed="false">
      <c r="A7" s="0" t="s">
        <v>103</v>
      </c>
      <c r="C7" s="4" t="n">
        <f aca="false">Assumptions!C14</f>
        <v>15.77</v>
      </c>
      <c r="D7" s="4" t="n">
        <f aca="false">Assumptions!D14</f>
        <v>15.77</v>
      </c>
      <c r="E7" s="4" t="n">
        <f aca="false">Assumptions!E14</f>
        <v>15.97</v>
      </c>
      <c r="F7" s="4" t="n">
        <f aca="false">Assumptions!F14</f>
        <v>16.07</v>
      </c>
      <c r="G7" s="4" t="n">
        <f aca="false">Assumptions!G14</f>
        <v>16.07</v>
      </c>
      <c r="H7" s="4" t="n">
        <f aca="false">Assumptions!H14</f>
        <v>16.07</v>
      </c>
      <c r="I7" s="4" t="n">
        <f aca="false">Assumptions!I14</f>
        <v>16.07</v>
      </c>
      <c r="J7" s="4" t="n">
        <f aca="false">Assumptions!J14</f>
        <v>16.07</v>
      </c>
      <c r="K7" s="4" t="n">
        <f aca="false">Assumptions!K14</f>
        <v>16.07</v>
      </c>
      <c r="L7" s="4" t="n">
        <f aca="false">Assumptions!L14</f>
        <v>16.07</v>
      </c>
    </row>
    <row r="8" customFormat="false" ht="15" hidden="false" customHeight="false" outlineLevel="0" collapsed="false">
      <c r="A8" s="0" t="s">
        <v>43</v>
      </c>
      <c r="C8" s="0" t="n">
        <f aca="false">C6*C7/100</f>
        <v>3665.455794</v>
      </c>
      <c r="D8" s="0" t="n">
        <f aca="false">D6*D7/100</f>
        <v>3812.07402576</v>
      </c>
      <c r="E8" s="0" t="n">
        <f aca="false">E6*E7/100</f>
        <v>3976.2325210608</v>
      </c>
      <c r="F8" s="0" t="n">
        <f aca="false">F6*F7/100</f>
        <v>4101.15892478292</v>
      </c>
      <c r="G8" s="0" t="n">
        <f aca="false">G6*G7/100</f>
        <v>4203.68789790249</v>
      </c>
      <c r="H8" s="0" t="n">
        <f aca="false">H6*H7/100</f>
        <v>4287.76165586054</v>
      </c>
      <c r="I8" s="0" t="n">
        <f aca="false">I6*I7/100</f>
        <v>4373.51688897775</v>
      </c>
      <c r="J8" s="0" t="n">
        <f aca="false">J6*J7/100</f>
        <v>4460.98722675731</v>
      </c>
      <c r="K8" s="0" t="n">
        <f aca="false">K6*K7/100</f>
        <v>4550.20697129246</v>
      </c>
      <c r="L8" s="0" t="n">
        <f aca="false">L6*L7/100</f>
        <v>4641.21111071831</v>
      </c>
    </row>
    <row r="9" customFormat="false" ht="15" hidden="false" customHeight="false" outlineLevel="0" collapsed="false">
      <c r="A9" s="0" t="s">
        <v>104</v>
      </c>
      <c r="C9" s="4" t="n">
        <f aca="false">Assumptions!C15</f>
        <v>0.17</v>
      </c>
      <c r="D9" s="4" t="n">
        <f aca="false">Assumptions!D15</f>
        <v>0.17</v>
      </c>
      <c r="E9" s="4" t="n">
        <f aca="false">Assumptions!E15</f>
        <v>0.17</v>
      </c>
      <c r="F9" s="4" t="n">
        <f aca="false">Assumptions!F15</f>
        <v>0.17</v>
      </c>
      <c r="G9" s="4" t="n">
        <f aca="false">Assumptions!G15</f>
        <v>0.17</v>
      </c>
      <c r="H9" s="4" t="n">
        <f aca="false">Assumptions!H15</f>
        <v>0.17</v>
      </c>
      <c r="I9" s="4" t="n">
        <f aca="false">Assumptions!I15</f>
        <v>0.17</v>
      </c>
      <c r="J9" s="4" t="n">
        <f aca="false">Assumptions!J15</f>
        <v>0.17</v>
      </c>
      <c r="K9" s="4" t="n">
        <f aca="false">Assumptions!K15</f>
        <v>0.17</v>
      </c>
      <c r="L9" s="4" t="n">
        <f aca="false">Assumptions!L15</f>
        <v>0.17</v>
      </c>
    </row>
    <row r="10" customFormat="false" ht="15" hidden="false" customHeight="false" outlineLevel="0" collapsed="false">
      <c r="A10" s="0" t="s">
        <v>119</v>
      </c>
      <c r="C10" s="0" t="n">
        <f aca="false">-C6*C9/100</f>
        <v>-39.513474</v>
      </c>
      <c r="D10" s="0" t="n">
        <f aca="false">-D6*D9/100</f>
        <v>-41.09401296</v>
      </c>
      <c r="E10" s="0" t="n">
        <f aca="false">-E6*E9/100</f>
        <v>-42.3268333488</v>
      </c>
      <c r="F10" s="0" t="n">
        <f aca="false">-F6*F9/100</f>
        <v>-43.38500418252</v>
      </c>
      <c r="G10" s="0" t="n">
        <f aca="false">-G6*G9/100</f>
        <v>-44.469629287083</v>
      </c>
      <c r="H10" s="0" t="n">
        <f aca="false">-H6*H9/100</f>
        <v>-45.3590218728247</v>
      </c>
      <c r="I10" s="0" t="n">
        <f aca="false">-I6*I9/100</f>
        <v>-46.2662023102812</v>
      </c>
      <c r="J10" s="0" t="n">
        <f aca="false">-J6*J9/100</f>
        <v>-47.1915263564868</v>
      </c>
      <c r="K10" s="0" t="n">
        <f aca="false">-K6*K9/100</f>
        <v>-48.1353568836165</v>
      </c>
      <c r="L10" s="0" t="n">
        <f aca="false">-L6*L9/100</f>
        <v>-49.0980640212889</v>
      </c>
    </row>
    <row r="11" customFormat="false" ht="15" hidden="false" customHeight="false" outlineLevel="0" collapsed="false">
      <c r="A11" s="0" t="s">
        <v>120</v>
      </c>
      <c r="C11" s="0" t="n">
        <f aca="false">C8+C10+C24</f>
        <v>3625.94232</v>
      </c>
      <c r="D11" s="0" t="n">
        <f aca="false">D8+D10+D24</f>
        <v>3770.9800128</v>
      </c>
      <c r="E11" s="0" t="n">
        <f aca="false">E8+E10+E24</f>
        <v>3933.905687712</v>
      </c>
      <c r="F11" s="0" t="n">
        <f aca="false">F8+F10+F24</f>
        <v>4057.7739206004</v>
      </c>
      <c r="G11" s="0" t="n">
        <f aca="false">G8+G10+G24</f>
        <v>4159.21826861541</v>
      </c>
      <c r="H11" s="0" t="n">
        <f aca="false">H8+H10+H24</f>
        <v>4242.40263398772</v>
      </c>
      <c r="I11" s="0" t="n">
        <f aca="false">I8+I10+I24</f>
        <v>4327.25068666747</v>
      </c>
      <c r="J11" s="0" t="n">
        <f aca="false">J8+J10+J24</f>
        <v>4413.79570040082</v>
      </c>
      <c r="K11" s="0" t="n">
        <f aca="false">K8+K10+K24</f>
        <v>4502.07161440884</v>
      </c>
      <c r="L11" s="0" t="n">
        <f aca="false">L8+L10+L24</f>
        <v>4592.11304669702</v>
      </c>
    </row>
    <row r="12" customFormat="false" ht="15" hidden="false" customHeight="false" outlineLevel="0" collapsed="false">
      <c r="A12" s="0" t="s">
        <v>121</v>
      </c>
      <c r="C12" s="4" t="n">
        <f aca="false">-C6*Assumptions!C17/100</f>
        <v>-743.78304</v>
      </c>
      <c r="D12" s="4" t="n">
        <f aca="false">-D6*Assumptions!D17/100</f>
        <v>-797.7073104</v>
      </c>
      <c r="E12" s="4" t="n">
        <f aca="false">-E6*Assumptions!E17/100</f>
        <v>-846.536666976</v>
      </c>
      <c r="F12" s="4" t="n">
        <f aca="false">-F6*Assumptions!F17/100</f>
        <v>-867.7000836504</v>
      </c>
      <c r="G12" s="4" t="n">
        <f aca="false">-G6*Assumptions!G17/100</f>
        <v>-889.39258574166</v>
      </c>
      <c r="H12" s="4" t="n">
        <f aca="false">-H6*Assumptions!H17/100</f>
        <v>-907.180437456493</v>
      </c>
      <c r="I12" s="4" t="n">
        <f aca="false">-I6*Assumptions!I17/100</f>
        <v>-925.324046205623</v>
      </c>
      <c r="J12" s="4" t="n">
        <f aca="false">-J6*Assumptions!J17/100</f>
        <v>-943.830527129736</v>
      </c>
      <c r="K12" s="4" t="n">
        <f aca="false">-K6*Assumptions!K17/100</f>
        <v>-962.70713767233</v>
      </c>
      <c r="L12" s="4" t="n">
        <f aca="false">-L6*Assumptions!L17/100</f>
        <v>-981.961280425777</v>
      </c>
    </row>
    <row r="13" customFormat="false" ht="15" hidden="false" customHeight="false" outlineLevel="0" collapsed="false">
      <c r="A13" s="0" t="s">
        <v>122</v>
      </c>
      <c r="C13" s="0" t="n">
        <f aca="false">C11+C12</f>
        <v>2882.15928</v>
      </c>
      <c r="D13" s="0" t="n">
        <f aca="false">D11+D12</f>
        <v>2973.2727024</v>
      </c>
      <c r="E13" s="0" t="n">
        <f aca="false">E11+E12</f>
        <v>3087.369020736</v>
      </c>
      <c r="F13" s="0" t="n">
        <f aca="false">F11+F12</f>
        <v>3190.07383695</v>
      </c>
      <c r="G13" s="0" t="n">
        <f aca="false">G11+G12</f>
        <v>3269.82568287375</v>
      </c>
      <c r="H13" s="0" t="n">
        <f aca="false">H11+H12</f>
        <v>3335.22219653123</v>
      </c>
      <c r="I13" s="0" t="n">
        <f aca="false">I11+I12</f>
        <v>3401.92664046185</v>
      </c>
      <c r="J13" s="0" t="n">
        <f aca="false">J11+J12</f>
        <v>3469.96517327109</v>
      </c>
      <c r="K13" s="0" t="n">
        <f aca="false">K11+K12</f>
        <v>3539.36447673651</v>
      </c>
      <c r="L13" s="0" t="n">
        <f aca="false">L11+L12</f>
        <v>3610.15176627124</v>
      </c>
    </row>
    <row r="14" customFormat="false" ht="15" hidden="false" customHeight="false" outlineLevel="0" collapsed="false">
      <c r="A14" s="0" t="s">
        <v>108</v>
      </c>
      <c r="C14" s="4" t="n">
        <f aca="false">Assumptions!C19</f>
        <v>23</v>
      </c>
      <c r="D14" s="4" t="n">
        <f aca="false">Assumptions!D19</f>
        <v>22</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123</v>
      </c>
      <c r="C15" s="0" t="n">
        <f aca="false">C13-MAX(0,C13)*C14/100</f>
        <v>2219.2626456</v>
      </c>
      <c r="D15" s="0" t="n">
        <f aca="false">D13-MAX(0,D13)*D14/100</f>
        <v>2319.152707872</v>
      </c>
      <c r="E15" s="0" t="n">
        <f aca="false">E13-MAX(0,E13)*E14/100</f>
        <v>2439.02152638144</v>
      </c>
      <c r="F15" s="0" t="n">
        <f aca="false">F13-MAX(0,F13)*F14/100</f>
        <v>2520.1583311905</v>
      </c>
      <c r="G15" s="0" t="n">
        <f aca="false">G13-MAX(0,G13)*G14/100</f>
        <v>2583.16228947026</v>
      </c>
      <c r="H15" s="0" t="n">
        <f aca="false">H13-MAX(0,H13)*H14/100</f>
        <v>2634.82553525967</v>
      </c>
      <c r="I15" s="0" t="n">
        <f aca="false">I13-MAX(0,I13)*I14/100</f>
        <v>2687.52204596486</v>
      </c>
      <c r="J15" s="0" t="n">
        <f aca="false">J13-MAX(0,J13)*J14/100</f>
        <v>2741.27248688416</v>
      </c>
      <c r="K15" s="0" t="n">
        <f aca="false">K13-MAX(0,K13)*K14/100</f>
        <v>2796.09793662184</v>
      </c>
      <c r="L15" s="0" t="n">
        <f aca="false">L13-MAX(0,L13)*L14/100</f>
        <v>2852.01989535428</v>
      </c>
    </row>
    <row r="16" customFormat="false" ht="15" hidden="false" customHeight="false" outlineLevel="0" collapsed="false">
      <c r="A16" s="0" t="s">
        <v>124</v>
      </c>
      <c r="C16" s="0" t="n">
        <f aca="false">-C12</f>
        <v>743.78304</v>
      </c>
      <c r="D16" s="0" t="n">
        <f aca="false">-D12</f>
        <v>797.7073104</v>
      </c>
      <c r="E16" s="0" t="n">
        <f aca="false">-E12</f>
        <v>846.536666976</v>
      </c>
      <c r="F16" s="0" t="n">
        <f aca="false">-F12</f>
        <v>867.7000836504</v>
      </c>
      <c r="G16" s="0" t="n">
        <f aca="false">-G12</f>
        <v>889.39258574166</v>
      </c>
      <c r="H16" s="0" t="n">
        <f aca="false">-H12</f>
        <v>907.180437456493</v>
      </c>
      <c r="I16" s="0" t="n">
        <f aca="false">-I12</f>
        <v>925.324046205623</v>
      </c>
      <c r="J16" s="0" t="n">
        <f aca="false">-J12</f>
        <v>943.830527129736</v>
      </c>
      <c r="K16" s="0" t="n">
        <f aca="false">-K12</f>
        <v>962.70713767233</v>
      </c>
      <c r="L16" s="0" t="n">
        <f aca="false">-L12</f>
        <v>981.961280425777</v>
      </c>
    </row>
    <row r="17" customFormat="false" ht="15" hidden="false" customHeight="false" outlineLevel="0" collapsed="false">
      <c r="A17" s="0" t="s">
        <v>125</v>
      </c>
      <c r="C17" s="4" t="n">
        <f aca="false">-C6*Assumptions!C18/100</f>
        <v>-1069.18812</v>
      </c>
      <c r="D17" s="4" t="n">
        <f aca="false">-D6*Assumptions!D18/100</f>
        <v>-1111.9556448</v>
      </c>
      <c r="E17" s="4" t="n">
        <f aca="false">-E6*Assumptions!E18/100</f>
        <v>-1120.41617688</v>
      </c>
      <c r="F17" s="4" t="n">
        <f aca="false">-F6*Assumptions!F18/100</f>
        <v>-1122.9059906064</v>
      </c>
      <c r="G17" s="4" t="n">
        <f aca="false">-G6*Assumptions!G18/100</f>
        <v>-1124.82003490857</v>
      </c>
      <c r="H17" s="4" t="n">
        <f aca="false">-H6*Assumptions!H18/100</f>
        <v>-1120.63465803449</v>
      </c>
      <c r="I17" s="4" t="n">
        <f aca="false">-I6*Assumptions!I18/100</f>
        <v>-1115.83193807149</v>
      </c>
      <c r="J17" s="4" t="n">
        <f aca="false">-J6*Assumptions!J18/100</f>
        <v>-1110.38885544675</v>
      </c>
      <c r="K17" s="4" t="n">
        <f aca="false">-K6*Assumptions!K18/100</f>
        <v>-1132.59663255568</v>
      </c>
      <c r="L17" s="4" t="n">
        <f aca="false">-L6*Assumptions!L18/100</f>
        <v>-1155.2485652068</v>
      </c>
    </row>
    <row r="18" customFormat="false" ht="15" hidden="false" customHeight="false" outlineLevel="0" collapsed="false">
      <c r="A18" s="0" t="s">
        <v>126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127</v>
      </c>
      <c r="C19" s="0" t="n">
        <f aca="false">C15+C16+C17+C18</f>
        <v>1893.8575656</v>
      </c>
      <c r="D19" s="0" t="n">
        <f aca="false">D15+D16+D17+D18</f>
        <v>2004.904373472</v>
      </c>
      <c r="E19" s="0" t="n">
        <f aca="false">E15+E16+E17+E18</f>
        <v>2165.14201647744</v>
      </c>
      <c r="F19" s="0" t="n">
        <f aca="false">F15+F16+F17+F18</f>
        <v>2264.9524242345</v>
      </c>
      <c r="G19" s="0" t="n">
        <f aca="false">G15+G16+G17+G18</f>
        <v>2347.73484030335</v>
      </c>
      <c r="H19" s="0" t="n">
        <f aca="false">H15+H16+H17+H18</f>
        <v>2421.37131468167</v>
      </c>
      <c r="I19" s="0" t="n">
        <f aca="false">I15+I16+I17+I18</f>
        <v>2497.014154099</v>
      </c>
      <c r="J19" s="0" t="n">
        <f aca="false">J15+J16+J17+J18</f>
        <v>2574.71415856715</v>
      </c>
      <c r="K19" s="0" t="n">
        <f aca="false">K15+K16+K17+K18</f>
        <v>2626.20844173849</v>
      </c>
      <c r="L19" s="0" t="n">
        <f aca="false">L15+L16+L17+L18</f>
        <v>2678.73261057326</v>
      </c>
    </row>
    <row r="20" customFormat="false" ht="15" hidden="false" customHeight="false" outlineLevel="0" collapsed="false">
      <c r="A20" s="0" t="s">
        <v>128</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129</v>
      </c>
      <c r="C21" s="0" t="n">
        <f aca="false">C19*C20</f>
        <v>1761.727968</v>
      </c>
      <c r="D21" s="0" t="n">
        <f aca="false">D19*D20</f>
        <v>1734.90913875349</v>
      </c>
      <c r="E21" s="0" t="n">
        <f aca="false">E19*E20</f>
        <v>1742.85395065285</v>
      </c>
      <c r="F21" s="0" t="n">
        <f aca="false">F19*F20</f>
        <v>1695.99757518508</v>
      </c>
      <c r="G21" s="0" t="n">
        <f aca="false">G19*G20</f>
        <v>1635.33496948242</v>
      </c>
      <c r="H21" s="0" t="n">
        <f aca="false">H19*H20</f>
        <v>1568.95543382927</v>
      </c>
      <c r="I21" s="0" t="n">
        <f aca="false">I19*I20</f>
        <v>1505.08751899455</v>
      </c>
      <c r="J21" s="0" t="n">
        <f aca="false">J19*J20</f>
        <v>1443.64797905816</v>
      </c>
      <c r="K21" s="0" t="n">
        <f aca="false">K19*K20</f>
        <v>1369.78691966448</v>
      </c>
      <c r="L21" s="0" t="n">
        <f aca="false">L19*L20</f>
        <v>1299.70479819328</v>
      </c>
    </row>
    <row r="23" customFormat="false" ht="15" hidden="false" customHeight="false" outlineLevel="0" collapsed="false">
      <c r="A23" s="0" t="s">
        <v>105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Assumptions!$B$20</f>
        <v>7.5</v>
      </c>
    </row>
    <row r="28" customFormat="false" ht="15" hidden="false" customHeight="false" outlineLevel="0" collapsed="false">
      <c r="A28" s="0" t="s">
        <v>110</v>
      </c>
      <c r="B28" s="4" t="n">
        <f aca="false">Assumptions!$B$21</f>
        <v>2</v>
      </c>
    </row>
    <row r="29" customFormat="false" ht="15" hidden="false" customHeight="false" outlineLevel="0" collapsed="false">
      <c r="A29" s="0" t="s">
        <v>111</v>
      </c>
      <c r="B29" s="4" t="n">
        <f aca="false">Assumptions!$B$22</f>
        <v>16</v>
      </c>
    </row>
    <row r="30" customFormat="false" ht="15" hidden="false" customHeight="false" outlineLevel="0" collapsed="false">
      <c r="A30" s="0" t="s">
        <v>132</v>
      </c>
      <c r="B30" s="0" t="n">
        <f aca="false">SUM(C21:L21)</f>
        <v>15758.0062518136</v>
      </c>
    </row>
    <row r="31" customFormat="false" ht="15" hidden="false" customHeight="false" outlineLevel="0" collapsed="false">
      <c r="A31" s="0" t="s">
        <v>133</v>
      </c>
      <c r="B31" s="0" t="n">
        <f aca="false">L19</f>
        <v>2678.73261057326</v>
      </c>
    </row>
    <row r="32" customFormat="false" ht="15" hidden="false" customHeight="false" outlineLevel="0" collapsed="false">
      <c r="A32" s="0" t="s">
        <v>134</v>
      </c>
      <c r="B32" s="0" t="n">
        <f aca="false">IF(B27&gt;B28,B31*(1+B28/100)/((B27-B28)/100),B31*B29)</f>
        <v>49678.3138688132</v>
      </c>
    </row>
    <row r="33" customFormat="false" ht="15" hidden="false" customHeight="false" outlineLevel="0" collapsed="false">
      <c r="A33" s="0" t="s">
        <v>135</v>
      </c>
      <c r="B33" s="0" t="n">
        <f aca="false">B31*B29</f>
        <v>42859.7217691721</v>
      </c>
    </row>
    <row r="34" customFormat="false" ht="15" hidden="false" customHeight="false" outlineLevel="0" collapsed="false">
      <c r="A34" s="0" t="s">
        <v>136</v>
      </c>
      <c r="B34" s="0" t="n">
        <f aca="false">MAX(0,MIN(B32,B33))</f>
        <v>42859.7217691721</v>
      </c>
    </row>
    <row r="35" customFormat="false" ht="15" hidden="false" customHeight="false" outlineLevel="0" collapsed="false">
      <c r="A35" s="0" t="s">
        <v>137</v>
      </c>
      <c r="B35" s="0" t="n">
        <f aca="false">B34/(1+B27/100)^L4</f>
        <v>20795.2767710924</v>
      </c>
    </row>
    <row r="36" customFormat="false" ht="15" hidden="false" customHeight="false" outlineLevel="0" collapsed="false">
      <c r="A36" s="0" t="s">
        <v>138</v>
      </c>
      <c r="B36" s="0" t="n">
        <f aca="false">B30+B35</f>
        <v>36553.283022906</v>
      </c>
    </row>
    <row r="37" customFormat="false" ht="15" hidden="false" customHeight="false" outlineLevel="0" collapsed="false">
      <c r="A37" s="0" t="s">
        <v>139</v>
      </c>
      <c r="B37" s="0" t="n">
        <f aca="false">B36+Assumptions!$B$5-Assumptions!$B$4</f>
        <v>33319.883022906</v>
      </c>
    </row>
    <row r="38" customFormat="false" ht="15" hidden="false" customHeight="false" outlineLevel="0" collapsed="false">
      <c r="A38" s="0" t="s">
        <v>140</v>
      </c>
      <c r="B38" s="0" t="n">
        <f aca="false">B37/Assumptions!$B$3*Assumptions!$B$10</f>
        <v>161.433541777645</v>
      </c>
    </row>
    <row r="39" customFormat="false" ht="15" hidden="false" customHeight="false" outlineLevel="0" collapsed="false">
      <c r="A39" s="0" t="s">
        <v>141</v>
      </c>
      <c r="B39" s="4" t="n">
        <f aca="false">B38/Assumptions!$B$2-1</f>
        <v>-0.291958150098047</v>
      </c>
    </row>
    <row r="41" customFormat="false" ht="15" hidden="false" customHeight="false" outlineLevel="0" collapsed="false">
      <c r="A41" s="0" t="s">
        <v>142</v>
      </c>
      <c r="B41" s="0" t="n">
        <f aca="false">SUMPRODUCT(-C10:L10/(1+$B$27/100)^C4:L4)</f>
        <v>302.517724003807</v>
      </c>
    </row>
    <row r="42" customFormat="false" ht="15" hidden="false" customHeight="false" outlineLevel="0" collapsed="false">
      <c r="A42" s="0" t="s">
        <v>143</v>
      </c>
      <c r="B42" s="0" t="n">
        <f aca="false">IF(B27&gt;B28,-L10*(1+B28/100)/((B27-B28)/100),-L10*20)/(1+B27/100)^L4</f>
        <v>441.791349192285</v>
      </c>
    </row>
    <row r="43" customFormat="false" ht="15" hidden="false" customHeight="false" outlineLevel="0" collapsed="false">
      <c r="A43" s="0" t="s">
        <v>144</v>
      </c>
      <c r="B43" s="0" t="n">
        <f aca="false">(B37+B41+B42)/Assumptions!$B$3*Assumptions!$B$10</f>
        <v>165.039690388092</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21017.7481752671</v>
      </c>
    </row>
    <row r="47" customFormat="false" ht="15" hidden="false" customHeight="false" outlineLevel="0" collapsed="false">
      <c r="A47" s="0" t="s">
        <v>146</v>
      </c>
      <c r="B47" s="0" t="n">
        <f aca="false">(SUMPRODUCT(C19:L19/(1+B45/100)^C4:L4)+B46/(1+B45/100)^L4+Assumptions!$B$5-Assumptions!$B$4)/Assumptions!$B$3*Assumptions!$B$10</f>
        <v>64.1784972649864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6</v>
      </c>
      <c r="D5" s="4" t="n">
        <f aca="false">Assumptions!D27</f>
        <v>6</v>
      </c>
      <c r="E5" s="4" t="n">
        <f aca="false">Assumptions!E27</f>
        <v>6</v>
      </c>
      <c r="F5" s="4" t="n">
        <f aca="false">Assumptions!F27</f>
        <v>5</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37</v>
      </c>
      <c r="B6" s="3" t="n">
        <v>22136.4</v>
      </c>
      <c r="C6" s="0" t="n">
        <f aca="false">B6*(1+C5/100)</f>
        <v>23464.584</v>
      </c>
      <c r="D6" s="0" t="n">
        <f aca="false">C6*(1+D5/100)</f>
        <v>24872.45904</v>
      </c>
      <c r="E6" s="0" t="n">
        <f aca="false">D6*(1+E5/100)</f>
        <v>26364.8065824</v>
      </c>
      <c r="F6" s="0" t="n">
        <f aca="false">E6*(1+F5/100)</f>
        <v>27683.04691152</v>
      </c>
      <c r="G6" s="0" t="n">
        <f aca="false">F6*(1+G5/100)</f>
        <v>28928.7840225384</v>
      </c>
      <c r="H6" s="0" t="n">
        <f aca="false">G6*(1+H5/100)</f>
        <v>30085.9353834399</v>
      </c>
      <c r="I6" s="0" t="n">
        <f aca="false">H6*(1+I5/100)</f>
        <v>31138.9431218603</v>
      </c>
      <c r="J6" s="0" t="n">
        <f aca="false">I6*(1+J5/100)</f>
        <v>32073.1114155162</v>
      </c>
      <c r="K6" s="0" t="n">
        <f aca="false">J6*(1+K5/100)</f>
        <v>33035.3047579816</v>
      </c>
      <c r="L6" s="0" t="n">
        <f aca="false">K6*(1+L5/100)</f>
        <v>33861.1873769312</v>
      </c>
    </row>
    <row r="7" customFormat="false" ht="15" hidden="false" customHeight="false" outlineLevel="0" collapsed="false">
      <c r="A7" s="0" t="s">
        <v>103</v>
      </c>
      <c r="C7" s="4" t="n">
        <f aca="false">Assumptions!C28</f>
        <v>16.07</v>
      </c>
      <c r="D7" s="4" t="n">
        <f aca="false">Assumptions!D28</f>
        <v>16.52</v>
      </c>
      <c r="E7" s="4" t="n">
        <f aca="false">Assumptions!E28</f>
        <v>16.97</v>
      </c>
      <c r="F7" s="4" t="n">
        <f aca="false">Assumptions!F28</f>
        <v>17.22</v>
      </c>
      <c r="G7" s="4" t="n">
        <f aca="false">Assumptions!G28</f>
        <v>17.37</v>
      </c>
      <c r="H7" s="4" t="n">
        <f aca="false">Assumptions!H28</f>
        <v>17.47</v>
      </c>
      <c r="I7" s="4" t="n">
        <f aca="false">Assumptions!I28</f>
        <v>17.57</v>
      </c>
      <c r="J7" s="4" t="n">
        <f aca="false">Assumptions!J28</f>
        <v>17.57</v>
      </c>
      <c r="K7" s="4" t="n">
        <f aca="false">Assumptions!K28</f>
        <v>17.57</v>
      </c>
      <c r="L7" s="4" t="n">
        <f aca="false">Assumptions!L28</f>
        <v>17.57</v>
      </c>
    </row>
    <row r="8" customFormat="false" ht="15" hidden="false" customHeight="false" outlineLevel="0" collapsed="false">
      <c r="A8" s="0" t="s">
        <v>43</v>
      </c>
      <c r="C8" s="0" t="n">
        <f aca="false">C6*C7/100</f>
        <v>3770.7586488</v>
      </c>
      <c r="D8" s="0" t="n">
        <f aca="false">D6*D7/100</f>
        <v>4108.930233408</v>
      </c>
      <c r="E8" s="0" t="n">
        <f aca="false">E6*E7/100</f>
        <v>4474.10767703328</v>
      </c>
      <c r="F8" s="0" t="n">
        <f aca="false">F6*F7/100</f>
        <v>4767.02067816375</v>
      </c>
      <c r="G8" s="0" t="n">
        <f aca="false">G6*G7/100</f>
        <v>5024.92978471492</v>
      </c>
      <c r="H8" s="0" t="n">
        <f aca="false">H6*H7/100</f>
        <v>5256.01291148696</v>
      </c>
      <c r="I8" s="0" t="n">
        <f aca="false">I6*I7/100</f>
        <v>5471.11230651086</v>
      </c>
      <c r="J8" s="0" t="n">
        <f aca="false">J6*J7/100</f>
        <v>5635.24567570619</v>
      </c>
      <c r="K8" s="0" t="n">
        <f aca="false">K6*K7/100</f>
        <v>5804.30304597738</v>
      </c>
      <c r="L8" s="0" t="n">
        <f aca="false">L6*L7/100</f>
        <v>5949.41062212681</v>
      </c>
    </row>
    <row r="9" customFormat="false" ht="15" hidden="false" customHeight="false" outlineLevel="0" collapsed="false">
      <c r="A9" s="0" t="s">
        <v>104</v>
      </c>
      <c r="C9" s="4" t="n">
        <f aca="false">Assumptions!C29</f>
        <v>0.17</v>
      </c>
      <c r="D9" s="4" t="n">
        <f aca="false">Assumptions!D29</f>
        <v>0.17</v>
      </c>
      <c r="E9" s="4" t="n">
        <f aca="false">Assumptions!E29</f>
        <v>0.17</v>
      </c>
      <c r="F9" s="4" t="n">
        <f aca="false">Assumptions!F29</f>
        <v>0.17</v>
      </c>
      <c r="G9" s="4" t="n">
        <f aca="false">Assumptions!G29</f>
        <v>0.17</v>
      </c>
      <c r="H9" s="4" t="n">
        <f aca="false">Assumptions!H29</f>
        <v>0.17</v>
      </c>
      <c r="I9" s="4" t="n">
        <f aca="false">Assumptions!I29</f>
        <v>0.17</v>
      </c>
      <c r="J9" s="4" t="n">
        <f aca="false">Assumptions!J29</f>
        <v>0.17</v>
      </c>
      <c r="K9" s="4" t="n">
        <f aca="false">Assumptions!K29</f>
        <v>0.17</v>
      </c>
      <c r="L9" s="4" t="n">
        <f aca="false">Assumptions!L29</f>
        <v>0.17</v>
      </c>
    </row>
    <row r="10" customFormat="false" ht="15" hidden="false" customHeight="false" outlineLevel="0" collapsed="false">
      <c r="A10" s="0" t="s">
        <v>119</v>
      </c>
      <c r="C10" s="0" t="n">
        <f aca="false">-C6*C9/100</f>
        <v>-39.8897928</v>
      </c>
      <c r="D10" s="0" t="n">
        <f aca="false">-D6*D9/100</f>
        <v>-42.283180368</v>
      </c>
      <c r="E10" s="0" t="n">
        <f aca="false">-E6*E9/100</f>
        <v>-44.82017119008</v>
      </c>
      <c r="F10" s="0" t="n">
        <f aca="false">-F6*F9/100</f>
        <v>-47.061179749584</v>
      </c>
      <c r="G10" s="0" t="n">
        <f aca="false">-G6*G9/100</f>
        <v>-49.1789328383153</v>
      </c>
      <c r="H10" s="0" t="n">
        <f aca="false">-H6*H9/100</f>
        <v>-51.1460901518479</v>
      </c>
      <c r="I10" s="0" t="n">
        <f aca="false">-I6*I9/100</f>
        <v>-52.9362033071626</v>
      </c>
      <c r="J10" s="0" t="n">
        <f aca="false">-J6*J9/100</f>
        <v>-54.5242894063775</v>
      </c>
      <c r="K10" s="0" t="n">
        <f aca="false">-K6*K9/100</f>
        <v>-56.1600180885688</v>
      </c>
      <c r="L10" s="0" t="n">
        <f aca="false">-L6*L9/100</f>
        <v>-57.564018540783</v>
      </c>
    </row>
    <row r="11" customFormat="false" ht="15" hidden="false" customHeight="false" outlineLevel="0" collapsed="false">
      <c r="A11" s="0" t="s">
        <v>120</v>
      </c>
      <c r="C11" s="0" t="n">
        <f aca="false">C8+C10+C24</f>
        <v>3730.868856</v>
      </c>
      <c r="D11" s="0" t="n">
        <f aca="false">D8+D10+D24</f>
        <v>4066.64705304</v>
      </c>
      <c r="E11" s="0" t="n">
        <f aca="false">E8+E10+E24</f>
        <v>4429.2875058432</v>
      </c>
      <c r="F11" s="0" t="n">
        <f aca="false">F8+F10+F24</f>
        <v>4719.95949841416</v>
      </c>
      <c r="G11" s="0" t="n">
        <f aca="false">G8+G10+G24</f>
        <v>4975.75085187661</v>
      </c>
      <c r="H11" s="0" t="n">
        <f aca="false">H8+H10+H24</f>
        <v>5204.86682133511</v>
      </c>
      <c r="I11" s="0" t="n">
        <f aca="false">I8+I10+I24</f>
        <v>5418.1761032037</v>
      </c>
      <c r="J11" s="0" t="n">
        <f aca="false">J8+J10+J24</f>
        <v>5580.72138629981</v>
      </c>
      <c r="K11" s="0" t="n">
        <f aca="false">K8+K10+K24</f>
        <v>5748.14302788881</v>
      </c>
      <c r="L11" s="0" t="n">
        <f aca="false">L8+L10+L24</f>
        <v>5891.84660358603</v>
      </c>
    </row>
    <row r="12" customFormat="false" ht="15" hidden="false" customHeight="false" outlineLevel="0" collapsed="false">
      <c r="A12" s="0" t="s">
        <v>121</v>
      </c>
      <c r="C12" s="4" t="n">
        <f aca="false">-C6*Assumptions!C31/100</f>
        <v>-750.866688</v>
      </c>
      <c r="D12" s="4" t="n">
        <f aca="false">-D6*Assumptions!D31/100</f>
        <v>-808.3549188</v>
      </c>
      <c r="E12" s="4" t="n">
        <f aca="false">-E6*Assumptions!E31/100</f>
        <v>-870.0386172192</v>
      </c>
      <c r="F12" s="4" t="n">
        <f aca="false">-F6*Assumptions!F31/100</f>
        <v>-927.38207153592</v>
      </c>
      <c r="G12" s="4" t="n">
        <f aca="false">-G6*Assumptions!G31/100</f>
        <v>-983.578656766306</v>
      </c>
      <c r="H12" s="4" t="n">
        <f aca="false">-H6*Assumptions!H31/100</f>
        <v>-1022.92180303696</v>
      </c>
      <c r="I12" s="4" t="n">
        <f aca="false">-I6*Assumptions!I31/100</f>
        <v>-1058.72406614325</v>
      </c>
      <c r="J12" s="4" t="n">
        <f aca="false">-J6*Assumptions!J31/100</f>
        <v>-1090.48578812755</v>
      </c>
      <c r="K12" s="4" t="n">
        <f aca="false">-K6*Assumptions!K31/100</f>
        <v>-1123.20036177138</v>
      </c>
      <c r="L12" s="4" t="n">
        <f aca="false">-L6*Assumptions!L31/100</f>
        <v>-1151.28037081566</v>
      </c>
    </row>
    <row r="13" customFormat="false" ht="15" hidden="false" customHeight="false" outlineLevel="0" collapsed="false">
      <c r="A13" s="0" t="s">
        <v>122</v>
      </c>
      <c r="C13" s="0" t="n">
        <f aca="false">C11+C12</f>
        <v>2980.002168</v>
      </c>
      <c r="D13" s="0" t="n">
        <f aca="false">D11+D12</f>
        <v>3258.29213424</v>
      </c>
      <c r="E13" s="0" t="n">
        <f aca="false">E11+E12</f>
        <v>3559.248888624</v>
      </c>
      <c r="F13" s="0" t="n">
        <f aca="false">F11+F12</f>
        <v>3792.57742687824</v>
      </c>
      <c r="G13" s="0" t="n">
        <f aca="false">G11+G12</f>
        <v>3992.1721951103</v>
      </c>
      <c r="H13" s="0" t="n">
        <f aca="false">H11+H12</f>
        <v>4181.94501829815</v>
      </c>
      <c r="I13" s="0" t="n">
        <f aca="false">I11+I12</f>
        <v>4359.45203706045</v>
      </c>
      <c r="J13" s="0" t="n">
        <f aca="false">J11+J12</f>
        <v>4490.23559817226</v>
      </c>
      <c r="K13" s="0" t="n">
        <f aca="false">K11+K12</f>
        <v>4624.94266611743</v>
      </c>
      <c r="L13" s="0" t="n">
        <f aca="false">L11+L12</f>
        <v>4740.56623277037</v>
      </c>
    </row>
    <row r="14" customFormat="false" ht="15" hidden="false" customHeight="false" outlineLevel="0" collapsed="false">
      <c r="A14" s="0" t="s">
        <v>108</v>
      </c>
      <c r="C14" s="4" t="n">
        <f aca="false">Assumptions!C33</f>
        <v>22</v>
      </c>
      <c r="D14" s="4" t="n">
        <f aca="false">Assumptions!D33</f>
        <v>20</v>
      </c>
      <c r="E14" s="4" t="n">
        <f aca="false">Assumptions!E33</f>
        <v>19.5</v>
      </c>
      <c r="F14" s="4" t="n">
        <f aca="false">Assumptions!F33</f>
        <v>19.5</v>
      </c>
      <c r="G14" s="4" t="n">
        <f aca="false">Assumptions!G33</f>
        <v>19.5</v>
      </c>
      <c r="H14" s="4" t="n">
        <f aca="false">Assumptions!H33</f>
        <v>19.5</v>
      </c>
      <c r="I14" s="4" t="n">
        <f aca="false">Assumptions!I33</f>
        <v>19.5</v>
      </c>
      <c r="J14" s="4" t="n">
        <f aca="false">Assumptions!J33</f>
        <v>19.5</v>
      </c>
      <c r="K14" s="4" t="n">
        <f aca="false">Assumptions!K33</f>
        <v>19.5</v>
      </c>
      <c r="L14" s="4" t="n">
        <f aca="false">Assumptions!L33</f>
        <v>19.5</v>
      </c>
    </row>
    <row r="15" customFormat="false" ht="15" hidden="false" customHeight="false" outlineLevel="0" collapsed="false">
      <c r="A15" s="0" t="s">
        <v>123</v>
      </c>
      <c r="C15" s="0" t="n">
        <f aca="false">C13-MAX(0,C13)*C14/100</f>
        <v>2324.40169104</v>
      </c>
      <c r="D15" s="0" t="n">
        <f aca="false">D13-MAX(0,D13)*D14/100</f>
        <v>2606.633707392</v>
      </c>
      <c r="E15" s="0" t="n">
        <f aca="false">E13-MAX(0,E13)*E14/100</f>
        <v>2865.19535534232</v>
      </c>
      <c r="F15" s="0" t="n">
        <f aca="false">F13-MAX(0,F13)*F14/100</f>
        <v>3053.02482863698</v>
      </c>
      <c r="G15" s="0" t="n">
        <f aca="false">G13-MAX(0,G13)*G14/100</f>
        <v>3213.69861706379</v>
      </c>
      <c r="H15" s="0" t="n">
        <f aca="false">H13-MAX(0,H13)*H14/100</f>
        <v>3366.46573973001</v>
      </c>
      <c r="I15" s="0" t="n">
        <f aca="false">I13-MAX(0,I13)*I14/100</f>
        <v>3509.35888983366</v>
      </c>
      <c r="J15" s="0" t="n">
        <f aca="false">J13-MAX(0,J13)*J14/100</f>
        <v>3614.63965652867</v>
      </c>
      <c r="K15" s="0" t="n">
        <f aca="false">K13-MAX(0,K13)*K14/100</f>
        <v>3723.07884622453</v>
      </c>
      <c r="L15" s="0" t="n">
        <f aca="false">L13-MAX(0,L13)*L14/100</f>
        <v>3816.15581738014</v>
      </c>
    </row>
    <row r="16" customFormat="false" ht="15" hidden="false" customHeight="false" outlineLevel="0" collapsed="false">
      <c r="A16" s="0" t="s">
        <v>124</v>
      </c>
      <c r="C16" s="0" t="n">
        <f aca="false">-C12</f>
        <v>750.866688</v>
      </c>
      <c r="D16" s="0" t="n">
        <f aca="false">-D12</f>
        <v>808.3549188</v>
      </c>
      <c r="E16" s="0" t="n">
        <f aca="false">-E12</f>
        <v>870.0386172192</v>
      </c>
      <c r="F16" s="0" t="n">
        <f aca="false">-F12</f>
        <v>927.38207153592</v>
      </c>
      <c r="G16" s="0" t="n">
        <f aca="false">-G12</f>
        <v>983.578656766306</v>
      </c>
      <c r="H16" s="0" t="n">
        <f aca="false">-H12</f>
        <v>1022.92180303696</v>
      </c>
      <c r="I16" s="0" t="n">
        <f aca="false">-I12</f>
        <v>1058.72406614325</v>
      </c>
      <c r="J16" s="0" t="n">
        <f aca="false">-J12</f>
        <v>1090.48578812755</v>
      </c>
      <c r="K16" s="0" t="n">
        <f aca="false">-K12</f>
        <v>1123.20036177138</v>
      </c>
      <c r="L16" s="0" t="n">
        <f aca="false">-L12</f>
        <v>1151.28037081566</v>
      </c>
    </row>
    <row r="17" customFormat="false" ht="15" hidden="false" customHeight="false" outlineLevel="0" collapsed="false">
      <c r="A17" s="0" t="s">
        <v>125</v>
      </c>
      <c r="C17" s="4" t="n">
        <f aca="false">-C6*Assumptions!C32/100</f>
        <v>-1079.370864</v>
      </c>
      <c r="D17" s="4" t="n">
        <f aca="false">-D6*Assumptions!D32/100</f>
        <v>-1144.13311584</v>
      </c>
      <c r="E17" s="4" t="n">
        <f aca="false">-E6*Assumptions!E32/100</f>
        <v>-1186.416296208</v>
      </c>
      <c r="F17" s="4" t="n">
        <f aca="false">-F6*Assumptions!F32/100</f>
        <v>-1218.05406410688</v>
      </c>
      <c r="G17" s="4" t="n">
        <f aca="false">-G6*Assumptions!G32/100</f>
        <v>-1243.93771296915</v>
      </c>
      <c r="H17" s="4" t="n">
        <f aca="false">-H6*Assumptions!H32/100</f>
        <v>-1263.60928610448</v>
      </c>
      <c r="I17" s="4" t="n">
        <f aca="false">-I6*Assumptions!I32/100</f>
        <v>-1276.69666799627</v>
      </c>
      <c r="J17" s="4" t="n">
        <f aca="false">-J6*Assumptions!J32/100</f>
        <v>-1282.92445662065</v>
      </c>
      <c r="K17" s="4" t="n">
        <f aca="false">-K6*Assumptions!K32/100</f>
        <v>-1321.41219031927</v>
      </c>
      <c r="L17" s="4" t="n">
        <f aca="false">-L6*Assumptions!L32/100</f>
        <v>-1354.44749507725</v>
      </c>
    </row>
    <row r="18" customFormat="false" ht="15" hidden="false" customHeight="false" outlineLevel="0" collapsed="false">
      <c r="A18" s="0" t="s">
        <v>126</v>
      </c>
      <c r="C18" s="4" t="n">
        <f aca="false">(C6-B6)*Assumptions!$B$37/100</f>
        <v>159.38208</v>
      </c>
      <c r="D18" s="4" t="n">
        <f aca="false">(D6-C6)*Assumptions!$B$37/100</f>
        <v>168.9450048</v>
      </c>
      <c r="E18" s="4" t="n">
        <f aca="false">(E6-D6)*Assumptions!$B$37/100</f>
        <v>179.081705088</v>
      </c>
      <c r="F18" s="4" t="n">
        <f aca="false">(F6-E6)*Assumptions!$B$37/100</f>
        <v>158.1888394944</v>
      </c>
      <c r="G18" s="4" t="n">
        <f aca="false">(G6-F6)*Assumptions!$B$37/100</f>
        <v>149.488453322208</v>
      </c>
      <c r="H18" s="4" t="n">
        <f aca="false">(H6-G6)*Assumptions!$B$37/100</f>
        <v>138.858163308185</v>
      </c>
      <c r="I18" s="4" t="n">
        <f aca="false">(I6-H6)*Assumptions!$B$37/100</f>
        <v>126.360928610447</v>
      </c>
      <c r="J18" s="4" t="n">
        <f aca="false">(J6-I6)*Assumptions!$B$37/100</f>
        <v>112.100195238697</v>
      </c>
      <c r="K18" s="4" t="n">
        <f aca="false">(K6-J6)*Assumptions!$B$37/100</f>
        <v>115.463201095859</v>
      </c>
      <c r="L18" s="4" t="n">
        <f aca="false">(L6-K6)*Assumptions!$B$37/100</f>
        <v>99.1059142739445</v>
      </c>
    </row>
    <row r="19" customFormat="false" ht="15" hidden="false" customHeight="false" outlineLevel="0" collapsed="false">
      <c r="A19" s="0" t="s">
        <v>127</v>
      </c>
      <c r="C19" s="0" t="n">
        <f aca="false">C15+C16+C17+C18</f>
        <v>2155.27959504</v>
      </c>
      <c r="D19" s="0" t="n">
        <f aca="false">D15+D16+D17+D18</f>
        <v>2439.800515152</v>
      </c>
      <c r="E19" s="0" t="n">
        <f aca="false">E15+E16+E17+E18</f>
        <v>2727.89938144152</v>
      </c>
      <c r="F19" s="0" t="n">
        <f aca="false">F15+F16+F17+F18</f>
        <v>2920.54167556042</v>
      </c>
      <c r="G19" s="0" t="n">
        <f aca="false">G15+G16+G17+G18</f>
        <v>3102.82801418315</v>
      </c>
      <c r="H19" s="0" t="n">
        <f aca="false">H15+H16+H17+H18</f>
        <v>3264.63641997068</v>
      </c>
      <c r="I19" s="0" t="n">
        <f aca="false">I15+I16+I17+I18</f>
        <v>3417.74721659109</v>
      </c>
      <c r="J19" s="0" t="n">
        <f aca="false">J15+J16+J17+J18</f>
        <v>3534.30118327427</v>
      </c>
      <c r="K19" s="0" t="n">
        <f aca="false">K15+K16+K17+K18</f>
        <v>3640.3302187725</v>
      </c>
      <c r="L19" s="0" t="n">
        <f aca="false">L15+L16+L17+L18</f>
        <v>3712.0946073925</v>
      </c>
    </row>
    <row r="20" customFormat="false" ht="15" hidden="false" customHeight="false" outlineLevel="0" collapsed="false">
      <c r="A20" s="0" t="s">
        <v>128</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129</v>
      </c>
      <c r="C21" s="0" t="n">
        <f aca="false">C19*C20</f>
        <v>2004.9112512</v>
      </c>
      <c r="D21" s="0" t="n">
        <f aca="false">D19*D20</f>
        <v>2111.23895307907</v>
      </c>
      <c r="E21" s="0" t="n">
        <f aca="false">E19*E20</f>
        <v>2195.85143965006</v>
      </c>
      <c r="F21" s="0" t="n">
        <f aca="false">F19*F20</f>
        <v>2186.90315389363</v>
      </c>
      <c r="G21" s="0" t="n">
        <f aca="false">G19*G20</f>
        <v>2161.30163797705</v>
      </c>
      <c r="H21" s="0" t="n">
        <f aca="false">H19*H20</f>
        <v>2115.35877192107</v>
      </c>
      <c r="I21" s="0" t="n">
        <f aca="false">I19*I20</f>
        <v>2060.06388483038</v>
      </c>
      <c r="J21" s="0" t="n">
        <f aca="false">J19*J20</f>
        <v>1981.69056694675</v>
      </c>
      <c r="K21" s="0" t="n">
        <f aca="false">K19*K20</f>
        <v>1898.73607809782</v>
      </c>
      <c r="L21" s="0" t="n">
        <f aca="false">L19*L20</f>
        <v>1801.08576478745</v>
      </c>
    </row>
    <row r="23" customFormat="false" ht="15" hidden="false" customHeight="false" outlineLevel="0" collapsed="false">
      <c r="A23" s="0" t="s">
        <v>105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Assumptions!$B$34</f>
        <v>7.5</v>
      </c>
    </row>
    <row r="28" customFormat="false" ht="15" hidden="false" customHeight="false" outlineLevel="0" collapsed="false">
      <c r="A28" s="0" t="s">
        <v>110</v>
      </c>
      <c r="B28" s="4" t="n">
        <f aca="false">Assumptions!$B$35</f>
        <v>2.5</v>
      </c>
    </row>
    <row r="29" customFormat="false" ht="15" hidden="false" customHeight="false" outlineLevel="0" collapsed="false">
      <c r="A29" s="0" t="s">
        <v>111</v>
      </c>
      <c r="B29" s="4" t="n">
        <f aca="false">Assumptions!$B$36</f>
        <v>18</v>
      </c>
    </row>
    <row r="30" customFormat="false" ht="15" hidden="false" customHeight="false" outlineLevel="0" collapsed="false">
      <c r="A30" s="0" t="s">
        <v>132</v>
      </c>
      <c r="B30" s="0" t="n">
        <f aca="false">SUM(C21:L21)</f>
        <v>20517.1415023833</v>
      </c>
    </row>
    <row r="31" customFormat="false" ht="15" hidden="false" customHeight="false" outlineLevel="0" collapsed="false">
      <c r="A31" s="0" t="s">
        <v>133</v>
      </c>
      <c r="B31" s="0" t="n">
        <f aca="false">L19</f>
        <v>3712.0946073925</v>
      </c>
    </row>
    <row r="32" customFormat="false" ht="15" hidden="false" customHeight="false" outlineLevel="0" collapsed="false">
      <c r="A32" s="0" t="s">
        <v>134</v>
      </c>
      <c r="B32" s="0" t="n">
        <f aca="false">IF(B27&gt;B28,B31*(1+B28/100)/((B27-B28)/100),B31*B29)</f>
        <v>76097.9394515463</v>
      </c>
    </row>
    <row r="33" customFormat="false" ht="15" hidden="false" customHeight="false" outlineLevel="0" collapsed="false">
      <c r="A33" s="0" t="s">
        <v>135</v>
      </c>
      <c r="B33" s="0" t="n">
        <f aca="false">B31*B29</f>
        <v>66817.702933065</v>
      </c>
    </row>
    <row r="34" customFormat="false" ht="15" hidden="false" customHeight="false" outlineLevel="0" collapsed="false">
      <c r="A34" s="0" t="s">
        <v>136</v>
      </c>
      <c r="B34" s="0" t="n">
        <f aca="false">MAX(0,MIN(B32,B33))</f>
        <v>66817.702933065</v>
      </c>
    </row>
    <row r="35" customFormat="false" ht="15" hidden="false" customHeight="false" outlineLevel="0" collapsed="false">
      <c r="A35" s="0" t="s">
        <v>137</v>
      </c>
      <c r="B35" s="0" t="n">
        <f aca="false">B34/(1+B27/100)^L4</f>
        <v>32419.5437661741</v>
      </c>
    </row>
    <row r="36" customFormat="false" ht="15" hidden="false" customHeight="false" outlineLevel="0" collapsed="false">
      <c r="A36" s="0" t="s">
        <v>138</v>
      </c>
      <c r="B36" s="0" t="n">
        <f aca="false">B30+B35</f>
        <v>52936.6852685574</v>
      </c>
    </row>
    <row r="37" customFormat="false" ht="15" hidden="false" customHeight="false" outlineLevel="0" collapsed="false">
      <c r="A37" s="0" t="s">
        <v>139</v>
      </c>
      <c r="B37" s="0" t="n">
        <f aca="false">B36+Assumptions!$B$5-Assumptions!$B$4</f>
        <v>49703.2852685574</v>
      </c>
    </row>
    <row r="38" customFormat="false" ht="15" hidden="false" customHeight="false" outlineLevel="0" collapsed="false">
      <c r="A38" s="0" t="s">
        <v>140</v>
      </c>
      <c r="B38" s="0" t="n">
        <f aca="false">B37/Assumptions!$B$3*Assumptions!$B$10</f>
        <v>240.810490642235</v>
      </c>
    </row>
    <row r="39" customFormat="false" ht="15" hidden="false" customHeight="false" outlineLevel="0" collapsed="false">
      <c r="A39" s="0" t="s">
        <v>141</v>
      </c>
      <c r="B39" s="4" t="n">
        <f aca="false">B38/Assumptions!$B$2-1</f>
        <v>0.0561863624659447</v>
      </c>
    </row>
    <row r="41" customFormat="false" ht="15" hidden="false" customHeight="false" outlineLevel="0" collapsed="false">
      <c r="A41" s="0" t="s">
        <v>142</v>
      </c>
      <c r="B41" s="0" t="n">
        <f aca="false">SUMPRODUCT(-C10:L10/(1+$B$27/100)^C4:L4)</f>
        <v>332.111710594048</v>
      </c>
    </row>
    <row r="42" customFormat="false" ht="15" hidden="false" customHeight="false" outlineLevel="0" collapsed="false">
      <c r="A42" s="0" t="s">
        <v>143</v>
      </c>
      <c r="B42" s="0" t="n">
        <f aca="false">IF(B27&gt;B28,-L10*(1+B28/100)/((B27-B28)/100),-L10*20)/(1+B27/100)^L4</f>
        <v>572.559101834727</v>
      </c>
    </row>
    <row r="43" customFormat="false" ht="15" hidden="false" customHeight="false" outlineLevel="0" collapsed="false">
      <c r="A43" s="0" t="s">
        <v>144</v>
      </c>
      <c r="B43" s="0" t="n">
        <f aca="false">(B37+B41+B42)/Assumptions!$B$3*Assumptions!$B$10</f>
        <v>245.193585663693</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30439.1757806185</v>
      </c>
    </row>
    <row r="47" customFormat="false" ht="15" hidden="false" customHeight="false" outlineLevel="0" collapsed="false">
      <c r="A47" s="0" t="s">
        <v>146</v>
      </c>
      <c r="B47" s="0" t="n">
        <f aca="false">(SUMPRODUCT(C19:L19/(1+B45/100)^C4:L4)+B46/(1+B45/100)^L4+Assumptions!$B$5-Assumptions!$B$4)/Assumptions!$B$3*Assumptions!$B$10</f>
        <v>91.1812857682862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7</v>
      </c>
      <c r="D5" s="4" t="n">
        <f aca="false">Assumptions!D41</f>
        <v>8</v>
      </c>
      <c r="E5" s="4" t="n">
        <f aca="false">Assumptions!E41</f>
        <v>8</v>
      </c>
      <c r="F5" s="4" t="n">
        <f aca="false">Assumptions!F41</f>
        <v>7</v>
      </c>
      <c r="G5" s="4" t="n">
        <f aca="false">Assumptions!G41</f>
        <v>6</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22136.4</v>
      </c>
      <c r="C6" s="0" t="n">
        <f aca="false">B6*(1+C5/100)</f>
        <v>23685.948</v>
      </c>
      <c r="D6" s="0" t="n">
        <f aca="false">C6*(1+D5/100)</f>
        <v>25580.82384</v>
      </c>
      <c r="E6" s="0" t="n">
        <f aca="false">D6*(1+E5/100)</f>
        <v>27627.2897472</v>
      </c>
      <c r="F6" s="0" t="n">
        <f aca="false">E6*(1+F5/100)</f>
        <v>29561.200029504</v>
      </c>
      <c r="G6" s="0" t="n">
        <f aca="false">F6*(1+G5/100)</f>
        <v>31334.8720312743</v>
      </c>
      <c r="H6" s="0" t="n">
        <f aca="false">G6*(1+H5/100)</f>
        <v>32901.615632838</v>
      </c>
      <c r="I6" s="0" t="n">
        <f aca="false">H6*(1+I5/100)</f>
        <v>34382.1883363157</v>
      </c>
      <c r="J6" s="0" t="n">
        <f aca="false">I6*(1+J5/100)</f>
        <v>35757.4758697683</v>
      </c>
      <c r="K6" s="0" t="n">
        <f aca="false">J6*(1+K5/100)</f>
        <v>37008.9875252102</v>
      </c>
      <c r="L6" s="0" t="n">
        <f aca="false">K6*(1+L5/100)</f>
        <v>38119.2571509665</v>
      </c>
    </row>
    <row r="7" customFormat="false" ht="15" hidden="false" customHeight="false" outlineLevel="0" collapsed="false">
      <c r="A7" s="0" t="s">
        <v>103</v>
      </c>
      <c r="C7" s="4" t="n">
        <f aca="false">Assumptions!C42</f>
        <v>16.17</v>
      </c>
      <c r="D7" s="4" t="n">
        <f aca="false">Assumptions!D42</f>
        <v>16.82</v>
      </c>
      <c r="E7" s="4" t="n">
        <f aca="false">Assumptions!E42</f>
        <v>17.47</v>
      </c>
      <c r="F7" s="4" t="n">
        <f aca="false">Assumptions!F42</f>
        <v>17.92</v>
      </c>
      <c r="G7" s="4" t="n">
        <f aca="false">Assumptions!G42</f>
        <v>18.27</v>
      </c>
      <c r="H7" s="4" t="n">
        <f aca="false">Assumptions!H42</f>
        <v>18.57</v>
      </c>
      <c r="I7" s="4" t="n">
        <f aca="false">Assumptions!I42</f>
        <v>18.57</v>
      </c>
      <c r="J7" s="4" t="n">
        <f aca="false">Assumptions!J42</f>
        <v>18.57</v>
      </c>
      <c r="K7" s="4" t="n">
        <f aca="false">Assumptions!K42</f>
        <v>18.57</v>
      </c>
      <c r="L7" s="4" t="n">
        <f aca="false">Assumptions!L42</f>
        <v>18.57</v>
      </c>
    </row>
    <row r="8" customFormat="false" ht="15" hidden="false" customHeight="false" outlineLevel="0" collapsed="false">
      <c r="A8" s="0" t="s">
        <v>43</v>
      </c>
      <c r="C8" s="0" t="n">
        <f aca="false">C6*C7/100</f>
        <v>3830.0177916</v>
      </c>
      <c r="D8" s="0" t="n">
        <f aca="false">D6*D7/100</f>
        <v>4302.694569888</v>
      </c>
      <c r="E8" s="0" t="n">
        <f aca="false">E6*E7/100</f>
        <v>4826.48751883584</v>
      </c>
      <c r="F8" s="0" t="n">
        <f aca="false">F6*F7/100</f>
        <v>5297.36704528712</v>
      </c>
      <c r="G8" s="0" t="n">
        <f aca="false">G6*G7/100</f>
        <v>5724.88112011381</v>
      </c>
      <c r="H8" s="0" t="n">
        <f aca="false">H6*H7/100</f>
        <v>6109.83002301801</v>
      </c>
      <c r="I8" s="0" t="n">
        <f aca="false">I6*I7/100</f>
        <v>6384.77237405382</v>
      </c>
      <c r="J8" s="0" t="n">
        <f aca="false">J6*J7/100</f>
        <v>6640.16326901597</v>
      </c>
      <c r="K8" s="0" t="n">
        <f aca="false">K6*K7/100</f>
        <v>6872.56898343153</v>
      </c>
      <c r="L8" s="0" t="n">
        <f aca="false">L6*L7/100</f>
        <v>7078.74605293448</v>
      </c>
    </row>
    <row r="9" customFormat="false" ht="15" hidden="false" customHeight="false" outlineLevel="0" collapsed="false">
      <c r="A9" s="0" t="s">
        <v>104</v>
      </c>
      <c r="C9" s="4" t="n">
        <f aca="false">Assumptions!C43</f>
        <v>0.17</v>
      </c>
      <c r="D9" s="4" t="n">
        <f aca="false">Assumptions!D43</f>
        <v>0.17</v>
      </c>
      <c r="E9" s="4" t="n">
        <f aca="false">Assumptions!E43</f>
        <v>0.17</v>
      </c>
      <c r="F9" s="4" t="n">
        <f aca="false">Assumptions!F43</f>
        <v>0.17</v>
      </c>
      <c r="G9" s="4" t="n">
        <f aca="false">Assumptions!G43</f>
        <v>0.17</v>
      </c>
      <c r="H9" s="4" t="n">
        <f aca="false">Assumptions!H43</f>
        <v>0.17</v>
      </c>
      <c r="I9" s="4" t="n">
        <f aca="false">Assumptions!I43</f>
        <v>0.17</v>
      </c>
      <c r="J9" s="4" t="n">
        <f aca="false">Assumptions!J43</f>
        <v>0.17</v>
      </c>
      <c r="K9" s="4" t="n">
        <f aca="false">Assumptions!K43</f>
        <v>0.17</v>
      </c>
      <c r="L9" s="4" t="n">
        <f aca="false">Assumptions!L43</f>
        <v>0.17</v>
      </c>
    </row>
    <row r="10" customFormat="false" ht="15" hidden="false" customHeight="false" outlineLevel="0" collapsed="false">
      <c r="A10" s="0" t="s">
        <v>119</v>
      </c>
      <c r="C10" s="0" t="n">
        <f aca="false">-C6*C9/100</f>
        <v>-40.2661116</v>
      </c>
      <c r="D10" s="0" t="n">
        <f aca="false">-D6*D9/100</f>
        <v>-43.487400528</v>
      </c>
      <c r="E10" s="0" t="n">
        <f aca="false">-E6*E9/100</f>
        <v>-46.96639257024</v>
      </c>
      <c r="F10" s="0" t="n">
        <f aca="false">-F6*F9/100</f>
        <v>-50.2540400501568</v>
      </c>
      <c r="G10" s="0" t="n">
        <f aca="false">-G6*G9/100</f>
        <v>-53.2692824531662</v>
      </c>
      <c r="H10" s="0" t="n">
        <f aca="false">-H6*H9/100</f>
        <v>-55.9327465758246</v>
      </c>
      <c r="I10" s="0" t="n">
        <f aca="false">-I6*I9/100</f>
        <v>-58.4497201717367</v>
      </c>
      <c r="J10" s="0" t="n">
        <f aca="false">-J6*J9/100</f>
        <v>-60.7877089786061</v>
      </c>
      <c r="K10" s="0" t="n">
        <f aca="false">-K6*K9/100</f>
        <v>-62.9152787928573</v>
      </c>
      <c r="L10" s="0" t="n">
        <f aca="false">-L6*L9/100</f>
        <v>-64.8027371566431</v>
      </c>
    </row>
    <row r="11" customFormat="false" ht="15" hidden="false" customHeight="false" outlineLevel="0" collapsed="false">
      <c r="A11" s="0" t="s">
        <v>120</v>
      </c>
      <c r="C11" s="0" t="n">
        <f aca="false">C8+C10+C24</f>
        <v>3789.75168</v>
      </c>
      <c r="D11" s="0" t="n">
        <f aca="false">D8+D10+D24</f>
        <v>4259.20716936</v>
      </c>
      <c r="E11" s="0" t="n">
        <f aca="false">E8+E10+E24</f>
        <v>4779.5211262656</v>
      </c>
      <c r="F11" s="0" t="n">
        <f aca="false">F8+F10+F24</f>
        <v>5247.11300523696</v>
      </c>
      <c r="G11" s="0" t="n">
        <f aca="false">G8+G10+G24</f>
        <v>5671.61183766064</v>
      </c>
      <c r="H11" s="0" t="n">
        <f aca="false">H8+H10+H24</f>
        <v>6053.89727644219</v>
      </c>
      <c r="I11" s="0" t="n">
        <f aca="false">I8+I10+I24</f>
        <v>6326.32265388208</v>
      </c>
      <c r="J11" s="0" t="n">
        <f aca="false">J8+J10+J24</f>
        <v>6579.37556003737</v>
      </c>
      <c r="K11" s="0" t="n">
        <f aca="false">K8+K10+K24</f>
        <v>6809.65370463868</v>
      </c>
      <c r="L11" s="0" t="n">
        <f aca="false">L8+L10+L24</f>
        <v>7013.94331577783</v>
      </c>
    </row>
    <row r="12" customFormat="false" ht="15" hidden="false" customHeight="false" outlineLevel="0" collapsed="false">
      <c r="A12" s="0" t="s">
        <v>121</v>
      </c>
      <c r="C12" s="4" t="n">
        <f aca="false">-C6*Assumptions!C45/100</f>
        <v>-757.950336</v>
      </c>
      <c r="D12" s="4" t="n">
        <f aca="false">-D6*Assumptions!D45/100</f>
        <v>-831.3767748</v>
      </c>
      <c r="E12" s="4" t="n">
        <f aca="false">-E6*Assumptions!E45/100</f>
        <v>-911.7005616576</v>
      </c>
      <c r="F12" s="4" t="n">
        <f aca="false">-F6*Assumptions!F45/100</f>
        <v>-990.300200988384</v>
      </c>
      <c r="G12" s="4" t="n">
        <f aca="false">-G6*Assumptions!G45/100</f>
        <v>-1065.38564906332</v>
      </c>
      <c r="H12" s="4" t="n">
        <f aca="false">-H6*Assumptions!H45/100</f>
        <v>-1118.65493151649</v>
      </c>
      <c r="I12" s="4" t="n">
        <f aca="false">-I6*Assumptions!I45/100</f>
        <v>-1168.99440343473</v>
      </c>
      <c r="J12" s="4" t="n">
        <f aca="false">-J6*Assumptions!J45/100</f>
        <v>-1215.75417957212</v>
      </c>
      <c r="K12" s="4" t="n">
        <f aca="false">-K6*Assumptions!K45/100</f>
        <v>-1258.30557585715</v>
      </c>
      <c r="L12" s="4" t="n">
        <f aca="false">-L6*Assumptions!L45/100</f>
        <v>-1296.05474313286</v>
      </c>
    </row>
    <row r="13" customFormat="false" ht="15" hidden="false" customHeight="false" outlineLevel="0" collapsed="false">
      <c r="A13" s="0" t="s">
        <v>122</v>
      </c>
      <c r="C13" s="0" t="n">
        <f aca="false">C11+C12</f>
        <v>3031.801344</v>
      </c>
      <c r="D13" s="0" t="n">
        <f aca="false">D11+D12</f>
        <v>3427.83039456</v>
      </c>
      <c r="E13" s="0" t="n">
        <f aca="false">E11+E12</f>
        <v>3867.820564608</v>
      </c>
      <c r="F13" s="0" t="n">
        <f aca="false">F11+F12</f>
        <v>4256.81280424858</v>
      </c>
      <c r="G13" s="0" t="n">
        <f aca="false">G11+G12</f>
        <v>4606.22618859732</v>
      </c>
      <c r="H13" s="0" t="n">
        <f aca="false">H11+H12</f>
        <v>4935.2423449257</v>
      </c>
      <c r="I13" s="0" t="n">
        <f aca="false">I11+I12</f>
        <v>5157.32825044735</v>
      </c>
      <c r="J13" s="0" t="n">
        <f aca="false">J11+J12</f>
        <v>5363.62138046525</v>
      </c>
      <c r="K13" s="0" t="n">
        <f aca="false">K11+K12</f>
        <v>5551.34812878153</v>
      </c>
      <c r="L13" s="0" t="n">
        <f aca="false">L11+L12</f>
        <v>5717.88857264497</v>
      </c>
    </row>
    <row r="14" customFormat="false" ht="15" hidden="false" customHeight="false" outlineLevel="0" collapsed="false">
      <c r="A14" s="0" t="s">
        <v>108</v>
      </c>
      <c r="C14" s="4" t="n">
        <f aca="false">Assumptions!C47</f>
        <v>22</v>
      </c>
      <c r="D14" s="4" t="n">
        <f aca="false">Assumptions!D47</f>
        <v>19.5</v>
      </c>
      <c r="E14" s="4" t="n">
        <f aca="false">Assumptions!E47</f>
        <v>19</v>
      </c>
      <c r="F14" s="4" t="n">
        <f aca="false">Assumptions!F47</f>
        <v>19</v>
      </c>
      <c r="G14" s="4" t="n">
        <f aca="false">Assumptions!G47</f>
        <v>19</v>
      </c>
      <c r="H14" s="4" t="n">
        <f aca="false">Assumptions!H47</f>
        <v>19</v>
      </c>
      <c r="I14" s="4" t="n">
        <f aca="false">Assumptions!I47</f>
        <v>19</v>
      </c>
      <c r="J14" s="4" t="n">
        <f aca="false">Assumptions!J47</f>
        <v>19</v>
      </c>
      <c r="K14" s="4" t="n">
        <f aca="false">Assumptions!K47</f>
        <v>19</v>
      </c>
      <c r="L14" s="4" t="n">
        <f aca="false">Assumptions!L47</f>
        <v>19</v>
      </c>
    </row>
    <row r="15" customFormat="false" ht="15" hidden="false" customHeight="false" outlineLevel="0" collapsed="false">
      <c r="A15" s="0" t="s">
        <v>123</v>
      </c>
      <c r="C15" s="0" t="n">
        <f aca="false">C13-MAX(0,C13)*C14/100</f>
        <v>2364.80504832</v>
      </c>
      <c r="D15" s="0" t="n">
        <f aca="false">D13-MAX(0,D13)*D14/100</f>
        <v>2759.4034676208</v>
      </c>
      <c r="E15" s="0" t="n">
        <f aca="false">E13-MAX(0,E13)*E14/100</f>
        <v>3132.93465733248</v>
      </c>
      <c r="F15" s="0" t="n">
        <f aca="false">F13-MAX(0,F13)*F14/100</f>
        <v>3448.01837144135</v>
      </c>
      <c r="G15" s="0" t="n">
        <f aca="false">G13-MAX(0,G13)*G14/100</f>
        <v>3731.04321276383</v>
      </c>
      <c r="H15" s="0" t="n">
        <f aca="false">H13-MAX(0,H13)*H14/100</f>
        <v>3997.54629938981</v>
      </c>
      <c r="I15" s="0" t="n">
        <f aca="false">I13-MAX(0,I13)*I14/100</f>
        <v>4177.43588286236</v>
      </c>
      <c r="J15" s="0" t="n">
        <f aca="false">J13-MAX(0,J13)*J14/100</f>
        <v>4344.53331817685</v>
      </c>
      <c r="K15" s="0" t="n">
        <f aca="false">K13-MAX(0,K13)*K14/100</f>
        <v>4496.59198431304</v>
      </c>
      <c r="L15" s="0" t="n">
        <f aca="false">L13-MAX(0,L13)*L14/100</f>
        <v>4631.48974384243</v>
      </c>
    </row>
    <row r="16" customFormat="false" ht="15" hidden="false" customHeight="false" outlineLevel="0" collapsed="false">
      <c r="A16" s="0" t="s">
        <v>124</v>
      </c>
      <c r="C16" s="0" t="n">
        <f aca="false">-C12</f>
        <v>757.950336</v>
      </c>
      <c r="D16" s="0" t="n">
        <f aca="false">-D12</f>
        <v>831.3767748</v>
      </c>
      <c r="E16" s="0" t="n">
        <f aca="false">-E12</f>
        <v>911.7005616576</v>
      </c>
      <c r="F16" s="0" t="n">
        <f aca="false">-F12</f>
        <v>990.300200988384</v>
      </c>
      <c r="G16" s="0" t="n">
        <f aca="false">-G12</f>
        <v>1065.38564906332</v>
      </c>
      <c r="H16" s="0" t="n">
        <f aca="false">-H12</f>
        <v>1118.65493151649</v>
      </c>
      <c r="I16" s="0" t="n">
        <f aca="false">-I12</f>
        <v>1168.99440343473</v>
      </c>
      <c r="J16" s="0" t="n">
        <f aca="false">-J12</f>
        <v>1215.75417957212</v>
      </c>
      <c r="K16" s="0" t="n">
        <f aca="false">-K12</f>
        <v>1258.30557585715</v>
      </c>
      <c r="L16" s="0" t="n">
        <f aca="false">-L12</f>
        <v>1296.05474313286</v>
      </c>
    </row>
    <row r="17" customFormat="false" ht="15" hidden="false" customHeight="false" outlineLevel="0" collapsed="false">
      <c r="A17" s="0" t="s">
        <v>125</v>
      </c>
      <c r="C17" s="4" t="n">
        <f aca="false">-C6*Assumptions!C46/100</f>
        <v>-1089.553608</v>
      </c>
      <c r="D17" s="4" t="n">
        <f aca="false">-D6*Assumptions!D46/100</f>
        <v>-1176.71789664</v>
      </c>
      <c r="E17" s="4" t="n">
        <f aca="false">-E6*Assumptions!E46/100</f>
        <v>-1243.228038624</v>
      </c>
      <c r="F17" s="4" t="n">
        <f aca="false">-F6*Assumptions!F46/100</f>
        <v>-1300.69280129818</v>
      </c>
      <c r="G17" s="4" t="n">
        <f aca="false">-G6*Assumptions!G46/100</f>
        <v>-1347.39949734479</v>
      </c>
      <c r="H17" s="4" t="n">
        <f aca="false">-H6*Assumptions!H46/100</f>
        <v>-1381.86785657919</v>
      </c>
      <c r="I17" s="4" t="n">
        <f aca="false">-I6*Assumptions!I46/100</f>
        <v>-1409.66972178894</v>
      </c>
      <c r="J17" s="4" t="n">
        <f aca="false">-J6*Assumptions!J46/100</f>
        <v>-1430.29903479073</v>
      </c>
      <c r="K17" s="4" t="n">
        <f aca="false">-K6*Assumptions!K46/100</f>
        <v>-1480.35950100841</v>
      </c>
      <c r="L17" s="4" t="n">
        <f aca="false">-L6*Assumptions!L46/100</f>
        <v>-1524.77028603866</v>
      </c>
    </row>
    <row r="18" customFormat="false" ht="15" hidden="false" customHeight="false" outlineLevel="0" collapsed="false">
      <c r="A18" s="0" t="s">
        <v>126</v>
      </c>
      <c r="C18" s="4" t="n">
        <f aca="false">(C6-B6)*Assumptions!$B$51/100</f>
        <v>232.4322</v>
      </c>
      <c r="D18" s="4" t="n">
        <f aca="false">(D6-C6)*Assumptions!$B$51/100</f>
        <v>284.231376</v>
      </c>
      <c r="E18" s="4" t="n">
        <f aca="false">(E6-D6)*Assumptions!$B$51/100</f>
        <v>306.969886080001</v>
      </c>
      <c r="F18" s="4" t="n">
        <f aca="false">(F6-E6)*Assumptions!$B$51/100</f>
        <v>290.0865423456</v>
      </c>
      <c r="G18" s="4" t="n">
        <f aca="false">(G6-F6)*Assumptions!$B$51/100</f>
        <v>266.050800265536</v>
      </c>
      <c r="H18" s="4" t="n">
        <f aca="false">(H6-G6)*Assumptions!$B$51/100</f>
        <v>235.011540234557</v>
      </c>
      <c r="I18" s="4" t="n">
        <f aca="false">(I6-H6)*Assumptions!$B$51/100</f>
        <v>222.085905521656</v>
      </c>
      <c r="J18" s="4" t="n">
        <f aca="false">(J6-I6)*Assumptions!$B$51/100</f>
        <v>206.293130017894</v>
      </c>
      <c r="K18" s="4" t="n">
        <f aca="false">(K6-J6)*Assumptions!$B$51/100</f>
        <v>187.726748316283</v>
      </c>
      <c r="L18" s="4" t="n">
        <f aca="false">(L6-K6)*Assumptions!$B$51/100</f>
        <v>166.540443863446</v>
      </c>
    </row>
    <row r="19" customFormat="false" ht="15" hidden="false" customHeight="false" outlineLevel="0" collapsed="false">
      <c r="A19" s="0" t="s">
        <v>127</v>
      </c>
      <c r="C19" s="0" t="n">
        <f aca="false">C15+C16+C17+C18</f>
        <v>2265.63397632</v>
      </c>
      <c r="D19" s="0" t="n">
        <f aca="false">D15+D16+D17+D18</f>
        <v>2698.2937217808</v>
      </c>
      <c r="E19" s="0" t="n">
        <f aca="false">E15+E16+E17+E18</f>
        <v>3108.37706644608</v>
      </c>
      <c r="F19" s="0" t="n">
        <f aca="false">F15+F16+F17+F18</f>
        <v>3427.71231347716</v>
      </c>
      <c r="G19" s="0" t="n">
        <f aca="false">G15+G16+G17+G18</f>
        <v>3715.08016474789</v>
      </c>
      <c r="H19" s="0" t="n">
        <f aca="false">H15+H16+H17+H18</f>
        <v>3969.34491456167</v>
      </c>
      <c r="I19" s="0" t="n">
        <f aca="false">I15+I16+I17+I18</f>
        <v>4158.8464700298</v>
      </c>
      <c r="J19" s="0" t="n">
        <f aca="false">J15+J16+J17+J18</f>
        <v>4336.28159297613</v>
      </c>
      <c r="K19" s="0" t="n">
        <f aca="false">K15+K16+K17+K18</f>
        <v>4462.26480747806</v>
      </c>
      <c r="L19" s="0" t="n">
        <f aca="false">L15+L16+L17+L18</f>
        <v>4569.31464480008</v>
      </c>
    </row>
    <row r="20" customFormat="false" ht="15" hidden="false" customHeight="false" outlineLevel="0" collapsed="false">
      <c r="A20" s="0" t="s">
        <v>128</v>
      </c>
      <c r="C20" s="0" t="n">
        <f aca="false">1/(1+$B$27/100)^C4</f>
        <v>0.930232558139535</v>
      </c>
      <c r="D20" s="0" t="n">
        <f aca="false">1/(1+$B$27/100)^D4</f>
        <v>0.865332612222823</v>
      </c>
      <c r="E20" s="0" t="n">
        <f aca="false">1/(1+$B$27/100)^E4</f>
        <v>0.804960569509603</v>
      </c>
      <c r="F20" s="0" t="n">
        <f aca="false">1/(1+$B$27/100)^F4</f>
        <v>0.748800529776375</v>
      </c>
      <c r="G20" s="0" t="n">
        <f aca="false">1/(1+$B$27/100)^G4</f>
        <v>0.696558632350116</v>
      </c>
      <c r="H20" s="0" t="n">
        <f aca="false">1/(1+$B$27/100)^H4</f>
        <v>0.647961518465224</v>
      </c>
      <c r="I20" s="0" t="n">
        <f aca="false">1/(1+$B$27/100)^I4</f>
        <v>0.602754900897883</v>
      </c>
      <c r="J20" s="0" t="n">
        <f aca="false">1/(1+$B$27/100)^J4</f>
        <v>0.56070223339338</v>
      </c>
      <c r="K20" s="0" t="n">
        <f aca="false">1/(1+$B$27/100)^K4</f>
        <v>0.521583472924074</v>
      </c>
      <c r="L20" s="0" t="n">
        <f aca="false">1/(1+$B$27/100)^L4</f>
        <v>0.485193928301464</v>
      </c>
    </row>
    <row r="21" customFormat="false" ht="15" hidden="false" customHeight="false" outlineLevel="0" collapsed="false">
      <c r="A21" s="0" t="s">
        <v>129</v>
      </c>
      <c r="C21" s="0" t="n">
        <f aca="false">C19*C20</f>
        <v>2107.5664896</v>
      </c>
      <c r="D21" s="0" t="n">
        <f aca="false">D19*D20</f>
        <v>2334.92155481302</v>
      </c>
      <c r="E21" s="0" t="n">
        <f aca="false">E19*E20</f>
        <v>2502.12097365703</v>
      </c>
      <c r="F21" s="0" t="n">
        <f aca="false">F19*F20</f>
        <v>2566.6727962527</v>
      </c>
      <c r="G21" s="0" t="n">
        <f aca="false">G19*G20</f>
        <v>2587.77115862784</v>
      </c>
      <c r="H21" s="0" t="n">
        <f aca="false">H19*H20</f>
        <v>2571.98275815159</v>
      </c>
      <c r="I21" s="0" t="n">
        <f aca="false">I19*I20</f>
        <v>2506.76509189232</v>
      </c>
      <c r="J21" s="0" t="n">
        <f aca="false">J19*J20</f>
        <v>2431.36277380432</v>
      </c>
      <c r="K21" s="0" t="n">
        <f aca="false">K19*K20</f>
        <v>2327.44357539128</v>
      </c>
      <c r="L21" s="0" t="n">
        <f aca="false">L19*L20</f>
        <v>2217.00372215596</v>
      </c>
    </row>
    <row r="23" customFormat="false" ht="15" hidden="false" customHeight="false" outlineLevel="0" collapsed="false">
      <c r="A23" s="0" t="s">
        <v>105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Assumptions!$B$48</f>
        <v>7.5</v>
      </c>
    </row>
    <row r="28" customFormat="false" ht="15" hidden="false" customHeight="false" outlineLevel="0" collapsed="false">
      <c r="A28" s="0" t="s">
        <v>110</v>
      </c>
      <c r="B28" s="4" t="n">
        <f aca="false">Assumptions!$B$49</f>
        <v>3</v>
      </c>
    </row>
    <row r="29" customFormat="false" ht="15" hidden="false" customHeight="false" outlineLevel="0" collapsed="false">
      <c r="A29" s="0" t="s">
        <v>111</v>
      </c>
      <c r="B29" s="4" t="n">
        <f aca="false">Assumptions!$B$50</f>
        <v>20</v>
      </c>
    </row>
    <row r="30" customFormat="false" ht="15" hidden="false" customHeight="false" outlineLevel="0" collapsed="false">
      <c r="A30" s="0" t="s">
        <v>132</v>
      </c>
      <c r="B30" s="0" t="n">
        <f aca="false">SUM(C21:L21)</f>
        <v>24153.6108943461</v>
      </c>
    </row>
    <row r="31" customFormat="false" ht="15" hidden="false" customHeight="false" outlineLevel="0" collapsed="false">
      <c r="A31" s="0" t="s">
        <v>133</v>
      </c>
      <c r="B31" s="0" t="n">
        <f aca="false">L19</f>
        <v>4569.31464480008</v>
      </c>
    </row>
    <row r="32" customFormat="false" ht="15" hidden="false" customHeight="false" outlineLevel="0" collapsed="false">
      <c r="A32" s="0" t="s">
        <v>134</v>
      </c>
      <c r="B32" s="0" t="n">
        <f aca="false">IF(B27&gt;B28,B31*(1+B28/100)/((B27-B28)/100),B31*B29)</f>
        <v>104586.535203202</v>
      </c>
    </row>
    <row r="33" customFormat="false" ht="15" hidden="false" customHeight="false" outlineLevel="0" collapsed="false">
      <c r="A33" s="0" t="s">
        <v>135</v>
      </c>
      <c r="B33" s="0" t="n">
        <f aca="false">B31*B29</f>
        <v>91386.2928960015</v>
      </c>
    </row>
    <row r="34" customFormat="false" ht="15" hidden="false" customHeight="false" outlineLevel="0" collapsed="false">
      <c r="A34" s="0" t="s">
        <v>136</v>
      </c>
      <c r="B34" s="0" t="n">
        <f aca="false">MAX(0,MIN(B32,B33))</f>
        <v>91386.2928960015</v>
      </c>
    </row>
    <row r="35" customFormat="false" ht="15" hidden="false" customHeight="false" outlineLevel="0" collapsed="false">
      <c r="A35" s="0" t="s">
        <v>137</v>
      </c>
      <c r="B35" s="0" t="n">
        <f aca="false">B34/(1+B27/100)^L4</f>
        <v>44340.0744431192</v>
      </c>
    </row>
    <row r="36" customFormat="false" ht="15" hidden="false" customHeight="false" outlineLevel="0" collapsed="false">
      <c r="A36" s="0" t="s">
        <v>138</v>
      </c>
      <c r="B36" s="0" t="n">
        <f aca="false">B30+B35</f>
        <v>68493.6853374653</v>
      </c>
    </row>
    <row r="37" customFormat="false" ht="15" hidden="false" customHeight="false" outlineLevel="0" collapsed="false">
      <c r="A37" s="0" t="s">
        <v>139</v>
      </c>
      <c r="B37" s="0" t="n">
        <f aca="false">B36+Assumptions!$B$5-Assumptions!$B$4</f>
        <v>65260.2853374653</v>
      </c>
    </row>
    <row r="38" customFormat="false" ht="15" hidden="false" customHeight="false" outlineLevel="0" collapsed="false">
      <c r="A38" s="0" t="s">
        <v>140</v>
      </c>
      <c r="B38" s="0" t="n">
        <f aca="false">B37/Assumptions!$B$3*Assumptions!$B$10</f>
        <v>316.183552991595</v>
      </c>
    </row>
    <row r="39" customFormat="false" ht="15" hidden="false" customHeight="false" outlineLevel="0" collapsed="false">
      <c r="A39" s="0" t="s">
        <v>141</v>
      </c>
      <c r="B39" s="4" t="n">
        <f aca="false">B38/Assumptions!$B$2-1</f>
        <v>0.386769969261382</v>
      </c>
    </row>
    <row r="41" customFormat="false" ht="15" hidden="false" customHeight="false" outlineLevel="0" collapsed="false">
      <c r="A41" s="0" t="s">
        <v>142</v>
      </c>
      <c r="B41" s="0" t="n">
        <f aca="false">SUMPRODUCT(-C10:L10/(1+$B$27/100)^C4:L4)</f>
        <v>357.443829452118</v>
      </c>
    </row>
    <row r="42" customFormat="false" ht="15" hidden="false" customHeight="false" outlineLevel="0" collapsed="false">
      <c r="A42" s="0" t="s">
        <v>143</v>
      </c>
      <c r="B42" s="0" t="n">
        <f aca="false">IF(B27&gt;B28,-L10*(1+B28/100)/((B27-B28)/100),-L10*20)/(1+B27/100)^L4</f>
        <v>719.670032086455</v>
      </c>
    </row>
    <row r="43" customFormat="false" ht="15" hidden="false" customHeight="false" outlineLevel="0" collapsed="false">
      <c r="A43" s="0" t="s">
        <v>144</v>
      </c>
      <c r="B43" s="0" t="n">
        <f aca="false">(B37+B41+B42)/Assumptions!$B$3*Assumptions!$B$10</f>
        <v>321.40212790215</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39219.9507012007</v>
      </c>
    </row>
    <row r="47" customFormat="false" ht="15" hidden="false" customHeight="false" outlineLevel="0" collapsed="false">
      <c r="A47" s="0" t="s">
        <v>146</v>
      </c>
      <c r="B47" s="0" t="n">
        <f aca="false">(SUMPRODUCT(C19:L19/(1+B45/100)^C4:L4)+B46/(1+B45/100)^L4+Assumptions!$B$5-Assumptions!$B$4)/Assumptions!$B$3*Assumptions!$B$10</f>
        <v>113.45557374259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161.433541777645</v>
      </c>
      <c r="C4" s="0" t="n">
        <f aca="false">B4/Assumptions!$B$2-1</f>
        <v>-0.291958150098047</v>
      </c>
      <c r="D4" s="4" t="n">
        <f aca="false">Assumptions!$B$24</f>
        <v>0.2</v>
      </c>
      <c r="E4" s="4" t="n">
        <f aca="false">DCF_Bear!$B$43</f>
        <v>165.039690388092</v>
      </c>
      <c r="F4" s="4" t="n">
        <f aca="false">DCF_Bear!$B$47</f>
        <v>64.1784972649864</v>
      </c>
    </row>
    <row r="5" customFormat="false" ht="15" hidden="false" customHeight="false" outlineLevel="0" collapsed="false">
      <c r="A5" s="0" t="s">
        <v>155</v>
      </c>
      <c r="B5" s="4" t="n">
        <f aca="false">DCF_Base!$B$38</f>
        <v>240.810490642235</v>
      </c>
      <c r="C5" s="0" t="n">
        <f aca="false">B5/Assumptions!$B$2-1</f>
        <v>0.0561863624659447</v>
      </c>
      <c r="D5" s="4" t="n">
        <f aca="false">Assumptions!$B$38</f>
        <v>0.5</v>
      </c>
      <c r="E5" s="4" t="n">
        <f aca="false">DCF_Base!$B$43</f>
        <v>245.193585663693</v>
      </c>
      <c r="F5" s="4" t="n">
        <f aca="false">DCF_Base!$B$47</f>
        <v>91.1812857682862</v>
      </c>
    </row>
    <row r="6" customFormat="false" ht="15" hidden="false" customHeight="false" outlineLevel="0" collapsed="false">
      <c r="A6" s="0" t="s">
        <v>156</v>
      </c>
      <c r="B6" s="4" t="n">
        <f aca="false">DCF_Bull!$B$38</f>
        <v>316.183552991595</v>
      </c>
      <c r="C6" s="0" t="n">
        <f aca="false">B6/Assumptions!$B$2-1</f>
        <v>0.386769969261382</v>
      </c>
      <c r="D6" s="4" t="n">
        <f aca="false">Assumptions!$B$52</f>
        <v>0.3</v>
      </c>
      <c r="E6" s="4" t="n">
        <f aca="false">DCF_Bull!$B$43</f>
        <v>321.40212790215</v>
      </c>
      <c r="F6" s="4" t="n">
        <f aca="false">DCF_Bull!$B$47</f>
        <v>113.45557374259</v>
      </c>
    </row>
    <row r="8" customFormat="false" ht="15" hidden="false" customHeight="false" outlineLevel="0" collapsed="false">
      <c r="A8" s="0" t="s">
        <v>157</v>
      </c>
      <c r="B8" s="0" t="n">
        <f aca="false">SUMPRODUCT(B4:B6,D4:D6)</f>
        <v>247.547019574125</v>
      </c>
    </row>
    <row r="9" customFormat="false" ht="15" hidden="false" customHeight="false" outlineLevel="0" collapsed="false">
      <c r="A9" s="0" t="s">
        <v>158</v>
      </c>
      <c r="B9" s="0" t="n">
        <f aca="false">SUMPRODUCT(E4:E6,D4:D6)</f>
        <v>252.02536928011</v>
      </c>
    </row>
    <row r="10" customFormat="false" ht="15" hidden="false" customHeight="false" outlineLevel="0" collapsed="false">
      <c r="A10" s="0" t="s">
        <v>159</v>
      </c>
      <c r="B10" s="0" t="n">
        <f aca="false">1-Assumptions!$B$2/B8</f>
        <v>0.0789628556536597</v>
      </c>
    </row>
    <row r="11" customFormat="false" ht="15" hidden="false" customHeight="false" outlineLevel="0" collapsed="false">
      <c r="A11" s="0" t="s">
        <v>160</v>
      </c>
      <c r="B11" s="0" t="n">
        <f aca="false">IF(ABS(B9-B8)&gt;0.01*ABS(B8),(Assumptions!$B$2-B8)/(B9-B8)*100,"n/a")</f>
        <v>-436.47818632843</v>
      </c>
    </row>
    <row r="12" customFormat="false" ht="15" hidden="false" customHeight="false" outlineLevel="0" collapsed="false">
      <c r="A12" s="0" t="s">
        <v>161</v>
      </c>
      <c r="B12" s="0" t="n">
        <f aca="false">SUMPRODUCT(F4:F6,D4:D6)</f>
        <v>92.4630144599174</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240.810490642235</v>
      </c>
      <c r="C15" s="3" t="n">
        <v>7.5</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196.46422564296</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167.11735111793</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144.714157006857</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127.060020695951</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91.1812857682862</v>
      </c>
      <c r="C20" s="3" t="n">
        <v>15</v>
      </c>
    </row>
    <row r="22" customFormat="false" ht="15" hidden="false" customHeight="false" outlineLevel="0" collapsed="false">
      <c r="A22" s="2" t="s">
        <v>170</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5.5</v>
      </c>
      <c r="B24" s="0" t="n">
        <f aca="false">(SUMPRODUCT(DCF_Base!$C$19:$L$19/(1+$A$24/100)^DCF_Base!$C$4:$L$4)+MAX(0,MIN(IF($A$24&gt;$B$23,DCF_Base!$L$19*(1+$B$23/100)/(($A$24-$B$23)/100),DCF_Base!$L$19*DCF_Base!$B$29),DCF_Base!$L$19*DCF_Base!$B$29))/(1+$A$24/100)^DCF_Base!$L$4+Assumptions!$B$5-Assumptions!$B$4)/Assumptions!$B$3*Assumptions!$B$10</f>
        <v>283.987602292143</v>
      </c>
      <c r="C24" s="0" t="n">
        <f aca="false">(SUMPRODUCT(DCF_Base!$C$19:$L$19/(1+$A$24/100)^DCF_Base!$C$4:$L$4)+MAX(0,MIN(IF($A$24&gt;$C$23,DCF_Base!$L$19*(1+$C$23/100)/(($A$24-$C$23)/100),DCF_Base!$L$19*DCF_Base!$B$29),DCF_Base!$L$19*DCF_Base!$B$29))/(1+$A$24/100)^DCF_Base!$L$4+Assumptions!$B$5-Assumptions!$B$4)/Assumptions!$B$3*Assumptions!$B$10</f>
        <v>283.987602292143</v>
      </c>
      <c r="D24" s="0" t="n">
        <f aca="false">(SUMPRODUCT(DCF_Base!$C$19:$L$19/(1+$A$24/100)^DCF_Base!$C$4:$L$4)+MAX(0,MIN(IF($A$24&gt;$D$23,DCF_Base!$L$19*(1+$D$23/100)/(($A$24-$D$23)/100),DCF_Base!$L$19*DCF_Base!$B$29),DCF_Base!$L$19*DCF_Base!$B$29))/(1+$A$24/100)^DCF_Base!$L$4+Assumptions!$B$5-Assumptions!$B$4)/Assumptions!$B$3*Assumptions!$B$10</f>
        <v>283.987602292143</v>
      </c>
      <c r="E24" s="0" t="n">
        <f aca="false">(SUMPRODUCT(DCF_Base!$C$19:$L$19/(1+$A$24/100)^DCF_Base!$C$4:$L$4)+MAX(0,MIN(IF($A$24&gt;$E$23,DCF_Base!$L$19*(1+$E$23/100)/(($A$24-$E$23)/100),DCF_Base!$L$19*DCF_Base!$B$29),DCF_Base!$L$19*DCF_Base!$B$29))/(1+$A$24/100)^DCF_Base!$L$4+Assumptions!$B$5-Assumptions!$B$4)/Assumptions!$B$3*Assumptions!$B$10</f>
        <v>283.987602292143</v>
      </c>
      <c r="F24" s="0" t="n">
        <f aca="false">(SUMPRODUCT(DCF_Base!$C$19:$L$19/(1+$A$24/100)^DCF_Base!$C$4:$L$4)+MAX(0,MIN(IF($A$24&gt;$F$23,DCF_Base!$L$19*(1+$F$23/100)/(($A$24-$F$23)/100),DCF_Base!$L$19*DCF_Base!$B$29),DCF_Base!$L$19*DCF_Base!$B$29))/(1+$A$24/100)^DCF_Base!$L$4+Assumptions!$B$5-Assumptions!$B$4)/Assumptions!$B$3*Assumptions!$B$10</f>
        <v>283.987602292143</v>
      </c>
    </row>
    <row r="25" customFormat="false" ht="15" hidden="false" customHeight="false" outlineLevel="0" collapsed="false">
      <c r="A25" s="3" t="n">
        <v>6.5</v>
      </c>
      <c r="B25" s="0" t="n">
        <f aca="false">(SUMPRODUCT(DCF_Base!$C$19:$L$19/(1+$A$25/100)^DCF_Base!$C$4:$L$4)+MAX(0,MIN(IF($A$25&gt;$B$23,DCF_Base!$L$19*(1+$B$23/100)/(($A$25-$B$23)/100),DCF_Base!$L$19*DCF_Base!$B$29),DCF_Base!$L$19*DCF_Base!$B$29))/(1+$A$25/100)^DCF_Base!$L$4+Assumptions!$B$5-Assumptions!$B$4)/Assumptions!$B$3*Assumptions!$B$10</f>
        <v>261.362662429855</v>
      </c>
      <c r="C25" s="0" t="n">
        <f aca="false">(SUMPRODUCT(DCF_Base!$C$19:$L$19/(1+$A$25/100)^DCF_Base!$C$4:$L$4)+MAX(0,MIN(IF($A$25&gt;$C$23,DCF_Base!$L$19*(1+$C$23/100)/(($A$25-$C$23)/100),DCF_Base!$L$19*DCF_Base!$B$29),DCF_Base!$L$19*DCF_Base!$B$29))/(1+$A$25/100)^DCF_Base!$L$4+Assumptions!$B$5-Assumptions!$B$4)/Assumptions!$B$3*Assumptions!$B$10</f>
        <v>261.362662429855</v>
      </c>
      <c r="D25" s="0" t="n">
        <f aca="false">(SUMPRODUCT(DCF_Base!$C$19:$L$19/(1+$A$25/100)^DCF_Base!$C$4:$L$4)+MAX(0,MIN(IF($A$25&gt;$D$23,DCF_Base!$L$19*(1+$D$23/100)/(($A$25-$D$23)/100),DCF_Base!$L$19*DCF_Base!$B$29),DCF_Base!$L$19*DCF_Base!$B$29))/(1+$A$25/100)^DCF_Base!$L$4+Assumptions!$B$5-Assumptions!$B$4)/Assumptions!$B$3*Assumptions!$B$10</f>
        <v>261.362662429855</v>
      </c>
      <c r="E25" s="0" t="n">
        <f aca="false">(SUMPRODUCT(DCF_Base!$C$19:$L$19/(1+$A$25/100)^DCF_Base!$C$4:$L$4)+MAX(0,MIN(IF($A$25&gt;$E$23,DCF_Base!$L$19*(1+$E$23/100)/(($A$25-$E$23)/100),DCF_Base!$L$19*DCF_Base!$B$29),DCF_Base!$L$19*DCF_Base!$B$29))/(1+$A$25/100)^DCF_Base!$L$4+Assumptions!$B$5-Assumptions!$B$4)/Assumptions!$B$3*Assumptions!$B$10</f>
        <v>261.362662429855</v>
      </c>
      <c r="F25" s="0" t="n">
        <f aca="false">(SUMPRODUCT(DCF_Base!$C$19:$L$19/(1+$A$25/100)^DCF_Base!$C$4:$L$4)+MAX(0,MIN(IF($A$25&gt;$F$23,DCF_Base!$L$19*(1+$F$23/100)/(($A$25-$F$23)/100),DCF_Base!$L$19*DCF_Base!$B$29),DCF_Base!$L$19*DCF_Base!$B$29))/(1+$A$25/100)^DCF_Base!$L$4+Assumptions!$B$5-Assumptions!$B$4)/Assumptions!$B$3*Assumptions!$B$10</f>
        <v>261.362662429855</v>
      </c>
    </row>
    <row r="26" customFormat="false" ht="15" hidden="false" customHeight="false" outlineLevel="0" collapsed="false">
      <c r="A26" s="3" t="n">
        <v>7.5</v>
      </c>
      <c r="B26" s="0" t="n">
        <f aca="false">(SUMPRODUCT(DCF_Base!$C$19:$L$19/(1+$A$26/100)^DCF_Base!$C$4:$L$4)+MAX(0,MIN(IF($A$26&gt;$B$23,DCF_Base!$L$19*(1+$B$23/100)/(($A$26-$B$23)/100),DCF_Base!$L$19*DCF_Base!$B$29),DCF_Base!$L$19*DCF_Base!$B$29))/(1+$A$26/100)^DCF_Base!$L$4+Assumptions!$B$5-Assumptions!$B$4)/Assumptions!$B$3*Assumptions!$B$10</f>
        <v>231.357117361293</v>
      </c>
      <c r="C26" s="0" t="n">
        <f aca="false">(SUMPRODUCT(DCF_Base!$C$19:$L$19/(1+$A$26/100)^DCF_Base!$C$4:$L$4)+MAX(0,MIN(IF($A$26&gt;$C$23,DCF_Base!$L$19*(1+$C$23/100)/(($A$26-$C$23)/100),DCF_Base!$L$19*DCF_Base!$B$29),DCF_Base!$L$19*DCF_Base!$B$29))/(1+$A$26/100)^DCF_Base!$L$4+Assumptions!$B$5-Assumptions!$B$4)/Assumptions!$B$3*Assumptions!$B$10</f>
        <v>240.810490642235</v>
      </c>
      <c r="D26" s="0" t="n">
        <f aca="false">(SUMPRODUCT(DCF_Base!$C$19:$L$19/(1+$A$26/100)^DCF_Base!$C$4:$L$4)+MAX(0,MIN(IF($A$26&gt;$D$23,DCF_Base!$L$19*(1+$D$23/100)/(($A$26-$D$23)/100),DCF_Base!$L$19*DCF_Base!$B$29),DCF_Base!$L$19*DCF_Base!$B$29))/(1+$A$26/100)^DCF_Base!$L$4+Assumptions!$B$5-Assumptions!$B$4)/Assumptions!$B$3*Assumptions!$B$10</f>
        <v>240.810490642235</v>
      </c>
      <c r="E26" s="0" t="n">
        <f aca="false">(SUMPRODUCT(DCF_Base!$C$19:$L$19/(1+$A$26/100)^DCF_Base!$C$4:$L$4)+MAX(0,MIN(IF($A$26&gt;$E$23,DCF_Base!$L$19*(1+$E$23/100)/(($A$26-$E$23)/100),DCF_Base!$L$19*DCF_Base!$B$29),DCF_Base!$L$19*DCF_Base!$B$29))/(1+$A$26/100)^DCF_Base!$L$4+Assumptions!$B$5-Assumptions!$B$4)/Assumptions!$B$3*Assumptions!$B$10</f>
        <v>240.810490642235</v>
      </c>
      <c r="F26" s="0" t="n">
        <f aca="false">(SUMPRODUCT(DCF_Base!$C$19:$L$19/(1+$A$26/100)^DCF_Base!$C$4:$L$4)+MAX(0,MIN(IF($A$26&gt;$F$23,DCF_Base!$L$19*(1+$F$23/100)/(($A$26-$F$23)/100),DCF_Base!$L$19*DCF_Base!$B$29),DCF_Base!$L$19*DCF_Base!$B$29))/(1+$A$26/100)^DCF_Base!$L$4+Assumptions!$B$5-Assumptions!$B$4)/Assumptions!$B$3*Assumptions!$B$10</f>
        <v>240.810490642235</v>
      </c>
    </row>
    <row r="27" customFormat="false" ht="15" hidden="false" customHeight="false" outlineLevel="0" collapsed="false">
      <c r="A27" s="3" t="n">
        <v>8.5</v>
      </c>
      <c r="B27" s="0" t="n">
        <f aca="false">(SUMPRODUCT(DCF_Base!$C$19:$L$19/(1+$A$27/100)^DCF_Base!$C$4:$L$4)+MAX(0,MIN(IF($A$27&gt;$B$23,DCF_Base!$L$19*(1+$B$23/100)/(($A$27-$B$23)/100),DCF_Base!$L$19*DCF_Base!$B$29),DCF_Base!$L$19*DCF_Base!$B$29))/(1+$A$27/100)^DCF_Base!$L$4+Assumptions!$B$5-Assumptions!$B$4)/Assumptions!$B$3*Assumptions!$B$10</f>
        <v>194.27840009976</v>
      </c>
      <c r="C27" s="0" t="n">
        <f aca="false">(SUMPRODUCT(DCF_Base!$C$19:$L$19/(1+$A$27/100)^DCF_Base!$C$4:$L$4)+MAX(0,MIN(IF($A$27&gt;$C$23,DCF_Base!$L$19*(1+$C$23/100)/(($A$27-$C$23)/100),DCF_Base!$L$19*DCF_Base!$B$29),DCF_Base!$L$19*DCF_Base!$B$29))/(1+$A$27/100)^DCF_Base!$L$4+Assumptions!$B$5-Assumptions!$B$4)/Assumptions!$B$3*Assumptions!$B$10</f>
        <v>203.762591443434</v>
      </c>
      <c r="D27" s="0" t="n">
        <f aca="false">(SUMPRODUCT(DCF_Base!$C$19:$L$19/(1+$A$27/100)^DCF_Base!$C$4:$L$4)+MAX(0,MIN(IF($A$27&gt;$D$23,DCF_Base!$L$19*(1+$D$23/100)/(($A$27-$D$23)/100),DCF_Base!$L$19*DCF_Base!$B$29),DCF_Base!$L$19*DCF_Base!$B$29))/(1+$A$27/100)^DCF_Base!$L$4+Assumptions!$B$5-Assumptions!$B$4)/Assumptions!$B$3*Assumptions!$B$10</f>
        <v>214.827481344387</v>
      </c>
      <c r="E27" s="0" t="n">
        <f aca="false">(SUMPRODUCT(DCF_Base!$C$19:$L$19/(1+$A$27/100)^DCF_Base!$C$4:$L$4)+MAX(0,MIN(IF($A$27&gt;$E$23,DCF_Base!$L$19*(1+$E$23/100)/(($A$27-$E$23)/100),DCF_Base!$L$19*DCF_Base!$B$29),DCF_Base!$L$19*DCF_Base!$B$29))/(1+$A$27/100)^DCF_Base!$L$4+Assumptions!$B$5-Assumptions!$B$4)/Assumptions!$B$3*Assumptions!$B$10</f>
        <v>222.119090818286</v>
      </c>
      <c r="F27" s="0" t="n">
        <f aca="false">(SUMPRODUCT(DCF_Base!$C$19:$L$19/(1+$A$27/100)^DCF_Base!$C$4:$L$4)+MAX(0,MIN(IF($A$27&gt;$F$23,DCF_Base!$L$19*(1+$F$23/100)/(($A$27-$F$23)/100),DCF_Base!$L$19*DCF_Base!$B$29),DCF_Base!$L$19*DCF_Base!$B$29))/(1+$A$27/100)^DCF_Base!$L$4+Assumptions!$B$5-Assumptions!$B$4)/Assumptions!$B$3*Assumptions!$B$10</f>
        <v>222.119090818286</v>
      </c>
    </row>
    <row r="28" customFormat="false" ht="15" hidden="false" customHeight="false" outlineLevel="0" collapsed="false">
      <c r="A28" s="3" t="n">
        <v>9.5</v>
      </c>
      <c r="B28" s="0" t="n">
        <f aca="false">(SUMPRODUCT(DCF_Base!$C$19:$L$19/(1+$A$28/100)^DCF_Base!$C$4:$L$4)+MAX(0,MIN(IF($A$28&gt;$B$23,DCF_Base!$L$19*(1+$B$23/100)/(($A$28-$B$23)/100),DCF_Base!$L$19*DCF_Base!$B$29),DCF_Base!$L$19*DCF_Base!$B$29))/(1+$A$28/100)^DCF_Base!$L$4+Assumptions!$B$5-Assumptions!$B$4)/Assumptions!$B$3*Assumptions!$B$10</f>
        <v>166.54628326781</v>
      </c>
      <c r="C28" s="0" t="n">
        <f aca="false">(SUMPRODUCT(DCF_Base!$C$19:$L$19/(1+$A$28/100)^DCF_Base!$C$4:$L$4)+MAX(0,MIN(IF($A$28&gt;$C$23,DCF_Base!$L$19*(1+$C$23/100)/(($A$28-$C$23)/100),DCF_Base!$L$19*DCF_Base!$B$29),DCF_Base!$L$19*DCF_Base!$B$29))/(1+$A$28/100)^DCF_Base!$L$4+Assumptions!$B$5-Assumptions!$B$4)/Assumptions!$B$3*Assumptions!$B$10</f>
        <v>173.168463928659</v>
      </c>
      <c r="D28" s="0" t="n">
        <f aca="false">(SUMPRODUCT(DCF_Base!$C$19:$L$19/(1+$A$28/100)^DCF_Base!$C$4:$L$4)+MAX(0,MIN(IF($A$28&gt;$D$23,DCF_Base!$L$19*(1+$D$23/100)/(($A$28-$D$23)/100),DCF_Base!$L$19*DCF_Base!$B$29),DCF_Base!$L$19*DCF_Base!$B$29))/(1+$A$28/100)^DCF_Base!$L$4+Assumptions!$B$5-Assumptions!$B$4)/Assumptions!$B$3*Assumptions!$B$10</f>
        <v>180.7366703982</v>
      </c>
      <c r="E28" s="0" t="n">
        <f aca="false">(SUMPRODUCT(DCF_Base!$C$19:$L$19/(1+$A$28/100)^DCF_Base!$C$4:$L$4)+MAX(0,MIN(IF($A$28&gt;$E$23,DCF_Base!$L$19*(1+$E$23/100)/(($A$28-$E$23)/100),DCF_Base!$L$19*DCF_Base!$B$29),DCF_Base!$L$19*DCF_Base!$B$29))/(1+$A$28/100)^DCF_Base!$L$4+Assumptions!$B$5-Assumptions!$B$4)/Assumptions!$B$3*Assumptions!$B$10</f>
        <v>189.469216324594</v>
      </c>
      <c r="F28" s="0" t="n">
        <f aca="false">(SUMPRODUCT(DCF_Base!$C$19:$L$19/(1+$A$28/100)^DCF_Base!$C$4:$L$4)+MAX(0,MIN(IF($A$28&gt;$F$23,DCF_Base!$L$19*(1+$F$23/100)/(($A$28-$F$23)/100),DCF_Base!$L$19*DCF_Base!$B$29),DCF_Base!$L$19*DCF_Base!$B$29))/(1+$A$28/100)^DCF_Base!$L$4+Assumptions!$B$5-Assumptions!$B$4)/Assumptions!$B$3*Assumptions!$B$10</f>
        <v>199.657186572054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2026-10-25T15:18:37Z</dcterms:created>
  <dc:creator>openpyxl</dc:creator>
  <dc:description/>
  <dc:language>en-NZ</dc:language>
  <cp:lastModifiedBy/>
  <dcterms:modified xsi:type="dcterms:W3CDTF">2026-10-25T15:18:37Z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