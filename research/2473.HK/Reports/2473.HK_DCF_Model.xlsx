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<sst xmlns="http://schemas.openxmlformats.org/spreadsheetml/2006/main" count="345" uniqueCount="161">
  <si>
    <t xml:space="preserve">Ticker</t>
  </si>
  <si>
    <t xml:space="preserve">2473.HK</t>
  </si>
  <si>
    <t xml:space="preserve">Company</t>
  </si>
  <si>
    <t xml:space="preserve">XXF Group Holdings Limited</t>
  </si>
  <si>
    <t xml:space="preserve">Valuation date</t>
  </si>
  <si>
    <t xml:space="preserve">2026-10-18</t>
  </si>
  <si>
    <t xml:space="preserve">Current price</t>
  </si>
  <si>
    <t xml:space="preserve">Price as of</t>
  </si>
  <si>
    <t xml:space="preserve">2026-10-16T08:08:14Z HKEX regular close (Friday); not after-hours. 52-week range 0.32-15.96: the stock fell from HK$13.81 to HK$2.04 in the week of 2026-02-01 on 2.4bn shares and has drifted down since; the April/May 2026 top-up subscriptions were struck at HK$0.98 and HK$0.82, so the quote is real, not frozen</t>
  </si>
  <si>
    <t xml:space="preserve">Balance sheet date</t>
  </si>
  <si>
    <t xml:space="preserve">2026-06-30</t>
  </si>
  <si>
    <t xml:space="preserve">Model</t>
  </si>
  <si>
    <t xml:space="preserve">Specialty lender levered FCFE at cost of equity (engine route)</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</si>
  <si>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</si>
  <si>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</si>
  <si>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</si>
  <si>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</si>
  <si>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</si>
  <si>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</si>
  <si>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</si>
  <si>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</si>
  <si>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</si>
  <si>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2026-10-18T05:22:40Z</t>
  </si>
  <si>
    <t xml:space="preserve">Drivers file</t>
  </si>
  <si>
    <t xml:space="preserve">2473.HK_Drivers.json</t>
  </si>
  <si>
    <t xml:space="preserve">Convention</t>
  </si>
  <si>
    <t xml:space="preserve">Percents stored as percents; formulas divide by 100. Blue = input, green = link, black = formula.</t>
  </si>
  <si>
    <t xml:space="preserve">Methodology</t>
  </si>
  <si>
    <t xml:space="preserve">summary: Value what the equity actually receives: a levered finance-lease lender is worth the present value of its free cash flow to equity at its own cost of equity, with borrowings treated as operating funding rather than net debt. On that basis XXF earns 3-5% on a RMB 1.13bn equity base against a 13% RMB cost of equity, so it is worth a fraction of book regardless of the optical P/B of ~0.46x. Book value (HK$0.69/share) is a liquidation reference, not a floor, because the controlling shareholder is growing the book, not running it off, and because reinvestment below the cost of equity destroys value each year. The valuation is deliberately not a price-momentum call on a stock that has fallen 97% from its January 2026 high.
key_risks_to_valuation: Cost of equity: at 13% with a 10x FCFE cap the terminal value is modest; every 1pp of CoE moves the base value ~10-15%. A reader who believes 11% is right for a HK-listed Chinese small-cap lender gets a value ~25% higher - still below the price.; ROE recovery: the base assumes pre-tax margin rebuilds from 2.2% to 4.0%; if FY2023's 10% were ever regained the stock would be worth well above the price. That requires the OEM-captive competition to abate, which nothing in the H1 FY2026 report suggests.; Growth charge (wc_capture): -60 assumes constant gearing. If the lender levers further (gearing was 73.4% before the placings) growth consumes less equity near term but adds refinancing risk; if it delevers, more.; Credit quality: the 1.0% allowance on RMB 1.84bn of receivables and &lt;1% over-3-month past-due are self-reported; a 3pp loss rate would wipe out two years of earnings.; Dilution: two controller-led top-up placings in 2026 added 20% to the count at HK$0.98 and HK$0.82. A further placing near HK$0.3 would be heavily dilutive to per-share value; it is not in the share path.; Price regime: the February 2026 collapse from HK$13.8 to HK$2.0 on 2.4bn shares in a week is a liquidity/holding-structure event, not a fundamental one; the quote may continue to be driven by forced selling rather than value.</t>
  </si>
  <si>
    <t xml:space="preserve">Data sources</t>
  </si>
  <si>
    <t xml:space="preserve">price: Yahoo Finance chart API at inputs.price_as_of (HKEX close); 52-week range 0.32-15.96; FX from Yahoo CNYHKD=X at the same date
financials: core_metrics / metrics_normalized for 2473.HK (FY2021-H1 FY2026, RMB millions) from the FY2023-FY2025 annual reports and H1 FY2024-H1 FY2026 interim reports; 30 June 2026 anchors (borrowings 2,593.1, lease liabilities 10.5, cash 436.2, equity 1,130.7, NCI nil, net finance lease receivables 1,840.0, shares in issue 1,856.25m, 67.2m options at HK$0.183) read from 2473.HK_HalfYear_H1-2026.txt
qualitative: 2473.HK_Analysis.json (2026-10-18): segment mix, OEM-captive competition, H1 FY2026 -24% domestic finance-lease demand, placings, Xidun/ZyooCar buy-outs, export build-out</t>
  </si>
  <si>
    <t xml:space="preserve">Scenario narrative: bear</t>
  </si>
  <si>
    <t xml:space="preserve">The OEM-captive squeeze that cut core finance-lease revenue 13% in H1 FY2026 continues: revenue falls 10%, 8%, 5%, 2% then flat; pre-tax margin sinks to 1.0-1.5% as used-car residuals weaken, impairment rises from the 1.0% allowance ratio, and e-hailing dual-licence rules strand fleet vehicles. The book runs off at constant gearing but the controller (Mr Huang, who sold shares into both 2026 top-up placings and re-subscribed at HK$0.98 and HK$0.82) redeploys the released capital into exports and smart-mobility rather than returning it, so shareholders see only half of it. Further top-up placings at distressed prices and a rollover squeeze on RMB 1.27bn of current borrowings are the tail risks this case does not fully price.</t>
  </si>
  <si>
    <t xml:space="preserve">Scenario narrative: base</t>
  </si>
  <si>
    <t xml:space="preserve">The core domestic finance-lease book stops shrinking but does not regain its FY2023 economics: revenue dips ~2% in FY2026 (H1 -1%, H2 weaker) and is flat in FY2027 as OEM captives keep subsidising zero-rate loans, then grows 3-4% as the NEV mix (32.7% of H1 FY2026 new-car sales), the Hello Car Rental co-branded stores and the Central-Asia export subsidiaries scale. Pre-tax margin troughs at 2.2% and rebuilds to 4% by FY2031 on lower weighted funding cost and a stabilised 111-outlet network. ROE peaks around 5% - below the 13% cost of equity - so every RMB of book growth is reinvested at a loss to shareholders, which is why the base value sits well below book. No dividend; capital stays in the business.</t>
  </si>
  <si>
    <t xml:space="preserve">Scenario narrative: bull</t>
  </si>
  <si>
    <t xml:space="preserve">Domestic passenger-vehicle demand normalises from FY2027 as the PRC anti-price-war guidance and trade-in support take hold, lower-tier-city customers return to finance leases, and the export arm (revenue +571% in FY2025) becomes an authorised first-tier dealer in Central Asia at scale. Revenue compounds 5-8% for four years, operating leverage on a fixed outlet base plus another 1-2pp of funding-cost reduction lift the pre-tax margin to 7% by FY2031 (ROE ~8-9%), and incremental growth is asset-light (wc capture -50). Even here ROE stays below the cost of equity, so the bull value is roughly half of book - the re-rating thesis is the market paying up for a 7% ROE lender.</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</si>
  <si>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</si>
  <si>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</si>
  <si>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</si>
  <si>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</si>
  <si>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</si>
  <si>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</si>
  <si>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</si>
  <si>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</si>
  <si>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</si>
  <si>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</si>
  <si>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</si>
  <si>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</si>
  <si>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</si>
  <si>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</si>
  <si>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</si>
  <si>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</si>
  <si>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</si>
  <si>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</si>
  <si>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</si>
  <si>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</si>
  <si>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</si>
  <si>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</si>
  <si>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</si>
  <si>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</si>
  <si>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</si>
  <si>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</si>
  <si>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</si>
  <si>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</si>
  <si>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</si>
  <si>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</si>
  <si>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</si>
  <si>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</si>
  <si>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</si>
  <si>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</si>
  <si>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</si>
  <si>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</si>
  <si>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</si>
  <si>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</si>
  <si>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</si>
  <si>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</si>
  <si>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</si>
  <si>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</si>
  <si>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</si>
  <si>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</si>
  <si>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</si>
  <si>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</si>
  <si>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</si>
  <si>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</si>
  <si>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</si>
  <si>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</si>
  <si>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</si>
  <si>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</si>
  <si>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</si>
  <si>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</si>
  <si>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</si>
  <si>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</si>
  <si>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</si>
  <si>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</si>
  <si>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</si>
  <si>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</si>
  <si>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</si>
  <si>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</si>
  <si>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</si>
  <si>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</si>
  <si>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</si>
  <si>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</si>
  <si>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</si>
  <si>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</si>
  <si>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</si>
  <si>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2473.HK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</si>
  <si>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</si>
  <si>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</si>
  <si>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</si>
  <si>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</si>
  <si>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</si>
  <si>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</si>
  <si>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</si>
  <si>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</si>
  <si>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</si>
  <si>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</si>
  <si>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</si>
  <si>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</si>
  <si>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</si>
  <si>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</si>
  <si>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</si>
  <si>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</si>
  <si>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</si>
  <si>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</si>
  <si>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</si>
  <si>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</si>
  <si>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</si>
  <si>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</si>
  <si>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</si>
  <si>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</si>
  <si>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</si>
  <si>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</si>
  <si>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</si>
  <si>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</si>
  <si>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</si>
  <si>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</si>
  <si>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2473.HK owner-FCF component DCF: base case (millions, CNY)</t>
  </si>
  <si>
    <t xml:space="preserve">2473.HK owner-FCF component DCF: bull case (millions, CNY)</t>
  </si>
  <si>
    <t xml:space="preserve">2473.HK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</si>
  <si>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</si>
  <si>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</si>
  <si>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</si>
  <si>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</si>
  <si>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</si>
  <si>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</si>
  <si>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</si>
  <si>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</si>
  <si>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</si>
  <si>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</si>
  <si>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</si>
  <si>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</si>
  <si>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</si>
  <si>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</si>
  <si>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</si>
  <si>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</si>
  <si>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t>
  </si>
  <si>
    <t xml:space="preserve">Value per share at 12%</t>
  </si>
  <si>
    <t xml:space="preserve">Value per share at 13% (WACC)</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</si>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</sst>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0.32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row>
    <row r="2" customFormat="false" ht="15" hidden="false" customHeight="false" outlineLevel="0" collapsed="false">
      <c r="A2" s="0" t="s">
        <v>64</v>
      </c>
      <c r="B2" s="0" t="n">
        <v>1171.262</v>
      </c>
      <c r="C2" s="0" t="n">
        <v>-809.506</v>
      </c>
      <c r="D2" s="0" t="n">
        <v>361.756</v>
      </c>
      <c r="E2" s="0" t="n">
        <v>30.9</v>
      </c>
      <c r="O2" s="0" t="n">
        <v>443.512</v>
      </c>
      <c r="P2" s="0" t="n">
        <v>2202.978</v>
      </c>
      <c r="Q2" s="0" t="n">
        <v>1759.466</v>
      </c>
      <c r="AA2" s="0" t="s">
        <v>18</v>
      </c>
      <c r="AB2" s="0" t="s">
        <v>14</v>
      </c>
    </row>
    <row r="3" customFormat="false" ht="15" hidden="false" customHeight="false" outlineLevel="0" collapsed="false">
      <c r="A3" s="0" t="s">
        <v>65</v>
      </c>
      <c r="B3" s="0" t="n">
        <v>1141.526</v>
      </c>
      <c r="C3" s="0" t="n">
        <v>-767.079</v>
      </c>
      <c r="D3" s="0" t="n">
        <v>374.447</v>
      </c>
      <c r="E3" s="0" t="n">
        <v>32.8</v>
      </c>
      <c r="F3" s="0" t="n">
        <v>234.791</v>
      </c>
      <c r="G3" s="0" t="n">
        <v>20.6</v>
      </c>
      <c r="H3" s="0" t="n">
        <v>346.672</v>
      </c>
      <c r="I3" s="0" t="n">
        <v>77.082</v>
      </c>
      <c r="J3" s="0" t="n">
        <v>6.8</v>
      </c>
      <c r="K3" s="0" t="n">
        <v>0.0776</v>
      </c>
      <c r="L3" s="0" t="n">
        <v>-74</v>
      </c>
      <c r="M3" s="0" t="n">
        <v>149.184</v>
      </c>
      <c r="N3" s="0" t="n">
        <v>-223.184</v>
      </c>
      <c r="O3" s="0" t="n">
        <v>506.614</v>
      </c>
      <c r="P3" s="0" t="n">
        <v>2598.757</v>
      </c>
      <c r="Q3" s="0" t="n">
        <v>2092.143</v>
      </c>
      <c r="R3" s="0" t="n">
        <v>1713.415</v>
      </c>
      <c r="S3" s="0" t="n">
        <v>201.078</v>
      </c>
      <c r="AA3" s="0" t="s">
        <v>18</v>
      </c>
      <c r="AB3" s="0" t="s">
        <v>14</v>
      </c>
    </row>
    <row r="4" customFormat="false" ht="15" hidden="false" customHeight="false" outlineLevel="0" collapsed="false">
      <c r="A4" s="0" t="s">
        <v>66</v>
      </c>
      <c r="B4" s="0" t="n">
        <v>1304.341</v>
      </c>
      <c r="C4" s="0" t="n">
        <v>-885.329</v>
      </c>
      <c r="D4" s="0" t="n">
        <v>419.012</v>
      </c>
      <c r="E4" s="0" t="n">
        <v>32.1</v>
      </c>
      <c r="F4" s="0" t="n">
        <v>291.344</v>
      </c>
      <c r="G4" s="0" t="n">
        <v>22.3</v>
      </c>
      <c r="H4" s="0" t="n">
        <v>417.461</v>
      </c>
      <c r="I4" s="0" t="n">
        <v>109.834</v>
      </c>
      <c r="J4" s="0" t="n">
        <v>8.4</v>
      </c>
      <c r="K4" s="0" t="n">
        <v>0.1008</v>
      </c>
      <c r="L4" s="0" t="n">
        <v>1.316</v>
      </c>
      <c r="M4" s="0" t="n">
        <v>160.012</v>
      </c>
      <c r="N4" s="0" t="n">
        <v>-158.696</v>
      </c>
      <c r="O4" s="0" t="n">
        <v>781.45</v>
      </c>
      <c r="P4" s="0" t="n">
        <v>2920.886</v>
      </c>
      <c r="Q4" s="0" t="n">
        <v>2139.436</v>
      </c>
      <c r="R4" s="0" t="n">
        <v>1865.655</v>
      </c>
      <c r="S4" s="0" t="n">
        <v>267.733</v>
      </c>
      <c r="T4" s="0" t="n">
        <v>1288.322</v>
      </c>
      <c r="U4" s="0" t="n">
        <v>6.051</v>
      </c>
      <c r="AA4" s="0" t="s">
        <v>18</v>
      </c>
      <c r="AB4" s="0" t="s">
        <v>14</v>
      </c>
    </row>
    <row r="5" customFormat="false" ht="15" hidden="false" customHeight="false" outlineLevel="0" collapsed="false">
      <c r="A5" s="0" t="s">
        <v>67</v>
      </c>
      <c r="B5" s="0" t="n">
        <v>1464.084</v>
      </c>
      <c r="C5" s="0" t="n">
        <v>-1025.733</v>
      </c>
      <c r="D5" s="0" t="n">
        <v>438.351</v>
      </c>
      <c r="E5" s="0" t="n">
        <v>29.9</v>
      </c>
      <c r="F5" s="0" t="n">
        <v>212.175</v>
      </c>
      <c r="G5" s="0" t="n">
        <v>14.5</v>
      </c>
      <c r="H5" s="0" t="n">
        <v>355.946</v>
      </c>
      <c r="I5" s="0" t="n">
        <v>39.729</v>
      </c>
      <c r="J5" s="0" t="n">
        <v>2.7</v>
      </c>
      <c r="K5" s="0" t="n">
        <v>0.0258</v>
      </c>
      <c r="L5" s="0" t="n">
        <v>-188.069</v>
      </c>
      <c r="M5" s="0" t="n">
        <v>144.71</v>
      </c>
      <c r="N5" s="0" t="n">
        <v>-332.779</v>
      </c>
      <c r="O5" s="0" t="n">
        <v>827.846</v>
      </c>
      <c r="P5" s="0" t="n">
        <v>3309.732</v>
      </c>
      <c r="Q5" s="0" t="n">
        <v>2481.886</v>
      </c>
      <c r="R5" s="0" t="n">
        <v>2281.558</v>
      </c>
      <c r="S5" s="0" t="n">
        <v>340.598</v>
      </c>
      <c r="T5" s="0" t="n">
        <v>1622.786</v>
      </c>
      <c r="U5" s="0" t="n">
        <v>8.273</v>
      </c>
      <c r="AA5" s="0" t="s">
        <v>18</v>
      </c>
      <c r="AB5" s="0" t="s">
        <v>14</v>
      </c>
    </row>
    <row r="6" customFormat="false" ht="15" hidden="false" customHeight="false" outlineLevel="0" collapsed="false">
      <c r="A6" s="0" t="s">
        <v>68</v>
      </c>
      <c r="B6" s="0" t="n">
        <v>1862.467</v>
      </c>
      <c r="C6" s="0" t="n">
        <v>-1383.376</v>
      </c>
      <c r="D6" s="0" t="n">
        <v>479.091</v>
      </c>
      <c r="E6" s="0" t="n">
        <v>25.7</v>
      </c>
      <c r="F6" s="0" t="n">
        <v>229.611</v>
      </c>
      <c r="G6" s="0" t="n">
        <v>12.3</v>
      </c>
      <c r="H6" s="0" t="n">
        <v>382.479</v>
      </c>
      <c r="I6" s="0" t="n">
        <v>45.805</v>
      </c>
      <c r="J6" s="0" t="n">
        <v>2.5</v>
      </c>
      <c r="K6" s="0" t="n">
        <v>0.0296</v>
      </c>
      <c r="L6" s="0" t="n">
        <v>-310.628</v>
      </c>
      <c r="M6" s="0" t="n">
        <v>219.798</v>
      </c>
      <c r="N6" s="0" t="n">
        <v>-530.426</v>
      </c>
      <c r="O6" s="0" t="n">
        <v>877.941</v>
      </c>
      <c r="P6" s="0" t="n">
        <v>3826.832</v>
      </c>
      <c r="Q6" s="0" t="n">
        <v>2948.891</v>
      </c>
      <c r="R6" s="0" t="n">
        <v>2787.412</v>
      </c>
      <c r="S6" s="0" t="n">
        <v>371.839</v>
      </c>
      <c r="T6" s="0" t="n">
        <v>1637.695</v>
      </c>
      <c r="U6" s="0" t="n">
        <v>3.885</v>
      </c>
      <c r="AA6" s="0" t="s">
        <v>18</v>
      </c>
      <c r="AB6"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69</v>
      </c>
      <c r="B1" s="2" t="s">
        <v>70</v>
      </c>
    </row>
    <row r="2" customFormat="false" ht="15" hidden="false" customHeight="false" outlineLevel="0" collapsed="false">
      <c r="A2" s="0" t="s">
        <v>71</v>
      </c>
      <c r="B2" s="3" t="n">
        <v>0.32</v>
      </c>
    </row>
    <row r="3" customFormat="false" ht="15" hidden="false" customHeight="false" outlineLevel="0" collapsed="false">
      <c r="A3" s="0" t="s">
        <v>72</v>
      </c>
      <c r="B3" s="3" t="n">
        <v>1923.469</v>
      </c>
    </row>
    <row r="4" customFormat="false" ht="15" hidden="false" customHeight="false" outlineLevel="0" collapsed="false">
      <c r="A4" s="0" t="s">
        <v>73</v>
      </c>
      <c r="B4" s="3" t="n">
        <v>0</v>
      </c>
    </row>
    <row r="5" customFormat="false" ht="15" hidden="false" customHeight="false" outlineLevel="0" collapsed="false">
      <c r="A5" s="0" t="s">
        <v>74</v>
      </c>
      <c r="B5" s="3" t="n">
        <v>10.5</v>
      </c>
    </row>
    <row r="6" customFormat="false" ht="15" hidden="false" customHeight="false" outlineLevel="0" collapsed="false">
      <c r="A6" s="0" t="s">
        <v>75</v>
      </c>
      <c r="B6" s="3" t="n">
        <v>15</v>
      </c>
    </row>
    <row r="7" customFormat="false" ht="15" hidden="false" customHeight="false" outlineLevel="0" collapsed="false">
      <c r="A7" s="0" t="s">
        <v>76</v>
      </c>
      <c r="B7" s="3" t="n">
        <v>1862.467</v>
      </c>
    </row>
    <row r="8" customFormat="false" ht="15" hidden="false" customHeight="false" outlineLevel="0" collapsed="false">
      <c r="A8" s="0" t="s">
        <v>77</v>
      </c>
      <c r="B8" s="3" t="s">
        <v>68</v>
      </c>
    </row>
    <row r="9" customFormat="false" ht="15" hidden="false" customHeight="false" outlineLevel="0" collapsed="false">
      <c r="A9" s="0" t="s">
        <v>78</v>
      </c>
      <c r="B9" s="3" t="s">
        <v>79</v>
      </c>
    </row>
    <row r="10" customFormat="false" ht="15" hidden="false" customHeight="false" outlineLevel="0" collapsed="false">
      <c r="A10" s="0" t="s">
        <v>80</v>
      </c>
      <c r="B10" s="3" t="n">
        <v>1.1724</v>
      </c>
    </row>
    <row r="12" customFormat="false" ht="15" hidden="false" customHeight="false" outlineLevel="0" collapsed="false">
      <c r="A12" s="2" t="s">
        <v>81</v>
      </c>
      <c r="C12" s="2" t="s">
        <v>82</v>
      </c>
      <c r="D12" s="2" t="s">
        <v>83</v>
      </c>
      <c r="E12" s="2" t="s">
        <v>84</v>
      </c>
      <c r="F12" s="2" t="s">
        <v>85</v>
      </c>
      <c r="G12" s="2" t="s">
        <v>86</v>
      </c>
      <c r="H12" s="2" t="s">
        <v>87</v>
      </c>
      <c r="I12" s="2" t="s">
        <v>88</v>
      </c>
      <c r="J12" s="2" t="s">
        <v>89</v>
      </c>
      <c r="K12" s="2" t="s">
        <v>90</v>
      </c>
      <c r="L12" s="2" t="s">
        <v>91</v>
      </c>
    </row>
    <row r="13" customFormat="false" ht="15" hidden="false" customHeight="false" outlineLevel="0" collapsed="false">
      <c r="A13" s="0" t="s">
        <v>92</v>
      </c>
      <c r="C13" s="3" t="n">
        <v>-10</v>
      </c>
      <c r="D13" s="3" t="n">
        <v>-8</v>
      </c>
      <c r="E13" s="3" t="n">
        <v>-5</v>
      </c>
      <c r="F13" s="3" t="n">
        <v>-2</v>
      </c>
      <c r="G13" s="3" t="n">
        <v>0</v>
      </c>
      <c r="H13" s="3" t="n">
        <v>0</v>
      </c>
      <c r="I13" s="3" t="n">
        <v>0</v>
      </c>
      <c r="J13" s="3" t="n">
        <v>0</v>
      </c>
      <c r="K13" s="3" t="n">
        <v>0</v>
      </c>
      <c r="L13" s="3" t="n">
        <v>0</v>
      </c>
    </row>
    <row r="14" customFormat="false" ht="15" hidden="false" customHeight="false" outlineLevel="0" collapsed="false">
      <c r="A14" s="0" t="s">
        <v>93</v>
      </c>
      <c r="C14" s="3" t="n">
        <v>12.1</v>
      </c>
      <c r="D14" s="3" t="n">
        <v>11.8</v>
      </c>
      <c r="E14" s="3" t="n">
        <v>11.6</v>
      </c>
      <c r="F14" s="3" t="n">
        <v>11.6</v>
      </c>
      <c r="G14" s="3" t="n">
        <v>11.8</v>
      </c>
      <c r="H14" s="3" t="n">
        <v>12.1</v>
      </c>
      <c r="I14" s="3" t="n">
        <v>12.1</v>
      </c>
      <c r="J14" s="3" t="n">
        <v>12.1</v>
      </c>
      <c r="K14" s="3" t="n">
        <v>12.1</v>
      </c>
      <c r="L14" s="3" t="n">
        <v>12.1</v>
      </c>
    </row>
    <row r="15" customFormat="false" ht="15" hidden="false" customHeight="false" outlineLevel="0" collapsed="false">
      <c r="A15" s="0" t="s">
        <v>94</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95</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96</v>
      </c>
      <c r="C17" s="3" t="n">
        <v>10.5</v>
      </c>
      <c r="D17" s="3" t="n">
        <v>10.5</v>
      </c>
      <c r="E17" s="3" t="n">
        <v>10.5</v>
      </c>
      <c r="F17" s="3" t="n">
        <v>10.5</v>
      </c>
      <c r="G17" s="3" t="n">
        <v>10.5</v>
      </c>
      <c r="H17" s="3" t="n">
        <v>10.5</v>
      </c>
      <c r="I17" s="3" t="n">
        <v>10.5</v>
      </c>
      <c r="J17" s="3" t="n">
        <v>10.5</v>
      </c>
      <c r="K17" s="3" t="n">
        <v>10.5</v>
      </c>
      <c r="L17" s="3" t="n">
        <v>10.5</v>
      </c>
    </row>
    <row r="18" customFormat="false" ht="15" hidden="false" customHeight="false" outlineLevel="0" collapsed="false">
      <c r="A18" s="0" t="s">
        <v>97</v>
      </c>
      <c r="C18" s="3" t="n">
        <v>10.9</v>
      </c>
      <c r="D18" s="3" t="n">
        <v>10.9</v>
      </c>
      <c r="E18" s="3" t="n">
        <v>10.9</v>
      </c>
      <c r="F18" s="3" t="n">
        <v>10.9</v>
      </c>
      <c r="G18" s="3" t="n">
        <v>10.9</v>
      </c>
      <c r="H18" s="3" t="n">
        <v>10.9</v>
      </c>
      <c r="I18" s="3" t="n">
        <v>10.9</v>
      </c>
      <c r="J18" s="3" t="n">
        <v>10.9</v>
      </c>
      <c r="K18" s="3" t="n">
        <v>10.9</v>
      </c>
      <c r="L18" s="3" t="n">
        <v>10.9</v>
      </c>
    </row>
    <row r="19" customFormat="false" ht="15" hidden="false" customHeight="false" outlineLevel="0" collapsed="false">
      <c r="A19" s="0" t="s">
        <v>98</v>
      </c>
      <c r="C19" s="3" t="n">
        <v>25</v>
      </c>
      <c r="D19" s="3" t="n">
        <v>25</v>
      </c>
      <c r="E19" s="3" t="n">
        <v>25</v>
      </c>
      <c r="F19" s="3" t="n">
        <v>25</v>
      </c>
      <c r="G19" s="3" t="n">
        <v>25</v>
      </c>
      <c r="H19" s="3" t="n">
        <v>25</v>
      </c>
      <c r="I19" s="3" t="n">
        <v>25</v>
      </c>
      <c r="J19" s="3" t="n">
        <v>25</v>
      </c>
      <c r="K19" s="3" t="n">
        <v>25</v>
      </c>
      <c r="L19" s="3" t="n">
        <v>25</v>
      </c>
    </row>
    <row r="20" customFormat="false" ht="15" hidden="false" customHeight="false" outlineLevel="0" collapsed="false">
      <c r="A20" s="0" t="s">
        <v>99</v>
      </c>
      <c r="B20" s="3" t="n">
        <v>13</v>
      </c>
    </row>
    <row r="21" customFormat="false" ht="15" hidden="false" customHeight="false" outlineLevel="0" collapsed="false">
      <c r="A21" s="0" t="s">
        <v>100</v>
      </c>
      <c r="B21" s="3" t="n">
        <v>1</v>
      </c>
    </row>
    <row r="22" customFormat="false" ht="15" hidden="false" customHeight="false" outlineLevel="0" collapsed="false">
      <c r="A22" s="0" t="s">
        <v>101</v>
      </c>
      <c r="B22" s="3" t="n">
        <v>10</v>
      </c>
    </row>
    <row r="23" customFormat="false" ht="15" hidden="false" customHeight="false" outlineLevel="0" collapsed="false">
      <c r="A23" s="0" t="s">
        <v>102</v>
      </c>
      <c r="B23" s="3" t="n">
        <v>-30</v>
      </c>
    </row>
    <row r="24" customFormat="false" ht="15" hidden="false" customHeight="false" outlineLevel="0" collapsed="false">
      <c r="A24" s="0" t="s">
        <v>103</v>
      </c>
      <c r="B24" s="3" t="n">
        <v>0.35</v>
      </c>
    </row>
    <row r="26" customFormat="false" ht="15" hidden="false" customHeight="false" outlineLevel="0" collapsed="false">
      <c r="A26" s="2" t="s">
        <v>104</v>
      </c>
      <c r="C26" s="2" t="s">
        <v>82</v>
      </c>
      <c r="D26" s="2" t="s">
        <v>83</v>
      </c>
      <c r="E26" s="2" t="s">
        <v>84</v>
      </c>
      <c r="F26" s="2" t="s">
        <v>85</v>
      </c>
      <c r="G26" s="2" t="s">
        <v>86</v>
      </c>
      <c r="H26" s="2" t="s">
        <v>87</v>
      </c>
      <c r="I26" s="2" t="s">
        <v>88</v>
      </c>
      <c r="J26" s="2" t="s">
        <v>89</v>
      </c>
      <c r="K26" s="2" t="s">
        <v>90</v>
      </c>
      <c r="L26" s="2" t="s">
        <v>91</v>
      </c>
    </row>
    <row r="27" customFormat="false" ht="15" hidden="false" customHeight="false" outlineLevel="0" collapsed="false">
      <c r="A27" s="0" t="s">
        <v>92</v>
      </c>
      <c r="C27" s="3" t="n">
        <v>-2</v>
      </c>
      <c r="D27" s="3" t="n">
        <v>0</v>
      </c>
      <c r="E27" s="3" t="n">
        <v>3</v>
      </c>
      <c r="F27" s="3" t="n">
        <v>4</v>
      </c>
      <c r="G27" s="3" t="n">
        <v>4</v>
      </c>
      <c r="H27" s="3" t="n">
        <v>3.5</v>
      </c>
      <c r="I27" s="3" t="n">
        <v>3</v>
      </c>
      <c r="J27" s="3" t="n">
        <v>2.5</v>
      </c>
      <c r="K27" s="3" t="n">
        <v>2</v>
      </c>
      <c r="L27" s="3" t="n">
        <v>2</v>
      </c>
    </row>
    <row r="28" customFormat="false" ht="15" hidden="false" customHeight="false" outlineLevel="0" collapsed="false">
      <c r="A28" s="0" t="s">
        <v>93</v>
      </c>
      <c r="C28" s="3" t="n">
        <v>12.8</v>
      </c>
      <c r="D28" s="3" t="n">
        <v>13.2</v>
      </c>
      <c r="E28" s="3" t="n">
        <v>13.6</v>
      </c>
      <c r="F28" s="3" t="n">
        <v>14</v>
      </c>
      <c r="G28" s="3" t="n">
        <v>14.3</v>
      </c>
      <c r="H28" s="3" t="n">
        <v>14.6</v>
      </c>
      <c r="I28" s="3" t="n">
        <v>14.6</v>
      </c>
      <c r="J28" s="3" t="n">
        <v>14.6</v>
      </c>
      <c r="K28" s="3" t="n">
        <v>14.6</v>
      </c>
      <c r="L28" s="3" t="n">
        <v>14.6</v>
      </c>
    </row>
    <row r="29" customFormat="false" ht="15" hidden="false" customHeight="false" outlineLevel="0" collapsed="false">
      <c r="A29" s="0" t="s">
        <v>94</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95</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96</v>
      </c>
      <c r="C31" s="3" t="n">
        <v>10.5</v>
      </c>
      <c r="D31" s="3" t="n">
        <v>10.5</v>
      </c>
      <c r="E31" s="3" t="n">
        <v>10.5</v>
      </c>
      <c r="F31" s="3" t="n">
        <v>10.5</v>
      </c>
      <c r="G31" s="3" t="n">
        <v>10.5</v>
      </c>
      <c r="H31" s="3" t="n">
        <v>10.5</v>
      </c>
      <c r="I31" s="3" t="n">
        <v>10.5</v>
      </c>
      <c r="J31" s="3" t="n">
        <v>10.5</v>
      </c>
      <c r="K31" s="3" t="n">
        <v>10.5</v>
      </c>
      <c r="L31" s="3" t="n">
        <v>10.5</v>
      </c>
    </row>
    <row r="32" customFormat="false" ht="15" hidden="false" customHeight="false" outlineLevel="0" collapsed="false">
      <c r="A32" s="0" t="s">
        <v>97</v>
      </c>
      <c r="C32" s="3" t="n">
        <v>10.9</v>
      </c>
      <c r="D32" s="3" t="n">
        <v>10.9</v>
      </c>
      <c r="E32" s="3" t="n">
        <v>10.9</v>
      </c>
      <c r="F32" s="3" t="n">
        <v>10.9</v>
      </c>
      <c r="G32" s="3" t="n">
        <v>10.9</v>
      </c>
      <c r="H32" s="3" t="n">
        <v>10.9</v>
      </c>
      <c r="I32" s="3" t="n">
        <v>10.9</v>
      </c>
      <c r="J32" s="3" t="n">
        <v>10.9</v>
      </c>
      <c r="K32" s="3" t="n">
        <v>10.9</v>
      </c>
      <c r="L32" s="3" t="n">
        <v>10.9</v>
      </c>
    </row>
    <row r="33" customFormat="false" ht="15" hidden="false" customHeight="false" outlineLevel="0" collapsed="false">
      <c r="A33" s="0" t="s">
        <v>98</v>
      </c>
      <c r="C33" s="3" t="n">
        <v>25</v>
      </c>
      <c r="D33" s="3" t="n">
        <v>25</v>
      </c>
      <c r="E33" s="3" t="n">
        <v>25</v>
      </c>
      <c r="F33" s="3" t="n">
        <v>25</v>
      </c>
      <c r="G33" s="3" t="n">
        <v>25</v>
      </c>
      <c r="H33" s="3" t="n">
        <v>25</v>
      </c>
      <c r="I33" s="3" t="n">
        <v>25</v>
      </c>
      <c r="J33" s="3" t="n">
        <v>25</v>
      </c>
      <c r="K33" s="3" t="n">
        <v>25</v>
      </c>
      <c r="L33" s="3" t="n">
        <v>25</v>
      </c>
    </row>
    <row r="34" customFormat="false" ht="15" hidden="false" customHeight="false" outlineLevel="0" collapsed="false">
      <c r="A34" s="0" t="s">
        <v>99</v>
      </c>
      <c r="B34" s="3" t="n">
        <v>13</v>
      </c>
    </row>
    <row r="35" customFormat="false" ht="15" hidden="false" customHeight="false" outlineLevel="0" collapsed="false">
      <c r="A35" s="0" t="s">
        <v>100</v>
      </c>
      <c r="B35" s="3" t="n">
        <v>2</v>
      </c>
    </row>
    <row r="36" customFormat="false" ht="15" hidden="false" customHeight="false" outlineLevel="0" collapsed="false">
      <c r="A36" s="0" t="s">
        <v>101</v>
      </c>
      <c r="B36" s="3" t="n">
        <v>10</v>
      </c>
    </row>
    <row r="37" customFormat="false" ht="15" hidden="false" customHeight="false" outlineLevel="0" collapsed="false">
      <c r="A37" s="0" t="s">
        <v>102</v>
      </c>
      <c r="B37" s="3" t="n">
        <v>-60</v>
      </c>
    </row>
    <row r="38" customFormat="false" ht="15" hidden="false" customHeight="false" outlineLevel="0" collapsed="false">
      <c r="A38" s="0" t="s">
        <v>103</v>
      </c>
      <c r="B38" s="3" t="n">
        <v>0.45</v>
      </c>
    </row>
    <row r="40" customFormat="false" ht="15" hidden="false" customHeight="false" outlineLevel="0" collapsed="false">
      <c r="A40" s="2" t="s">
        <v>105</v>
      </c>
      <c r="C40" s="2" t="s">
        <v>82</v>
      </c>
      <c r="D40" s="2" t="s">
        <v>83</v>
      </c>
      <c r="E40" s="2" t="s">
        <v>84</v>
      </c>
      <c r="F40" s="2" t="s">
        <v>85</v>
      </c>
      <c r="G40" s="2" t="s">
        <v>86</v>
      </c>
      <c r="H40" s="2" t="s">
        <v>87</v>
      </c>
      <c r="I40" s="2" t="s">
        <v>88</v>
      </c>
      <c r="J40" s="2" t="s">
        <v>89</v>
      </c>
      <c r="K40" s="2" t="s">
        <v>90</v>
      </c>
      <c r="L40" s="2" t="s">
        <v>91</v>
      </c>
    </row>
    <row r="41" customFormat="false" ht="15" hidden="false" customHeight="false" outlineLevel="0" collapsed="false">
      <c r="A41" s="0" t="s">
        <v>92</v>
      </c>
      <c r="C41" s="3" t="n">
        <v>0</v>
      </c>
      <c r="D41" s="3" t="n">
        <v>5</v>
      </c>
      <c r="E41" s="3" t="n">
        <v>8</v>
      </c>
      <c r="F41" s="3" t="n">
        <v>8</v>
      </c>
      <c r="G41" s="3" t="n">
        <v>7</v>
      </c>
      <c r="H41" s="3" t="n">
        <v>6</v>
      </c>
      <c r="I41" s="3" t="n">
        <v>5</v>
      </c>
      <c r="J41" s="3" t="n">
        <v>4</v>
      </c>
      <c r="K41" s="3" t="n">
        <v>3</v>
      </c>
      <c r="L41" s="3" t="n">
        <v>2.5</v>
      </c>
    </row>
    <row r="42" customFormat="false" ht="15" hidden="false" customHeight="false" outlineLevel="0" collapsed="false">
      <c r="A42" s="0" t="s">
        <v>93</v>
      </c>
      <c r="C42" s="3" t="n">
        <v>13.1</v>
      </c>
      <c r="D42" s="3" t="n">
        <v>14.1</v>
      </c>
      <c r="E42" s="3" t="n">
        <v>15.1</v>
      </c>
      <c r="F42" s="3" t="n">
        <v>16.1</v>
      </c>
      <c r="G42" s="3" t="n">
        <v>16.9</v>
      </c>
      <c r="H42" s="3" t="n">
        <v>17.6</v>
      </c>
      <c r="I42" s="3" t="n">
        <v>17.6</v>
      </c>
      <c r="J42" s="3" t="n">
        <v>17.6</v>
      </c>
      <c r="K42" s="3" t="n">
        <v>17.6</v>
      </c>
      <c r="L42" s="3" t="n">
        <v>17.6</v>
      </c>
    </row>
    <row r="43" customFormat="false" ht="15" hidden="false" customHeight="false" outlineLevel="0" collapsed="false">
      <c r="A43" s="0" t="s">
        <v>94</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95</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96</v>
      </c>
      <c r="C45" s="3" t="n">
        <v>10.5</v>
      </c>
      <c r="D45" s="3" t="n">
        <v>10.5</v>
      </c>
      <c r="E45" s="3" t="n">
        <v>10.5</v>
      </c>
      <c r="F45" s="3" t="n">
        <v>10.5</v>
      </c>
      <c r="G45" s="3" t="n">
        <v>10.5</v>
      </c>
      <c r="H45" s="3" t="n">
        <v>10.5</v>
      </c>
      <c r="I45" s="3" t="n">
        <v>10.5</v>
      </c>
      <c r="J45" s="3" t="n">
        <v>10.5</v>
      </c>
      <c r="K45" s="3" t="n">
        <v>10.5</v>
      </c>
      <c r="L45" s="3" t="n">
        <v>10.5</v>
      </c>
    </row>
    <row r="46" customFormat="false" ht="15" hidden="false" customHeight="false" outlineLevel="0" collapsed="false">
      <c r="A46" s="0" t="s">
        <v>97</v>
      </c>
      <c r="C46" s="3" t="n">
        <v>10.9</v>
      </c>
      <c r="D46" s="3" t="n">
        <v>10.9</v>
      </c>
      <c r="E46" s="3" t="n">
        <v>10.9</v>
      </c>
      <c r="F46" s="3" t="n">
        <v>10.9</v>
      </c>
      <c r="G46" s="3" t="n">
        <v>10.9</v>
      </c>
      <c r="H46" s="3" t="n">
        <v>10.9</v>
      </c>
      <c r="I46" s="3" t="n">
        <v>10.9</v>
      </c>
      <c r="J46" s="3" t="n">
        <v>10.9</v>
      </c>
      <c r="K46" s="3" t="n">
        <v>10.9</v>
      </c>
      <c r="L46" s="3" t="n">
        <v>10.9</v>
      </c>
    </row>
    <row r="47" customFormat="false" ht="15" hidden="false" customHeight="false" outlineLevel="0" collapsed="false">
      <c r="A47" s="0" t="s">
        <v>98</v>
      </c>
      <c r="C47" s="3" t="n">
        <v>25</v>
      </c>
      <c r="D47" s="3" t="n">
        <v>25</v>
      </c>
      <c r="E47" s="3" t="n">
        <v>25</v>
      </c>
      <c r="F47" s="3" t="n">
        <v>25</v>
      </c>
      <c r="G47" s="3" t="n">
        <v>25</v>
      </c>
      <c r="H47" s="3" t="n">
        <v>25</v>
      </c>
      <c r="I47" s="3" t="n">
        <v>25</v>
      </c>
      <c r="J47" s="3" t="n">
        <v>25</v>
      </c>
      <c r="K47" s="3" t="n">
        <v>25</v>
      </c>
      <c r="L47" s="3" t="n">
        <v>25</v>
      </c>
    </row>
    <row r="48" customFormat="false" ht="15" hidden="false" customHeight="false" outlineLevel="0" collapsed="false">
      <c r="A48" s="0" t="s">
        <v>99</v>
      </c>
      <c r="B48" s="3" t="n">
        <v>13</v>
      </c>
    </row>
    <row r="49" customFormat="false" ht="15" hidden="false" customHeight="false" outlineLevel="0" collapsed="false">
      <c r="A49" s="0" t="s">
        <v>100</v>
      </c>
      <c r="B49" s="3" t="n">
        <v>2.5</v>
      </c>
    </row>
    <row r="50" customFormat="false" ht="15" hidden="false" customHeight="false" outlineLevel="0" collapsed="false">
      <c r="A50" s="0" t="s">
        <v>101</v>
      </c>
      <c r="B50" s="3" t="n">
        <v>10</v>
      </c>
    </row>
    <row r="51" customFormat="false" ht="15" hidden="false" customHeight="false" outlineLevel="0" collapsed="false">
      <c r="A51" s="0" t="s">
        <v>102</v>
      </c>
      <c r="B51" s="3" t="n">
        <v>-50</v>
      </c>
    </row>
    <row r="52" customFormat="false" ht="15" hidden="false" customHeight="false" outlineLevel="0" collapsed="false">
      <c r="A52" s="0" t="s">
        <v>103</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106</v>
      </c>
    </row>
    <row r="3" customFormat="false" ht="15" hidden="false" customHeight="false" outlineLevel="0" collapsed="false">
      <c r="A3" s="0" t="s">
        <v>107</v>
      </c>
      <c r="B3" s="0" t="s">
        <v>68</v>
      </c>
      <c r="C3" s="2" t="s">
        <v>82</v>
      </c>
      <c r="D3" s="2" t="s">
        <v>83</v>
      </c>
      <c r="E3" s="2" t="s">
        <v>84</v>
      </c>
      <c r="F3" s="2" t="s">
        <v>85</v>
      </c>
      <c r="G3" s="2" t="s">
        <v>86</v>
      </c>
      <c r="H3" s="2" t="s">
        <v>87</v>
      </c>
      <c r="I3" s="2" t="s">
        <v>88</v>
      </c>
      <c r="J3" s="2" t="s">
        <v>89</v>
      </c>
      <c r="K3" s="2" t="s">
        <v>90</v>
      </c>
      <c r="L3" s="2" t="s">
        <v>91</v>
      </c>
    </row>
    <row r="4" customFormat="false" ht="15" hidden="false" customHeight="false" outlineLevel="0" collapsed="false">
      <c r="A4" s="0" t="s">
        <v>108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92</v>
      </c>
      <c r="C5" s="4" t="n">
        <f aca="false">Assumptions!C13</f>
        <v>-10</v>
      </c>
      <c r="D5" s="4" t="n">
        <f aca="false">Assumptions!D13</f>
        <v>-8</v>
      </c>
      <c r="E5" s="4" t="n">
        <f aca="false">Assumptions!E13</f>
        <v>-5</v>
      </c>
      <c r="F5" s="4" t="n">
        <f aca="false">Assumptions!F13</f>
        <v>-2</v>
      </c>
      <c r="G5" s="4" t="n">
        <f aca="false">Assumptions!G13</f>
        <v>0</v>
      </c>
      <c r="H5" s="4" t="n">
        <f aca="false">Assumptions!H13</f>
        <v>0</v>
      </c>
      <c r="I5" s="4" t="n">
        <f aca="false">Assumptions!I13</f>
        <v>0</v>
      </c>
      <c r="J5" s="4" t="n">
        <f aca="false">Assumptions!J13</f>
        <v>0</v>
      </c>
      <c r="K5" s="4" t="n">
        <f aca="false">Assumptions!K13</f>
        <v>0</v>
      </c>
      <c r="L5" s="4" t="n">
        <f aca="false">Assumptions!L13</f>
        <v>0</v>
      </c>
    </row>
    <row r="6" customFormat="false" ht="15" hidden="false" customHeight="false" outlineLevel="0" collapsed="false">
      <c r="A6" s="0" t="s">
        <v>38</v>
      </c>
      <c r="B6" s="3" t="n">
        <v>1862.467</v>
      </c>
      <c r="C6" s="0" t="n">
        <f aca="false">B6*(1+C5/100)</f>
        <v>1676.2203</v>
      </c>
      <c r="D6" s="0" t="n">
        <f aca="false">C6*(1+D5/100)</f>
        <v>1542.122676</v>
      </c>
      <c r="E6" s="0" t="n">
        <f aca="false">D6*(1+E5/100)</f>
        <v>1465.0165422</v>
      </c>
      <c r="F6" s="0" t="n">
        <f aca="false">E6*(1+F5/100)</f>
        <v>1435.716211356</v>
      </c>
      <c r="G6" s="0" t="n">
        <f aca="false">F6*(1+G5/100)</f>
        <v>1435.716211356</v>
      </c>
      <c r="H6" s="0" t="n">
        <f aca="false">G6*(1+H5/100)</f>
        <v>1435.716211356</v>
      </c>
      <c r="I6" s="0" t="n">
        <f aca="false">H6*(1+I5/100)</f>
        <v>1435.716211356</v>
      </c>
      <c r="J6" s="0" t="n">
        <f aca="false">I6*(1+J5/100)</f>
        <v>1435.716211356</v>
      </c>
      <c r="K6" s="0" t="n">
        <f aca="false">J6*(1+K5/100)</f>
        <v>1435.716211356</v>
      </c>
      <c r="L6" s="0" t="n">
        <f aca="false">K6*(1+L5/100)</f>
        <v>1435.716211356</v>
      </c>
    </row>
    <row r="7" customFormat="false" ht="15" hidden="false" customHeight="false" outlineLevel="0" collapsed="false">
      <c r="A7" s="0" t="s">
        <v>93</v>
      </c>
      <c r="C7" s="4" t="n">
        <f aca="false">Assumptions!C14</f>
        <v>12.1</v>
      </c>
      <c r="D7" s="4" t="n">
        <f aca="false">Assumptions!D14</f>
        <v>11.8</v>
      </c>
      <c r="E7" s="4" t="n">
        <f aca="false">Assumptions!E14</f>
        <v>11.6</v>
      </c>
      <c r="F7" s="4" t="n">
        <f aca="false">Assumptions!F14</f>
        <v>11.6</v>
      </c>
      <c r="G7" s="4" t="n">
        <f aca="false">Assumptions!G14</f>
        <v>11.8</v>
      </c>
      <c r="H7" s="4" t="n">
        <f aca="false">Assumptions!H14</f>
        <v>12.1</v>
      </c>
      <c r="I7" s="4" t="n">
        <f aca="false">Assumptions!I14</f>
        <v>12.1</v>
      </c>
      <c r="J7" s="4" t="n">
        <f aca="false">Assumptions!J14</f>
        <v>12.1</v>
      </c>
      <c r="K7" s="4" t="n">
        <f aca="false">Assumptions!K14</f>
        <v>12.1</v>
      </c>
      <c r="L7" s="4" t="n">
        <f aca="false">Assumptions!L14</f>
        <v>12.1</v>
      </c>
    </row>
    <row r="8" customFormat="false" ht="15" hidden="false" customHeight="false" outlineLevel="0" collapsed="false">
      <c r="A8" s="0" t="s">
        <v>44</v>
      </c>
      <c r="C8" s="0" t="n">
        <f aca="false">C6*C7/100</f>
        <v>202.8226563</v>
      </c>
      <c r="D8" s="0" t="n">
        <f aca="false">D6*D7/100</f>
        <v>181.970475768</v>
      </c>
      <c r="E8" s="0" t="n">
        <f aca="false">E6*E7/100</f>
        <v>169.9419188952</v>
      </c>
      <c r="F8" s="0" t="n">
        <f aca="false">F6*F7/100</f>
        <v>166.543080517296</v>
      </c>
      <c r="G8" s="0" t="n">
        <f aca="false">G6*G7/100</f>
        <v>169.414512940008</v>
      </c>
      <c r="H8" s="0" t="n">
        <f aca="false">H6*H7/100</f>
        <v>173.721661574076</v>
      </c>
      <c r="I8" s="0" t="n">
        <f aca="false">I6*I7/100</f>
        <v>173.721661574076</v>
      </c>
      <c r="J8" s="0" t="n">
        <f aca="false">J6*J7/100</f>
        <v>173.721661574076</v>
      </c>
      <c r="K8" s="0" t="n">
        <f aca="false">K6*K7/100</f>
        <v>173.721661574076</v>
      </c>
      <c r="L8" s="0" t="n">
        <f aca="false">L6*L7/100</f>
        <v>173.721661574076</v>
      </c>
    </row>
    <row r="9" customFormat="false" ht="15" hidden="false" customHeight="false" outlineLevel="0" collapsed="false">
      <c r="A9" s="0" t="s">
        <v>94</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109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110</v>
      </c>
      <c r="C11" s="0" t="n">
        <f aca="false">C8+C10+C24</f>
        <v>202.8226563</v>
      </c>
      <c r="D11" s="0" t="n">
        <f aca="false">D8+D10+D24</f>
        <v>181.970475768</v>
      </c>
      <c r="E11" s="0" t="n">
        <f aca="false">E8+E10+E24</f>
        <v>169.9419188952</v>
      </c>
      <c r="F11" s="0" t="n">
        <f aca="false">F8+F10+F24</f>
        <v>166.543080517296</v>
      </c>
      <c r="G11" s="0" t="n">
        <f aca="false">G8+G10+G24</f>
        <v>169.414512940008</v>
      </c>
      <c r="H11" s="0" t="n">
        <f aca="false">H8+H10+H24</f>
        <v>173.721661574076</v>
      </c>
      <c r="I11" s="0" t="n">
        <f aca="false">I8+I10+I24</f>
        <v>173.721661574076</v>
      </c>
      <c r="J11" s="0" t="n">
        <f aca="false">J8+J10+J24</f>
        <v>173.721661574076</v>
      </c>
      <c r="K11" s="0" t="n">
        <f aca="false">K8+K10+K24</f>
        <v>173.721661574076</v>
      </c>
      <c r="L11" s="0" t="n">
        <f aca="false">L8+L10+L24</f>
        <v>173.721661574076</v>
      </c>
    </row>
    <row r="12" customFormat="false" ht="15" hidden="false" customHeight="false" outlineLevel="0" collapsed="false">
      <c r="A12" s="0" t="s">
        <v>111</v>
      </c>
      <c r="C12" s="4" t="n">
        <f aca="false">-C6*Assumptions!C17/100</f>
        <v>-176.0031315</v>
      </c>
      <c r="D12" s="4" t="n">
        <f aca="false">-D6*Assumptions!D17/100</f>
        <v>-161.92288098</v>
      </c>
      <c r="E12" s="4" t="n">
        <f aca="false">-E6*Assumptions!E17/100</f>
        <v>-153.826736931</v>
      </c>
      <c r="F12" s="4" t="n">
        <f aca="false">-F6*Assumptions!F17/100</f>
        <v>-150.75020219238</v>
      </c>
      <c r="G12" s="4" t="n">
        <f aca="false">-G6*Assumptions!G17/100</f>
        <v>-150.75020219238</v>
      </c>
      <c r="H12" s="4" t="n">
        <f aca="false">-H6*Assumptions!H17/100</f>
        <v>-150.75020219238</v>
      </c>
      <c r="I12" s="4" t="n">
        <f aca="false">-I6*Assumptions!I17/100</f>
        <v>-150.75020219238</v>
      </c>
      <c r="J12" s="4" t="n">
        <f aca="false">-J6*Assumptions!J17/100</f>
        <v>-150.75020219238</v>
      </c>
      <c r="K12" s="4" t="n">
        <f aca="false">-K6*Assumptions!K17/100</f>
        <v>-150.75020219238</v>
      </c>
      <c r="L12" s="4" t="n">
        <f aca="false">-L6*Assumptions!L17/100</f>
        <v>-150.75020219238</v>
      </c>
    </row>
    <row r="13" customFormat="false" ht="15" hidden="false" customHeight="false" outlineLevel="0" collapsed="false">
      <c r="A13" s="0" t="s">
        <v>112</v>
      </c>
      <c r="C13" s="0" t="n">
        <f aca="false">C11+C12</f>
        <v>26.8195248</v>
      </c>
      <c r="D13" s="0" t="n">
        <f aca="false">D11+D12</f>
        <v>20.047594788</v>
      </c>
      <c r="E13" s="0" t="n">
        <f aca="false">E11+E12</f>
        <v>16.1151819642</v>
      </c>
      <c r="F13" s="0" t="n">
        <f aca="false">F11+F12</f>
        <v>15.792878324916</v>
      </c>
      <c r="G13" s="0" t="n">
        <f aca="false">G11+G12</f>
        <v>18.664310747628</v>
      </c>
      <c r="H13" s="0" t="n">
        <f aca="false">H11+H12</f>
        <v>22.971459381696</v>
      </c>
      <c r="I13" s="0" t="n">
        <f aca="false">I11+I12</f>
        <v>22.971459381696</v>
      </c>
      <c r="J13" s="0" t="n">
        <f aca="false">J11+J12</f>
        <v>22.971459381696</v>
      </c>
      <c r="K13" s="0" t="n">
        <f aca="false">K11+K12</f>
        <v>22.971459381696</v>
      </c>
      <c r="L13" s="0" t="n">
        <f aca="false">L11+L12</f>
        <v>22.971459381696</v>
      </c>
    </row>
    <row r="14" customFormat="false" ht="15" hidden="false" customHeight="false" outlineLevel="0" collapsed="false">
      <c r="A14" s="0" t="s">
        <v>98</v>
      </c>
      <c r="C14" s="4" t="n">
        <f aca="false">Assumptions!C19</f>
        <v>25</v>
      </c>
      <c r="D14" s="4" t="n">
        <f aca="false">Assumptions!D19</f>
        <v>25</v>
      </c>
      <c r="E14" s="4" t="n">
        <f aca="false">Assumptions!E19</f>
        <v>25</v>
      </c>
      <c r="F14" s="4" t="n">
        <f aca="false">Assumptions!F19</f>
        <v>25</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113</v>
      </c>
      <c r="C15" s="0" t="n">
        <f aca="false">C13-MAX(0,C13)*C14/100</f>
        <v>20.1146436</v>
      </c>
      <c r="D15" s="0" t="n">
        <f aca="false">D13-MAX(0,D13)*D14/100</f>
        <v>15.035696091</v>
      </c>
      <c r="E15" s="0" t="n">
        <f aca="false">E13-MAX(0,E13)*E14/100</f>
        <v>12.08638647315</v>
      </c>
      <c r="F15" s="0" t="n">
        <f aca="false">F13-MAX(0,F13)*F14/100</f>
        <v>11.844658743687</v>
      </c>
      <c r="G15" s="0" t="n">
        <f aca="false">G13-MAX(0,G13)*G14/100</f>
        <v>13.998233060721</v>
      </c>
      <c r="H15" s="0" t="n">
        <f aca="false">H13-MAX(0,H13)*H14/100</f>
        <v>17.228594536272</v>
      </c>
      <c r="I15" s="0" t="n">
        <f aca="false">I13-MAX(0,I13)*I14/100</f>
        <v>17.228594536272</v>
      </c>
      <c r="J15" s="0" t="n">
        <f aca="false">J13-MAX(0,J13)*J14/100</f>
        <v>17.228594536272</v>
      </c>
      <c r="K15" s="0" t="n">
        <f aca="false">K13-MAX(0,K13)*K14/100</f>
        <v>17.228594536272</v>
      </c>
      <c r="L15" s="0" t="n">
        <f aca="false">L13-MAX(0,L13)*L14/100</f>
        <v>17.228594536272</v>
      </c>
    </row>
    <row r="16" customFormat="false" ht="15" hidden="false" customHeight="false" outlineLevel="0" collapsed="false">
      <c r="A16" s="0" t="s">
        <v>114</v>
      </c>
      <c r="C16" s="0" t="n">
        <f aca="false">-C12</f>
        <v>176.0031315</v>
      </c>
      <c r="D16" s="0" t="n">
        <f aca="false">-D12</f>
        <v>161.92288098</v>
      </c>
      <c r="E16" s="0" t="n">
        <f aca="false">-E12</f>
        <v>153.826736931</v>
      </c>
      <c r="F16" s="0" t="n">
        <f aca="false">-F12</f>
        <v>150.75020219238</v>
      </c>
      <c r="G16" s="0" t="n">
        <f aca="false">-G12</f>
        <v>150.75020219238</v>
      </c>
      <c r="H16" s="0" t="n">
        <f aca="false">-H12</f>
        <v>150.75020219238</v>
      </c>
      <c r="I16" s="0" t="n">
        <f aca="false">-I12</f>
        <v>150.75020219238</v>
      </c>
      <c r="J16" s="0" t="n">
        <f aca="false">-J12</f>
        <v>150.75020219238</v>
      </c>
      <c r="K16" s="0" t="n">
        <f aca="false">-K12</f>
        <v>150.75020219238</v>
      </c>
      <c r="L16" s="0" t="n">
        <f aca="false">-L12</f>
        <v>150.75020219238</v>
      </c>
    </row>
    <row r="17" customFormat="false" ht="15" hidden="false" customHeight="false" outlineLevel="0" collapsed="false">
      <c r="A17" s="0" t="s">
        <v>115</v>
      </c>
      <c r="C17" s="4" t="n">
        <f aca="false">-C6*Assumptions!C18/100</f>
        <v>-182.7080127</v>
      </c>
      <c r="D17" s="4" t="n">
        <f aca="false">-D6*Assumptions!D18/100</f>
        <v>-168.091371684</v>
      </c>
      <c r="E17" s="4" t="n">
        <f aca="false">-E6*Assumptions!E18/100</f>
        <v>-159.6868030998</v>
      </c>
      <c r="F17" s="4" t="n">
        <f aca="false">-F6*Assumptions!F18/100</f>
        <v>-156.493067037804</v>
      </c>
      <c r="G17" s="4" t="n">
        <f aca="false">-G6*Assumptions!G18/100</f>
        <v>-156.493067037804</v>
      </c>
      <c r="H17" s="4" t="n">
        <f aca="false">-H6*Assumptions!H18/100</f>
        <v>-156.493067037804</v>
      </c>
      <c r="I17" s="4" t="n">
        <f aca="false">-I6*Assumptions!I18/100</f>
        <v>-156.493067037804</v>
      </c>
      <c r="J17" s="4" t="n">
        <f aca="false">-J6*Assumptions!J18/100</f>
        <v>-156.493067037804</v>
      </c>
      <c r="K17" s="4" t="n">
        <f aca="false">-K6*Assumptions!K18/100</f>
        <v>-156.493067037804</v>
      </c>
      <c r="L17" s="4" t="n">
        <f aca="false">-L6*Assumptions!L18/100</f>
        <v>-156.493067037804</v>
      </c>
    </row>
    <row r="18" customFormat="false" ht="15" hidden="false" customHeight="false" outlineLevel="0" collapsed="false">
      <c r="A18" s="0" t="s">
        <v>116</v>
      </c>
      <c r="C18" s="4" t="n">
        <f aca="false">(C6-B6)*Assumptions!$B$23/100</f>
        <v>55.87401</v>
      </c>
      <c r="D18" s="4" t="n">
        <f aca="false">(D6-C6)*Assumptions!$B$23/100</f>
        <v>40.2292872</v>
      </c>
      <c r="E18" s="4" t="n">
        <f aca="false">(E6-D6)*Assumptions!$B$23/100</f>
        <v>23.1318401400001</v>
      </c>
      <c r="F18" s="4" t="n">
        <f aca="false">(F6-E6)*Assumptions!$B$23/100</f>
        <v>8.79009925319999</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117</v>
      </c>
      <c r="C19" s="0" t="n">
        <f aca="false">C15+C16+C17+C18</f>
        <v>69.2837724</v>
      </c>
      <c r="D19" s="0" t="n">
        <f aca="false">D15+D16+D17+D18</f>
        <v>49.096492587</v>
      </c>
      <c r="E19" s="0" t="n">
        <f aca="false">E15+E16+E17+E18</f>
        <v>29.3581604443501</v>
      </c>
      <c r="F19" s="0" t="n">
        <f aca="false">F15+F16+F17+F18</f>
        <v>14.891893151463</v>
      </c>
      <c r="G19" s="0" t="n">
        <f aca="false">G15+G16+G17+G18</f>
        <v>8.25536821529701</v>
      </c>
      <c r="H19" s="0" t="n">
        <f aca="false">H15+H16+H17+H18</f>
        <v>11.485729690848</v>
      </c>
      <c r="I19" s="0" t="n">
        <f aca="false">I15+I16+I17+I18</f>
        <v>11.485729690848</v>
      </c>
      <c r="J19" s="0" t="n">
        <f aca="false">J15+J16+J17+J18</f>
        <v>11.485729690848</v>
      </c>
      <c r="K19" s="0" t="n">
        <f aca="false">K15+K16+K17+K18</f>
        <v>11.485729690848</v>
      </c>
      <c r="L19" s="0" t="n">
        <f aca="false">L15+L16+L17+L18</f>
        <v>11.485729690848</v>
      </c>
    </row>
    <row r="20" customFormat="false" ht="15" hidden="false" customHeight="false" outlineLevel="0" collapsed="false">
      <c r="A20" s="0" t="s">
        <v>118</v>
      </c>
      <c r="C20" s="0" t="n">
        <f aca="false">1/(1+$B$27/100)^C4</f>
        <v>0.884955752212389</v>
      </c>
      <c r="D20" s="0" t="n">
        <f aca="false">1/(1+$B$27/100)^D4</f>
        <v>0.783146683373796</v>
      </c>
      <c r="E20" s="0" t="n">
        <f aca="false">1/(1+$B$27/100)^E4</f>
        <v>0.693050162277696</v>
      </c>
      <c r="F20" s="0" t="n">
        <f aca="false">1/(1+$B$27/100)^F4</f>
        <v>0.613318727679377</v>
      </c>
      <c r="G20" s="0" t="n">
        <f aca="false">1/(1+$B$27/100)^G4</f>
        <v>0.542759935999449</v>
      </c>
      <c r="H20" s="0" t="n">
        <f aca="false">1/(1+$B$27/100)^H4</f>
        <v>0.48031852743314</v>
      </c>
      <c r="I20" s="0" t="n">
        <f aca="false">1/(1+$B$27/100)^I4</f>
        <v>0.425060643746142</v>
      </c>
      <c r="J20" s="0" t="n">
        <f aca="false">1/(1+$B$27/100)^J4</f>
        <v>0.37615986172225</v>
      </c>
      <c r="K20" s="0" t="n">
        <f aca="false">1/(1+$B$27/100)^K4</f>
        <v>0.332884833382522</v>
      </c>
      <c r="L20" s="0" t="n">
        <f aca="false">1/(1+$B$27/100)^L4</f>
        <v>0.294588348126126</v>
      </c>
    </row>
    <row r="21" customFormat="false" ht="15" hidden="false" customHeight="false" outlineLevel="0" collapsed="false">
      <c r="A21" s="0" t="s">
        <v>119</v>
      </c>
      <c r="C21" s="0" t="n">
        <f aca="false">C19*C20</f>
        <v>61.3130729203539</v>
      </c>
      <c r="D21" s="0" t="n">
        <f aca="false">D19*D20</f>
        <v>38.4497553347952</v>
      </c>
      <c r="E21" s="0" t="n">
        <f aca="false">E19*E20</f>
        <v>20.3466778601314</v>
      </c>
      <c r="F21" s="0" t="n">
        <f aca="false">F19*F20</f>
        <v>9.13347696039249</v>
      </c>
      <c r="G21" s="0" t="n">
        <f aca="false">G19*G20</f>
        <v>4.48068312418649</v>
      </c>
      <c r="H21" s="0" t="n">
        <f aca="false">H19*H20</f>
        <v>5.51680877160321</v>
      </c>
      <c r="I21" s="0" t="n">
        <f aca="false">I19*I20</f>
        <v>4.88213165628602</v>
      </c>
      <c r="J21" s="0" t="n">
        <f aca="false">J19*J20</f>
        <v>4.32047049228852</v>
      </c>
      <c r="K21" s="0" t="n">
        <f aca="false">K19*K20</f>
        <v>3.82342521441462</v>
      </c>
      <c r="L21" s="0" t="n">
        <f aca="false">L19*L20</f>
        <v>3.3835621366501</v>
      </c>
    </row>
    <row r="23" customFormat="false" ht="15" hidden="false" customHeight="false" outlineLevel="0" collapsed="false">
      <c r="A23" s="0" t="s">
        <v>95</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120</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121</v>
      </c>
    </row>
    <row r="27" customFormat="false" ht="15" hidden="false" customHeight="false" outlineLevel="0" collapsed="false">
      <c r="A27" s="0" t="s">
        <v>99</v>
      </c>
      <c r="B27" s="4" t="n">
        <f aca="false">Assumptions!$B$20</f>
        <v>13</v>
      </c>
    </row>
    <row r="28" customFormat="false" ht="15" hidden="false" customHeight="false" outlineLevel="0" collapsed="false">
      <c r="A28" s="0" t="s">
        <v>100</v>
      </c>
      <c r="B28" s="4" t="n">
        <f aca="false">Assumptions!$B$21</f>
        <v>1</v>
      </c>
    </row>
    <row r="29" customFormat="false" ht="15" hidden="false" customHeight="false" outlineLevel="0" collapsed="false">
      <c r="A29" s="0" t="s">
        <v>101</v>
      </c>
      <c r="B29" s="4" t="n">
        <f aca="false">Assumptions!$B$22</f>
        <v>10</v>
      </c>
    </row>
    <row r="30" customFormat="false" ht="15" hidden="false" customHeight="false" outlineLevel="0" collapsed="false">
      <c r="A30" s="0" t="s">
        <v>122</v>
      </c>
      <c r="B30" s="0" t="n">
        <f aca="false">SUM(C21:L21)</f>
        <v>155.650064471102</v>
      </c>
    </row>
    <row r="31" customFormat="false" ht="15" hidden="false" customHeight="false" outlineLevel="0" collapsed="false">
      <c r="A31" s="0" t="s">
        <v>123</v>
      </c>
      <c r="B31" s="0" t="n">
        <f aca="false">L19</f>
        <v>11.485729690848</v>
      </c>
    </row>
    <row r="32" customFormat="false" ht="15" hidden="false" customHeight="false" outlineLevel="0" collapsed="false">
      <c r="A32" s="0" t="s">
        <v>124</v>
      </c>
      <c r="B32" s="0" t="n">
        <f aca="false">IF(B27&gt;B28,B31*(1+B28/100)/((B27-B28)/100),B31*B29)</f>
        <v>96.6715582313039</v>
      </c>
    </row>
    <row r="33" customFormat="false" ht="15" hidden="false" customHeight="false" outlineLevel="0" collapsed="false">
      <c r="A33" s="0" t="s">
        <v>125</v>
      </c>
      <c r="B33" s="0" t="n">
        <f aca="false">B31*B29</f>
        <v>114.85729690848</v>
      </c>
    </row>
    <row r="34" customFormat="false" ht="15" hidden="false" customHeight="false" outlineLevel="0" collapsed="false">
      <c r="A34" s="0" t="s">
        <v>126</v>
      </c>
      <c r="B34" s="0" t="n">
        <f aca="false">MAX(0,MIN(B32,B33))</f>
        <v>96.6715582313039</v>
      </c>
    </row>
    <row r="35" customFormat="false" ht="15" hidden="false" customHeight="false" outlineLevel="0" collapsed="false">
      <c r="A35" s="0" t="s">
        <v>127</v>
      </c>
      <c r="B35" s="0" t="n">
        <f aca="false">B34/(1+B27/100)^L4</f>
        <v>28.4783146501384</v>
      </c>
    </row>
    <row r="36" customFormat="false" ht="15" hidden="false" customHeight="false" outlineLevel="0" collapsed="false">
      <c r="A36" s="0" t="s">
        <v>128</v>
      </c>
      <c r="B36" s="0" t="n">
        <f aca="false">B30+B35</f>
        <v>184.12837912124</v>
      </c>
    </row>
    <row r="37" customFormat="false" ht="15" hidden="false" customHeight="false" outlineLevel="0" collapsed="false">
      <c r="A37" s="0" t="s">
        <v>129</v>
      </c>
      <c r="B37" s="0" t="n">
        <f aca="false">B36+Assumptions!$B$5-Assumptions!$B$4</f>
        <v>194.62837912124</v>
      </c>
    </row>
    <row r="38" customFormat="false" ht="15" hidden="false" customHeight="false" outlineLevel="0" collapsed="false">
      <c r="A38" s="0" t="s">
        <v>130</v>
      </c>
      <c r="B38" s="0" t="n">
        <f aca="false">B37/Assumptions!$B$3*Assumptions!$B$10</f>
        <v>0.118630615664584</v>
      </c>
    </row>
    <row r="39" customFormat="false" ht="15" hidden="false" customHeight="false" outlineLevel="0" collapsed="false">
      <c r="A39" s="0" t="s">
        <v>131</v>
      </c>
      <c r="B39" s="4" t="n">
        <f aca="false">B38/Assumptions!$B$2-1</f>
        <v>-0.629279326048174</v>
      </c>
    </row>
    <row r="41" customFormat="false" ht="15" hidden="false" customHeight="false" outlineLevel="0" collapsed="false">
      <c r="A41" s="0" t="s">
        <v>132</v>
      </c>
      <c r="B41" s="0" t="n">
        <f aca="false">SUMPRODUCT(-C10:L10/(1+$B$27/100)^C4:L4)</f>
        <v>0</v>
      </c>
    </row>
    <row r="42" customFormat="false" ht="15" hidden="false" customHeight="false" outlineLevel="0" collapsed="false">
      <c r="A42" s="0" t="s">
        <v>133</v>
      </c>
      <c r="B42" s="0" t="n">
        <f aca="false">IF(B27&gt;B28,-L10*(1+B28/100)/((B27-B28)/100),-L10*20)/(1+B27/100)^L4</f>
        <v>0</v>
      </c>
    </row>
    <row r="43" customFormat="false" ht="15" hidden="false" customHeight="false" outlineLevel="0" collapsed="false">
      <c r="A43" s="0" t="s">
        <v>134</v>
      </c>
      <c r="B43" s="0" t="n">
        <f aca="false">(B37+B41+B42)/Assumptions!$B$3*Assumptions!$B$10</f>
        <v>0.118630615664584</v>
      </c>
    </row>
    <row r="45" customFormat="false" ht="15" hidden="false" customHeight="false" outlineLevel="0" collapsed="false">
      <c r="A45" s="0" t="s">
        <v>75</v>
      </c>
      <c r="B45" s="4" t="n">
        <f aca="false">Assumptions!$B$6</f>
        <v>15</v>
      </c>
    </row>
    <row r="46" customFormat="false" ht="15" hidden="false" customHeight="false" outlineLevel="0" collapsed="false">
      <c r="A46" s="0" t="s">
        <v>135</v>
      </c>
      <c r="B46" s="0" t="n">
        <f aca="false">MAX(0,MIN(IF(B45&gt;B28,B31*(1+B28/100)/((B45-B28)/100),B31*B29),B31*B29))</f>
        <v>82.8613356268319</v>
      </c>
    </row>
    <row r="47" customFormat="false" ht="15" hidden="false" customHeight="false" outlineLevel="0" collapsed="false">
      <c r="A47" s="0" t="s">
        <v>136</v>
      </c>
      <c r="B47" s="0" t="n">
        <f aca="false">(SUMPRODUCT(C19:L19/(1+B45/100)^C4:L4)+B46/(1+B45/100)^L4+Assumptions!$B$5-Assumptions!$B$4)/Assumptions!$B$3*Assumptions!$B$10</f>
        <v>0.10935917527032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137</v>
      </c>
    </row>
    <row r="3" customFormat="false" ht="15" hidden="false" customHeight="false" outlineLevel="0" collapsed="false">
      <c r="A3" s="0" t="s">
        <v>107</v>
      </c>
      <c r="B3" s="0" t="s">
        <v>68</v>
      </c>
      <c r="C3" s="2" t="s">
        <v>82</v>
      </c>
      <c r="D3" s="2" t="s">
        <v>83</v>
      </c>
      <c r="E3" s="2" t="s">
        <v>84</v>
      </c>
      <c r="F3" s="2" t="s">
        <v>85</v>
      </c>
      <c r="G3" s="2" t="s">
        <v>86</v>
      </c>
      <c r="H3" s="2" t="s">
        <v>87</v>
      </c>
      <c r="I3" s="2" t="s">
        <v>88</v>
      </c>
      <c r="J3" s="2" t="s">
        <v>89</v>
      </c>
      <c r="K3" s="2" t="s">
        <v>90</v>
      </c>
      <c r="L3" s="2" t="s">
        <v>91</v>
      </c>
    </row>
    <row r="4" customFormat="false" ht="15" hidden="false" customHeight="false" outlineLevel="0" collapsed="false">
      <c r="A4" s="0" t="s">
        <v>108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92</v>
      </c>
      <c r="C5" s="4" t="n">
        <f aca="false">Assumptions!C27</f>
        <v>-2</v>
      </c>
      <c r="D5" s="4" t="n">
        <f aca="false">Assumptions!D27</f>
        <v>0</v>
      </c>
      <c r="E5" s="4" t="n">
        <f aca="false">Assumptions!E27</f>
        <v>3</v>
      </c>
      <c r="F5" s="4" t="n">
        <f aca="false">Assumptions!F27</f>
        <v>4</v>
      </c>
      <c r="G5" s="4" t="n">
        <f aca="false">Assumptions!G27</f>
        <v>4</v>
      </c>
      <c r="H5" s="4" t="n">
        <f aca="false">Assumptions!H27</f>
        <v>3.5</v>
      </c>
      <c r="I5" s="4" t="n">
        <f aca="false">Assumptions!I27</f>
        <v>3</v>
      </c>
      <c r="J5" s="4" t="n">
        <f aca="false">Assumptions!J27</f>
        <v>2.5</v>
      </c>
      <c r="K5" s="4" t="n">
        <f aca="false">Assumptions!K27</f>
        <v>2</v>
      </c>
      <c r="L5" s="4" t="n">
        <f aca="false">Assumptions!L27</f>
        <v>2</v>
      </c>
    </row>
    <row r="6" customFormat="false" ht="15" hidden="false" customHeight="false" outlineLevel="0" collapsed="false">
      <c r="A6" s="0" t="s">
        <v>38</v>
      </c>
      <c r="B6" s="3" t="n">
        <v>1862.467</v>
      </c>
      <c r="C6" s="0" t="n">
        <f aca="false">B6*(1+C5/100)</f>
        <v>1825.21766</v>
      </c>
      <c r="D6" s="0" t="n">
        <f aca="false">C6*(1+D5/100)</f>
        <v>1825.21766</v>
      </c>
      <c r="E6" s="0" t="n">
        <f aca="false">D6*(1+E5/100)</f>
        <v>1879.9741898</v>
      </c>
      <c r="F6" s="0" t="n">
        <f aca="false">E6*(1+F5/100)</f>
        <v>1955.173157392</v>
      </c>
      <c r="G6" s="0" t="n">
        <f aca="false">F6*(1+G5/100)</f>
        <v>2033.38008368768</v>
      </c>
      <c r="H6" s="0" t="n">
        <f aca="false">G6*(1+H5/100)</f>
        <v>2104.54838661675</v>
      </c>
      <c r="I6" s="0" t="n">
        <f aca="false">H6*(1+I5/100)</f>
        <v>2167.68483821525</v>
      </c>
      <c r="J6" s="0" t="n">
        <f aca="false">I6*(1+J5/100)</f>
        <v>2221.87695917063</v>
      </c>
      <c r="K6" s="0" t="n">
        <f aca="false">J6*(1+K5/100)</f>
        <v>2266.31449835405</v>
      </c>
      <c r="L6" s="0" t="n">
        <f aca="false">K6*(1+L5/100)</f>
        <v>2311.64078832113</v>
      </c>
    </row>
    <row r="7" customFormat="false" ht="15" hidden="false" customHeight="false" outlineLevel="0" collapsed="false">
      <c r="A7" s="0" t="s">
        <v>93</v>
      </c>
      <c r="C7" s="4" t="n">
        <f aca="false">Assumptions!C28</f>
        <v>12.8</v>
      </c>
      <c r="D7" s="4" t="n">
        <f aca="false">Assumptions!D28</f>
        <v>13.2</v>
      </c>
      <c r="E7" s="4" t="n">
        <f aca="false">Assumptions!E28</f>
        <v>13.6</v>
      </c>
      <c r="F7" s="4" t="n">
        <f aca="false">Assumptions!F28</f>
        <v>14</v>
      </c>
      <c r="G7" s="4" t="n">
        <f aca="false">Assumptions!G28</f>
        <v>14.3</v>
      </c>
      <c r="H7" s="4" t="n">
        <f aca="false">Assumptions!H28</f>
        <v>14.6</v>
      </c>
      <c r="I7" s="4" t="n">
        <f aca="false">Assumptions!I28</f>
        <v>14.6</v>
      </c>
      <c r="J7" s="4" t="n">
        <f aca="false">Assumptions!J28</f>
        <v>14.6</v>
      </c>
      <c r="K7" s="4" t="n">
        <f aca="false">Assumptions!K28</f>
        <v>14.6</v>
      </c>
      <c r="L7" s="4" t="n">
        <f aca="false">Assumptions!L28</f>
        <v>14.6</v>
      </c>
    </row>
    <row r="8" customFormat="false" ht="15" hidden="false" customHeight="false" outlineLevel="0" collapsed="false">
      <c r="A8" s="0" t="s">
        <v>44</v>
      </c>
      <c r="C8" s="0" t="n">
        <f aca="false">C6*C7/100</f>
        <v>233.62786048</v>
      </c>
      <c r="D8" s="0" t="n">
        <f aca="false">D6*D7/100</f>
        <v>240.92873112</v>
      </c>
      <c r="E8" s="0" t="n">
        <f aca="false">E6*E7/100</f>
        <v>255.6764898128</v>
      </c>
      <c r="F8" s="0" t="n">
        <f aca="false">F6*F7/100</f>
        <v>273.72424203488</v>
      </c>
      <c r="G8" s="0" t="n">
        <f aca="false">G6*G7/100</f>
        <v>290.773351967338</v>
      </c>
      <c r="H8" s="0" t="n">
        <f aca="false">H6*H7/100</f>
        <v>307.264064446045</v>
      </c>
      <c r="I8" s="0" t="n">
        <f aca="false">I6*I7/100</f>
        <v>316.481986379427</v>
      </c>
      <c r="J8" s="0" t="n">
        <f aca="false">J6*J7/100</f>
        <v>324.394036038912</v>
      </c>
      <c r="K8" s="0" t="n">
        <f aca="false">K6*K7/100</f>
        <v>330.881916759691</v>
      </c>
      <c r="L8" s="0" t="n">
        <f aca="false">L6*L7/100</f>
        <v>337.499555094884</v>
      </c>
    </row>
    <row r="9" customFormat="false" ht="15" hidden="false" customHeight="false" outlineLevel="0" collapsed="false">
      <c r="A9" s="0" t="s">
        <v>94</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109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110</v>
      </c>
      <c r="C11" s="0" t="n">
        <f aca="false">C8+C10+C24</f>
        <v>233.62786048</v>
      </c>
      <c r="D11" s="0" t="n">
        <f aca="false">D8+D10+D24</f>
        <v>240.92873112</v>
      </c>
      <c r="E11" s="0" t="n">
        <f aca="false">E8+E10+E24</f>
        <v>255.6764898128</v>
      </c>
      <c r="F11" s="0" t="n">
        <f aca="false">F8+F10+F24</f>
        <v>273.72424203488</v>
      </c>
      <c r="G11" s="0" t="n">
        <f aca="false">G8+G10+G24</f>
        <v>290.773351967338</v>
      </c>
      <c r="H11" s="0" t="n">
        <f aca="false">H8+H10+H24</f>
        <v>307.264064446045</v>
      </c>
      <c r="I11" s="0" t="n">
        <f aca="false">I8+I10+I24</f>
        <v>316.481986379427</v>
      </c>
      <c r="J11" s="0" t="n">
        <f aca="false">J8+J10+J24</f>
        <v>324.394036038912</v>
      </c>
      <c r="K11" s="0" t="n">
        <f aca="false">K8+K10+K24</f>
        <v>330.881916759691</v>
      </c>
      <c r="L11" s="0" t="n">
        <f aca="false">L8+L10+L24</f>
        <v>337.499555094884</v>
      </c>
    </row>
    <row r="12" customFormat="false" ht="15" hidden="false" customHeight="false" outlineLevel="0" collapsed="false">
      <c r="A12" s="0" t="s">
        <v>111</v>
      </c>
      <c r="C12" s="4" t="n">
        <f aca="false">-C6*Assumptions!C31/100</f>
        <v>-191.6478543</v>
      </c>
      <c r="D12" s="4" t="n">
        <f aca="false">-D6*Assumptions!D31/100</f>
        <v>-191.6478543</v>
      </c>
      <c r="E12" s="4" t="n">
        <f aca="false">-E6*Assumptions!E31/100</f>
        <v>-197.397289929</v>
      </c>
      <c r="F12" s="4" t="n">
        <f aca="false">-F6*Assumptions!F31/100</f>
        <v>-205.29318152616</v>
      </c>
      <c r="G12" s="4" t="n">
        <f aca="false">-G6*Assumptions!G31/100</f>
        <v>-213.504908787206</v>
      </c>
      <c r="H12" s="4" t="n">
        <f aca="false">-H6*Assumptions!H31/100</f>
        <v>-220.977580594759</v>
      </c>
      <c r="I12" s="4" t="n">
        <f aca="false">-I6*Assumptions!I31/100</f>
        <v>-227.606908012601</v>
      </c>
      <c r="J12" s="4" t="n">
        <f aca="false">-J6*Assumptions!J31/100</f>
        <v>-233.297080712916</v>
      </c>
      <c r="K12" s="4" t="n">
        <f aca="false">-K6*Assumptions!K31/100</f>
        <v>-237.963022327175</v>
      </c>
      <c r="L12" s="4" t="n">
        <f aca="false">-L6*Assumptions!L31/100</f>
        <v>-242.722282773718</v>
      </c>
    </row>
    <row r="13" customFormat="false" ht="15" hidden="false" customHeight="false" outlineLevel="0" collapsed="false">
      <c r="A13" s="0" t="s">
        <v>112</v>
      </c>
      <c r="C13" s="0" t="n">
        <f aca="false">C11+C12</f>
        <v>41.98000618</v>
      </c>
      <c r="D13" s="0" t="n">
        <f aca="false">D11+D12</f>
        <v>49.28087682</v>
      </c>
      <c r="E13" s="0" t="n">
        <f aca="false">E11+E12</f>
        <v>58.2791998838</v>
      </c>
      <c r="F13" s="0" t="n">
        <f aca="false">F11+F12</f>
        <v>68.43106050872</v>
      </c>
      <c r="G13" s="0" t="n">
        <f aca="false">G11+G12</f>
        <v>77.2684431801319</v>
      </c>
      <c r="H13" s="0" t="n">
        <f aca="false">H11+H12</f>
        <v>86.2864838512867</v>
      </c>
      <c r="I13" s="0" t="n">
        <f aca="false">I11+I12</f>
        <v>88.8750783668253</v>
      </c>
      <c r="J13" s="0" t="n">
        <f aca="false">J11+J12</f>
        <v>91.0969553259959</v>
      </c>
      <c r="K13" s="0" t="n">
        <f aca="false">K11+K12</f>
        <v>92.9188944325158</v>
      </c>
      <c r="L13" s="0" t="n">
        <f aca="false">L11+L12</f>
        <v>94.7772723211661</v>
      </c>
    </row>
    <row r="14" customFormat="false" ht="15" hidden="false" customHeight="false" outlineLevel="0" collapsed="false">
      <c r="A14" s="0" t="s">
        <v>98</v>
      </c>
      <c r="C14" s="4" t="n">
        <f aca="false">Assumptions!C33</f>
        <v>25</v>
      </c>
      <c r="D14" s="4" t="n">
        <f aca="false">Assumptions!D33</f>
        <v>25</v>
      </c>
      <c r="E14" s="4" t="n">
        <f aca="false">Assumptions!E33</f>
        <v>25</v>
      </c>
      <c r="F14" s="4" t="n">
        <f aca="false">Assumptions!F33</f>
        <v>25</v>
      </c>
      <c r="G14" s="4" t="n">
        <f aca="false">Assumptions!G33</f>
        <v>25</v>
      </c>
      <c r="H14" s="4" t="n">
        <f aca="false">Assumptions!H33</f>
        <v>25</v>
      </c>
      <c r="I14" s="4" t="n">
        <f aca="false">Assumptions!I33</f>
        <v>25</v>
      </c>
      <c r="J14" s="4" t="n">
        <f aca="false">Assumptions!J33</f>
        <v>25</v>
      </c>
      <c r="K14" s="4" t="n">
        <f aca="false">Assumptions!K33</f>
        <v>25</v>
      </c>
      <c r="L14" s="4" t="n">
        <f aca="false">Assumptions!L33</f>
        <v>25</v>
      </c>
    </row>
    <row r="15" customFormat="false" ht="15" hidden="false" customHeight="false" outlineLevel="0" collapsed="false">
      <c r="A15" s="0" t="s">
        <v>113</v>
      </c>
      <c r="C15" s="0" t="n">
        <f aca="false">C13-MAX(0,C13)*C14/100</f>
        <v>31.485004635</v>
      </c>
      <c r="D15" s="0" t="n">
        <f aca="false">D13-MAX(0,D13)*D14/100</f>
        <v>36.960657615</v>
      </c>
      <c r="E15" s="0" t="n">
        <f aca="false">E13-MAX(0,E13)*E14/100</f>
        <v>43.70939991285</v>
      </c>
      <c r="F15" s="0" t="n">
        <f aca="false">F13-MAX(0,F13)*F14/100</f>
        <v>51.32329538154</v>
      </c>
      <c r="G15" s="0" t="n">
        <f aca="false">G13-MAX(0,G13)*G14/100</f>
        <v>57.9513323850989</v>
      </c>
      <c r="H15" s="0" t="n">
        <f aca="false">H13-MAX(0,H13)*H14/100</f>
        <v>64.714862888465</v>
      </c>
      <c r="I15" s="0" t="n">
        <f aca="false">I13-MAX(0,I13)*I14/100</f>
        <v>66.656308775119</v>
      </c>
      <c r="J15" s="0" t="n">
        <f aca="false">J13-MAX(0,J13)*J14/100</f>
        <v>68.3227164944969</v>
      </c>
      <c r="K15" s="0" t="n">
        <f aca="false">K13-MAX(0,K13)*K14/100</f>
        <v>69.6891708243869</v>
      </c>
      <c r="L15" s="0" t="n">
        <f aca="false">L13-MAX(0,L13)*L14/100</f>
        <v>71.0829542408746</v>
      </c>
    </row>
    <row r="16" customFormat="false" ht="15" hidden="false" customHeight="false" outlineLevel="0" collapsed="false">
      <c r="A16" s="0" t="s">
        <v>114</v>
      </c>
      <c r="C16" s="0" t="n">
        <f aca="false">-C12</f>
        <v>191.6478543</v>
      </c>
      <c r="D16" s="0" t="n">
        <f aca="false">-D12</f>
        <v>191.6478543</v>
      </c>
      <c r="E16" s="0" t="n">
        <f aca="false">-E12</f>
        <v>197.397289929</v>
      </c>
      <c r="F16" s="0" t="n">
        <f aca="false">-F12</f>
        <v>205.29318152616</v>
      </c>
      <c r="G16" s="0" t="n">
        <f aca="false">-G12</f>
        <v>213.504908787206</v>
      </c>
      <c r="H16" s="0" t="n">
        <f aca="false">-H12</f>
        <v>220.977580594759</v>
      </c>
      <c r="I16" s="0" t="n">
        <f aca="false">-I12</f>
        <v>227.606908012601</v>
      </c>
      <c r="J16" s="0" t="n">
        <f aca="false">-J12</f>
        <v>233.297080712916</v>
      </c>
      <c r="K16" s="0" t="n">
        <f aca="false">-K12</f>
        <v>237.963022327175</v>
      </c>
      <c r="L16" s="0" t="n">
        <f aca="false">-L12</f>
        <v>242.722282773718</v>
      </c>
    </row>
    <row r="17" customFormat="false" ht="15" hidden="false" customHeight="false" outlineLevel="0" collapsed="false">
      <c r="A17" s="0" t="s">
        <v>115</v>
      </c>
      <c r="C17" s="4" t="n">
        <f aca="false">-C6*Assumptions!C32/100</f>
        <v>-198.94872494</v>
      </c>
      <c r="D17" s="4" t="n">
        <f aca="false">-D6*Assumptions!D32/100</f>
        <v>-198.94872494</v>
      </c>
      <c r="E17" s="4" t="n">
        <f aca="false">-E6*Assumptions!E32/100</f>
        <v>-204.9171866882</v>
      </c>
      <c r="F17" s="4" t="n">
        <f aca="false">-F6*Assumptions!F32/100</f>
        <v>-213.113874155728</v>
      </c>
      <c r="G17" s="4" t="n">
        <f aca="false">-G6*Assumptions!G32/100</f>
        <v>-221.638429121957</v>
      </c>
      <c r="H17" s="4" t="n">
        <f aca="false">-H6*Assumptions!H32/100</f>
        <v>-229.395774141226</v>
      </c>
      <c r="I17" s="4" t="n">
        <f aca="false">-I6*Assumptions!I32/100</f>
        <v>-236.277647365462</v>
      </c>
      <c r="J17" s="4" t="n">
        <f aca="false">-J6*Assumptions!J32/100</f>
        <v>-242.184588549599</v>
      </c>
      <c r="K17" s="4" t="n">
        <f aca="false">-K6*Assumptions!K32/100</f>
        <v>-247.028280320591</v>
      </c>
      <c r="L17" s="4" t="n">
        <f aca="false">-L6*Assumptions!L32/100</f>
        <v>-251.968845927003</v>
      </c>
    </row>
    <row r="18" customFormat="false" ht="15" hidden="false" customHeight="false" outlineLevel="0" collapsed="false">
      <c r="A18" s="0" t="s">
        <v>116</v>
      </c>
      <c r="C18" s="4" t="n">
        <f aca="false">(C6-B6)*Assumptions!$B$37/100</f>
        <v>22.349604</v>
      </c>
      <c r="D18" s="4" t="n">
        <f aca="false">(D6-C6)*Assumptions!$B$37/100</f>
        <v>-0</v>
      </c>
      <c r="E18" s="4" t="n">
        <f aca="false">(E6-D6)*Assumptions!$B$37/100</f>
        <v>-32.85391788</v>
      </c>
      <c r="F18" s="4" t="n">
        <f aca="false">(F6-E6)*Assumptions!$B$37/100</f>
        <v>-45.1193805552001</v>
      </c>
      <c r="G18" s="4" t="n">
        <f aca="false">(G6-F6)*Assumptions!$B$37/100</f>
        <v>-46.924155777408</v>
      </c>
      <c r="H18" s="4" t="n">
        <f aca="false">(H6-G6)*Assumptions!$B$37/100</f>
        <v>-42.7009817574412</v>
      </c>
      <c r="I18" s="4" t="n">
        <f aca="false">(I6-H6)*Assumptions!$B$37/100</f>
        <v>-37.8818709591014</v>
      </c>
      <c r="J18" s="4" t="n">
        <f aca="false">(J6-I6)*Assumptions!$B$37/100</f>
        <v>-32.5152725732287</v>
      </c>
      <c r="K18" s="4" t="n">
        <f aca="false">(K6-J6)*Assumptions!$B$37/100</f>
        <v>-26.6625235100477</v>
      </c>
      <c r="L18" s="4" t="n">
        <f aca="false">(L6-K6)*Assumptions!$B$37/100</f>
        <v>-27.1957739802485</v>
      </c>
    </row>
    <row r="19" customFormat="false" ht="15" hidden="false" customHeight="false" outlineLevel="0" collapsed="false">
      <c r="A19" s="0" t="s">
        <v>117</v>
      </c>
      <c r="C19" s="0" t="n">
        <f aca="false">C15+C16+C17+C18</f>
        <v>46.533737995</v>
      </c>
      <c r="D19" s="0" t="n">
        <f aca="false">D15+D16+D17+D18</f>
        <v>29.659786975</v>
      </c>
      <c r="E19" s="0" t="n">
        <f aca="false">E15+E16+E17+E18</f>
        <v>3.33558527365001</v>
      </c>
      <c r="F19" s="0" t="n">
        <f aca="false">F15+F16+F17+F18</f>
        <v>-1.61677780322808</v>
      </c>
      <c r="G19" s="0" t="n">
        <f aca="false">G15+G16+G17+G18</f>
        <v>2.89365627294016</v>
      </c>
      <c r="H19" s="0" t="n">
        <f aca="false">H15+H16+H17+H18</f>
        <v>13.5956875845568</v>
      </c>
      <c r="I19" s="0" t="n">
        <f aca="false">I15+I16+I17+I18</f>
        <v>20.1036984631565</v>
      </c>
      <c r="J19" s="0" t="n">
        <f aca="false">J15+J16+J17+J18</f>
        <v>26.9199360845857</v>
      </c>
      <c r="K19" s="0" t="n">
        <f aca="false">K15+K16+K17+K18</f>
        <v>33.961389320923</v>
      </c>
      <c r="L19" s="0" t="n">
        <f aca="false">L15+L16+L17+L18</f>
        <v>34.6406171073416</v>
      </c>
    </row>
    <row r="20" customFormat="false" ht="15" hidden="false" customHeight="false" outlineLevel="0" collapsed="false">
      <c r="A20" s="0" t="s">
        <v>118</v>
      </c>
      <c r="C20" s="0" t="n">
        <f aca="false">1/(1+$B$27/100)^C4</f>
        <v>0.884955752212389</v>
      </c>
      <c r="D20" s="0" t="n">
        <f aca="false">1/(1+$B$27/100)^D4</f>
        <v>0.783146683373796</v>
      </c>
      <c r="E20" s="0" t="n">
        <f aca="false">1/(1+$B$27/100)^E4</f>
        <v>0.693050162277696</v>
      </c>
      <c r="F20" s="0" t="n">
        <f aca="false">1/(1+$B$27/100)^F4</f>
        <v>0.613318727679377</v>
      </c>
      <c r="G20" s="0" t="n">
        <f aca="false">1/(1+$B$27/100)^G4</f>
        <v>0.542759935999449</v>
      </c>
      <c r="H20" s="0" t="n">
        <f aca="false">1/(1+$B$27/100)^H4</f>
        <v>0.48031852743314</v>
      </c>
      <c r="I20" s="0" t="n">
        <f aca="false">1/(1+$B$27/100)^I4</f>
        <v>0.425060643746142</v>
      </c>
      <c r="J20" s="0" t="n">
        <f aca="false">1/(1+$B$27/100)^J4</f>
        <v>0.37615986172225</v>
      </c>
      <c r="K20" s="0" t="n">
        <f aca="false">1/(1+$B$27/100)^K4</f>
        <v>0.332884833382522</v>
      </c>
      <c r="L20" s="0" t="n">
        <f aca="false">1/(1+$B$27/100)^L4</f>
        <v>0.294588348126126</v>
      </c>
    </row>
    <row r="21" customFormat="false" ht="15" hidden="false" customHeight="false" outlineLevel="0" collapsed="false">
      <c r="A21" s="0" t="s">
        <v>119</v>
      </c>
      <c r="C21" s="0" t="n">
        <f aca="false">C19*C20</f>
        <v>41.1802991106195</v>
      </c>
      <c r="D21" s="0" t="n">
        <f aca="false">D19*D20</f>
        <v>23.2279637990446</v>
      </c>
      <c r="E21" s="0" t="n">
        <f aca="false">E19*E20</f>
        <v>2.31172791519423</v>
      </c>
      <c r="F21" s="0" t="n">
        <f aca="false">F19*F20</f>
        <v>-0.991600105216105</v>
      </c>
      <c r="G21" s="0" t="n">
        <f aca="false">G19*G20</f>
        <v>1.57056069350541</v>
      </c>
      <c r="H21" s="0" t="n">
        <f aca="false">H19*H20</f>
        <v>6.53026064005537</v>
      </c>
      <c r="I21" s="0" t="n">
        <f aca="false">I19*I20</f>
        <v>8.54529101042764</v>
      </c>
      <c r="J21" s="0" t="n">
        <f aca="false">J19*J20</f>
        <v>10.1261994351496</v>
      </c>
      <c r="K21" s="0" t="n">
        <f aca="false">K19*K20</f>
        <v>11.3052314255344</v>
      </c>
      <c r="L21" s="0" t="n">
        <f aca="false">L19*L20</f>
        <v>10.2047221717214</v>
      </c>
    </row>
    <row r="23" customFormat="false" ht="15" hidden="false" customHeight="false" outlineLevel="0" collapsed="false">
      <c r="A23" s="0" t="s">
        <v>95</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120</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121</v>
      </c>
    </row>
    <row r="27" customFormat="false" ht="15" hidden="false" customHeight="false" outlineLevel="0" collapsed="false">
      <c r="A27" s="0" t="s">
        <v>99</v>
      </c>
      <c r="B27" s="4" t="n">
        <f aca="false">Assumptions!$B$34</f>
        <v>13</v>
      </c>
    </row>
    <row r="28" customFormat="false" ht="15" hidden="false" customHeight="false" outlineLevel="0" collapsed="false">
      <c r="A28" s="0" t="s">
        <v>100</v>
      </c>
      <c r="B28" s="4" t="n">
        <f aca="false">Assumptions!$B$35</f>
        <v>2</v>
      </c>
    </row>
    <row r="29" customFormat="false" ht="15" hidden="false" customHeight="false" outlineLevel="0" collapsed="false">
      <c r="A29" s="0" t="s">
        <v>101</v>
      </c>
      <c r="B29" s="4" t="n">
        <f aca="false">Assumptions!$B$36</f>
        <v>10</v>
      </c>
    </row>
    <row r="30" customFormat="false" ht="15" hidden="false" customHeight="false" outlineLevel="0" collapsed="false">
      <c r="A30" s="0" t="s">
        <v>122</v>
      </c>
      <c r="B30" s="0" t="n">
        <f aca="false">SUM(C21:L21)</f>
        <v>114.010656096036</v>
      </c>
    </row>
    <row r="31" customFormat="false" ht="15" hidden="false" customHeight="false" outlineLevel="0" collapsed="false">
      <c r="A31" s="0" t="s">
        <v>123</v>
      </c>
      <c r="B31" s="0" t="n">
        <f aca="false">L19</f>
        <v>34.6406171073416</v>
      </c>
    </row>
    <row r="32" customFormat="false" ht="15" hidden="false" customHeight="false" outlineLevel="0" collapsed="false">
      <c r="A32" s="0" t="s">
        <v>124</v>
      </c>
      <c r="B32" s="0" t="n">
        <f aca="false">IF(B27&gt;B28,B31*(1+B28/100)/((B27-B28)/100),B31*B29)</f>
        <v>321.212994995349</v>
      </c>
    </row>
    <row r="33" customFormat="false" ht="15" hidden="false" customHeight="false" outlineLevel="0" collapsed="false">
      <c r="A33" s="0" t="s">
        <v>125</v>
      </c>
      <c r="B33" s="0" t="n">
        <f aca="false">B31*B29</f>
        <v>346.406171073416</v>
      </c>
    </row>
    <row r="34" customFormat="false" ht="15" hidden="false" customHeight="false" outlineLevel="0" collapsed="false">
      <c r="A34" s="0" t="s">
        <v>126</v>
      </c>
      <c r="B34" s="0" t="n">
        <f aca="false">MAX(0,MIN(B32,B33))</f>
        <v>321.212994995349</v>
      </c>
    </row>
    <row r="35" customFormat="false" ht="15" hidden="false" customHeight="false" outlineLevel="0" collapsed="false">
      <c r="A35" s="0" t="s">
        <v>127</v>
      </c>
      <c r="B35" s="0" t="n">
        <f aca="false">B34/(1+B27/100)^L4</f>
        <v>94.6256055923253</v>
      </c>
    </row>
    <row r="36" customFormat="false" ht="15" hidden="false" customHeight="false" outlineLevel="0" collapsed="false">
      <c r="A36" s="0" t="s">
        <v>128</v>
      </c>
      <c r="B36" s="0" t="n">
        <f aca="false">B30+B35</f>
        <v>208.636261688361</v>
      </c>
    </row>
    <row r="37" customFormat="false" ht="15" hidden="false" customHeight="false" outlineLevel="0" collapsed="false">
      <c r="A37" s="0" t="s">
        <v>129</v>
      </c>
      <c r="B37" s="0" t="n">
        <f aca="false">B36+Assumptions!$B$5-Assumptions!$B$4</f>
        <v>219.136261688361</v>
      </c>
    </row>
    <row r="38" customFormat="false" ht="15" hidden="false" customHeight="false" outlineLevel="0" collapsed="false">
      <c r="A38" s="0" t="s">
        <v>130</v>
      </c>
      <c r="B38" s="0" t="n">
        <f aca="false">B37/Assumptions!$B$3*Assumptions!$B$10</f>
        <v>0.133568751668696</v>
      </c>
    </row>
    <row r="39" customFormat="false" ht="15" hidden="false" customHeight="false" outlineLevel="0" collapsed="false">
      <c r="A39" s="0" t="s">
        <v>131</v>
      </c>
      <c r="B39" s="4" t="n">
        <f aca="false">B38/Assumptions!$B$2-1</f>
        <v>-0.582597651035326</v>
      </c>
    </row>
    <row r="41" customFormat="false" ht="15" hidden="false" customHeight="false" outlineLevel="0" collapsed="false">
      <c r="A41" s="0" t="s">
        <v>132</v>
      </c>
      <c r="B41" s="0" t="n">
        <f aca="false">SUMPRODUCT(-C10:L10/(1+$B$27/100)^C4:L4)</f>
        <v>0</v>
      </c>
    </row>
    <row r="42" customFormat="false" ht="15" hidden="false" customHeight="false" outlineLevel="0" collapsed="false">
      <c r="A42" s="0" t="s">
        <v>133</v>
      </c>
      <c r="B42" s="0" t="n">
        <f aca="false">IF(B27&gt;B28,-L10*(1+B28/100)/((B27-B28)/100),-L10*20)/(1+B27/100)^L4</f>
        <v>0</v>
      </c>
    </row>
    <row r="43" customFormat="false" ht="15" hidden="false" customHeight="false" outlineLevel="0" collapsed="false">
      <c r="A43" s="0" t="s">
        <v>134</v>
      </c>
      <c r="B43" s="0" t="n">
        <f aca="false">(B37+B41+B42)/Assumptions!$B$3*Assumptions!$B$10</f>
        <v>0.133568751668696</v>
      </c>
    </row>
    <row r="45" customFormat="false" ht="15" hidden="false" customHeight="false" outlineLevel="0" collapsed="false">
      <c r="A45" s="0" t="s">
        <v>75</v>
      </c>
      <c r="B45" s="4" t="n">
        <f aca="false">Assumptions!$B$6</f>
        <v>15</v>
      </c>
    </row>
    <row r="46" customFormat="false" ht="15" hidden="false" customHeight="false" outlineLevel="0" collapsed="false">
      <c r="A46" s="0" t="s">
        <v>135</v>
      </c>
      <c r="B46" s="0" t="n">
        <f aca="false">MAX(0,MIN(IF(B45&gt;B28,B31*(1+B28/100)/((B45-B28)/100),B31*B29),B31*B29))</f>
        <v>271.795611149911</v>
      </c>
    </row>
    <row r="47" customFormat="false" ht="15" hidden="false" customHeight="false" outlineLevel="0" collapsed="false">
      <c r="A47" s="0" t="s">
        <v>136</v>
      </c>
      <c r="B47" s="0" t="n">
        <f aca="false">(SUMPRODUCT(C19:L19/(1+B45/100)^C4:L4)+B46/(1+B45/100)^L4+Assumptions!$B$5-Assumptions!$B$4)/Assumptions!$B$3*Assumptions!$B$10</f>
        <v>0.111990616041667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138</v>
      </c>
    </row>
    <row r="3" customFormat="false" ht="15" hidden="false" customHeight="false" outlineLevel="0" collapsed="false">
      <c r="A3" s="0" t="s">
        <v>107</v>
      </c>
      <c r="B3" s="0" t="s">
        <v>68</v>
      </c>
      <c r="C3" s="2" t="s">
        <v>82</v>
      </c>
      <c r="D3" s="2" t="s">
        <v>83</v>
      </c>
      <c r="E3" s="2" t="s">
        <v>84</v>
      </c>
      <c r="F3" s="2" t="s">
        <v>85</v>
      </c>
      <c r="G3" s="2" t="s">
        <v>86</v>
      </c>
      <c r="H3" s="2" t="s">
        <v>87</v>
      </c>
      <c r="I3" s="2" t="s">
        <v>88</v>
      </c>
      <c r="J3" s="2" t="s">
        <v>89</v>
      </c>
      <c r="K3" s="2" t="s">
        <v>90</v>
      </c>
      <c r="L3" s="2" t="s">
        <v>91</v>
      </c>
    </row>
    <row r="4" customFormat="false" ht="15" hidden="false" customHeight="false" outlineLevel="0" collapsed="false">
      <c r="A4" s="0" t="s">
        <v>108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92</v>
      </c>
      <c r="C5" s="4" t="n">
        <f aca="false">Assumptions!C41</f>
        <v>0</v>
      </c>
      <c r="D5" s="4" t="n">
        <f aca="false">Assumptions!D41</f>
        <v>5</v>
      </c>
      <c r="E5" s="4" t="n">
        <f aca="false">Assumptions!E41</f>
        <v>8</v>
      </c>
      <c r="F5" s="4" t="n">
        <f aca="false">Assumptions!F41</f>
        <v>8</v>
      </c>
      <c r="G5" s="4" t="n">
        <f aca="false">Assumptions!G41</f>
        <v>7</v>
      </c>
      <c r="H5" s="4" t="n">
        <f aca="false">Assumptions!H41</f>
        <v>6</v>
      </c>
      <c r="I5" s="4" t="n">
        <f aca="false">Assumptions!I41</f>
        <v>5</v>
      </c>
      <c r="J5" s="4" t="n">
        <f aca="false">Assumptions!J41</f>
        <v>4</v>
      </c>
      <c r="K5" s="4" t="n">
        <f aca="false">Assumptions!K41</f>
        <v>3</v>
      </c>
      <c r="L5" s="4" t="n">
        <f aca="false">Assumptions!L41</f>
        <v>2.5</v>
      </c>
    </row>
    <row r="6" customFormat="false" ht="15" hidden="false" customHeight="false" outlineLevel="0" collapsed="false">
      <c r="A6" s="0" t="s">
        <v>38</v>
      </c>
      <c r="B6" s="3" t="n">
        <v>1862.467</v>
      </c>
      <c r="C6" s="0" t="n">
        <f aca="false">B6*(1+C5/100)</f>
        <v>1862.467</v>
      </c>
      <c r="D6" s="0" t="n">
        <f aca="false">C6*(1+D5/100)</f>
        <v>1955.59035</v>
      </c>
      <c r="E6" s="0" t="n">
        <f aca="false">D6*(1+E5/100)</f>
        <v>2112.037578</v>
      </c>
      <c r="F6" s="0" t="n">
        <f aca="false">E6*(1+F5/100)</f>
        <v>2281.00058424</v>
      </c>
      <c r="G6" s="0" t="n">
        <f aca="false">F6*(1+G5/100)</f>
        <v>2440.6706251368</v>
      </c>
      <c r="H6" s="0" t="n">
        <f aca="false">G6*(1+H5/100)</f>
        <v>2587.11086264501</v>
      </c>
      <c r="I6" s="0" t="n">
        <f aca="false">H6*(1+I5/100)</f>
        <v>2716.46640577726</v>
      </c>
      <c r="J6" s="0" t="n">
        <f aca="false">I6*(1+J5/100)</f>
        <v>2825.12506200835</v>
      </c>
      <c r="K6" s="0" t="n">
        <f aca="false">J6*(1+K5/100)</f>
        <v>2909.8788138686</v>
      </c>
      <c r="L6" s="0" t="n">
        <f aca="false">K6*(1+L5/100)</f>
        <v>2982.62578421532</v>
      </c>
    </row>
    <row r="7" customFormat="false" ht="15" hidden="false" customHeight="false" outlineLevel="0" collapsed="false">
      <c r="A7" s="0" t="s">
        <v>93</v>
      </c>
      <c r="C7" s="4" t="n">
        <f aca="false">Assumptions!C42</f>
        <v>13.1</v>
      </c>
      <c r="D7" s="4" t="n">
        <f aca="false">Assumptions!D42</f>
        <v>14.1</v>
      </c>
      <c r="E7" s="4" t="n">
        <f aca="false">Assumptions!E42</f>
        <v>15.1</v>
      </c>
      <c r="F7" s="4" t="n">
        <f aca="false">Assumptions!F42</f>
        <v>16.1</v>
      </c>
      <c r="G7" s="4" t="n">
        <f aca="false">Assumptions!G42</f>
        <v>16.9</v>
      </c>
      <c r="H7" s="4" t="n">
        <f aca="false">Assumptions!H42</f>
        <v>17.6</v>
      </c>
      <c r="I7" s="4" t="n">
        <f aca="false">Assumptions!I42</f>
        <v>17.6</v>
      </c>
      <c r="J7" s="4" t="n">
        <f aca="false">Assumptions!J42</f>
        <v>17.6</v>
      </c>
      <c r="K7" s="4" t="n">
        <f aca="false">Assumptions!K42</f>
        <v>17.6</v>
      </c>
      <c r="L7" s="4" t="n">
        <f aca="false">Assumptions!L42</f>
        <v>17.6</v>
      </c>
    </row>
    <row r="8" customFormat="false" ht="15" hidden="false" customHeight="false" outlineLevel="0" collapsed="false">
      <c r="A8" s="0" t="s">
        <v>44</v>
      </c>
      <c r="C8" s="0" t="n">
        <f aca="false">C6*C7/100</f>
        <v>243.983177</v>
      </c>
      <c r="D8" s="0" t="n">
        <f aca="false">D6*D7/100</f>
        <v>275.73823935</v>
      </c>
      <c r="E8" s="0" t="n">
        <f aca="false">E6*E7/100</f>
        <v>318.917674278</v>
      </c>
      <c r="F8" s="0" t="n">
        <f aca="false">F6*F7/100</f>
        <v>367.24109406264</v>
      </c>
      <c r="G8" s="0" t="n">
        <f aca="false">G6*G7/100</f>
        <v>412.473335648119</v>
      </c>
      <c r="H8" s="0" t="n">
        <f aca="false">H6*H7/100</f>
        <v>455.331511825522</v>
      </c>
      <c r="I8" s="0" t="n">
        <f aca="false">I6*I7/100</f>
        <v>478.098087416798</v>
      </c>
      <c r="J8" s="0" t="n">
        <f aca="false">J6*J7/100</f>
        <v>497.22201091347</v>
      </c>
      <c r="K8" s="0" t="n">
        <f aca="false">K6*K7/100</f>
        <v>512.138671240874</v>
      </c>
      <c r="L8" s="0" t="n">
        <f aca="false">L6*L7/100</f>
        <v>524.942138021896</v>
      </c>
    </row>
    <row r="9" customFormat="false" ht="15" hidden="false" customHeight="false" outlineLevel="0" collapsed="false">
      <c r="A9" s="0" t="s">
        <v>94</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109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110</v>
      </c>
      <c r="C11" s="0" t="n">
        <f aca="false">C8+C10+C24</f>
        <v>243.983177</v>
      </c>
      <c r="D11" s="0" t="n">
        <f aca="false">D8+D10+D24</f>
        <v>275.73823935</v>
      </c>
      <c r="E11" s="0" t="n">
        <f aca="false">E8+E10+E24</f>
        <v>318.917674278</v>
      </c>
      <c r="F11" s="0" t="n">
        <f aca="false">F8+F10+F24</f>
        <v>367.24109406264</v>
      </c>
      <c r="G11" s="0" t="n">
        <f aca="false">G8+G10+G24</f>
        <v>412.473335648119</v>
      </c>
      <c r="H11" s="0" t="n">
        <f aca="false">H8+H10+H24</f>
        <v>455.331511825522</v>
      </c>
      <c r="I11" s="0" t="n">
        <f aca="false">I8+I10+I24</f>
        <v>478.098087416798</v>
      </c>
      <c r="J11" s="0" t="n">
        <f aca="false">J8+J10+J24</f>
        <v>497.22201091347</v>
      </c>
      <c r="K11" s="0" t="n">
        <f aca="false">K8+K10+K24</f>
        <v>512.138671240874</v>
      </c>
      <c r="L11" s="0" t="n">
        <f aca="false">L8+L10+L24</f>
        <v>524.942138021896</v>
      </c>
    </row>
    <row r="12" customFormat="false" ht="15" hidden="false" customHeight="false" outlineLevel="0" collapsed="false">
      <c r="A12" s="0" t="s">
        <v>111</v>
      </c>
      <c r="C12" s="4" t="n">
        <f aca="false">-C6*Assumptions!C45/100</f>
        <v>-195.559035</v>
      </c>
      <c r="D12" s="4" t="n">
        <f aca="false">-D6*Assumptions!D45/100</f>
        <v>-205.33698675</v>
      </c>
      <c r="E12" s="4" t="n">
        <f aca="false">-E6*Assumptions!E45/100</f>
        <v>-221.76394569</v>
      </c>
      <c r="F12" s="4" t="n">
        <f aca="false">-F6*Assumptions!F45/100</f>
        <v>-239.5050613452</v>
      </c>
      <c r="G12" s="4" t="n">
        <f aca="false">-G6*Assumptions!G45/100</f>
        <v>-256.270415639364</v>
      </c>
      <c r="H12" s="4" t="n">
        <f aca="false">-H6*Assumptions!H45/100</f>
        <v>-271.646640577726</v>
      </c>
      <c r="I12" s="4" t="n">
        <f aca="false">-I6*Assumptions!I45/100</f>
        <v>-285.228972606612</v>
      </c>
      <c r="J12" s="4" t="n">
        <f aca="false">-J6*Assumptions!J45/100</f>
        <v>-296.638131510877</v>
      </c>
      <c r="K12" s="4" t="n">
        <f aca="false">-K6*Assumptions!K45/100</f>
        <v>-305.537275456203</v>
      </c>
      <c r="L12" s="4" t="n">
        <f aca="false">-L6*Assumptions!L45/100</f>
        <v>-313.175707342608</v>
      </c>
    </row>
    <row r="13" customFormat="false" ht="15" hidden="false" customHeight="false" outlineLevel="0" collapsed="false">
      <c r="A13" s="0" t="s">
        <v>112</v>
      </c>
      <c r="C13" s="0" t="n">
        <f aca="false">C11+C12</f>
        <v>48.424142</v>
      </c>
      <c r="D13" s="0" t="n">
        <f aca="false">D11+D12</f>
        <v>70.4012526</v>
      </c>
      <c r="E13" s="0" t="n">
        <f aca="false">E11+E12</f>
        <v>97.153728588</v>
      </c>
      <c r="F13" s="0" t="n">
        <f aca="false">F11+F12</f>
        <v>127.73603271744</v>
      </c>
      <c r="G13" s="0" t="n">
        <f aca="false">G11+G12</f>
        <v>156.202920008755</v>
      </c>
      <c r="H13" s="0" t="n">
        <f aca="false">H11+H12</f>
        <v>183.684871247796</v>
      </c>
      <c r="I13" s="0" t="n">
        <f aca="false">I11+I12</f>
        <v>192.869114810186</v>
      </c>
      <c r="J13" s="0" t="n">
        <f aca="false">J11+J12</f>
        <v>200.583879402593</v>
      </c>
      <c r="K13" s="0" t="n">
        <f aca="false">K11+K12</f>
        <v>206.601395784671</v>
      </c>
      <c r="L13" s="0" t="n">
        <f aca="false">L11+L12</f>
        <v>211.766430679287</v>
      </c>
    </row>
    <row r="14" customFormat="false" ht="15" hidden="false" customHeight="false" outlineLevel="0" collapsed="false">
      <c r="A14" s="0" t="s">
        <v>98</v>
      </c>
      <c r="C14" s="4" t="n">
        <f aca="false">Assumptions!C47</f>
        <v>25</v>
      </c>
      <c r="D14" s="4" t="n">
        <f aca="false">Assumptions!D47</f>
        <v>25</v>
      </c>
      <c r="E14" s="4" t="n">
        <f aca="false">Assumptions!E47</f>
        <v>25</v>
      </c>
      <c r="F14" s="4" t="n">
        <f aca="false">Assumptions!F47</f>
        <v>25</v>
      </c>
      <c r="G14" s="4" t="n">
        <f aca="false">Assumptions!G47</f>
        <v>25</v>
      </c>
      <c r="H14" s="4" t="n">
        <f aca="false">Assumptions!H47</f>
        <v>25</v>
      </c>
      <c r="I14" s="4" t="n">
        <f aca="false">Assumptions!I47</f>
        <v>25</v>
      </c>
      <c r="J14" s="4" t="n">
        <f aca="false">Assumptions!J47</f>
        <v>25</v>
      </c>
      <c r="K14" s="4" t="n">
        <f aca="false">Assumptions!K47</f>
        <v>25</v>
      </c>
      <c r="L14" s="4" t="n">
        <f aca="false">Assumptions!L47</f>
        <v>25</v>
      </c>
    </row>
    <row r="15" customFormat="false" ht="15" hidden="false" customHeight="false" outlineLevel="0" collapsed="false">
      <c r="A15" s="0" t="s">
        <v>113</v>
      </c>
      <c r="C15" s="0" t="n">
        <f aca="false">C13-MAX(0,C13)*C14/100</f>
        <v>36.3181065</v>
      </c>
      <c r="D15" s="0" t="n">
        <f aca="false">D13-MAX(0,D13)*D14/100</f>
        <v>52.80093945</v>
      </c>
      <c r="E15" s="0" t="n">
        <f aca="false">E13-MAX(0,E13)*E14/100</f>
        <v>72.865296441</v>
      </c>
      <c r="F15" s="0" t="n">
        <f aca="false">F13-MAX(0,F13)*F14/100</f>
        <v>95.8020245380801</v>
      </c>
      <c r="G15" s="0" t="n">
        <f aca="false">G13-MAX(0,G13)*G14/100</f>
        <v>117.152190006566</v>
      </c>
      <c r="H15" s="0" t="n">
        <f aca="false">H13-MAX(0,H13)*H14/100</f>
        <v>137.763653435847</v>
      </c>
      <c r="I15" s="0" t="n">
        <f aca="false">I13-MAX(0,I13)*I14/100</f>
        <v>144.651836107639</v>
      </c>
      <c r="J15" s="0" t="n">
        <f aca="false">J13-MAX(0,J13)*J14/100</f>
        <v>150.437909551945</v>
      </c>
      <c r="K15" s="0" t="n">
        <f aca="false">K13-MAX(0,K13)*K14/100</f>
        <v>154.951046838503</v>
      </c>
      <c r="L15" s="0" t="n">
        <f aca="false">L13-MAX(0,L13)*L14/100</f>
        <v>158.824823009466</v>
      </c>
    </row>
    <row r="16" customFormat="false" ht="15" hidden="false" customHeight="false" outlineLevel="0" collapsed="false">
      <c r="A16" s="0" t="s">
        <v>114</v>
      </c>
      <c r="C16" s="0" t="n">
        <f aca="false">-C12</f>
        <v>195.559035</v>
      </c>
      <c r="D16" s="0" t="n">
        <f aca="false">-D12</f>
        <v>205.33698675</v>
      </c>
      <c r="E16" s="0" t="n">
        <f aca="false">-E12</f>
        <v>221.76394569</v>
      </c>
      <c r="F16" s="0" t="n">
        <f aca="false">-F12</f>
        <v>239.5050613452</v>
      </c>
      <c r="G16" s="0" t="n">
        <f aca="false">-G12</f>
        <v>256.270415639364</v>
      </c>
      <c r="H16" s="0" t="n">
        <f aca="false">-H12</f>
        <v>271.646640577726</v>
      </c>
      <c r="I16" s="0" t="n">
        <f aca="false">-I12</f>
        <v>285.228972606612</v>
      </c>
      <c r="J16" s="0" t="n">
        <f aca="false">-J12</f>
        <v>296.638131510877</v>
      </c>
      <c r="K16" s="0" t="n">
        <f aca="false">-K12</f>
        <v>305.537275456203</v>
      </c>
      <c r="L16" s="0" t="n">
        <f aca="false">-L12</f>
        <v>313.175707342608</v>
      </c>
    </row>
    <row r="17" customFormat="false" ht="15" hidden="false" customHeight="false" outlineLevel="0" collapsed="false">
      <c r="A17" s="0" t="s">
        <v>115</v>
      </c>
      <c r="C17" s="4" t="n">
        <f aca="false">-C6*Assumptions!C46/100</f>
        <v>-203.008903</v>
      </c>
      <c r="D17" s="4" t="n">
        <f aca="false">-D6*Assumptions!D46/100</f>
        <v>-213.15934815</v>
      </c>
      <c r="E17" s="4" t="n">
        <f aca="false">-E6*Assumptions!E46/100</f>
        <v>-230.212096002</v>
      </c>
      <c r="F17" s="4" t="n">
        <f aca="false">-F6*Assumptions!F46/100</f>
        <v>-248.62906368216</v>
      </c>
      <c r="G17" s="4" t="n">
        <f aca="false">-G6*Assumptions!G46/100</f>
        <v>-266.033098139911</v>
      </c>
      <c r="H17" s="4" t="n">
        <f aca="false">-H6*Assumptions!H46/100</f>
        <v>-281.995084028306</v>
      </c>
      <c r="I17" s="4" t="n">
        <f aca="false">-I6*Assumptions!I46/100</f>
        <v>-296.094838229721</v>
      </c>
      <c r="J17" s="4" t="n">
        <f aca="false">-J6*Assumptions!J46/100</f>
        <v>-307.93863175891</v>
      </c>
      <c r="K17" s="4" t="n">
        <f aca="false">-K6*Assumptions!K46/100</f>
        <v>-317.176790711678</v>
      </c>
      <c r="L17" s="4" t="n">
        <f aca="false">-L6*Assumptions!L46/100</f>
        <v>-325.106210479469</v>
      </c>
    </row>
    <row r="18" customFormat="false" ht="15" hidden="false" customHeight="false" outlineLevel="0" collapsed="false">
      <c r="A18" s="0" t="s">
        <v>116</v>
      </c>
      <c r="C18" s="4" t="n">
        <f aca="false">(C6-B6)*Assumptions!$B$51/100</f>
        <v>-0</v>
      </c>
      <c r="D18" s="4" t="n">
        <f aca="false">(D6-C6)*Assumptions!$B$51/100</f>
        <v>-46.561675</v>
      </c>
      <c r="E18" s="4" t="n">
        <f aca="false">(E6-D6)*Assumptions!$B$51/100</f>
        <v>-78.2236140000001</v>
      </c>
      <c r="F18" s="4" t="n">
        <f aca="false">(F6-E6)*Assumptions!$B$51/100</f>
        <v>-84.4815031200001</v>
      </c>
      <c r="G18" s="4" t="n">
        <f aca="false">(G6-F6)*Assumptions!$B$51/100</f>
        <v>-79.8350204484002</v>
      </c>
      <c r="H18" s="4" t="n">
        <f aca="false">(H6-G6)*Assumptions!$B$51/100</f>
        <v>-73.2201187541041</v>
      </c>
      <c r="I18" s="4" t="n">
        <f aca="false">(I6-H6)*Assumptions!$B$51/100</f>
        <v>-64.6777715661253</v>
      </c>
      <c r="J18" s="4" t="n">
        <f aca="false">(J6-I6)*Assumptions!$B$51/100</f>
        <v>-54.3293281155452</v>
      </c>
      <c r="K18" s="4" t="n">
        <f aca="false">(K6-J6)*Assumptions!$B$51/100</f>
        <v>-42.3768759301254</v>
      </c>
      <c r="L18" s="4" t="n">
        <f aca="false">(L6-K6)*Assumptions!$B$51/100</f>
        <v>-36.3734851733575</v>
      </c>
    </row>
    <row r="19" customFormat="false" ht="15" hidden="false" customHeight="false" outlineLevel="0" collapsed="false">
      <c r="A19" s="0" t="s">
        <v>117</v>
      </c>
      <c r="C19" s="0" t="n">
        <f aca="false">C15+C16+C17+C18</f>
        <v>28.8682385</v>
      </c>
      <c r="D19" s="0" t="n">
        <f aca="false">D15+D16+D17+D18</f>
        <v>-1.58309695000002</v>
      </c>
      <c r="E19" s="0" t="n">
        <f aca="false">E15+E16+E17+E18</f>
        <v>-13.8064678710001</v>
      </c>
      <c r="F19" s="0" t="n">
        <f aca="false">F15+F16+F17+F18</f>
        <v>2.19651908111996</v>
      </c>
      <c r="G19" s="0" t="n">
        <f aca="false">G15+G16+G17+G18</f>
        <v>27.554487057619</v>
      </c>
      <c r="H19" s="0" t="n">
        <f aca="false">H15+H16+H17+H18</f>
        <v>54.1950912311627</v>
      </c>
      <c r="I19" s="0" t="n">
        <f aca="false">I15+I16+I17+I18</f>
        <v>69.1081989184048</v>
      </c>
      <c r="J19" s="0" t="n">
        <f aca="false">J15+J16+J17+J18</f>
        <v>84.8080811883661</v>
      </c>
      <c r="K19" s="0" t="n">
        <f aca="false">K15+K16+K17+K18</f>
        <v>100.934655652903</v>
      </c>
      <c r="L19" s="0" t="n">
        <f aca="false">L15+L16+L17+L18</f>
        <v>110.520834699247</v>
      </c>
    </row>
    <row r="20" customFormat="false" ht="15" hidden="false" customHeight="false" outlineLevel="0" collapsed="false">
      <c r="A20" s="0" t="s">
        <v>118</v>
      </c>
      <c r="C20" s="0" t="n">
        <f aca="false">1/(1+$B$27/100)^C4</f>
        <v>0.884955752212389</v>
      </c>
      <c r="D20" s="0" t="n">
        <f aca="false">1/(1+$B$27/100)^D4</f>
        <v>0.783146683373796</v>
      </c>
      <c r="E20" s="0" t="n">
        <f aca="false">1/(1+$B$27/100)^E4</f>
        <v>0.693050162277696</v>
      </c>
      <c r="F20" s="0" t="n">
        <f aca="false">1/(1+$B$27/100)^F4</f>
        <v>0.613318727679377</v>
      </c>
      <c r="G20" s="0" t="n">
        <f aca="false">1/(1+$B$27/100)^G4</f>
        <v>0.542759935999449</v>
      </c>
      <c r="H20" s="0" t="n">
        <f aca="false">1/(1+$B$27/100)^H4</f>
        <v>0.48031852743314</v>
      </c>
      <c r="I20" s="0" t="n">
        <f aca="false">1/(1+$B$27/100)^I4</f>
        <v>0.425060643746142</v>
      </c>
      <c r="J20" s="0" t="n">
        <f aca="false">1/(1+$B$27/100)^J4</f>
        <v>0.37615986172225</v>
      </c>
      <c r="K20" s="0" t="n">
        <f aca="false">1/(1+$B$27/100)^K4</f>
        <v>0.332884833382522</v>
      </c>
      <c r="L20" s="0" t="n">
        <f aca="false">1/(1+$B$27/100)^L4</f>
        <v>0.294588348126126</v>
      </c>
    </row>
    <row r="21" customFormat="false" ht="15" hidden="false" customHeight="false" outlineLevel="0" collapsed="false">
      <c r="A21" s="0" t="s">
        <v>119</v>
      </c>
      <c r="C21" s="0" t="n">
        <f aca="false">C19*C20</f>
        <v>25.5471137168141</v>
      </c>
      <c r="D21" s="0" t="n">
        <f aca="false">D19*D20</f>
        <v>-1.23979712585169</v>
      </c>
      <c r="E21" s="0" t="n">
        <f aca="false">E19*E20</f>
        <v>-9.5685747984784</v>
      </c>
      <c r="F21" s="0" t="n">
        <f aca="false">F19*F20</f>
        <v>1.34716628815597</v>
      </c>
      <c r="G21" s="0" t="n">
        <f aca="false">G19*G20</f>
        <v>14.9554716318909</v>
      </c>
      <c r="H21" s="0" t="n">
        <f aca="false">H19*H20</f>
        <v>26.0309064142568</v>
      </c>
      <c r="I21" s="0" t="n">
        <f aca="false">I19*I20</f>
        <v>29.3751755203936</v>
      </c>
      <c r="J21" s="0" t="n">
        <f aca="false">J19*J20</f>
        <v>31.9013960927451</v>
      </c>
      <c r="K21" s="0" t="n">
        <f aca="false">K19*K20</f>
        <v>33.5996160295389</v>
      </c>
      <c r="L21" s="0" t="n">
        <f aca="false">L19*L20</f>
        <v>32.5581501275717</v>
      </c>
    </row>
    <row r="23" customFormat="false" ht="15" hidden="false" customHeight="false" outlineLevel="0" collapsed="false">
      <c r="A23" s="0" t="s">
        <v>95</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120</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121</v>
      </c>
    </row>
    <row r="27" customFormat="false" ht="15" hidden="false" customHeight="false" outlineLevel="0" collapsed="false">
      <c r="A27" s="0" t="s">
        <v>99</v>
      </c>
      <c r="B27" s="4" t="n">
        <f aca="false">Assumptions!$B$48</f>
        <v>13</v>
      </c>
    </row>
    <row r="28" customFormat="false" ht="15" hidden="false" customHeight="false" outlineLevel="0" collapsed="false">
      <c r="A28" s="0" t="s">
        <v>100</v>
      </c>
      <c r="B28" s="4" t="n">
        <f aca="false">Assumptions!$B$49</f>
        <v>2.5</v>
      </c>
    </row>
    <row r="29" customFormat="false" ht="15" hidden="false" customHeight="false" outlineLevel="0" collapsed="false">
      <c r="A29" s="0" t="s">
        <v>101</v>
      </c>
      <c r="B29" s="4" t="n">
        <f aca="false">Assumptions!$B$50</f>
        <v>10</v>
      </c>
    </row>
    <row r="30" customFormat="false" ht="15" hidden="false" customHeight="false" outlineLevel="0" collapsed="false">
      <c r="A30" s="0" t="s">
        <v>122</v>
      </c>
      <c r="B30" s="0" t="n">
        <f aca="false">SUM(C21:L21)</f>
        <v>184.506623897037</v>
      </c>
    </row>
    <row r="31" customFormat="false" ht="15" hidden="false" customHeight="false" outlineLevel="0" collapsed="false">
      <c r="A31" s="0" t="s">
        <v>123</v>
      </c>
      <c r="B31" s="0" t="n">
        <f aca="false">L19</f>
        <v>110.520834699247</v>
      </c>
    </row>
    <row r="32" customFormat="false" ht="15" hidden="false" customHeight="false" outlineLevel="0" collapsed="false">
      <c r="A32" s="0" t="s">
        <v>124</v>
      </c>
      <c r="B32" s="0" t="n">
        <f aca="false">IF(B27&gt;B28,B31*(1+B28/100)/((B27-B28)/100),B31*B29)</f>
        <v>1078.89386254027</v>
      </c>
    </row>
    <row r="33" customFormat="false" ht="15" hidden="false" customHeight="false" outlineLevel="0" collapsed="false">
      <c r="A33" s="0" t="s">
        <v>125</v>
      </c>
      <c r="B33" s="0" t="n">
        <f aca="false">B31*B29</f>
        <v>1105.20834699247</v>
      </c>
    </row>
    <row r="34" customFormat="false" ht="15" hidden="false" customHeight="false" outlineLevel="0" collapsed="false">
      <c r="A34" s="0" t="s">
        <v>126</v>
      </c>
      <c r="B34" s="0" t="n">
        <f aca="false">MAX(0,MIN(B32,B33))</f>
        <v>1078.89386254027</v>
      </c>
    </row>
    <row r="35" customFormat="false" ht="15" hidden="false" customHeight="false" outlineLevel="0" collapsed="false">
      <c r="A35" s="0" t="s">
        <v>127</v>
      </c>
      <c r="B35" s="0" t="n">
        <f aca="false">B34/(1+B27/100)^L4</f>
        <v>317.829560769152</v>
      </c>
    </row>
    <row r="36" customFormat="false" ht="15" hidden="false" customHeight="false" outlineLevel="0" collapsed="false">
      <c r="A36" s="0" t="s">
        <v>128</v>
      </c>
      <c r="B36" s="0" t="n">
        <f aca="false">B30+B35</f>
        <v>502.336184666189</v>
      </c>
    </row>
    <row r="37" customFormat="false" ht="15" hidden="false" customHeight="false" outlineLevel="0" collapsed="false">
      <c r="A37" s="0" t="s">
        <v>129</v>
      </c>
      <c r="B37" s="0" t="n">
        <f aca="false">B36+Assumptions!$B$5-Assumptions!$B$4</f>
        <v>512.836184666189</v>
      </c>
    </row>
    <row r="38" customFormat="false" ht="15" hidden="false" customHeight="false" outlineLevel="0" collapsed="false">
      <c r="A38" s="0" t="s">
        <v>130</v>
      </c>
      <c r="B38" s="0" t="n">
        <f aca="false">B37/Assumptions!$B$3*Assumptions!$B$10</f>
        <v>0.312585824311512</v>
      </c>
    </row>
    <row r="39" customFormat="false" ht="15" hidden="false" customHeight="false" outlineLevel="0" collapsed="false">
      <c r="A39" s="0" t="s">
        <v>131</v>
      </c>
      <c r="B39" s="4" t="n">
        <f aca="false">B38/Assumptions!$B$2-1</f>
        <v>-0.023169299026524</v>
      </c>
    </row>
    <row r="41" customFormat="false" ht="15" hidden="false" customHeight="false" outlineLevel="0" collapsed="false">
      <c r="A41" s="0" t="s">
        <v>132</v>
      </c>
      <c r="B41" s="0" t="n">
        <f aca="false">SUMPRODUCT(-C10:L10/(1+$B$27/100)^C4:L4)</f>
        <v>0</v>
      </c>
    </row>
    <row r="42" customFormat="false" ht="15" hidden="false" customHeight="false" outlineLevel="0" collapsed="false">
      <c r="A42" s="0" t="s">
        <v>133</v>
      </c>
      <c r="B42" s="0" t="n">
        <f aca="false">IF(B27&gt;B28,-L10*(1+B28/100)/((B27-B28)/100),-L10*20)/(1+B27/100)^L4</f>
        <v>0</v>
      </c>
    </row>
    <row r="43" customFormat="false" ht="15" hidden="false" customHeight="false" outlineLevel="0" collapsed="false">
      <c r="A43" s="0" t="s">
        <v>134</v>
      </c>
      <c r="B43" s="0" t="n">
        <f aca="false">(B37+B41+B42)/Assumptions!$B$3*Assumptions!$B$10</f>
        <v>0.312585824311512</v>
      </c>
    </row>
    <row r="45" customFormat="false" ht="15" hidden="false" customHeight="false" outlineLevel="0" collapsed="false">
      <c r="A45" s="0" t="s">
        <v>75</v>
      </c>
      <c r="B45" s="4" t="n">
        <f aca="false">Assumptions!$B$6</f>
        <v>15</v>
      </c>
    </row>
    <row r="46" customFormat="false" ht="15" hidden="false" customHeight="false" outlineLevel="0" collapsed="false">
      <c r="A46" s="0" t="s">
        <v>135</v>
      </c>
      <c r="B46" s="0" t="n">
        <f aca="false">MAX(0,MIN(IF(B45&gt;B28,B31*(1+B28/100)/((B45-B28)/100),B31*B29),B31*B29))</f>
        <v>906.270844533824</v>
      </c>
    </row>
    <row r="47" customFormat="false" ht="15" hidden="false" customHeight="false" outlineLevel="0" collapsed="false">
      <c r="A47" s="0" t="s">
        <v>136</v>
      </c>
      <c r="B47" s="0" t="n">
        <f aca="false">(SUMPRODUCT(C19:L19/(1+B45/100)^C4:L4)+B46/(1+B45/100)^L4+Assumptions!$B$5-Assumptions!$B$4)/Assumptions!$B$3*Assumptions!$B$10</f>
        <v>0.242251955381588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139</v>
      </c>
    </row>
    <row r="3" customFormat="false" ht="15" hidden="false" customHeight="false" outlineLevel="0" collapsed="false">
      <c r="A3" s="2" t="s">
        <v>140</v>
      </c>
      <c r="B3" s="2" t="s">
        <v>141</v>
      </c>
      <c r="C3" s="2" t="s">
        <v>131</v>
      </c>
      <c r="D3" s="2" t="s">
        <v>142</v>
      </c>
      <c r="E3" s="2" t="s">
        <v>134</v>
      </c>
      <c r="F3" s="2" t="s">
        <v>143</v>
      </c>
    </row>
    <row r="4" customFormat="false" ht="15" hidden="false" customHeight="false" outlineLevel="0" collapsed="false">
      <c r="A4" s="0" t="s">
        <v>144</v>
      </c>
      <c r="B4" s="4" t="n">
        <f aca="false">DCF_Bear!$B$38</f>
        <v>0.118630615664584</v>
      </c>
      <c r="C4" s="0" t="n">
        <f aca="false">B4/Assumptions!$B$2-1</f>
        <v>-0.629279326048174</v>
      </c>
      <c r="D4" s="4" t="n">
        <f aca="false">Assumptions!$B$24</f>
        <v>0.35</v>
      </c>
      <c r="E4" s="4" t="n">
        <f aca="false">DCF_Bear!$B$43</f>
        <v>0.118630615664584</v>
      </c>
      <c r="F4" s="4" t="n">
        <f aca="false">DCF_Bear!$B$47</f>
        <v>0.10935917527032</v>
      </c>
    </row>
    <row r="5" customFormat="false" ht="15" hidden="false" customHeight="false" outlineLevel="0" collapsed="false">
      <c r="A5" s="0" t="s">
        <v>145</v>
      </c>
      <c r="B5" s="4" t="n">
        <f aca="false">DCF_Base!$B$38</f>
        <v>0.133568751668696</v>
      </c>
      <c r="C5" s="0" t="n">
        <f aca="false">B5/Assumptions!$B$2-1</f>
        <v>-0.582597651035326</v>
      </c>
      <c r="D5" s="4" t="n">
        <f aca="false">Assumptions!$B$38</f>
        <v>0.45</v>
      </c>
      <c r="E5" s="4" t="n">
        <f aca="false">DCF_Base!$B$43</f>
        <v>0.133568751668696</v>
      </c>
      <c r="F5" s="4" t="n">
        <f aca="false">DCF_Base!$B$47</f>
        <v>0.111990616041667</v>
      </c>
    </row>
    <row r="6" customFormat="false" ht="15" hidden="false" customHeight="false" outlineLevel="0" collapsed="false">
      <c r="A6" s="0" t="s">
        <v>146</v>
      </c>
      <c r="B6" s="4" t="n">
        <f aca="false">DCF_Bull!$B$38</f>
        <v>0.312585824311512</v>
      </c>
      <c r="C6" s="0" t="n">
        <f aca="false">B6/Assumptions!$B$2-1</f>
        <v>-0.023169299026524</v>
      </c>
      <c r="D6" s="4" t="n">
        <f aca="false">Assumptions!$B$52</f>
        <v>0.2</v>
      </c>
      <c r="E6" s="4" t="n">
        <f aca="false">DCF_Bull!$B$43</f>
        <v>0.312585824311512</v>
      </c>
      <c r="F6" s="4" t="n">
        <f aca="false">DCF_Bull!$B$47</f>
        <v>0.242251955381588</v>
      </c>
    </row>
    <row r="8" customFormat="false" ht="15" hidden="false" customHeight="false" outlineLevel="0" collapsed="false">
      <c r="A8" s="0" t="s">
        <v>147</v>
      </c>
      <c r="B8" s="0" t="n">
        <f aca="false">SUMPRODUCT(B4:B6,D4:D6)</f>
        <v>0.16414381859582</v>
      </c>
    </row>
    <row r="9" customFormat="false" ht="15" hidden="false" customHeight="false" outlineLevel="0" collapsed="false">
      <c r="A9" s="0" t="s">
        <v>148</v>
      </c>
      <c r="B9" s="0" t="n">
        <f aca="false">SUMPRODUCT(E4:E6,D4:D6)</f>
        <v>0.16414381859582</v>
      </c>
    </row>
    <row r="10" customFormat="false" ht="15" hidden="false" customHeight="false" outlineLevel="0" collapsed="false">
      <c r="A10" s="0" t="s">
        <v>149</v>
      </c>
      <c r="B10" s="0" t="n">
        <f aca="false">1-Assumptions!$B$2/B8</f>
        <v>-0.94950990379938</v>
      </c>
    </row>
    <row r="11" customFormat="false" ht="15" hidden="false" customHeight="false" outlineLevel="0" collapsed="false">
      <c r="A11" s="0" t="s">
        <v>150</v>
      </c>
      <c r="B11" s="0" t="str">
        <f aca="false">IF(ABS(B9-B8)&gt;0.01*ABS(B8),(Assumptions!$B$2-B8)/(B9-B8)*100,"n/a")</f>
        <v>n/a</v>
      </c>
    </row>
    <row r="12" customFormat="false" ht="15" hidden="false" customHeight="false" outlineLevel="0" collapsed="false">
      <c r="A12" s="0" t="s">
        <v>151</v>
      </c>
      <c r="B12" s="0" t="n">
        <f aca="false">SUMPRODUCT(F4:F6,D4:D6)</f>
        <v>0.13712187963968</v>
      </c>
    </row>
    <row r="14" customFormat="false" ht="15" hidden="false" customHeight="false" outlineLevel="0" collapsed="false">
      <c r="A14" s="2" t="s">
        <v>152</v>
      </c>
      <c r="C14" s="0" t="s">
        <v>153</v>
      </c>
    </row>
    <row r="15" customFormat="false" ht="15" hidden="false" customHeight="false" outlineLevel="0" collapsed="false">
      <c r="A15" s="0" t="s">
        <v>154</v>
      </c>
      <c r="B15" s="0" t="n">
        <f aca="false">(SUMPRODUCT(DCF_Base!$C$19:$L$19/(1+$C$15/100)^DCF_Base!$C$4:$L$4)+MAX(0,MIN(IF($C$15&gt;DCF_Base!$B$28,DCF_Base!$L$19*(1+DCF_Base!$B$28/100)/(($C$15-DCF_Base!$B$28)/100),DCF_Base!$L$19*DCF_Base!$B$29),DCF_Base!$L$19*DCF_Base!$B$29))/(1+$C$15/100)^DCF_Base!$L$4+Assumptions!$B$5-Assumptions!$B$4)/Assumptions!$B$3*Assumptions!$B$10</f>
        <v>0.177173846733463</v>
      </c>
      <c r="C15" s="3" t="n">
        <v>9</v>
      </c>
    </row>
    <row r="16" customFormat="false" ht="15" hidden="false" customHeight="false" outlineLevel="0" collapsed="false">
      <c r="A16" s="0" t="s">
        <v>155</v>
      </c>
      <c r="B16" s="0" t="n">
        <f aca="false">(SUMPRODUCT(DCF_Base!$C$19:$L$19/(1+$C$16/100)^DCF_Base!$C$4:$L$4)+MAX(0,MIN(IF($C$16&gt;DCF_Base!$B$28,DCF_Base!$L$19*(1+DCF_Base!$B$28/100)/(($C$16-DCF_Base!$B$28)/100),DCF_Base!$L$19*DCF_Base!$B$29),DCF_Base!$L$19*DCF_Base!$B$29))/(1+$C$16/100)^DCF_Base!$L$4+Assumptions!$B$5-Assumptions!$B$4)/Assumptions!$B$3*Assumptions!$B$10</f>
        <v>0.16601979275731</v>
      </c>
      <c r="C16" s="3" t="n">
        <v>10</v>
      </c>
    </row>
    <row r="17" customFormat="false" ht="15" hidden="false" customHeight="false" outlineLevel="0" collapsed="false">
      <c r="A17" s="0" t="s">
        <v>156</v>
      </c>
      <c r="B17" s="0" t="n">
        <f aca="false">(SUMPRODUCT(DCF_Base!$C$19:$L$19/(1+$C$17/100)^DCF_Base!$C$4:$L$4)+MAX(0,MIN(IF($C$17&gt;DCF_Base!$B$28,DCF_Base!$L$19*(1+DCF_Base!$B$28/100)/(($C$17-DCF_Base!$B$28)/100),DCF_Base!$L$19*DCF_Base!$B$29),DCF_Base!$L$19*DCF_Base!$B$29))/(1+$C$17/100)^DCF_Base!$L$4+Assumptions!$B$5-Assumptions!$B$4)/Assumptions!$B$3*Assumptions!$B$10</f>
        <v>0.15585175593892</v>
      </c>
      <c r="C17" s="3" t="n">
        <v>11</v>
      </c>
    </row>
    <row r="18" customFormat="false" ht="15" hidden="false" customHeight="false" outlineLevel="0" collapsed="false">
      <c r="A18" s="0" t="s">
        <v>157</v>
      </c>
      <c r="B18" s="0" t="n">
        <f aca="false">(SUMPRODUCT(DCF_Base!$C$19:$L$19/(1+$C$18/100)^DCF_Base!$C$4:$L$4)+MAX(0,MIN(IF($C$18&gt;DCF_Base!$B$28,DCF_Base!$L$19*(1+DCF_Base!$B$28/100)/(($C$18-DCF_Base!$B$28)/100),DCF_Base!$L$19*DCF_Base!$B$29),DCF_Base!$L$19*DCF_Base!$B$29))/(1+$C$18/100)^DCF_Base!$L$4+Assumptions!$B$5-Assumptions!$B$4)/Assumptions!$B$3*Assumptions!$B$10</f>
        <v>0.146571755666933</v>
      </c>
      <c r="C18" s="3" t="n">
        <v>12</v>
      </c>
    </row>
    <row r="19" customFormat="false" ht="15" hidden="false" customHeight="false" outlineLevel="0" collapsed="false">
      <c r="A19" s="0" t="s">
        <v>158</v>
      </c>
      <c r="B19" s="0" t="n">
        <f aca="false">(SUMPRODUCT(DCF_Base!$C$19:$L$19/(1+$C$19/100)^DCF_Base!$C$4:$L$4)+MAX(0,MIN(IF($C$19&gt;DCF_Base!$B$28,DCF_Base!$L$19*(1+DCF_Base!$B$28/100)/(($C$19-DCF_Base!$B$28)/100),DCF_Base!$L$19*DCF_Base!$B$29),DCF_Base!$L$19*DCF_Base!$B$29))/(1+$C$19/100)^DCF_Base!$L$4+Assumptions!$B$5-Assumptions!$B$4)/Assumptions!$B$3*Assumptions!$B$10</f>
        <v>0.133568751668696</v>
      </c>
      <c r="C19" s="3" t="n">
        <v>13</v>
      </c>
    </row>
    <row r="20" customFormat="false" ht="15" hidden="false" customHeight="false" outlineLevel="0" collapsed="false">
      <c r="A20" s="0" t="s">
        <v>159</v>
      </c>
      <c r="B20" s="0" t="n">
        <f aca="false">(SUMPRODUCT(DCF_Base!$C$19:$L$19/(1+$C$20/100)^DCF_Base!$C$4:$L$4)+MAX(0,MIN(IF($C$20&gt;DCF_Base!$B$28,DCF_Base!$L$19*(1+DCF_Base!$B$28/100)/(($C$20-DCF_Base!$B$28)/100),DCF_Base!$L$19*DCF_Base!$B$29),DCF_Base!$L$19*DCF_Base!$B$29))/(1+$C$20/100)^DCF_Base!$L$4+Assumptions!$B$5-Assumptions!$B$4)/Assumptions!$B$3*Assumptions!$B$10</f>
        <v>0.111990616041667</v>
      </c>
      <c r="C20" s="3" t="n">
        <v>15</v>
      </c>
    </row>
    <row r="22" customFormat="false" ht="15" hidden="false" customHeight="false" outlineLevel="0" collapsed="false">
      <c r="A22" s="2" t="s">
        <v>160</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11</v>
      </c>
      <c r="B24" s="0" t="n">
        <f aca="false">(SUMPRODUCT(DCF_Base!$C$19:$L$19/(1+$A$24/100)^DCF_Base!$C$4:$L$4)+MAX(0,MIN(IF($A$24&gt;$B$23,DCF_Base!$L$19*(1+$B$23/100)/(($A$24-$B$23)/100),DCF_Base!$L$19*DCF_Base!$B$29),DCF_Base!$L$19*DCF_Base!$B$29))/(1+$A$24/100)^DCF_Base!$L$4+Assumptions!$B$5-Assumptions!$B$4)/Assumptions!$B$3*Assumptions!$B$10</f>
        <v>0.15585175593892</v>
      </c>
      <c r="C24" s="0" t="n">
        <f aca="false">(SUMPRODUCT(DCF_Base!$C$19:$L$19/(1+$A$24/100)^DCF_Base!$C$4:$L$4)+MAX(0,MIN(IF($A$24&gt;$C$23,DCF_Base!$L$19*(1+$C$23/100)/(($A$24-$C$23)/100),DCF_Base!$L$19*DCF_Base!$B$29),DCF_Base!$L$19*DCF_Base!$B$29))/(1+$A$24/100)^DCF_Base!$L$4+Assumptions!$B$5-Assumptions!$B$4)/Assumptions!$B$3*Assumptions!$B$10</f>
        <v>0.15585175593892</v>
      </c>
      <c r="D24" s="0" t="n">
        <f aca="false">(SUMPRODUCT(DCF_Base!$C$19:$L$19/(1+$A$24/100)^DCF_Base!$C$4:$L$4)+MAX(0,MIN(IF($A$24&gt;$D$23,DCF_Base!$L$19*(1+$D$23/100)/(($A$24-$D$23)/100),DCF_Base!$L$19*DCF_Base!$B$29),DCF_Base!$L$19*DCF_Base!$B$29))/(1+$A$24/100)^DCF_Base!$L$4+Assumptions!$B$5-Assumptions!$B$4)/Assumptions!$B$3*Assumptions!$B$10</f>
        <v>0.15585175593892</v>
      </c>
      <c r="E24" s="0" t="n">
        <f aca="false">(SUMPRODUCT(DCF_Base!$C$19:$L$19/(1+$A$24/100)^DCF_Base!$C$4:$L$4)+MAX(0,MIN(IF($A$24&gt;$E$23,DCF_Base!$L$19*(1+$E$23/100)/(($A$24-$E$23)/100),DCF_Base!$L$19*DCF_Base!$B$29),DCF_Base!$L$19*DCF_Base!$B$29))/(1+$A$24/100)^DCF_Base!$L$4+Assumptions!$B$5-Assumptions!$B$4)/Assumptions!$B$3*Assumptions!$B$10</f>
        <v>0.15585175593892</v>
      </c>
      <c r="F24" s="0" t="n">
        <f aca="false">(SUMPRODUCT(DCF_Base!$C$19:$L$19/(1+$A$24/100)^DCF_Base!$C$4:$L$4)+MAX(0,MIN(IF($A$24&gt;$F$23,DCF_Base!$L$19*(1+$F$23/100)/(($A$24-$F$23)/100),DCF_Base!$L$19*DCF_Base!$B$29),DCF_Base!$L$19*DCF_Base!$B$29))/(1+$A$24/100)^DCF_Base!$L$4+Assumptions!$B$5-Assumptions!$B$4)/Assumptions!$B$3*Assumptions!$B$10</f>
        <v>0.15585175593892</v>
      </c>
    </row>
    <row r="25" customFormat="false" ht="15" hidden="false" customHeight="false" outlineLevel="0" collapsed="false">
      <c r="A25" s="3" t="n">
        <v>12</v>
      </c>
      <c r="B25" s="0" t="n">
        <f aca="false">(SUMPRODUCT(DCF_Base!$C$19:$L$19/(1+$A$25/100)^DCF_Base!$C$4:$L$4)+MAX(0,MIN(IF($A$25&gt;$B$23,DCF_Base!$L$19*(1+$B$23/100)/(($A$25-$B$23)/100),DCF_Base!$L$19*DCF_Base!$B$29),DCF_Base!$L$19*DCF_Base!$B$29))/(1+$A$25/100)^DCF_Base!$L$4+Assumptions!$B$5-Assumptions!$B$4)/Assumptions!$B$3*Assumptions!$B$10</f>
        <v>0.141009565458314</v>
      </c>
      <c r="C25" s="0" t="n">
        <f aca="false">(SUMPRODUCT(DCF_Base!$C$19:$L$19/(1+$A$25/100)^DCF_Base!$C$4:$L$4)+MAX(0,MIN(IF($A$25&gt;$C$23,DCF_Base!$L$19*(1+$C$23/100)/(($A$25-$C$23)/100),DCF_Base!$L$19*DCF_Base!$B$29),DCF_Base!$L$19*DCF_Base!$B$29))/(1+$A$25/100)^DCF_Base!$L$4+Assumptions!$B$5-Assumptions!$B$4)/Assumptions!$B$3*Assumptions!$B$10</f>
        <v>0.144305678174533</v>
      </c>
      <c r="D25" s="0" t="n">
        <f aca="false">(SUMPRODUCT(DCF_Base!$C$19:$L$19/(1+$A$25/100)^DCF_Base!$C$4:$L$4)+MAX(0,MIN(IF($A$25&gt;$D$23,DCF_Base!$L$19*(1+$D$23/100)/(($A$25-$D$23)/100),DCF_Base!$L$19*DCF_Base!$B$29),DCF_Base!$L$19*DCF_Base!$B$29))/(1+$A$25/100)^DCF_Base!$L$4+Assumptions!$B$5-Assumptions!$B$4)/Assumptions!$B$3*Assumptions!$B$10</f>
        <v>0.146571755666933</v>
      </c>
      <c r="E25" s="0" t="n">
        <f aca="false">(SUMPRODUCT(DCF_Base!$C$19:$L$19/(1+$A$25/100)^DCF_Base!$C$4:$L$4)+MAX(0,MIN(IF($A$25&gt;$E$23,DCF_Base!$L$19*(1+$E$23/100)/(($A$25-$E$23)/100),DCF_Base!$L$19*DCF_Base!$B$29),DCF_Base!$L$19*DCF_Base!$B$29))/(1+$A$25/100)^DCF_Base!$L$4+Assumptions!$B$5-Assumptions!$B$4)/Assumptions!$B$3*Assumptions!$B$10</f>
        <v>0.146571755666933</v>
      </c>
      <c r="F25" s="0" t="n">
        <f aca="false">(SUMPRODUCT(DCF_Base!$C$19:$L$19/(1+$A$25/100)^DCF_Base!$C$4:$L$4)+MAX(0,MIN(IF($A$25&gt;$F$23,DCF_Base!$L$19*(1+$F$23/100)/(($A$25-$F$23)/100),DCF_Base!$L$19*DCF_Base!$B$29),DCF_Base!$L$19*DCF_Base!$B$29))/(1+$A$25/100)^DCF_Base!$L$4+Assumptions!$B$5-Assumptions!$B$4)/Assumptions!$B$3*Assumptions!$B$10</f>
        <v>0.146571755666933</v>
      </c>
    </row>
    <row r="26" customFormat="false" ht="15" hidden="false" customHeight="false" outlineLevel="0" collapsed="false">
      <c r="A26" s="3" t="n">
        <v>13</v>
      </c>
      <c r="B26" s="0" t="n">
        <f aca="false">(SUMPRODUCT(DCF_Base!$C$19:$L$19/(1+$A$26/100)^DCF_Base!$C$4:$L$4)+MAX(0,MIN(IF($A$26&gt;$B$23,DCF_Base!$L$19*(1+$B$23/100)/(($A$26-$B$23)/100),DCF_Base!$L$19*DCF_Base!$B$29),DCF_Base!$L$19*DCF_Base!$B$29))/(1+$A$26/100)^DCF_Base!$L$4+Assumptions!$B$5-Assumptions!$B$4)/Assumptions!$B$3*Assumptions!$B$10</f>
        <v>0.128244037299737</v>
      </c>
      <c r="C26" s="0" t="n">
        <f aca="false">(SUMPRODUCT(DCF_Base!$C$19:$L$19/(1+$A$26/100)^DCF_Base!$C$4:$L$4)+MAX(0,MIN(IF($A$26&gt;$C$23,DCF_Base!$L$19*(1+$C$23/100)/(($A$26-$C$23)/100),DCF_Base!$L$19*DCF_Base!$B$29),DCF_Base!$L$19*DCF_Base!$B$29))/(1+$A$26/100)^DCF_Base!$L$4+Assumptions!$B$5-Assumptions!$B$4)/Assumptions!$B$3*Assumptions!$B$10</f>
        <v>0.130790639824022</v>
      </c>
      <c r="D26" s="0" t="n">
        <f aca="false">(SUMPRODUCT(DCF_Base!$C$19:$L$19/(1+$A$26/100)^DCF_Base!$C$4:$L$4)+MAX(0,MIN(IF($A$26&gt;$D$23,DCF_Base!$L$19*(1+$D$23/100)/(($A$26-$D$23)/100),DCF_Base!$L$19*DCF_Base!$B$29),DCF_Base!$L$19*DCF_Base!$B$29))/(1+$A$26/100)^DCF_Base!$L$4+Assumptions!$B$5-Assumptions!$B$4)/Assumptions!$B$3*Assumptions!$B$10</f>
        <v>0.133568751668696</v>
      </c>
      <c r="E26" s="0" t="n">
        <f aca="false">(SUMPRODUCT(DCF_Base!$C$19:$L$19/(1+$A$26/100)^DCF_Base!$C$4:$L$4)+MAX(0,MIN(IF($A$26&gt;$E$23,DCF_Base!$L$19*(1+$E$23/100)/(($A$26-$E$23)/100),DCF_Base!$L$19*DCF_Base!$B$29),DCF_Base!$L$19*DCF_Base!$B$29))/(1+$A$26/100)^DCF_Base!$L$4+Assumptions!$B$5-Assumptions!$B$4)/Assumptions!$B$3*Assumptions!$B$10</f>
        <v>0.136611445593815</v>
      </c>
      <c r="F26" s="0" t="n">
        <f aca="false">(SUMPRODUCT(DCF_Base!$C$19:$L$19/(1+$A$26/100)^DCF_Base!$C$4:$L$4)+MAX(0,MIN(IF($A$26&gt;$F$23,DCF_Base!$L$19*(1+$F$23/100)/(($A$26-$F$23)/100),DCF_Base!$L$19*DCF_Base!$B$29),DCF_Base!$L$19*DCF_Base!$B$29))/(1+$A$26/100)^DCF_Base!$L$4+Assumptions!$B$5-Assumptions!$B$4)/Assumptions!$B$3*Assumptions!$B$10</f>
        <v>0.138092402814006</v>
      </c>
    </row>
    <row r="27" customFormat="false" ht="15" hidden="false" customHeight="false" outlineLevel="0" collapsed="false">
      <c r="A27" s="3" t="n">
        <v>14</v>
      </c>
      <c r="B27" s="0" t="n">
        <f aca="false">(SUMPRODUCT(DCF_Base!$C$19:$L$19/(1+$A$27/100)^DCF_Base!$C$4:$L$4)+MAX(0,MIN(IF($A$27&gt;$B$23,DCF_Base!$L$19*(1+$B$23/100)/(($A$27-$B$23)/100),DCF_Base!$L$19*DCF_Base!$B$29),DCF_Base!$L$19*DCF_Base!$B$29))/(1+$A$27/100)^DCF_Base!$L$4+Assumptions!$B$5-Assumptions!$B$4)/Assumptions!$B$3*Assumptions!$B$10</f>
        <v>0.117630444308726</v>
      </c>
      <c r="C27" s="0" t="n">
        <f aca="false">(SUMPRODUCT(DCF_Base!$C$19:$L$19/(1+$A$27/100)^DCF_Base!$C$4:$L$4)+MAX(0,MIN(IF($A$27&gt;$C$23,DCF_Base!$L$19*(1+$C$23/100)/(($A$27-$C$23)/100),DCF_Base!$L$19*DCF_Base!$B$29),DCF_Base!$L$19*DCF_Base!$B$29))/(1+$A$27/100)^DCF_Base!$L$4+Assumptions!$B$5-Assumptions!$B$4)/Assumptions!$B$3*Assumptions!$B$10</f>
        <v>0.119628231459969</v>
      </c>
      <c r="D27" s="0" t="n">
        <f aca="false">(SUMPRODUCT(DCF_Base!$C$19:$L$19/(1+$A$27/100)^DCF_Base!$C$4:$L$4)+MAX(0,MIN(IF($A$27&gt;$D$23,DCF_Base!$L$19*(1+$D$23/100)/(($A$27-$D$23)/100),DCF_Base!$L$19*DCF_Base!$B$29),DCF_Base!$L$19*DCF_Base!$B$29))/(1+$A$27/100)^DCF_Base!$L$4+Assumptions!$B$5-Assumptions!$B$4)/Assumptions!$B$3*Assumptions!$B$10</f>
        <v>0.121792500873815</v>
      </c>
      <c r="E27" s="0" t="n">
        <f aca="false">(SUMPRODUCT(DCF_Base!$C$19:$L$19/(1+$A$27/100)^DCF_Base!$C$4:$L$4)+MAX(0,MIN(IF($A$27&gt;$E$23,DCF_Base!$L$19*(1+$E$23/100)/(($A$27-$E$23)/100),DCF_Base!$L$19*DCF_Base!$B$29),DCF_Base!$L$19*DCF_Base!$B$29))/(1+$A$27/100)^DCF_Base!$L$4+Assumptions!$B$5-Assumptions!$B$4)/Assumptions!$B$3*Assumptions!$B$10</f>
        <v>0.124144967627996</v>
      </c>
      <c r="F27" s="0" t="n">
        <f aca="false">(SUMPRODUCT(DCF_Base!$C$19:$L$19/(1+$A$27/100)^DCF_Base!$C$4:$L$4)+MAX(0,MIN(IF($A$27&gt;$F$23,DCF_Base!$L$19*(1+$F$23/100)/(($A$27-$F$23)/100),DCF_Base!$L$19*DCF_Base!$B$29),DCF_Base!$L$19*DCF_Base!$B$29))/(1+$A$27/100)^DCF_Base!$L$4+Assumptions!$B$5-Assumptions!$B$4)/Assumptions!$B$3*Assumptions!$B$10</f>
        <v>0.126711294996193</v>
      </c>
    </row>
    <row r="28" customFormat="false" ht="15" hidden="false" customHeight="false" outlineLevel="0" collapsed="false">
      <c r="A28" s="3" t="n">
        <v>15</v>
      </c>
      <c r="B28" s="0" t="n">
        <f aca="false">(SUMPRODUCT(DCF_Base!$C$19:$L$19/(1+$A$28/100)^DCF_Base!$C$4:$L$4)+MAX(0,MIN(IF($A$28&gt;$B$23,DCF_Base!$L$19*(1+$B$23/100)/(($A$28-$B$23)/100),DCF_Base!$L$19*DCF_Base!$B$29),DCF_Base!$L$19*DCF_Base!$B$29))/(1+$A$28/100)^DCF_Base!$L$4+Assumptions!$B$5-Assumptions!$B$4)/Assumptions!$B$3*Assumptions!$B$10</f>
        <v>0.108692816240553</v>
      </c>
      <c r="C28" s="0" t="n">
        <f aca="false">(SUMPRODUCT(DCF_Base!$C$19:$L$19/(1+$A$28/100)^DCF_Base!$C$4:$L$4)+MAX(0,MIN(IF($A$28&gt;$C$23,DCF_Base!$L$19*(1+$C$23/100)/(($A$28-$C$23)/100),DCF_Base!$L$19*DCF_Base!$B$29),DCF_Base!$L$19*DCF_Base!$B$29))/(1+$A$28/100)^DCF_Base!$L$4+Assumptions!$B$5-Assumptions!$B$4)/Assumptions!$B$3*Assumptions!$B$10</f>
        <v>0.110280645774423</v>
      </c>
      <c r="D28" s="0" t="n">
        <f aca="false">(SUMPRODUCT(DCF_Base!$C$19:$L$19/(1+$A$28/100)^DCF_Base!$C$4:$L$4)+MAX(0,MIN(IF($A$28&gt;$D$23,DCF_Base!$L$19*(1+$D$23/100)/(($A$28-$D$23)/100),DCF_Base!$L$19*DCF_Base!$B$29),DCF_Base!$L$19*DCF_Base!$B$29))/(1+$A$28/100)^DCF_Base!$L$4+Assumptions!$B$5-Assumptions!$B$4)/Assumptions!$B$3*Assumptions!$B$10</f>
        <v>0.111990616041667</v>
      </c>
      <c r="E28" s="0" t="n">
        <f aca="false">(SUMPRODUCT(DCF_Base!$C$19:$L$19/(1+$A$28/100)^DCF_Base!$C$4:$L$4)+MAX(0,MIN(IF($A$28&gt;$E$23,DCF_Base!$L$19*(1+$E$23/100)/(($A$28-$E$23)/100),DCF_Base!$L$19*DCF_Base!$B$29),DCF_Base!$L$19*DCF_Base!$B$29))/(1+$A$28/100)^DCF_Base!$L$4+Assumptions!$B$5-Assumptions!$B$4)/Assumptions!$B$3*Assumptions!$B$10</f>
        <v>0.113837383930291</v>
      </c>
      <c r="F28" s="0" t="n">
        <f aca="false">(SUMPRODUCT(DCF_Base!$C$19:$L$19/(1+$A$28/100)^DCF_Base!$C$4:$L$4)+MAX(0,MIN(IF($A$28&gt;$F$23,DCF_Base!$L$19*(1+$F$23/100)/(($A$28-$F$23)/100),DCF_Base!$L$19*DCF_Base!$B$29),DCF_Base!$L$19*DCF_Base!$B$29))/(1+$A$28/100)^DCF_Base!$L$4+Assumptions!$B$5-Assumptions!$B$4)/Assumptions!$B$3*Assumptions!$B$10</f>
        <v>0.115838049142967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2026-10-18T05:22:40Z</dcterms:created>
  <dc:creator>openpyxl</dc:creator>
  <dc:description/>
  <dc:language>en-NZ</dc:language>
  <cp:lastModifiedBy/>
  <dcterms:modified xsi:type="dcterms:W3CDTF">2026-10-18T05:22:40Z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