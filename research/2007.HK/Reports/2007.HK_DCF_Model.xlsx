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2007.HK distressed NAV recovery waterfall</t>
        </is>
      </c>
    </row>
    <row r="2">
      <c r="A2" t="inlineStr">
        <is>
          <t>Share price (HKD)</t>
        </is>
      </c>
      <c r="B2" t="n">
        <v>0.172</v>
      </c>
    </row>
    <row r="3">
      <c r="A3" t="inlineStr">
        <is>
          <t>HKD per CNY</t>
        </is>
      </c>
      <c r="B3" t="n">
        <v>1.1724</v>
      </c>
    </row>
    <row r="4">
      <c r="A4" t="inlineStr">
        <is>
          <t>Cost of equity %</t>
        </is>
      </c>
      <c r="B4" t="n">
        <v>13</v>
      </c>
    </row>
    <row r="5">
      <c r="A5" t="inlineStr">
        <is>
          <t>Hurdle %</t>
        </is>
      </c>
      <c r="B5" t="n">
        <v>15</v>
      </c>
    </row>
    <row r="6">
      <c r="A6" t="inlineStr">
        <is>
          <t>Years to exit</t>
        </is>
      </c>
      <c r="B6" t="n">
        <v>3.21</v>
      </c>
    </row>
    <row r="7">
      <c r="A7" t="inlineStr">
        <is>
          <t>Basic shares (m)</t>
        </is>
      </c>
      <c r="B7" t="n">
        <v>46329.95877</v>
      </c>
    </row>
    <row r="8">
      <c r="A8" t="inlineStr">
        <is>
          <t>MCB(A) max (m)</t>
        </is>
      </c>
      <c r="B8" t="n">
        <v>11158.292199</v>
      </c>
    </row>
    <row r="9">
      <c r="A9" t="inlineStr">
        <is>
          <t>MCB(B) max (m)</t>
        </is>
      </c>
      <c r="B9" t="n">
        <v>331.319373</v>
      </c>
    </row>
    <row r="10">
      <c r="A10" t="inlineStr">
        <is>
          <t>SCA warrants max (m)</t>
        </is>
      </c>
      <c r="B10" t="n">
        <v>755.979822</v>
      </c>
    </row>
    <row r="11">
      <c r="A11" t="inlineStr">
        <is>
          <t>Equitisation shares remaining (m)</t>
        </is>
      </c>
      <c r="B11" t="n">
        <v>9417.421323</v>
      </c>
    </row>
    <row r="12">
      <c r="A12" t="inlineStr">
        <is>
          <t>Fully diluted shares (m)</t>
        </is>
      </c>
      <c r="B12">
        <f>SUM(B7:B11)</f>
        <v/>
      </c>
    </row>
    <row r="13">
      <c r="A13" t="inlineStr">
        <is>
          <t>Owners' equity 30-Jun-26 (RMB m)</t>
        </is>
      </c>
      <c r="B13" t="n">
        <v>-12184</v>
      </c>
    </row>
    <row r="14">
      <c r="A14" t="inlineStr">
        <is>
          <t>FVTPL equity claims (RMB m)</t>
        </is>
      </c>
      <c r="B14" t="n">
        <v>2815</v>
      </c>
    </row>
    <row r="15">
      <c r="A15" t="inlineStr">
        <is>
          <t>Diluted owners' NAV (RMB m)</t>
        </is>
      </c>
      <c r="B15">
        <f>B13+B14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</row>
    <row r="2">
      <c r="A2" t="inlineStr">
        <is>
          <t>Run-off losses ex-gains (RMB m)</t>
        </is>
      </c>
      <c r="B2" t="n">
        <v>0</v>
      </c>
      <c r="C2" t="n">
        <v>-55000</v>
      </c>
      <c r="D2" t="n">
        <v>-35000</v>
      </c>
    </row>
    <row r="3">
      <c r="A3" t="inlineStr">
        <is>
          <t>Compromise gains (RMB m)</t>
        </is>
      </c>
      <c r="B3" t="n">
        <v>0</v>
      </c>
      <c r="C3" t="n">
        <v>75000</v>
      </c>
      <c r="D3" t="n">
        <v>90000</v>
      </c>
    </row>
    <row r="4">
      <c r="A4" t="inlineStr">
        <is>
          <t>Exit owners' NAV (RMB m)</t>
        </is>
      </c>
      <c r="B4" t="n">
        <v>0</v>
      </c>
      <c r="C4">
        <f>Inputs!$B$15+C2+C3</f>
        <v/>
      </c>
      <c r="D4">
        <f>Inputs!$B$15+D2+D3</f>
        <v/>
      </c>
    </row>
    <row r="5">
      <c r="A5" t="inlineStr">
        <is>
          <t>Exit P/B</t>
        </is>
      </c>
      <c r="B5" t="n">
        <v>0</v>
      </c>
      <c r="C5" t="n">
        <v>0.3</v>
      </c>
      <c r="D5" t="n">
        <v>0.5</v>
      </c>
    </row>
    <row r="6">
      <c r="A6" t="inlineStr">
        <is>
          <t>Exit equity (RMB m)</t>
        </is>
      </c>
      <c r="B6">
        <f>MAX(0,B4)*B5</f>
        <v/>
      </c>
      <c r="C6">
        <f>MAX(0,C4)*C5</f>
        <v/>
      </c>
      <c r="D6">
        <f>MAX(0,D4)*D5</f>
        <v/>
      </c>
    </row>
    <row r="7">
      <c r="A7" t="inlineStr">
        <is>
          <t>PV at CoE (RMB m)</t>
        </is>
      </c>
      <c r="B7">
        <f>B6/(1+Inputs!$B$4/100)^Inputs!$B$6</f>
        <v/>
      </c>
      <c r="C7">
        <f>C6/(1+Inputs!$B$4/100)^Inputs!$B$6</f>
        <v/>
      </c>
      <c r="D7">
        <f>D6/(1+Inputs!$B$4/100)^Inputs!$B$6</f>
        <v/>
      </c>
    </row>
    <row r="8">
      <c r="A8" t="inlineStr">
        <is>
          <t>IV HKD/share</t>
        </is>
      </c>
      <c r="B8">
        <f>B7/Inputs!$B$12*Inputs!$B$3</f>
        <v/>
      </c>
      <c r="C8">
        <f>C7/Inputs!$B$12*Inputs!$B$3</f>
        <v/>
      </c>
      <c r="D8">
        <f>D7/Inputs!$B$12*Inputs!$B$3</f>
        <v/>
      </c>
    </row>
    <row r="9">
      <c r="A9" t="inlineStr">
        <is>
          <t>Upside %</t>
        </is>
      </c>
      <c r="B9">
        <f>(B8/Inputs!$B$2-1)*100</f>
        <v/>
      </c>
      <c r="C9">
        <f>(C8/Inputs!$B$2-1)*100</f>
        <v/>
      </c>
      <c r="D9">
        <f>(D8/Inputs!$B$2-1)*100</f>
        <v/>
      </c>
    </row>
    <row r="10">
      <c r="A10" t="inlineStr">
        <is>
          <t>Entry @ hurdle HKD/share</t>
        </is>
      </c>
      <c r="B10">
        <f>B6/(1+Inputs!$B$5/100)^Inputs!$B$6/Inputs!$B$12*Inputs!$B$3</f>
        <v/>
      </c>
      <c r="C10">
        <f>C6/(1+Inputs!$B$5/100)^Inputs!$B$6/Inputs!$B$12*Inputs!$B$3</f>
        <v/>
      </c>
      <c r="D10">
        <f>D6/(1+Inputs!$B$5/100)^Inputs!$B$6/Inputs!$B$12*Inputs!$B$3</f>
        <v/>
      </c>
    </row>
    <row r="11">
      <c r="A11" t="inlineStr">
        <is>
          <t>Weight</t>
        </is>
      </c>
      <c r="B11" t="n">
        <v>0.4</v>
      </c>
      <c r="C11" t="n">
        <v>0.45</v>
      </c>
      <c r="D11" t="n">
        <v>0.15</v>
      </c>
    </row>
    <row r="13">
      <c r="A13" s="1" t="inlineStr">
        <is>
          <t>Weighted IV HKD/share</t>
        </is>
      </c>
      <c r="B13">
        <f>SUMPRODUCT(B8:D8,B11:D11)</f>
        <v/>
      </c>
    </row>
    <row r="14">
      <c r="A14" t="inlineStr">
        <is>
          <t>Weighted entry HKD/share</t>
        </is>
      </c>
      <c r="B14">
        <f>SUMPRODUCT(B10:D10,B11:D11)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IV HKD/share: exit NAV (rows, RMB m) x exit P/B (cols)</t>
        </is>
      </c>
    </row>
    <row r="2">
      <c r="B2" t="n">
        <v>0.2</v>
      </c>
      <c r="C2" t="n">
        <v>0.3</v>
      </c>
      <c r="D2" t="n">
        <v>0.4</v>
      </c>
      <c r="E2" t="n">
        <v>0.5</v>
      </c>
      <c r="F2" t="n">
        <v>0.7</v>
      </c>
    </row>
    <row r="3">
      <c r="A3" t="n">
        <v>-10000</v>
      </c>
      <c r="B3">
        <f>MAX(0,$A3)*B$2/(1+Inputs!$B$4/100)^Inputs!$B$6/Inputs!$B$12*Inputs!$B$3</f>
        <v/>
      </c>
      <c r="C3">
        <f>MAX(0,$A3)*C$2/(1+Inputs!$B$4/100)^Inputs!$B$6/Inputs!$B$12*Inputs!$B$3</f>
        <v/>
      </c>
      <c r="D3">
        <f>MAX(0,$A3)*D$2/(1+Inputs!$B$4/100)^Inputs!$B$6/Inputs!$B$12*Inputs!$B$3</f>
        <v/>
      </c>
      <c r="E3">
        <f>MAX(0,$A3)*E$2/(1+Inputs!$B$4/100)^Inputs!$B$6/Inputs!$B$12*Inputs!$B$3</f>
        <v/>
      </c>
      <c r="F3">
        <f>MAX(0,$A3)*F$2/(1+Inputs!$B$4/100)^Inputs!$B$6/Inputs!$B$12*Inputs!$B$3</f>
        <v/>
      </c>
    </row>
    <row r="4">
      <c r="A4" t="n">
        <v>0</v>
      </c>
      <c r="B4">
        <f>MAX(0,$A4)*B$2/(1+Inputs!$B$4/100)^Inputs!$B$6/Inputs!$B$12*Inputs!$B$3</f>
        <v/>
      </c>
      <c r="C4">
        <f>MAX(0,$A4)*C$2/(1+Inputs!$B$4/100)^Inputs!$B$6/Inputs!$B$12*Inputs!$B$3</f>
        <v/>
      </c>
      <c r="D4">
        <f>MAX(0,$A4)*D$2/(1+Inputs!$B$4/100)^Inputs!$B$6/Inputs!$B$12*Inputs!$B$3</f>
        <v/>
      </c>
      <c r="E4">
        <f>MAX(0,$A4)*E$2/(1+Inputs!$B$4/100)^Inputs!$B$6/Inputs!$B$12*Inputs!$B$3</f>
        <v/>
      </c>
      <c r="F4">
        <f>MAX(0,$A4)*F$2/(1+Inputs!$B$4/100)^Inputs!$B$6/Inputs!$B$12*Inputs!$B$3</f>
        <v/>
      </c>
    </row>
    <row r="5">
      <c r="A5" t="n">
        <v>10000</v>
      </c>
      <c r="B5">
        <f>MAX(0,$A5)*B$2/(1+Inputs!$B$4/100)^Inputs!$B$6/Inputs!$B$12*Inputs!$B$3</f>
        <v/>
      </c>
      <c r="C5">
        <f>MAX(0,$A5)*C$2/(1+Inputs!$B$4/100)^Inputs!$B$6/Inputs!$B$12*Inputs!$B$3</f>
        <v/>
      </c>
      <c r="D5">
        <f>MAX(0,$A5)*D$2/(1+Inputs!$B$4/100)^Inputs!$B$6/Inputs!$B$12*Inputs!$B$3</f>
        <v/>
      </c>
      <c r="E5">
        <f>MAX(0,$A5)*E$2/(1+Inputs!$B$4/100)^Inputs!$B$6/Inputs!$B$12*Inputs!$B$3</f>
        <v/>
      </c>
      <c r="F5">
        <f>MAX(0,$A5)*F$2/(1+Inputs!$B$4/100)^Inputs!$B$6/Inputs!$B$12*Inputs!$B$3</f>
        <v/>
      </c>
    </row>
    <row r="6">
      <c r="A6" t="n">
        <v>25000</v>
      </c>
      <c r="B6">
        <f>MAX(0,$A6)*B$2/(1+Inputs!$B$4/100)^Inputs!$B$6/Inputs!$B$12*Inputs!$B$3</f>
        <v/>
      </c>
      <c r="C6">
        <f>MAX(0,$A6)*C$2/(1+Inputs!$B$4/100)^Inputs!$B$6/Inputs!$B$12*Inputs!$B$3</f>
        <v/>
      </c>
      <c r="D6">
        <f>MAX(0,$A6)*D$2/(1+Inputs!$B$4/100)^Inputs!$B$6/Inputs!$B$12*Inputs!$B$3</f>
        <v/>
      </c>
      <c r="E6">
        <f>MAX(0,$A6)*E$2/(1+Inputs!$B$4/100)^Inputs!$B$6/Inputs!$B$12*Inputs!$B$3</f>
        <v/>
      </c>
      <c r="F6">
        <f>MAX(0,$A6)*F$2/(1+Inputs!$B$4/100)^Inputs!$B$6/Inputs!$B$12*Inputs!$B$3</f>
        <v/>
      </c>
    </row>
    <row r="7">
      <c r="A7" t="n">
        <v>45000</v>
      </c>
      <c r="B7">
        <f>MAX(0,$A7)*B$2/(1+Inputs!$B$4/100)^Inputs!$B$6/Inputs!$B$12*Inputs!$B$3</f>
        <v/>
      </c>
      <c r="C7">
        <f>MAX(0,$A7)*C$2/(1+Inputs!$B$4/100)^Inputs!$B$6/Inputs!$B$12*Inputs!$B$3</f>
        <v/>
      </c>
      <c r="D7">
        <f>MAX(0,$A7)*D$2/(1+Inputs!$B$4/100)^Inputs!$B$6/Inputs!$B$12*Inputs!$B$3</f>
        <v/>
      </c>
      <c r="E7">
        <f>MAX(0,$A7)*E$2/(1+Inputs!$B$4/100)^Inputs!$B$6/Inputs!$B$12*Inputs!$B$3</f>
        <v/>
      </c>
      <c r="F7">
        <f>MAX(0,$A7)*F$2/(1+Inputs!$B$4/100)^Inputs!$B$6/Inputs!$B$12*Inputs!$B$3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2026-10-17T01:20:38Z</dcterms:created>
  <dcterms:modified xsi:type="dcterms:W3CDTF">2026-10-17T01:20:38Z</dcterms:modified>
</cp:coreProperties>
</file>