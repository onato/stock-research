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<sst xmlns="http://schemas.openxmlformats.org/spreadsheetml/2006/main" count="355" uniqueCount="166">
  <si>
    <t xml:space="preserve">Ticker</t>
  </si>
  <si>
    <t xml:space="preserve">6186.HK</t>
  </si>
  <si>
    <t xml:space="preserve">Company</t>
  </si>
  <si>
    <t xml:space="preserve">China Feihe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</si>
  <si>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</si>
  <si>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</si>
  <si>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</si>
  <si>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</si>
  <si>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 16:08 HKT; 52-week range HK$2.40-4.48)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</si>
  <si>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</si>
  <si>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</si>
  <si>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</si>
  <si>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</si>
  <si>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</si>
  <si>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</si>
  <si>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</si>
  <si>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</si>
  <si>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</si>
  <si>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</si>
  <si>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</si>
  <si>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</si>
  <si>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</si>
  <si>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2026-10-23T14:12:00Z</t>
  </si>
  <si>
    <t xml:space="preserve">Drivers file</t>
  </si>
  <si>
    <t xml:space="preserve">6186.HK_Drivers.json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</si>
  <si>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</si>
  <si>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</si>
  <si>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</si>
  <si>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Feihe is valued as a shrinking-to-stable cash cow plus a very large net-cash balance. The operating business is modelled from components with no recovery to historical peak margins; the cash pile (structured deposits, bank deposits, cash) is taken at face less a 5% repatriation withholding charge and the NCI, with its interest income stripped from the flows so nothing is counted twice. The result is a per-share value well above the HKEX price in every scenario, which says the market is applying a large discount to the balance sheet (and/or expects the decline to be steeper than the bear case) rather than that the operations are mispriced. A buyer is underwriting the conversion of mainland cash into dividends -- the FY2025 payout (HK$0.25/share, ~10% yield at the current price) is the evidence that conversion is happening.
key_risks_to_valuation: Cash-pile realisability: ~RMB8.3bn of 'structured deposits' are FVTPL wealth-management products whose underlyings include trust plans and insurance assets, not only bank deposits; a 20% haircut on them is ~RMB0.19/share (~HK$0.22). The model takes them at fair value.; Repatriation: cash is held in PRC subsidiaries; dividends out carry 5-10% WHT (5% modelled on the stock) and are subject to statutory reserve and capital-control constraints. The dividend has been paid in HKD every half since IPO, which is the counter-evidence.; Births: a further leg down in the newborn cohort (7.9m in 2025) takes the bear path from a 30% to a majority probability; the subsidy response is untested.; Competition/share: Yili and Danone share gains; the RMB1.2bn giveaway could become a permanent promotional floor, keeping EBITDA below the 21% base assumption.; Governance signals: chairman's holding restructured through trust entities (Sep-2025), a non-executive director resignation (May-2026) and heavy short-selling (Aug-2026) -- none quantified in the model.; Capex into a declining market: RMB1.17bn PP&amp;E added in H1 FY2026 plus a RMB546m farm acquisition 'to expand production capacity'; if capex stays at 10-12% of revenue instead of normalising to 7.5%, base FCF falls ~RMB0.5bn a year.; FX: all values computed in CNY and converted at 1.1746; a 5% CNY depreciation against the pegged HKD reduces every HKD figure by 5%.</t>
  </si>
  <si>
    <t xml:space="preserve">Data sources</t>
  </si>
  <si>
    <t xml:space="preserve">price: Yahoo Finance chart API, HKEX regular close at inputs.price_as_of; 52-week range HK$2.40-4.48. FX: Yahoo CNYHKD=X at the date in inputs.fx_note.
financials: 6186.HK_Metrics.csv / core_metrics and kpis (CNY millions); FY2025 Annual Report (P&amp;L p.76, balance sheet p.77-78, cash flow p.80-81, notes 5, 6, 13); H1 FY2026 Interim Report (P&amp;L p.31, balance sheet p.33-34, cash flow p.36-37, notes 4, 5, 9, 10, 17).
qualitative: 6186.HK_Analysis.json (2026-10-24): business model, competitive position, bull/bear cases, guidance (no quantitative company guidance; HSBC 2.4% revenue CAGR 2025-28 as the only external reference).</t>
  </si>
  <si>
    <t xml:space="preserve">Scenario narrative: bear</t>
  </si>
  <si>
    <t xml:space="preserve">Structural decline continues at 3-5% a year and competition takes the margin to 16%. Owner FCF shrinks toward RMB0.5bn but stays positive; the cash pile and NCI/WHT bridge dominate the per-share value.</t>
  </si>
  <si>
    <t xml:space="preserve">Scenario narrative: base</t>
  </si>
  <si>
    <t xml:space="preserve">Decline-to-stabilisation. Revenue flat-to-+2% nominal, operating EBITDA margin held at 21-22% (vs 22.3% FY2025, 30.4% FY2024, 43% FY2021), capex at 7.5% of revenue covering plants and the herd, cash tax 40%. Owner FCF ~RMB1.4-1.7bn a year (7-8% of revenue), roughly 70-80% of which is paid out. Value is split roughly half operations, half net cash.</t>
  </si>
  <si>
    <t xml:space="preserve">Scenario narrative: bull</t>
  </si>
  <si>
    <t xml:space="preserve">Policy-assisted birth recovery plus share retention and mix: revenue compounding 3-5% to ~RMB25bn by year 10 and EBITDA margin back to 26%. Requires three independent things to go right (births, competitive detente, premium mix), hence the below-default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</si>
  <si>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</si>
  <si>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</si>
  <si>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</si>
  <si>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</si>
  <si>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</si>
  <si>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</si>
  <si>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</si>
  <si>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</si>
  <si>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</si>
  <si>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</si>
  <si>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</si>
  <si>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</si>
  <si>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</si>
  <si>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</si>
  <si>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</si>
  <si>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</si>
  <si>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</si>
  <si>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</si>
  <si>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</si>
  <si>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</si>
  <si>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</si>
  <si>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</si>
  <si>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</si>
  <si>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</si>
  <si>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</si>
  <si>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</si>
  <si>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</si>
  <si>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NetIncomeTotal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</si>
  <si>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</si>
  <si>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</si>
  <si>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</si>
  <si>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</si>
  <si>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</si>
  <si>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</si>
  <si>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</si>
  <si>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</si>
  <si>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</si>
  <si>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</si>
  <si>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</si>
  <si>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</si>
  <si>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</si>
  <si>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</si>
  <si>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</si>
  <si>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</si>
  <si>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</si>
  <si>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</si>
  <si>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</si>
  <si>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</si>
  <si>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</si>
  <si>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</si>
  <si>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</si>
  <si>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</si>
  <si>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</si>
  <si>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</si>
  <si>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</si>
  <si>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</si>
  <si>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</si>
  <si>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</si>
  <si>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</si>
  <si>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</si>
  <si>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</si>
  <si>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</si>
  <si>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</si>
  <si>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</si>
  <si>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</si>
  <si>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</si>
  <si>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</si>
  <si>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</si>
  <si>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</si>
  <si>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</si>
  <si>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</si>
  <si>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</si>
  <si>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</si>
  <si>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</si>
  <si>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6186.HK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</si>
  <si>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</si>
  <si>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</si>
  <si>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</si>
  <si>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</si>
  <si>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</si>
  <si>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</si>
  <si>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</si>
  <si>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</si>
  <si>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</si>
  <si>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</si>
  <si>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</si>
  <si>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</si>
  <si>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</si>
  <si>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</si>
  <si>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</si>
  <si>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</si>
  <si>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</si>
  <si>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</si>
  <si>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</si>
  <si>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</si>
  <si>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</si>
  <si>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</si>
  <si>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</si>
  <si>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</si>
  <si>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</si>
  <si>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</si>
  <si>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</si>
  <si>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</si>
  <si>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</si>
  <si>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</si>
  <si>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6186.HK owner-FCF component DCF: base case (millions, CNY)</t>
  </si>
  <si>
    <t xml:space="preserve">6186.HK owner-FCF component DCF: bull case (millions, CNY)</t>
  </si>
  <si>
    <t xml:space="preserve">6186.HK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</si>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</sst>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2.47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10391.917</v>
      </c>
      <c r="C2" s="0" t="n">
        <v>3372.827</v>
      </c>
      <c r="D2" s="0" t="n">
        <v>7019.09</v>
      </c>
      <c r="E2" s="0" t="n">
        <v>67.5</v>
      </c>
      <c r="I2" s="0" t="n">
        <v>2242.254</v>
      </c>
      <c r="J2" s="0" t="n">
        <v>21.6</v>
      </c>
      <c r="K2" s="0" t="n">
        <v>0.28</v>
      </c>
      <c r="L2" s="0" t="n">
        <v>3121.196</v>
      </c>
      <c r="M2" s="0" t="n">
        <v>1130.123</v>
      </c>
      <c r="N2" s="0" t="n">
        <v>1991.073</v>
      </c>
      <c r="O2" s="0" t="n">
        <v>5787.484</v>
      </c>
      <c r="P2" s="0" t="n">
        <v>11857.435</v>
      </c>
      <c r="Q2" s="0" t="n">
        <v>6069.951</v>
      </c>
      <c r="R2" s="0" t="n">
        <v>1740.569</v>
      </c>
      <c r="S2" s="0" t="n">
        <v>3640.836</v>
      </c>
      <c r="T2" s="0" t="n">
        <v>8040</v>
      </c>
      <c r="U2" s="0" t="n">
        <v>6.408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13721.509</v>
      </c>
      <c r="C3" s="0" t="n">
        <v>4111.918</v>
      </c>
      <c r="D3" s="0" t="n">
        <v>9609.591</v>
      </c>
      <c r="E3" s="0" t="n">
        <v>70</v>
      </c>
      <c r="I3" s="0" t="n">
        <v>3934.577</v>
      </c>
      <c r="J3" s="0" t="n">
        <v>28.7</v>
      </c>
      <c r="K3" s="0" t="n">
        <v>0.48</v>
      </c>
      <c r="L3" s="0" t="n">
        <v>5180.535</v>
      </c>
      <c r="M3" s="0" t="n">
        <v>1400.781</v>
      </c>
      <c r="N3" s="0" t="n">
        <v>3779.754</v>
      </c>
      <c r="O3" s="0" t="n">
        <v>13029.578</v>
      </c>
      <c r="P3" s="0" t="n">
        <v>23003.749</v>
      </c>
      <c r="Q3" s="0" t="n">
        <v>9974.171</v>
      </c>
      <c r="R3" s="0" t="n">
        <v>4810.278</v>
      </c>
      <c r="S3" s="0" t="n">
        <v>7377.47</v>
      </c>
      <c r="T3" s="0" t="n">
        <v>8175.603</v>
      </c>
      <c r="U3" s="0" t="n">
        <v>123.597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67</v>
      </c>
      <c r="B4" s="0" t="n">
        <v>18592.465</v>
      </c>
      <c r="C4" s="0" t="n">
        <v>5112.187</v>
      </c>
      <c r="D4" s="0" t="n">
        <v>13480.278</v>
      </c>
      <c r="E4" s="0" t="n">
        <v>72.5</v>
      </c>
      <c r="I4" s="0" t="n">
        <v>7436.873</v>
      </c>
      <c r="J4" s="0" t="n">
        <v>40</v>
      </c>
      <c r="K4" s="0" t="n">
        <v>0.82</v>
      </c>
      <c r="L4" s="0" t="n">
        <v>7747.973</v>
      </c>
      <c r="M4" s="0" t="n">
        <v>777.244</v>
      </c>
      <c r="N4" s="0" t="n">
        <v>6970.729</v>
      </c>
      <c r="O4" s="0" t="n">
        <v>17747.109</v>
      </c>
      <c r="P4" s="0" t="n">
        <v>28322.838</v>
      </c>
      <c r="Q4" s="0" t="n">
        <v>9137.313</v>
      </c>
      <c r="R4" s="0" t="n">
        <v>1180.471</v>
      </c>
      <c r="S4" s="0" t="n">
        <v>10058.767</v>
      </c>
      <c r="T4" s="0" t="n">
        <v>9109.483</v>
      </c>
      <c r="U4" s="0" t="n">
        <v>110.162</v>
      </c>
      <c r="AA4" s="0" t="s">
        <v>18</v>
      </c>
      <c r="AB4" s="0" t="s">
        <v>14</v>
      </c>
      <c r="AC4" s="0" t="n">
        <v>7436.632</v>
      </c>
    </row>
    <row r="5" customFormat="false" ht="15" hidden="false" customHeight="false" outlineLevel="0" collapsed="false">
      <c r="A5" s="0" t="s">
        <v>68</v>
      </c>
      <c r="B5" s="0" t="n">
        <v>22776.265</v>
      </c>
      <c r="C5" s="0" t="n">
        <v>6768.68</v>
      </c>
      <c r="D5" s="0" t="n">
        <v>16007.585</v>
      </c>
      <c r="E5" s="0" t="n">
        <v>70.3</v>
      </c>
      <c r="I5" s="0" t="n">
        <v>6871.044</v>
      </c>
      <c r="J5" s="0" t="n">
        <v>30.2</v>
      </c>
      <c r="K5" s="0" t="n">
        <v>0.75</v>
      </c>
      <c r="L5" s="0" t="n">
        <v>6814.937</v>
      </c>
      <c r="M5" s="0" t="n">
        <v>1363.214</v>
      </c>
      <c r="N5" s="0" t="n">
        <v>5451.723</v>
      </c>
      <c r="O5" s="0" t="n">
        <v>20921.3</v>
      </c>
      <c r="P5" s="0" t="n">
        <v>31481.42</v>
      </c>
      <c r="Q5" s="0" t="n">
        <v>9078.05</v>
      </c>
      <c r="R5" s="0" t="n">
        <v>934.209</v>
      </c>
      <c r="S5" s="0" t="n">
        <v>9629.29</v>
      </c>
      <c r="T5" s="0" t="n">
        <v>9101.168</v>
      </c>
      <c r="U5" s="0" t="n">
        <v>130.124</v>
      </c>
      <c r="AA5" s="0" t="s">
        <v>18</v>
      </c>
      <c r="AB5" s="0" t="s">
        <v>14</v>
      </c>
      <c r="AC5" s="0" t="n">
        <v>6914.896</v>
      </c>
    </row>
    <row r="6" customFormat="false" ht="15" hidden="false" customHeight="false" outlineLevel="0" collapsed="false">
      <c r="A6" s="0" t="s">
        <v>69</v>
      </c>
      <c r="B6" s="0" t="n">
        <v>21310.933</v>
      </c>
      <c r="C6" s="0" t="n">
        <v>7360.33</v>
      </c>
      <c r="D6" s="0" t="n">
        <v>13950.603</v>
      </c>
      <c r="E6" s="0" t="n">
        <v>65.5</v>
      </c>
      <c r="I6" s="0" t="n">
        <v>4942.048</v>
      </c>
      <c r="J6" s="0" t="n">
        <v>23.2</v>
      </c>
      <c r="K6" s="0" t="n">
        <v>0.55</v>
      </c>
      <c r="L6" s="0" t="n">
        <v>6279.079</v>
      </c>
      <c r="M6" s="0" t="n">
        <v>1518.76</v>
      </c>
      <c r="N6" s="0" t="n">
        <v>4760.319</v>
      </c>
      <c r="O6" s="0" t="n">
        <v>23985.999</v>
      </c>
      <c r="P6" s="0" t="n">
        <v>35515.773</v>
      </c>
      <c r="Q6" s="0" t="n">
        <v>10040.83</v>
      </c>
      <c r="R6" s="0" t="n">
        <v>1308.63</v>
      </c>
      <c r="S6" s="0" t="n">
        <v>9335.936</v>
      </c>
      <c r="T6" s="0" t="n">
        <v>8941.353</v>
      </c>
      <c r="U6" s="0" t="n">
        <v>61.295</v>
      </c>
      <c r="AA6" s="0" t="s">
        <v>18</v>
      </c>
      <c r="AB6" s="0" t="s">
        <v>14</v>
      </c>
      <c r="AC6" s="0" t="n">
        <v>4948.106</v>
      </c>
    </row>
    <row r="7" customFormat="false" ht="15" hidden="false" customHeight="false" outlineLevel="0" collapsed="false">
      <c r="A7" s="0" t="s">
        <v>70</v>
      </c>
      <c r="B7" s="0" t="n">
        <v>19532.203</v>
      </c>
      <c r="C7" s="0" t="n">
        <v>6868.85</v>
      </c>
      <c r="D7" s="0" t="n">
        <v>12663.353</v>
      </c>
      <c r="E7" s="0" t="n">
        <v>64.8</v>
      </c>
      <c r="I7" s="0" t="n">
        <v>3390.009</v>
      </c>
      <c r="J7" s="0" t="n">
        <v>17.4</v>
      </c>
      <c r="K7" s="0" t="n">
        <v>0.37</v>
      </c>
      <c r="L7" s="0" t="n">
        <v>4145.346</v>
      </c>
      <c r="M7" s="0" t="n">
        <v>641.02</v>
      </c>
      <c r="N7" s="0" t="n">
        <v>3504.326</v>
      </c>
      <c r="O7" s="0" t="n">
        <v>24944.859</v>
      </c>
      <c r="P7" s="0" t="n">
        <v>36194.678</v>
      </c>
      <c r="Q7" s="0" t="n">
        <v>9860.332</v>
      </c>
      <c r="R7" s="0" t="n">
        <v>1377.75</v>
      </c>
      <c r="S7" s="0" t="n">
        <v>10440.941</v>
      </c>
      <c r="T7" s="0" t="n">
        <v>9077.572</v>
      </c>
      <c r="U7" s="0" t="n">
        <v>162.656</v>
      </c>
      <c r="AA7" s="0" t="s">
        <v>18</v>
      </c>
      <c r="AB7" s="0" t="s">
        <v>14</v>
      </c>
      <c r="AC7" s="0" t="n">
        <v>3290.352</v>
      </c>
    </row>
    <row r="8" customFormat="false" ht="15" hidden="false" customHeight="false" outlineLevel="0" collapsed="false">
      <c r="A8" s="0" t="s">
        <v>71</v>
      </c>
      <c r="B8" s="0" t="n">
        <v>20748.55</v>
      </c>
      <c r="C8" s="0" t="n">
        <v>6983.747</v>
      </c>
      <c r="D8" s="0" t="n">
        <v>13764.803</v>
      </c>
      <c r="E8" s="0" t="n">
        <v>66.3</v>
      </c>
      <c r="I8" s="0" t="n">
        <v>3570.125</v>
      </c>
      <c r="J8" s="0" t="n">
        <v>17.2</v>
      </c>
      <c r="K8" s="0" t="n">
        <v>0.39</v>
      </c>
      <c r="L8" s="0" t="n">
        <v>4179.313</v>
      </c>
      <c r="M8" s="0" t="n">
        <v>628.779</v>
      </c>
      <c r="N8" s="0" t="n">
        <v>3550.534</v>
      </c>
      <c r="O8" s="0" t="n">
        <v>25933.186</v>
      </c>
      <c r="P8" s="0" t="n">
        <v>35725.706</v>
      </c>
      <c r="Q8" s="0" t="n">
        <v>8318.321</v>
      </c>
      <c r="R8" s="0" t="n">
        <v>999.858</v>
      </c>
      <c r="S8" s="0" t="n">
        <v>9321.222</v>
      </c>
      <c r="T8" s="0" t="n">
        <v>9054.57</v>
      </c>
      <c r="U8" s="0" t="n">
        <v>54.162</v>
      </c>
      <c r="AA8" s="0" t="s">
        <v>18</v>
      </c>
      <c r="AB8" s="0" t="s">
        <v>14</v>
      </c>
      <c r="AC8" s="0" t="n">
        <v>3654.12</v>
      </c>
    </row>
    <row r="9" customFormat="false" ht="15" hidden="false" customHeight="false" outlineLevel="0" collapsed="false">
      <c r="A9" s="0" t="s">
        <v>72</v>
      </c>
      <c r="B9" s="0" t="n">
        <v>18112.585</v>
      </c>
      <c r="C9" s="0" t="n">
        <v>6337.185</v>
      </c>
      <c r="D9" s="0" t="n">
        <v>11775.4</v>
      </c>
      <c r="E9" s="0" t="n">
        <v>65</v>
      </c>
      <c r="I9" s="0" t="n">
        <v>1939.458</v>
      </c>
      <c r="J9" s="0" t="n">
        <v>10.7</v>
      </c>
      <c r="K9" s="0" t="n">
        <v>0.21</v>
      </c>
      <c r="L9" s="0" t="n">
        <v>2213.753</v>
      </c>
      <c r="M9" s="0" t="n">
        <v>827.597</v>
      </c>
      <c r="N9" s="0" t="n">
        <v>1386.156</v>
      </c>
      <c r="O9" s="0" t="n">
        <v>24432.121</v>
      </c>
      <c r="P9" s="0" t="n">
        <v>34038.746</v>
      </c>
      <c r="Q9" s="0" t="n">
        <v>7917.258</v>
      </c>
      <c r="R9" s="0" t="n">
        <v>732.8</v>
      </c>
      <c r="S9" s="0" t="n">
        <v>7538.805</v>
      </c>
      <c r="T9" s="0" t="n">
        <v>9049.257</v>
      </c>
      <c r="U9" s="0" t="n">
        <v>1.431</v>
      </c>
      <c r="AA9" s="0" t="s">
        <v>18</v>
      </c>
      <c r="AB9" s="0" t="s">
        <v>14</v>
      </c>
      <c r="AC9" s="0" t="n">
        <v>2093.799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2.47</v>
      </c>
    </row>
    <row r="3" customFormat="false" ht="15" hidden="false" customHeight="false" outlineLevel="0" collapsed="false">
      <c r="A3" s="0" t="s">
        <v>76</v>
      </c>
      <c r="B3" s="3" t="n">
        <v>8817.3</v>
      </c>
    </row>
    <row r="4" customFormat="false" ht="15" hidden="false" customHeight="false" outlineLevel="0" collapsed="false">
      <c r="A4" s="0" t="s">
        <v>77</v>
      </c>
      <c r="B4" s="3" t="n">
        <v>-15812.5</v>
      </c>
    </row>
    <row r="5" customFormat="false" ht="15" hidden="false" customHeight="false" outlineLevel="0" collapsed="false">
      <c r="A5" s="0" t="s">
        <v>78</v>
      </c>
      <c r="B5" s="3" t="n">
        <v>-2546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18324.4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1.1746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</v>
      </c>
      <c r="D13" s="3" t="n">
        <v>-4</v>
      </c>
      <c r="E13" s="3" t="n">
        <v>-5</v>
      </c>
      <c r="F13" s="3" t="n">
        <v>-5</v>
      </c>
      <c r="G13" s="3" t="n">
        <v>-4</v>
      </c>
      <c r="H13" s="3" t="n">
        <v>-3</v>
      </c>
      <c r="I13" s="3" t="n">
        <v>-3</v>
      </c>
      <c r="J13" s="3" t="n">
        <v>-2</v>
      </c>
      <c r="K13" s="3" t="n">
        <v>-2</v>
      </c>
      <c r="L13" s="3" t="n">
        <v>-2</v>
      </c>
    </row>
    <row r="14" customFormat="false" ht="15" hidden="false" customHeight="false" outlineLevel="0" collapsed="false">
      <c r="A14" s="0" t="s">
        <v>98</v>
      </c>
      <c r="C14" s="3" t="n">
        <v>20</v>
      </c>
      <c r="D14" s="3" t="n">
        <v>19</v>
      </c>
      <c r="E14" s="3" t="n">
        <v>18</v>
      </c>
      <c r="F14" s="3" t="n">
        <v>17</v>
      </c>
      <c r="G14" s="3" t="n">
        <v>16.5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7.5</v>
      </c>
      <c r="D17" s="3" t="n">
        <v>7.5</v>
      </c>
      <c r="E17" s="3" t="n">
        <v>7.5</v>
      </c>
      <c r="F17" s="3" t="n">
        <v>7.5</v>
      </c>
      <c r="G17" s="3" t="n">
        <v>7.5</v>
      </c>
      <c r="H17" s="3" t="n">
        <v>7.5</v>
      </c>
      <c r="I17" s="3" t="n">
        <v>7.5</v>
      </c>
      <c r="J17" s="3" t="n">
        <v>7.5</v>
      </c>
      <c r="K17" s="3" t="n">
        <v>7.5</v>
      </c>
      <c r="L17" s="3" t="n">
        <v>7.5</v>
      </c>
    </row>
    <row r="18" customFormat="false" ht="15" hidden="false" customHeight="false" outlineLevel="0" collapsed="false">
      <c r="A18" s="0" t="s">
        <v>102</v>
      </c>
      <c r="C18" s="3" t="n">
        <v>8.5</v>
      </c>
      <c r="D18" s="3" t="n">
        <v>8</v>
      </c>
      <c r="E18" s="3" t="n">
        <v>7.5</v>
      </c>
      <c r="F18" s="3" t="n">
        <v>7</v>
      </c>
      <c r="G18" s="3" t="n">
        <v>7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103</v>
      </c>
      <c r="C19" s="3" t="n">
        <v>42</v>
      </c>
      <c r="D19" s="3" t="n">
        <v>42</v>
      </c>
      <c r="E19" s="3" t="n">
        <v>42</v>
      </c>
      <c r="F19" s="3" t="n">
        <v>42</v>
      </c>
      <c r="G19" s="3" t="n">
        <v>42</v>
      </c>
      <c r="H19" s="3" t="n">
        <v>42</v>
      </c>
      <c r="I19" s="3" t="n">
        <v>42</v>
      </c>
      <c r="J19" s="3" t="n">
        <v>42</v>
      </c>
      <c r="K19" s="3" t="n">
        <v>42</v>
      </c>
      <c r="L19" s="3" t="n">
        <v>42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10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2.5</v>
      </c>
      <c r="D27" s="3" t="n">
        <v>2</v>
      </c>
      <c r="E27" s="3" t="n">
        <v>1.5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98</v>
      </c>
      <c r="C28" s="3" t="n">
        <v>21</v>
      </c>
      <c r="D28" s="3" t="n">
        <v>21.3</v>
      </c>
      <c r="E28" s="3" t="n">
        <v>21.6</v>
      </c>
      <c r="F28" s="3" t="n">
        <v>21.8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7.5</v>
      </c>
      <c r="D31" s="3" t="n">
        <v>7.5</v>
      </c>
      <c r="E31" s="3" t="n">
        <v>7.5</v>
      </c>
      <c r="F31" s="3" t="n">
        <v>7.5</v>
      </c>
      <c r="G31" s="3" t="n">
        <v>7.5</v>
      </c>
      <c r="H31" s="3" t="n">
        <v>7.5</v>
      </c>
      <c r="I31" s="3" t="n">
        <v>7.5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102</v>
      </c>
      <c r="C32" s="3" t="n">
        <v>8.5</v>
      </c>
      <c r="D32" s="3" t="n">
        <v>8</v>
      </c>
      <c r="E32" s="3" t="n">
        <v>7.5</v>
      </c>
      <c r="F32" s="3" t="n">
        <v>7.5</v>
      </c>
      <c r="G32" s="3" t="n">
        <v>7.5</v>
      </c>
      <c r="H32" s="3" t="n">
        <v>7.5</v>
      </c>
      <c r="I32" s="3" t="n">
        <v>7.5</v>
      </c>
      <c r="J32" s="3" t="n">
        <v>7.5</v>
      </c>
      <c r="K32" s="3" t="n">
        <v>7.5</v>
      </c>
      <c r="L32" s="3" t="n">
        <v>7.5</v>
      </c>
    </row>
    <row r="33" customFormat="false" ht="15" hidden="false" customHeight="false" outlineLevel="0" collapsed="false">
      <c r="A33" s="0" t="s">
        <v>103</v>
      </c>
      <c r="C33" s="3" t="n">
        <v>40</v>
      </c>
      <c r="D33" s="3" t="n">
        <v>40</v>
      </c>
      <c r="E33" s="3" t="n">
        <v>40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</v>
      </c>
      <c r="D41" s="3" t="n">
        <v>5</v>
      </c>
      <c r="E41" s="3" t="n">
        <v>5</v>
      </c>
      <c r="F41" s="3" t="n">
        <v>4</v>
      </c>
      <c r="G41" s="3" t="n">
        <v>4</v>
      </c>
      <c r="H41" s="3" t="n">
        <v>3</v>
      </c>
      <c r="I41" s="3" t="n">
        <v>3</v>
      </c>
      <c r="J41" s="3" t="n">
        <v>3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22</v>
      </c>
      <c r="D42" s="3" t="n">
        <v>23</v>
      </c>
      <c r="E42" s="3" t="n">
        <v>24</v>
      </c>
      <c r="F42" s="3" t="n">
        <v>25</v>
      </c>
      <c r="G42" s="3" t="n">
        <v>25.5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7.5</v>
      </c>
      <c r="D45" s="3" t="n">
        <v>7.5</v>
      </c>
      <c r="E45" s="3" t="n">
        <v>7.5</v>
      </c>
      <c r="F45" s="3" t="n">
        <v>7.5</v>
      </c>
      <c r="G45" s="3" t="n">
        <v>7.5</v>
      </c>
      <c r="H45" s="3" t="n">
        <v>7.5</v>
      </c>
      <c r="I45" s="3" t="n">
        <v>7.5</v>
      </c>
      <c r="J45" s="3" t="n">
        <v>7.5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102</v>
      </c>
      <c r="C46" s="3" t="n">
        <v>8.5</v>
      </c>
      <c r="D46" s="3" t="n">
        <v>8</v>
      </c>
      <c r="E46" s="3" t="n">
        <v>7.5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103</v>
      </c>
      <c r="C47" s="3" t="n">
        <v>37</v>
      </c>
      <c r="D47" s="3" t="n">
        <v>37</v>
      </c>
      <c r="E47" s="3" t="n">
        <v>37</v>
      </c>
      <c r="F47" s="3" t="n">
        <v>37</v>
      </c>
      <c r="G47" s="3" t="n">
        <v>37</v>
      </c>
      <c r="H47" s="3" t="n">
        <v>37</v>
      </c>
      <c r="I47" s="3" t="n">
        <v>37</v>
      </c>
      <c r="J47" s="3" t="n">
        <v>37</v>
      </c>
      <c r="K47" s="3" t="n">
        <v>37</v>
      </c>
      <c r="L47" s="3" t="n">
        <v>37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14</v>
      </c>
    </row>
    <row r="51" customFormat="false" ht="15" hidden="false" customHeight="false" outlineLevel="0" collapsed="false">
      <c r="A51" s="0" t="s">
        <v>107</v>
      </c>
      <c r="B51" s="3" t="n">
        <v>10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</v>
      </c>
      <c r="D5" s="4" t="n">
        <f aca="false">Assumptions!D13</f>
        <v>-4</v>
      </c>
      <c r="E5" s="4" t="n">
        <f aca="false">Assumptions!E13</f>
        <v>-5</v>
      </c>
      <c r="F5" s="4" t="n">
        <f aca="false">Assumptions!F13</f>
        <v>-5</v>
      </c>
      <c r="G5" s="4" t="n">
        <f aca="false">Assumptions!G13</f>
        <v>-4</v>
      </c>
      <c r="H5" s="4" t="n">
        <f aca="false">Assumptions!H13</f>
        <v>-3</v>
      </c>
      <c r="I5" s="4" t="n">
        <f aca="false">Assumptions!I13</f>
        <v>-3</v>
      </c>
      <c r="J5" s="4" t="n">
        <f aca="false">Assumptions!J13</f>
        <v>-2</v>
      </c>
      <c r="K5" s="4" t="n">
        <f aca="false">Assumptions!K13</f>
        <v>-2</v>
      </c>
      <c r="L5" s="4" t="n">
        <f aca="false">Assumptions!L13</f>
        <v>-2</v>
      </c>
    </row>
    <row r="6" customFormat="false" ht="15" hidden="false" customHeight="false" outlineLevel="0" collapsed="false">
      <c r="A6" s="0" t="s">
        <v>38</v>
      </c>
      <c r="B6" s="3" t="n">
        <v>18324.4</v>
      </c>
      <c r="C6" s="0" t="n">
        <f aca="false">B6*(1+C5/100)</f>
        <v>18324.4</v>
      </c>
      <c r="D6" s="0" t="n">
        <f aca="false">C6*(1+D5/100)</f>
        <v>17591.424</v>
      </c>
      <c r="E6" s="0" t="n">
        <f aca="false">D6*(1+E5/100)</f>
        <v>16711.8528</v>
      </c>
      <c r="F6" s="0" t="n">
        <f aca="false">E6*(1+F5/100)</f>
        <v>15876.26016</v>
      </c>
      <c r="G6" s="0" t="n">
        <f aca="false">F6*(1+G5/100)</f>
        <v>15241.2097536</v>
      </c>
      <c r="H6" s="0" t="n">
        <f aca="false">G6*(1+H5/100)</f>
        <v>14783.973460992</v>
      </c>
      <c r="I6" s="0" t="n">
        <f aca="false">H6*(1+I5/100)</f>
        <v>14340.4542571622</v>
      </c>
      <c r="J6" s="0" t="n">
        <f aca="false">I6*(1+J5/100)</f>
        <v>14053.645172019</v>
      </c>
      <c r="K6" s="0" t="n">
        <f aca="false">J6*(1+K5/100)</f>
        <v>13772.5722685786</v>
      </c>
      <c r="L6" s="0" t="n">
        <f aca="false">K6*(1+L5/100)</f>
        <v>13497.120823207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20</v>
      </c>
      <c r="D7" s="4" t="n">
        <f aca="false">Assumptions!D14</f>
        <v>19</v>
      </c>
      <c r="E7" s="4" t="n">
        <f aca="false">Assumptions!E14</f>
        <v>18</v>
      </c>
      <c r="F7" s="4" t="n">
        <f aca="false">Assumptions!F14</f>
        <v>17</v>
      </c>
      <c r="G7" s="4" t="n">
        <f aca="false">Assumptions!G14</f>
        <v>16.5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3664.88</v>
      </c>
      <c r="D8" s="0" t="n">
        <f aca="false">D6*D7/100</f>
        <v>3342.37056</v>
      </c>
      <c r="E8" s="0" t="n">
        <f aca="false">E6*E7/100</f>
        <v>3008.133504</v>
      </c>
      <c r="F8" s="0" t="n">
        <f aca="false">F6*F7/100</f>
        <v>2698.9642272</v>
      </c>
      <c r="G8" s="0" t="n">
        <f aca="false">G6*G7/100</f>
        <v>2514.799609344</v>
      </c>
      <c r="H8" s="0" t="n">
        <f aca="false">H6*H7/100</f>
        <v>2365.43575375872</v>
      </c>
      <c r="I8" s="0" t="n">
        <f aca="false">I6*I7/100</f>
        <v>2294.47268114596</v>
      </c>
      <c r="J8" s="0" t="n">
        <f aca="false">J6*J7/100</f>
        <v>2248.58322752304</v>
      </c>
      <c r="K8" s="0" t="n">
        <f aca="false">K6*K7/100</f>
        <v>2203.61156297258</v>
      </c>
      <c r="L8" s="0" t="n">
        <f aca="false">L6*L7/100</f>
        <v>2159.53933171313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3664.88</v>
      </c>
      <c r="D11" s="0" t="n">
        <f aca="false">D8+D10+D24</f>
        <v>3342.37056</v>
      </c>
      <c r="E11" s="0" t="n">
        <f aca="false">E8+E10+E24</f>
        <v>3008.133504</v>
      </c>
      <c r="F11" s="0" t="n">
        <f aca="false">F8+F10+F24</f>
        <v>2698.9642272</v>
      </c>
      <c r="G11" s="0" t="n">
        <f aca="false">G8+G10+G24</f>
        <v>2514.799609344</v>
      </c>
      <c r="H11" s="0" t="n">
        <f aca="false">H8+H10+H24</f>
        <v>2365.43575375872</v>
      </c>
      <c r="I11" s="0" t="n">
        <f aca="false">I8+I10+I24</f>
        <v>2294.47268114596</v>
      </c>
      <c r="J11" s="0" t="n">
        <f aca="false">J8+J10+J24</f>
        <v>2248.58322752304</v>
      </c>
      <c r="K11" s="0" t="n">
        <f aca="false">K8+K10+K24</f>
        <v>2203.61156297258</v>
      </c>
      <c r="L11" s="0" t="n">
        <f aca="false">L8+L10+L24</f>
        <v>2159.53933171313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-1374.33</v>
      </c>
      <c r="D12" s="4" t="n">
        <f aca="false">-D6*Assumptions!D17/100</f>
        <v>-1319.3568</v>
      </c>
      <c r="E12" s="4" t="n">
        <f aca="false">-E6*Assumptions!E17/100</f>
        <v>-1253.38896</v>
      </c>
      <c r="F12" s="4" t="n">
        <f aca="false">-F6*Assumptions!F17/100</f>
        <v>-1190.719512</v>
      </c>
      <c r="G12" s="4" t="n">
        <f aca="false">-G6*Assumptions!G17/100</f>
        <v>-1143.09073152</v>
      </c>
      <c r="H12" s="4" t="n">
        <f aca="false">-H6*Assumptions!H17/100</f>
        <v>-1108.7980095744</v>
      </c>
      <c r="I12" s="4" t="n">
        <f aca="false">-I6*Assumptions!I17/100</f>
        <v>-1075.53406928717</v>
      </c>
      <c r="J12" s="4" t="n">
        <f aca="false">-J6*Assumptions!J17/100</f>
        <v>-1054.02338790142</v>
      </c>
      <c r="K12" s="4" t="n">
        <f aca="false">-K6*Assumptions!K17/100</f>
        <v>-1032.9429201434</v>
      </c>
      <c r="L12" s="4" t="n">
        <f aca="false">-L6*Assumptions!L17/100</f>
        <v>-1012.28406174053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2290.55</v>
      </c>
      <c r="D13" s="0" t="n">
        <f aca="false">D11+D12</f>
        <v>2023.01376</v>
      </c>
      <c r="E13" s="0" t="n">
        <f aca="false">E11+E12</f>
        <v>1754.744544</v>
      </c>
      <c r="F13" s="0" t="n">
        <f aca="false">F11+F12</f>
        <v>1508.2447152</v>
      </c>
      <c r="G13" s="0" t="n">
        <f aca="false">G11+G12</f>
        <v>1371.708877824</v>
      </c>
      <c r="H13" s="0" t="n">
        <f aca="false">H11+H12</f>
        <v>1256.63774418432</v>
      </c>
      <c r="I13" s="0" t="n">
        <f aca="false">I11+I12</f>
        <v>1218.93861185879</v>
      </c>
      <c r="J13" s="0" t="n">
        <f aca="false">J11+J12</f>
        <v>1194.55983962161</v>
      </c>
      <c r="K13" s="0" t="n">
        <f aca="false">K11+K12</f>
        <v>1170.66864282918</v>
      </c>
      <c r="L13" s="0" t="n">
        <f aca="false">L11+L12</f>
        <v>1147.2552699726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42</v>
      </c>
      <c r="D14" s="4" t="n">
        <f aca="false">Assumptions!D19</f>
        <v>42</v>
      </c>
      <c r="E14" s="4" t="n">
        <f aca="false">Assumptions!E19</f>
        <v>42</v>
      </c>
      <c r="F14" s="4" t="n">
        <f aca="false">Assumptions!F19</f>
        <v>42</v>
      </c>
      <c r="G14" s="4" t="n">
        <f aca="false">Assumptions!G19</f>
        <v>42</v>
      </c>
      <c r="H14" s="4" t="n">
        <f aca="false">Assumptions!H19</f>
        <v>42</v>
      </c>
      <c r="I14" s="4" t="n">
        <f aca="false">Assumptions!I19</f>
        <v>42</v>
      </c>
      <c r="J14" s="4" t="n">
        <f aca="false">Assumptions!J19</f>
        <v>42</v>
      </c>
      <c r="K14" s="4" t="n">
        <f aca="false">Assumptions!K19</f>
        <v>42</v>
      </c>
      <c r="L14" s="4" t="n">
        <f aca="false">Assumptions!L19</f>
        <v>42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1328.519</v>
      </c>
      <c r="D15" s="0" t="n">
        <f aca="false">D13-MAX(0,D13)*D14/100</f>
        <v>1173.3479808</v>
      </c>
      <c r="E15" s="0" t="n">
        <f aca="false">E13-MAX(0,E13)*E14/100</f>
        <v>1017.75183552</v>
      </c>
      <c r="F15" s="0" t="n">
        <f aca="false">F13-MAX(0,F13)*F14/100</f>
        <v>874.781934816</v>
      </c>
      <c r="G15" s="0" t="n">
        <f aca="false">G13-MAX(0,G13)*G14/100</f>
        <v>795.59114913792</v>
      </c>
      <c r="H15" s="0" t="n">
        <f aca="false">H13-MAX(0,H13)*H14/100</f>
        <v>728.849891626905</v>
      </c>
      <c r="I15" s="0" t="n">
        <f aca="false">I13-MAX(0,I13)*I14/100</f>
        <v>706.984394878098</v>
      </c>
      <c r="J15" s="0" t="n">
        <f aca="false">J13-MAX(0,J13)*J14/100</f>
        <v>692.844706980536</v>
      </c>
      <c r="K15" s="0" t="n">
        <f aca="false">K13-MAX(0,K13)*K14/100</f>
        <v>678.987812840926</v>
      </c>
      <c r="L15" s="0" t="n">
        <f aca="false">L13-MAX(0,L13)*L14/100</f>
        <v>665.408056584107</v>
      </c>
    </row>
    <row r="16" customFormat="false" ht="15" hidden="false" customHeight="false" outlineLevel="0" collapsed="false">
      <c r="A16" s="0" t="s">
        <v>119</v>
      </c>
      <c r="C16" s="0" t="n">
        <f aca="false">-C12</f>
        <v>1374.33</v>
      </c>
      <c r="D16" s="0" t="n">
        <f aca="false">-D12</f>
        <v>1319.3568</v>
      </c>
      <c r="E16" s="0" t="n">
        <f aca="false">-E12</f>
        <v>1253.38896</v>
      </c>
      <c r="F16" s="0" t="n">
        <f aca="false">-F12</f>
        <v>1190.719512</v>
      </c>
      <c r="G16" s="0" t="n">
        <f aca="false">-G12</f>
        <v>1143.09073152</v>
      </c>
      <c r="H16" s="0" t="n">
        <f aca="false">-H12</f>
        <v>1108.7980095744</v>
      </c>
      <c r="I16" s="0" t="n">
        <f aca="false">-I12</f>
        <v>1075.53406928717</v>
      </c>
      <c r="J16" s="0" t="n">
        <f aca="false">-J12</f>
        <v>1054.02338790142</v>
      </c>
      <c r="K16" s="0" t="n">
        <f aca="false">-K12</f>
        <v>1032.9429201434</v>
      </c>
      <c r="L16" s="0" t="n">
        <f aca="false">-L12</f>
        <v>1012.28406174053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-1557.574</v>
      </c>
      <c r="D17" s="4" t="n">
        <f aca="false">-D6*Assumptions!D18/100</f>
        <v>-1407.31392</v>
      </c>
      <c r="E17" s="4" t="n">
        <f aca="false">-E6*Assumptions!E18/100</f>
        <v>-1253.38896</v>
      </c>
      <c r="F17" s="4" t="n">
        <f aca="false">-F6*Assumptions!F18/100</f>
        <v>-1111.3382112</v>
      </c>
      <c r="G17" s="4" t="n">
        <f aca="false">-G6*Assumptions!G18/100</f>
        <v>-1066.884682752</v>
      </c>
      <c r="H17" s="4" t="n">
        <f aca="false">-H6*Assumptions!H18/100</f>
        <v>-960.95827496448</v>
      </c>
      <c r="I17" s="4" t="n">
        <f aca="false">-I6*Assumptions!I18/100</f>
        <v>-932.129526715545</v>
      </c>
      <c r="J17" s="4" t="n">
        <f aca="false">-J6*Assumptions!J18/100</f>
        <v>-913.486936181234</v>
      </c>
      <c r="K17" s="4" t="n">
        <f aca="false">-K6*Assumptions!K18/100</f>
        <v>-895.21719745761</v>
      </c>
      <c r="L17" s="4" t="n">
        <f aca="false">-L6*Assumptions!L18/100</f>
        <v>-877.312853508458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-73.2976000000002</v>
      </c>
      <c r="E18" s="4" t="n">
        <f aca="false">(E6-D6)*Assumptions!$B$23/100</f>
        <v>-87.9571200000002</v>
      </c>
      <c r="F18" s="4" t="n">
        <f aca="false">(F6-E6)*Assumptions!$B$23/100</f>
        <v>-83.5592640000001</v>
      </c>
      <c r="G18" s="4" t="n">
        <f aca="false">(G6-F6)*Assumptions!$B$23/100</f>
        <v>-63.50504064</v>
      </c>
      <c r="H18" s="4" t="n">
        <f aca="false">(H6-G6)*Assumptions!$B$23/100</f>
        <v>-45.7236292608</v>
      </c>
      <c r="I18" s="4" t="n">
        <f aca="false">(I6-H6)*Assumptions!$B$23/100</f>
        <v>-44.3519203829761</v>
      </c>
      <c r="J18" s="4" t="n">
        <f aca="false">(J6-I6)*Assumptions!$B$23/100</f>
        <v>-28.6809085143244</v>
      </c>
      <c r="K18" s="4" t="n">
        <f aca="false">(K6-J6)*Assumptions!$B$23/100</f>
        <v>-28.1072903440379</v>
      </c>
      <c r="L18" s="4" t="n">
        <f aca="false">(L6-K6)*Assumptions!$B$23/100</f>
        <v>-27.5451445371573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1145.275</v>
      </c>
      <c r="D19" s="0" t="n">
        <f aca="false">D15+D16+D17+D18</f>
        <v>1012.0932608</v>
      </c>
      <c r="E19" s="0" t="n">
        <f aca="false">E15+E16+E17+E18</f>
        <v>929.79471552</v>
      </c>
      <c r="F19" s="0" t="n">
        <f aca="false">F15+F16+F17+F18</f>
        <v>870.603971616</v>
      </c>
      <c r="G19" s="0" t="n">
        <f aca="false">G15+G16+G17+G18</f>
        <v>808.29215726592</v>
      </c>
      <c r="H19" s="0" t="n">
        <f aca="false">H15+H16+H17+H18</f>
        <v>830.965996976025</v>
      </c>
      <c r="I19" s="0" t="n">
        <f aca="false">I15+I16+I17+I18</f>
        <v>806.037017066745</v>
      </c>
      <c r="J19" s="0" t="n">
        <f aca="false">J15+J16+J17+J18</f>
        <v>804.700250186402</v>
      </c>
      <c r="K19" s="0" t="n">
        <f aca="false">K15+K16+K17+K18</f>
        <v>788.606245182674</v>
      </c>
      <c r="L19" s="0" t="n">
        <f aca="false">L15+L16+L17+L18</f>
        <v>772.83412027902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1055.55299539171</v>
      </c>
      <c r="D21" s="0" t="n">
        <f aca="false">D19*D20</f>
        <v>859.72797111852</v>
      </c>
      <c r="E21" s="0" t="n">
        <f aca="false">E19*E20</f>
        <v>727.943812658704</v>
      </c>
      <c r="F21" s="0" t="n">
        <f aca="false">F19*F20</f>
        <v>628.205437699652</v>
      </c>
      <c r="G21" s="0" t="n">
        <f aca="false">G19*G20</f>
        <v>537.550999869637</v>
      </c>
      <c r="H21" s="0" t="n">
        <f aca="false">H19*H20</f>
        <v>509.336528292367</v>
      </c>
      <c r="I21" s="0" t="n">
        <f aca="false">I19*I20</f>
        <v>455.351550639259</v>
      </c>
      <c r="J21" s="0" t="n">
        <f aca="false">J19*J20</f>
        <v>418.982834842132</v>
      </c>
      <c r="K21" s="0" t="n">
        <f aca="false">K19*K20</f>
        <v>378.436108889668</v>
      </c>
      <c r="L21" s="0" t="n">
        <f aca="false">L19*L20</f>
        <v>341.81325964228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5912.90149904393</v>
      </c>
    </row>
    <row r="31" customFormat="false" ht="15" hidden="false" customHeight="false" outlineLevel="0" collapsed="false">
      <c r="A31" s="0" t="s">
        <v>128</v>
      </c>
      <c r="B31" s="0" t="n">
        <f aca="false">L19</f>
        <v>772.83412027902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9092.16612092965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7728.3412027902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7728.3412027902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3418.1325964228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9331.03409546673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22597.5340954667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3.0103391682868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0.218760796877248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3.0103391682868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5152.2274685268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2.5514411204047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2.5</v>
      </c>
      <c r="D5" s="4" t="n">
        <f aca="false">Assumptions!D27</f>
        <v>2</v>
      </c>
      <c r="E5" s="4" t="n">
        <f aca="false">Assumptions!E27</f>
        <v>1.5</v>
      </c>
      <c r="F5" s="4" t="n">
        <f aca="false">Assumptions!F27</f>
        <v>1</v>
      </c>
      <c r="G5" s="4" t="n">
        <f aca="false">Assumptions!G27</f>
        <v>1</v>
      </c>
      <c r="H5" s="4" t="n">
        <f aca="false">Assumptions!H27</f>
        <v>1</v>
      </c>
      <c r="I5" s="4" t="n">
        <f aca="false">Assumptions!I27</f>
        <v>1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38</v>
      </c>
      <c r="B6" s="3" t="n">
        <v>18324.4</v>
      </c>
      <c r="C6" s="0" t="n">
        <f aca="false">B6*(1+C5/100)</f>
        <v>18782.51</v>
      </c>
      <c r="D6" s="0" t="n">
        <f aca="false">C6*(1+D5/100)</f>
        <v>19158.1602</v>
      </c>
      <c r="E6" s="0" t="n">
        <f aca="false">D6*(1+E5/100)</f>
        <v>19445.532603</v>
      </c>
      <c r="F6" s="0" t="n">
        <f aca="false">E6*(1+F5/100)</f>
        <v>19639.98792903</v>
      </c>
      <c r="G6" s="0" t="n">
        <f aca="false">F6*(1+G5/100)</f>
        <v>19836.3878083203</v>
      </c>
      <c r="H6" s="0" t="n">
        <f aca="false">G6*(1+H5/100)</f>
        <v>20034.7516864035</v>
      </c>
      <c r="I6" s="0" t="n">
        <f aca="false">H6*(1+I5/100)</f>
        <v>20235.0992032675</v>
      </c>
      <c r="J6" s="0" t="n">
        <f aca="false">I6*(1+J5/100)</f>
        <v>20437.4501953002</v>
      </c>
      <c r="K6" s="0" t="n">
        <f aca="false">J6*(1+K5/100)</f>
        <v>20641.8246972532</v>
      </c>
      <c r="L6" s="0" t="n">
        <f aca="false">K6*(1+L5/100)</f>
        <v>20848.2429442258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</v>
      </c>
      <c r="D7" s="4" t="n">
        <f aca="false">Assumptions!D28</f>
        <v>21.3</v>
      </c>
      <c r="E7" s="4" t="n">
        <f aca="false">Assumptions!E28</f>
        <v>21.6</v>
      </c>
      <c r="F7" s="4" t="n">
        <f aca="false">Assumptions!F28</f>
        <v>21.8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3944.3271</v>
      </c>
      <c r="D8" s="0" t="n">
        <f aca="false">D6*D7/100</f>
        <v>4080.6881226</v>
      </c>
      <c r="E8" s="0" t="n">
        <f aca="false">E6*E7/100</f>
        <v>4200.235042248</v>
      </c>
      <c r="F8" s="0" t="n">
        <f aca="false">F6*F7/100</f>
        <v>4281.51736852854</v>
      </c>
      <c r="G8" s="0" t="n">
        <f aca="false">G6*G7/100</f>
        <v>4364.00531783047</v>
      </c>
      <c r="H8" s="0" t="n">
        <f aca="false">H6*H7/100</f>
        <v>4407.64537100877</v>
      </c>
      <c r="I8" s="0" t="n">
        <f aca="false">I6*I7/100</f>
        <v>4451.72182471886</v>
      </c>
      <c r="J8" s="0" t="n">
        <f aca="false">J6*J7/100</f>
        <v>4496.23904296605</v>
      </c>
      <c r="K8" s="0" t="n">
        <f aca="false">K6*K7/100</f>
        <v>4541.20143339571</v>
      </c>
      <c r="L8" s="0" t="n">
        <f aca="false">L6*L7/100</f>
        <v>4586.61344772967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3944.3271</v>
      </c>
      <c r="D11" s="0" t="n">
        <f aca="false">D8+D10+D24</f>
        <v>4080.6881226</v>
      </c>
      <c r="E11" s="0" t="n">
        <f aca="false">E8+E10+E24</f>
        <v>4200.235042248</v>
      </c>
      <c r="F11" s="0" t="n">
        <f aca="false">F8+F10+F24</f>
        <v>4281.51736852854</v>
      </c>
      <c r="G11" s="0" t="n">
        <f aca="false">G8+G10+G24</f>
        <v>4364.00531783047</v>
      </c>
      <c r="H11" s="0" t="n">
        <f aca="false">H8+H10+H24</f>
        <v>4407.64537100877</v>
      </c>
      <c r="I11" s="0" t="n">
        <f aca="false">I8+I10+I24</f>
        <v>4451.72182471886</v>
      </c>
      <c r="J11" s="0" t="n">
        <f aca="false">J8+J10+J24</f>
        <v>4496.23904296605</v>
      </c>
      <c r="K11" s="0" t="n">
        <f aca="false">K8+K10+K24</f>
        <v>4541.20143339571</v>
      </c>
      <c r="L11" s="0" t="n">
        <f aca="false">L8+L10+L24</f>
        <v>4586.61344772967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-1408.68825</v>
      </c>
      <c r="D12" s="4" t="n">
        <f aca="false">-D6*Assumptions!D31/100</f>
        <v>-1436.862015</v>
      </c>
      <c r="E12" s="4" t="n">
        <f aca="false">-E6*Assumptions!E31/100</f>
        <v>-1458.414945225</v>
      </c>
      <c r="F12" s="4" t="n">
        <f aca="false">-F6*Assumptions!F31/100</f>
        <v>-1472.99909467725</v>
      </c>
      <c r="G12" s="4" t="n">
        <f aca="false">-G6*Assumptions!G31/100</f>
        <v>-1487.72908562402</v>
      </c>
      <c r="H12" s="4" t="n">
        <f aca="false">-H6*Assumptions!H31/100</f>
        <v>-1502.60637648026</v>
      </c>
      <c r="I12" s="4" t="n">
        <f aca="false">-I6*Assumptions!I31/100</f>
        <v>-1517.63244024507</v>
      </c>
      <c r="J12" s="4" t="n">
        <f aca="false">-J6*Assumptions!J31/100</f>
        <v>-1532.80876464752</v>
      </c>
      <c r="K12" s="4" t="n">
        <f aca="false">-K6*Assumptions!K31/100</f>
        <v>-1548.13685229399</v>
      </c>
      <c r="L12" s="4" t="n">
        <f aca="false">-L6*Assumptions!L31/100</f>
        <v>-1563.61822081693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2535.63885</v>
      </c>
      <c r="D13" s="0" t="n">
        <f aca="false">D11+D12</f>
        <v>2643.8261076</v>
      </c>
      <c r="E13" s="0" t="n">
        <f aca="false">E11+E12</f>
        <v>2741.820097023</v>
      </c>
      <c r="F13" s="0" t="n">
        <f aca="false">F11+F12</f>
        <v>2808.51827385129</v>
      </c>
      <c r="G13" s="0" t="n">
        <f aca="false">G11+G12</f>
        <v>2876.27623220644</v>
      </c>
      <c r="H13" s="0" t="n">
        <f aca="false">H11+H12</f>
        <v>2905.03899452851</v>
      </c>
      <c r="I13" s="0" t="n">
        <f aca="false">I11+I12</f>
        <v>2934.08938447379</v>
      </c>
      <c r="J13" s="0" t="n">
        <f aca="false">J11+J12</f>
        <v>2963.43027831853</v>
      </c>
      <c r="K13" s="0" t="n">
        <f aca="false">K11+K12</f>
        <v>2993.06458110172</v>
      </c>
      <c r="L13" s="0" t="n">
        <f aca="false">L11+L12</f>
        <v>3022.99522691273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40</v>
      </c>
      <c r="D14" s="4" t="n">
        <f aca="false">Assumptions!D33</f>
        <v>40</v>
      </c>
      <c r="E14" s="4" t="n">
        <f aca="false">Assumptions!E33</f>
        <v>40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1521.38331</v>
      </c>
      <c r="D15" s="0" t="n">
        <f aca="false">D13-MAX(0,D13)*D14/100</f>
        <v>1586.29566456</v>
      </c>
      <c r="E15" s="0" t="n">
        <f aca="false">E13-MAX(0,E13)*E14/100</f>
        <v>1645.0920582138</v>
      </c>
      <c r="F15" s="0" t="n">
        <f aca="false">F13-MAX(0,F13)*F14/100</f>
        <v>1685.11096431077</v>
      </c>
      <c r="G15" s="0" t="n">
        <f aca="false">G13-MAX(0,G13)*G14/100</f>
        <v>1725.76573932387</v>
      </c>
      <c r="H15" s="0" t="n">
        <f aca="false">H13-MAX(0,H13)*H14/100</f>
        <v>1743.0233967171</v>
      </c>
      <c r="I15" s="0" t="n">
        <f aca="false">I13-MAX(0,I13)*I14/100</f>
        <v>1760.45363068428</v>
      </c>
      <c r="J15" s="0" t="n">
        <f aca="false">J13-MAX(0,J13)*J14/100</f>
        <v>1778.05816699112</v>
      </c>
      <c r="K15" s="0" t="n">
        <f aca="false">K13-MAX(0,K13)*K14/100</f>
        <v>1795.83874866103</v>
      </c>
      <c r="L15" s="0" t="n">
        <f aca="false">L13-MAX(0,L13)*L14/100</f>
        <v>1813.79713614764</v>
      </c>
    </row>
    <row r="16" customFormat="false" ht="15" hidden="false" customHeight="false" outlineLevel="0" collapsed="false">
      <c r="A16" s="0" t="s">
        <v>119</v>
      </c>
      <c r="C16" s="0" t="n">
        <f aca="false">-C12</f>
        <v>1408.68825</v>
      </c>
      <c r="D16" s="0" t="n">
        <f aca="false">-D12</f>
        <v>1436.862015</v>
      </c>
      <c r="E16" s="0" t="n">
        <f aca="false">-E12</f>
        <v>1458.414945225</v>
      </c>
      <c r="F16" s="0" t="n">
        <f aca="false">-F12</f>
        <v>1472.99909467725</v>
      </c>
      <c r="G16" s="0" t="n">
        <f aca="false">-G12</f>
        <v>1487.72908562402</v>
      </c>
      <c r="H16" s="0" t="n">
        <f aca="false">-H12</f>
        <v>1502.60637648026</v>
      </c>
      <c r="I16" s="0" t="n">
        <f aca="false">-I12</f>
        <v>1517.63244024507</v>
      </c>
      <c r="J16" s="0" t="n">
        <f aca="false">-J12</f>
        <v>1532.80876464752</v>
      </c>
      <c r="K16" s="0" t="n">
        <f aca="false">-K12</f>
        <v>1548.13685229399</v>
      </c>
      <c r="L16" s="0" t="n">
        <f aca="false">-L12</f>
        <v>1563.61822081693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-1596.51335</v>
      </c>
      <c r="D17" s="4" t="n">
        <f aca="false">-D6*Assumptions!D32/100</f>
        <v>-1532.652816</v>
      </c>
      <c r="E17" s="4" t="n">
        <f aca="false">-E6*Assumptions!E32/100</f>
        <v>-1458.414945225</v>
      </c>
      <c r="F17" s="4" t="n">
        <f aca="false">-F6*Assumptions!F32/100</f>
        <v>-1472.99909467725</v>
      </c>
      <c r="G17" s="4" t="n">
        <f aca="false">-G6*Assumptions!G32/100</f>
        <v>-1487.72908562402</v>
      </c>
      <c r="H17" s="4" t="n">
        <f aca="false">-H6*Assumptions!H32/100</f>
        <v>-1502.60637648026</v>
      </c>
      <c r="I17" s="4" t="n">
        <f aca="false">-I6*Assumptions!I32/100</f>
        <v>-1517.63244024507</v>
      </c>
      <c r="J17" s="4" t="n">
        <f aca="false">-J6*Assumptions!J32/100</f>
        <v>-1532.80876464752</v>
      </c>
      <c r="K17" s="4" t="n">
        <f aca="false">-K6*Assumptions!K32/100</f>
        <v>-1548.13685229399</v>
      </c>
      <c r="L17" s="4" t="n">
        <f aca="false">-L6*Assumptions!L32/100</f>
        <v>-1563.61822081693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45.8109999999997</v>
      </c>
      <c r="D18" s="4" t="n">
        <f aca="false">(D6-C6)*Assumptions!$B$37/100</f>
        <v>37.56502</v>
      </c>
      <c r="E18" s="4" t="n">
        <f aca="false">(E6-D6)*Assumptions!$B$37/100</f>
        <v>28.7372402999998</v>
      </c>
      <c r="F18" s="4" t="n">
        <f aca="false">(F6-E6)*Assumptions!$B$37/100</f>
        <v>19.4455326030002</v>
      </c>
      <c r="G18" s="4" t="n">
        <f aca="false">(G6-F6)*Assumptions!$B$37/100</f>
        <v>19.63998792903</v>
      </c>
      <c r="H18" s="4" t="n">
        <f aca="false">(H6-G6)*Assumptions!$B$37/100</f>
        <v>19.8363878083204</v>
      </c>
      <c r="I18" s="4" t="n">
        <f aca="false">(I6-H6)*Assumptions!$B$37/100</f>
        <v>20.0347516864036</v>
      </c>
      <c r="J18" s="4" t="n">
        <f aca="false">(J6-I6)*Assumptions!$B$37/100</f>
        <v>20.2350992032676</v>
      </c>
      <c r="K18" s="4" t="n">
        <f aca="false">(K6-J6)*Assumptions!$B$37/100</f>
        <v>20.4374501953003</v>
      </c>
      <c r="L18" s="4" t="n">
        <f aca="false">(L6-K6)*Assumptions!$B$37/100</f>
        <v>20.6418246972531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1379.36921</v>
      </c>
      <c r="D19" s="0" t="n">
        <f aca="false">D15+D16+D17+D18</f>
        <v>1528.06988356</v>
      </c>
      <c r="E19" s="0" t="n">
        <f aca="false">E15+E16+E17+E18</f>
        <v>1673.8292985138</v>
      </c>
      <c r="F19" s="0" t="n">
        <f aca="false">F15+F16+F17+F18</f>
        <v>1704.55649691377</v>
      </c>
      <c r="G19" s="0" t="n">
        <f aca="false">G15+G16+G17+G18</f>
        <v>1745.4057272529</v>
      </c>
      <c r="H19" s="0" t="n">
        <f aca="false">H15+H16+H17+H18</f>
        <v>1762.85978452542</v>
      </c>
      <c r="I19" s="0" t="n">
        <f aca="false">I15+I16+I17+I18</f>
        <v>1780.48838237068</v>
      </c>
      <c r="J19" s="0" t="n">
        <f aca="false">J15+J16+J17+J18</f>
        <v>1798.29326619439</v>
      </c>
      <c r="K19" s="0" t="n">
        <f aca="false">K15+K16+K17+K18</f>
        <v>1816.27619885633</v>
      </c>
      <c r="L19" s="0" t="n">
        <f aca="false">L15+L16+L17+L18</f>
        <v>1834.43896084489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1271.30802764977</v>
      </c>
      <c r="D21" s="0" t="n">
        <f aca="false">D19*D20</f>
        <v>1298.02704118584</v>
      </c>
      <c r="E21" s="0" t="n">
        <f aca="false">E19*E20</f>
        <v>1310.45451319708</v>
      </c>
      <c r="F21" s="0" t="n">
        <f aca="false">F19*F20</f>
        <v>1229.96413425485</v>
      </c>
      <c r="G21" s="0" t="n">
        <f aca="false">G19*G20</f>
        <v>1160.77409069096</v>
      </c>
      <c r="H21" s="0" t="n">
        <f aca="false">H19*H20</f>
        <v>1080.53625032062</v>
      </c>
      <c r="I21" s="0" t="n">
        <f aca="false">I19*I20</f>
        <v>1005.84480444592</v>
      </c>
      <c r="J21" s="0" t="n">
        <f aca="false">J19*J20</f>
        <v>936.316361742288</v>
      </c>
      <c r="K21" s="0" t="n">
        <f aca="false">K19*K20</f>
        <v>871.594032589595</v>
      </c>
      <c r="L21" s="0" t="n">
        <f aca="false">L19*L20</f>
        <v>811.345597157135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10976.1648532341</v>
      </c>
    </row>
    <row r="31" customFormat="false" ht="15" hidden="false" customHeight="false" outlineLevel="0" collapsed="false">
      <c r="A31" s="0" t="s">
        <v>128</v>
      </c>
      <c r="B31" s="0" t="n">
        <f aca="false">L19</f>
        <v>1834.43896084489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24703.7780060446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22013.2675301387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22013.2675301387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9736.14716588562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20712.3120191197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33978.8120191197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4.52650047040001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0.832591283562756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4.52650047040001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13234.1667889524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3.30703196514391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18324.4</v>
      </c>
      <c r="C6" s="0" t="n">
        <f aca="false">B6*(1+C5/100)</f>
        <v>19057.376</v>
      </c>
      <c r="D6" s="0" t="n">
        <f aca="false">C6*(1+D5/100)</f>
        <v>20010.2448</v>
      </c>
      <c r="E6" s="0" t="n">
        <f aca="false">D6*(1+E5/100)</f>
        <v>21010.75704</v>
      </c>
      <c r="F6" s="0" t="n">
        <f aca="false">E6*(1+F5/100)</f>
        <v>21851.1873216</v>
      </c>
      <c r="G6" s="0" t="n">
        <f aca="false">F6*(1+G5/100)</f>
        <v>22725.234814464</v>
      </c>
      <c r="H6" s="0" t="n">
        <f aca="false">G6*(1+H5/100)</f>
        <v>23406.9918588979</v>
      </c>
      <c r="I6" s="0" t="n">
        <f aca="false">H6*(1+I5/100)</f>
        <v>24109.2016146649</v>
      </c>
      <c r="J6" s="0" t="n">
        <f aca="false">I6*(1+J5/100)</f>
        <v>24832.4776631048</v>
      </c>
      <c r="K6" s="0" t="n">
        <f aca="false">J6*(1+K5/100)</f>
        <v>25453.2896046824</v>
      </c>
      <c r="L6" s="0" t="n">
        <f aca="false">K6*(1+L5/100)</f>
        <v>25962.3553967761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22</v>
      </c>
      <c r="D7" s="4" t="n">
        <f aca="false">Assumptions!D42</f>
        <v>23</v>
      </c>
      <c r="E7" s="4" t="n">
        <f aca="false">Assumptions!E42</f>
        <v>24</v>
      </c>
      <c r="F7" s="4" t="n">
        <f aca="false">Assumptions!F42</f>
        <v>25</v>
      </c>
      <c r="G7" s="4" t="n">
        <f aca="false">Assumptions!G42</f>
        <v>25.5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4192.62272</v>
      </c>
      <c r="D8" s="0" t="n">
        <f aca="false">D6*D7/100</f>
        <v>4602.356304</v>
      </c>
      <c r="E8" s="0" t="n">
        <f aca="false">E6*E7/100</f>
        <v>5042.5816896</v>
      </c>
      <c r="F8" s="0" t="n">
        <f aca="false">F6*F7/100</f>
        <v>5462.7968304</v>
      </c>
      <c r="G8" s="0" t="n">
        <f aca="false">G6*G7/100</f>
        <v>5794.93487768832</v>
      </c>
      <c r="H8" s="0" t="n">
        <f aca="false">H6*H7/100</f>
        <v>6085.81788331346</v>
      </c>
      <c r="I8" s="0" t="n">
        <f aca="false">I6*I7/100</f>
        <v>6268.39241981286</v>
      </c>
      <c r="J8" s="0" t="n">
        <f aca="false">J6*J7/100</f>
        <v>6456.44419240725</v>
      </c>
      <c r="K8" s="0" t="n">
        <f aca="false">K6*K7/100</f>
        <v>6617.85529721743</v>
      </c>
      <c r="L8" s="0" t="n">
        <f aca="false">L6*L7/100</f>
        <v>6750.21240316178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4192.62272</v>
      </c>
      <c r="D11" s="0" t="n">
        <f aca="false">D8+D10+D24</f>
        <v>4602.356304</v>
      </c>
      <c r="E11" s="0" t="n">
        <f aca="false">E8+E10+E24</f>
        <v>5042.5816896</v>
      </c>
      <c r="F11" s="0" t="n">
        <f aca="false">F8+F10+F24</f>
        <v>5462.7968304</v>
      </c>
      <c r="G11" s="0" t="n">
        <f aca="false">G8+G10+G24</f>
        <v>5794.93487768832</v>
      </c>
      <c r="H11" s="0" t="n">
        <f aca="false">H8+H10+H24</f>
        <v>6085.81788331346</v>
      </c>
      <c r="I11" s="0" t="n">
        <f aca="false">I8+I10+I24</f>
        <v>6268.39241981286</v>
      </c>
      <c r="J11" s="0" t="n">
        <f aca="false">J8+J10+J24</f>
        <v>6456.44419240725</v>
      </c>
      <c r="K11" s="0" t="n">
        <f aca="false">K8+K10+K24</f>
        <v>6617.85529721743</v>
      </c>
      <c r="L11" s="0" t="n">
        <f aca="false">L8+L10+L24</f>
        <v>6750.21240316178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-1429.3032</v>
      </c>
      <c r="D12" s="4" t="n">
        <f aca="false">-D6*Assumptions!D45/100</f>
        <v>-1500.76836</v>
      </c>
      <c r="E12" s="4" t="n">
        <f aca="false">-E6*Assumptions!E45/100</f>
        <v>-1575.806778</v>
      </c>
      <c r="F12" s="4" t="n">
        <f aca="false">-F6*Assumptions!F45/100</f>
        <v>-1638.83904912</v>
      </c>
      <c r="G12" s="4" t="n">
        <f aca="false">-G6*Assumptions!G45/100</f>
        <v>-1704.3926110848</v>
      </c>
      <c r="H12" s="4" t="n">
        <f aca="false">-H6*Assumptions!H45/100</f>
        <v>-1755.52438941734</v>
      </c>
      <c r="I12" s="4" t="n">
        <f aca="false">-I6*Assumptions!I45/100</f>
        <v>-1808.19012109986</v>
      </c>
      <c r="J12" s="4" t="n">
        <f aca="false">-J6*Assumptions!J45/100</f>
        <v>-1862.43582473286</v>
      </c>
      <c r="K12" s="4" t="n">
        <f aca="false">-K6*Assumptions!K45/100</f>
        <v>-1908.99672035118</v>
      </c>
      <c r="L12" s="4" t="n">
        <f aca="false">-L6*Assumptions!L45/100</f>
        <v>-1947.17665475821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2763.31952</v>
      </c>
      <c r="D13" s="0" t="n">
        <f aca="false">D11+D12</f>
        <v>3101.587944</v>
      </c>
      <c r="E13" s="0" t="n">
        <f aca="false">E11+E12</f>
        <v>3466.7749116</v>
      </c>
      <c r="F13" s="0" t="n">
        <f aca="false">F11+F12</f>
        <v>3823.95778128</v>
      </c>
      <c r="G13" s="0" t="n">
        <f aca="false">G11+G12</f>
        <v>4090.54226660352</v>
      </c>
      <c r="H13" s="0" t="n">
        <f aca="false">H11+H12</f>
        <v>4330.29349389612</v>
      </c>
      <c r="I13" s="0" t="n">
        <f aca="false">I11+I12</f>
        <v>4460.202298713</v>
      </c>
      <c r="J13" s="0" t="n">
        <f aca="false">J11+J12</f>
        <v>4594.00836767439</v>
      </c>
      <c r="K13" s="0" t="n">
        <f aca="false">K11+K12</f>
        <v>4708.85857686625</v>
      </c>
      <c r="L13" s="0" t="n">
        <f aca="false">L11+L12</f>
        <v>4803.03574840357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37</v>
      </c>
      <c r="D14" s="4" t="n">
        <f aca="false">Assumptions!D47</f>
        <v>37</v>
      </c>
      <c r="E14" s="4" t="n">
        <f aca="false">Assumptions!E47</f>
        <v>37</v>
      </c>
      <c r="F14" s="4" t="n">
        <f aca="false">Assumptions!F47</f>
        <v>37</v>
      </c>
      <c r="G14" s="4" t="n">
        <f aca="false">Assumptions!G47</f>
        <v>37</v>
      </c>
      <c r="H14" s="4" t="n">
        <f aca="false">Assumptions!H47</f>
        <v>37</v>
      </c>
      <c r="I14" s="4" t="n">
        <f aca="false">Assumptions!I47</f>
        <v>37</v>
      </c>
      <c r="J14" s="4" t="n">
        <f aca="false">Assumptions!J47</f>
        <v>37</v>
      </c>
      <c r="K14" s="4" t="n">
        <f aca="false">Assumptions!K47</f>
        <v>37</v>
      </c>
      <c r="L14" s="4" t="n">
        <f aca="false">Assumptions!L47</f>
        <v>37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1740.8912976</v>
      </c>
      <c r="D15" s="0" t="n">
        <f aca="false">D13-MAX(0,D13)*D14/100</f>
        <v>1954.00040472</v>
      </c>
      <c r="E15" s="0" t="n">
        <f aca="false">E13-MAX(0,E13)*E14/100</f>
        <v>2184.068194308</v>
      </c>
      <c r="F15" s="0" t="n">
        <f aca="false">F13-MAX(0,F13)*F14/100</f>
        <v>2409.0934022064</v>
      </c>
      <c r="G15" s="0" t="n">
        <f aca="false">G13-MAX(0,G13)*G14/100</f>
        <v>2577.04162796022</v>
      </c>
      <c r="H15" s="0" t="n">
        <f aca="false">H13-MAX(0,H13)*H14/100</f>
        <v>2728.08490115455</v>
      </c>
      <c r="I15" s="0" t="n">
        <f aca="false">I13-MAX(0,I13)*I14/100</f>
        <v>2809.92744818919</v>
      </c>
      <c r="J15" s="0" t="n">
        <f aca="false">J13-MAX(0,J13)*J14/100</f>
        <v>2894.22527163487</v>
      </c>
      <c r="K15" s="0" t="n">
        <f aca="false">K13-MAX(0,K13)*K14/100</f>
        <v>2966.58090342574</v>
      </c>
      <c r="L15" s="0" t="n">
        <f aca="false">L13-MAX(0,L13)*L14/100</f>
        <v>3025.91252149425</v>
      </c>
    </row>
    <row r="16" customFormat="false" ht="15" hidden="false" customHeight="false" outlineLevel="0" collapsed="false">
      <c r="A16" s="0" t="s">
        <v>119</v>
      </c>
      <c r="C16" s="0" t="n">
        <f aca="false">-C12</f>
        <v>1429.3032</v>
      </c>
      <c r="D16" s="0" t="n">
        <f aca="false">-D12</f>
        <v>1500.76836</v>
      </c>
      <c r="E16" s="0" t="n">
        <f aca="false">-E12</f>
        <v>1575.806778</v>
      </c>
      <c r="F16" s="0" t="n">
        <f aca="false">-F12</f>
        <v>1638.83904912</v>
      </c>
      <c r="G16" s="0" t="n">
        <f aca="false">-G12</f>
        <v>1704.3926110848</v>
      </c>
      <c r="H16" s="0" t="n">
        <f aca="false">-H12</f>
        <v>1755.52438941734</v>
      </c>
      <c r="I16" s="0" t="n">
        <f aca="false">-I12</f>
        <v>1808.19012109986</v>
      </c>
      <c r="J16" s="0" t="n">
        <f aca="false">-J12</f>
        <v>1862.43582473286</v>
      </c>
      <c r="K16" s="0" t="n">
        <f aca="false">-K12</f>
        <v>1908.99672035118</v>
      </c>
      <c r="L16" s="0" t="n">
        <f aca="false">-L12</f>
        <v>1947.17665475821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-1619.87696</v>
      </c>
      <c r="D17" s="4" t="n">
        <f aca="false">-D6*Assumptions!D46/100</f>
        <v>-1600.819584</v>
      </c>
      <c r="E17" s="4" t="n">
        <f aca="false">-E6*Assumptions!E46/100</f>
        <v>-1575.806778</v>
      </c>
      <c r="F17" s="4" t="n">
        <f aca="false">-F6*Assumptions!F46/100</f>
        <v>-1529.583112512</v>
      </c>
      <c r="G17" s="4" t="n">
        <f aca="false">-G6*Assumptions!G46/100</f>
        <v>-1590.76643701248</v>
      </c>
      <c r="H17" s="4" t="n">
        <f aca="false">-H6*Assumptions!H46/100</f>
        <v>-1638.48943012285</v>
      </c>
      <c r="I17" s="4" t="n">
        <f aca="false">-I6*Assumptions!I46/100</f>
        <v>-1687.64411302654</v>
      </c>
      <c r="J17" s="4" t="n">
        <f aca="false">-J6*Assumptions!J46/100</f>
        <v>-1738.27343641734</v>
      </c>
      <c r="K17" s="4" t="n">
        <f aca="false">-K6*Assumptions!K46/100</f>
        <v>-1781.73027232777</v>
      </c>
      <c r="L17" s="4" t="n">
        <f aca="false">-L6*Assumptions!L46/100</f>
        <v>-1817.36487777433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73.2976000000002</v>
      </c>
      <c r="D18" s="4" t="n">
        <f aca="false">(D6-C6)*Assumptions!$B$51/100</f>
        <v>95.28688</v>
      </c>
      <c r="E18" s="4" t="n">
        <f aca="false">(E6-D6)*Assumptions!$B$51/100</f>
        <v>100.051224</v>
      </c>
      <c r="F18" s="4" t="n">
        <f aca="false">(F6-E6)*Assumptions!$B$51/100</f>
        <v>84.0430281600002</v>
      </c>
      <c r="G18" s="4" t="n">
        <f aca="false">(G6-F6)*Assumptions!$B$51/100</f>
        <v>87.4047492864</v>
      </c>
      <c r="H18" s="4" t="n">
        <f aca="false">(H6-G6)*Assumptions!$B$51/100</f>
        <v>68.1757044433922</v>
      </c>
      <c r="I18" s="4" t="n">
        <f aca="false">(I6-H6)*Assumptions!$B$51/100</f>
        <v>70.2209755766937</v>
      </c>
      <c r="J18" s="4" t="n">
        <f aca="false">(J6-I6)*Assumptions!$B$51/100</f>
        <v>72.3276048439948</v>
      </c>
      <c r="K18" s="4" t="n">
        <f aca="false">(K6-J6)*Assumptions!$B$51/100</f>
        <v>62.0811941577616</v>
      </c>
      <c r="L18" s="4" t="n">
        <f aca="false">(L6-K6)*Assumptions!$B$51/100</f>
        <v>50.906579209365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1623.6151376</v>
      </c>
      <c r="D19" s="0" t="n">
        <f aca="false">D15+D16+D17+D18</f>
        <v>1949.23606072</v>
      </c>
      <c r="E19" s="0" t="n">
        <f aca="false">E15+E16+E17+E18</f>
        <v>2284.119418308</v>
      </c>
      <c r="F19" s="0" t="n">
        <f aca="false">F15+F16+F17+F18</f>
        <v>2602.3923669744</v>
      </c>
      <c r="G19" s="0" t="n">
        <f aca="false">G15+G16+G17+G18</f>
        <v>2778.07255131894</v>
      </c>
      <c r="H19" s="0" t="n">
        <f aca="false">H15+H16+H17+H18</f>
        <v>2913.29556489244</v>
      </c>
      <c r="I19" s="0" t="n">
        <f aca="false">I15+I16+I17+I18</f>
        <v>3000.69443183921</v>
      </c>
      <c r="J19" s="0" t="n">
        <f aca="false">J15+J16+J17+J18</f>
        <v>3090.71526479439</v>
      </c>
      <c r="K19" s="0" t="n">
        <f aca="false">K15+K16+K17+K18</f>
        <v>3155.92854560691</v>
      </c>
      <c r="L19" s="0" t="n">
        <f aca="false">L15+L16+L17+L18</f>
        <v>3206.6308776875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1496.41948165899</v>
      </c>
      <c r="D21" s="0" t="n">
        <f aca="false">D19*D20</f>
        <v>1655.78887699463</v>
      </c>
      <c r="E21" s="0" t="n">
        <f aca="false">E19*E20</f>
        <v>1788.25559037622</v>
      </c>
      <c r="F21" s="0" t="n">
        <f aca="false">F19*F20</f>
        <v>1877.81940958394</v>
      </c>
      <c r="G21" s="0" t="n">
        <f aca="false">G19*G20</f>
        <v>1847.54443581789</v>
      </c>
      <c r="H21" s="0" t="n">
        <f aca="false">H19*H20</f>
        <v>1785.69021393384</v>
      </c>
      <c r="I21" s="0" t="n">
        <f aca="false">I19*I20</f>
        <v>1695.171355163</v>
      </c>
      <c r="J21" s="0" t="n">
        <f aca="false">J19*J20</f>
        <v>1609.2410099704</v>
      </c>
      <c r="K21" s="0" t="n">
        <f aca="false">K19*K20</f>
        <v>1514.46596578328</v>
      </c>
      <c r="L21" s="0" t="n">
        <f aca="false">L19*L20</f>
        <v>1418.24606860814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16688.6424078903</v>
      </c>
    </row>
    <row r="31" customFormat="false" ht="15" hidden="false" customHeight="false" outlineLevel="0" collapsed="false">
      <c r="A31" s="0" t="s">
        <v>128</v>
      </c>
      <c r="B31" s="0" t="n">
        <f aca="false">L19</f>
        <v>3206.6308776875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50319.4383883269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44892.832287625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44892.832287625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19855.4449605139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36544.0873684043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49810.5873684043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6.63553649336278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1.68645202160436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6.63553649336278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25159.7191941634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4.24024258827498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3.0103391682868</v>
      </c>
      <c r="C4" s="0" t="n">
        <f aca="false">B4/Assumptions!$B$2-1</f>
        <v>0.218760796877248</v>
      </c>
      <c r="D4" s="4" t="n">
        <f aca="false">Assumptions!$B$24</f>
        <v>0.3</v>
      </c>
      <c r="E4" s="4" t="n">
        <f aca="false">DCF_Bear!$B$43</f>
        <v>3.0103391682868</v>
      </c>
      <c r="F4" s="4" t="n">
        <f aca="false">DCF_Bear!$B$47</f>
        <v>2.5514411204047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4.52650047040001</v>
      </c>
      <c r="C5" s="0" t="n">
        <f aca="false">B5/Assumptions!$B$2-1</f>
        <v>0.832591283562756</v>
      </c>
      <c r="D5" s="4" t="n">
        <f aca="false">Assumptions!$B$38</f>
        <v>0.5</v>
      </c>
      <c r="E5" s="4" t="n">
        <f aca="false">DCF_Base!$B$43</f>
        <v>4.52650047040001</v>
      </c>
      <c r="F5" s="4" t="n">
        <f aca="false">DCF_Base!$B$47</f>
        <v>3.30703196514391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6.63553649336278</v>
      </c>
      <c r="C6" s="0" t="n">
        <f aca="false">B6/Assumptions!$B$2-1</f>
        <v>1.68645202160436</v>
      </c>
      <c r="D6" s="4" t="n">
        <f aca="false">Assumptions!$B$52</f>
        <v>0.2</v>
      </c>
      <c r="E6" s="4" t="n">
        <f aca="false">DCF_Bull!$B$43</f>
        <v>6.63553649336278</v>
      </c>
      <c r="F6" s="4" t="n">
        <f aca="false">DCF_Bull!$B$47</f>
        <v>4.24024258827498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4.4934592843586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4.4934592843586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0.45031214400943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3.26699683634836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4.52650047040001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4.43473875447232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4.18977014561576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3.94232978106545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3.74000783080446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3.30703196514391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4.93813163410618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4.93813163410618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4.93813163410618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4.93813163410618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4.93813163410618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4.72292657268713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4.72292657268713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4.72292657268713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4.72292657268713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4.72292657268713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4.5010690080964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4.52650047040001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4.52650047040001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4.52650047040001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4.52650047040001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4.20167069805768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4.26481504291299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4.33538813422186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4.34698919032742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4.34698919032742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3.95977587854334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4.00715400117386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4.05951929460759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4.1177029539784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4.18273174974577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2026-10-23T14:12:00Z</dcterms:created>
  <dc:creator>openpyxl</dc:creator>
  <dc:description/>
  <dc:language>en-NZ</dc:language>
  <cp:lastModifiedBy/>
  <dcterms:modified xsi:type="dcterms:W3CDTF">2026-10-23T14:12:00Z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