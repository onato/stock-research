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<sst xmlns="http://schemas.openxmlformats.org/spreadsheetml/2006/main" count="354" uniqueCount="164">
  <si>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</si>
  <si>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0316.HK</t>
  </si>
  <si>
    <t xml:space="preserve">Company</t>
  </si>
  <si>
    <t xml:space="preserve">Orient Overseas (International)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</si>
  <si>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</si>
  <si>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</si>
  <si>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</si>
  <si>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</si>
  <si>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regular close (HKEX 16:08 HKT); 52-week range 117.9-178.9. Price is ex the US$0.55 interim dividend (record date 18-Sep-2026).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</si>
  <si>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</si>
  <si>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</si>
  <si>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</si>
  <si>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</si>
  <si>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</si>
  <si>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</si>
  <si>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</si>
  <si>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</si>
  <si>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</si>
  <si>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</si>
  <si>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</si>
  <si>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</si>
  <si>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</si>
  <si>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2026-10-10T22:10:11Z</t>
  </si>
  <si>
    <t xml:space="preserve">Drivers file</t>
  </si>
  <si>
    <t xml:space="preserve">0316.HK_Drivers.json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</si>
  <si>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</si>
  <si>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</si>
  <si>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</si>
  <si>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 container liner on a through-cycle margin, never on the latest year: FY2021-22 supercycle profits are excluded, the 2023-26 Red Sea era is treated as above mid-cycle, and the newbuild programme already contracted is charged in full as capex. Net cash is credited at face after deducting the LBCT onerous provision and the declared dividend; interest on that cash is kept out of the flows so it is not counted twice.
key_risks_to_valuation: Mid-cycle margin is the dominant assumption: each 1pp of mid-cycle EBITDA margin (held from 2030) moves the base value by roughly US$1.3/share (~HK$10); the current price sits between the base (19%) and bull (23%, with a lighter charter bill) cases, much closer to bull - i.e. the market is capitalising Red Sea-era margins as normal.; Timing of the Red Sea reopening and orderbook deliveries sets the depth of the 2027-28 trough.; Capital allocation is set by COSCO Shipping (~75%): further newbuild orders or related-party arrangements could consume net cash that this model credits to minorities.; LBCT minimum-lift deficiency payments could exceed the US$877m provision if US import volumes stay weak.; Fuel and carbon costs (EU ETS at 100% from 2026, IMO net-zero framework) may not be fully passed through.; The US$5.8bn cash is assumed fully available to equity; it also funds the business through the trough, so a deeper or longer bear cycle reduces it further than modelled.</t>
  </si>
  <si>
    <t xml:space="preserve">Data sources</t>
  </si>
  <si>
    <t xml:space="preserve">price: Yahoo Finance chart API (0316.HK) at inputs.price_as_of; 52-week range 117.9-178.9; FX Yahoo HKD=X
financials: 0316.HK_Metrics.csv (FY2018-FY2025, H1 FY2023-FY2026, USD millions); Annual Report FY2025 (income statement by activity, note 7 other operating income, segment depreciation split, cash flow statement); Interim Report 2026 (balance sheet at 30-Jun-2026, notes 17 lease liabilities, 18 LBCT provision, 20 capital commitments, interim dividend)
qualitative: 0316.HK_Analysis.json; Interim Report 2026 MD&amp;A (fleet programme, outlook, IMF growth revisions, Section 301 tariffs)</t>
  </si>
  <si>
    <t xml:space="preserve">Scenario narrative: bear</t>
  </si>
  <si>
    <t xml:space="preserve">A 2016-style overcapacity cycle. The orderbook lands into a Red Sea reopening and weaker US imports after a new tariff round; rates fall below pre-COVID inflation-adjusted levels, revenue drops ~20% over 2027-28 and EBITDA ex interest falls to 10-11% (operating losses after leases and depreciation). OOIL still pays the US$5.4bn of contracted instalments, burning roughly half of its net cash, while the Seaspan charters and the LBCT minimum-lift commitment lock in fixed costs. Mid-cycle EBITDA recovers only to 15.5% (the IFRS-16-equivalent of FY2018-19). Governance risk sits here too: COSCO (~75%) directs capital to group priorities - more newbuilds - rather than minority returns.</t>
  </si>
  <si>
    <t xml:space="preserve">Scenario narrative: base</t>
  </si>
  <si>
    <t xml:space="preserve">Freight rates normalise from the Red Sea era. FY2026 revenue edges up ~3% on record liftings (H1 +6%) but H2 margins compress under the early peak season, oil-price spike and EU ETS costs. In 2027-28 the record global orderbook (~30% of the fleet) delivers just as Suez routings resume, releasing the ~10% of capacity the Cape diversion absorbed: revenue per TEU falls back toward ~US$1,000 and EBITDA (ex interest) troughs at 15%, roughly FY2023's level without its contract carry-over. OOIL is simultaneously paying ~US$1.5-1.7bn/yr of newbuild instalments, so owner FCF is negative for four years and is funded from the US$5.8bn cash pile. From 2030 the consolidated, alliance-disciplined industry earns a 19% IFRS-16 EBITDA mid-cycle margin (op margin ~7%), above the 2012-19 average but below 2023-25, and the fleet renewal cuts the charter bill as owned methanol/LNG tonnage replaces leased ships. Liftings grow ~3%/yr.</t>
  </si>
  <si>
    <t xml:space="preserve">Scenario narrative: bull</t>
  </si>
  <si>
    <t xml:space="preserve">Disruption persists and discipline holds. Red Sea transits stay largely closed through 2027 and US tariff/Section 301 rounds keep supply chains re-routing, so the trough is shallow (EBITDA 19-19.5%). Liner scrapping of the old Panamax/ post-Panamax fleet and slow-steaming for EU ETS/IMO carbon costs absorb much of the orderbook. OOCL's fuel-efficient dual-fuel fleet (one of the youngest in the industry by 2030) earns a cost advantage, the charter bill falls to 4.5% of revenue, and through-cycle EBITDA settles at 23% - the FY2023-H1 2026 average ex interest. COSCO keeps the 40-50% payout and the cash pile intact.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</si>
  <si>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</si>
  <si>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</si>
  <si>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</si>
  <si>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</si>
  <si>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</si>
  <si>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</si>
  <si>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</si>
  <si>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</si>
  <si>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</si>
  <si>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</si>
  <si>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</si>
  <si>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</si>
  <si>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</si>
  <si>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</si>
  <si>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</si>
  <si>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</si>
  <si>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</si>
  <si>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</si>
  <si>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</si>
  <si>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</si>
  <si>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</si>
  <si>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</si>
  <si>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</si>
  <si>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</si>
  <si>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</si>
  <si>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</si>
  <si>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</si>
  <si>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ContainerVolumeTEU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</si>
  <si>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</si>
  <si>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</si>
  <si>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</si>
  <si>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</si>
  <si>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</si>
  <si>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</si>
  <si>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</si>
  <si>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</si>
  <si>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</si>
  <si>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</si>
  <si>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</si>
  <si>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</si>
  <si>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</si>
  <si>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</si>
  <si>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</si>
  <si>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</si>
  <si>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</si>
  <si>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</si>
  <si>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</si>
  <si>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</si>
  <si>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</si>
  <si>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</si>
  <si>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</si>
  <si>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</si>
  <si>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</si>
  <si>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</si>
  <si>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</si>
  <si>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</si>
  <si>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</si>
  <si>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</si>
  <si>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</si>
  <si>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</si>
  <si>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</si>
  <si>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</si>
  <si>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</si>
  <si>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</si>
  <si>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</si>
  <si>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</si>
  <si>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</si>
  <si>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</si>
  <si>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</si>
  <si>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</si>
  <si>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</si>
  <si>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</si>
  <si>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</si>
  <si>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0316.HK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</si>
  <si>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</si>
  <si>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</si>
  <si>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</si>
  <si>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</si>
  <si>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</si>
  <si>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</si>
  <si>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</si>
  <si>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</si>
  <si>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</si>
  <si>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</si>
  <si>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</si>
  <si>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</si>
  <si>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</si>
  <si>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</si>
  <si>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</si>
  <si>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</si>
  <si>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</si>
  <si>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</si>
  <si>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</si>
  <si>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</si>
  <si>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</si>
  <si>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</si>
  <si>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</si>
  <si>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</si>
  <si>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</si>
  <si>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</si>
  <si>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</si>
  <si>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</si>
  <si>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</si>
  <si>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</si>
  <si>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0316.HK owner-FCF component DCF: base case (millions, USD)</t>
  </si>
  <si>
    <t xml:space="preserve">0316.HK owner-FCF component DCF: bull case (millions, USD)</t>
  </si>
  <si>
    <t xml:space="preserve">0316.HK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</si>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</sst>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6572.655</v>
      </c>
      <c r="C2" s="0" t="n">
        <v>5859.839</v>
      </c>
      <c r="D2" s="0" t="n">
        <v>712.816</v>
      </c>
      <c r="E2" s="0" t="n">
        <v>10.8</v>
      </c>
      <c r="F2" s="0" t="n">
        <v>262.935</v>
      </c>
      <c r="G2" s="0" t="n">
        <v>4</v>
      </c>
      <c r="I2" s="0" t="n">
        <v>108.166</v>
      </c>
      <c r="J2" s="0" t="n">
        <v>1.6</v>
      </c>
      <c r="K2" s="0" t="n">
        <v>0.173</v>
      </c>
      <c r="L2" s="0" t="n">
        <v>452.662</v>
      </c>
      <c r="M2" s="0" t="n">
        <v>538.016</v>
      </c>
      <c r="N2" s="0" t="n">
        <v>-85.354</v>
      </c>
      <c r="O2" s="0" t="n">
        <v>4735.13</v>
      </c>
      <c r="P2" s="0" t="n">
        <v>10053.86</v>
      </c>
      <c r="Q2" s="0" t="n">
        <v>5318.73</v>
      </c>
      <c r="R2" s="0" t="n">
        <v>4197.756</v>
      </c>
      <c r="S2" s="0" t="n">
        <v>1584.465</v>
      </c>
      <c r="T2" s="0" t="n">
        <v>625.793</v>
      </c>
      <c r="U2" s="0" t="n">
        <v>0</v>
      </c>
      <c r="AA2" s="0" t="s">
        <v>18</v>
      </c>
      <c r="AB2" s="0" t="s">
        <v>14</v>
      </c>
      <c r="AC2" s="0" t="n">
        <v>6696919</v>
      </c>
    </row>
    <row r="3" customFormat="false" ht="15" hidden="false" customHeight="false" outlineLevel="0" collapsed="false">
      <c r="A3" s="0" t="s">
        <v>66</v>
      </c>
      <c r="B3" s="0" t="n">
        <v>6878.74</v>
      </c>
      <c r="C3" s="0" t="n">
        <v>6069.201</v>
      </c>
      <c r="D3" s="0" t="n">
        <v>809.539</v>
      </c>
      <c r="E3" s="0" t="n">
        <v>11.8</v>
      </c>
      <c r="F3" s="0" t="n">
        <v>361.281</v>
      </c>
      <c r="G3" s="0" t="n">
        <v>5.3</v>
      </c>
      <c r="I3" s="0" t="n">
        <v>1348.793</v>
      </c>
      <c r="J3" s="0" t="n">
        <v>19.6</v>
      </c>
      <c r="K3" s="0" t="n">
        <v>2.155</v>
      </c>
      <c r="L3" s="0" t="n">
        <v>659.604</v>
      </c>
      <c r="M3" s="0" t="n">
        <v>211.147</v>
      </c>
      <c r="N3" s="0" t="n">
        <v>448.457</v>
      </c>
      <c r="O3" s="0" t="n">
        <v>4927.407</v>
      </c>
      <c r="P3" s="0" t="n">
        <v>11201.865</v>
      </c>
      <c r="Q3" s="0" t="n">
        <v>6274.458</v>
      </c>
      <c r="R3" s="0" t="n">
        <v>3991.089</v>
      </c>
      <c r="S3" s="0" t="n">
        <v>3455.57</v>
      </c>
      <c r="T3" s="0" t="n">
        <v>625.793</v>
      </c>
      <c r="U3" s="0" t="n">
        <v>2.651</v>
      </c>
      <c r="AA3" s="0" t="s">
        <v>18</v>
      </c>
      <c r="AB3" s="0" t="s">
        <v>14</v>
      </c>
      <c r="AC3" s="0" t="n">
        <v>6954142</v>
      </c>
    </row>
    <row r="4" customFormat="false" ht="15" hidden="false" customHeight="false" outlineLevel="0" collapsed="false">
      <c r="A4" s="0" t="s">
        <v>67</v>
      </c>
      <c r="B4" s="0" t="n">
        <v>8191.304</v>
      </c>
      <c r="C4" s="0" t="n">
        <v>6602.121</v>
      </c>
      <c r="D4" s="0" t="n">
        <v>1589.183</v>
      </c>
      <c r="E4" s="0" t="n">
        <v>19.4</v>
      </c>
      <c r="F4" s="0" t="n">
        <v>992.187</v>
      </c>
      <c r="G4" s="0" t="n">
        <v>12.1</v>
      </c>
      <c r="H4" s="0" t="n">
        <v>1444.373</v>
      </c>
      <c r="I4" s="0" t="n">
        <v>902.723</v>
      </c>
      <c r="J4" s="0" t="n">
        <v>11</v>
      </c>
      <c r="K4" s="0" t="n">
        <v>1.443</v>
      </c>
      <c r="L4" s="0" t="n">
        <v>1904.734</v>
      </c>
      <c r="M4" s="0" t="n">
        <v>379.539</v>
      </c>
      <c r="N4" s="0" t="n">
        <v>1525.195</v>
      </c>
      <c r="O4" s="0" t="n">
        <v>5642.494</v>
      </c>
      <c r="P4" s="0" t="n">
        <v>10644.553</v>
      </c>
      <c r="Q4" s="0" t="n">
        <v>5002.059</v>
      </c>
      <c r="R4" s="0" t="n">
        <v>3069.843</v>
      </c>
      <c r="S4" s="0" t="n">
        <v>3072.795</v>
      </c>
      <c r="T4" s="0" t="n">
        <v>625.793</v>
      </c>
      <c r="U4" s="0" t="n">
        <v>4.776</v>
      </c>
      <c r="AA4" s="0" t="s">
        <v>18</v>
      </c>
      <c r="AB4" s="0" t="s">
        <v>14</v>
      </c>
      <c r="AC4" s="0" t="n">
        <v>7461941</v>
      </c>
    </row>
    <row r="5" customFormat="false" ht="15" hidden="false" customHeight="false" outlineLevel="0" collapsed="false">
      <c r="A5" s="0" t="s">
        <v>68</v>
      </c>
      <c r="B5" s="0" t="n">
        <v>16832.185</v>
      </c>
      <c r="C5" s="0" t="n">
        <v>8656.537</v>
      </c>
      <c r="D5" s="0" t="n">
        <v>8175.648</v>
      </c>
      <c r="E5" s="0" t="n">
        <v>48.6</v>
      </c>
      <c r="F5" s="0" t="n">
        <v>7380.271</v>
      </c>
      <c r="G5" s="0" t="n">
        <v>43.8</v>
      </c>
      <c r="H5" s="0" t="n">
        <v>7950.003</v>
      </c>
      <c r="I5" s="0" t="n">
        <v>7128.127</v>
      </c>
      <c r="J5" s="0" t="n">
        <v>42.3</v>
      </c>
      <c r="K5" s="0" t="n">
        <v>11.08</v>
      </c>
      <c r="L5" s="0" t="n">
        <v>8898.841</v>
      </c>
      <c r="M5" s="0" t="n">
        <v>590.701</v>
      </c>
      <c r="N5" s="0" t="n">
        <v>8308.14</v>
      </c>
      <c r="O5" s="0" t="n">
        <v>9671.736</v>
      </c>
      <c r="P5" s="0" t="n">
        <v>15846.977</v>
      </c>
      <c r="Q5" s="0" t="n">
        <v>6175.241</v>
      </c>
      <c r="R5" s="0" t="n">
        <v>2690.64</v>
      </c>
      <c r="S5" s="0" t="n">
        <v>7197.101</v>
      </c>
      <c r="T5" s="0" t="n">
        <v>643.051</v>
      </c>
      <c r="U5" s="0" t="n">
        <v>2.084</v>
      </c>
      <c r="AA5" s="0" t="s">
        <v>18</v>
      </c>
      <c r="AB5" s="0" t="s">
        <v>14</v>
      </c>
      <c r="AC5" s="0" t="n">
        <v>7587158</v>
      </c>
    </row>
    <row r="6" customFormat="false" ht="15" hidden="false" customHeight="false" outlineLevel="0" collapsed="false">
      <c r="A6" s="0" t="s">
        <v>69</v>
      </c>
      <c r="B6" s="0" t="n">
        <v>19820.188</v>
      </c>
      <c r="C6" s="0" t="n">
        <v>9395.608</v>
      </c>
      <c r="D6" s="0" t="n">
        <v>10424.58</v>
      </c>
      <c r="E6" s="0" t="n">
        <v>52.6</v>
      </c>
      <c r="F6" s="0" t="n">
        <v>10079.101</v>
      </c>
      <c r="G6" s="0" t="n">
        <v>50.9</v>
      </c>
      <c r="H6" s="0" t="n">
        <v>10940.077</v>
      </c>
      <c r="I6" s="0" t="n">
        <v>9965.245</v>
      </c>
      <c r="J6" s="0" t="n">
        <v>50.3</v>
      </c>
      <c r="K6" s="0" t="n">
        <v>15.09</v>
      </c>
      <c r="L6" s="0" t="n">
        <v>11253.014</v>
      </c>
      <c r="M6" s="0" t="n">
        <v>548.446</v>
      </c>
      <c r="N6" s="0" t="n">
        <v>10704.568</v>
      </c>
      <c r="O6" s="0" t="n">
        <v>13438.898</v>
      </c>
      <c r="P6" s="0" t="n">
        <v>20035.161</v>
      </c>
      <c r="Q6" s="0" t="n">
        <v>6596.263</v>
      </c>
      <c r="R6" s="0" t="n">
        <v>2080.12</v>
      </c>
      <c r="S6" s="0" t="n">
        <v>11213.902</v>
      </c>
      <c r="T6" s="0" t="n">
        <v>660.373</v>
      </c>
      <c r="U6" s="0" t="n">
        <v>1.117</v>
      </c>
      <c r="AA6" s="0" t="s">
        <v>18</v>
      </c>
      <c r="AB6" s="0" t="s">
        <v>14</v>
      </c>
      <c r="AC6" s="0" t="n">
        <v>7129358</v>
      </c>
    </row>
    <row r="7" customFormat="false" ht="15" hidden="false" customHeight="false" outlineLevel="0" collapsed="false">
      <c r="A7" s="0" t="s">
        <v>70</v>
      </c>
      <c r="B7" s="0" t="n">
        <v>8343.857</v>
      </c>
      <c r="C7" s="0" t="n">
        <v>7188.523</v>
      </c>
      <c r="D7" s="0" t="n">
        <v>1155.334</v>
      </c>
      <c r="E7" s="0" t="n">
        <v>13.8</v>
      </c>
      <c r="F7" s="0" t="n">
        <v>1405.676</v>
      </c>
      <c r="G7" s="0" t="n">
        <v>16.8</v>
      </c>
      <c r="H7" s="0" t="n">
        <v>2253.333</v>
      </c>
      <c r="I7" s="0" t="n">
        <v>1367.852</v>
      </c>
      <c r="J7" s="0" t="n">
        <v>16.4</v>
      </c>
      <c r="K7" s="0" t="n">
        <v>2.07</v>
      </c>
      <c r="L7" s="0" t="n">
        <v>617.196</v>
      </c>
      <c r="M7" s="0" t="n">
        <v>1389.907</v>
      </c>
      <c r="N7" s="0" t="n">
        <v>-772.711</v>
      </c>
      <c r="O7" s="0" t="n">
        <v>11210.363</v>
      </c>
      <c r="P7" s="0" t="n">
        <v>15609.185</v>
      </c>
      <c r="Q7" s="0" t="n">
        <v>4398.822</v>
      </c>
      <c r="R7" s="0" t="n">
        <v>1438.238</v>
      </c>
      <c r="S7" s="0" t="n">
        <v>6722.188</v>
      </c>
      <c r="T7" s="0" t="n">
        <v>660.373</v>
      </c>
      <c r="U7" s="0" t="n">
        <v>0.132</v>
      </c>
      <c r="AA7" s="0" t="s">
        <v>18</v>
      </c>
      <c r="AB7" s="0" t="s">
        <v>14</v>
      </c>
      <c r="AC7" s="0" t="n">
        <v>7338117</v>
      </c>
    </row>
    <row r="8" customFormat="false" ht="15" hidden="false" customHeight="false" outlineLevel="0" collapsed="false">
      <c r="A8" s="0" t="s">
        <v>71</v>
      </c>
      <c r="B8" s="0" t="n">
        <v>10701.943</v>
      </c>
      <c r="C8" s="0" t="n">
        <v>7880.916</v>
      </c>
      <c r="D8" s="0" t="n">
        <v>2821.027</v>
      </c>
      <c r="E8" s="0" t="n">
        <v>26.4</v>
      </c>
      <c r="F8" s="0" t="n">
        <v>2624.844</v>
      </c>
      <c r="G8" s="0" t="n">
        <v>24.5</v>
      </c>
      <c r="H8" s="0" t="n">
        <v>3525.759</v>
      </c>
      <c r="I8" s="0" t="n">
        <v>2577.446</v>
      </c>
      <c r="J8" s="0" t="n">
        <v>24.1</v>
      </c>
      <c r="K8" s="0" t="n">
        <v>3.9</v>
      </c>
      <c r="L8" s="0" t="n">
        <v>3211.515</v>
      </c>
      <c r="M8" s="0" t="n">
        <v>1266.675</v>
      </c>
      <c r="N8" s="0" t="n">
        <v>1944.84</v>
      </c>
      <c r="O8" s="0" t="n">
        <v>13249.497</v>
      </c>
      <c r="P8" s="0" t="n">
        <v>17768.383</v>
      </c>
      <c r="Q8" s="0" t="n">
        <v>4518.886</v>
      </c>
      <c r="R8" s="0" t="n">
        <v>1373.223</v>
      </c>
      <c r="S8" s="0" t="n">
        <v>7903.473</v>
      </c>
      <c r="T8" s="0" t="n">
        <v>660.373</v>
      </c>
      <c r="U8" s="0" t="n">
        <v>0.014</v>
      </c>
      <c r="AA8" s="0" t="s">
        <v>18</v>
      </c>
      <c r="AB8" s="0" t="s">
        <v>14</v>
      </c>
      <c r="AC8" s="0" t="n">
        <v>7595476</v>
      </c>
    </row>
    <row r="9" customFormat="false" ht="15" hidden="false" customHeight="false" outlineLevel="0" collapsed="false">
      <c r="A9" s="0" t="s">
        <v>72</v>
      </c>
      <c r="B9" s="0" t="n">
        <v>9722.494</v>
      </c>
      <c r="C9" s="0" t="n">
        <v>8087.978</v>
      </c>
      <c r="D9" s="0" t="n">
        <v>1634.516</v>
      </c>
      <c r="E9" s="0" t="n">
        <v>16.8</v>
      </c>
      <c r="F9" s="0" t="n">
        <v>1535.466</v>
      </c>
      <c r="G9" s="0" t="n">
        <v>15.8</v>
      </c>
      <c r="H9" s="0" t="n">
        <v>2529.597</v>
      </c>
      <c r="I9" s="0" t="n">
        <v>1513.483</v>
      </c>
      <c r="J9" s="0" t="n">
        <v>15.6</v>
      </c>
      <c r="K9" s="0" t="n">
        <v>2.29</v>
      </c>
      <c r="L9" s="0" t="n">
        <v>1990.771</v>
      </c>
      <c r="M9" s="0" t="n">
        <v>2025.886</v>
      </c>
      <c r="N9" s="0" t="n">
        <v>-35.115</v>
      </c>
      <c r="O9" s="0" t="n">
        <v>13413.357</v>
      </c>
      <c r="P9" s="0" t="n">
        <v>17669.049</v>
      </c>
      <c r="Q9" s="0" t="n">
        <v>4255.692</v>
      </c>
      <c r="R9" s="0" t="n">
        <v>1279.448</v>
      </c>
      <c r="S9" s="0" t="n">
        <v>6243.182</v>
      </c>
      <c r="T9" s="0" t="n">
        <v>660.373</v>
      </c>
      <c r="U9" s="0" t="n">
        <v>0</v>
      </c>
      <c r="AA9" s="0" t="s">
        <v>18</v>
      </c>
      <c r="AB9" s="0" t="s">
        <v>14</v>
      </c>
      <c r="AC9" s="0" t="n">
        <v>7874424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153</v>
      </c>
    </row>
    <row r="3" customFormat="false" ht="15" hidden="false" customHeight="false" outlineLevel="0" collapsed="false">
      <c r="A3" s="0" t="s">
        <v>76</v>
      </c>
      <c r="B3" s="3" t="n">
        <v>660.373</v>
      </c>
    </row>
    <row r="4" customFormat="false" ht="15" hidden="false" customHeight="false" outlineLevel="0" collapsed="false">
      <c r="A4" s="0" t="s">
        <v>77</v>
      </c>
      <c r="B4" s="3" t="n">
        <v>-5783.12</v>
      </c>
    </row>
    <row r="5" customFormat="false" ht="15" hidden="false" customHeight="false" outlineLevel="0" collapsed="false">
      <c r="A5" s="0" t="s">
        <v>78</v>
      </c>
      <c r="B5" s="3" t="n">
        <v>-840.12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9722.494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7.8472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2</v>
      </c>
      <c r="D13" s="3" t="n">
        <v>-14</v>
      </c>
      <c r="E13" s="3" t="n">
        <v>-6</v>
      </c>
      <c r="F13" s="3" t="n">
        <v>2</v>
      </c>
      <c r="G13" s="3" t="n">
        <v>3</v>
      </c>
      <c r="H13" s="3" t="n">
        <v>3</v>
      </c>
      <c r="I13" s="3" t="n">
        <v>2.5</v>
      </c>
      <c r="J13" s="3" t="n">
        <v>2</v>
      </c>
      <c r="K13" s="3" t="n">
        <v>2</v>
      </c>
      <c r="L13" s="3" t="n">
        <v>1.5</v>
      </c>
    </row>
    <row r="14" customFormat="false" ht="15" hidden="false" customHeight="false" outlineLevel="0" collapsed="false">
      <c r="A14" s="0" t="s">
        <v>97</v>
      </c>
      <c r="C14" s="3" t="n">
        <v>19</v>
      </c>
      <c r="D14" s="3" t="n">
        <v>11</v>
      </c>
      <c r="E14" s="3" t="n">
        <v>10</v>
      </c>
      <c r="F14" s="3" t="n">
        <v>13</v>
      </c>
      <c r="G14" s="3" t="n">
        <v>15</v>
      </c>
      <c r="H14" s="3" t="n">
        <v>15.5</v>
      </c>
      <c r="I14" s="3" t="n">
        <v>15.5</v>
      </c>
      <c r="J14" s="3" t="n">
        <v>15.5</v>
      </c>
      <c r="K14" s="3" t="n">
        <v>15.5</v>
      </c>
      <c r="L14" s="3" t="n">
        <v>15.5</v>
      </c>
    </row>
    <row r="15" customFormat="false" ht="15" hidden="false" customHeight="false" outlineLevel="0" collapsed="false">
      <c r="A15" s="0" t="s">
        <v>98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99</v>
      </c>
      <c r="C16" s="3" t="n">
        <v>7</v>
      </c>
      <c r="D16" s="3" t="n">
        <v>8.2</v>
      </c>
      <c r="E16" s="3" t="n">
        <v>8.5</v>
      </c>
      <c r="F16" s="3" t="n">
        <v>8</v>
      </c>
      <c r="G16" s="3" t="n">
        <v>7.4</v>
      </c>
      <c r="H16" s="3" t="n">
        <v>6.9</v>
      </c>
      <c r="I16" s="3" t="n">
        <v>6.6</v>
      </c>
      <c r="J16" s="3" t="n">
        <v>6.5</v>
      </c>
      <c r="K16" s="3" t="n">
        <v>6.5</v>
      </c>
      <c r="L16" s="3" t="n">
        <v>6.5</v>
      </c>
    </row>
    <row r="17" customFormat="false" ht="15" hidden="false" customHeight="false" outlineLevel="0" collapsed="false">
      <c r="A17" s="0" t="s">
        <v>100</v>
      </c>
      <c r="C17" s="3" t="n">
        <v>5.7</v>
      </c>
      <c r="D17" s="3" t="n">
        <v>7.2</v>
      </c>
      <c r="E17" s="3" t="n">
        <v>8</v>
      </c>
      <c r="F17" s="3" t="n">
        <v>8.3</v>
      </c>
      <c r="G17" s="3" t="n">
        <v>8.3</v>
      </c>
      <c r="H17" s="3" t="n">
        <v>8.2</v>
      </c>
      <c r="I17" s="3" t="n">
        <v>8</v>
      </c>
      <c r="J17" s="3" t="n">
        <v>7.8</v>
      </c>
      <c r="K17" s="3" t="n">
        <v>7.8</v>
      </c>
      <c r="L17" s="3" t="n">
        <v>7.8</v>
      </c>
    </row>
    <row r="18" customFormat="false" ht="15" hidden="false" customHeight="false" outlineLevel="0" collapsed="false">
      <c r="A18" s="0" t="s">
        <v>101</v>
      </c>
      <c r="C18" s="3" t="n">
        <v>17.5</v>
      </c>
      <c r="D18" s="3" t="n">
        <v>19.5</v>
      </c>
      <c r="E18" s="3" t="n">
        <v>21</v>
      </c>
      <c r="F18" s="3" t="n">
        <v>17.5</v>
      </c>
      <c r="G18" s="3" t="n">
        <v>11.5</v>
      </c>
      <c r="H18" s="3" t="n">
        <v>9</v>
      </c>
      <c r="I18" s="3" t="n">
        <v>8</v>
      </c>
      <c r="J18" s="3" t="n">
        <v>8</v>
      </c>
      <c r="K18" s="3" t="n">
        <v>8</v>
      </c>
      <c r="L18" s="3" t="n">
        <v>8</v>
      </c>
    </row>
    <row r="19" customFormat="false" ht="15" hidden="false" customHeight="false" outlineLevel="0" collapsed="false">
      <c r="A19" s="0" t="s">
        <v>102</v>
      </c>
      <c r="C19" s="3" t="n">
        <v>3</v>
      </c>
      <c r="D19" s="3" t="n">
        <v>3</v>
      </c>
      <c r="E19" s="3" t="n">
        <v>3</v>
      </c>
      <c r="F19" s="3" t="n">
        <v>3</v>
      </c>
      <c r="G19" s="3" t="n">
        <v>3</v>
      </c>
      <c r="H19" s="3" t="n">
        <v>3</v>
      </c>
      <c r="I19" s="3" t="n">
        <v>3</v>
      </c>
      <c r="J19" s="3" t="n">
        <v>3</v>
      </c>
      <c r="K19" s="3" t="n">
        <v>3</v>
      </c>
      <c r="L19" s="3" t="n">
        <v>3</v>
      </c>
    </row>
    <row r="20" customFormat="false" ht="15" hidden="false" customHeight="false" outlineLevel="0" collapsed="false">
      <c r="A20" s="0" t="s">
        <v>103</v>
      </c>
      <c r="B20" s="3" t="n">
        <v>9</v>
      </c>
    </row>
    <row r="21" customFormat="false" ht="15" hidden="false" customHeight="false" outlineLevel="0" collapsed="false">
      <c r="A21" s="0" t="s">
        <v>104</v>
      </c>
      <c r="B21" s="3" t="n">
        <v>1.5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5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3</v>
      </c>
      <c r="D27" s="3" t="n">
        <v>-8</v>
      </c>
      <c r="E27" s="3" t="n">
        <v>-3</v>
      </c>
      <c r="F27" s="3" t="n">
        <v>4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</v>
      </c>
    </row>
    <row r="28" customFormat="false" ht="15" hidden="false" customHeight="false" outlineLevel="0" collapsed="false">
      <c r="A28" s="0" t="s">
        <v>97</v>
      </c>
      <c r="C28" s="3" t="n">
        <v>20</v>
      </c>
      <c r="D28" s="3" t="n">
        <v>15.5</v>
      </c>
      <c r="E28" s="3" t="n">
        <v>15</v>
      </c>
      <c r="F28" s="3" t="n">
        <v>17</v>
      </c>
      <c r="G28" s="3" t="n">
        <v>18.5</v>
      </c>
      <c r="H28" s="3" t="n">
        <v>19</v>
      </c>
      <c r="I28" s="3" t="n">
        <v>19</v>
      </c>
      <c r="J28" s="3" t="n">
        <v>19</v>
      </c>
      <c r="K28" s="3" t="n">
        <v>19</v>
      </c>
      <c r="L28" s="3" t="n">
        <v>19</v>
      </c>
    </row>
    <row r="29" customFormat="false" ht="15" hidden="false" customHeight="false" outlineLevel="0" collapsed="false">
      <c r="A29" s="0" t="s">
        <v>98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99</v>
      </c>
      <c r="C30" s="3" t="n">
        <v>6.9</v>
      </c>
      <c r="D30" s="3" t="n">
        <v>7.5</v>
      </c>
      <c r="E30" s="3" t="n">
        <v>7.6</v>
      </c>
      <c r="F30" s="3" t="n">
        <v>7.2</v>
      </c>
      <c r="G30" s="3" t="n">
        <v>6.6</v>
      </c>
      <c r="H30" s="3" t="n">
        <v>6</v>
      </c>
      <c r="I30" s="3" t="n">
        <v>5.7</v>
      </c>
      <c r="J30" s="3" t="n">
        <v>5.5</v>
      </c>
      <c r="K30" s="3" t="n">
        <v>5.5</v>
      </c>
      <c r="L30" s="3" t="n">
        <v>5.5</v>
      </c>
    </row>
    <row r="31" customFormat="false" ht="15" hidden="false" customHeight="false" outlineLevel="0" collapsed="false">
      <c r="A31" s="0" t="s">
        <v>100</v>
      </c>
      <c r="C31" s="3" t="n">
        <v>5.6</v>
      </c>
      <c r="D31" s="3" t="n">
        <v>6.6</v>
      </c>
      <c r="E31" s="3" t="n">
        <v>7.2</v>
      </c>
      <c r="F31" s="3" t="n">
        <v>7.5</v>
      </c>
      <c r="G31" s="3" t="n">
        <v>7.6</v>
      </c>
      <c r="H31" s="3" t="n">
        <v>7.5</v>
      </c>
      <c r="I31" s="3" t="n">
        <v>7.4</v>
      </c>
      <c r="J31" s="3" t="n">
        <v>7.3</v>
      </c>
      <c r="K31" s="3" t="n">
        <v>7.3</v>
      </c>
      <c r="L31" s="3" t="n">
        <v>7.3</v>
      </c>
    </row>
    <row r="32" customFormat="false" ht="15" hidden="false" customHeight="false" outlineLevel="0" collapsed="false">
      <c r="A32" s="0" t="s">
        <v>101</v>
      </c>
      <c r="C32" s="3" t="n">
        <v>17.3</v>
      </c>
      <c r="D32" s="3" t="n">
        <v>18</v>
      </c>
      <c r="E32" s="3" t="n">
        <v>19</v>
      </c>
      <c r="F32" s="3" t="n">
        <v>16</v>
      </c>
      <c r="G32" s="3" t="n">
        <v>10.5</v>
      </c>
      <c r="H32" s="3" t="n">
        <v>8.5</v>
      </c>
      <c r="I32" s="3" t="n">
        <v>8</v>
      </c>
      <c r="J32" s="3" t="n">
        <v>8</v>
      </c>
      <c r="K32" s="3" t="n">
        <v>8</v>
      </c>
      <c r="L32" s="3" t="n">
        <v>8</v>
      </c>
    </row>
    <row r="33" customFormat="false" ht="15" hidden="false" customHeight="false" outlineLevel="0" collapsed="false">
      <c r="A33" s="0" t="s">
        <v>102</v>
      </c>
      <c r="C33" s="3" t="n">
        <v>3</v>
      </c>
      <c r="D33" s="3" t="n">
        <v>3</v>
      </c>
      <c r="E33" s="3" t="n">
        <v>3</v>
      </c>
      <c r="F33" s="3" t="n">
        <v>3</v>
      </c>
      <c r="G33" s="3" t="n">
        <v>3</v>
      </c>
      <c r="H33" s="3" t="n">
        <v>3</v>
      </c>
      <c r="I33" s="3" t="n">
        <v>3</v>
      </c>
      <c r="J33" s="3" t="n">
        <v>3</v>
      </c>
      <c r="K33" s="3" t="n">
        <v>3</v>
      </c>
      <c r="L33" s="3" t="n">
        <v>3</v>
      </c>
    </row>
    <row r="34" customFormat="false" ht="15" hidden="false" customHeight="false" outlineLevel="0" collapsed="false">
      <c r="A34" s="0" t="s">
        <v>103</v>
      </c>
      <c r="B34" s="3" t="n">
        <v>9</v>
      </c>
    </row>
    <row r="35" customFormat="false" ht="15" hidden="false" customHeight="false" outlineLevel="0" collapsed="false">
      <c r="A35" s="0" t="s">
        <v>104</v>
      </c>
      <c r="B35" s="3" t="n">
        <v>2</v>
      </c>
    </row>
    <row r="36" customFormat="false" ht="15" hidden="false" customHeight="false" outlineLevel="0" collapsed="false">
      <c r="A36" s="0" t="s">
        <v>105</v>
      </c>
      <c r="B36" s="3" t="n">
        <v>12</v>
      </c>
    </row>
    <row r="37" customFormat="false" ht="15" hidden="false" customHeight="false" outlineLevel="0" collapsed="false">
      <c r="A37" s="0" t="s">
        <v>106</v>
      </c>
      <c r="B37" s="3" t="n">
        <v>5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4</v>
      </c>
      <c r="D41" s="3" t="n">
        <v>-3</v>
      </c>
      <c r="E41" s="3" t="n">
        <v>1</v>
      </c>
      <c r="F41" s="3" t="n">
        <v>5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97</v>
      </c>
      <c r="C42" s="3" t="n">
        <v>21</v>
      </c>
      <c r="D42" s="3" t="n">
        <v>19</v>
      </c>
      <c r="E42" s="3" t="n">
        <v>19.5</v>
      </c>
      <c r="F42" s="3" t="n">
        <v>21</v>
      </c>
      <c r="G42" s="3" t="n">
        <v>22.5</v>
      </c>
      <c r="H42" s="3" t="n">
        <v>23</v>
      </c>
      <c r="I42" s="3" t="n">
        <v>23</v>
      </c>
      <c r="J42" s="3" t="n">
        <v>23</v>
      </c>
      <c r="K42" s="3" t="n">
        <v>23</v>
      </c>
      <c r="L42" s="3" t="n">
        <v>23</v>
      </c>
    </row>
    <row r="43" customFormat="false" ht="15" hidden="false" customHeight="false" outlineLevel="0" collapsed="false">
      <c r="A43" s="0" t="s">
        <v>98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99</v>
      </c>
      <c r="C44" s="3" t="n">
        <v>6.9</v>
      </c>
      <c r="D44" s="3" t="n">
        <v>7.3</v>
      </c>
      <c r="E44" s="3" t="n">
        <v>7.2</v>
      </c>
      <c r="F44" s="3" t="n">
        <v>6.6</v>
      </c>
      <c r="G44" s="3" t="n">
        <v>5.9</v>
      </c>
      <c r="H44" s="3" t="n">
        <v>5.3</v>
      </c>
      <c r="I44" s="3" t="n">
        <v>4.8</v>
      </c>
      <c r="J44" s="3" t="n">
        <v>4.5</v>
      </c>
      <c r="K44" s="3" t="n">
        <v>4.5</v>
      </c>
      <c r="L44" s="3" t="n">
        <v>4.5</v>
      </c>
    </row>
    <row r="45" customFormat="false" ht="15" hidden="false" customHeight="false" outlineLevel="0" collapsed="false">
      <c r="A45" s="0" t="s">
        <v>100</v>
      </c>
      <c r="C45" s="3" t="n">
        <v>5.6</v>
      </c>
      <c r="D45" s="3" t="n">
        <v>6.4</v>
      </c>
      <c r="E45" s="3" t="n">
        <v>6.9</v>
      </c>
      <c r="F45" s="3" t="n">
        <v>7.1</v>
      </c>
      <c r="G45" s="3" t="n">
        <v>7.2</v>
      </c>
      <c r="H45" s="3" t="n">
        <v>7.1</v>
      </c>
      <c r="I45" s="3" t="n">
        <v>7</v>
      </c>
      <c r="J45" s="3" t="n">
        <v>7</v>
      </c>
      <c r="K45" s="3" t="n">
        <v>7</v>
      </c>
      <c r="L45" s="3" t="n">
        <v>7</v>
      </c>
    </row>
    <row r="46" customFormat="false" ht="15" hidden="false" customHeight="false" outlineLevel="0" collapsed="false">
      <c r="A46" s="0" t="s">
        <v>101</v>
      </c>
      <c r="C46" s="3" t="n">
        <v>17</v>
      </c>
      <c r="D46" s="3" t="n">
        <v>17</v>
      </c>
      <c r="E46" s="3" t="n">
        <v>17.5</v>
      </c>
      <c r="F46" s="3" t="n">
        <v>14.5</v>
      </c>
      <c r="G46" s="3" t="n">
        <v>9.5</v>
      </c>
      <c r="H46" s="3" t="n">
        <v>8</v>
      </c>
      <c r="I46" s="3" t="n">
        <v>7.5</v>
      </c>
      <c r="J46" s="3" t="n">
        <v>7.5</v>
      </c>
      <c r="K46" s="3" t="n">
        <v>7.5</v>
      </c>
      <c r="L46" s="3" t="n">
        <v>7.5</v>
      </c>
    </row>
    <row r="47" customFormat="false" ht="15" hidden="false" customHeight="false" outlineLevel="0" collapsed="false">
      <c r="A47" s="0" t="s">
        <v>102</v>
      </c>
      <c r="C47" s="3" t="n">
        <v>3</v>
      </c>
      <c r="D47" s="3" t="n">
        <v>3</v>
      </c>
      <c r="E47" s="3" t="n">
        <v>3</v>
      </c>
      <c r="F47" s="3" t="n">
        <v>3</v>
      </c>
      <c r="G47" s="3" t="n">
        <v>3</v>
      </c>
      <c r="H47" s="3" t="n">
        <v>3</v>
      </c>
      <c r="I47" s="3" t="n">
        <v>3</v>
      </c>
      <c r="J47" s="3" t="n">
        <v>3</v>
      </c>
      <c r="K47" s="3" t="n">
        <v>3</v>
      </c>
      <c r="L47" s="3" t="n">
        <v>3</v>
      </c>
    </row>
    <row r="48" customFormat="false" ht="15" hidden="false" customHeight="false" outlineLevel="0" collapsed="false">
      <c r="A48" s="0" t="s">
        <v>103</v>
      </c>
      <c r="B48" s="3" t="n">
        <v>9</v>
      </c>
    </row>
    <row r="49" customFormat="false" ht="15" hidden="false" customHeight="false" outlineLevel="0" collapsed="false">
      <c r="A49" s="0" t="s">
        <v>104</v>
      </c>
      <c r="B49" s="3" t="n">
        <v>2.5</v>
      </c>
    </row>
    <row r="50" customFormat="false" ht="15" hidden="false" customHeight="false" outlineLevel="0" collapsed="false">
      <c r="A50" s="0" t="s">
        <v>105</v>
      </c>
      <c r="B50" s="3" t="n">
        <v>12</v>
      </c>
    </row>
    <row r="51" customFormat="false" ht="15" hidden="false" customHeight="false" outlineLevel="0" collapsed="false">
      <c r="A51" s="0" t="s">
        <v>106</v>
      </c>
      <c r="B51" s="3" t="n">
        <v>5</v>
      </c>
    </row>
    <row r="52" customFormat="false" ht="15" hidden="false" customHeight="false" outlineLevel="0" collapsed="false">
      <c r="A52" s="0" t="s">
        <v>107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2</v>
      </c>
      <c r="D5" s="4" t="n">
        <f aca="false">Assumptions!D13</f>
        <v>-14</v>
      </c>
      <c r="E5" s="4" t="n">
        <f aca="false">Assumptions!E13</f>
        <v>-6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9722.494</v>
      </c>
      <c r="C6" s="0" t="n">
        <f aca="false">B6*(1+C5/100)</f>
        <v>9916.94388</v>
      </c>
      <c r="D6" s="0" t="n">
        <f aca="false">C6*(1+D5/100)</f>
        <v>8528.5717368</v>
      </c>
      <c r="E6" s="0" t="n">
        <f aca="false">D6*(1+E5/100)</f>
        <v>8016.857432592</v>
      </c>
      <c r="F6" s="0" t="n">
        <f aca="false">E6*(1+F5/100)</f>
        <v>8177.19458124384</v>
      </c>
      <c r="G6" s="0" t="n">
        <f aca="false">F6*(1+G5/100)</f>
        <v>8422.51041868116</v>
      </c>
      <c r="H6" s="0" t="n">
        <f aca="false">G6*(1+H5/100)</f>
        <v>8675.18573124159</v>
      </c>
      <c r="I6" s="0" t="n">
        <f aca="false">H6*(1+I5/100)</f>
        <v>8892.06537452263</v>
      </c>
      <c r="J6" s="0" t="n">
        <f aca="false">I6*(1+J5/100)</f>
        <v>9069.90668201308</v>
      </c>
      <c r="K6" s="0" t="n">
        <f aca="false">J6*(1+K5/100)</f>
        <v>9251.30481565334</v>
      </c>
      <c r="L6" s="0" t="n">
        <f aca="false">K6*(1+L5/100)</f>
        <v>9390.07438788814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19</v>
      </c>
      <c r="D7" s="4" t="n">
        <f aca="false">Assumptions!D14</f>
        <v>11</v>
      </c>
      <c r="E7" s="4" t="n">
        <f aca="false">Assumptions!E14</f>
        <v>10</v>
      </c>
      <c r="F7" s="4" t="n">
        <f aca="false">Assumptions!F14</f>
        <v>13</v>
      </c>
      <c r="G7" s="4" t="n">
        <f aca="false">Assumptions!G14</f>
        <v>15</v>
      </c>
      <c r="H7" s="4" t="n">
        <f aca="false">Assumptions!H14</f>
        <v>15.5</v>
      </c>
      <c r="I7" s="4" t="n">
        <f aca="false">Assumptions!I14</f>
        <v>15.5</v>
      </c>
      <c r="J7" s="4" t="n">
        <f aca="false">Assumptions!J14</f>
        <v>15.5</v>
      </c>
      <c r="K7" s="4" t="n">
        <f aca="false">Assumptions!K14</f>
        <v>15.5</v>
      </c>
      <c r="L7" s="4" t="n">
        <f aca="false">Assumptions!L14</f>
        <v>15.5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1884.2193372</v>
      </c>
      <c r="D8" s="0" t="n">
        <f aca="false">D6*D7/100</f>
        <v>938.142891048</v>
      </c>
      <c r="E8" s="0" t="n">
        <f aca="false">E6*E7/100</f>
        <v>801.6857432592</v>
      </c>
      <c r="F8" s="0" t="n">
        <f aca="false">F6*F7/100</f>
        <v>1063.0352955617</v>
      </c>
      <c r="G8" s="0" t="n">
        <f aca="false">G6*G7/100</f>
        <v>1263.37656280217</v>
      </c>
      <c r="H8" s="0" t="n">
        <f aca="false">H6*H7/100</f>
        <v>1344.65378834245</v>
      </c>
      <c r="I8" s="0" t="n">
        <f aca="false">I6*I7/100</f>
        <v>1378.27013305101</v>
      </c>
      <c r="J8" s="0" t="n">
        <f aca="false">J6*J7/100</f>
        <v>1405.83553571203</v>
      </c>
      <c r="K8" s="0" t="n">
        <f aca="false">K6*K7/100</f>
        <v>1433.95224642627</v>
      </c>
      <c r="L8" s="0" t="n">
        <f aca="false">L6*L7/100</f>
        <v>1455.46153012266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1190.0332656</v>
      </c>
      <c r="D11" s="0" t="n">
        <f aca="false">D8+D10+D24</f>
        <v>238.8000086304</v>
      </c>
      <c r="E11" s="0" t="n">
        <f aca="false">E8+E10+E24</f>
        <v>120.25286148888</v>
      </c>
      <c r="F11" s="0" t="n">
        <f aca="false">F8+F10+F24</f>
        <v>408.859729062192</v>
      </c>
      <c r="G11" s="0" t="n">
        <f aca="false">G8+G10+G24</f>
        <v>640.110791819768</v>
      </c>
      <c r="H11" s="0" t="n">
        <f aca="false">H8+H10+H24</f>
        <v>746.065972886777</v>
      </c>
      <c r="I11" s="0" t="n">
        <f aca="false">I8+I10+I24</f>
        <v>791.393818332514</v>
      </c>
      <c r="J11" s="0" t="n">
        <f aca="false">J8+J10+J24</f>
        <v>816.291601381178</v>
      </c>
      <c r="K11" s="0" t="n">
        <f aca="false">K8+K10+K24</f>
        <v>832.617433408801</v>
      </c>
      <c r="L11" s="0" t="n">
        <f aca="false">L8+L10+L24</f>
        <v>845.106694909933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-565.26580116</v>
      </c>
      <c r="D12" s="4" t="n">
        <f aca="false">-D6*Assumptions!D17/100</f>
        <v>-614.0571650496</v>
      </c>
      <c r="E12" s="4" t="n">
        <f aca="false">-E6*Assumptions!E17/100</f>
        <v>-641.34859460736</v>
      </c>
      <c r="F12" s="4" t="n">
        <f aca="false">-F6*Assumptions!F17/100</f>
        <v>-678.707150243239</v>
      </c>
      <c r="G12" s="4" t="n">
        <f aca="false">-G6*Assumptions!G17/100</f>
        <v>-699.068364750536</v>
      </c>
      <c r="H12" s="4" t="n">
        <f aca="false">-H6*Assumptions!H17/100</f>
        <v>-711.36522996181</v>
      </c>
      <c r="I12" s="4" t="n">
        <f aca="false">-I6*Assumptions!I17/100</f>
        <v>-711.36522996181</v>
      </c>
      <c r="J12" s="4" t="n">
        <f aca="false">-J6*Assumptions!J17/100</f>
        <v>-707.45272119702</v>
      </c>
      <c r="K12" s="4" t="n">
        <f aca="false">-K6*Assumptions!K17/100</f>
        <v>-721.601775620961</v>
      </c>
      <c r="L12" s="4" t="n">
        <f aca="false">-L6*Assumptions!L17/100</f>
        <v>-732.425802255275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624.76746444</v>
      </c>
      <c r="D13" s="0" t="n">
        <f aca="false">D11+D12</f>
        <v>-375.2571564192</v>
      </c>
      <c r="E13" s="0" t="n">
        <f aca="false">E11+E12</f>
        <v>-521.09573311848</v>
      </c>
      <c r="F13" s="0" t="n">
        <f aca="false">F11+F12</f>
        <v>-269.847421181047</v>
      </c>
      <c r="G13" s="0" t="n">
        <f aca="false">G11+G12</f>
        <v>-58.9575729307683</v>
      </c>
      <c r="H13" s="0" t="n">
        <f aca="false">H11+H12</f>
        <v>34.7007429249662</v>
      </c>
      <c r="I13" s="0" t="n">
        <f aca="false">I11+I12</f>
        <v>80.0285883707037</v>
      </c>
      <c r="J13" s="0" t="n">
        <f aca="false">J11+J12</f>
        <v>108.838880184157</v>
      </c>
      <c r="K13" s="0" t="n">
        <f aca="false">K11+K12</f>
        <v>111.01565778784</v>
      </c>
      <c r="L13" s="0" t="n">
        <f aca="false">L11+L12</f>
        <v>112.680892654658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3</v>
      </c>
      <c r="D14" s="4" t="n">
        <f aca="false">Assumptions!D19</f>
        <v>3</v>
      </c>
      <c r="E14" s="4" t="n">
        <f aca="false">Assumptions!E19</f>
        <v>3</v>
      </c>
      <c r="F14" s="4" t="n">
        <f aca="false">Assumptions!F19</f>
        <v>3</v>
      </c>
      <c r="G14" s="4" t="n">
        <f aca="false">Assumptions!G19</f>
        <v>3</v>
      </c>
      <c r="H14" s="4" t="n">
        <f aca="false">Assumptions!H19</f>
        <v>3</v>
      </c>
      <c r="I14" s="4" t="n">
        <f aca="false">Assumptions!I19</f>
        <v>3</v>
      </c>
      <c r="J14" s="4" t="n">
        <f aca="false">Assumptions!J19</f>
        <v>3</v>
      </c>
      <c r="K14" s="4" t="n">
        <f aca="false">Assumptions!K19</f>
        <v>3</v>
      </c>
      <c r="L14" s="4" t="n">
        <f aca="false">Assumptions!L19</f>
        <v>3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606.0244405068</v>
      </c>
      <c r="D15" s="0" t="n">
        <f aca="false">D13-MAX(0,D13)*D14/100</f>
        <v>-375.2571564192</v>
      </c>
      <c r="E15" s="0" t="n">
        <f aca="false">E13-MAX(0,E13)*E14/100</f>
        <v>-521.09573311848</v>
      </c>
      <c r="F15" s="0" t="n">
        <f aca="false">F13-MAX(0,F13)*F14/100</f>
        <v>-269.847421181047</v>
      </c>
      <c r="G15" s="0" t="n">
        <f aca="false">G13-MAX(0,G13)*G14/100</f>
        <v>-58.9575729307683</v>
      </c>
      <c r="H15" s="0" t="n">
        <f aca="false">H13-MAX(0,H13)*H14/100</f>
        <v>33.6597206372172</v>
      </c>
      <c r="I15" s="0" t="n">
        <f aca="false">I13-MAX(0,I13)*I14/100</f>
        <v>77.6277307195826</v>
      </c>
      <c r="J15" s="0" t="n">
        <f aca="false">J13-MAX(0,J13)*J14/100</f>
        <v>105.573713778632</v>
      </c>
      <c r="K15" s="0" t="n">
        <f aca="false">K13-MAX(0,K13)*K14/100</f>
        <v>107.685188054205</v>
      </c>
      <c r="L15" s="0" t="n">
        <f aca="false">L13-MAX(0,L13)*L14/100</f>
        <v>109.300465875018</v>
      </c>
    </row>
    <row r="16" customFormat="false" ht="15" hidden="false" customHeight="false" outlineLevel="0" collapsed="false">
      <c r="A16" s="0" t="s">
        <v>118</v>
      </c>
      <c r="C16" s="0" t="n">
        <f aca="false">-C12</f>
        <v>565.26580116</v>
      </c>
      <c r="D16" s="0" t="n">
        <f aca="false">-D12</f>
        <v>614.0571650496</v>
      </c>
      <c r="E16" s="0" t="n">
        <f aca="false">-E12</f>
        <v>641.34859460736</v>
      </c>
      <c r="F16" s="0" t="n">
        <f aca="false">-F12</f>
        <v>678.707150243239</v>
      </c>
      <c r="G16" s="0" t="n">
        <f aca="false">-G12</f>
        <v>699.068364750536</v>
      </c>
      <c r="H16" s="0" t="n">
        <f aca="false">-H12</f>
        <v>711.36522996181</v>
      </c>
      <c r="I16" s="0" t="n">
        <f aca="false">-I12</f>
        <v>711.36522996181</v>
      </c>
      <c r="J16" s="0" t="n">
        <f aca="false">-J12</f>
        <v>707.45272119702</v>
      </c>
      <c r="K16" s="0" t="n">
        <f aca="false">-K12</f>
        <v>721.601775620961</v>
      </c>
      <c r="L16" s="0" t="n">
        <f aca="false">-L12</f>
        <v>732.425802255275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-1735.465179</v>
      </c>
      <c r="D17" s="4" t="n">
        <f aca="false">-D6*Assumptions!D18/100</f>
        <v>-1663.071488676</v>
      </c>
      <c r="E17" s="4" t="n">
        <f aca="false">-E6*Assumptions!E18/100</f>
        <v>-1683.54006084432</v>
      </c>
      <c r="F17" s="4" t="n">
        <f aca="false">-F6*Assumptions!F18/100</f>
        <v>-1431.00905171767</v>
      </c>
      <c r="G17" s="4" t="n">
        <f aca="false">-G6*Assumptions!G18/100</f>
        <v>-968.588698148333</v>
      </c>
      <c r="H17" s="4" t="n">
        <f aca="false">-H6*Assumptions!H18/100</f>
        <v>-780.766715811743</v>
      </c>
      <c r="I17" s="4" t="n">
        <f aca="false">-I6*Assumptions!I18/100</f>
        <v>-711.36522996181</v>
      </c>
      <c r="J17" s="4" t="n">
        <f aca="false">-J6*Assumptions!J18/100</f>
        <v>-725.592534561047</v>
      </c>
      <c r="K17" s="4" t="n">
        <f aca="false">-K6*Assumptions!K18/100</f>
        <v>-740.104385252268</v>
      </c>
      <c r="L17" s="4" t="n">
        <f aca="false">-L6*Assumptions!L18/100</f>
        <v>-751.205951031052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9.72249400000001</v>
      </c>
      <c r="D18" s="4" t="n">
        <f aca="false">(D6-C6)*Assumptions!$B$23/100</f>
        <v>-69.41860716</v>
      </c>
      <c r="E18" s="4" t="n">
        <f aca="false">(E6-D6)*Assumptions!$B$23/100</f>
        <v>-25.5857152104</v>
      </c>
      <c r="F18" s="4" t="n">
        <f aca="false">(F6-E6)*Assumptions!$B$23/100</f>
        <v>8.016857432592</v>
      </c>
      <c r="G18" s="4" t="n">
        <f aca="false">(G6-F6)*Assumptions!$B$23/100</f>
        <v>12.2657918718658</v>
      </c>
      <c r="H18" s="4" t="n">
        <f aca="false">(H6-G6)*Assumptions!$B$23/100</f>
        <v>12.6337656280218</v>
      </c>
      <c r="I18" s="4" t="n">
        <f aca="false">(I6-H6)*Assumptions!$B$23/100</f>
        <v>10.843982164052</v>
      </c>
      <c r="J18" s="4" t="n">
        <f aca="false">(J6-I6)*Assumptions!$B$23/100</f>
        <v>8.89206537452265</v>
      </c>
      <c r="K18" s="4" t="n">
        <f aca="false">(K6-J6)*Assumptions!$B$23/100</f>
        <v>9.06990668201306</v>
      </c>
      <c r="L18" s="4" t="n">
        <f aca="false">(L6-K6)*Assumptions!$B$23/100</f>
        <v>6.93847861173999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-554.4524433332</v>
      </c>
      <c r="D19" s="0" t="n">
        <f aca="false">D15+D16+D17+D18</f>
        <v>-1493.6900872056</v>
      </c>
      <c r="E19" s="0" t="n">
        <f aca="false">E15+E16+E17+E18</f>
        <v>-1588.87291456584</v>
      </c>
      <c r="F19" s="0" t="n">
        <f aca="false">F15+F16+F17+F18</f>
        <v>-1014.13246522289</v>
      </c>
      <c r="G19" s="0" t="n">
        <f aca="false">G15+G16+G17+G18</f>
        <v>-316.212114456699</v>
      </c>
      <c r="H19" s="0" t="n">
        <f aca="false">H15+H16+H17+H18</f>
        <v>-23.1079995846938</v>
      </c>
      <c r="I19" s="0" t="n">
        <f aca="false">I15+I16+I17+I18</f>
        <v>88.4717128836346</v>
      </c>
      <c r="J19" s="0" t="n">
        <f aca="false">J15+J16+J17+J18</f>
        <v>96.3259657891289</v>
      </c>
      <c r="K19" s="0" t="n">
        <f aca="false">K15+K16+K17+K18</f>
        <v>98.2524851049112</v>
      </c>
      <c r="L19" s="0" t="n">
        <f aca="false">L15+L16+L17+L18</f>
        <v>97.4587957109818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-508.671966360734</v>
      </c>
      <c r="D21" s="0" t="n">
        <f aca="false">D19*D20</f>
        <v>-1257.20906254154</v>
      </c>
      <c r="E21" s="0" t="n">
        <f aca="false">E19*E20</f>
        <v>-1226.90141654422</v>
      </c>
      <c r="F21" s="0" t="n">
        <f aca="false">F19*F20</f>
        <v>-718.437005723592</v>
      </c>
      <c r="G21" s="0" t="n">
        <f aca="false">G19*G20</f>
        <v>-205.516177913174</v>
      </c>
      <c r="H21" s="0" t="n">
        <f aca="false">H19*H20</f>
        <v>-13.7785451418914</v>
      </c>
      <c r="I21" s="0" t="n">
        <f aca="false">I19*I20</f>
        <v>48.3970566472938</v>
      </c>
      <c r="J21" s="0" t="n">
        <f aca="false">J19*J20</f>
        <v>48.3427540864764</v>
      </c>
      <c r="K21" s="0" t="n">
        <f aca="false">K19*K20</f>
        <v>45.2381735488127</v>
      </c>
      <c r="L21" s="0" t="n">
        <f aca="false">L19*L20</f>
        <v>41.1676485353579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7</v>
      </c>
      <c r="D23" s="4" t="n">
        <f aca="false">Assumptions!D16</f>
        <v>8.2</v>
      </c>
      <c r="E23" s="4" t="n">
        <f aca="false">Assumptions!E16</f>
        <v>8.5</v>
      </c>
      <c r="F23" s="4" t="n">
        <f aca="false">Assumptions!F16</f>
        <v>8</v>
      </c>
      <c r="G23" s="4" t="n">
        <f aca="false">Assumptions!G16</f>
        <v>7.4</v>
      </c>
      <c r="H23" s="4" t="n">
        <f aca="false">Assumptions!H16</f>
        <v>6.9</v>
      </c>
      <c r="I23" s="4" t="n">
        <f aca="false">Assumptions!I16</f>
        <v>6.6</v>
      </c>
      <c r="J23" s="4" t="n">
        <f aca="false">Assumptions!J16</f>
        <v>6.5</v>
      </c>
      <c r="K23" s="4" t="n">
        <f aca="false">Assumptions!K16</f>
        <v>6.5</v>
      </c>
      <c r="L23" s="4" t="n">
        <f aca="false">Assumptions!L16</f>
        <v>6.5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-694.1860716</v>
      </c>
      <c r="D24" s="0" t="n">
        <f aca="false">-D6*D23/100</f>
        <v>-699.3428824176</v>
      </c>
      <c r="E24" s="0" t="n">
        <f aca="false">-E6*E23/100</f>
        <v>-681.43288177032</v>
      </c>
      <c r="F24" s="0" t="n">
        <f aca="false">-F6*F23/100</f>
        <v>-654.175566499507</v>
      </c>
      <c r="G24" s="0" t="n">
        <f aca="false">-G6*G23/100</f>
        <v>-623.265770982406</v>
      </c>
      <c r="H24" s="0" t="n">
        <f aca="false">-H6*H23/100</f>
        <v>-598.58781545567</v>
      </c>
      <c r="I24" s="0" t="n">
        <f aca="false">-I6*I23/100</f>
        <v>-586.876314718494</v>
      </c>
      <c r="J24" s="0" t="n">
        <f aca="false">-J6*J23/100</f>
        <v>-589.54393433085</v>
      </c>
      <c r="K24" s="0" t="n">
        <f aca="false">-K6*K23/100</f>
        <v>-601.334813017467</v>
      </c>
      <c r="L24" s="0" t="n">
        <f aca="false">-L6*L23/100</f>
        <v>-610.354835212729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-3747.3685414072</v>
      </c>
    </row>
    <row r="31" customFormat="false" ht="15" hidden="false" customHeight="false" outlineLevel="0" collapsed="false">
      <c r="A31" s="0" t="s">
        <v>127</v>
      </c>
      <c r="B31" s="0" t="n">
        <f aca="false">L19</f>
        <v>97.4587957109818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1318.94236862195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1169.50554853178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1169.50554853178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494.011782424295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-3253.35675898291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1689.64324101709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20.0779990110276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-0.868771248293937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20.0779990110276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732.745760345529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21.8357936054863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3</v>
      </c>
      <c r="D5" s="4" t="n">
        <f aca="false">Assumptions!D27</f>
        <v>-8</v>
      </c>
      <c r="E5" s="4" t="n">
        <f aca="false">Assumptions!E27</f>
        <v>-3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9722.494</v>
      </c>
      <c r="C6" s="0" t="n">
        <f aca="false">B6*(1+C5/100)</f>
        <v>10014.16882</v>
      </c>
      <c r="D6" s="0" t="n">
        <f aca="false">C6*(1+D5/100)</f>
        <v>9213.0353144</v>
      </c>
      <c r="E6" s="0" t="n">
        <f aca="false">D6*(1+E5/100)</f>
        <v>8936.644254968</v>
      </c>
      <c r="F6" s="0" t="n">
        <f aca="false">E6*(1+F5/100)</f>
        <v>9294.11002516672</v>
      </c>
      <c r="G6" s="0" t="n">
        <f aca="false">F6*(1+G5/100)</f>
        <v>9665.87442617339</v>
      </c>
      <c r="H6" s="0" t="n">
        <f aca="false">G6*(1+H5/100)</f>
        <v>10004.1800310895</v>
      </c>
      <c r="I6" s="0" t="n">
        <f aca="false">H6*(1+I5/100)</f>
        <v>10304.3054320221</v>
      </c>
      <c r="J6" s="0" t="n">
        <f aca="false">I6*(1+J5/100)</f>
        <v>10613.4345949828</v>
      </c>
      <c r="K6" s="0" t="n">
        <f aca="false">J6*(1+K5/100)</f>
        <v>10878.7704598574</v>
      </c>
      <c r="L6" s="0" t="n">
        <f aca="false">K6*(1+L5/100)</f>
        <v>11096.3458690545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20</v>
      </c>
      <c r="D7" s="4" t="n">
        <f aca="false">Assumptions!D28</f>
        <v>15.5</v>
      </c>
      <c r="E7" s="4" t="n">
        <f aca="false">Assumptions!E28</f>
        <v>15</v>
      </c>
      <c r="F7" s="4" t="n">
        <f aca="false">Assumptions!F28</f>
        <v>17</v>
      </c>
      <c r="G7" s="4" t="n">
        <f aca="false">Assumptions!G28</f>
        <v>18.5</v>
      </c>
      <c r="H7" s="4" t="n">
        <f aca="false">Assumptions!H28</f>
        <v>19</v>
      </c>
      <c r="I7" s="4" t="n">
        <f aca="false">Assumptions!I28</f>
        <v>19</v>
      </c>
      <c r="J7" s="4" t="n">
        <f aca="false">Assumptions!J28</f>
        <v>19</v>
      </c>
      <c r="K7" s="4" t="n">
        <f aca="false">Assumptions!K28</f>
        <v>19</v>
      </c>
      <c r="L7" s="4" t="n">
        <f aca="false">Assumptions!L28</f>
        <v>19</v>
      </c>
    </row>
    <row r="8" customFormat="false" ht="15" hidden="false" customHeight="false" outlineLevel="0" collapsed="false">
      <c r="A8" s="0" t="s">
        <v>44</v>
      </c>
      <c r="C8" s="0" t="n">
        <f aca="false">C6*C7/100</f>
        <v>2002.833764</v>
      </c>
      <c r="D8" s="0" t="n">
        <f aca="false">D6*D7/100</f>
        <v>1428.020473732</v>
      </c>
      <c r="E8" s="0" t="n">
        <f aca="false">E6*E7/100</f>
        <v>1340.4966382452</v>
      </c>
      <c r="F8" s="0" t="n">
        <f aca="false">F6*F7/100</f>
        <v>1579.99870427834</v>
      </c>
      <c r="G8" s="0" t="n">
        <f aca="false">G6*G7/100</f>
        <v>1788.18676884208</v>
      </c>
      <c r="H8" s="0" t="n">
        <f aca="false">H6*H7/100</f>
        <v>1900.794205907</v>
      </c>
      <c r="I8" s="0" t="n">
        <f aca="false">I6*I7/100</f>
        <v>1957.81803208421</v>
      </c>
      <c r="J8" s="0" t="n">
        <f aca="false">J6*J7/100</f>
        <v>2016.55257304673</v>
      </c>
      <c r="K8" s="0" t="n">
        <f aca="false">K6*K7/100</f>
        <v>2066.9663873729</v>
      </c>
      <c r="L8" s="0" t="n">
        <f aca="false">L6*L7/100</f>
        <v>2108.30571512036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1311.85611542</v>
      </c>
      <c r="D11" s="0" t="n">
        <f aca="false">D8+D10+D24</f>
        <v>737.042825152</v>
      </c>
      <c r="E11" s="0" t="n">
        <f aca="false">E8+E10+E24</f>
        <v>661.311674867632</v>
      </c>
      <c r="F11" s="0" t="n">
        <f aca="false">F8+F10+F24</f>
        <v>910.822782466339</v>
      </c>
      <c r="G11" s="0" t="n">
        <f aca="false">G8+G10+G24</f>
        <v>1150.23905671463</v>
      </c>
      <c r="H11" s="0" t="n">
        <f aca="false">H8+H10+H24</f>
        <v>1300.54340404163</v>
      </c>
      <c r="I11" s="0" t="n">
        <f aca="false">I8+I10+I24</f>
        <v>1370.47262245894</v>
      </c>
      <c r="J11" s="0" t="n">
        <f aca="false">J8+J10+J24</f>
        <v>1432.81367032268</v>
      </c>
      <c r="K11" s="0" t="n">
        <f aca="false">K8+K10+K24</f>
        <v>1468.63401208075</v>
      </c>
      <c r="L11" s="0" t="n">
        <f aca="false">L8+L10+L24</f>
        <v>1498.00669232236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-560.79345392</v>
      </c>
      <c r="D12" s="4" t="n">
        <f aca="false">-D6*Assumptions!D31/100</f>
        <v>-608.0603307504</v>
      </c>
      <c r="E12" s="4" t="n">
        <f aca="false">-E6*Assumptions!E31/100</f>
        <v>-643.438386357696</v>
      </c>
      <c r="F12" s="4" t="n">
        <f aca="false">-F6*Assumptions!F31/100</f>
        <v>-697.058251887504</v>
      </c>
      <c r="G12" s="4" t="n">
        <f aca="false">-G6*Assumptions!G31/100</f>
        <v>-734.606456389178</v>
      </c>
      <c r="H12" s="4" t="n">
        <f aca="false">-H6*Assumptions!H31/100</f>
        <v>-750.313502331709</v>
      </c>
      <c r="I12" s="4" t="n">
        <f aca="false">-I6*Assumptions!I31/100</f>
        <v>-762.518601969639</v>
      </c>
      <c r="J12" s="4" t="n">
        <f aca="false">-J6*Assumptions!J31/100</f>
        <v>-774.780725433745</v>
      </c>
      <c r="K12" s="4" t="n">
        <f aca="false">-K6*Assumptions!K31/100</f>
        <v>-794.150243569588</v>
      </c>
      <c r="L12" s="4" t="n">
        <f aca="false">-L6*Assumptions!L31/100</f>
        <v>-810.03324844098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751.0626615</v>
      </c>
      <c r="D13" s="0" t="n">
        <f aca="false">D11+D12</f>
        <v>128.9824944016</v>
      </c>
      <c r="E13" s="0" t="n">
        <f aca="false">E11+E12</f>
        <v>17.8732885099359</v>
      </c>
      <c r="F13" s="0" t="n">
        <f aca="false">F11+F12</f>
        <v>213.764530578834</v>
      </c>
      <c r="G13" s="0" t="n">
        <f aca="false">G11+G12</f>
        <v>415.632600325456</v>
      </c>
      <c r="H13" s="0" t="n">
        <f aca="false">H11+H12</f>
        <v>550.22990170992</v>
      </c>
      <c r="I13" s="0" t="n">
        <f aca="false">I11+I12</f>
        <v>607.954020489306</v>
      </c>
      <c r="J13" s="0" t="n">
        <f aca="false">J11+J12</f>
        <v>658.032944888934</v>
      </c>
      <c r="K13" s="0" t="n">
        <f aca="false">K11+K12</f>
        <v>674.483768511157</v>
      </c>
      <c r="L13" s="0" t="n">
        <f aca="false">L11+L12</f>
        <v>687.973443881381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3</v>
      </c>
      <c r="D14" s="4" t="n">
        <f aca="false">Assumptions!D33</f>
        <v>3</v>
      </c>
      <c r="E14" s="4" t="n">
        <f aca="false">Assumptions!E33</f>
        <v>3</v>
      </c>
      <c r="F14" s="4" t="n">
        <f aca="false">Assumptions!F33</f>
        <v>3</v>
      </c>
      <c r="G14" s="4" t="n">
        <f aca="false">Assumptions!G33</f>
        <v>3</v>
      </c>
      <c r="H14" s="4" t="n">
        <f aca="false">Assumptions!H33</f>
        <v>3</v>
      </c>
      <c r="I14" s="4" t="n">
        <f aca="false">Assumptions!I33</f>
        <v>3</v>
      </c>
      <c r="J14" s="4" t="n">
        <f aca="false">Assumptions!J33</f>
        <v>3</v>
      </c>
      <c r="K14" s="4" t="n">
        <f aca="false">Assumptions!K33</f>
        <v>3</v>
      </c>
      <c r="L14" s="4" t="n">
        <f aca="false">Assumptions!L33</f>
        <v>3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728.530781655</v>
      </c>
      <c r="D15" s="0" t="n">
        <f aca="false">D13-MAX(0,D13)*D14/100</f>
        <v>125.113019569552</v>
      </c>
      <c r="E15" s="0" t="n">
        <f aca="false">E13-MAX(0,E13)*E14/100</f>
        <v>17.3370898546379</v>
      </c>
      <c r="F15" s="0" t="n">
        <f aca="false">F13-MAX(0,F13)*F14/100</f>
        <v>207.351594661469</v>
      </c>
      <c r="G15" s="0" t="n">
        <f aca="false">G13-MAX(0,G13)*G14/100</f>
        <v>403.163622315692</v>
      </c>
      <c r="H15" s="0" t="n">
        <f aca="false">H13-MAX(0,H13)*H14/100</f>
        <v>533.723004658623</v>
      </c>
      <c r="I15" s="0" t="n">
        <f aca="false">I13-MAX(0,I13)*I14/100</f>
        <v>589.715399874627</v>
      </c>
      <c r="J15" s="0" t="n">
        <f aca="false">J13-MAX(0,J13)*J14/100</f>
        <v>638.291956542266</v>
      </c>
      <c r="K15" s="0" t="n">
        <f aca="false">K13-MAX(0,K13)*K14/100</f>
        <v>654.249255455822</v>
      </c>
      <c r="L15" s="0" t="n">
        <f aca="false">L13-MAX(0,L13)*L14/100</f>
        <v>667.334240564939</v>
      </c>
    </row>
    <row r="16" customFormat="false" ht="15" hidden="false" customHeight="false" outlineLevel="0" collapsed="false">
      <c r="A16" s="0" t="s">
        <v>118</v>
      </c>
      <c r="C16" s="0" t="n">
        <f aca="false">-C12</f>
        <v>560.79345392</v>
      </c>
      <c r="D16" s="0" t="n">
        <f aca="false">-D12</f>
        <v>608.0603307504</v>
      </c>
      <c r="E16" s="0" t="n">
        <f aca="false">-E12</f>
        <v>643.438386357696</v>
      </c>
      <c r="F16" s="0" t="n">
        <f aca="false">-F12</f>
        <v>697.058251887504</v>
      </c>
      <c r="G16" s="0" t="n">
        <f aca="false">-G12</f>
        <v>734.606456389178</v>
      </c>
      <c r="H16" s="0" t="n">
        <f aca="false">-H12</f>
        <v>750.313502331709</v>
      </c>
      <c r="I16" s="0" t="n">
        <f aca="false">-I12</f>
        <v>762.518601969639</v>
      </c>
      <c r="J16" s="0" t="n">
        <f aca="false">-J12</f>
        <v>774.780725433745</v>
      </c>
      <c r="K16" s="0" t="n">
        <f aca="false">-K12</f>
        <v>794.150243569588</v>
      </c>
      <c r="L16" s="0" t="n">
        <f aca="false">-L12</f>
        <v>810.03324844098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-1732.45120586</v>
      </c>
      <c r="D17" s="4" t="n">
        <f aca="false">-D6*Assumptions!D32/100</f>
        <v>-1658.346356592</v>
      </c>
      <c r="E17" s="4" t="n">
        <f aca="false">-E6*Assumptions!E32/100</f>
        <v>-1697.96240844392</v>
      </c>
      <c r="F17" s="4" t="n">
        <f aca="false">-F6*Assumptions!F32/100</f>
        <v>-1487.05760402668</v>
      </c>
      <c r="G17" s="4" t="n">
        <f aca="false">-G6*Assumptions!G32/100</f>
        <v>-1014.91681474821</v>
      </c>
      <c r="H17" s="4" t="n">
        <f aca="false">-H6*Assumptions!H32/100</f>
        <v>-850.355302642604</v>
      </c>
      <c r="I17" s="4" t="n">
        <f aca="false">-I6*Assumptions!I32/100</f>
        <v>-824.344434561771</v>
      </c>
      <c r="J17" s="4" t="n">
        <f aca="false">-J6*Assumptions!J32/100</f>
        <v>-849.074767598625</v>
      </c>
      <c r="K17" s="4" t="n">
        <f aca="false">-K6*Assumptions!K32/100</f>
        <v>-870.30163678859</v>
      </c>
      <c r="L17" s="4" t="n">
        <f aca="false">-L6*Assumptions!L32/100</f>
        <v>-887.707669524362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14.583741</v>
      </c>
      <c r="D18" s="4" t="n">
        <f aca="false">(D6-C6)*Assumptions!$B$37/100</f>
        <v>-40.0566752799999</v>
      </c>
      <c r="E18" s="4" t="n">
        <f aca="false">(E6-D6)*Assumptions!$B$37/100</f>
        <v>-13.8195529716</v>
      </c>
      <c r="F18" s="4" t="n">
        <f aca="false">(F6-E6)*Assumptions!$B$37/100</f>
        <v>17.873288509936</v>
      </c>
      <c r="G18" s="4" t="n">
        <f aca="false">(G6-F6)*Assumptions!$B$37/100</f>
        <v>18.5882200503334</v>
      </c>
      <c r="H18" s="4" t="n">
        <f aca="false">(H6-G6)*Assumptions!$B$37/100</f>
        <v>16.9152802458034</v>
      </c>
      <c r="I18" s="4" t="n">
        <f aca="false">(I6-H6)*Assumptions!$B$37/100</f>
        <v>15.0062700466342</v>
      </c>
      <c r="J18" s="4" t="n">
        <f aca="false">(J6-I6)*Assumptions!$B$37/100</f>
        <v>15.4564581480332</v>
      </c>
      <c r="K18" s="4" t="n">
        <f aca="false">(K6-J6)*Assumptions!$B$37/100</f>
        <v>13.2667932437284</v>
      </c>
      <c r="L18" s="4" t="n">
        <f aca="false">(L6-K6)*Assumptions!$B$37/100</f>
        <v>10.8787704598574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-428.543229285</v>
      </c>
      <c r="D19" s="0" t="n">
        <f aca="false">D15+D16+D17+D18</f>
        <v>-965.229681552048</v>
      </c>
      <c r="E19" s="0" t="n">
        <f aca="false">E15+E16+E17+E18</f>
        <v>-1051.00648520319</v>
      </c>
      <c r="F19" s="0" t="n">
        <f aca="false">F15+F16+F17+F18</f>
        <v>-564.774468967766</v>
      </c>
      <c r="G19" s="0" t="n">
        <f aca="false">G15+G16+G17+G18</f>
        <v>141.441484006997</v>
      </c>
      <c r="H19" s="0" t="n">
        <f aca="false">H15+H16+H17+H18</f>
        <v>450.596484593531</v>
      </c>
      <c r="I19" s="0" t="n">
        <f aca="false">I15+I16+I17+I18</f>
        <v>542.895837329128</v>
      </c>
      <c r="J19" s="0" t="n">
        <f aca="false">J15+J16+J17+J18</f>
        <v>579.454372525419</v>
      </c>
      <c r="K19" s="0" t="n">
        <f aca="false">K15+K16+K17+K18</f>
        <v>591.364655480549</v>
      </c>
      <c r="L19" s="0" t="n">
        <f aca="false">L15+L16+L17+L18</f>
        <v>600.538589941415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-393.158925949542</v>
      </c>
      <c r="D21" s="0" t="n">
        <f aca="false">D19*D20</f>
        <v>-812.414511869411</v>
      </c>
      <c r="E21" s="0" t="n">
        <f aca="false">E19*E20</f>
        <v>-811.569845310944</v>
      </c>
      <c r="F21" s="0" t="n">
        <f aca="false">F19*F20</f>
        <v>-400.100472382724</v>
      </c>
      <c r="G21" s="0" t="n">
        <f aca="false">G19*G20</f>
        <v>91.9272597807629</v>
      </c>
      <c r="H21" s="0" t="n">
        <f aca="false">H19*H20</f>
        <v>268.675961369757</v>
      </c>
      <c r="I21" s="0" t="n">
        <f aca="false">I19*I20</f>
        <v>296.98261440192</v>
      </c>
      <c r="J21" s="0" t="n">
        <f aca="false">J19*J20</f>
        <v>290.80861017945</v>
      </c>
      <c r="K21" s="0" t="n">
        <f aca="false">K19*K20</f>
        <v>272.280715207332</v>
      </c>
      <c r="L21" s="0" t="n">
        <f aca="false">L19*L20</f>
        <v>253.673990349152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6.9</v>
      </c>
      <c r="D23" s="4" t="n">
        <f aca="false">Assumptions!D30</f>
        <v>7.5</v>
      </c>
      <c r="E23" s="4" t="n">
        <f aca="false">Assumptions!E30</f>
        <v>7.6</v>
      </c>
      <c r="F23" s="4" t="n">
        <f aca="false">Assumptions!F30</f>
        <v>7.2</v>
      </c>
      <c r="G23" s="4" t="n">
        <f aca="false">Assumptions!G30</f>
        <v>6.6</v>
      </c>
      <c r="H23" s="4" t="n">
        <f aca="false">Assumptions!H30</f>
        <v>6</v>
      </c>
      <c r="I23" s="4" t="n">
        <f aca="false">Assumptions!I30</f>
        <v>5.7</v>
      </c>
      <c r="J23" s="4" t="n">
        <f aca="false">Assumptions!J30</f>
        <v>5.5</v>
      </c>
      <c r="K23" s="4" t="n">
        <f aca="false">Assumptions!K30</f>
        <v>5.5</v>
      </c>
      <c r="L23" s="4" t="n">
        <f aca="false">Assumptions!L30</f>
        <v>5.5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-690.97764858</v>
      </c>
      <c r="D24" s="0" t="n">
        <f aca="false">-D6*D23/100</f>
        <v>-690.97764858</v>
      </c>
      <c r="E24" s="0" t="n">
        <f aca="false">-E6*E23/100</f>
        <v>-679.184963377568</v>
      </c>
      <c r="F24" s="0" t="n">
        <f aca="false">-F6*F23/100</f>
        <v>-669.175921812004</v>
      </c>
      <c r="G24" s="0" t="n">
        <f aca="false">-G6*G23/100</f>
        <v>-637.947712127444</v>
      </c>
      <c r="H24" s="0" t="n">
        <f aca="false">-H6*H23/100</f>
        <v>-600.250801865368</v>
      </c>
      <c r="I24" s="0" t="n">
        <f aca="false">-I6*I23/100</f>
        <v>-587.345409625262</v>
      </c>
      <c r="J24" s="0" t="n">
        <f aca="false">-J6*J23/100</f>
        <v>-583.738902724054</v>
      </c>
      <c r="K24" s="0" t="n">
        <f aca="false">-K6*K23/100</f>
        <v>-598.332375292156</v>
      </c>
      <c r="L24" s="0" t="n">
        <f aca="false">-L6*L23/100</f>
        <v>-610.299022797999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-942.894604224246</v>
      </c>
    </row>
    <row r="31" customFormat="false" ht="15" hidden="false" customHeight="false" outlineLevel="0" collapsed="false">
      <c r="A31" s="0" t="s">
        <v>127</v>
      </c>
      <c r="B31" s="0" t="n">
        <f aca="false">L19</f>
        <v>600.538589941415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8750.70516771776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7206.46307929698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7206.46307929698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3044.08788418983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2101.19327996558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7044.19327996558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83.7060169124811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-0.452901850245221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83.7060169124811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4711.91816723264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59.0161465420772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4</v>
      </c>
      <c r="D5" s="4" t="n">
        <f aca="false">Assumptions!D41</f>
        <v>-3</v>
      </c>
      <c r="E5" s="4" t="n">
        <f aca="false">Assumptions!E41</f>
        <v>1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9722.494</v>
      </c>
      <c r="C6" s="0" t="n">
        <f aca="false">B6*(1+C5/100)</f>
        <v>10111.39376</v>
      </c>
      <c r="D6" s="0" t="n">
        <f aca="false">C6*(1+D5/100)</f>
        <v>9808.0519472</v>
      </c>
      <c r="E6" s="0" t="n">
        <f aca="false">D6*(1+E5/100)</f>
        <v>9906.132466672</v>
      </c>
      <c r="F6" s="0" t="n">
        <f aca="false">E6*(1+F5/100)</f>
        <v>10401.4390900056</v>
      </c>
      <c r="G6" s="0" t="n">
        <f aca="false">F6*(1+G5/100)</f>
        <v>10921.5110445059</v>
      </c>
      <c r="H6" s="0" t="n">
        <f aca="false">G6*(1+H5/100)</f>
        <v>11358.3714862861</v>
      </c>
      <c r="I6" s="0" t="n">
        <f aca="false">H6*(1+I5/100)</f>
        <v>11755.9144883061</v>
      </c>
      <c r="J6" s="0" t="n">
        <f aca="false">I6*(1+J5/100)</f>
        <v>12108.5919229553</v>
      </c>
      <c r="K6" s="0" t="n">
        <f aca="false">J6*(1+K5/100)</f>
        <v>12471.849680644</v>
      </c>
      <c r="L6" s="0" t="n">
        <f aca="false">K6*(1+L5/100)</f>
        <v>12783.6459226601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21</v>
      </c>
      <c r="D7" s="4" t="n">
        <f aca="false">Assumptions!D42</f>
        <v>19</v>
      </c>
      <c r="E7" s="4" t="n">
        <f aca="false">Assumptions!E42</f>
        <v>19.5</v>
      </c>
      <c r="F7" s="4" t="n">
        <f aca="false">Assumptions!F42</f>
        <v>21</v>
      </c>
      <c r="G7" s="4" t="n">
        <f aca="false">Assumptions!G42</f>
        <v>22.5</v>
      </c>
      <c r="H7" s="4" t="n">
        <f aca="false">Assumptions!H42</f>
        <v>23</v>
      </c>
      <c r="I7" s="4" t="n">
        <f aca="false">Assumptions!I42</f>
        <v>23</v>
      </c>
      <c r="J7" s="4" t="n">
        <f aca="false">Assumptions!J42</f>
        <v>23</v>
      </c>
      <c r="K7" s="4" t="n">
        <f aca="false">Assumptions!K42</f>
        <v>23</v>
      </c>
      <c r="L7" s="4" t="n">
        <f aca="false">Assumptions!L42</f>
        <v>23</v>
      </c>
    </row>
    <row r="8" customFormat="false" ht="15" hidden="false" customHeight="false" outlineLevel="0" collapsed="false">
      <c r="A8" s="0" t="s">
        <v>44</v>
      </c>
      <c r="C8" s="0" t="n">
        <f aca="false">C6*C7/100</f>
        <v>2123.3926896</v>
      </c>
      <c r="D8" s="0" t="n">
        <f aca="false">D6*D7/100</f>
        <v>1863.529869968</v>
      </c>
      <c r="E8" s="0" t="n">
        <f aca="false">E6*E7/100</f>
        <v>1931.69583100104</v>
      </c>
      <c r="F8" s="0" t="n">
        <f aca="false">F6*F7/100</f>
        <v>2184.30220890118</v>
      </c>
      <c r="G8" s="0" t="n">
        <f aca="false">G6*G7/100</f>
        <v>2457.33998501382</v>
      </c>
      <c r="H8" s="0" t="n">
        <f aca="false">H6*H7/100</f>
        <v>2612.42544184581</v>
      </c>
      <c r="I8" s="0" t="n">
        <f aca="false">I6*I7/100</f>
        <v>2703.86033231041</v>
      </c>
      <c r="J8" s="0" t="n">
        <f aca="false">J6*J7/100</f>
        <v>2784.97614227972</v>
      </c>
      <c r="K8" s="0" t="n">
        <f aca="false">K6*K7/100</f>
        <v>2868.52542654811</v>
      </c>
      <c r="L8" s="0" t="n">
        <f aca="false">L6*L7/100</f>
        <v>2940.23856221182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1425.70652016</v>
      </c>
      <c r="D11" s="0" t="n">
        <f aca="false">D8+D10+D24</f>
        <v>1147.5420778224</v>
      </c>
      <c r="E11" s="0" t="n">
        <f aca="false">E8+E10+E24</f>
        <v>1218.45429340066</v>
      </c>
      <c r="F11" s="0" t="n">
        <f aca="false">F8+F10+F24</f>
        <v>1497.80722896081</v>
      </c>
      <c r="G11" s="0" t="n">
        <f aca="false">G8+G10+G24</f>
        <v>1812.97083338798</v>
      </c>
      <c r="H11" s="0" t="n">
        <f aca="false">H8+H10+H24</f>
        <v>2010.43175307264</v>
      </c>
      <c r="I11" s="0" t="n">
        <f aca="false">I8+I10+I24</f>
        <v>2139.57643687172</v>
      </c>
      <c r="J11" s="0" t="n">
        <f aca="false">J8+J10+J24</f>
        <v>2240.08950574673</v>
      </c>
      <c r="K11" s="0" t="n">
        <f aca="false">K8+K10+K24</f>
        <v>2307.29219091914</v>
      </c>
      <c r="L11" s="0" t="n">
        <f aca="false">L8+L10+L24</f>
        <v>2364.97449569211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-566.23805056</v>
      </c>
      <c r="D12" s="4" t="n">
        <f aca="false">-D6*Assumptions!D45/100</f>
        <v>-627.7153246208</v>
      </c>
      <c r="E12" s="4" t="n">
        <f aca="false">-E6*Assumptions!E45/100</f>
        <v>-683.523140200368</v>
      </c>
      <c r="F12" s="4" t="n">
        <f aca="false">-F6*Assumptions!F45/100</f>
        <v>-738.502175390398</v>
      </c>
      <c r="G12" s="4" t="n">
        <f aca="false">-G6*Assumptions!G45/100</f>
        <v>-786.348795204424</v>
      </c>
      <c r="H12" s="4" t="n">
        <f aca="false">-H6*Assumptions!H45/100</f>
        <v>-806.444375526314</v>
      </c>
      <c r="I12" s="4" t="n">
        <f aca="false">-I6*Assumptions!I45/100</f>
        <v>-822.914014181429</v>
      </c>
      <c r="J12" s="4" t="n">
        <f aca="false">-J6*Assumptions!J45/100</f>
        <v>-847.601434606872</v>
      </c>
      <c r="K12" s="4" t="n">
        <f aca="false">-K6*Assumptions!K45/100</f>
        <v>-873.029477645078</v>
      </c>
      <c r="L12" s="4" t="n">
        <f aca="false">-L6*Assumptions!L45/100</f>
        <v>-894.855214586205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859.4684696</v>
      </c>
      <c r="D13" s="0" t="n">
        <f aca="false">D11+D12</f>
        <v>519.8267532016</v>
      </c>
      <c r="E13" s="0" t="n">
        <f aca="false">E11+E12</f>
        <v>534.931153200288</v>
      </c>
      <c r="F13" s="0" t="n">
        <f aca="false">F11+F12</f>
        <v>759.305053570409</v>
      </c>
      <c r="G13" s="0" t="n">
        <f aca="false">G11+G12</f>
        <v>1026.62203818355</v>
      </c>
      <c r="H13" s="0" t="n">
        <f aca="false">H11+H12</f>
        <v>1203.98737754633</v>
      </c>
      <c r="I13" s="0" t="n">
        <f aca="false">I11+I12</f>
        <v>1316.66242269029</v>
      </c>
      <c r="J13" s="0" t="n">
        <f aca="false">J11+J12</f>
        <v>1392.48807113986</v>
      </c>
      <c r="K13" s="0" t="n">
        <f aca="false">K11+K12</f>
        <v>1434.26271327406</v>
      </c>
      <c r="L13" s="0" t="n">
        <f aca="false">L11+L12</f>
        <v>1470.11928110591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3</v>
      </c>
      <c r="D14" s="4" t="n">
        <f aca="false">Assumptions!D47</f>
        <v>3</v>
      </c>
      <c r="E14" s="4" t="n">
        <f aca="false">Assumptions!E47</f>
        <v>3</v>
      </c>
      <c r="F14" s="4" t="n">
        <f aca="false">Assumptions!F47</f>
        <v>3</v>
      </c>
      <c r="G14" s="4" t="n">
        <f aca="false">Assumptions!G47</f>
        <v>3</v>
      </c>
      <c r="H14" s="4" t="n">
        <f aca="false">Assumptions!H47</f>
        <v>3</v>
      </c>
      <c r="I14" s="4" t="n">
        <f aca="false">Assumptions!I47</f>
        <v>3</v>
      </c>
      <c r="J14" s="4" t="n">
        <f aca="false">Assumptions!J47</f>
        <v>3</v>
      </c>
      <c r="K14" s="4" t="n">
        <f aca="false">Assumptions!K47</f>
        <v>3</v>
      </c>
      <c r="L14" s="4" t="n">
        <f aca="false">Assumptions!L47</f>
        <v>3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833.684415512</v>
      </c>
      <c r="D15" s="0" t="n">
        <f aca="false">D13-MAX(0,D13)*D14/100</f>
        <v>504.231950605552</v>
      </c>
      <c r="E15" s="0" t="n">
        <f aca="false">E13-MAX(0,E13)*E14/100</f>
        <v>518.88321860428</v>
      </c>
      <c r="F15" s="0" t="n">
        <f aca="false">F13-MAX(0,F13)*F14/100</f>
        <v>736.525901963297</v>
      </c>
      <c r="G15" s="0" t="n">
        <f aca="false">G13-MAX(0,G13)*G14/100</f>
        <v>995.823377038046</v>
      </c>
      <c r="H15" s="0" t="n">
        <f aca="false">H13-MAX(0,H13)*H14/100</f>
        <v>1167.86775621994</v>
      </c>
      <c r="I15" s="0" t="n">
        <f aca="false">I13-MAX(0,I13)*I14/100</f>
        <v>1277.16255000958</v>
      </c>
      <c r="J15" s="0" t="n">
        <f aca="false">J13-MAX(0,J13)*J14/100</f>
        <v>1350.71342900567</v>
      </c>
      <c r="K15" s="0" t="n">
        <f aca="false">K13-MAX(0,K13)*K14/100</f>
        <v>1391.23483187584</v>
      </c>
      <c r="L15" s="0" t="n">
        <f aca="false">L13-MAX(0,L13)*L14/100</f>
        <v>1426.01570267273</v>
      </c>
    </row>
    <row r="16" customFormat="false" ht="15" hidden="false" customHeight="false" outlineLevel="0" collapsed="false">
      <c r="A16" s="0" t="s">
        <v>118</v>
      </c>
      <c r="C16" s="0" t="n">
        <f aca="false">-C12</f>
        <v>566.23805056</v>
      </c>
      <c r="D16" s="0" t="n">
        <f aca="false">-D12</f>
        <v>627.7153246208</v>
      </c>
      <c r="E16" s="0" t="n">
        <f aca="false">-E12</f>
        <v>683.523140200368</v>
      </c>
      <c r="F16" s="0" t="n">
        <f aca="false">-F12</f>
        <v>738.502175390398</v>
      </c>
      <c r="G16" s="0" t="n">
        <f aca="false">-G12</f>
        <v>786.348795204424</v>
      </c>
      <c r="H16" s="0" t="n">
        <f aca="false">-H12</f>
        <v>806.444375526314</v>
      </c>
      <c r="I16" s="0" t="n">
        <f aca="false">-I12</f>
        <v>822.914014181429</v>
      </c>
      <c r="J16" s="0" t="n">
        <f aca="false">-J12</f>
        <v>847.601434606872</v>
      </c>
      <c r="K16" s="0" t="n">
        <f aca="false">-K12</f>
        <v>873.029477645078</v>
      </c>
      <c r="L16" s="0" t="n">
        <f aca="false">-L12</f>
        <v>894.855214586205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-1718.9369392</v>
      </c>
      <c r="D17" s="4" t="n">
        <f aca="false">-D6*Assumptions!D46/100</f>
        <v>-1667.368831024</v>
      </c>
      <c r="E17" s="4" t="n">
        <f aca="false">-E6*Assumptions!E46/100</f>
        <v>-1733.5731816676</v>
      </c>
      <c r="F17" s="4" t="n">
        <f aca="false">-F6*Assumptions!F46/100</f>
        <v>-1508.20866805081</v>
      </c>
      <c r="G17" s="4" t="n">
        <f aca="false">-G6*Assumptions!G46/100</f>
        <v>-1037.54354922806</v>
      </c>
      <c r="H17" s="4" t="n">
        <f aca="false">-H6*Assumptions!H46/100</f>
        <v>-908.66971890289</v>
      </c>
      <c r="I17" s="4" t="n">
        <f aca="false">-I6*Assumptions!I46/100</f>
        <v>-881.69358662296</v>
      </c>
      <c r="J17" s="4" t="n">
        <f aca="false">-J6*Assumptions!J46/100</f>
        <v>-908.144394221649</v>
      </c>
      <c r="K17" s="4" t="n">
        <f aca="false">-K6*Assumptions!K46/100</f>
        <v>-935.388726048298</v>
      </c>
      <c r="L17" s="4" t="n">
        <f aca="false">-L6*Assumptions!L46/100</f>
        <v>-958.773444199506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19.444988</v>
      </c>
      <c r="D18" s="4" t="n">
        <f aca="false">(D6-C6)*Assumptions!$B$51/100</f>
        <v>-15.16709064</v>
      </c>
      <c r="E18" s="4" t="n">
        <f aca="false">(E6-D6)*Assumptions!$B$51/100</f>
        <v>4.90402597359998</v>
      </c>
      <c r="F18" s="4" t="n">
        <f aca="false">(F6-E6)*Assumptions!$B$51/100</f>
        <v>24.7653311666801</v>
      </c>
      <c r="G18" s="4" t="n">
        <f aca="false">(G6-F6)*Assumptions!$B$51/100</f>
        <v>26.0035977250141</v>
      </c>
      <c r="H18" s="4" t="n">
        <f aca="false">(H6-G6)*Assumptions!$B$51/100</f>
        <v>21.8430220890118</v>
      </c>
      <c r="I18" s="4" t="n">
        <f aca="false">(I6-H6)*Assumptions!$B$51/100</f>
        <v>19.8771501010006</v>
      </c>
      <c r="J18" s="4" t="n">
        <f aca="false">(J6-I6)*Assumptions!$B$51/100</f>
        <v>17.6338717324592</v>
      </c>
      <c r="K18" s="4" t="n">
        <f aca="false">(K6-J6)*Assumptions!$B$51/100</f>
        <v>18.162887884433</v>
      </c>
      <c r="L18" s="4" t="n">
        <f aca="false">(L6-K6)*Assumptions!$B$51/100</f>
        <v>15.5898121008049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-299.569485128</v>
      </c>
      <c r="D19" s="0" t="n">
        <f aca="false">D15+D16+D17+D18</f>
        <v>-550.588646437648</v>
      </c>
      <c r="E19" s="0" t="n">
        <f aca="false">E15+E16+E17+E18</f>
        <v>-526.262796889353</v>
      </c>
      <c r="F19" s="0" t="n">
        <f aca="false">F15+F16+F17+F18</f>
        <v>-8.41525953043779</v>
      </c>
      <c r="G19" s="0" t="n">
        <f aca="false">G15+G16+G17+G18</f>
        <v>770.632220739425</v>
      </c>
      <c r="H19" s="0" t="n">
        <f aca="false">H15+H16+H17+H18</f>
        <v>1087.48543493238</v>
      </c>
      <c r="I19" s="0" t="n">
        <f aca="false">I15+I16+I17+I18</f>
        <v>1238.26012766905</v>
      </c>
      <c r="J19" s="0" t="n">
        <f aca="false">J15+J16+J17+J18</f>
        <v>1307.80434112335</v>
      </c>
      <c r="K19" s="0" t="n">
        <f aca="false">K15+K16+K17+K18</f>
        <v>1347.03847135705</v>
      </c>
      <c r="L19" s="0" t="n">
        <f aca="false">L15+L16+L17+L18</f>
        <v>1377.68728516024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-274.834390025688</v>
      </c>
      <c r="D21" s="0" t="n">
        <f aca="false">D19*D20</f>
        <v>-463.419448226284</v>
      </c>
      <c r="E21" s="0" t="n">
        <f aca="false">E19*E20</f>
        <v>-406.371437928689</v>
      </c>
      <c r="F21" s="0" t="n">
        <f aca="false">F19*F20</f>
        <v>-5.96158200901879</v>
      </c>
      <c r="G21" s="0" t="n">
        <f aca="false">G19*G20</f>
        <v>500.858067551347</v>
      </c>
      <c r="H21" s="0" t="n">
        <f aca="false">H19*H20</f>
        <v>648.432033307209</v>
      </c>
      <c r="I21" s="0" t="n">
        <f aca="false">I19*I20</f>
        <v>677.370693859027</v>
      </c>
      <c r="J21" s="0" t="n">
        <f aca="false">J19*J20</f>
        <v>656.34289921947</v>
      </c>
      <c r="K21" s="0" t="n">
        <f aca="false">K19*K20</f>
        <v>620.213932289958</v>
      </c>
      <c r="L21" s="0" t="n">
        <f aca="false">L19*L20</f>
        <v>581.949997774466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6.9</v>
      </c>
      <c r="D23" s="4" t="n">
        <f aca="false">Assumptions!D44</f>
        <v>7.3</v>
      </c>
      <c r="E23" s="4" t="n">
        <f aca="false">Assumptions!E44</f>
        <v>7.2</v>
      </c>
      <c r="F23" s="4" t="n">
        <f aca="false">Assumptions!F44</f>
        <v>6.6</v>
      </c>
      <c r="G23" s="4" t="n">
        <f aca="false">Assumptions!G44</f>
        <v>5.9</v>
      </c>
      <c r="H23" s="4" t="n">
        <f aca="false">Assumptions!H44</f>
        <v>5.3</v>
      </c>
      <c r="I23" s="4" t="n">
        <f aca="false">Assumptions!I44</f>
        <v>4.8</v>
      </c>
      <c r="J23" s="4" t="n">
        <f aca="false">Assumptions!J44</f>
        <v>4.5</v>
      </c>
      <c r="K23" s="4" t="n">
        <f aca="false">Assumptions!K44</f>
        <v>4.5</v>
      </c>
      <c r="L23" s="4" t="n">
        <f aca="false">Assumptions!L44</f>
        <v>4.5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-697.68616944</v>
      </c>
      <c r="D24" s="0" t="n">
        <f aca="false">-D6*D23/100</f>
        <v>-715.9877921456</v>
      </c>
      <c r="E24" s="0" t="n">
        <f aca="false">-E6*E23/100</f>
        <v>-713.241537600384</v>
      </c>
      <c r="F24" s="0" t="n">
        <f aca="false">-F6*F23/100</f>
        <v>-686.49497994037</v>
      </c>
      <c r="G24" s="0" t="n">
        <f aca="false">-G6*G23/100</f>
        <v>-644.369151625847</v>
      </c>
      <c r="H24" s="0" t="n">
        <f aca="false">-H6*H23/100</f>
        <v>-601.993688773164</v>
      </c>
      <c r="I24" s="0" t="n">
        <f aca="false">-I6*I23/100</f>
        <v>-564.283895438694</v>
      </c>
      <c r="J24" s="0" t="n">
        <f aca="false">-J6*J23/100</f>
        <v>-544.886636532989</v>
      </c>
      <c r="K24" s="0" t="n">
        <f aca="false">-K6*K23/100</f>
        <v>-561.233235628979</v>
      </c>
      <c r="L24" s="0" t="n">
        <f aca="false">-L6*L23/100</f>
        <v>-575.264066519703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2534.5807658118</v>
      </c>
    </row>
    <row r="31" customFormat="false" ht="15" hidden="false" customHeight="false" outlineLevel="0" collapsed="false">
      <c r="A31" s="0" t="s">
        <v>127</v>
      </c>
      <c r="B31" s="0" t="n">
        <f aca="false">L19</f>
        <v>1377.68728516024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21725.0687275268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16532.2474219228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16532.2474219228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6983.39997329359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9517.98073910539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14460.9807391054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171.839563482922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0.123134401849165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171.839563482922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11297.0357383139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109.056949182492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20.0779990110276</v>
      </c>
      <c r="C4" s="0" t="n">
        <f aca="false">B4/Assumptions!$B$2-1</f>
        <v>-0.868771248293937</v>
      </c>
      <c r="D4" s="4" t="n">
        <f aca="false">Assumptions!$B$24</f>
        <v>0.3</v>
      </c>
      <c r="E4" s="4" t="n">
        <f aca="false">DCF_Bear!$B$43</f>
        <v>20.0779990110276</v>
      </c>
      <c r="F4" s="4" t="n">
        <f aca="false">DCF_Bear!$B$47</f>
        <v>21.8357936054863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83.7060169124811</v>
      </c>
      <c r="C5" s="0" t="n">
        <f aca="false">B5/Assumptions!$B$2-1</f>
        <v>-0.452901850245221</v>
      </c>
      <c r="D5" s="4" t="n">
        <f aca="false">Assumptions!$B$38</f>
        <v>0.5</v>
      </c>
      <c r="E5" s="4" t="n">
        <f aca="false">DCF_Base!$B$43</f>
        <v>83.7060169124811</v>
      </c>
      <c r="F5" s="4" t="n">
        <f aca="false">DCF_Base!$B$47</f>
        <v>59.0161465420772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171.839563482922</v>
      </c>
      <c r="C6" s="0" t="n">
        <f aca="false">B6/Assumptions!$B$2-1</f>
        <v>0.123134401849165</v>
      </c>
      <c r="D6" s="4" t="n">
        <f aca="false">Assumptions!$B$52</f>
        <v>0.2</v>
      </c>
      <c r="E6" s="4" t="n">
        <f aca="false">DCF_Bull!$B$43</f>
        <v>171.839563482922</v>
      </c>
      <c r="F6" s="4" t="n">
        <f aca="false">DCF_Bull!$B$47</f>
        <v>109.056949182492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82.2443208561333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82.2443208561333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-0.860310820337818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57.8702011891828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83.7060169124811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79.9978707085846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74.9871038100386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69.5260825814628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59.0161465420772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92.4187632319767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92.4187632319767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92.4187632319767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92.4187632319767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92.4187632319767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87.8301494913866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87.8301494913866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87.8301494913866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87.8301494913866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87.8301494913866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83.7060169124811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83.7060169124811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83.7060169124811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83.7060169124811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83.7060169124811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77.8579631535516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79.8360289607249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79.9978707085846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79.9978707085846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79.9978707085846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71.8874227151532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73.3556927074673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74.9871038100386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76.6626071045712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76.6626071045712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2026-10-10T22:10:11Z</dcterms:created>
  <dc:creator>openpyxl</dc:creator>
  <dc:description/>
  <dc:language>en-NZ</dc:language>
  <cp:lastModifiedBy/>
  <dcterms:modified xsi:type="dcterms:W3CDTF">2026-10-10T22:10:11Z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