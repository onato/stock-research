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<sst xmlns="http://schemas.openxmlformats.org/spreadsheetml/2006/main" count="378" uniqueCount="171">
  <si>
    <t xml:space="preserve">Ticker</t>
  </si>
  <si>
    <t xml:space="preserve">AVY</t>
  </si>
  <si>
    <t xml:space="preserve">Company</t>
  </si>
  <si>
    <t xml:space="preserve">Avery Dennison Corporation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</si>
  <si>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</si>
  <si>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</si>
  <si>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</si>
  <si>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</si>
  <si>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2026-09-25T20:00:03Z regular close</t>
  </si>
  <si>
    <t xml:space="preserve">Balance sheet date</t>
  </si>
  <si>
    <t xml:space="preserve">2026-06-30 (Q2 2026 10-Q)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</si>
  <si>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</si>
  <si>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</si>
  <si>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</si>
  <si>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</si>
  <si>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</si>
  <si>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</si>
  <si>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</si>
  <si>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</si>
  <si>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</si>
  <si>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</si>
  <si>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2026-09-25T22:39:48Z</t>
  </si>
  <si>
    <t xml:space="preserve">Drivers file</t>
  </si>
  <si>
    <t xml:space="preserve">AVY_Drivers.json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</si>
  <si>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</si>
  <si>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</si>
  <si>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</si>
  <si>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Avery Dennison is valued on a strict owner-FCF component DCF: FY2025 actual revenue ($8,855.5M) as the base, with EBITDA margin ramping from FY2025's disclosed 16.4% adjusted EBITDA margin toward management's own 2028 targets (5%+ organic growth, 17%+ EBITDA margin) unveiled at the September 23, 2026 Investor Showcase, then held flat at a modestly higher mature level. SBC is fully expensed (it is genuinely small for this industrial manufacturer, ~0.46% of revenue) and the share count is held flat at the latest diluted count (76.4M, Q2 2026) -- the company's substantial buyback program ($572.3M in FY2025) is the cash mechanism funding that flat count, not a source of incremental per-share value on top of the SBC charge. AVY carries net debt (~$3.45B), not net cash, so no interest-income adjustment applies. A 10-year horizon is used because the FY2025 actual owner-FCF margin (7.6%) sits meaningfully below the component-built path (which starts at ~10.3% and matures near 11.4%) while the 2028 margin target phases in and an unusually large FY2025 working-capital/tariff-related cash drag normalizes -- capitalizing an immature margin at year 5 would understate the business. Working capital is modeled with a negative capture rate, consistent with a manufacturer/distributor whose receivables and inventory structurally exceed payables.
key_risks_to_valuation: Q3 2026 disclosed ~$0.50 sequential EPS headwind as the Q2 customer pre-buy unwinds -- a near-term print that could read as deceleration even if the multi-year trajectory is intact; Tariff/trade-policy escalation, already producing a measurable low-single-digit apparel sales headwind through 2025-2026; Commodity Materials Group pricing competition limits pricing power outside high-value niches, capping the pace of the margin-mix shift; RFID/Intelligent Labels growth is concentrated in a small number of large retail partners (Walmart, Kroger); a slowdown there directly hits the highest-growth part of the bull case; Leverage (D/E ~1.6x, net debt/EBITDA ~2.3x) constrains capacity for the bolt-on M&amp;A the high-value-category strategy has relied on, without additional equity or debt</t>
  </si>
  <si>
    <t xml:space="preserve">Data sources</t>
  </si>
  <si>
    <t xml:space="preserve">price: Yahoo Finance chart API at inputs.price_as_of; 52-week range 152.42-199.54
financials: research/AVY/Reports/AVY_Metrics.csv and AVY.duckdb (core_metrics/metrics_normalized/kpis), SEC XBRL via build_facts_xbrl.py; balance sheet and share count from the Q2 2026 10-Q
qualitative: research/AVY/Reports/AVY_Analysis.json (qualitative-analyst agent), including the September 23, 2026 High-Value Category Investor Showcase 2028 targets, Q2 2026 earnings release (July 30, 2026), and segment detail (Materials Group $6.1B/17.4% margin, Solutions Group $2.8B/17.3% margin, FY2025)</t>
  </si>
  <si>
    <t xml:space="preserve">Scenario narrative: bear</t>
  </si>
  <si>
    <t xml:space="preserve">Persistent tariff/trade escalation, commodity Materials Group pricing pressure, and a stalled RFID retailer rollout cause the 2028 targets to be missed and margin to compress rather than expand.</t>
  </si>
  <si>
    <t xml:space="preserve">Scenario narrative: base</t>
  </si>
  <si>
    <t xml:space="preserve">Guided FY2026 organic growth (3-4%) decelerating near-term on the disclosed Q3 pre-buy unwind, then accelerating toward the 2028 5%+ organic-growth / 17%+ EBITDA-margin targets as high-value categories (Intelligent Labels, Vestcom, Embelex, Specialty &amp; Durable Labels) continue approaching half of total sales, before settling to a mature 2.5% terminal growth rate.</t>
  </si>
  <si>
    <t xml:space="preserve">Scenario narrative: bull</t>
  </si>
  <si>
    <t xml:space="preserve">High-value-category mix shift and RFID/ambient-IoT (Wiliot) expansion outrun the 2028 targets; tariff headwinds prove transitory.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</si>
  <si>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</si>
  <si>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</si>
  <si>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</si>
  <si>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</si>
  <si>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</si>
  <si>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</si>
  <si>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</si>
  <si>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</si>
  <si>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</si>
  <si>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</si>
  <si>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</si>
  <si>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</si>
  <si>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</si>
  <si>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</si>
  <si>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</si>
  <si>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</si>
  <si>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</si>
  <si>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</si>
  <si>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</si>
  <si>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</si>
  <si>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</si>
  <si>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</si>
  <si>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</si>
  <si>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</si>
  <si>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</si>
  <si>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</si>
  <si>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</si>
  <si>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</si>
  <si>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</si>
  <si>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FY2010</t>
  </si>
  <si>
    <t xml:space="preserve">FY2011</t>
  </si>
  <si>
    <t xml:space="preserve">FY2012</t>
  </si>
  <si>
    <t xml:space="preserve">FY2013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</si>
  <si>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</si>
  <si>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</si>
  <si>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</si>
  <si>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</si>
  <si>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</si>
  <si>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</si>
  <si>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</si>
  <si>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</si>
  <si>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</si>
  <si>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</si>
  <si>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</si>
  <si>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</si>
  <si>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</si>
  <si>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</si>
  <si>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</si>
  <si>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</si>
  <si>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</si>
  <si>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</si>
  <si>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</si>
  <si>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</si>
  <si>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</si>
  <si>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</si>
  <si>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</si>
  <si>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</si>
  <si>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</si>
  <si>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</si>
  <si>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</si>
  <si>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</si>
  <si>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</si>
  <si>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</si>
  <si>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</si>
  <si>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</si>
  <si>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</si>
  <si>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</si>
  <si>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</si>
  <si>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</si>
  <si>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</si>
  <si>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</si>
  <si>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</si>
  <si>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</si>
  <si>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</si>
  <si>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</si>
  <si>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</si>
  <si>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</si>
  <si>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</si>
  <si>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</si>
  <si>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</si>
  <si>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AVY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</si>
  <si>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</si>
  <si>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</si>
  <si>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</si>
  <si>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</si>
  <si>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</si>
  <si>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</si>
  <si>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</si>
  <si>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</si>
  <si>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</si>
  <si>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</si>
  <si>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</si>
  <si>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</si>
  <si>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</si>
  <si>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</si>
  <si>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</si>
  <si>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</si>
  <si>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</si>
  <si>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</si>
  <si>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</si>
  <si>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</si>
  <si>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</si>
  <si>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</si>
  <si>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</si>
  <si>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</si>
  <si>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</si>
  <si>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</si>
  <si>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</si>
  <si>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</si>
  <si>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</si>
  <si>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</si>
  <si>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AVY owner-FCF component DCF: base case (millions, USD)</t>
  </si>
  <si>
    <t xml:space="preserve">AVY owner-FCF component DCF: bull case (millions, USD)</t>
  </si>
  <si>
    <t xml:space="preserve">AVY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</si>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</sst>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170.34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1989.4</v>
      </c>
      <c r="S2" s="0" t="n">
        <v>71.5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6710.4</v>
      </c>
      <c r="C3" s="0" t="n">
        <v>4983.4</v>
      </c>
      <c r="D3" s="0" t="n">
        <v>1727</v>
      </c>
      <c r="E3" s="0" t="n">
        <v>25.7361707200763</v>
      </c>
      <c r="I3" s="0" t="n">
        <v>266.1</v>
      </c>
      <c r="J3" s="0" t="n">
        <v>3.96548640915594</v>
      </c>
      <c r="K3" s="0" t="n">
        <v>2.7</v>
      </c>
      <c r="L3" s="0" t="n">
        <v>539.7</v>
      </c>
      <c r="M3" s="0" t="n">
        <v>118.4</v>
      </c>
      <c r="N3" s="0" t="n">
        <v>421.3</v>
      </c>
      <c r="O3" s="0" t="n">
        <v>1750</v>
      </c>
      <c r="S3" s="0" t="n">
        <v>105.5</v>
      </c>
      <c r="T3" s="0" t="n">
        <v>98.7</v>
      </c>
      <c r="U3" s="0" t="n">
        <v>29</v>
      </c>
      <c r="V3" s="0" t="n">
        <v>1.64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5186.2</v>
      </c>
      <c r="C4" s="0" t="n">
        <v>3929.8</v>
      </c>
      <c r="D4" s="0" t="n">
        <v>1256.4</v>
      </c>
      <c r="E4" s="0" t="n">
        <v>24.22583008754</v>
      </c>
      <c r="I4" s="0" t="n">
        <v>-746.7</v>
      </c>
      <c r="J4" s="0" t="n">
        <v>-14.3978249971077</v>
      </c>
      <c r="K4" s="0" t="n">
        <v>-7.21</v>
      </c>
      <c r="L4" s="0" t="n">
        <v>569</v>
      </c>
      <c r="M4" s="0" t="n">
        <v>69.7</v>
      </c>
      <c r="N4" s="0" t="n">
        <v>499.3</v>
      </c>
      <c r="O4" s="0" t="n">
        <v>1362.6</v>
      </c>
      <c r="P4" s="0" t="n">
        <v>5002.8</v>
      </c>
      <c r="R4" s="0" t="n">
        <v>1624.3</v>
      </c>
      <c r="S4" s="0" t="n">
        <v>138.1</v>
      </c>
      <c r="T4" s="0" t="n">
        <v>103.6</v>
      </c>
      <c r="U4" s="0" t="n">
        <v>25.8</v>
      </c>
      <c r="V4" s="0" t="n">
        <v>1.22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5844.9</v>
      </c>
      <c r="C5" s="0" t="n">
        <v>4369.6</v>
      </c>
      <c r="D5" s="0" t="n">
        <v>1475.3</v>
      </c>
      <c r="E5" s="0" t="n">
        <v>25.2408082259748</v>
      </c>
      <c r="I5" s="0" t="n">
        <v>316.9</v>
      </c>
      <c r="J5" s="0" t="n">
        <v>5.42182073260449</v>
      </c>
      <c r="K5" s="0" t="n">
        <v>1.78</v>
      </c>
      <c r="L5" s="0" t="n">
        <v>422.7</v>
      </c>
      <c r="M5" s="0" t="n">
        <v>109.6</v>
      </c>
      <c r="N5" s="0" t="n">
        <v>313.1</v>
      </c>
      <c r="O5" s="0" t="n">
        <v>1658.5</v>
      </c>
      <c r="P5" s="0" t="n">
        <v>4972.7</v>
      </c>
      <c r="R5" s="0" t="n">
        <v>955.8</v>
      </c>
      <c r="S5" s="0" t="n">
        <v>178</v>
      </c>
      <c r="T5" s="0" t="n">
        <v>106.8</v>
      </c>
      <c r="U5" s="0" t="n">
        <v>39.6</v>
      </c>
      <c r="V5" s="0" t="n">
        <v>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5863.5</v>
      </c>
      <c r="C6" s="0" t="n">
        <v>4335.3</v>
      </c>
      <c r="D6" s="0" t="n">
        <v>1528.2</v>
      </c>
      <c r="E6" s="0" t="n">
        <v>26.062931696086</v>
      </c>
      <c r="K6" s="0" t="n">
        <v>2.08</v>
      </c>
      <c r="L6" s="0" t="n">
        <v>513.4</v>
      </c>
      <c r="M6" s="0" t="n">
        <v>99.2</v>
      </c>
      <c r="N6" s="0" t="n">
        <v>414.2</v>
      </c>
      <c r="O6" s="0" t="n">
        <v>1536.6</v>
      </c>
      <c r="P6" s="0" t="n">
        <v>5105.3</v>
      </c>
      <c r="R6" s="0" t="n">
        <v>1222.4</v>
      </c>
      <c r="S6" s="0" t="n">
        <v>235.4</v>
      </c>
      <c r="T6" s="0" t="n">
        <v>103.5</v>
      </c>
      <c r="U6" s="0" t="n">
        <v>38.9</v>
      </c>
      <c r="V6" s="0" t="n">
        <v>1.08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6140</v>
      </c>
      <c r="C7" s="0" t="n">
        <v>4502.3</v>
      </c>
      <c r="D7" s="0" t="n">
        <v>1637.7</v>
      </c>
      <c r="E7" s="0" t="n">
        <v>26.6726384364821</v>
      </c>
      <c r="K7" s="0" t="n">
        <v>2.13</v>
      </c>
      <c r="L7" s="0" t="n">
        <v>319.6</v>
      </c>
      <c r="M7" s="0" t="n">
        <v>129.2</v>
      </c>
      <c r="N7" s="0" t="n">
        <v>190.4</v>
      </c>
      <c r="O7" s="0" t="n">
        <v>1468.1</v>
      </c>
      <c r="P7" s="0" t="n">
        <v>4610.6</v>
      </c>
      <c r="R7" s="0" t="n">
        <v>1027.5</v>
      </c>
      <c r="S7" s="0" t="n">
        <v>351.1</v>
      </c>
      <c r="T7" s="0" t="n">
        <v>100.1</v>
      </c>
      <c r="U7" s="0" t="n">
        <v>34</v>
      </c>
      <c r="V7" s="0" t="n">
        <v>1.14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6330.3</v>
      </c>
      <c r="C8" s="0" t="n">
        <v>4679.1</v>
      </c>
      <c r="D8" s="0" t="n">
        <v>1651.2</v>
      </c>
      <c r="E8" s="0" t="n">
        <v>26.0840718449363</v>
      </c>
      <c r="K8" s="0" t="n">
        <v>2.56</v>
      </c>
      <c r="L8" s="0" t="n">
        <v>354.9</v>
      </c>
      <c r="M8" s="0" t="n">
        <v>147.9</v>
      </c>
      <c r="N8" s="0" t="n">
        <v>207</v>
      </c>
      <c r="O8" s="0" t="n">
        <v>1047.7</v>
      </c>
      <c r="P8" s="0" t="n">
        <v>4356.9</v>
      </c>
      <c r="R8" s="0" t="n">
        <v>1144.4</v>
      </c>
      <c r="S8" s="0" t="n">
        <v>207.2</v>
      </c>
      <c r="T8" s="0" t="n">
        <v>95.7</v>
      </c>
      <c r="U8" s="0" t="n">
        <v>28.3</v>
      </c>
      <c r="V8" s="0" t="n">
        <v>1.34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6086.5</v>
      </c>
      <c r="C9" s="0" t="n">
        <v>4386.8</v>
      </c>
      <c r="D9" s="0" t="n">
        <v>1699.7</v>
      </c>
      <c r="E9" s="0" t="n">
        <v>27.9257372874394</v>
      </c>
      <c r="I9" s="0" t="n">
        <v>320.7</v>
      </c>
      <c r="J9" s="0" t="n">
        <v>5.26903803499548</v>
      </c>
      <c r="K9" s="0" t="n">
        <v>3.54</v>
      </c>
      <c r="L9" s="0" t="n">
        <v>582.1</v>
      </c>
      <c r="M9" s="0" t="n">
        <v>176.9</v>
      </c>
      <c r="N9" s="0" t="n">
        <v>405.2</v>
      </c>
      <c r="O9" s="0" t="n">
        <v>925.5</v>
      </c>
      <c r="P9" s="0" t="n">
        <v>4396.4</v>
      </c>
      <c r="R9" s="0" t="n">
        <v>1292.5</v>
      </c>
      <c r="S9" s="0" t="n">
        <v>158.8</v>
      </c>
      <c r="T9" s="0" t="n">
        <v>90.7</v>
      </c>
      <c r="U9" s="0" t="n">
        <v>27.2</v>
      </c>
      <c r="V9" s="0" t="n">
        <v>1.6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6613.8</v>
      </c>
      <c r="C10" s="0" t="n">
        <v>4801.6</v>
      </c>
      <c r="D10" s="0" t="n">
        <v>1812.2</v>
      </c>
      <c r="E10" s="0" t="n">
        <v>27.4002842541353</v>
      </c>
      <c r="I10" s="0" t="n">
        <v>281.8</v>
      </c>
      <c r="J10" s="0" t="n">
        <v>4.2607880492304</v>
      </c>
      <c r="K10" s="0" t="n">
        <v>3.13</v>
      </c>
      <c r="L10" s="0" t="n">
        <v>645.7</v>
      </c>
      <c r="M10" s="0" t="n">
        <v>190.5</v>
      </c>
      <c r="N10" s="0" t="n">
        <v>455.2</v>
      </c>
      <c r="O10" s="0" t="n">
        <v>1032.4</v>
      </c>
      <c r="P10" s="0" t="n">
        <v>5136.9</v>
      </c>
      <c r="R10" s="0" t="n">
        <v>1581.7</v>
      </c>
      <c r="S10" s="0" t="n">
        <v>224.4</v>
      </c>
      <c r="T10" s="0" t="n">
        <v>90.1</v>
      </c>
      <c r="U10" s="0" t="n">
        <v>30.2</v>
      </c>
      <c r="V10" s="0" t="n">
        <v>1.76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7159</v>
      </c>
      <c r="C11" s="0" t="n">
        <v>5243.5</v>
      </c>
      <c r="D11" s="0" t="n">
        <v>1915.5</v>
      </c>
      <c r="E11" s="0" t="n">
        <v>26.7565302416539</v>
      </c>
      <c r="I11" s="0" t="n">
        <v>467.4</v>
      </c>
      <c r="J11" s="0" t="n">
        <v>6.52884481072776</v>
      </c>
      <c r="K11" s="0" t="n">
        <v>5.28</v>
      </c>
      <c r="L11" s="0" t="n">
        <v>457.9</v>
      </c>
      <c r="M11" s="0" t="n">
        <v>226.7</v>
      </c>
      <c r="N11" s="0" t="n">
        <v>231.2</v>
      </c>
      <c r="O11" s="0" t="n">
        <v>955.1</v>
      </c>
      <c r="P11" s="0" t="n">
        <v>5177.5</v>
      </c>
      <c r="R11" s="0" t="n">
        <v>1945.5</v>
      </c>
      <c r="S11" s="0" t="n">
        <v>232</v>
      </c>
      <c r="T11" s="0" t="n">
        <v>88.6</v>
      </c>
      <c r="U11" s="0" t="n">
        <v>34.3</v>
      </c>
      <c r="V11" s="0" t="n">
        <v>2.01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7070.1</v>
      </c>
      <c r="C12" s="0" t="n">
        <v>5166</v>
      </c>
      <c r="D12" s="0" t="n">
        <v>1904.1</v>
      </c>
      <c r="E12" s="0" t="n">
        <v>26.9317265668095</v>
      </c>
      <c r="I12" s="0" t="n">
        <v>303.6</v>
      </c>
      <c r="J12" s="0" t="n">
        <v>4.2941401111724</v>
      </c>
      <c r="K12" s="0" t="n">
        <v>3.57</v>
      </c>
      <c r="L12" s="0" t="n">
        <v>746.5</v>
      </c>
      <c r="M12" s="0" t="n">
        <v>219.4</v>
      </c>
      <c r="N12" s="0" t="n">
        <v>527.1</v>
      </c>
      <c r="O12" s="0" t="n">
        <v>1204</v>
      </c>
      <c r="P12" s="0" t="n">
        <v>5488.8</v>
      </c>
      <c r="R12" s="0" t="n">
        <v>1915.5</v>
      </c>
      <c r="S12" s="0" t="n">
        <v>253.7</v>
      </c>
      <c r="T12" s="0" t="n">
        <v>85</v>
      </c>
      <c r="U12" s="0" t="n">
        <v>34.5</v>
      </c>
      <c r="V12" s="0" t="n">
        <v>2.26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6971.5</v>
      </c>
      <c r="C13" s="0" t="n">
        <v>5048.2</v>
      </c>
      <c r="D13" s="0" t="n">
        <v>1923.3</v>
      </c>
      <c r="E13" s="0" t="n">
        <v>27.5880370078175</v>
      </c>
      <c r="I13" s="0" t="n">
        <v>555.9</v>
      </c>
      <c r="J13" s="0" t="n">
        <v>7.97389371010543</v>
      </c>
      <c r="K13" s="0" t="n">
        <v>6.61</v>
      </c>
      <c r="L13" s="0" t="n">
        <v>751.3</v>
      </c>
      <c r="M13" s="0" t="n">
        <v>201.4</v>
      </c>
      <c r="N13" s="0" t="n">
        <v>549.9</v>
      </c>
      <c r="O13" s="0" t="n">
        <v>1484.9</v>
      </c>
      <c r="P13" s="0" t="n">
        <v>6083.9</v>
      </c>
      <c r="R13" s="0" t="n">
        <v>2093.9</v>
      </c>
      <c r="S13" s="0" t="n">
        <v>252.3</v>
      </c>
      <c r="T13" s="0" t="n">
        <v>84.1</v>
      </c>
      <c r="U13" s="0" t="n">
        <v>24</v>
      </c>
      <c r="V13" s="0" t="n">
        <v>2.36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9039.3</v>
      </c>
      <c r="C14" s="0" t="n">
        <v>6635.1</v>
      </c>
      <c r="D14" s="0" t="n">
        <v>2404.2</v>
      </c>
      <c r="E14" s="0" t="n">
        <v>26.5971922604627</v>
      </c>
      <c r="I14" s="0" t="n">
        <v>757.1</v>
      </c>
      <c r="J14" s="0" t="n">
        <v>8.37564855685728</v>
      </c>
      <c r="K14" s="0" t="n">
        <v>9.21</v>
      </c>
      <c r="L14" s="0" t="n">
        <v>961</v>
      </c>
      <c r="M14" s="0" t="n">
        <v>278.1</v>
      </c>
      <c r="N14" s="0" t="n">
        <v>682.9</v>
      </c>
      <c r="O14" s="0" t="n">
        <v>2032.2</v>
      </c>
      <c r="P14" s="0" t="n">
        <v>7950.5</v>
      </c>
      <c r="R14" s="0" t="n">
        <v>3094</v>
      </c>
      <c r="S14" s="0" t="n">
        <v>167.2</v>
      </c>
      <c r="T14" s="0" t="n">
        <v>82.2</v>
      </c>
      <c r="U14" s="0" t="n">
        <v>47.4</v>
      </c>
      <c r="V14" s="0" t="n">
        <v>2.93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8364.3</v>
      </c>
      <c r="C15" s="0" t="n">
        <v>6086.8</v>
      </c>
      <c r="D15" s="0" t="n">
        <v>2277.5</v>
      </c>
      <c r="E15" s="0" t="n">
        <v>27.2288177133771</v>
      </c>
      <c r="I15" s="0" t="n">
        <v>503</v>
      </c>
      <c r="J15" s="0" t="n">
        <v>6.01365326446923</v>
      </c>
      <c r="K15" s="0" t="n">
        <v>6.2</v>
      </c>
      <c r="L15" s="0" t="n">
        <v>826</v>
      </c>
      <c r="M15" s="0" t="n">
        <v>265.3</v>
      </c>
      <c r="N15" s="0" t="n">
        <v>560.7</v>
      </c>
      <c r="O15" s="0" t="n">
        <v>2127.9</v>
      </c>
      <c r="P15" s="0" t="n">
        <v>8209.8</v>
      </c>
      <c r="R15" s="0" t="n">
        <v>3237.2</v>
      </c>
      <c r="S15" s="0" t="n">
        <v>215</v>
      </c>
      <c r="T15" s="0" t="n">
        <v>81.1</v>
      </c>
      <c r="U15" s="0" t="n">
        <v>22.3</v>
      </c>
      <c r="V15" s="0" t="n">
        <v>3.18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8755.7</v>
      </c>
      <c r="C16" s="0" t="n">
        <v>6225</v>
      </c>
      <c r="D16" s="0" t="n">
        <v>2530.7</v>
      </c>
      <c r="E16" s="0" t="n">
        <v>28.9034571764679</v>
      </c>
      <c r="I16" s="0" t="n">
        <v>704.9</v>
      </c>
      <c r="J16" s="0" t="n">
        <v>8.05075550784061</v>
      </c>
      <c r="K16" s="0" t="n">
        <v>8.73</v>
      </c>
      <c r="L16" s="0" t="n">
        <v>938.8</v>
      </c>
      <c r="M16" s="0" t="n">
        <v>208.8</v>
      </c>
      <c r="N16" s="0" t="n">
        <v>730</v>
      </c>
      <c r="O16" s="0" t="n">
        <v>2312.3</v>
      </c>
      <c r="P16" s="0" t="n">
        <v>8404.2</v>
      </c>
      <c r="R16" s="0" t="n">
        <v>3143.1</v>
      </c>
      <c r="S16" s="0" t="n">
        <v>329.1</v>
      </c>
      <c r="T16" s="0" t="n">
        <v>80.7</v>
      </c>
      <c r="U16" s="0" t="n">
        <v>28.7</v>
      </c>
      <c r="V16" s="0" t="n">
        <v>3.45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8855.5</v>
      </c>
      <c r="C17" s="0" t="n">
        <v>6309.2</v>
      </c>
      <c r="D17" s="0" t="n">
        <v>2546.3</v>
      </c>
      <c r="E17" s="0" t="n">
        <v>28.7538817683925</v>
      </c>
      <c r="I17" s="0" t="n">
        <v>688</v>
      </c>
      <c r="J17" s="0" t="n">
        <v>7.76918299361978</v>
      </c>
      <c r="K17" s="0" t="n">
        <v>8.79</v>
      </c>
      <c r="L17" s="0" t="n">
        <v>881.4</v>
      </c>
      <c r="M17" s="0" t="n">
        <v>169</v>
      </c>
      <c r="N17" s="0" t="n">
        <v>712.4</v>
      </c>
      <c r="O17" s="0" t="n">
        <v>2242.1</v>
      </c>
      <c r="P17" s="0" t="n">
        <v>8801.7</v>
      </c>
      <c r="R17" s="0" t="n">
        <v>3721.9</v>
      </c>
      <c r="S17" s="0" t="n">
        <v>202.8</v>
      </c>
      <c r="T17" s="0" t="n">
        <v>78.3</v>
      </c>
      <c r="U17" s="0" t="n">
        <v>27.9</v>
      </c>
      <c r="V17" s="0" t="n">
        <v>3.7</v>
      </c>
      <c r="AA17" s="0" t="s">
        <v>17</v>
      </c>
      <c r="AB17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170.34</v>
      </c>
    </row>
    <row r="3" customFormat="false" ht="15" hidden="false" customHeight="false" outlineLevel="0" collapsed="false">
      <c r="A3" s="0" t="s">
        <v>82</v>
      </c>
      <c r="B3" s="3" t="n">
        <v>76.4</v>
      </c>
    </row>
    <row r="4" customFormat="false" ht="15" hidden="false" customHeight="false" outlineLevel="0" collapsed="false">
      <c r="A4" s="0" t="s">
        <v>83</v>
      </c>
      <c r="B4" s="3" t="n">
        <v>3450.9</v>
      </c>
    </row>
    <row r="5" customFormat="false" ht="15" hidden="false" customHeight="false" outlineLevel="0" collapsed="false">
      <c r="A5" s="0" t="s">
        <v>84</v>
      </c>
      <c r="B5" s="3" t="n">
        <v>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8855.5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0.5</v>
      </c>
      <c r="D13" s="3" t="n">
        <v>0.5</v>
      </c>
      <c r="E13" s="3" t="n">
        <v>1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103</v>
      </c>
      <c r="C14" s="3" t="n">
        <v>14.8</v>
      </c>
      <c r="D14" s="3" t="n">
        <v>14.2</v>
      </c>
      <c r="E14" s="3" t="n">
        <v>14</v>
      </c>
      <c r="F14" s="3" t="n">
        <v>14</v>
      </c>
      <c r="G14" s="3" t="n">
        <v>14.2</v>
      </c>
      <c r="H14" s="3" t="n">
        <v>14.4</v>
      </c>
      <c r="I14" s="3" t="n">
        <v>14.5</v>
      </c>
      <c r="J14" s="3" t="n">
        <v>14.5</v>
      </c>
      <c r="K14" s="3" t="n">
        <v>14.5</v>
      </c>
      <c r="L14" s="3" t="n">
        <v>14.5</v>
      </c>
    </row>
    <row r="15" customFormat="false" ht="15" hidden="false" customHeight="false" outlineLevel="0" collapsed="false">
      <c r="A15" s="0" t="s">
        <v>104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3.9</v>
      </c>
      <c r="D17" s="3" t="n">
        <v>3.9</v>
      </c>
      <c r="E17" s="3" t="n">
        <v>3.85</v>
      </c>
      <c r="F17" s="3" t="n">
        <v>3.85</v>
      </c>
      <c r="G17" s="3" t="n">
        <v>3.8</v>
      </c>
      <c r="H17" s="3" t="n">
        <v>3.8</v>
      </c>
      <c r="I17" s="3" t="n">
        <v>3.8</v>
      </c>
      <c r="J17" s="3" t="n">
        <v>3.8</v>
      </c>
      <c r="K17" s="3" t="n">
        <v>3.8</v>
      </c>
      <c r="L17" s="3" t="n">
        <v>3.8</v>
      </c>
    </row>
    <row r="18" customFormat="false" ht="15" hidden="false" customHeight="false" outlineLevel="0" collapsed="false">
      <c r="A18" s="0" t="s">
        <v>107</v>
      </c>
      <c r="C18" s="3" t="n">
        <v>2.6</v>
      </c>
      <c r="D18" s="3" t="n">
        <v>2.7</v>
      </c>
      <c r="E18" s="3" t="n">
        <v>2.7</v>
      </c>
      <c r="F18" s="3" t="n">
        <v>2.6</v>
      </c>
      <c r="G18" s="3" t="n">
        <v>2.6</v>
      </c>
      <c r="H18" s="3" t="n">
        <v>2.5</v>
      </c>
      <c r="I18" s="3" t="n">
        <v>2.5</v>
      </c>
      <c r="J18" s="3" t="n">
        <v>2.4</v>
      </c>
      <c r="K18" s="3" t="n">
        <v>2.4</v>
      </c>
      <c r="L18" s="3" t="n">
        <v>2.4</v>
      </c>
    </row>
    <row r="19" customFormat="false" ht="15" hidden="false" customHeight="false" outlineLevel="0" collapsed="false">
      <c r="A19" s="0" t="s">
        <v>108</v>
      </c>
      <c r="C19" s="3" t="n">
        <v>25</v>
      </c>
      <c r="D19" s="3" t="n">
        <v>25</v>
      </c>
      <c r="E19" s="3" t="n">
        <v>25.5</v>
      </c>
      <c r="F19" s="3" t="n">
        <v>25.5</v>
      </c>
      <c r="G19" s="3" t="n">
        <v>25.5</v>
      </c>
      <c r="H19" s="3" t="n">
        <v>25.5</v>
      </c>
      <c r="I19" s="3" t="n">
        <v>25.5</v>
      </c>
      <c r="J19" s="3" t="n">
        <v>25.5</v>
      </c>
      <c r="K19" s="3" t="n">
        <v>25.5</v>
      </c>
      <c r="L19" s="3" t="n">
        <v>25.5</v>
      </c>
    </row>
    <row r="20" customFormat="false" ht="15" hidden="false" customHeight="false" outlineLevel="0" collapsed="false">
      <c r="A20" s="0" t="s">
        <v>109</v>
      </c>
      <c r="B20" s="3" t="n">
        <v>9.5</v>
      </c>
    </row>
    <row r="21" customFormat="false" ht="15" hidden="false" customHeight="false" outlineLevel="0" collapsed="false">
      <c r="A21" s="0" t="s">
        <v>110</v>
      </c>
      <c r="B21" s="3" t="n">
        <v>2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-18</v>
      </c>
    </row>
    <row r="24" customFormat="false" ht="15" hidden="false" customHeight="false" outlineLevel="0" collapsed="false">
      <c r="A24" s="0" t="s">
        <v>113</v>
      </c>
      <c r="B24" s="3" t="n">
        <v>0.2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3.5</v>
      </c>
      <c r="D27" s="3" t="n">
        <v>4</v>
      </c>
      <c r="E27" s="3" t="n">
        <v>4.5</v>
      </c>
      <c r="F27" s="3" t="n">
        <v>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103</v>
      </c>
      <c r="C28" s="3" t="n">
        <v>16.4</v>
      </c>
      <c r="D28" s="3" t="n">
        <v>16.6</v>
      </c>
      <c r="E28" s="3" t="n">
        <v>16.8</v>
      </c>
      <c r="F28" s="3" t="n">
        <v>17</v>
      </c>
      <c r="G28" s="3" t="n">
        <v>17.2</v>
      </c>
      <c r="H28" s="3" t="n">
        <v>17.4</v>
      </c>
      <c r="I28" s="3" t="n">
        <v>17.5</v>
      </c>
      <c r="J28" s="3" t="n">
        <v>17.5</v>
      </c>
      <c r="K28" s="3" t="n">
        <v>17.5</v>
      </c>
      <c r="L28" s="3" t="n">
        <v>17.5</v>
      </c>
    </row>
    <row r="29" customFormat="false" ht="15" hidden="false" customHeight="false" outlineLevel="0" collapsed="false">
      <c r="A29" s="0" t="s">
        <v>104</v>
      </c>
      <c r="C29" s="3" t="n">
        <v>0.46</v>
      </c>
      <c r="D29" s="3" t="n">
        <v>0.46</v>
      </c>
      <c r="E29" s="3" t="n">
        <v>0.46</v>
      </c>
      <c r="F29" s="3" t="n">
        <v>0.46</v>
      </c>
      <c r="G29" s="3" t="n">
        <v>0.46</v>
      </c>
      <c r="H29" s="3" t="n">
        <v>0.46</v>
      </c>
      <c r="I29" s="3" t="n">
        <v>0.46</v>
      </c>
      <c r="J29" s="3" t="n">
        <v>0.46</v>
      </c>
      <c r="K29" s="3" t="n">
        <v>0.46</v>
      </c>
      <c r="L29" s="3" t="n">
        <v>0.46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3.7</v>
      </c>
      <c r="D31" s="3" t="n">
        <v>3.65</v>
      </c>
      <c r="E31" s="3" t="n">
        <v>3.6</v>
      </c>
      <c r="F31" s="3" t="n">
        <v>3.55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107</v>
      </c>
      <c r="C32" s="3" t="n">
        <v>2.3</v>
      </c>
      <c r="D32" s="3" t="n">
        <v>2.3</v>
      </c>
      <c r="E32" s="3" t="n">
        <v>2.3</v>
      </c>
      <c r="F32" s="3" t="n">
        <v>2.3</v>
      </c>
      <c r="G32" s="3" t="n">
        <v>2.2</v>
      </c>
      <c r="H32" s="3" t="n">
        <v>2.2</v>
      </c>
      <c r="I32" s="3" t="n">
        <v>2.1</v>
      </c>
      <c r="J32" s="3" t="n">
        <v>2.1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108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109</v>
      </c>
      <c r="B34" s="3" t="n">
        <v>8.5</v>
      </c>
    </row>
    <row r="35" customFormat="false" ht="15" hidden="false" customHeight="false" outlineLevel="0" collapsed="false">
      <c r="A35" s="0" t="s">
        <v>110</v>
      </c>
      <c r="B35" s="3" t="n">
        <v>2.5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-12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5</v>
      </c>
      <c r="D41" s="3" t="n">
        <v>6</v>
      </c>
      <c r="E41" s="3" t="n">
        <v>6.5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103</v>
      </c>
      <c r="C42" s="3" t="n">
        <v>16.6</v>
      </c>
      <c r="D42" s="3" t="n">
        <v>17</v>
      </c>
      <c r="E42" s="3" t="n">
        <v>17.4</v>
      </c>
      <c r="F42" s="3" t="n">
        <v>17.8</v>
      </c>
      <c r="G42" s="3" t="n">
        <v>18.2</v>
      </c>
      <c r="H42" s="3" t="n">
        <v>18.5</v>
      </c>
      <c r="I42" s="3" t="n">
        <v>18.5</v>
      </c>
      <c r="J42" s="3" t="n">
        <v>18.5</v>
      </c>
      <c r="K42" s="3" t="n">
        <v>18.5</v>
      </c>
      <c r="L42" s="3" t="n">
        <v>18.5</v>
      </c>
    </row>
    <row r="43" customFormat="false" ht="15" hidden="false" customHeight="false" outlineLevel="0" collapsed="false">
      <c r="A43" s="0" t="s">
        <v>104</v>
      </c>
      <c r="C43" s="3" t="n">
        <v>0.46</v>
      </c>
      <c r="D43" s="3" t="n">
        <v>0.46</v>
      </c>
      <c r="E43" s="3" t="n">
        <v>0.46</v>
      </c>
      <c r="F43" s="3" t="n">
        <v>0.46</v>
      </c>
      <c r="G43" s="3" t="n">
        <v>0.46</v>
      </c>
      <c r="H43" s="3" t="n">
        <v>0.46</v>
      </c>
      <c r="I43" s="3" t="n">
        <v>0.46</v>
      </c>
      <c r="J43" s="3" t="n">
        <v>0.46</v>
      </c>
      <c r="K43" s="3" t="n">
        <v>0.46</v>
      </c>
      <c r="L43" s="3" t="n">
        <v>0.46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3.6</v>
      </c>
      <c r="D45" s="3" t="n">
        <v>3.5</v>
      </c>
      <c r="E45" s="3" t="n">
        <v>3.4</v>
      </c>
      <c r="F45" s="3" t="n">
        <v>3.4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107</v>
      </c>
      <c r="C46" s="3" t="n">
        <v>2.3</v>
      </c>
      <c r="D46" s="3" t="n">
        <v>2.3</v>
      </c>
      <c r="E46" s="3" t="n">
        <v>2.2</v>
      </c>
      <c r="F46" s="3" t="n">
        <v>2.2</v>
      </c>
      <c r="G46" s="3" t="n">
        <v>2.1</v>
      </c>
      <c r="H46" s="3" t="n">
        <v>2.1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108</v>
      </c>
      <c r="C47" s="3" t="n">
        <v>23.5</v>
      </c>
      <c r="D47" s="3" t="n">
        <v>23.5</v>
      </c>
      <c r="E47" s="3" t="n">
        <v>23.5</v>
      </c>
      <c r="F47" s="3" t="n">
        <v>23.5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109</v>
      </c>
      <c r="B48" s="3" t="n">
        <v>8</v>
      </c>
    </row>
    <row r="49" customFormat="false" ht="15" hidden="false" customHeight="false" outlineLevel="0" collapsed="false">
      <c r="A49" s="0" t="s">
        <v>110</v>
      </c>
      <c r="B49" s="3" t="n">
        <v>3</v>
      </c>
    </row>
    <row r="50" customFormat="false" ht="15" hidden="false" customHeight="false" outlineLevel="0" collapsed="false">
      <c r="A50" s="0" t="s">
        <v>111</v>
      </c>
      <c r="B50" s="3" t="n">
        <v>17</v>
      </c>
    </row>
    <row r="51" customFormat="false" ht="15" hidden="false" customHeight="false" outlineLevel="0" collapsed="false">
      <c r="A51" s="0" t="s">
        <v>112</v>
      </c>
      <c r="B51" s="3" t="n">
        <v>-10</v>
      </c>
    </row>
    <row r="52" customFormat="false" ht="15" hidden="false" customHeight="false" outlineLevel="0" collapsed="false">
      <c r="A52" s="0" t="s">
        <v>113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0.5</v>
      </c>
      <c r="D5" s="4" t="n">
        <f aca="false">Assumptions!D13</f>
        <v>0.5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8855.5</v>
      </c>
      <c r="C6" s="0" t="n">
        <f aca="false">B6*(1+C5/100)</f>
        <v>8899.7775</v>
      </c>
      <c r="D6" s="0" t="n">
        <f aca="false">C6*(1+D5/100)</f>
        <v>8944.2763875</v>
      </c>
      <c r="E6" s="0" t="n">
        <f aca="false">D6*(1+E5/100)</f>
        <v>9033.719151375</v>
      </c>
      <c r="F6" s="0" t="n">
        <f aca="false">E6*(1+F5/100)</f>
        <v>9124.05634288875</v>
      </c>
      <c r="G6" s="0" t="n">
        <f aca="false">F6*(1+G5/100)</f>
        <v>9260.91718803208</v>
      </c>
      <c r="H6" s="0" t="n">
        <f aca="false">G6*(1+H5/100)</f>
        <v>9399.83094585256</v>
      </c>
      <c r="I6" s="0" t="n">
        <f aca="false">H6*(1+I5/100)</f>
        <v>9540.82841004035</v>
      </c>
      <c r="J6" s="0" t="n">
        <f aca="false">I6*(1+J5/100)</f>
        <v>9683.94083619095</v>
      </c>
      <c r="K6" s="0" t="n">
        <f aca="false">J6*(1+K5/100)</f>
        <v>9829.19994873381</v>
      </c>
      <c r="L6" s="0" t="n">
        <f aca="false">K6*(1+L5/100)</f>
        <v>9976.63794796482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14.8</v>
      </c>
      <c r="D7" s="4" t="n">
        <f aca="false">Assumptions!D14</f>
        <v>14.2</v>
      </c>
      <c r="E7" s="4" t="n">
        <f aca="false">Assumptions!E14</f>
        <v>14</v>
      </c>
      <c r="F7" s="4" t="n">
        <f aca="false">Assumptions!F14</f>
        <v>14</v>
      </c>
      <c r="G7" s="4" t="n">
        <f aca="false">Assumptions!G14</f>
        <v>14.2</v>
      </c>
      <c r="H7" s="4" t="n">
        <f aca="false">Assumptions!H14</f>
        <v>14.4</v>
      </c>
      <c r="I7" s="4" t="n">
        <f aca="false">Assumptions!I14</f>
        <v>14.5</v>
      </c>
      <c r="J7" s="4" t="n">
        <f aca="false">Assumptions!J14</f>
        <v>14.5</v>
      </c>
      <c r="K7" s="4" t="n">
        <f aca="false">Assumptions!K14</f>
        <v>14.5</v>
      </c>
      <c r="L7" s="4" t="n">
        <f aca="false">Assumptions!L14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1317.16707</v>
      </c>
      <c r="D8" s="0" t="n">
        <f aca="false">D6*D7/100</f>
        <v>1270.087247025</v>
      </c>
      <c r="E8" s="0" t="n">
        <f aca="false">E6*E7/100</f>
        <v>1264.7206811925</v>
      </c>
      <c r="F8" s="0" t="n">
        <f aca="false">F6*F7/100</f>
        <v>1277.36788800443</v>
      </c>
      <c r="G8" s="0" t="n">
        <f aca="false">G6*G7/100</f>
        <v>1315.05024070056</v>
      </c>
      <c r="H8" s="0" t="n">
        <f aca="false">H6*H7/100</f>
        <v>1353.57565620277</v>
      </c>
      <c r="I8" s="0" t="n">
        <f aca="false">I6*I7/100</f>
        <v>1383.42011945585</v>
      </c>
      <c r="J8" s="0" t="n">
        <f aca="false">J6*J7/100</f>
        <v>1404.17142124769</v>
      </c>
      <c r="K8" s="0" t="n">
        <f aca="false">K6*K7/100</f>
        <v>1425.2339925664</v>
      </c>
      <c r="L8" s="0" t="n">
        <f aca="false">L6*L7/100</f>
        <v>1446.6125024549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-44.4988875</v>
      </c>
      <c r="D10" s="0" t="n">
        <f aca="false">-D6*D9/100</f>
        <v>-44.7213819375</v>
      </c>
      <c r="E10" s="0" t="n">
        <f aca="false">-E6*E9/100</f>
        <v>-45.168595756875</v>
      </c>
      <c r="F10" s="0" t="n">
        <f aca="false">-F6*F9/100</f>
        <v>-45.6202817144437</v>
      </c>
      <c r="G10" s="0" t="n">
        <f aca="false">-G6*G9/100</f>
        <v>-46.3045859401604</v>
      </c>
      <c r="H10" s="0" t="n">
        <f aca="false">-H6*H9/100</f>
        <v>-46.9991547292628</v>
      </c>
      <c r="I10" s="0" t="n">
        <f aca="false">-I6*I9/100</f>
        <v>-47.7041420502017</v>
      </c>
      <c r="J10" s="0" t="n">
        <f aca="false">-J6*J9/100</f>
        <v>-48.4197041809548</v>
      </c>
      <c r="K10" s="0" t="n">
        <f aca="false">-K6*K9/100</f>
        <v>-49.1459997436691</v>
      </c>
      <c r="L10" s="0" t="n">
        <f aca="false">-L6*L9/100</f>
        <v>-49.8831897398241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1272.6681825</v>
      </c>
      <c r="D11" s="0" t="n">
        <f aca="false">D8+D10+D24</f>
        <v>1225.3658650875</v>
      </c>
      <c r="E11" s="0" t="n">
        <f aca="false">E8+E10+E24</f>
        <v>1219.55208543562</v>
      </c>
      <c r="F11" s="0" t="n">
        <f aca="false">F8+F10+F24</f>
        <v>1231.74760628998</v>
      </c>
      <c r="G11" s="0" t="n">
        <f aca="false">G8+G10+G24</f>
        <v>1268.74565476039</v>
      </c>
      <c r="H11" s="0" t="n">
        <f aca="false">H8+H10+H24</f>
        <v>1306.57650147351</v>
      </c>
      <c r="I11" s="0" t="n">
        <f aca="false">I8+I10+I24</f>
        <v>1335.71597740565</v>
      </c>
      <c r="J11" s="0" t="n">
        <f aca="false">J8+J10+J24</f>
        <v>1355.75171706673</v>
      </c>
      <c r="K11" s="0" t="n">
        <f aca="false">K8+K10+K24</f>
        <v>1376.08799282273</v>
      </c>
      <c r="L11" s="0" t="n">
        <f aca="false">L8+L10+L24</f>
        <v>1396.72931271508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-347.0913225</v>
      </c>
      <c r="D12" s="4" t="n">
        <f aca="false">-D6*Assumptions!D17/100</f>
        <v>-348.8267791125</v>
      </c>
      <c r="E12" s="4" t="n">
        <f aca="false">-E6*Assumptions!E17/100</f>
        <v>-347.798187327938</v>
      </c>
      <c r="F12" s="4" t="n">
        <f aca="false">-F6*Assumptions!F17/100</f>
        <v>-351.276169201217</v>
      </c>
      <c r="G12" s="4" t="n">
        <f aca="false">-G6*Assumptions!G17/100</f>
        <v>-351.914853145219</v>
      </c>
      <c r="H12" s="4" t="n">
        <f aca="false">-H6*Assumptions!H17/100</f>
        <v>-357.193575942397</v>
      </c>
      <c r="I12" s="4" t="n">
        <f aca="false">-I6*Assumptions!I17/100</f>
        <v>-362.551479581533</v>
      </c>
      <c r="J12" s="4" t="n">
        <f aca="false">-J6*Assumptions!J17/100</f>
        <v>-367.989751775256</v>
      </c>
      <c r="K12" s="4" t="n">
        <f aca="false">-K6*Assumptions!K17/100</f>
        <v>-373.509598051885</v>
      </c>
      <c r="L12" s="4" t="n">
        <f aca="false">-L6*Assumptions!L17/100</f>
        <v>-379.112242022663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925.57686</v>
      </c>
      <c r="D13" s="0" t="n">
        <f aca="false">D11+D12</f>
        <v>876.539085975</v>
      </c>
      <c r="E13" s="0" t="n">
        <f aca="false">E11+E12</f>
        <v>871.753898107687</v>
      </c>
      <c r="F13" s="0" t="n">
        <f aca="false">F11+F12</f>
        <v>880.471437088764</v>
      </c>
      <c r="G13" s="0" t="n">
        <f aca="false">G11+G12</f>
        <v>916.830801615176</v>
      </c>
      <c r="H13" s="0" t="n">
        <f aca="false">H11+H12</f>
        <v>949.382925531109</v>
      </c>
      <c r="I13" s="0" t="n">
        <f aca="false">I11+I12</f>
        <v>973.164497824115</v>
      </c>
      <c r="J13" s="0" t="n">
        <f aca="false">J11+J12</f>
        <v>987.761965291477</v>
      </c>
      <c r="K13" s="0" t="n">
        <f aca="false">K11+K12</f>
        <v>1002.57839477085</v>
      </c>
      <c r="L13" s="0" t="n">
        <f aca="false">L11+L12</f>
        <v>1017.61707069241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25.5</v>
      </c>
      <c r="F14" s="4" t="n">
        <f aca="false">Assumptions!F19</f>
        <v>25.5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25.5</v>
      </c>
      <c r="J14" s="4" t="n">
        <f aca="false">Assumptions!J19</f>
        <v>25.5</v>
      </c>
      <c r="K14" s="4" t="n">
        <f aca="false">Assumptions!K19</f>
        <v>25.5</v>
      </c>
      <c r="L14" s="4" t="n">
        <f aca="false">Assumptions!L19</f>
        <v>25.5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694.182645</v>
      </c>
      <c r="D15" s="0" t="n">
        <f aca="false">D13-MAX(0,D13)*D14/100</f>
        <v>657.40431448125</v>
      </c>
      <c r="E15" s="0" t="n">
        <f aca="false">E13-MAX(0,E13)*E14/100</f>
        <v>649.456654090227</v>
      </c>
      <c r="F15" s="0" t="n">
        <f aca="false">F13-MAX(0,F13)*F14/100</f>
        <v>655.951220631129</v>
      </c>
      <c r="G15" s="0" t="n">
        <f aca="false">G13-MAX(0,G13)*G14/100</f>
        <v>683.038947203306</v>
      </c>
      <c r="H15" s="0" t="n">
        <f aca="false">H13-MAX(0,H13)*H14/100</f>
        <v>707.290279520676</v>
      </c>
      <c r="I15" s="0" t="n">
        <f aca="false">I13-MAX(0,I13)*I14/100</f>
        <v>725.007550878966</v>
      </c>
      <c r="J15" s="0" t="n">
        <f aca="false">J13-MAX(0,J13)*J14/100</f>
        <v>735.882664142151</v>
      </c>
      <c r="K15" s="0" t="n">
        <f aca="false">K13-MAX(0,K13)*K14/100</f>
        <v>746.920904104283</v>
      </c>
      <c r="L15" s="0" t="n">
        <f aca="false">L13-MAX(0,L13)*L14/100</f>
        <v>758.124717665847</v>
      </c>
    </row>
    <row r="16" customFormat="false" ht="15" hidden="false" customHeight="false" outlineLevel="0" collapsed="false">
      <c r="A16" s="0" t="s">
        <v>124</v>
      </c>
      <c r="C16" s="0" t="n">
        <f aca="false">-C12</f>
        <v>347.0913225</v>
      </c>
      <c r="D16" s="0" t="n">
        <f aca="false">-D12</f>
        <v>348.8267791125</v>
      </c>
      <c r="E16" s="0" t="n">
        <f aca="false">-E12</f>
        <v>347.798187327938</v>
      </c>
      <c r="F16" s="0" t="n">
        <f aca="false">-F12</f>
        <v>351.276169201217</v>
      </c>
      <c r="G16" s="0" t="n">
        <f aca="false">-G12</f>
        <v>351.914853145219</v>
      </c>
      <c r="H16" s="0" t="n">
        <f aca="false">-H12</f>
        <v>357.193575942397</v>
      </c>
      <c r="I16" s="0" t="n">
        <f aca="false">-I12</f>
        <v>362.551479581533</v>
      </c>
      <c r="J16" s="0" t="n">
        <f aca="false">-J12</f>
        <v>367.989751775256</v>
      </c>
      <c r="K16" s="0" t="n">
        <f aca="false">-K12</f>
        <v>373.509598051885</v>
      </c>
      <c r="L16" s="0" t="n">
        <f aca="false">-L12</f>
        <v>379.112242022663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-231.394215</v>
      </c>
      <c r="D17" s="4" t="n">
        <f aca="false">-D6*Assumptions!D18/100</f>
        <v>-241.4954624625</v>
      </c>
      <c r="E17" s="4" t="n">
        <f aca="false">-E6*Assumptions!E18/100</f>
        <v>-243.910417087125</v>
      </c>
      <c r="F17" s="4" t="n">
        <f aca="false">-F6*Assumptions!F18/100</f>
        <v>-237.225464915107</v>
      </c>
      <c r="G17" s="4" t="n">
        <f aca="false">-G6*Assumptions!G18/100</f>
        <v>-240.783846888834</v>
      </c>
      <c r="H17" s="4" t="n">
        <f aca="false">-H6*Assumptions!H18/100</f>
        <v>-234.995773646314</v>
      </c>
      <c r="I17" s="4" t="n">
        <f aca="false">-I6*Assumptions!I18/100</f>
        <v>-238.520710251009</v>
      </c>
      <c r="J17" s="4" t="n">
        <f aca="false">-J6*Assumptions!J18/100</f>
        <v>-232.414580068583</v>
      </c>
      <c r="K17" s="4" t="n">
        <f aca="false">-K6*Assumptions!K18/100</f>
        <v>-235.900798769612</v>
      </c>
      <c r="L17" s="4" t="n">
        <f aca="false">-L6*Assumptions!L18/100</f>
        <v>-239.439310751156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-7.9699499999997</v>
      </c>
      <c r="D18" s="4" t="n">
        <f aca="false">(D6-C6)*Assumptions!$B$23/100</f>
        <v>-8.00979974999998</v>
      </c>
      <c r="E18" s="4" t="n">
        <f aca="false">(E6-D6)*Assumptions!$B$23/100</f>
        <v>-16.0996974975001</v>
      </c>
      <c r="F18" s="4" t="n">
        <f aca="false">(F6-E6)*Assumptions!$B$23/100</f>
        <v>-16.2606944724751</v>
      </c>
      <c r="G18" s="4" t="n">
        <f aca="false">(G6-F6)*Assumptions!$B$23/100</f>
        <v>-24.6349521257994</v>
      </c>
      <c r="H18" s="4" t="n">
        <f aca="false">(H6-G6)*Assumptions!$B$23/100</f>
        <v>-25.0044764076866</v>
      </c>
      <c r="I18" s="4" t="n">
        <f aca="false">(I6-H6)*Assumptions!$B$23/100</f>
        <v>-25.3795435538017</v>
      </c>
      <c r="J18" s="4" t="n">
        <f aca="false">(J6-I6)*Assumptions!$B$23/100</f>
        <v>-25.7602367071089</v>
      </c>
      <c r="K18" s="4" t="n">
        <f aca="false">(K6-J6)*Assumptions!$B$23/100</f>
        <v>-26.1466402577153</v>
      </c>
      <c r="L18" s="4" t="n">
        <f aca="false">(L6-K6)*Assumptions!$B$23/100</f>
        <v>-26.5388398615811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801.9098025</v>
      </c>
      <c r="D19" s="0" t="n">
        <f aca="false">D15+D16+D17+D18</f>
        <v>756.72583138125</v>
      </c>
      <c r="E19" s="0" t="n">
        <f aca="false">E15+E16+E17+E18</f>
        <v>737.24472683354</v>
      </c>
      <c r="F19" s="0" t="n">
        <f aca="false">F15+F16+F17+F18</f>
        <v>753.741230444764</v>
      </c>
      <c r="G19" s="0" t="n">
        <f aca="false">G15+G16+G17+G18</f>
        <v>769.535001333892</v>
      </c>
      <c r="H19" s="0" t="n">
        <f aca="false">H15+H16+H17+H18</f>
        <v>804.483605409073</v>
      </c>
      <c r="I19" s="0" t="n">
        <f aca="false">I15+I16+I17+I18</f>
        <v>823.658776655689</v>
      </c>
      <c r="J19" s="0" t="n">
        <f aca="false">J15+J16+J17+J18</f>
        <v>845.697599141715</v>
      </c>
      <c r="K19" s="0" t="n">
        <f aca="false">K15+K16+K17+K18</f>
        <v>858.383063128841</v>
      </c>
      <c r="L19" s="0" t="n">
        <f aca="false">L15+L16+L17+L18</f>
        <v>871.258809075773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732.337719178083</v>
      </c>
      <c r="D21" s="0" t="n">
        <f aca="false">D19*D20</f>
        <v>631.117642568962</v>
      </c>
      <c r="E21" s="0" t="n">
        <f aca="false">E19*E20</f>
        <v>561.525285590996</v>
      </c>
      <c r="F21" s="0" t="n">
        <f aca="false">F19*F20</f>
        <v>524.283023836105</v>
      </c>
      <c r="G21" s="0" t="n">
        <f aca="false">G19*G20</f>
        <v>488.829922250002</v>
      </c>
      <c r="H21" s="0" t="n">
        <f aca="false">H19*H20</f>
        <v>466.694285316475</v>
      </c>
      <c r="I21" s="0" t="n">
        <f aca="false">I19*I20</f>
        <v>436.363580145458</v>
      </c>
      <c r="J21" s="0" t="n">
        <f aca="false">J19*J20</f>
        <v>409.168455029732</v>
      </c>
      <c r="K21" s="0" t="n">
        <f aca="false">K19*K20</f>
        <v>379.274869274135</v>
      </c>
      <c r="L21" s="0" t="n">
        <f aca="false">L19*L20</f>
        <v>351.565289783788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4981.16007297374</v>
      </c>
    </row>
    <row r="31" customFormat="false" ht="15" hidden="false" customHeight="false" outlineLevel="0" collapsed="false">
      <c r="A31" s="0" t="s">
        <v>133</v>
      </c>
      <c r="B31" s="0" t="n">
        <f aca="false">L19</f>
        <v>871.258809075773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11849.1198034305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10455.1057089093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10455.1057089093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4218.78347740545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9199.94355037919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5749.04355037919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75.2492611306176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-0.558240805855245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291.293710189945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273.74861646175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82.6451031024984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6836.0306558253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28.7950269479623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3.5</v>
      </c>
      <c r="D5" s="4" t="n">
        <f aca="false">Assumptions!D27</f>
        <v>4</v>
      </c>
      <c r="E5" s="4" t="n">
        <f aca="false">Assumptions!E27</f>
        <v>4.5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8855.5</v>
      </c>
      <c r="C6" s="0" t="n">
        <f aca="false">B6*(1+C5/100)</f>
        <v>9165.4425</v>
      </c>
      <c r="D6" s="0" t="n">
        <f aca="false">C6*(1+D5/100)</f>
        <v>9532.0602</v>
      </c>
      <c r="E6" s="0" t="n">
        <f aca="false">D6*(1+E5/100)</f>
        <v>9961.002909</v>
      </c>
      <c r="F6" s="0" t="n">
        <f aca="false">E6*(1+F5/100)</f>
        <v>10459.05305445</v>
      </c>
      <c r="G6" s="0" t="n">
        <f aca="false">F6*(1+G5/100)</f>
        <v>10982.0057071725</v>
      </c>
      <c r="H6" s="0" t="n">
        <f aca="false">G6*(1+H5/100)</f>
        <v>11476.1959639953</v>
      </c>
      <c r="I6" s="0" t="n">
        <f aca="false">H6*(1+I5/100)</f>
        <v>11935.2438025551</v>
      </c>
      <c r="J6" s="0" t="n">
        <f aca="false">I6*(1+J5/100)</f>
        <v>12352.9773356445</v>
      </c>
      <c r="K6" s="0" t="n">
        <f aca="false">J6*(1+K5/100)</f>
        <v>12723.5666557138</v>
      </c>
      <c r="L6" s="0" t="n">
        <f aca="false">K6*(1+L5/100)</f>
        <v>13041.6558221067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16.4</v>
      </c>
      <c r="D7" s="4" t="n">
        <f aca="false">Assumptions!D28</f>
        <v>16.6</v>
      </c>
      <c r="E7" s="4" t="n">
        <f aca="false">Assumptions!E28</f>
        <v>16.8</v>
      </c>
      <c r="F7" s="4" t="n">
        <f aca="false">Assumptions!F28</f>
        <v>17</v>
      </c>
      <c r="G7" s="4" t="n">
        <f aca="false">Assumptions!G28</f>
        <v>17.2</v>
      </c>
      <c r="H7" s="4" t="n">
        <f aca="false">Assumptions!H28</f>
        <v>17.4</v>
      </c>
      <c r="I7" s="4" t="n">
        <f aca="false">Assumptions!I28</f>
        <v>17.5</v>
      </c>
      <c r="J7" s="4" t="n">
        <f aca="false">Assumptions!J28</f>
        <v>17.5</v>
      </c>
      <c r="K7" s="4" t="n">
        <f aca="false">Assumptions!K28</f>
        <v>17.5</v>
      </c>
      <c r="L7" s="4" t="n">
        <f aca="false">Assumptions!L28</f>
        <v>17.5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1503.13257</v>
      </c>
      <c r="D8" s="0" t="n">
        <f aca="false">D6*D7/100</f>
        <v>1582.3219932</v>
      </c>
      <c r="E8" s="0" t="n">
        <f aca="false">E6*E7/100</f>
        <v>1673.448488712</v>
      </c>
      <c r="F8" s="0" t="n">
        <f aca="false">F6*F7/100</f>
        <v>1778.0390192565</v>
      </c>
      <c r="G8" s="0" t="n">
        <f aca="false">G6*G7/100</f>
        <v>1888.90498163367</v>
      </c>
      <c r="H8" s="0" t="n">
        <f aca="false">H6*H7/100</f>
        <v>1996.85809773518</v>
      </c>
      <c r="I8" s="0" t="n">
        <f aca="false">I6*I7/100</f>
        <v>2088.66766544714</v>
      </c>
      <c r="J8" s="0" t="n">
        <f aca="false">J6*J7/100</f>
        <v>2161.77103373779</v>
      </c>
      <c r="K8" s="0" t="n">
        <f aca="false">K6*K7/100</f>
        <v>2226.62416474992</v>
      </c>
      <c r="L8" s="0" t="n">
        <f aca="false">L6*L7/100</f>
        <v>2282.28976886867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0.46</v>
      </c>
      <c r="D9" s="4" t="n">
        <f aca="false">Assumptions!D29</f>
        <v>0.46</v>
      </c>
      <c r="E9" s="4" t="n">
        <f aca="false">Assumptions!E29</f>
        <v>0.46</v>
      </c>
      <c r="F9" s="4" t="n">
        <f aca="false">Assumptions!F29</f>
        <v>0.46</v>
      </c>
      <c r="G9" s="4" t="n">
        <f aca="false">Assumptions!G29</f>
        <v>0.46</v>
      </c>
      <c r="H9" s="4" t="n">
        <f aca="false">Assumptions!H29</f>
        <v>0.46</v>
      </c>
      <c r="I9" s="4" t="n">
        <f aca="false">Assumptions!I29</f>
        <v>0.46</v>
      </c>
      <c r="J9" s="4" t="n">
        <f aca="false">Assumptions!J29</f>
        <v>0.46</v>
      </c>
      <c r="K9" s="4" t="n">
        <f aca="false">Assumptions!K29</f>
        <v>0.46</v>
      </c>
      <c r="L9" s="4" t="n">
        <f aca="false">Assumptions!L29</f>
        <v>0.46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-42.1610355</v>
      </c>
      <c r="D10" s="0" t="n">
        <f aca="false">-D6*D9/100</f>
        <v>-43.84747692</v>
      </c>
      <c r="E10" s="0" t="n">
        <f aca="false">-E6*E9/100</f>
        <v>-45.8206133814</v>
      </c>
      <c r="F10" s="0" t="n">
        <f aca="false">-F6*F9/100</f>
        <v>-48.11164405047</v>
      </c>
      <c r="G10" s="0" t="n">
        <f aca="false">-G6*G9/100</f>
        <v>-50.5172262529935</v>
      </c>
      <c r="H10" s="0" t="n">
        <f aca="false">-H6*H9/100</f>
        <v>-52.7905014343782</v>
      </c>
      <c r="I10" s="0" t="n">
        <f aca="false">-I6*I9/100</f>
        <v>-54.9021214917533</v>
      </c>
      <c r="J10" s="0" t="n">
        <f aca="false">-J6*J9/100</f>
        <v>-56.8236957439647</v>
      </c>
      <c r="K10" s="0" t="n">
        <f aca="false">-K6*K9/100</f>
        <v>-58.5284066162836</v>
      </c>
      <c r="L10" s="0" t="n">
        <f aca="false">-L6*L9/100</f>
        <v>-59.9916167816907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1460.9715345</v>
      </c>
      <c r="D11" s="0" t="n">
        <f aca="false">D8+D10+D24</f>
        <v>1538.47451628</v>
      </c>
      <c r="E11" s="0" t="n">
        <f aca="false">E8+E10+E24</f>
        <v>1627.6278753306</v>
      </c>
      <c r="F11" s="0" t="n">
        <f aca="false">F8+F10+F24</f>
        <v>1729.92737520603</v>
      </c>
      <c r="G11" s="0" t="n">
        <f aca="false">G8+G10+G24</f>
        <v>1838.38775538068</v>
      </c>
      <c r="H11" s="0" t="n">
        <f aca="false">H8+H10+H24</f>
        <v>1944.0675963008</v>
      </c>
      <c r="I11" s="0" t="n">
        <f aca="false">I8+I10+I24</f>
        <v>2033.76554395538</v>
      </c>
      <c r="J11" s="0" t="n">
        <f aca="false">J8+J10+J24</f>
        <v>2104.94733799382</v>
      </c>
      <c r="K11" s="0" t="n">
        <f aca="false">K8+K10+K24</f>
        <v>2168.09575813364</v>
      </c>
      <c r="L11" s="0" t="n">
        <f aca="false">L8+L10+L24</f>
        <v>2222.29815208698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-339.1213725</v>
      </c>
      <c r="D12" s="4" t="n">
        <f aca="false">-D6*Assumptions!D31/100</f>
        <v>-347.9201973</v>
      </c>
      <c r="E12" s="4" t="n">
        <f aca="false">-E6*Assumptions!E31/100</f>
        <v>-358.596104724</v>
      </c>
      <c r="F12" s="4" t="n">
        <f aca="false">-F6*Assumptions!F31/100</f>
        <v>-371.296383432975</v>
      </c>
      <c r="G12" s="4" t="n">
        <f aca="false">-G6*Assumptions!G31/100</f>
        <v>-384.370199751038</v>
      </c>
      <c r="H12" s="4" t="n">
        <f aca="false">-H6*Assumptions!H31/100</f>
        <v>-401.666858739834</v>
      </c>
      <c r="I12" s="4" t="n">
        <f aca="false">-I6*Assumptions!I31/100</f>
        <v>-417.733533089428</v>
      </c>
      <c r="J12" s="4" t="n">
        <f aca="false">-J6*Assumptions!J31/100</f>
        <v>-432.354206747558</v>
      </c>
      <c r="K12" s="4" t="n">
        <f aca="false">-K6*Assumptions!K31/100</f>
        <v>-445.324832949984</v>
      </c>
      <c r="L12" s="4" t="n">
        <f aca="false">-L6*Assumptions!L31/100</f>
        <v>-456.457953773734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1121.850162</v>
      </c>
      <c r="D13" s="0" t="n">
        <f aca="false">D11+D12</f>
        <v>1190.55431898</v>
      </c>
      <c r="E13" s="0" t="n">
        <f aca="false">E11+E12</f>
        <v>1269.0317706066</v>
      </c>
      <c r="F13" s="0" t="n">
        <f aca="false">F11+F12</f>
        <v>1358.63099177305</v>
      </c>
      <c r="G13" s="0" t="n">
        <f aca="false">G11+G12</f>
        <v>1454.01755562964</v>
      </c>
      <c r="H13" s="0" t="n">
        <f aca="false">H11+H12</f>
        <v>1542.40073756096</v>
      </c>
      <c r="I13" s="0" t="n">
        <f aca="false">I11+I12</f>
        <v>1616.03201086596</v>
      </c>
      <c r="J13" s="0" t="n">
        <f aca="false">J11+J12</f>
        <v>1672.59313124626</v>
      </c>
      <c r="K13" s="0" t="n">
        <f aca="false">K11+K12</f>
        <v>1722.77092518365</v>
      </c>
      <c r="L13" s="0" t="n">
        <f aca="false">L11+L12</f>
        <v>1765.84019831324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852.60612312</v>
      </c>
      <c r="D15" s="0" t="n">
        <f aca="false">D13-MAX(0,D13)*D14/100</f>
        <v>904.8212824248</v>
      </c>
      <c r="E15" s="0" t="n">
        <f aca="false">E13-MAX(0,E13)*E14/100</f>
        <v>964.464145661016</v>
      </c>
      <c r="F15" s="0" t="n">
        <f aca="false">F13-MAX(0,F13)*F14/100</f>
        <v>1032.55955374752</v>
      </c>
      <c r="G15" s="0" t="n">
        <f aca="false">G13-MAX(0,G13)*G14/100</f>
        <v>1097.78325450038</v>
      </c>
      <c r="H15" s="0" t="n">
        <f aca="false">H13-MAX(0,H13)*H14/100</f>
        <v>1164.51255685853</v>
      </c>
      <c r="I15" s="0" t="n">
        <f aca="false">I13-MAX(0,I13)*I14/100</f>
        <v>1220.1041682038</v>
      </c>
      <c r="J15" s="0" t="n">
        <f aca="false">J13-MAX(0,J13)*J14/100</f>
        <v>1262.80781409093</v>
      </c>
      <c r="K15" s="0" t="n">
        <f aca="false">K13-MAX(0,K13)*K14/100</f>
        <v>1300.69204851366</v>
      </c>
      <c r="L15" s="0" t="n">
        <f aca="false">L13-MAX(0,L13)*L14/100</f>
        <v>1333.2093497265</v>
      </c>
    </row>
    <row r="16" customFormat="false" ht="15" hidden="false" customHeight="false" outlineLevel="0" collapsed="false">
      <c r="A16" s="0" t="s">
        <v>124</v>
      </c>
      <c r="C16" s="0" t="n">
        <f aca="false">-C12</f>
        <v>339.1213725</v>
      </c>
      <c r="D16" s="0" t="n">
        <f aca="false">-D12</f>
        <v>347.9201973</v>
      </c>
      <c r="E16" s="0" t="n">
        <f aca="false">-E12</f>
        <v>358.596104724</v>
      </c>
      <c r="F16" s="0" t="n">
        <f aca="false">-F12</f>
        <v>371.296383432975</v>
      </c>
      <c r="G16" s="0" t="n">
        <f aca="false">-G12</f>
        <v>384.370199751038</v>
      </c>
      <c r="H16" s="0" t="n">
        <f aca="false">-H12</f>
        <v>401.666858739834</v>
      </c>
      <c r="I16" s="0" t="n">
        <f aca="false">-I12</f>
        <v>417.733533089428</v>
      </c>
      <c r="J16" s="0" t="n">
        <f aca="false">-J12</f>
        <v>432.354206747558</v>
      </c>
      <c r="K16" s="0" t="n">
        <f aca="false">-K12</f>
        <v>445.324832949984</v>
      </c>
      <c r="L16" s="0" t="n">
        <f aca="false">-L12</f>
        <v>456.457953773734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-210.8051775</v>
      </c>
      <c r="D17" s="4" t="n">
        <f aca="false">-D6*Assumptions!D32/100</f>
        <v>-219.2373846</v>
      </c>
      <c r="E17" s="4" t="n">
        <f aca="false">-E6*Assumptions!E32/100</f>
        <v>-229.103066907</v>
      </c>
      <c r="F17" s="4" t="n">
        <f aca="false">-F6*Assumptions!F32/100</f>
        <v>-240.55822025235</v>
      </c>
      <c r="G17" s="4" t="n">
        <f aca="false">-G6*Assumptions!G32/100</f>
        <v>-241.604125557795</v>
      </c>
      <c r="H17" s="4" t="n">
        <f aca="false">-H6*Assumptions!H32/100</f>
        <v>-252.476311207896</v>
      </c>
      <c r="I17" s="4" t="n">
        <f aca="false">-I6*Assumptions!I32/100</f>
        <v>-250.640119853657</v>
      </c>
      <c r="J17" s="4" t="n">
        <f aca="false">-J6*Assumptions!J32/100</f>
        <v>-259.412524048534</v>
      </c>
      <c r="K17" s="4" t="n">
        <f aca="false">-K6*Assumptions!K32/100</f>
        <v>-254.471333114277</v>
      </c>
      <c r="L17" s="4" t="n">
        <f aca="false">-L6*Assumptions!L32/100</f>
        <v>-260.833116442134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-37.1930999999999</v>
      </c>
      <c r="D18" s="4" t="n">
        <f aca="false">(D6-C6)*Assumptions!$B$37/100</f>
        <v>-43.9941240000001</v>
      </c>
      <c r="E18" s="4" t="n">
        <f aca="false">(E6-D6)*Assumptions!$B$37/100</f>
        <v>-51.4731250799999</v>
      </c>
      <c r="F18" s="4" t="n">
        <f aca="false">(F6-E6)*Assumptions!$B$37/100</f>
        <v>-59.7660174540001</v>
      </c>
      <c r="G18" s="4" t="n">
        <f aca="false">(G6-F6)*Assumptions!$B$37/100</f>
        <v>-62.7543183267001</v>
      </c>
      <c r="H18" s="4" t="n">
        <f aca="false">(H6-G6)*Assumptions!$B$37/100</f>
        <v>-59.3028308187314</v>
      </c>
      <c r="I18" s="4" t="n">
        <f aca="false">(I6-H6)*Assumptions!$B$37/100</f>
        <v>-55.0857406271773</v>
      </c>
      <c r="J18" s="4" t="n">
        <f aca="false">(J6-I6)*Assumptions!$B$37/100</f>
        <v>-50.1280239707311</v>
      </c>
      <c r="K18" s="4" t="n">
        <f aca="false">(K6-J6)*Assumptions!$B$37/100</f>
        <v>-44.4707184083202</v>
      </c>
      <c r="L18" s="4" t="n">
        <f aca="false">(L6-K6)*Assumptions!$B$37/100</f>
        <v>-38.1706999671414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943.72921812</v>
      </c>
      <c r="D19" s="0" t="n">
        <f aca="false">D15+D16+D17+D18</f>
        <v>989.5099711248</v>
      </c>
      <c r="E19" s="0" t="n">
        <f aca="false">E15+E16+E17+E18</f>
        <v>1042.48405839802</v>
      </c>
      <c r="F19" s="0" t="n">
        <f aca="false">F15+F16+F17+F18</f>
        <v>1103.53169947415</v>
      </c>
      <c r="G19" s="0" t="n">
        <f aca="false">G15+G16+G17+G18</f>
        <v>1177.79501036692</v>
      </c>
      <c r="H19" s="0" t="n">
        <f aca="false">H15+H16+H17+H18</f>
        <v>1254.40027357173</v>
      </c>
      <c r="I19" s="0" t="n">
        <f aca="false">I15+I16+I17+I18</f>
        <v>1332.11184081239</v>
      </c>
      <c r="J19" s="0" t="n">
        <f aca="false">J15+J16+J17+J18</f>
        <v>1385.62147281922</v>
      </c>
      <c r="K19" s="0" t="n">
        <f aca="false">K15+K16+K17+K18</f>
        <v>1447.07482994105</v>
      </c>
      <c r="L19" s="0" t="n">
        <f aca="false">L15+L16+L17+L18</f>
        <v>1490.66348709096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869.796514396314</v>
      </c>
      <c r="D21" s="0" t="n">
        <f aca="false">D19*D20</f>
        <v>840.544476310646</v>
      </c>
      <c r="E21" s="0" t="n">
        <f aca="false">E19*E20</f>
        <v>816.16921180474</v>
      </c>
      <c r="F21" s="0" t="n">
        <f aca="false">F19*F20</f>
        <v>796.280096215056</v>
      </c>
      <c r="G21" s="0" t="n">
        <f aca="false">G19*G20</f>
        <v>783.287181216476</v>
      </c>
      <c r="H21" s="0" t="n">
        <f aca="false">H19*H20</f>
        <v>768.878489318566</v>
      </c>
      <c r="I21" s="0" t="n">
        <f aca="false">I19*I20</f>
        <v>752.545081051298</v>
      </c>
      <c r="J21" s="0" t="n">
        <f aca="false">J19*J20</f>
        <v>721.450766997336</v>
      </c>
      <c r="K21" s="0" t="n">
        <f aca="false">K19*K20</f>
        <v>694.421799548663</v>
      </c>
      <c r="L21" s="0" t="n">
        <f aca="false">L19*L20</f>
        <v>659.29871906837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7702.67233592747</v>
      </c>
    </row>
    <row r="31" customFormat="false" ht="15" hidden="false" customHeight="false" outlineLevel="0" collapsed="false">
      <c r="A31" s="0" t="s">
        <v>133</v>
      </c>
      <c r="B31" s="0" t="n">
        <f aca="false">L19</f>
        <v>1490.66348709096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25465.5012378039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22359.9523063644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22359.9523063644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9889.48078602555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17592.153121953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14141.253121953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185.094936151217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0.0866205010638574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327.869978845167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453.279209253335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195.319401964025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12223.4405941459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69.5974610374959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5</v>
      </c>
      <c r="D5" s="4" t="n">
        <f aca="false">Assumptions!D41</f>
        <v>6</v>
      </c>
      <c r="E5" s="4" t="n">
        <f aca="false">Assumptions!E41</f>
        <v>6.5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8855.5</v>
      </c>
      <c r="C6" s="0" t="n">
        <f aca="false">B6*(1+C5/100)</f>
        <v>9298.275</v>
      </c>
      <c r="D6" s="0" t="n">
        <f aca="false">C6*(1+D5/100)</f>
        <v>9856.1715</v>
      </c>
      <c r="E6" s="0" t="n">
        <f aca="false">D6*(1+E5/100)</f>
        <v>10496.8226475</v>
      </c>
      <c r="F6" s="0" t="n">
        <f aca="false">E6*(1+F5/100)</f>
        <v>11231.600232825</v>
      </c>
      <c r="G6" s="0" t="n">
        <f aca="false">F6*(1+G5/100)</f>
        <v>11961.6542479586</v>
      </c>
      <c r="H6" s="0" t="n">
        <f aca="false">G6*(1+H5/100)</f>
        <v>12679.3535028361</v>
      </c>
      <c r="I6" s="0" t="n">
        <f aca="false">H6*(1+I5/100)</f>
        <v>13313.321177978</v>
      </c>
      <c r="J6" s="0" t="n">
        <f aca="false">I6*(1+J5/100)</f>
        <v>13845.8540250971</v>
      </c>
      <c r="K6" s="0" t="n">
        <f aca="false">J6*(1+K5/100)</f>
        <v>14330.4589159755</v>
      </c>
      <c r="L6" s="0" t="n">
        <f aca="false">K6*(1+L5/100)</f>
        <v>14760.3726834547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16.6</v>
      </c>
      <c r="D7" s="4" t="n">
        <f aca="false">Assumptions!D42</f>
        <v>17</v>
      </c>
      <c r="E7" s="4" t="n">
        <f aca="false">Assumptions!E42</f>
        <v>17.4</v>
      </c>
      <c r="F7" s="4" t="n">
        <f aca="false">Assumptions!F42</f>
        <v>17.8</v>
      </c>
      <c r="G7" s="4" t="n">
        <f aca="false">Assumptions!G42</f>
        <v>18.2</v>
      </c>
      <c r="H7" s="4" t="n">
        <f aca="false">Assumptions!H42</f>
        <v>18.5</v>
      </c>
      <c r="I7" s="4" t="n">
        <f aca="false">Assumptions!I42</f>
        <v>18.5</v>
      </c>
      <c r="J7" s="4" t="n">
        <f aca="false">Assumptions!J42</f>
        <v>18.5</v>
      </c>
      <c r="K7" s="4" t="n">
        <f aca="false">Assumptions!K42</f>
        <v>18.5</v>
      </c>
      <c r="L7" s="4" t="n">
        <f aca="false">Assumptions!L42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1543.51365</v>
      </c>
      <c r="D8" s="0" t="n">
        <f aca="false">D6*D7/100</f>
        <v>1675.549155</v>
      </c>
      <c r="E8" s="0" t="n">
        <f aca="false">E6*E7/100</f>
        <v>1826.447140665</v>
      </c>
      <c r="F8" s="0" t="n">
        <f aca="false">F6*F7/100</f>
        <v>1999.22484144285</v>
      </c>
      <c r="G8" s="0" t="n">
        <f aca="false">G6*G7/100</f>
        <v>2177.02107312847</v>
      </c>
      <c r="H8" s="0" t="n">
        <f aca="false">H6*H7/100</f>
        <v>2345.68039802469</v>
      </c>
      <c r="I8" s="0" t="n">
        <f aca="false">I6*I7/100</f>
        <v>2462.96441792592</v>
      </c>
      <c r="J8" s="0" t="n">
        <f aca="false">J6*J7/100</f>
        <v>2561.48299464296</v>
      </c>
      <c r="K8" s="0" t="n">
        <f aca="false">K6*K7/100</f>
        <v>2651.13489945546</v>
      </c>
      <c r="L8" s="0" t="n">
        <f aca="false">L6*L7/100</f>
        <v>2730.66894643913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0.46</v>
      </c>
      <c r="D9" s="4" t="n">
        <f aca="false">Assumptions!D43</f>
        <v>0.46</v>
      </c>
      <c r="E9" s="4" t="n">
        <f aca="false">Assumptions!E43</f>
        <v>0.46</v>
      </c>
      <c r="F9" s="4" t="n">
        <f aca="false">Assumptions!F43</f>
        <v>0.46</v>
      </c>
      <c r="G9" s="4" t="n">
        <f aca="false">Assumptions!G43</f>
        <v>0.46</v>
      </c>
      <c r="H9" s="4" t="n">
        <f aca="false">Assumptions!H43</f>
        <v>0.46</v>
      </c>
      <c r="I9" s="4" t="n">
        <f aca="false">Assumptions!I43</f>
        <v>0.46</v>
      </c>
      <c r="J9" s="4" t="n">
        <f aca="false">Assumptions!J43</f>
        <v>0.46</v>
      </c>
      <c r="K9" s="4" t="n">
        <f aca="false">Assumptions!K43</f>
        <v>0.46</v>
      </c>
      <c r="L9" s="4" t="n">
        <f aca="false">Assumptions!L43</f>
        <v>0.46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-42.772065</v>
      </c>
      <c r="D10" s="0" t="n">
        <f aca="false">-D6*D9/100</f>
        <v>-45.3383889</v>
      </c>
      <c r="E10" s="0" t="n">
        <f aca="false">-E6*E9/100</f>
        <v>-48.2853841785</v>
      </c>
      <c r="F10" s="0" t="n">
        <f aca="false">-F6*F9/100</f>
        <v>-51.665361070995</v>
      </c>
      <c r="G10" s="0" t="n">
        <f aca="false">-G6*G9/100</f>
        <v>-55.0236095406097</v>
      </c>
      <c r="H10" s="0" t="n">
        <f aca="false">-H6*H9/100</f>
        <v>-58.3250261130463</v>
      </c>
      <c r="I10" s="0" t="n">
        <f aca="false">-I6*I9/100</f>
        <v>-61.2412774186986</v>
      </c>
      <c r="J10" s="0" t="n">
        <f aca="false">-J6*J9/100</f>
        <v>-63.6909285154465</v>
      </c>
      <c r="K10" s="0" t="n">
        <f aca="false">-K6*K9/100</f>
        <v>-65.9201110134871</v>
      </c>
      <c r="L10" s="0" t="n">
        <f aca="false">-L6*L9/100</f>
        <v>-67.8977143438918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1500.741585</v>
      </c>
      <c r="D11" s="0" t="n">
        <f aca="false">D8+D10+D24</f>
        <v>1630.2107661</v>
      </c>
      <c r="E11" s="0" t="n">
        <f aca="false">E8+E10+E24</f>
        <v>1778.1617564865</v>
      </c>
      <c r="F11" s="0" t="n">
        <f aca="false">F8+F10+F24</f>
        <v>1947.55948037186</v>
      </c>
      <c r="G11" s="0" t="n">
        <f aca="false">G8+G10+G24</f>
        <v>2121.99746358786</v>
      </c>
      <c r="H11" s="0" t="n">
        <f aca="false">H8+H10+H24</f>
        <v>2287.35537191164</v>
      </c>
      <c r="I11" s="0" t="n">
        <f aca="false">I8+I10+I24</f>
        <v>2401.72314050722</v>
      </c>
      <c r="J11" s="0" t="n">
        <f aca="false">J8+J10+J24</f>
        <v>2497.79206612751</v>
      </c>
      <c r="K11" s="0" t="n">
        <f aca="false">K8+K10+K24</f>
        <v>2585.21478844197</v>
      </c>
      <c r="L11" s="0" t="n">
        <f aca="false">L8+L10+L24</f>
        <v>2662.77123209523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-334.7379</v>
      </c>
      <c r="D12" s="4" t="n">
        <f aca="false">-D6*Assumptions!D45/100</f>
        <v>-344.9660025</v>
      </c>
      <c r="E12" s="4" t="n">
        <f aca="false">-E6*Assumptions!E45/100</f>
        <v>-356.891970015</v>
      </c>
      <c r="F12" s="4" t="n">
        <f aca="false">-F6*Assumptions!F45/100</f>
        <v>-381.87440791605</v>
      </c>
      <c r="G12" s="4" t="n">
        <f aca="false">-G6*Assumptions!G45/100</f>
        <v>-394.734590182635</v>
      </c>
      <c r="H12" s="4" t="n">
        <f aca="false">-H6*Assumptions!H45/100</f>
        <v>-418.418665593593</v>
      </c>
      <c r="I12" s="4" t="n">
        <f aca="false">-I6*Assumptions!I45/100</f>
        <v>-439.339598873272</v>
      </c>
      <c r="J12" s="4" t="n">
        <f aca="false">-J6*Assumptions!J45/100</f>
        <v>-456.913182828203</v>
      </c>
      <c r="K12" s="4" t="n">
        <f aca="false">-K6*Assumptions!K45/100</f>
        <v>-472.90514422719</v>
      </c>
      <c r="L12" s="4" t="n">
        <f aca="false">-L6*Assumptions!L45/100</f>
        <v>-487.092298554006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1166.003685</v>
      </c>
      <c r="D13" s="0" t="n">
        <f aca="false">D11+D12</f>
        <v>1285.2447636</v>
      </c>
      <c r="E13" s="0" t="n">
        <f aca="false">E11+E12</f>
        <v>1421.2697864715</v>
      </c>
      <c r="F13" s="0" t="n">
        <f aca="false">F11+F12</f>
        <v>1565.68507245581</v>
      </c>
      <c r="G13" s="0" t="n">
        <f aca="false">G11+G12</f>
        <v>1727.26287340523</v>
      </c>
      <c r="H13" s="0" t="n">
        <f aca="false">H11+H12</f>
        <v>1868.93670631805</v>
      </c>
      <c r="I13" s="0" t="n">
        <f aca="false">I11+I12</f>
        <v>1962.38354163395</v>
      </c>
      <c r="J13" s="0" t="n">
        <f aca="false">J11+J12</f>
        <v>2040.87888329931</v>
      </c>
      <c r="K13" s="0" t="n">
        <f aca="false">K11+K12</f>
        <v>2112.30964421478</v>
      </c>
      <c r="L13" s="0" t="n">
        <f aca="false">L11+L12</f>
        <v>2175.67893354123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23.5</v>
      </c>
      <c r="D14" s="4" t="n">
        <f aca="false">Assumptions!D47</f>
        <v>23.5</v>
      </c>
      <c r="E14" s="4" t="n">
        <f aca="false">Assumptions!E47</f>
        <v>23.5</v>
      </c>
      <c r="F14" s="4" t="n">
        <f aca="false">Assumptions!F47</f>
        <v>23.5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891.992819025</v>
      </c>
      <c r="D15" s="0" t="n">
        <f aca="false">D13-MAX(0,D13)*D14/100</f>
        <v>983.212244154</v>
      </c>
      <c r="E15" s="0" t="n">
        <f aca="false">E13-MAX(0,E13)*E14/100</f>
        <v>1087.2713866507</v>
      </c>
      <c r="F15" s="0" t="n">
        <f aca="false">F13-MAX(0,F13)*F14/100</f>
        <v>1197.74908042869</v>
      </c>
      <c r="G15" s="0" t="n">
        <f aca="false">G13-MAX(0,G13)*G14/100</f>
        <v>1312.71978378797</v>
      </c>
      <c r="H15" s="0" t="n">
        <f aca="false">H13-MAX(0,H13)*H14/100</f>
        <v>1420.39189680172</v>
      </c>
      <c r="I15" s="0" t="n">
        <f aca="false">I13-MAX(0,I13)*I14/100</f>
        <v>1491.4114916418</v>
      </c>
      <c r="J15" s="0" t="n">
        <f aca="false">J13-MAX(0,J13)*J14/100</f>
        <v>1551.06795130747</v>
      </c>
      <c r="K15" s="0" t="n">
        <f aca="false">K13-MAX(0,K13)*K14/100</f>
        <v>1605.35532960324</v>
      </c>
      <c r="L15" s="0" t="n">
        <f aca="false">L13-MAX(0,L13)*L14/100</f>
        <v>1653.51598949133</v>
      </c>
    </row>
    <row r="16" customFormat="false" ht="15" hidden="false" customHeight="false" outlineLevel="0" collapsed="false">
      <c r="A16" s="0" t="s">
        <v>124</v>
      </c>
      <c r="C16" s="0" t="n">
        <f aca="false">-C12</f>
        <v>334.7379</v>
      </c>
      <c r="D16" s="0" t="n">
        <f aca="false">-D12</f>
        <v>344.9660025</v>
      </c>
      <c r="E16" s="0" t="n">
        <f aca="false">-E12</f>
        <v>356.891970015</v>
      </c>
      <c r="F16" s="0" t="n">
        <f aca="false">-F12</f>
        <v>381.87440791605</v>
      </c>
      <c r="G16" s="0" t="n">
        <f aca="false">-G12</f>
        <v>394.734590182635</v>
      </c>
      <c r="H16" s="0" t="n">
        <f aca="false">-H12</f>
        <v>418.418665593593</v>
      </c>
      <c r="I16" s="0" t="n">
        <f aca="false">-I12</f>
        <v>439.339598873272</v>
      </c>
      <c r="J16" s="0" t="n">
        <f aca="false">-J12</f>
        <v>456.913182828203</v>
      </c>
      <c r="K16" s="0" t="n">
        <f aca="false">-K12</f>
        <v>472.90514422719</v>
      </c>
      <c r="L16" s="0" t="n">
        <f aca="false">-L12</f>
        <v>487.092298554006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-213.860325</v>
      </c>
      <c r="D17" s="4" t="n">
        <f aca="false">-D6*Assumptions!D46/100</f>
        <v>-226.6919445</v>
      </c>
      <c r="E17" s="4" t="n">
        <f aca="false">-E6*Assumptions!E46/100</f>
        <v>-230.930098245</v>
      </c>
      <c r="F17" s="4" t="n">
        <f aca="false">-F6*Assumptions!F46/100</f>
        <v>-247.09520512215</v>
      </c>
      <c r="G17" s="4" t="n">
        <f aca="false">-G6*Assumptions!G46/100</f>
        <v>-251.194739207131</v>
      </c>
      <c r="H17" s="4" t="n">
        <f aca="false">-H6*Assumptions!H46/100</f>
        <v>-266.266423559559</v>
      </c>
      <c r="I17" s="4" t="n">
        <f aca="false">-I6*Assumptions!I46/100</f>
        <v>-266.266423559559</v>
      </c>
      <c r="J17" s="4" t="n">
        <f aca="false">-J6*Assumptions!J46/100</f>
        <v>-276.917080501941</v>
      </c>
      <c r="K17" s="4" t="n">
        <f aca="false">-K6*Assumptions!K46/100</f>
        <v>-286.609178319509</v>
      </c>
      <c r="L17" s="4" t="n">
        <f aca="false">-L6*Assumptions!L46/100</f>
        <v>-295.207453669095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-44.2775</v>
      </c>
      <c r="D18" s="4" t="n">
        <f aca="false">(D6-C6)*Assumptions!$B$51/100</f>
        <v>-55.7896500000001</v>
      </c>
      <c r="E18" s="4" t="n">
        <f aca="false">(E6-D6)*Assumptions!$B$51/100</f>
        <v>-64.0651147499999</v>
      </c>
      <c r="F18" s="4" t="n">
        <f aca="false">(F6-E6)*Assumptions!$B$51/100</f>
        <v>-73.4777585325001</v>
      </c>
      <c r="G18" s="4" t="n">
        <f aca="false">(G6-F6)*Assumptions!$B$51/100</f>
        <v>-73.0054015133624</v>
      </c>
      <c r="H18" s="4" t="n">
        <f aca="false">(H6-G6)*Assumptions!$B$51/100</f>
        <v>-71.7699254877518</v>
      </c>
      <c r="I18" s="4" t="n">
        <f aca="false">(I6-H6)*Assumptions!$B$51/100</f>
        <v>-63.3967675141808</v>
      </c>
      <c r="J18" s="4" t="n">
        <f aca="false">(J6-I6)*Assumptions!$B$51/100</f>
        <v>-53.2532847119119</v>
      </c>
      <c r="K18" s="4" t="n">
        <f aca="false">(K6-J6)*Assumptions!$B$51/100</f>
        <v>-48.4604890878396</v>
      </c>
      <c r="L18" s="4" t="n">
        <f aca="false">(L6-K6)*Assumptions!$B$51/100</f>
        <v>-42.9913767479264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968.592894025</v>
      </c>
      <c r="D19" s="0" t="n">
        <f aca="false">D15+D16+D17+D18</f>
        <v>1045.696652154</v>
      </c>
      <c r="E19" s="0" t="n">
        <f aca="false">E15+E16+E17+E18</f>
        <v>1149.1681436707</v>
      </c>
      <c r="F19" s="0" t="n">
        <f aca="false">F15+F16+F17+F18</f>
        <v>1259.05052469009</v>
      </c>
      <c r="G19" s="0" t="n">
        <f aca="false">G15+G16+G17+G18</f>
        <v>1383.25423325011</v>
      </c>
      <c r="H19" s="0" t="n">
        <f aca="false">H15+H16+H17+H18</f>
        <v>1500.774213348</v>
      </c>
      <c r="I19" s="0" t="n">
        <f aca="false">I15+I16+I17+I18</f>
        <v>1601.08789944133</v>
      </c>
      <c r="J19" s="0" t="n">
        <f aca="false">J15+J16+J17+J18</f>
        <v>1677.81076892182</v>
      </c>
      <c r="K19" s="0" t="n">
        <f aca="false">K15+K16+K17+K18</f>
        <v>1743.19080642308</v>
      </c>
      <c r="L19" s="0" t="n">
        <f aca="false">L15+L16+L17+L18</f>
        <v>1802.40945762832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896.84527224537</v>
      </c>
      <c r="D21" s="0" t="n">
        <f aca="false">D19*D20</f>
        <v>896.516334151234</v>
      </c>
      <c r="E21" s="0" t="n">
        <f aca="false">E19*E20</f>
        <v>912.246722799098</v>
      </c>
      <c r="F21" s="0" t="n">
        <f aca="false">F19*F20</f>
        <v>925.439721826255</v>
      </c>
      <c r="G21" s="0" t="n">
        <f aca="false">G19*G20</f>
        <v>941.419588375834</v>
      </c>
      <c r="H21" s="0" t="n">
        <f aca="false">H19*H20</f>
        <v>945.742326061292</v>
      </c>
      <c r="I21" s="0" t="n">
        <f aca="false">I19*I20</f>
        <v>934.219411294444</v>
      </c>
      <c r="J21" s="0" t="n">
        <f aca="false">J19*J20</f>
        <v>906.468952530796</v>
      </c>
      <c r="K21" s="0" t="n">
        <f aca="false">K19*K20</f>
        <v>872.029400426199</v>
      </c>
      <c r="L21" s="0" t="n">
        <f aca="false">L19*L20</f>
        <v>834.864323635684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9065.79205334621</v>
      </c>
    </row>
    <row r="31" customFormat="false" ht="15" hidden="false" customHeight="false" outlineLevel="0" collapsed="false">
      <c r="A31" s="0" t="s">
        <v>133</v>
      </c>
      <c r="B31" s="0" t="n">
        <f aca="false">L19</f>
        <v>1802.40945762832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37129.6348271433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30640.9607796814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30640.9607796814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14192.6935018066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23258.4855551528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19807.5855551528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259.261591036032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0.522024134296301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363.553176910459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647.865450282449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272.500054742745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15470.6811779764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90.4400192855756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75.2492611306176</v>
      </c>
      <c r="C4" s="0" t="n">
        <f aca="false">B4/Assumptions!$B$2-1</f>
        <v>-0.558240805855245</v>
      </c>
      <c r="D4" s="4" t="n">
        <f aca="false">Assumptions!$B$24</f>
        <v>0.2</v>
      </c>
      <c r="E4" s="4" t="n">
        <f aca="false">DCF_Bear!$B$43</f>
        <v>82.6451031024984</v>
      </c>
      <c r="F4" s="4" t="n">
        <f aca="false">DCF_Bear!$B$47</f>
        <v>28.7950269479623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185.094936151217</v>
      </c>
      <c r="C5" s="0" t="n">
        <f aca="false">B5/Assumptions!$B$2-1</f>
        <v>0.0866205010638574</v>
      </c>
      <c r="D5" s="4" t="n">
        <f aca="false">Assumptions!$B$38</f>
        <v>0.5</v>
      </c>
      <c r="E5" s="4" t="n">
        <f aca="false">DCF_Base!$B$43</f>
        <v>195.319401964025</v>
      </c>
      <c r="F5" s="4" t="n">
        <f aca="false">DCF_Base!$B$47</f>
        <v>69.5974610374959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259.261591036032</v>
      </c>
      <c r="C6" s="0" t="n">
        <f aca="false">B6/Assumptions!$B$2-1</f>
        <v>0.522024134296301</v>
      </c>
      <c r="D6" s="4" t="n">
        <f aca="false">Assumptions!$B$52</f>
        <v>0.3</v>
      </c>
      <c r="E6" s="4" t="n">
        <f aca="false">DCF_Bull!$B$43</f>
        <v>272.500054742745</v>
      </c>
      <c r="F6" s="4" t="n">
        <f aca="false">DCF_Bull!$B$47</f>
        <v>90.4400192855756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185.375797612542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195.938738025336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0.0811098201932945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-142.34481143461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67.6897416940131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185.094936151217</v>
      </c>
      <c r="C15" s="3" t="n">
        <v>8.5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176.873019064445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151.492315604297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127.297504828317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108.248064054744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69.5974610374959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222.10863046212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222.10863046212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222.10863046212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222.10863046212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222.10863046212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202.732136685026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202.732136685026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202.732136685026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202.732136685026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202.732136685026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180.780153958362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185.094936151217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185.094936151217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185.094936151217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185.094936151217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150.815248744649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157.99944084589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166.209946104451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169.021762973822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169.021762973822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127.597879542919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132.789875220422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138.630870357613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145.25066484643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152.81614426222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2026-09-25T22:39:48Z</dcterms:created>
  <dc:creator>openpyxl</dc:creator>
  <dc:description/>
  <dc:language>en-NZ</dc:language>
  <cp:lastModifiedBy/>
  <dcterms:modified xsi:type="dcterms:W3CDTF">2026-09-25T22:39:48Z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