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<sst xmlns="http://schemas.openxmlformats.org/spreadsheetml/2006/main" count="372" uniqueCount="170">
  <si>
    <t xml:space="preserve">Ticker</t>
  </si>
  <si>
    <t xml:space="preserve">KEYS</t>
  </si>
  <si>
    <t xml:space="preserve">Company</t>
  </si>
  <si>
    <t xml:space="preserve">Keysight Technologies, Inc.</t>
  </si>
  <si>
    <t xml:space="preserve">Valuation date</t>
  </si>
  <si>
    <t xml:space="preserve">2026-09-29</t>
  </si>
  <si>
    <t xml:space="preserve">Current price</t>
  </si>
  <si>
    <t xml:space="preserve">Price as of</t>
  </si>
  <si>
    <t xml:space="preserve">2026-09-28T20:05:10Z regular close (NYSE, 28-Sep-2026)</t>
  </si>
  <si>
    <t xml:space="preserve">Balance sheet date</t>
  </si>
  <si>
    <t xml:space="preserve">2026-07-31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</si>
  <si>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</si>
  <si>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</si>
  <si>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</si>
  <si>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</si>
  <si>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</si>
  <si>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</si>
  <si>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</si>
  <si>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</si>
  <si>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</si>
  <si>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</si>
  <si>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2026-09-28T22:28:08Z</t>
  </si>
  <si>
    <t xml:space="preserve">Drivers file</t>
  </si>
  <si>
    <t xml:space="preserve">KEYS_Drivers.json</t>
  </si>
  <si>
    <t xml:space="preserve">Convention</t>
  </si>
  <si>
    <t xml:space="preserve">Percents stored as percents; formulas divide by 100. Blue = input, green = link, black = formula.</t>
  </si>
  <si>
    <t xml:space="preserve">Methodology</t>
  </si>
  <si>
    <t xml:space="preserve">summary: Value the operating business on fully-SBC-charged owner FCF through a full cycle, discounted at a single USD WACC, with the cycle expressed in the scenario paths and weights rather than the discount rate. The FY2026E anchor is a peak (Spirent-boosted +32% revenue, non-GAAP operating margin 33% above target), so no scenario extrapolates it: the base includes a digestion year and settles at a through-cycle margin. The valuation deliberately does not credit unfunded M&amp;A (Ixia, ESI, Spirent contributed ~3pp/yr of the last decade's revenue CAGR and were paid for in cash that this model treats as retained by shareholders). The house intrinsic value is compared with the street basis (SBC as non-cash) via band_position; the required-return table shows what return today's price implies on the base path.
key_risks_to_valuation: Cycle timing: if the AI data-center test cycle runs two years longer than the base path assumes, FY2028-29 revenue is 15-20% above the base and the value moves toward the bull case; if hyperscalers digest in FY2027, the base overstates near-term FCF.; Margin durability: the 32.5% through-cycle pre-SBC EBITDA margin is above the last cycle's average; if the trough repeats FY2024's 25%, value falls toward the bear case.; China / export controls / tariffs: a high-single-digit revenue exposure that policy can remove abruptly.; Terminal value share: Gordon growth binds in all scenarios; ~55-60% of EV sits in the terminal, so each 1pp of WACC moves value ~15%.; Tax: cash taxes run ~10% of pre-tax income today; the ramp to 19% is a judgment on Pillar Two and the Singapore incentive; holding 14% for a decade would add ~5% to value.; Anchor estimate: FY0 revenue and FCF are FY2026E (9M actuals + Q4 guidance) and should be replaced with the FY2026 10-K figures in December 2026.; The DuckDB/CSV total_debt (3,217) double-counts the $700M current portion; the model uses 2,517 from XBRL. If the CSV is corrected the net-debt input should be re-checked.</t>
  </si>
  <si>
    <t xml:space="preserve">Data sources</t>
  </si>
  <si>
    <t xml:space="preserve">price: Yahoo Finance chart API regularMarketPrice at inputs.price_as_of (regular close 28-Sep-2026); 52-week range 158.79-374.96.
financials: SEC XBRL companyfacts (CIK 1601046) via research/KEYS/Reports/KEYS_Metrics.csv and KEYS.duckdb core_metrics for revenue, operating income, OCF, capex, FCF, SBC, cash, shares; direct XBRL tags for Depreciation, AmortizationOfIntangibleAssets, WeightedAverageNumberOfDilutedSharesOutstanding, LongTermDebt / LongTermDebtCurrent / LongTermDebtNoncurrent, PaymentsRelatedToTaxWithholdingForShareBasedCompensation, InvestmentIncomeInterest, InterestExpenseNonoperating, IncomeTaxesPaidNet, OperatingLeaseCost, PaymentsForRepurchaseOfCommonStock. Latest filing: Q3 FY2026 10-Q (period to 2026-07-31, filed 2026-09-02).
qualitative: research/KEYS/Reports/KEYS_Analysis.json (2026-09-29): segments, moat, growth drivers, risks, Q3 FY2026 results and Q4 guidance ($1.93-1.95B revenue, $3.34-3.40 non-GAAP EPS, ~32% FY2026 revenue growth), 40%+ incremental-margin framework, 6G inflection guided for 1H FY2028.</t>
  </si>
  <si>
    <t xml:space="preserve">Scenario narrative: bear</t>
  </si>
  <si>
    <t xml:space="preserve">AI capex digestion from FY2028 plus a China export-control/tariff shock: two down years (-8%, -6%), trough margin 26%, recovery only to the last cycle's 28.5% average, 20% cash tax, 2.5% terminal growth. ~1.8% 10-year revenue CAGR. Cash generation stays positive throughout; this is a de-rating path, not a solvency path.</t>
  </si>
  <si>
    <t xml:space="preserve">Scenario narrative: base</t>
  </si>
  <si>
    <t xml:space="preserve">One more strong year on backlog (FY2027 +14%), normalisation (FY2028 +7%), an explicit digestion year (FY2029 -3%, pre-SBC EBITDA margin 30.5%), then mid-single-digit compounding to a 32.5% through-cycle margin. The axes are (1) how long the AI data-center test cycle runs before hyperscalers digest, (2) whether defense modernisation and the 6G inflection (guided 1H FY2028) fill the gap, and (3) whether the software/recurring mix (~29% ARR) keeps the trough margin above the last cycle's 25%.</t>
  </si>
  <si>
    <t xml:space="preserve">Scenario narrative: bull</t>
  </si>
  <si>
    <t xml:space="preserve">AI infrastructure test demand (1.6T/3.2T Ethernet, co-packaged optics, silicon photonics) is multi-year rather than a spike; 6G R&amp;D lands on schedule; defense and space stay double-digit. No digestion year, 35% pre-SBC EBITDA margin, SBC falls toward 3.2% of revenue, tax holds at 17%. ~7.8% 10-year revenue CAGR.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</si>
  <si>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</si>
  <si>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</si>
  <si>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</si>
  <si>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</si>
  <si>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</si>
  <si>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</si>
  <si>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</si>
  <si>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</si>
  <si>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</si>
  <si>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</si>
  <si>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</si>
  <si>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</si>
  <si>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</si>
  <si>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</si>
  <si>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</si>
  <si>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</si>
  <si>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</si>
  <si>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</si>
  <si>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</si>
  <si>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</si>
  <si>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</si>
  <si>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</si>
  <si>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</si>
  <si>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</si>
  <si>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</si>
  <si>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</si>
  <si>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</si>
  <si>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</si>
  <si>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</si>
  <si>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</si>
  <si>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</si>
  <si>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</si>
  <si>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</si>
  <si>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</si>
  <si>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</si>
  <si>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</si>
  <si>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</si>
  <si>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</si>
  <si>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</si>
  <si>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</si>
  <si>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</si>
  <si>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</si>
  <si>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</si>
  <si>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</si>
  <si>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</si>
  <si>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</si>
  <si>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</si>
  <si>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</si>
  <si>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</si>
  <si>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</si>
  <si>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</si>
  <si>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</si>
  <si>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</si>
  <si>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</si>
  <si>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</si>
  <si>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</si>
  <si>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</si>
  <si>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</si>
  <si>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</si>
  <si>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</si>
  <si>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</si>
  <si>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</si>
  <si>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</si>
  <si>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</si>
  <si>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</si>
  <si>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</si>
  <si>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</si>
  <si>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</si>
  <si>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</si>
  <si>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</si>
  <si>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</si>
  <si>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</si>
  <si>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</si>
  <si>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</si>
  <si>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</si>
  <si>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</si>
  <si>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</si>
  <si>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</si>
  <si>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</si>
  <si>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KEYS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</si>
  <si>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</si>
  <si>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</si>
  <si>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</si>
  <si>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</si>
  <si>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</si>
  <si>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</si>
  <si>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</si>
  <si>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</si>
  <si>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</si>
  <si>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</si>
  <si>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</si>
  <si>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</si>
  <si>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</si>
  <si>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</si>
  <si>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</si>
  <si>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</si>
  <si>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</si>
  <si>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</si>
  <si>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</si>
  <si>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</si>
  <si>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</si>
  <si>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</si>
  <si>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</si>
  <si>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</si>
  <si>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</si>
  <si>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</si>
  <si>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</si>
  <si>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</si>
  <si>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</si>
  <si>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</si>
  <si>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KEYS owner-FCF component DCF: base case (millions, USD)</t>
  </si>
  <si>
    <t xml:space="preserve">KEYS owner-FCF component DCF: bull case (millions, USD)</t>
  </si>
  <si>
    <t xml:space="preserve">KEYS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</si>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</sst>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359.74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1305</v>
      </c>
      <c r="S2" s="0" t="n">
        <v>0</v>
      </c>
      <c r="AA2" s="0" t="s">
        <v>17</v>
      </c>
      <c r="AB2" s="0" t="s">
        <v>14</v>
      </c>
    </row>
    <row r="3" customFormat="false" ht="15" hidden="false" customHeight="false" outlineLevel="0" collapsed="false">
      <c r="A3" s="0" t="s">
        <v>64</v>
      </c>
      <c r="B3" s="0" t="n">
        <v>2888</v>
      </c>
      <c r="C3" s="0" t="n">
        <v>1265</v>
      </c>
      <c r="F3" s="0" t="n">
        <v>496</v>
      </c>
      <c r="G3" s="0" t="n">
        <v>17.1745152354571</v>
      </c>
      <c r="H3" s="0" t="n">
        <v>573</v>
      </c>
      <c r="I3" s="0" t="n">
        <v>457</v>
      </c>
      <c r="J3" s="0" t="n">
        <v>15.8240997229917</v>
      </c>
      <c r="K3" s="0" t="n">
        <v>2.74</v>
      </c>
      <c r="L3" s="0" t="n">
        <v>566</v>
      </c>
      <c r="M3" s="0" t="n">
        <v>69</v>
      </c>
      <c r="N3" s="0" t="n">
        <v>497</v>
      </c>
      <c r="O3" s="0" t="n">
        <v>1245</v>
      </c>
      <c r="S3" s="0" t="n">
        <v>0</v>
      </c>
      <c r="T3" s="0" t="n">
        <v>167</v>
      </c>
      <c r="U3" s="0" t="n">
        <v>43</v>
      </c>
      <c r="AA3" s="0" t="s">
        <v>17</v>
      </c>
      <c r="AB3" s="0" t="s">
        <v>14</v>
      </c>
    </row>
    <row r="4" customFormat="false" ht="15" hidden="false" customHeight="false" outlineLevel="0" collapsed="false">
      <c r="A4" s="0" t="s">
        <v>65</v>
      </c>
      <c r="B4" s="0" t="n">
        <v>2933</v>
      </c>
      <c r="C4" s="0" t="n">
        <v>1313</v>
      </c>
      <c r="F4" s="0" t="n">
        <v>469</v>
      </c>
      <c r="G4" s="0" t="n">
        <v>15.9904534606205</v>
      </c>
      <c r="H4" s="0" t="n">
        <v>553</v>
      </c>
      <c r="I4" s="0" t="n">
        <v>392</v>
      </c>
      <c r="J4" s="0" t="n">
        <v>13.3651551312649</v>
      </c>
      <c r="K4" s="0" t="n">
        <v>2.35</v>
      </c>
      <c r="L4" s="0" t="n">
        <v>563</v>
      </c>
      <c r="M4" s="0" t="n">
        <v>70</v>
      </c>
      <c r="N4" s="0" t="n">
        <v>493</v>
      </c>
      <c r="O4" s="0" t="n">
        <v>769</v>
      </c>
      <c r="P4" s="0" t="n">
        <v>3050</v>
      </c>
      <c r="Q4" s="0" t="n">
        <v>2281</v>
      </c>
      <c r="R4" s="0" t="n">
        <v>1099</v>
      </c>
      <c r="S4" s="0" t="n">
        <v>810</v>
      </c>
      <c r="T4" s="0" t="n">
        <v>167</v>
      </c>
      <c r="U4" s="0" t="n">
        <v>44</v>
      </c>
      <c r="AA4" s="0" t="s">
        <v>17</v>
      </c>
      <c r="AB4" s="0" t="s">
        <v>14</v>
      </c>
    </row>
    <row r="5" customFormat="false" ht="15" hidden="false" customHeight="false" outlineLevel="0" collapsed="false">
      <c r="A5" s="0" t="s">
        <v>66</v>
      </c>
      <c r="B5" s="0" t="n">
        <v>2856</v>
      </c>
      <c r="C5" s="0" t="n">
        <v>1269</v>
      </c>
      <c r="F5" s="0" t="n">
        <v>431</v>
      </c>
      <c r="G5" s="0" t="n">
        <v>15.0910364145658</v>
      </c>
      <c r="H5" s="0" t="n">
        <v>530</v>
      </c>
      <c r="I5" s="0" t="n">
        <v>513</v>
      </c>
      <c r="J5" s="0" t="n">
        <v>17.9621848739496</v>
      </c>
      <c r="K5" s="0" t="n">
        <v>3.04</v>
      </c>
      <c r="L5" s="0" t="n">
        <v>376</v>
      </c>
      <c r="M5" s="0" t="n">
        <v>92</v>
      </c>
      <c r="N5" s="0" t="n">
        <v>284</v>
      </c>
      <c r="O5" s="0" t="n">
        <v>1302</v>
      </c>
      <c r="P5" s="0" t="n">
        <v>3508</v>
      </c>
      <c r="Q5" s="0" t="n">
        <v>2206</v>
      </c>
      <c r="R5" s="0" t="n">
        <v>1099</v>
      </c>
      <c r="S5" s="0" t="n">
        <v>483</v>
      </c>
      <c r="T5" s="0" t="n">
        <v>171</v>
      </c>
      <c r="U5" s="0" t="n">
        <v>55</v>
      </c>
      <c r="AA5" s="0" t="s">
        <v>17</v>
      </c>
      <c r="AB5" s="0" t="s">
        <v>14</v>
      </c>
    </row>
    <row r="6" customFormat="false" ht="15" hidden="false" customHeight="false" outlineLevel="0" collapsed="false">
      <c r="A6" s="0" t="s">
        <v>67</v>
      </c>
      <c r="B6" s="0" t="n">
        <v>2918</v>
      </c>
      <c r="C6" s="0" t="n">
        <v>1294</v>
      </c>
      <c r="F6" s="0" t="n">
        <v>406</v>
      </c>
      <c r="G6" s="0" t="n">
        <v>13.9136394790953</v>
      </c>
      <c r="H6" s="0" t="n">
        <v>540</v>
      </c>
      <c r="I6" s="0" t="n">
        <v>335</v>
      </c>
      <c r="J6" s="0" t="n">
        <v>11.4804660726525</v>
      </c>
      <c r="K6" s="0" t="n">
        <v>1.97</v>
      </c>
      <c r="L6" s="0" t="n">
        <v>420</v>
      </c>
      <c r="M6" s="0" t="n">
        <v>91</v>
      </c>
      <c r="N6" s="0" t="n">
        <v>329</v>
      </c>
      <c r="O6" s="0" t="n">
        <v>1513</v>
      </c>
      <c r="P6" s="0" t="n">
        <v>3796</v>
      </c>
      <c r="Q6" s="0" t="n">
        <v>2283</v>
      </c>
      <c r="R6" s="0" t="n">
        <v>1093</v>
      </c>
      <c r="S6" s="0" t="n">
        <v>783</v>
      </c>
      <c r="T6" s="0" t="n">
        <v>172</v>
      </c>
      <c r="U6" s="0" t="n">
        <v>49</v>
      </c>
      <c r="AA6" s="0" t="s">
        <v>17</v>
      </c>
      <c r="AB6" s="0" t="s">
        <v>14</v>
      </c>
    </row>
    <row r="7" customFormat="false" ht="15" hidden="false" customHeight="false" outlineLevel="0" collapsed="false">
      <c r="A7" s="0" t="s">
        <v>68</v>
      </c>
      <c r="B7" s="0" t="n">
        <v>3189</v>
      </c>
      <c r="C7" s="0" t="n">
        <v>1492</v>
      </c>
      <c r="F7" s="0" t="n">
        <v>148</v>
      </c>
      <c r="G7" s="0" t="n">
        <v>4.64095327688931</v>
      </c>
      <c r="H7" s="0" t="n">
        <v>373</v>
      </c>
      <c r="I7" s="0" t="n">
        <v>102</v>
      </c>
      <c r="J7" s="0" t="n">
        <v>3.19849482596425</v>
      </c>
      <c r="K7" s="0" t="n">
        <v>0.57</v>
      </c>
      <c r="L7" s="0" t="n">
        <v>328</v>
      </c>
      <c r="M7" s="0" t="n">
        <v>72</v>
      </c>
      <c r="N7" s="0" t="n">
        <v>256</v>
      </c>
      <c r="O7" s="0" t="n">
        <v>2310</v>
      </c>
      <c r="P7" s="0" t="n">
        <v>5933</v>
      </c>
      <c r="Q7" s="0" t="n">
        <v>3623</v>
      </c>
      <c r="R7" s="0" t="n">
        <v>2048</v>
      </c>
      <c r="S7" s="0" t="n">
        <v>818</v>
      </c>
      <c r="T7" s="0" t="n">
        <v>182</v>
      </c>
      <c r="U7" s="0" t="n">
        <v>56</v>
      </c>
      <c r="AA7" s="0" t="s">
        <v>17</v>
      </c>
      <c r="AB7" s="0" t="s">
        <v>14</v>
      </c>
    </row>
    <row r="8" customFormat="false" ht="15" hidden="false" customHeight="false" outlineLevel="0" collapsed="false">
      <c r="A8" s="0" t="s">
        <v>69</v>
      </c>
      <c r="B8" s="0" t="n">
        <v>3878</v>
      </c>
      <c r="C8" s="0" t="n">
        <v>1767</v>
      </c>
      <c r="F8" s="0" t="n">
        <v>-394</v>
      </c>
      <c r="G8" s="0" t="n">
        <v>-10.1598762248582</v>
      </c>
      <c r="I8" s="0" t="n">
        <v>165</v>
      </c>
      <c r="J8" s="0" t="n">
        <v>4.25477050025787</v>
      </c>
      <c r="K8" s="0" t="n">
        <v>0.88</v>
      </c>
      <c r="L8" s="0" t="n">
        <v>555</v>
      </c>
      <c r="M8" s="0" t="n">
        <v>132</v>
      </c>
      <c r="N8" s="0" t="n">
        <v>423</v>
      </c>
      <c r="O8" s="0" t="n">
        <v>2433</v>
      </c>
      <c r="P8" s="0" t="n">
        <v>5824</v>
      </c>
      <c r="Q8" s="0" t="n">
        <v>3391</v>
      </c>
      <c r="R8" s="0" t="n">
        <v>1790</v>
      </c>
      <c r="S8" s="0" t="n">
        <v>913</v>
      </c>
      <c r="T8" s="0" t="n">
        <v>191</v>
      </c>
      <c r="U8" s="0" t="n">
        <v>59</v>
      </c>
      <c r="AA8" s="0" t="s">
        <v>17</v>
      </c>
      <c r="AB8" s="0" t="s">
        <v>14</v>
      </c>
    </row>
    <row r="9" customFormat="false" ht="15" hidden="false" customHeight="false" outlineLevel="0" collapsed="false">
      <c r="A9" s="0" t="s">
        <v>70</v>
      </c>
      <c r="B9" s="0" t="n">
        <v>4303</v>
      </c>
      <c r="C9" s="0" t="n">
        <v>1769</v>
      </c>
      <c r="F9" s="0" t="n">
        <v>711</v>
      </c>
      <c r="G9" s="0" t="n">
        <v>16.5233557982803</v>
      </c>
      <c r="I9" s="0" t="n">
        <v>621</v>
      </c>
      <c r="J9" s="0" t="n">
        <v>14.4317917731815</v>
      </c>
      <c r="K9" s="0" t="n">
        <v>3.31</v>
      </c>
      <c r="L9" s="0" t="n">
        <v>998</v>
      </c>
      <c r="M9" s="0" t="n">
        <v>120</v>
      </c>
      <c r="N9" s="0" t="n">
        <v>878</v>
      </c>
      <c r="O9" s="0" t="n">
        <v>3004</v>
      </c>
      <c r="P9" s="0" t="n">
        <v>6623</v>
      </c>
      <c r="Q9" s="0" t="n">
        <v>3619</v>
      </c>
      <c r="R9" s="0" t="n">
        <v>1788</v>
      </c>
      <c r="S9" s="0" t="n">
        <v>1598</v>
      </c>
      <c r="T9" s="0" t="n">
        <v>191</v>
      </c>
      <c r="U9" s="0" t="n">
        <v>82</v>
      </c>
      <c r="AA9" s="0" t="s">
        <v>17</v>
      </c>
      <c r="AB9" s="0" t="s">
        <v>14</v>
      </c>
    </row>
    <row r="10" customFormat="false" ht="15" hidden="false" customHeight="false" outlineLevel="0" collapsed="false">
      <c r="A10" s="0" t="s">
        <v>71</v>
      </c>
      <c r="B10" s="0" t="n">
        <v>4221</v>
      </c>
      <c r="C10" s="0" t="n">
        <v>1688</v>
      </c>
      <c r="F10" s="0" t="n">
        <v>765</v>
      </c>
      <c r="G10" s="0" t="n">
        <v>18.1236673773987</v>
      </c>
      <c r="I10" s="0" t="n">
        <v>627</v>
      </c>
      <c r="J10" s="0" t="n">
        <v>14.8542999289268</v>
      </c>
      <c r="K10" s="0" t="n">
        <v>3.35</v>
      </c>
      <c r="L10" s="0" t="n">
        <v>1016</v>
      </c>
      <c r="M10" s="0" t="n">
        <v>117</v>
      </c>
      <c r="N10" s="0" t="n">
        <v>899</v>
      </c>
      <c r="O10" s="0" t="n">
        <v>3297</v>
      </c>
      <c r="P10" s="0" t="n">
        <v>7218</v>
      </c>
      <c r="Q10" s="0" t="n">
        <v>3921</v>
      </c>
      <c r="R10" s="0" t="n">
        <v>1789</v>
      </c>
      <c r="S10" s="0" t="n">
        <v>1756</v>
      </c>
      <c r="T10" s="0" t="n">
        <v>189</v>
      </c>
      <c r="U10" s="0" t="n">
        <v>93</v>
      </c>
      <c r="AA10" s="0" t="s">
        <v>17</v>
      </c>
      <c r="AB10" s="0" t="s">
        <v>14</v>
      </c>
    </row>
    <row r="11" customFormat="false" ht="15" hidden="false" customHeight="false" outlineLevel="0" collapsed="false">
      <c r="A11" s="0" t="s">
        <v>72</v>
      </c>
      <c r="B11" s="0" t="n">
        <v>4941</v>
      </c>
      <c r="C11" s="0" t="n">
        <v>1872</v>
      </c>
      <c r="F11" s="0" t="n">
        <v>1080</v>
      </c>
      <c r="G11" s="0" t="n">
        <v>21.8579234972678</v>
      </c>
      <c r="I11" s="0" t="n">
        <v>894</v>
      </c>
      <c r="J11" s="0" t="n">
        <v>18.093503339405</v>
      </c>
      <c r="K11" s="0" t="n">
        <v>4.84</v>
      </c>
      <c r="L11" s="0" t="n">
        <v>1322</v>
      </c>
      <c r="M11" s="0" t="n">
        <v>174</v>
      </c>
      <c r="N11" s="0" t="n">
        <v>1148</v>
      </c>
      <c r="O11" s="0" t="n">
        <v>3784</v>
      </c>
      <c r="P11" s="0" t="n">
        <v>7781</v>
      </c>
      <c r="Q11" s="0" t="n">
        <v>3997</v>
      </c>
      <c r="R11" s="0" t="n">
        <v>1791</v>
      </c>
      <c r="S11" s="0" t="n">
        <v>2052</v>
      </c>
      <c r="T11" s="0" t="n">
        <v>187</v>
      </c>
      <c r="U11" s="0" t="n">
        <v>104</v>
      </c>
      <c r="AA11" s="0" t="s">
        <v>17</v>
      </c>
      <c r="AB11" s="0" t="s">
        <v>14</v>
      </c>
    </row>
    <row r="12" customFormat="false" ht="15" hidden="false" customHeight="false" outlineLevel="0" collapsed="false">
      <c r="A12" s="0" t="s">
        <v>73</v>
      </c>
      <c r="B12" s="0" t="n">
        <v>5420</v>
      </c>
      <c r="C12" s="0" t="n">
        <v>1970</v>
      </c>
      <c r="F12" s="0" t="n">
        <v>1334</v>
      </c>
      <c r="G12" s="0" t="n">
        <v>24.6125461254613</v>
      </c>
      <c r="I12" s="0" t="n">
        <v>1124</v>
      </c>
      <c r="J12" s="0" t="n">
        <v>20.7380073800738</v>
      </c>
      <c r="K12" s="0" t="n">
        <v>6.23</v>
      </c>
      <c r="L12" s="0" t="n">
        <v>1144</v>
      </c>
      <c r="M12" s="0" t="n">
        <v>185</v>
      </c>
      <c r="N12" s="0" t="n">
        <v>959</v>
      </c>
      <c r="O12" s="0" t="n">
        <v>4161</v>
      </c>
      <c r="P12" s="0" t="n">
        <v>8098</v>
      </c>
      <c r="Q12" s="0" t="n">
        <v>3937</v>
      </c>
      <c r="R12" s="0" t="n">
        <v>1793</v>
      </c>
      <c r="S12" s="0" t="n">
        <v>2042</v>
      </c>
      <c r="T12" s="0" t="n">
        <v>182</v>
      </c>
      <c r="U12" s="0" t="n">
        <v>126</v>
      </c>
      <c r="AA12" s="0" t="s">
        <v>17</v>
      </c>
      <c r="AB12" s="0" t="s">
        <v>14</v>
      </c>
    </row>
    <row r="13" customFormat="false" ht="15" hidden="false" customHeight="false" outlineLevel="0" collapsed="false">
      <c r="A13" s="0" t="s">
        <v>74</v>
      </c>
      <c r="B13" s="0" t="n">
        <v>5464</v>
      </c>
      <c r="C13" s="0" t="n">
        <v>1932</v>
      </c>
      <c r="F13" s="0" t="n">
        <v>1358</v>
      </c>
      <c r="G13" s="0" t="n">
        <v>24.8535871156662</v>
      </c>
      <c r="I13" s="0" t="n">
        <v>1057</v>
      </c>
      <c r="J13" s="0" t="n">
        <v>19.3448023426062</v>
      </c>
      <c r="K13" s="0" t="n">
        <v>5.95</v>
      </c>
      <c r="L13" s="0" t="n">
        <v>1408</v>
      </c>
      <c r="M13" s="0" t="n">
        <v>197</v>
      </c>
      <c r="N13" s="0" t="n">
        <v>1211</v>
      </c>
      <c r="O13" s="0" t="n">
        <v>4654</v>
      </c>
      <c r="P13" s="0" t="n">
        <v>8683</v>
      </c>
      <c r="Q13" s="0" t="n">
        <v>4029</v>
      </c>
      <c r="R13" s="0" t="n">
        <v>2393</v>
      </c>
      <c r="S13" s="0" t="n">
        <v>2472</v>
      </c>
      <c r="T13" s="0" t="n">
        <v>179</v>
      </c>
      <c r="U13" s="0" t="n">
        <v>136</v>
      </c>
      <c r="AA13" s="0" t="s">
        <v>17</v>
      </c>
      <c r="AB13" s="0" t="s">
        <v>14</v>
      </c>
    </row>
    <row r="14" customFormat="false" ht="15" hidden="false" customHeight="false" outlineLevel="0" collapsed="false">
      <c r="A14" s="0" t="s">
        <v>75</v>
      </c>
      <c r="B14" s="0" t="n">
        <v>4979</v>
      </c>
      <c r="C14" s="0" t="n">
        <v>1846</v>
      </c>
      <c r="F14" s="0" t="n">
        <v>833</v>
      </c>
      <c r="G14" s="0" t="n">
        <v>16.730267121912</v>
      </c>
      <c r="I14" s="0" t="n">
        <v>618</v>
      </c>
      <c r="J14" s="0" t="n">
        <v>12.41213094999</v>
      </c>
      <c r="K14" s="0" t="n">
        <v>3.53</v>
      </c>
      <c r="L14" s="0" t="n">
        <v>1052</v>
      </c>
      <c r="M14" s="0" t="n">
        <v>154</v>
      </c>
      <c r="N14" s="0" t="n">
        <v>898</v>
      </c>
      <c r="O14" s="0" t="n">
        <v>5105</v>
      </c>
      <c r="P14" s="0" t="n">
        <v>9269</v>
      </c>
      <c r="Q14" s="0" t="n">
        <v>4164</v>
      </c>
      <c r="R14" s="0" t="n">
        <v>1790</v>
      </c>
      <c r="S14" s="0" t="n">
        <v>1796</v>
      </c>
      <c r="T14" s="0" t="n">
        <v>175</v>
      </c>
      <c r="U14" s="0" t="n">
        <v>145</v>
      </c>
      <c r="AA14" s="0" t="s">
        <v>17</v>
      </c>
      <c r="AB14" s="0" t="s">
        <v>14</v>
      </c>
    </row>
    <row r="15" customFormat="false" ht="15" hidden="false" customHeight="false" outlineLevel="0" collapsed="false">
      <c r="A15" s="0" t="s">
        <v>76</v>
      </c>
      <c r="B15" s="0" t="n">
        <v>5375</v>
      </c>
      <c r="C15" s="0" t="n">
        <v>2038</v>
      </c>
      <c r="F15" s="0" t="n">
        <v>876</v>
      </c>
      <c r="G15" s="0" t="n">
        <v>16.2976744186047</v>
      </c>
      <c r="I15" s="0" t="n">
        <v>850</v>
      </c>
      <c r="J15" s="0" t="n">
        <v>15.8139534883721</v>
      </c>
      <c r="K15" s="0" t="n">
        <v>4.93</v>
      </c>
      <c r="L15" s="0" t="n">
        <v>1409</v>
      </c>
      <c r="M15" s="0" t="n">
        <v>128</v>
      </c>
      <c r="N15" s="0" t="n">
        <v>1281</v>
      </c>
      <c r="O15" s="0" t="n">
        <v>5881</v>
      </c>
      <c r="P15" s="0" t="n">
        <v>11301</v>
      </c>
      <c r="Q15" s="0" t="n">
        <v>5420</v>
      </c>
      <c r="R15" s="0" t="n">
        <v>2534</v>
      </c>
      <c r="S15" s="0" t="n">
        <v>1873</v>
      </c>
      <c r="T15" s="0" t="n">
        <v>173</v>
      </c>
      <c r="U15" s="0" t="n">
        <v>176</v>
      </c>
      <c r="AA15" s="0" t="s">
        <v>17</v>
      </c>
      <c r="AB15"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359.74</v>
      </c>
    </row>
    <row r="3" customFormat="false" ht="15" hidden="false" customHeight="false" outlineLevel="0" collapsed="false">
      <c r="A3" s="0" t="s">
        <v>80</v>
      </c>
      <c r="B3" s="3" t="n">
        <v>173</v>
      </c>
    </row>
    <row r="4" customFormat="false" ht="15" hidden="false" customHeight="false" outlineLevel="0" collapsed="false">
      <c r="A4" s="0" t="s">
        <v>81</v>
      </c>
      <c r="B4" s="3" t="n">
        <v>-88</v>
      </c>
    </row>
    <row r="5" customFormat="false" ht="15" hidden="false" customHeight="false" outlineLevel="0" collapsed="false">
      <c r="A5" s="0" t="s">
        <v>82</v>
      </c>
      <c r="B5" s="3" t="n">
        <v>0</v>
      </c>
    </row>
    <row r="6" customFormat="false" ht="15" hidden="false" customHeight="false" outlineLevel="0" collapsed="false">
      <c r="A6" s="0" t="s">
        <v>83</v>
      </c>
      <c r="B6" s="3" t="n">
        <v>15</v>
      </c>
    </row>
    <row r="7" customFormat="false" ht="15" hidden="false" customHeight="false" outlineLevel="0" collapsed="false">
      <c r="A7" s="0" t="s">
        <v>84</v>
      </c>
      <c r="B7" s="3" t="n">
        <v>7100</v>
      </c>
    </row>
    <row r="8" customFormat="false" ht="15" hidden="false" customHeight="false" outlineLevel="0" collapsed="false">
      <c r="A8" s="0" t="s">
        <v>85</v>
      </c>
      <c r="B8" s="3" t="s">
        <v>86</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8</v>
      </c>
      <c r="D13" s="3" t="n">
        <v>-8</v>
      </c>
      <c r="E13" s="3" t="n">
        <v>-6</v>
      </c>
      <c r="F13" s="3" t="n">
        <v>4</v>
      </c>
      <c r="G13" s="3" t="n">
        <v>5</v>
      </c>
      <c r="H13" s="3" t="n">
        <v>4</v>
      </c>
      <c r="I13" s="3" t="n">
        <v>3.5</v>
      </c>
      <c r="J13" s="3" t="n">
        <v>3</v>
      </c>
      <c r="K13" s="3" t="n">
        <v>3</v>
      </c>
      <c r="L13" s="3" t="n">
        <v>2.5</v>
      </c>
    </row>
    <row r="14" customFormat="false" ht="15" hidden="false" customHeight="false" outlineLevel="0" collapsed="false">
      <c r="A14" s="0" t="s">
        <v>102</v>
      </c>
      <c r="C14" s="3" t="n">
        <v>31.5</v>
      </c>
      <c r="D14" s="3" t="n">
        <v>27.5</v>
      </c>
      <c r="E14" s="3" t="n">
        <v>26</v>
      </c>
      <c r="F14" s="3" t="n">
        <v>27</v>
      </c>
      <c r="G14" s="3" t="n">
        <v>28</v>
      </c>
      <c r="H14" s="3" t="n">
        <v>28.5</v>
      </c>
      <c r="I14" s="3" t="n">
        <v>28.5</v>
      </c>
      <c r="J14" s="3" t="n">
        <v>28.5</v>
      </c>
      <c r="K14" s="3" t="n">
        <v>28.5</v>
      </c>
      <c r="L14" s="3" t="n">
        <v>28.5</v>
      </c>
    </row>
    <row r="15" customFormat="false" ht="15" hidden="false" customHeight="false" outlineLevel="0" collapsed="false">
      <c r="A15" s="0" t="s">
        <v>103</v>
      </c>
      <c r="C15" s="3" t="n">
        <v>4</v>
      </c>
      <c r="D15" s="3" t="n">
        <v>4.1</v>
      </c>
      <c r="E15" s="3" t="n">
        <v>4.1</v>
      </c>
      <c r="F15" s="3" t="n">
        <v>4</v>
      </c>
      <c r="G15" s="3" t="n">
        <v>3.9</v>
      </c>
      <c r="H15" s="3" t="n">
        <v>3.8</v>
      </c>
      <c r="I15" s="3" t="n">
        <v>3.8</v>
      </c>
      <c r="J15" s="3" t="n">
        <v>3.8</v>
      </c>
      <c r="K15" s="3" t="n">
        <v>3.8</v>
      </c>
      <c r="L15" s="3" t="n">
        <v>3.8</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2.3</v>
      </c>
      <c r="D17" s="3" t="n">
        <v>2.6</v>
      </c>
      <c r="E17" s="3" t="n">
        <v>2.7</v>
      </c>
      <c r="F17" s="3" t="n">
        <v>2.7</v>
      </c>
      <c r="G17" s="3" t="n">
        <v>2.7</v>
      </c>
      <c r="H17" s="3" t="n">
        <v>2.7</v>
      </c>
      <c r="I17" s="3" t="n">
        <v>2.7</v>
      </c>
      <c r="J17" s="3" t="n">
        <v>2.7</v>
      </c>
      <c r="K17" s="3" t="n">
        <v>2.7</v>
      </c>
      <c r="L17" s="3" t="n">
        <v>2.7</v>
      </c>
    </row>
    <row r="18" customFormat="false" ht="15" hidden="false" customHeight="false" outlineLevel="0" collapsed="false">
      <c r="A18" s="0" t="s">
        <v>106</v>
      </c>
      <c r="C18" s="3" t="n">
        <v>2.2</v>
      </c>
      <c r="D18" s="3" t="n">
        <v>2.5</v>
      </c>
      <c r="E18" s="3" t="n">
        <v>2.7</v>
      </c>
      <c r="F18" s="3" t="n">
        <v>2.7</v>
      </c>
      <c r="G18" s="3" t="n">
        <v>2.7</v>
      </c>
      <c r="H18" s="3" t="n">
        <v>2.7</v>
      </c>
      <c r="I18" s="3" t="n">
        <v>2.7</v>
      </c>
      <c r="J18" s="3" t="n">
        <v>2.7</v>
      </c>
      <c r="K18" s="3" t="n">
        <v>2.7</v>
      </c>
      <c r="L18" s="3" t="n">
        <v>2.7</v>
      </c>
    </row>
    <row r="19" customFormat="false" ht="15" hidden="false" customHeight="false" outlineLevel="0" collapsed="false">
      <c r="A19" s="0" t="s">
        <v>107</v>
      </c>
      <c r="C19" s="3" t="n">
        <v>15</v>
      </c>
      <c r="D19" s="3" t="n">
        <v>16</v>
      </c>
      <c r="E19" s="3" t="n">
        <v>18</v>
      </c>
      <c r="F19" s="3" t="n">
        <v>19</v>
      </c>
      <c r="G19" s="3" t="n">
        <v>20</v>
      </c>
      <c r="H19" s="3" t="n">
        <v>20</v>
      </c>
      <c r="I19" s="3" t="n">
        <v>20</v>
      </c>
      <c r="J19" s="3" t="n">
        <v>20</v>
      </c>
      <c r="K19" s="3" t="n">
        <v>20</v>
      </c>
      <c r="L19" s="3" t="n">
        <v>20</v>
      </c>
    </row>
    <row r="20" customFormat="false" ht="15" hidden="false" customHeight="false" outlineLevel="0" collapsed="false">
      <c r="A20" s="0" t="s">
        <v>108</v>
      </c>
      <c r="B20" s="3" t="n">
        <v>9.5</v>
      </c>
    </row>
    <row r="21" customFormat="false" ht="15" hidden="false" customHeight="false" outlineLevel="0" collapsed="false">
      <c r="A21" s="0" t="s">
        <v>109</v>
      </c>
      <c r="B21" s="3" t="n">
        <v>2.5</v>
      </c>
    </row>
    <row r="22" customFormat="false" ht="15" hidden="false" customHeight="false" outlineLevel="0" collapsed="false">
      <c r="A22" s="0" t="s">
        <v>110</v>
      </c>
      <c r="B22" s="3" t="n">
        <v>15</v>
      </c>
    </row>
    <row r="23" customFormat="false" ht="15" hidden="false" customHeight="false" outlineLevel="0" collapsed="false">
      <c r="A23" s="0" t="s">
        <v>111</v>
      </c>
      <c r="B23" s="3" t="n">
        <v>-8</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14</v>
      </c>
      <c r="D27" s="3" t="n">
        <v>7</v>
      </c>
      <c r="E27" s="3" t="n">
        <v>-3</v>
      </c>
      <c r="F27" s="3" t="n">
        <v>6</v>
      </c>
      <c r="G27" s="3" t="n">
        <v>7</v>
      </c>
      <c r="H27" s="3" t="n">
        <v>6</v>
      </c>
      <c r="I27" s="3" t="n">
        <v>5</v>
      </c>
      <c r="J27" s="3" t="n">
        <v>4.5</v>
      </c>
      <c r="K27" s="3" t="n">
        <v>4</v>
      </c>
      <c r="L27" s="3" t="n">
        <v>3.5</v>
      </c>
    </row>
    <row r="28" customFormat="false" ht="15" hidden="false" customHeight="false" outlineLevel="0" collapsed="false">
      <c r="A28" s="0" t="s">
        <v>102</v>
      </c>
      <c r="C28" s="3" t="n">
        <v>33.5</v>
      </c>
      <c r="D28" s="3" t="n">
        <v>33.5</v>
      </c>
      <c r="E28" s="3" t="n">
        <v>30.5</v>
      </c>
      <c r="F28" s="3" t="n">
        <v>31.5</v>
      </c>
      <c r="G28" s="3" t="n">
        <v>32.5</v>
      </c>
      <c r="H28" s="3" t="n">
        <v>32.5</v>
      </c>
      <c r="I28" s="3" t="n">
        <v>32.5</v>
      </c>
      <c r="J28" s="3" t="n">
        <v>32.5</v>
      </c>
      <c r="K28" s="3" t="n">
        <v>32.5</v>
      </c>
      <c r="L28" s="3" t="n">
        <v>32.5</v>
      </c>
    </row>
    <row r="29" customFormat="false" ht="15" hidden="false" customHeight="false" outlineLevel="0" collapsed="false">
      <c r="A29" s="0" t="s">
        <v>103</v>
      </c>
      <c r="C29" s="3" t="n">
        <v>4</v>
      </c>
      <c r="D29" s="3" t="n">
        <v>3.9</v>
      </c>
      <c r="E29" s="3" t="n">
        <v>3.8</v>
      </c>
      <c r="F29" s="3" t="n">
        <v>3.7</v>
      </c>
      <c r="G29" s="3" t="n">
        <v>3.6</v>
      </c>
      <c r="H29" s="3" t="n">
        <v>3.5</v>
      </c>
      <c r="I29" s="3" t="n">
        <v>3.5</v>
      </c>
      <c r="J29" s="3" t="n">
        <v>3.5</v>
      </c>
      <c r="K29" s="3" t="n">
        <v>3.5</v>
      </c>
      <c r="L29" s="3" t="n">
        <v>3.5</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2.3</v>
      </c>
      <c r="D31" s="3" t="n">
        <v>2.4</v>
      </c>
      <c r="E31" s="3" t="n">
        <v>2.5</v>
      </c>
      <c r="F31" s="3" t="n">
        <v>2.5</v>
      </c>
      <c r="G31" s="3" t="n">
        <v>2.6</v>
      </c>
      <c r="H31" s="3" t="n">
        <v>2.6</v>
      </c>
      <c r="I31" s="3" t="n">
        <v>2.6</v>
      </c>
      <c r="J31" s="3" t="n">
        <v>2.6</v>
      </c>
      <c r="K31" s="3" t="n">
        <v>2.6</v>
      </c>
      <c r="L31" s="3" t="n">
        <v>2.6</v>
      </c>
    </row>
    <row r="32" customFormat="false" ht="15" hidden="false" customHeight="false" outlineLevel="0" collapsed="false">
      <c r="A32" s="0" t="s">
        <v>106</v>
      </c>
      <c r="C32" s="3" t="n">
        <v>2.2</v>
      </c>
      <c r="D32" s="3" t="n">
        <v>2.4</v>
      </c>
      <c r="E32" s="3" t="n">
        <v>2.5</v>
      </c>
      <c r="F32" s="3" t="n">
        <v>2.5</v>
      </c>
      <c r="G32" s="3" t="n">
        <v>2.6</v>
      </c>
      <c r="H32" s="3" t="n">
        <v>2.6</v>
      </c>
      <c r="I32" s="3" t="n">
        <v>2.6</v>
      </c>
      <c r="J32" s="3" t="n">
        <v>2.6</v>
      </c>
      <c r="K32" s="3" t="n">
        <v>2.6</v>
      </c>
      <c r="L32" s="3" t="n">
        <v>2.6</v>
      </c>
    </row>
    <row r="33" customFormat="false" ht="15" hidden="false" customHeight="false" outlineLevel="0" collapsed="false">
      <c r="A33" s="0" t="s">
        <v>107</v>
      </c>
      <c r="C33" s="3" t="n">
        <v>14</v>
      </c>
      <c r="D33" s="3" t="n">
        <v>15</v>
      </c>
      <c r="E33" s="3" t="n">
        <v>16</v>
      </c>
      <c r="F33" s="3" t="n">
        <v>17</v>
      </c>
      <c r="G33" s="3" t="n">
        <v>18</v>
      </c>
      <c r="H33" s="3" t="n">
        <v>18</v>
      </c>
      <c r="I33" s="3" t="n">
        <v>19</v>
      </c>
      <c r="J33" s="3" t="n">
        <v>19</v>
      </c>
      <c r="K33" s="3" t="n">
        <v>19</v>
      </c>
      <c r="L33" s="3" t="n">
        <v>19</v>
      </c>
    </row>
    <row r="34" customFormat="false" ht="15" hidden="false" customHeight="false" outlineLevel="0" collapsed="false">
      <c r="A34" s="0" t="s">
        <v>108</v>
      </c>
      <c r="B34" s="3" t="n">
        <v>9.5</v>
      </c>
    </row>
    <row r="35" customFormat="false" ht="15" hidden="false" customHeight="false" outlineLevel="0" collapsed="false">
      <c r="A35" s="0" t="s">
        <v>109</v>
      </c>
      <c r="B35" s="3" t="n">
        <v>3</v>
      </c>
    </row>
    <row r="36" customFormat="false" ht="15" hidden="false" customHeight="false" outlineLevel="0" collapsed="false">
      <c r="A36" s="0" t="s">
        <v>110</v>
      </c>
      <c r="B36" s="3" t="n">
        <v>18</v>
      </c>
    </row>
    <row r="37" customFormat="false" ht="15" hidden="false" customHeight="false" outlineLevel="0" collapsed="false">
      <c r="A37" s="0" t="s">
        <v>111</v>
      </c>
      <c r="B37" s="3" t="n">
        <v>-10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18</v>
      </c>
      <c r="D41" s="3" t="n">
        <v>12</v>
      </c>
      <c r="E41" s="3" t="n">
        <v>4</v>
      </c>
      <c r="F41" s="3" t="n">
        <v>8</v>
      </c>
      <c r="G41" s="3" t="n">
        <v>9</v>
      </c>
      <c r="H41" s="3" t="n">
        <v>8</v>
      </c>
      <c r="I41" s="3" t="n">
        <v>6</v>
      </c>
      <c r="J41" s="3" t="n">
        <v>5</v>
      </c>
      <c r="K41" s="3" t="n">
        <v>4.5</v>
      </c>
      <c r="L41" s="3" t="n">
        <v>4</v>
      </c>
    </row>
    <row r="42" customFormat="false" ht="15" hidden="false" customHeight="false" outlineLevel="0" collapsed="false">
      <c r="A42" s="0" t="s">
        <v>102</v>
      </c>
      <c r="C42" s="3" t="n">
        <v>34.5</v>
      </c>
      <c r="D42" s="3" t="n">
        <v>35</v>
      </c>
      <c r="E42" s="3" t="n">
        <v>34</v>
      </c>
      <c r="F42" s="3" t="n">
        <v>34.5</v>
      </c>
      <c r="G42" s="3" t="n">
        <v>35</v>
      </c>
      <c r="H42" s="3" t="n">
        <v>35</v>
      </c>
      <c r="I42" s="3" t="n">
        <v>35</v>
      </c>
      <c r="J42" s="3" t="n">
        <v>35</v>
      </c>
      <c r="K42" s="3" t="n">
        <v>35</v>
      </c>
      <c r="L42" s="3" t="n">
        <v>35</v>
      </c>
    </row>
    <row r="43" customFormat="false" ht="15" hidden="false" customHeight="false" outlineLevel="0" collapsed="false">
      <c r="A43" s="0" t="s">
        <v>103</v>
      </c>
      <c r="C43" s="3" t="n">
        <v>4</v>
      </c>
      <c r="D43" s="3" t="n">
        <v>3.8</v>
      </c>
      <c r="E43" s="3" t="n">
        <v>3.6</v>
      </c>
      <c r="F43" s="3" t="n">
        <v>3.5</v>
      </c>
      <c r="G43" s="3" t="n">
        <v>3.4</v>
      </c>
      <c r="H43" s="3" t="n">
        <v>3.3</v>
      </c>
      <c r="I43" s="3" t="n">
        <v>3.2</v>
      </c>
      <c r="J43" s="3" t="n">
        <v>3.2</v>
      </c>
      <c r="K43" s="3" t="n">
        <v>3.2</v>
      </c>
      <c r="L43" s="3" t="n">
        <v>3.2</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2.3</v>
      </c>
      <c r="D45" s="3" t="n">
        <v>2.4</v>
      </c>
      <c r="E45" s="3" t="n">
        <v>2.5</v>
      </c>
      <c r="F45" s="3" t="n">
        <v>2.5</v>
      </c>
      <c r="G45" s="3" t="n">
        <v>2.6</v>
      </c>
      <c r="H45" s="3" t="n">
        <v>2.6</v>
      </c>
      <c r="I45" s="3" t="n">
        <v>2.6</v>
      </c>
      <c r="J45" s="3" t="n">
        <v>2.6</v>
      </c>
      <c r="K45" s="3" t="n">
        <v>2.6</v>
      </c>
      <c r="L45" s="3" t="n">
        <v>2.6</v>
      </c>
    </row>
    <row r="46" customFormat="false" ht="15" hidden="false" customHeight="false" outlineLevel="0" collapsed="false">
      <c r="A46" s="0" t="s">
        <v>106</v>
      </c>
      <c r="C46" s="3" t="n">
        <v>2.2</v>
      </c>
      <c r="D46" s="3" t="n">
        <v>2.4</v>
      </c>
      <c r="E46" s="3" t="n">
        <v>2.5</v>
      </c>
      <c r="F46" s="3" t="n">
        <v>2.5</v>
      </c>
      <c r="G46" s="3" t="n">
        <v>2.6</v>
      </c>
      <c r="H46" s="3" t="n">
        <v>2.6</v>
      </c>
      <c r="I46" s="3" t="n">
        <v>2.6</v>
      </c>
      <c r="J46" s="3" t="n">
        <v>2.6</v>
      </c>
      <c r="K46" s="3" t="n">
        <v>2.6</v>
      </c>
      <c r="L46" s="3" t="n">
        <v>2.6</v>
      </c>
    </row>
    <row r="47" customFormat="false" ht="15" hidden="false" customHeight="false" outlineLevel="0" collapsed="false">
      <c r="A47" s="0" t="s">
        <v>107</v>
      </c>
      <c r="C47" s="3" t="n">
        <v>14</v>
      </c>
      <c r="D47" s="3" t="n">
        <v>15</v>
      </c>
      <c r="E47" s="3" t="n">
        <v>16</v>
      </c>
      <c r="F47" s="3" t="n">
        <v>17</v>
      </c>
      <c r="G47" s="3" t="n">
        <v>17</v>
      </c>
      <c r="H47" s="3" t="n">
        <v>17</v>
      </c>
      <c r="I47" s="3" t="n">
        <v>17</v>
      </c>
      <c r="J47" s="3" t="n">
        <v>17</v>
      </c>
      <c r="K47" s="3" t="n">
        <v>17</v>
      </c>
      <c r="L47" s="3" t="n">
        <v>17</v>
      </c>
    </row>
    <row r="48" customFormat="false" ht="15" hidden="false" customHeight="false" outlineLevel="0" collapsed="false">
      <c r="A48" s="0" t="s">
        <v>108</v>
      </c>
      <c r="B48" s="3" t="n">
        <v>9.5</v>
      </c>
    </row>
    <row r="49" customFormat="false" ht="15" hidden="false" customHeight="false" outlineLevel="0" collapsed="false">
      <c r="A49" s="0" t="s">
        <v>109</v>
      </c>
      <c r="B49" s="3" t="n">
        <v>3.5</v>
      </c>
    </row>
    <row r="50" customFormat="false" ht="15" hidden="false" customHeight="false" outlineLevel="0" collapsed="false">
      <c r="A50" s="0" t="s">
        <v>110</v>
      </c>
      <c r="B50" s="3" t="n">
        <v>20</v>
      </c>
    </row>
    <row r="51" customFormat="false" ht="15" hidden="false" customHeight="false" outlineLevel="0" collapsed="false">
      <c r="A51" s="0" t="s">
        <v>111</v>
      </c>
      <c r="B51" s="3" t="n">
        <v>-10</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8</v>
      </c>
      <c r="D5" s="4" t="n">
        <f aca="false">Assumptions!D13</f>
        <v>-8</v>
      </c>
      <c r="E5" s="4" t="n">
        <f aca="false">Assumptions!E13</f>
        <v>-6</v>
      </c>
      <c r="F5" s="4" t="n">
        <f aca="false">Assumptions!F13</f>
        <v>4</v>
      </c>
      <c r="G5" s="4" t="n">
        <f aca="false">Assumptions!G13</f>
        <v>5</v>
      </c>
      <c r="H5" s="4" t="n">
        <f aca="false">Assumptions!H13</f>
        <v>4</v>
      </c>
      <c r="I5" s="4" t="n">
        <f aca="false">Assumptions!I13</f>
        <v>3.5</v>
      </c>
      <c r="J5" s="4" t="n">
        <f aca="false">Assumptions!J13</f>
        <v>3</v>
      </c>
      <c r="K5" s="4" t="n">
        <f aca="false">Assumptions!K13</f>
        <v>3</v>
      </c>
      <c r="L5" s="4" t="n">
        <f aca="false">Assumptions!L13</f>
        <v>2.5</v>
      </c>
    </row>
    <row r="6" customFormat="false" ht="15" hidden="false" customHeight="false" outlineLevel="0" collapsed="false">
      <c r="A6" s="0" t="s">
        <v>37</v>
      </c>
      <c r="B6" s="3" t="n">
        <v>7100</v>
      </c>
      <c r="C6" s="0" t="n">
        <f aca="false">B6*(1+C5/100)</f>
        <v>7668</v>
      </c>
      <c r="D6" s="0" t="n">
        <f aca="false">C6*(1+D5/100)</f>
        <v>7054.56</v>
      </c>
      <c r="E6" s="0" t="n">
        <f aca="false">D6*(1+E5/100)</f>
        <v>6631.2864</v>
      </c>
      <c r="F6" s="0" t="n">
        <f aca="false">E6*(1+F5/100)</f>
        <v>6896.537856</v>
      </c>
      <c r="G6" s="0" t="n">
        <f aca="false">F6*(1+G5/100)</f>
        <v>7241.3647488</v>
      </c>
      <c r="H6" s="0" t="n">
        <f aca="false">G6*(1+H5/100)</f>
        <v>7531.019338752</v>
      </c>
      <c r="I6" s="0" t="n">
        <f aca="false">H6*(1+I5/100)</f>
        <v>7794.60501560832</v>
      </c>
      <c r="J6" s="0" t="n">
        <f aca="false">I6*(1+J5/100)</f>
        <v>8028.44316607657</v>
      </c>
      <c r="K6" s="0" t="n">
        <f aca="false">J6*(1+K5/100)</f>
        <v>8269.29646105887</v>
      </c>
      <c r="L6" s="0" t="n">
        <f aca="false">K6*(1+L5/100)</f>
        <v>8476.02887258534</v>
      </c>
    </row>
    <row r="7" customFormat="false" ht="15" hidden="false" customHeight="false" outlineLevel="0" collapsed="false">
      <c r="A7" s="0" t="s">
        <v>102</v>
      </c>
      <c r="C7" s="4" t="n">
        <f aca="false">Assumptions!C14</f>
        <v>31.5</v>
      </c>
      <c r="D7" s="4" t="n">
        <f aca="false">Assumptions!D14</f>
        <v>27.5</v>
      </c>
      <c r="E7" s="4" t="n">
        <f aca="false">Assumptions!E14</f>
        <v>26</v>
      </c>
      <c r="F7" s="4" t="n">
        <f aca="false">Assumptions!F14</f>
        <v>27</v>
      </c>
      <c r="G7" s="4" t="n">
        <f aca="false">Assumptions!G14</f>
        <v>28</v>
      </c>
      <c r="H7" s="4" t="n">
        <f aca="false">Assumptions!H14</f>
        <v>28.5</v>
      </c>
      <c r="I7" s="4" t="n">
        <f aca="false">Assumptions!I14</f>
        <v>28.5</v>
      </c>
      <c r="J7" s="4" t="n">
        <f aca="false">Assumptions!J14</f>
        <v>28.5</v>
      </c>
      <c r="K7" s="4" t="n">
        <f aca="false">Assumptions!K14</f>
        <v>28.5</v>
      </c>
      <c r="L7" s="4" t="n">
        <f aca="false">Assumptions!L14</f>
        <v>28.5</v>
      </c>
    </row>
    <row r="8" customFormat="false" ht="15" hidden="false" customHeight="false" outlineLevel="0" collapsed="false">
      <c r="A8" s="0" t="s">
        <v>43</v>
      </c>
      <c r="C8" s="0" t="n">
        <f aca="false">C6*C7/100</f>
        <v>2415.42</v>
      </c>
      <c r="D8" s="0" t="n">
        <f aca="false">D6*D7/100</f>
        <v>1940.004</v>
      </c>
      <c r="E8" s="0" t="n">
        <f aca="false">E6*E7/100</f>
        <v>1724.134464</v>
      </c>
      <c r="F8" s="0" t="n">
        <f aca="false">F6*F7/100</f>
        <v>1862.06522112</v>
      </c>
      <c r="G8" s="0" t="n">
        <f aca="false">G6*G7/100</f>
        <v>2027.582129664</v>
      </c>
      <c r="H8" s="0" t="n">
        <f aca="false">H6*H7/100</f>
        <v>2146.34051154432</v>
      </c>
      <c r="I8" s="0" t="n">
        <f aca="false">I6*I7/100</f>
        <v>2221.46242944837</v>
      </c>
      <c r="J8" s="0" t="n">
        <f aca="false">J6*J7/100</f>
        <v>2288.10630233182</v>
      </c>
      <c r="K8" s="0" t="n">
        <f aca="false">K6*K7/100</f>
        <v>2356.74949140178</v>
      </c>
      <c r="L8" s="0" t="n">
        <f aca="false">L6*L7/100</f>
        <v>2415.66822868682</v>
      </c>
    </row>
    <row r="9" customFormat="false" ht="15" hidden="false" customHeight="false" outlineLevel="0" collapsed="false">
      <c r="A9" s="0" t="s">
        <v>103</v>
      </c>
      <c r="C9" s="4" t="n">
        <f aca="false">Assumptions!C15</f>
        <v>4</v>
      </c>
      <c r="D9" s="4" t="n">
        <f aca="false">Assumptions!D15</f>
        <v>4.1</v>
      </c>
      <c r="E9" s="4" t="n">
        <f aca="false">Assumptions!E15</f>
        <v>4.1</v>
      </c>
      <c r="F9" s="4" t="n">
        <f aca="false">Assumptions!F15</f>
        <v>4</v>
      </c>
      <c r="G9" s="4" t="n">
        <f aca="false">Assumptions!G15</f>
        <v>3.9</v>
      </c>
      <c r="H9" s="4" t="n">
        <f aca="false">Assumptions!H15</f>
        <v>3.8</v>
      </c>
      <c r="I9" s="4" t="n">
        <f aca="false">Assumptions!I15</f>
        <v>3.8</v>
      </c>
      <c r="J9" s="4" t="n">
        <f aca="false">Assumptions!J15</f>
        <v>3.8</v>
      </c>
      <c r="K9" s="4" t="n">
        <f aca="false">Assumptions!K15</f>
        <v>3.8</v>
      </c>
      <c r="L9" s="4" t="n">
        <f aca="false">Assumptions!L15</f>
        <v>3.8</v>
      </c>
    </row>
    <row r="10" customFormat="false" ht="15" hidden="false" customHeight="false" outlineLevel="0" collapsed="false">
      <c r="A10" s="0" t="s">
        <v>118</v>
      </c>
      <c r="C10" s="0" t="n">
        <f aca="false">-C6*C9/100</f>
        <v>-306.72</v>
      </c>
      <c r="D10" s="0" t="n">
        <f aca="false">-D6*D9/100</f>
        <v>-289.23696</v>
      </c>
      <c r="E10" s="0" t="n">
        <f aca="false">-E6*E9/100</f>
        <v>-271.8827424</v>
      </c>
      <c r="F10" s="0" t="n">
        <f aca="false">-F6*F9/100</f>
        <v>-275.86151424</v>
      </c>
      <c r="G10" s="0" t="n">
        <f aca="false">-G6*G9/100</f>
        <v>-282.4132252032</v>
      </c>
      <c r="H10" s="0" t="n">
        <f aca="false">-H6*H9/100</f>
        <v>-286.178734872576</v>
      </c>
      <c r="I10" s="0" t="n">
        <f aca="false">-I6*I9/100</f>
        <v>-296.194990593116</v>
      </c>
      <c r="J10" s="0" t="n">
        <f aca="false">-J6*J9/100</f>
        <v>-305.08084031091</v>
      </c>
      <c r="K10" s="0" t="n">
        <f aca="false">-K6*K9/100</f>
        <v>-314.233265520237</v>
      </c>
      <c r="L10" s="0" t="n">
        <f aca="false">-L6*L9/100</f>
        <v>-322.089097158243</v>
      </c>
    </row>
    <row r="11" customFormat="false" ht="15" hidden="false" customHeight="false" outlineLevel="0" collapsed="false">
      <c r="A11" s="0" t="s">
        <v>119</v>
      </c>
      <c r="C11" s="0" t="n">
        <f aca="false">C8+C10+C24</f>
        <v>2108.7</v>
      </c>
      <c r="D11" s="0" t="n">
        <f aca="false">D8+D10+D24</f>
        <v>1650.76704</v>
      </c>
      <c r="E11" s="0" t="n">
        <f aca="false">E8+E10+E24</f>
        <v>1452.2517216</v>
      </c>
      <c r="F11" s="0" t="n">
        <f aca="false">F8+F10+F24</f>
        <v>1586.20370688</v>
      </c>
      <c r="G11" s="0" t="n">
        <f aca="false">G8+G10+G24</f>
        <v>1745.1689044608</v>
      </c>
      <c r="H11" s="0" t="n">
        <f aca="false">H8+H10+H24</f>
        <v>1860.16177667174</v>
      </c>
      <c r="I11" s="0" t="n">
        <f aca="false">I8+I10+I24</f>
        <v>1925.26743885526</v>
      </c>
      <c r="J11" s="0" t="n">
        <f aca="false">J8+J10+J24</f>
        <v>1983.02546202091</v>
      </c>
      <c r="K11" s="0" t="n">
        <f aca="false">K8+K10+K24</f>
        <v>2042.51622588154</v>
      </c>
      <c r="L11" s="0" t="n">
        <f aca="false">L8+L10+L24</f>
        <v>2093.57913152858</v>
      </c>
    </row>
    <row r="12" customFormat="false" ht="15" hidden="false" customHeight="false" outlineLevel="0" collapsed="false">
      <c r="A12" s="0" t="s">
        <v>120</v>
      </c>
      <c r="C12" s="4" t="n">
        <f aca="false">-C6*Assumptions!C17/100</f>
        <v>-176.364</v>
      </c>
      <c r="D12" s="4" t="n">
        <f aca="false">-D6*Assumptions!D17/100</f>
        <v>-183.41856</v>
      </c>
      <c r="E12" s="4" t="n">
        <f aca="false">-E6*Assumptions!E17/100</f>
        <v>-179.0447328</v>
      </c>
      <c r="F12" s="4" t="n">
        <f aca="false">-F6*Assumptions!F17/100</f>
        <v>-186.206522112</v>
      </c>
      <c r="G12" s="4" t="n">
        <f aca="false">-G6*Assumptions!G17/100</f>
        <v>-195.5168482176</v>
      </c>
      <c r="H12" s="4" t="n">
        <f aca="false">-H6*Assumptions!H17/100</f>
        <v>-203.337522146304</v>
      </c>
      <c r="I12" s="4" t="n">
        <f aca="false">-I6*Assumptions!I17/100</f>
        <v>-210.454335421425</v>
      </c>
      <c r="J12" s="4" t="n">
        <f aca="false">-J6*Assumptions!J17/100</f>
        <v>-216.767965484067</v>
      </c>
      <c r="K12" s="4" t="n">
        <f aca="false">-K6*Assumptions!K17/100</f>
        <v>-223.271004448589</v>
      </c>
      <c r="L12" s="4" t="n">
        <f aca="false">-L6*Assumptions!L17/100</f>
        <v>-228.852779559804</v>
      </c>
    </row>
    <row r="13" customFormat="false" ht="15" hidden="false" customHeight="false" outlineLevel="0" collapsed="false">
      <c r="A13" s="0" t="s">
        <v>121</v>
      </c>
      <c r="C13" s="0" t="n">
        <f aca="false">C11+C12</f>
        <v>1932.336</v>
      </c>
      <c r="D13" s="0" t="n">
        <f aca="false">D11+D12</f>
        <v>1467.34848</v>
      </c>
      <c r="E13" s="0" t="n">
        <f aca="false">E11+E12</f>
        <v>1273.2069888</v>
      </c>
      <c r="F13" s="0" t="n">
        <f aca="false">F11+F12</f>
        <v>1399.997184768</v>
      </c>
      <c r="G13" s="0" t="n">
        <f aca="false">G11+G12</f>
        <v>1549.6520562432</v>
      </c>
      <c r="H13" s="0" t="n">
        <f aca="false">H11+H12</f>
        <v>1656.82425452544</v>
      </c>
      <c r="I13" s="0" t="n">
        <f aca="false">I11+I12</f>
        <v>1714.81310343383</v>
      </c>
      <c r="J13" s="0" t="n">
        <f aca="false">J11+J12</f>
        <v>1766.25749653685</v>
      </c>
      <c r="K13" s="0" t="n">
        <f aca="false">K11+K12</f>
        <v>1819.24522143295</v>
      </c>
      <c r="L13" s="0" t="n">
        <f aca="false">L11+L12</f>
        <v>1864.72635196878</v>
      </c>
    </row>
    <row r="14" customFormat="false" ht="15" hidden="false" customHeight="false" outlineLevel="0" collapsed="false">
      <c r="A14" s="0" t="s">
        <v>107</v>
      </c>
      <c r="C14" s="4" t="n">
        <f aca="false">Assumptions!C19</f>
        <v>15</v>
      </c>
      <c r="D14" s="4" t="n">
        <f aca="false">Assumptions!D19</f>
        <v>16</v>
      </c>
      <c r="E14" s="4" t="n">
        <f aca="false">Assumptions!E19</f>
        <v>18</v>
      </c>
      <c r="F14" s="4" t="n">
        <f aca="false">Assumptions!F19</f>
        <v>19</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122</v>
      </c>
      <c r="C15" s="0" t="n">
        <f aca="false">C13-MAX(0,C13)*C14/100</f>
        <v>1642.4856</v>
      </c>
      <c r="D15" s="0" t="n">
        <f aca="false">D13-MAX(0,D13)*D14/100</f>
        <v>1232.5727232</v>
      </c>
      <c r="E15" s="0" t="n">
        <f aca="false">E13-MAX(0,E13)*E14/100</f>
        <v>1044.029730816</v>
      </c>
      <c r="F15" s="0" t="n">
        <f aca="false">F13-MAX(0,F13)*F14/100</f>
        <v>1133.99771966208</v>
      </c>
      <c r="G15" s="0" t="n">
        <f aca="false">G13-MAX(0,G13)*G14/100</f>
        <v>1239.72164499456</v>
      </c>
      <c r="H15" s="0" t="n">
        <f aca="false">H13-MAX(0,H13)*H14/100</f>
        <v>1325.45940362035</v>
      </c>
      <c r="I15" s="0" t="n">
        <f aca="false">I13-MAX(0,I13)*I14/100</f>
        <v>1371.85048274706</v>
      </c>
      <c r="J15" s="0" t="n">
        <f aca="false">J13-MAX(0,J13)*J14/100</f>
        <v>1413.00599722948</v>
      </c>
      <c r="K15" s="0" t="n">
        <f aca="false">K13-MAX(0,K13)*K14/100</f>
        <v>1455.39617714636</v>
      </c>
      <c r="L15" s="0" t="n">
        <f aca="false">L13-MAX(0,L13)*L14/100</f>
        <v>1491.78108157502</v>
      </c>
    </row>
    <row r="16" customFormat="false" ht="15" hidden="false" customHeight="false" outlineLevel="0" collapsed="false">
      <c r="A16" s="0" t="s">
        <v>123</v>
      </c>
      <c r="C16" s="0" t="n">
        <f aca="false">-C12</f>
        <v>176.364</v>
      </c>
      <c r="D16" s="0" t="n">
        <f aca="false">-D12</f>
        <v>183.41856</v>
      </c>
      <c r="E16" s="0" t="n">
        <f aca="false">-E12</f>
        <v>179.0447328</v>
      </c>
      <c r="F16" s="0" t="n">
        <f aca="false">-F12</f>
        <v>186.206522112</v>
      </c>
      <c r="G16" s="0" t="n">
        <f aca="false">-G12</f>
        <v>195.5168482176</v>
      </c>
      <c r="H16" s="0" t="n">
        <f aca="false">-H12</f>
        <v>203.337522146304</v>
      </c>
      <c r="I16" s="0" t="n">
        <f aca="false">-I12</f>
        <v>210.454335421425</v>
      </c>
      <c r="J16" s="0" t="n">
        <f aca="false">-J12</f>
        <v>216.767965484067</v>
      </c>
      <c r="K16" s="0" t="n">
        <f aca="false">-K12</f>
        <v>223.271004448589</v>
      </c>
      <c r="L16" s="0" t="n">
        <f aca="false">-L12</f>
        <v>228.852779559804</v>
      </c>
    </row>
    <row r="17" customFormat="false" ht="15" hidden="false" customHeight="false" outlineLevel="0" collapsed="false">
      <c r="A17" s="0" t="s">
        <v>124</v>
      </c>
      <c r="C17" s="4" t="n">
        <f aca="false">-C6*Assumptions!C18/100</f>
        <v>-168.696</v>
      </c>
      <c r="D17" s="4" t="n">
        <f aca="false">-D6*Assumptions!D18/100</f>
        <v>-176.364</v>
      </c>
      <c r="E17" s="4" t="n">
        <f aca="false">-E6*Assumptions!E18/100</f>
        <v>-179.0447328</v>
      </c>
      <c r="F17" s="4" t="n">
        <f aca="false">-F6*Assumptions!F18/100</f>
        <v>-186.206522112</v>
      </c>
      <c r="G17" s="4" t="n">
        <f aca="false">-G6*Assumptions!G18/100</f>
        <v>-195.5168482176</v>
      </c>
      <c r="H17" s="4" t="n">
        <f aca="false">-H6*Assumptions!H18/100</f>
        <v>-203.337522146304</v>
      </c>
      <c r="I17" s="4" t="n">
        <f aca="false">-I6*Assumptions!I18/100</f>
        <v>-210.454335421425</v>
      </c>
      <c r="J17" s="4" t="n">
        <f aca="false">-J6*Assumptions!J18/100</f>
        <v>-216.767965484067</v>
      </c>
      <c r="K17" s="4" t="n">
        <f aca="false">-K6*Assumptions!K18/100</f>
        <v>-223.271004448589</v>
      </c>
      <c r="L17" s="4" t="n">
        <f aca="false">-L6*Assumptions!L18/100</f>
        <v>-228.852779559804</v>
      </c>
    </row>
    <row r="18" customFormat="false" ht="15" hidden="false" customHeight="false" outlineLevel="0" collapsed="false">
      <c r="A18" s="0" t="s">
        <v>125</v>
      </c>
      <c r="C18" s="4" t="n">
        <f aca="false">(C6-B6)*Assumptions!$B$23/100</f>
        <v>-45.4400000000001</v>
      </c>
      <c r="D18" s="4" t="n">
        <f aca="false">(D6-C6)*Assumptions!$B$23/100</f>
        <v>49.0752</v>
      </c>
      <c r="E18" s="4" t="n">
        <f aca="false">(E6-D6)*Assumptions!$B$23/100</f>
        <v>33.861888</v>
      </c>
      <c r="F18" s="4" t="n">
        <f aca="false">(F6-E6)*Assumptions!$B$23/100</f>
        <v>-21.22011648</v>
      </c>
      <c r="G18" s="4" t="n">
        <f aca="false">(G6-F6)*Assumptions!$B$23/100</f>
        <v>-27.5861514240001</v>
      </c>
      <c r="H18" s="4" t="n">
        <f aca="false">(H6-G6)*Assumptions!$B$23/100</f>
        <v>-23.1723671961601</v>
      </c>
      <c r="I18" s="4" t="n">
        <f aca="false">(I6-H6)*Assumptions!$B$23/100</f>
        <v>-21.0868541485056</v>
      </c>
      <c r="J18" s="4" t="n">
        <f aca="false">(J6-I6)*Assumptions!$B$23/100</f>
        <v>-18.70705203746</v>
      </c>
      <c r="K18" s="4" t="n">
        <f aca="false">(K6-J6)*Assumptions!$B$23/100</f>
        <v>-19.2682635985838</v>
      </c>
      <c r="L18" s="4" t="n">
        <f aca="false">(L6-K6)*Assumptions!$B$23/100</f>
        <v>-16.5385929221177</v>
      </c>
    </row>
    <row r="19" customFormat="false" ht="15" hidden="false" customHeight="false" outlineLevel="0" collapsed="false">
      <c r="A19" s="0" t="s">
        <v>126</v>
      </c>
      <c r="C19" s="0" t="n">
        <f aca="false">C15+C16+C17+C18</f>
        <v>1604.7136</v>
      </c>
      <c r="D19" s="0" t="n">
        <f aca="false">D15+D16+D17+D18</f>
        <v>1288.7024832</v>
      </c>
      <c r="E19" s="0" t="n">
        <f aca="false">E15+E16+E17+E18</f>
        <v>1077.891618816</v>
      </c>
      <c r="F19" s="0" t="n">
        <f aca="false">F15+F16+F17+F18</f>
        <v>1112.77760318208</v>
      </c>
      <c r="G19" s="0" t="n">
        <f aca="false">G15+G16+G17+G18</f>
        <v>1212.13549357056</v>
      </c>
      <c r="H19" s="0" t="n">
        <f aca="false">H15+H16+H17+H18</f>
        <v>1302.28703642419</v>
      </c>
      <c r="I19" s="0" t="n">
        <f aca="false">I15+I16+I17+I18</f>
        <v>1350.76362859856</v>
      </c>
      <c r="J19" s="0" t="n">
        <f aca="false">J15+J16+J17+J18</f>
        <v>1394.29894519202</v>
      </c>
      <c r="K19" s="0" t="n">
        <f aca="false">K15+K16+K17+K18</f>
        <v>1436.12791354778</v>
      </c>
      <c r="L19" s="0" t="n">
        <f aca="false">L15+L16+L17+L18</f>
        <v>1475.2424886529</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1465.49187214612</v>
      </c>
      <c r="D21" s="0" t="n">
        <f aca="false">D19*D20</f>
        <v>1074.79200450366</v>
      </c>
      <c r="E21" s="0" t="n">
        <f aca="false">E19*E20</f>
        <v>820.980302824812</v>
      </c>
      <c r="F21" s="0" t="n">
        <f aca="false">F19*F20</f>
        <v>774.019495137792</v>
      </c>
      <c r="G21" s="0" t="n">
        <f aca="false">G19*G20</f>
        <v>769.981999586104</v>
      </c>
      <c r="H21" s="0" t="n">
        <f aca="false">H19*H20</f>
        <v>755.478313858059</v>
      </c>
      <c r="I21" s="0" t="n">
        <f aca="false">I19*I20</f>
        <v>715.616793763531</v>
      </c>
      <c r="J21" s="0" t="n">
        <f aca="false">J19*J20</f>
        <v>674.594732009169</v>
      </c>
      <c r="K21" s="0" t="n">
        <f aca="false">K19*K20</f>
        <v>634.550295862506</v>
      </c>
      <c r="L21" s="0" t="n">
        <f aca="false">L19*L20</f>
        <v>595.28127305225</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9.5</v>
      </c>
    </row>
    <row r="28" customFormat="false" ht="15" hidden="false" customHeight="false" outlineLevel="0" collapsed="false">
      <c r="A28" s="0" t="s">
        <v>109</v>
      </c>
      <c r="B28" s="4" t="n">
        <f aca="false">Assumptions!$B$21</f>
        <v>2.5</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8280.787082744</v>
      </c>
    </row>
    <row r="31" customFormat="false" ht="15" hidden="false" customHeight="false" outlineLevel="0" collapsed="false">
      <c r="A31" s="0" t="s">
        <v>132</v>
      </c>
      <c r="B31" s="0" t="n">
        <f aca="false">L19</f>
        <v>1475.2424886529</v>
      </c>
    </row>
    <row r="32" customFormat="false" ht="15" hidden="false" customHeight="false" outlineLevel="0" collapsed="false">
      <c r="A32" s="0" t="s">
        <v>133</v>
      </c>
      <c r="B32" s="0" t="n">
        <f aca="false">IF(B27&gt;B28,B31*(1+B28/100)/((B27-B28)/100),B31*B29)</f>
        <v>21601.7650124175</v>
      </c>
    </row>
    <row r="33" customFormat="false" ht="15" hidden="false" customHeight="false" outlineLevel="0" collapsed="false">
      <c r="A33" s="0" t="s">
        <v>134</v>
      </c>
      <c r="B33" s="0" t="n">
        <f aca="false">B31*B29</f>
        <v>22128.6373297935</v>
      </c>
    </row>
    <row r="34" customFormat="false" ht="15" hidden="false" customHeight="false" outlineLevel="0" collapsed="false">
      <c r="A34" s="0" t="s">
        <v>135</v>
      </c>
      <c r="B34" s="0" t="n">
        <f aca="false">MAX(0,MIN(B32,B33))</f>
        <v>21601.7650124175</v>
      </c>
    </row>
    <row r="35" customFormat="false" ht="15" hidden="false" customHeight="false" outlineLevel="0" collapsed="false">
      <c r="A35" s="0" t="s">
        <v>136</v>
      </c>
      <c r="B35" s="0" t="n">
        <f aca="false">B34/(1+B27/100)^L4</f>
        <v>8716.61864112223</v>
      </c>
    </row>
    <row r="36" customFormat="false" ht="15" hidden="false" customHeight="false" outlineLevel="0" collapsed="false">
      <c r="A36" s="0" t="s">
        <v>137</v>
      </c>
      <c r="B36" s="0" t="n">
        <f aca="false">B30+B35</f>
        <v>16997.4057238662</v>
      </c>
    </row>
    <row r="37" customFormat="false" ht="15" hidden="false" customHeight="false" outlineLevel="0" collapsed="false">
      <c r="A37" s="0" t="s">
        <v>138</v>
      </c>
      <c r="B37" s="0" t="n">
        <f aca="false">B36+Assumptions!$B$5-Assumptions!$B$4</f>
        <v>17085.4057238662</v>
      </c>
    </row>
    <row r="38" customFormat="false" ht="15" hidden="false" customHeight="false" outlineLevel="0" collapsed="false">
      <c r="A38" s="0" t="s">
        <v>139</v>
      </c>
      <c r="B38" s="0" t="n">
        <f aca="false">B37/Assumptions!$B$3*Assumptions!$B$10</f>
        <v>98.7595706581863</v>
      </c>
    </row>
    <row r="39" customFormat="false" ht="15" hidden="false" customHeight="false" outlineLevel="0" collapsed="false">
      <c r="A39" s="0" t="s">
        <v>140</v>
      </c>
      <c r="B39" s="4" t="n">
        <f aca="false">B38/Assumptions!$B$2-1</f>
        <v>-0.725469587318101</v>
      </c>
    </row>
    <row r="41" customFormat="false" ht="15" hidden="false" customHeight="false" outlineLevel="0" collapsed="false">
      <c r="A41" s="0" t="s">
        <v>141</v>
      </c>
      <c r="B41" s="0" t="n">
        <f aca="false">SUMPRODUCT(-C10:L10/(1+$B$27/100)^C4:L4)</f>
        <v>1839.04921539903</v>
      </c>
    </row>
    <row r="42" customFormat="false" ht="15" hidden="false" customHeight="false" outlineLevel="0" collapsed="false">
      <c r="A42" s="0" t="s">
        <v>142</v>
      </c>
      <c r="B42" s="0" t="n">
        <f aca="false">IF(B27&gt;B28,-L10*(1+B28/100)/((B27-B28)/100),-L10*20)/(1+B27/100)^L4</f>
        <v>1903.09582999838</v>
      </c>
    </row>
    <row r="43" customFormat="false" ht="15" hidden="false" customHeight="false" outlineLevel="0" collapsed="false">
      <c r="A43" s="0" t="s">
        <v>143</v>
      </c>
      <c r="B43" s="0" t="n">
        <f aca="false">(B37+B41+B42)/Assumptions!$B$3*Assumptions!$B$10</f>
        <v>120.390466874356</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12096.9884069538</v>
      </c>
    </row>
    <row r="47" customFormat="false" ht="15" hidden="false" customHeight="false" outlineLevel="0" collapsed="false">
      <c r="A47" s="0" t="s">
        <v>145</v>
      </c>
      <c r="B47" s="0" t="n">
        <f aca="false">(SUMPRODUCT(C19:L19/(1+B45/100)^C4:L4)+B46/(1+B45/100)^L4+Assumptions!$B$5-Assumptions!$B$4)/Assumptions!$B$3*Assumptions!$B$10</f>
        <v>56.0413812387712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14</v>
      </c>
      <c r="D5" s="4" t="n">
        <f aca="false">Assumptions!D27</f>
        <v>7</v>
      </c>
      <c r="E5" s="4" t="n">
        <f aca="false">Assumptions!E27</f>
        <v>-3</v>
      </c>
      <c r="F5" s="4" t="n">
        <f aca="false">Assumptions!F27</f>
        <v>6</v>
      </c>
      <c r="G5" s="4" t="n">
        <f aca="false">Assumptions!G27</f>
        <v>7</v>
      </c>
      <c r="H5" s="4" t="n">
        <f aca="false">Assumptions!H27</f>
        <v>6</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37</v>
      </c>
      <c r="B6" s="3" t="n">
        <v>7100</v>
      </c>
      <c r="C6" s="0" t="n">
        <f aca="false">B6*(1+C5/100)</f>
        <v>8094</v>
      </c>
      <c r="D6" s="0" t="n">
        <f aca="false">C6*(1+D5/100)</f>
        <v>8660.58</v>
      </c>
      <c r="E6" s="0" t="n">
        <f aca="false">D6*(1+E5/100)</f>
        <v>8400.7626</v>
      </c>
      <c r="F6" s="0" t="n">
        <f aca="false">E6*(1+F5/100)</f>
        <v>8904.808356</v>
      </c>
      <c r="G6" s="0" t="n">
        <f aca="false">F6*(1+G5/100)</f>
        <v>9528.14494092</v>
      </c>
      <c r="H6" s="0" t="n">
        <f aca="false">G6*(1+H5/100)</f>
        <v>10099.8336373752</v>
      </c>
      <c r="I6" s="0" t="n">
        <f aca="false">H6*(1+I5/100)</f>
        <v>10604.825319244</v>
      </c>
      <c r="J6" s="0" t="n">
        <f aca="false">I6*(1+J5/100)</f>
        <v>11082.0424586099</v>
      </c>
      <c r="K6" s="0" t="n">
        <f aca="false">J6*(1+K5/100)</f>
        <v>11525.3241569543</v>
      </c>
      <c r="L6" s="0" t="n">
        <f aca="false">K6*(1+L5/100)</f>
        <v>11928.7105024477</v>
      </c>
    </row>
    <row r="7" customFormat="false" ht="15" hidden="false" customHeight="false" outlineLevel="0" collapsed="false">
      <c r="A7" s="0" t="s">
        <v>102</v>
      </c>
      <c r="C7" s="4" t="n">
        <f aca="false">Assumptions!C28</f>
        <v>33.5</v>
      </c>
      <c r="D7" s="4" t="n">
        <f aca="false">Assumptions!D28</f>
        <v>33.5</v>
      </c>
      <c r="E7" s="4" t="n">
        <f aca="false">Assumptions!E28</f>
        <v>30.5</v>
      </c>
      <c r="F7" s="4" t="n">
        <f aca="false">Assumptions!F28</f>
        <v>31.5</v>
      </c>
      <c r="G7" s="4" t="n">
        <f aca="false">Assumptions!G28</f>
        <v>32.5</v>
      </c>
      <c r="H7" s="4" t="n">
        <f aca="false">Assumptions!H28</f>
        <v>32.5</v>
      </c>
      <c r="I7" s="4" t="n">
        <f aca="false">Assumptions!I28</f>
        <v>32.5</v>
      </c>
      <c r="J7" s="4" t="n">
        <f aca="false">Assumptions!J28</f>
        <v>32.5</v>
      </c>
      <c r="K7" s="4" t="n">
        <f aca="false">Assumptions!K28</f>
        <v>32.5</v>
      </c>
      <c r="L7" s="4" t="n">
        <f aca="false">Assumptions!L28</f>
        <v>32.5</v>
      </c>
    </row>
    <row r="8" customFormat="false" ht="15" hidden="false" customHeight="false" outlineLevel="0" collapsed="false">
      <c r="A8" s="0" t="s">
        <v>43</v>
      </c>
      <c r="C8" s="0" t="n">
        <f aca="false">C6*C7/100</f>
        <v>2711.49</v>
      </c>
      <c r="D8" s="0" t="n">
        <f aca="false">D6*D7/100</f>
        <v>2901.2943</v>
      </c>
      <c r="E8" s="0" t="n">
        <f aca="false">E6*E7/100</f>
        <v>2562.232593</v>
      </c>
      <c r="F8" s="0" t="n">
        <f aca="false">F6*F7/100</f>
        <v>2805.01463214</v>
      </c>
      <c r="G8" s="0" t="n">
        <f aca="false">G6*G7/100</f>
        <v>3096.647105799</v>
      </c>
      <c r="H8" s="0" t="n">
        <f aca="false">H6*H7/100</f>
        <v>3282.44593214694</v>
      </c>
      <c r="I8" s="0" t="n">
        <f aca="false">I6*I7/100</f>
        <v>3446.56822875429</v>
      </c>
      <c r="J8" s="0" t="n">
        <f aca="false">J6*J7/100</f>
        <v>3601.66379904823</v>
      </c>
      <c r="K8" s="0" t="n">
        <f aca="false">K6*K7/100</f>
        <v>3745.73035101016</v>
      </c>
      <c r="L8" s="0" t="n">
        <f aca="false">L6*L7/100</f>
        <v>3876.83091329552</v>
      </c>
    </row>
    <row r="9" customFormat="false" ht="15" hidden="false" customHeight="false" outlineLevel="0" collapsed="false">
      <c r="A9" s="0" t="s">
        <v>103</v>
      </c>
      <c r="C9" s="4" t="n">
        <f aca="false">Assumptions!C29</f>
        <v>4</v>
      </c>
      <c r="D9" s="4" t="n">
        <f aca="false">Assumptions!D29</f>
        <v>3.9</v>
      </c>
      <c r="E9" s="4" t="n">
        <f aca="false">Assumptions!E29</f>
        <v>3.8</v>
      </c>
      <c r="F9" s="4" t="n">
        <f aca="false">Assumptions!F29</f>
        <v>3.7</v>
      </c>
      <c r="G9" s="4" t="n">
        <f aca="false">Assumptions!G29</f>
        <v>3.6</v>
      </c>
      <c r="H9" s="4" t="n">
        <f aca="false">Assumptions!H29</f>
        <v>3.5</v>
      </c>
      <c r="I9" s="4" t="n">
        <f aca="false">Assumptions!I29</f>
        <v>3.5</v>
      </c>
      <c r="J9" s="4" t="n">
        <f aca="false">Assumptions!J29</f>
        <v>3.5</v>
      </c>
      <c r="K9" s="4" t="n">
        <f aca="false">Assumptions!K29</f>
        <v>3.5</v>
      </c>
      <c r="L9" s="4" t="n">
        <f aca="false">Assumptions!L29</f>
        <v>3.5</v>
      </c>
    </row>
    <row r="10" customFormat="false" ht="15" hidden="false" customHeight="false" outlineLevel="0" collapsed="false">
      <c r="A10" s="0" t="s">
        <v>118</v>
      </c>
      <c r="C10" s="0" t="n">
        <f aca="false">-C6*C9/100</f>
        <v>-323.76</v>
      </c>
      <c r="D10" s="0" t="n">
        <f aca="false">-D6*D9/100</f>
        <v>-337.76262</v>
      </c>
      <c r="E10" s="0" t="n">
        <f aca="false">-E6*E9/100</f>
        <v>-319.2289788</v>
      </c>
      <c r="F10" s="0" t="n">
        <f aca="false">-F6*F9/100</f>
        <v>-329.477909172</v>
      </c>
      <c r="G10" s="0" t="n">
        <f aca="false">-G6*G9/100</f>
        <v>-343.01321787312</v>
      </c>
      <c r="H10" s="0" t="n">
        <f aca="false">-H6*H9/100</f>
        <v>-353.494177308132</v>
      </c>
      <c r="I10" s="0" t="n">
        <f aca="false">-I6*I9/100</f>
        <v>-371.168886173539</v>
      </c>
      <c r="J10" s="0" t="n">
        <f aca="false">-J6*J9/100</f>
        <v>-387.871486051348</v>
      </c>
      <c r="K10" s="0" t="n">
        <f aca="false">-K6*K9/100</f>
        <v>-403.386345493402</v>
      </c>
      <c r="L10" s="0" t="n">
        <f aca="false">-L6*L9/100</f>
        <v>-417.504867585671</v>
      </c>
    </row>
    <row r="11" customFormat="false" ht="15" hidden="false" customHeight="false" outlineLevel="0" collapsed="false">
      <c r="A11" s="0" t="s">
        <v>119</v>
      </c>
      <c r="C11" s="0" t="n">
        <f aca="false">C8+C10+C24</f>
        <v>2387.73</v>
      </c>
      <c r="D11" s="0" t="n">
        <f aca="false">D8+D10+D24</f>
        <v>2563.53168</v>
      </c>
      <c r="E11" s="0" t="n">
        <f aca="false">E8+E10+E24</f>
        <v>2243.0036142</v>
      </c>
      <c r="F11" s="0" t="n">
        <f aca="false">F8+F10+F24</f>
        <v>2475.536722968</v>
      </c>
      <c r="G11" s="0" t="n">
        <f aca="false">G8+G10+G24</f>
        <v>2753.63388792588</v>
      </c>
      <c r="H11" s="0" t="n">
        <f aca="false">H8+H10+H24</f>
        <v>2928.95175483881</v>
      </c>
      <c r="I11" s="0" t="n">
        <f aca="false">I8+I10+I24</f>
        <v>3075.39934258075</v>
      </c>
      <c r="J11" s="0" t="n">
        <f aca="false">J8+J10+J24</f>
        <v>3213.79231299688</v>
      </c>
      <c r="K11" s="0" t="n">
        <f aca="false">K8+K10+K24</f>
        <v>3342.34400551676</v>
      </c>
      <c r="L11" s="0" t="n">
        <f aca="false">L8+L10+L24</f>
        <v>3459.32604570985</v>
      </c>
    </row>
    <row r="12" customFormat="false" ht="15" hidden="false" customHeight="false" outlineLevel="0" collapsed="false">
      <c r="A12" s="0" t="s">
        <v>120</v>
      </c>
      <c r="C12" s="4" t="n">
        <f aca="false">-C6*Assumptions!C31/100</f>
        <v>-186.162</v>
      </c>
      <c r="D12" s="4" t="n">
        <f aca="false">-D6*Assumptions!D31/100</f>
        <v>-207.85392</v>
      </c>
      <c r="E12" s="4" t="n">
        <f aca="false">-E6*Assumptions!E31/100</f>
        <v>-210.019065</v>
      </c>
      <c r="F12" s="4" t="n">
        <f aca="false">-F6*Assumptions!F31/100</f>
        <v>-222.6202089</v>
      </c>
      <c r="G12" s="4" t="n">
        <f aca="false">-G6*Assumptions!G31/100</f>
        <v>-247.73176846392</v>
      </c>
      <c r="H12" s="4" t="n">
        <f aca="false">-H6*Assumptions!H31/100</f>
        <v>-262.595674571755</v>
      </c>
      <c r="I12" s="4" t="n">
        <f aca="false">-I6*Assumptions!I31/100</f>
        <v>-275.725458300343</v>
      </c>
      <c r="J12" s="4" t="n">
        <f aca="false">-J6*Assumptions!J31/100</f>
        <v>-288.133103923859</v>
      </c>
      <c r="K12" s="4" t="n">
        <f aca="false">-K6*Assumptions!K31/100</f>
        <v>-299.658428080813</v>
      </c>
      <c r="L12" s="4" t="n">
        <f aca="false">-L6*Assumptions!L31/100</f>
        <v>-310.146473063641</v>
      </c>
    </row>
    <row r="13" customFormat="false" ht="15" hidden="false" customHeight="false" outlineLevel="0" collapsed="false">
      <c r="A13" s="0" t="s">
        <v>121</v>
      </c>
      <c r="C13" s="0" t="n">
        <f aca="false">C11+C12</f>
        <v>2201.568</v>
      </c>
      <c r="D13" s="0" t="n">
        <f aca="false">D11+D12</f>
        <v>2355.67776</v>
      </c>
      <c r="E13" s="0" t="n">
        <f aca="false">E11+E12</f>
        <v>2032.9845492</v>
      </c>
      <c r="F13" s="0" t="n">
        <f aca="false">F11+F12</f>
        <v>2252.916514068</v>
      </c>
      <c r="G13" s="0" t="n">
        <f aca="false">G11+G12</f>
        <v>2505.90211946196</v>
      </c>
      <c r="H13" s="0" t="n">
        <f aca="false">H11+H12</f>
        <v>2666.35608026705</v>
      </c>
      <c r="I13" s="0" t="n">
        <f aca="false">I11+I12</f>
        <v>2799.67388428041</v>
      </c>
      <c r="J13" s="0" t="n">
        <f aca="false">J11+J12</f>
        <v>2925.65920907302</v>
      </c>
      <c r="K13" s="0" t="n">
        <f aca="false">K11+K12</f>
        <v>3042.68557743595</v>
      </c>
      <c r="L13" s="0" t="n">
        <f aca="false">L11+L12</f>
        <v>3149.1795726462</v>
      </c>
    </row>
    <row r="14" customFormat="false" ht="15" hidden="false" customHeight="false" outlineLevel="0" collapsed="false">
      <c r="A14" s="0" t="s">
        <v>107</v>
      </c>
      <c r="C14" s="4" t="n">
        <f aca="false">Assumptions!C33</f>
        <v>14</v>
      </c>
      <c r="D14" s="4" t="n">
        <f aca="false">Assumptions!D33</f>
        <v>15</v>
      </c>
      <c r="E14" s="4" t="n">
        <f aca="false">Assumptions!E33</f>
        <v>16</v>
      </c>
      <c r="F14" s="4" t="n">
        <f aca="false">Assumptions!F33</f>
        <v>17</v>
      </c>
      <c r="G14" s="4" t="n">
        <f aca="false">Assumptions!G33</f>
        <v>18</v>
      </c>
      <c r="H14" s="4" t="n">
        <f aca="false">Assumptions!H33</f>
        <v>18</v>
      </c>
      <c r="I14" s="4" t="n">
        <f aca="false">Assumptions!I33</f>
        <v>19</v>
      </c>
      <c r="J14" s="4" t="n">
        <f aca="false">Assumptions!J33</f>
        <v>19</v>
      </c>
      <c r="K14" s="4" t="n">
        <f aca="false">Assumptions!K33</f>
        <v>19</v>
      </c>
      <c r="L14" s="4" t="n">
        <f aca="false">Assumptions!L33</f>
        <v>19</v>
      </c>
    </row>
    <row r="15" customFormat="false" ht="15" hidden="false" customHeight="false" outlineLevel="0" collapsed="false">
      <c r="A15" s="0" t="s">
        <v>122</v>
      </c>
      <c r="C15" s="0" t="n">
        <f aca="false">C13-MAX(0,C13)*C14/100</f>
        <v>1893.34848</v>
      </c>
      <c r="D15" s="0" t="n">
        <f aca="false">D13-MAX(0,D13)*D14/100</f>
        <v>2002.326096</v>
      </c>
      <c r="E15" s="0" t="n">
        <f aca="false">E13-MAX(0,E13)*E14/100</f>
        <v>1707.707021328</v>
      </c>
      <c r="F15" s="0" t="n">
        <f aca="false">F13-MAX(0,F13)*F14/100</f>
        <v>1869.92070667644</v>
      </c>
      <c r="G15" s="0" t="n">
        <f aca="false">G13-MAX(0,G13)*G14/100</f>
        <v>2054.83973795881</v>
      </c>
      <c r="H15" s="0" t="n">
        <f aca="false">H13-MAX(0,H13)*H14/100</f>
        <v>2186.41198581898</v>
      </c>
      <c r="I15" s="0" t="n">
        <f aca="false">I13-MAX(0,I13)*I14/100</f>
        <v>2267.73584626713</v>
      </c>
      <c r="J15" s="0" t="n">
        <f aca="false">J13-MAX(0,J13)*J14/100</f>
        <v>2369.78395934915</v>
      </c>
      <c r="K15" s="0" t="n">
        <f aca="false">K13-MAX(0,K13)*K14/100</f>
        <v>2464.57531772312</v>
      </c>
      <c r="L15" s="0" t="n">
        <f aca="false">L13-MAX(0,L13)*L14/100</f>
        <v>2550.83545384343</v>
      </c>
    </row>
    <row r="16" customFormat="false" ht="15" hidden="false" customHeight="false" outlineLevel="0" collapsed="false">
      <c r="A16" s="0" t="s">
        <v>123</v>
      </c>
      <c r="C16" s="0" t="n">
        <f aca="false">-C12</f>
        <v>186.162</v>
      </c>
      <c r="D16" s="0" t="n">
        <f aca="false">-D12</f>
        <v>207.85392</v>
      </c>
      <c r="E16" s="0" t="n">
        <f aca="false">-E12</f>
        <v>210.019065</v>
      </c>
      <c r="F16" s="0" t="n">
        <f aca="false">-F12</f>
        <v>222.6202089</v>
      </c>
      <c r="G16" s="0" t="n">
        <f aca="false">-G12</f>
        <v>247.73176846392</v>
      </c>
      <c r="H16" s="0" t="n">
        <f aca="false">-H12</f>
        <v>262.595674571755</v>
      </c>
      <c r="I16" s="0" t="n">
        <f aca="false">-I12</f>
        <v>275.725458300343</v>
      </c>
      <c r="J16" s="0" t="n">
        <f aca="false">-J12</f>
        <v>288.133103923859</v>
      </c>
      <c r="K16" s="0" t="n">
        <f aca="false">-K12</f>
        <v>299.658428080813</v>
      </c>
      <c r="L16" s="0" t="n">
        <f aca="false">-L12</f>
        <v>310.146473063641</v>
      </c>
    </row>
    <row r="17" customFormat="false" ht="15" hidden="false" customHeight="false" outlineLevel="0" collapsed="false">
      <c r="A17" s="0" t="s">
        <v>124</v>
      </c>
      <c r="C17" s="4" t="n">
        <f aca="false">-C6*Assumptions!C32/100</f>
        <v>-178.068</v>
      </c>
      <c r="D17" s="4" t="n">
        <f aca="false">-D6*Assumptions!D32/100</f>
        <v>-207.85392</v>
      </c>
      <c r="E17" s="4" t="n">
        <f aca="false">-E6*Assumptions!E32/100</f>
        <v>-210.019065</v>
      </c>
      <c r="F17" s="4" t="n">
        <f aca="false">-F6*Assumptions!F32/100</f>
        <v>-222.6202089</v>
      </c>
      <c r="G17" s="4" t="n">
        <f aca="false">-G6*Assumptions!G32/100</f>
        <v>-247.73176846392</v>
      </c>
      <c r="H17" s="4" t="n">
        <f aca="false">-H6*Assumptions!H32/100</f>
        <v>-262.595674571755</v>
      </c>
      <c r="I17" s="4" t="n">
        <f aca="false">-I6*Assumptions!I32/100</f>
        <v>-275.725458300343</v>
      </c>
      <c r="J17" s="4" t="n">
        <f aca="false">-J6*Assumptions!J32/100</f>
        <v>-288.133103923859</v>
      </c>
      <c r="K17" s="4" t="n">
        <f aca="false">-K6*Assumptions!K32/100</f>
        <v>-299.658428080813</v>
      </c>
      <c r="L17" s="4" t="n">
        <f aca="false">-L6*Assumptions!L32/100</f>
        <v>-310.146473063641</v>
      </c>
    </row>
    <row r="18" customFormat="false" ht="15" hidden="false" customHeight="false" outlineLevel="0" collapsed="false">
      <c r="A18" s="0" t="s">
        <v>125</v>
      </c>
      <c r="C18" s="4" t="n">
        <f aca="false">(C6-B6)*Assumptions!$B$37/100</f>
        <v>-99.4000000000001</v>
      </c>
      <c r="D18" s="4" t="n">
        <f aca="false">(D6-C6)*Assumptions!$B$37/100</f>
        <v>-56.6580000000001</v>
      </c>
      <c r="E18" s="4" t="n">
        <f aca="false">(E6-D6)*Assumptions!$B$37/100</f>
        <v>25.98174</v>
      </c>
      <c r="F18" s="4" t="n">
        <f aca="false">(F6-E6)*Assumptions!$B$37/100</f>
        <v>-50.4045756000001</v>
      </c>
      <c r="G18" s="4" t="n">
        <f aca="false">(G6-F6)*Assumptions!$B$37/100</f>
        <v>-62.333658492</v>
      </c>
      <c r="H18" s="4" t="n">
        <f aca="false">(H6-G6)*Assumptions!$B$37/100</f>
        <v>-57.1688696455201</v>
      </c>
      <c r="I18" s="4" t="n">
        <f aca="false">(I6-H6)*Assumptions!$B$37/100</f>
        <v>-50.499168186876</v>
      </c>
      <c r="J18" s="4" t="n">
        <f aca="false">(J6-I6)*Assumptions!$B$37/100</f>
        <v>-47.7217139365977</v>
      </c>
      <c r="K18" s="4" t="n">
        <f aca="false">(K6-J6)*Assumptions!$B$37/100</f>
        <v>-44.3281698344397</v>
      </c>
      <c r="L18" s="4" t="n">
        <f aca="false">(L6-K6)*Assumptions!$B$37/100</f>
        <v>-40.3386345493402</v>
      </c>
    </row>
    <row r="19" customFormat="false" ht="15" hidden="false" customHeight="false" outlineLevel="0" collapsed="false">
      <c r="A19" s="0" t="s">
        <v>126</v>
      </c>
      <c r="C19" s="0" t="n">
        <f aca="false">C15+C16+C17+C18</f>
        <v>1802.04248</v>
      </c>
      <c r="D19" s="0" t="n">
        <f aca="false">D15+D16+D17+D18</f>
        <v>1945.668096</v>
      </c>
      <c r="E19" s="0" t="n">
        <f aca="false">E15+E16+E17+E18</f>
        <v>1733.688761328</v>
      </c>
      <c r="F19" s="0" t="n">
        <f aca="false">F15+F16+F17+F18</f>
        <v>1819.51613107644</v>
      </c>
      <c r="G19" s="0" t="n">
        <f aca="false">G15+G16+G17+G18</f>
        <v>1992.50607946681</v>
      </c>
      <c r="H19" s="0" t="n">
        <f aca="false">H15+H16+H17+H18</f>
        <v>2129.24311617346</v>
      </c>
      <c r="I19" s="0" t="n">
        <f aca="false">I15+I16+I17+I18</f>
        <v>2217.23667808025</v>
      </c>
      <c r="J19" s="0" t="n">
        <f aca="false">J15+J16+J17+J18</f>
        <v>2322.06224541255</v>
      </c>
      <c r="K19" s="0" t="n">
        <f aca="false">K15+K16+K17+K18</f>
        <v>2420.24714788868</v>
      </c>
      <c r="L19" s="0" t="n">
        <f aca="false">L15+L16+L17+L18</f>
        <v>2510.49681929409</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1645.70089497717</v>
      </c>
      <c r="D21" s="0" t="n">
        <f aca="false">D19*D20</f>
        <v>1622.70853068118</v>
      </c>
      <c r="E21" s="0" t="n">
        <f aca="false">E19*E20</f>
        <v>1320.47072213297</v>
      </c>
      <c r="F21" s="0" t="n">
        <f aca="false">F19*F20</f>
        <v>1265.60864735558</v>
      </c>
      <c r="G21" s="0" t="n">
        <f aca="false">G19*G20</f>
        <v>1265.69498491962</v>
      </c>
      <c r="H21" s="0" t="n">
        <f aca="false">H19*H20</f>
        <v>1235.20925434187</v>
      </c>
      <c r="I21" s="0" t="n">
        <f aca="false">I19*I20</f>
        <v>1174.66281219677</v>
      </c>
      <c r="J21" s="0" t="n">
        <f aca="false">J19*J20</f>
        <v>1123.46850978716</v>
      </c>
      <c r="K21" s="0" t="n">
        <f aca="false">K19*K20</f>
        <v>1069.38144524969</v>
      </c>
      <c r="L21" s="0" t="n">
        <f aca="false">L19*L20</f>
        <v>1013.02108234942</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9.5</v>
      </c>
    </row>
    <row r="28" customFormat="false" ht="15" hidden="false" customHeight="false" outlineLevel="0" collapsed="false">
      <c r="A28" s="0" t="s">
        <v>109</v>
      </c>
      <c r="B28" s="4" t="n">
        <f aca="false">Assumptions!$B$35</f>
        <v>3</v>
      </c>
    </row>
    <row r="29" customFormat="false" ht="15" hidden="false" customHeight="false" outlineLevel="0" collapsed="false">
      <c r="A29" s="0" t="s">
        <v>110</v>
      </c>
      <c r="B29" s="4" t="n">
        <f aca="false">Assumptions!$B$36</f>
        <v>18</v>
      </c>
    </row>
    <row r="30" customFormat="false" ht="15" hidden="false" customHeight="false" outlineLevel="0" collapsed="false">
      <c r="A30" s="0" t="s">
        <v>131</v>
      </c>
      <c r="B30" s="0" t="n">
        <f aca="false">SUM(C21:L21)</f>
        <v>12735.9268839914</v>
      </c>
    </row>
    <row r="31" customFormat="false" ht="15" hidden="false" customHeight="false" outlineLevel="0" collapsed="false">
      <c r="A31" s="0" t="s">
        <v>132</v>
      </c>
      <c r="B31" s="0" t="n">
        <f aca="false">L19</f>
        <v>2510.49681929409</v>
      </c>
    </row>
    <row r="32" customFormat="false" ht="15" hidden="false" customHeight="false" outlineLevel="0" collapsed="false">
      <c r="A32" s="0" t="s">
        <v>133</v>
      </c>
      <c r="B32" s="0" t="n">
        <f aca="false">IF(B27&gt;B28,B31*(1+B28/100)/((B27-B28)/100),B31*B29)</f>
        <v>39781.718828814</v>
      </c>
    </row>
    <row r="33" customFormat="false" ht="15" hidden="false" customHeight="false" outlineLevel="0" collapsed="false">
      <c r="A33" s="0" t="s">
        <v>134</v>
      </c>
      <c r="B33" s="0" t="n">
        <f aca="false">B31*B29</f>
        <v>45188.9427472935</v>
      </c>
    </row>
    <row r="34" customFormat="false" ht="15" hidden="false" customHeight="false" outlineLevel="0" collapsed="false">
      <c r="A34" s="0" t="s">
        <v>135</v>
      </c>
      <c r="B34" s="0" t="n">
        <f aca="false">MAX(0,MIN(B32,B33))</f>
        <v>39781.718828814</v>
      </c>
    </row>
    <row r="35" customFormat="false" ht="15" hidden="false" customHeight="false" outlineLevel="0" collapsed="false">
      <c r="A35" s="0" t="s">
        <v>136</v>
      </c>
      <c r="B35" s="0" t="n">
        <f aca="false">B34/(1+B27/100)^L4</f>
        <v>16052.4879203061</v>
      </c>
    </row>
    <row r="36" customFormat="false" ht="15" hidden="false" customHeight="false" outlineLevel="0" collapsed="false">
      <c r="A36" s="0" t="s">
        <v>137</v>
      </c>
      <c r="B36" s="0" t="n">
        <f aca="false">B30+B35</f>
        <v>28788.4148042975</v>
      </c>
    </row>
    <row r="37" customFormat="false" ht="15" hidden="false" customHeight="false" outlineLevel="0" collapsed="false">
      <c r="A37" s="0" t="s">
        <v>138</v>
      </c>
      <c r="B37" s="0" t="n">
        <f aca="false">B36+Assumptions!$B$5-Assumptions!$B$4</f>
        <v>28876.4148042975</v>
      </c>
    </row>
    <row r="38" customFormat="false" ht="15" hidden="false" customHeight="false" outlineLevel="0" collapsed="false">
      <c r="A38" s="0" t="s">
        <v>139</v>
      </c>
      <c r="B38" s="0" t="n">
        <f aca="false">B37/Assumptions!$B$3*Assumptions!$B$10</f>
        <v>166.91569251039</v>
      </c>
    </row>
    <row r="39" customFormat="false" ht="15" hidden="false" customHeight="false" outlineLevel="0" collapsed="false">
      <c r="A39" s="0" t="s">
        <v>140</v>
      </c>
      <c r="B39" s="4" t="n">
        <f aca="false">B38/Assumptions!$B$2-1</f>
        <v>-0.536010194834074</v>
      </c>
    </row>
    <row r="41" customFormat="false" ht="15" hidden="false" customHeight="false" outlineLevel="0" collapsed="false">
      <c r="A41" s="0" t="s">
        <v>141</v>
      </c>
      <c r="B41" s="0" t="n">
        <f aca="false">SUMPRODUCT(-C10:L10/(1+$B$27/100)^C4:L4)</f>
        <v>2203.65299935612</v>
      </c>
    </row>
    <row r="42" customFormat="false" ht="15" hidden="false" customHeight="false" outlineLevel="0" collapsed="false">
      <c r="A42" s="0" t="s">
        <v>142</v>
      </c>
      <c r="B42" s="0" t="n">
        <f aca="false">IF(B27&gt;B28,-L10*(1+B28/100)/((B27-B28)/100),-L10*20)/(1+B27/100)^L4</f>
        <v>2669.5878648723</v>
      </c>
    </row>
    <row r="43" customFormat="false" ht="15" hidden="false" customHeight="false" outlineLevel="0" collapsed="false">
      <c r="A43" s="0" t="s">
        <v>143</v>
      </c>
      <c r="B43" s="0" t="n">
        <f aca="false">(B37+B41+B42)/Assumptions!$B$3*Assumptions!$B$10</f>
        <v>195.084714846971</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21548.4310322742</v>
      </c>
    </row>
    <row r="47" customFormat="false" ht="15" hidden="false" customHeight="false" outlineLevel="0" collapsed="false">
      <c r="A47" s="0" t="s">
        <v>145</v>
      </c>
      <c r="B47" s="0" t="n">
        <f aca="false">(SUMPRODUCT(C19:L19/(1+B45/100)^C4:L4)+B46/(1+B45/100)^L4+Assumptions!$B$5-Assumptions!$B$4)/Assumptions!$B$3*Assumptions!$B$10</f>
        <v>89.278676384805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18</v>
      </c>
      <c r="D5" s="4" t="n">
        <f aca="false">Assumptions!D41</f>
        <v>12</v>
      </c>
      <c r="E5" s="4" t="n">
        <f aca="false">Assumptions!E41</f>
        <v>4</v>
      </c>
      <c r="F5" s="4" t="n">
        <f aca="false">Assumptions!F41</f>
        <v>8</v>
      </c>
      <c r="G5" s="4" t="n">
        <f aca="false">Assumptions!G41</f>
        <v>9</v>
      </c>
      <c r="H5" s="4" t="n">
        <f aca="false">Assumptions!H41</f>
        <v>8</v>
      </c>
      <c r="I5" s="4" t="n">
        <f aca="false">Assumptions!I41</f>
        <v>6</v>
      </c>
      <c r="J5" s="4" t="n">
        <f aca="false">Assumptions!J41</f>
        <v>5</v>
      </c>
      <c r="K5" s="4" t="n">
        <f aca="false">Assumptions!K41</f>
        <v>4.5</v>
      </c>
      <c r="L5" s="4" t="n">
        <f aca="false">Assumptions!L41</f>
        <v>4</v>
      </c>
    </row>
    <row r="6" customFormat="false" ht="15" hidden="false" customHeight="false" outlineLevel="0" collapsed="false">
      <c r="A6" s="0" t="s">
        <v>37</v>
      </c>
      <c r="B6" s="3" t="n">
        <v>7100</v>
      </c>
      <c r="C6" s="0" t="n">
        <f aca="false">B6*(1+C5/100)</f>
        <v>8378</v>
      </c>
      <c r="D6" s="0" t="n">
        <f aca="false">C6*(1+D5/100)</f>
        <v>9383.36</v>
      </c>
      <c r="E6" s="0" t="n">
        <f aca="false">D6*(1+E5/100)</f>
        <v>9758.6944</v>
      </c>
      <c r="F6" s="0" t="n">
        <f aca="false">E6*(1+F5/100)</f>
        <v>10539.389952</v>
      </c>
      <c r="G6" s="0" t="n">
        <f aca="false">F6*(1+G5/100)</f>
        <v>11487.93504768</v>
      </c>
      <c r="H6" s="0" t="n">
        <f aca="false">G6*(1+H5/100)</f>
        <v>12406.9698514944</v>
      </c>
      <c r="I6" s="0" t="n">
        <f aca="false">H6*(1+I5/100)</f>
        <v>13151.3880425841</v>
      </c>
      <c r="J6" s="0" t="n">
        <f aca="false">I6*(1+J5/100)</f>
        <v>13808.9574447133</v>
      </c>
      <c r="K6" s="0" t="n">
        <f aca="false">J6*(1+K5/100)</f>
        <v>14430.3605297254</v>
      </c>
      <c r="L6" s="0" t="n">
        <f aca="false">K6*(1+L5/100)</f>
        <v>15007.5749509144</v>
      </c>
    </row>
    <row r="7" customFormat="false" ht="15" hidden="false" customHeight="false" outlineLevel="0" collapsed="false">
      <c r="A7" s="0" t="s">
        <v>102</v>
      </c>
      <c r="C7" s="4" t="n">
        <f aca="false">Assumptions!C42</f>
        <v>34.5</v>
      </c>
      <c r="D7" s="4" t="n">
        <f aca="false">Assumptions!D42</f>
        <v>35</v>
      </c>
      <c r="E7" s="4" t="n">
        <f aca="false">Assumptions!E42</f>
        <v>34</v>
      </c>
      <c r="F7" s="4" t="n">
        <f aca="false">Assumptions!F42</f>
        <v>34.5</v>
      </c>
      <c r="G7" s="4" t="n">
        <f aca="false">Assumptions!G42</f>
        <v>35</v>
      </c>
      <c r="H7" s="4" t="n">
        <f aca="false">Assumptions!H42</f>
        <v>35</v>
      </c>
      <c r="I7" s="4" t="n">
        <f aca="false">Assumptions!I42</f>
        <v>35</v>
      </c>
      <c r="J7" s="4" t="n">
        <f aca="false">Assumptions!J42</f>
        <v>35</v>
      </c>
      <c r="K7" s="4" t="n">
        <f aca="false">Assumptions!K42</f>
        <v>35</v>
      </c>
      <c r="L7" s="4" t="n">
        <f aca="false">Assumptions!L42</f>
        <v>35</v>
      </c>
    </row>
    <row r="8" customFormat="false" ht="15" hidden="false" customHeight="false" outlineLevel="0" collapsed="false">
      <c r="A8" s="0" t="s">
        <v>43</v>
      </c>
      <c r="C8" s="0" t="n">
        <f aca="false">C6*C7/100</f>
        <v>2890.41</v>
      </c>
      <c r="D8" s="0" t="n">
        <f aca="false">D6*D7/100</f>
        <v>3284.176</v>
      </c>
      <c r="E8" s="0" t="n">
        <f aca="false">E6*E7/100</f>
        <v>3317.956096</v>
      </c>
      <c r="F8" s="0" t="n">
        <f aca="false">F6*F7/100</f>
        <v>3636.08953344</v>
      </c>
      <c r="G8" s="0" t="n">
        <f aca="false">G6*G7/100</f>
        <v>4020.777266688</v>
      </c>
      <c r="H8" s="0" t="n">
        <f aca="false">H6*H7/100</f>
        <v>4342.43944802304</v>
      </c>
      <c r="I8" s="0" t="n">
        <f aca="false">I6*I7/100</f>
        <v>4602.98581490442</v>
      </c>
      <c r="J8" s="0" t="n">
        <f aca="false">J6*J7/100</f>
        <v>4833.13510564965</v>
      </c>
      <c r="K8" s="0" t="n">
        <f aca="false">K6*K7/100</f>
        <v>5050.62618540388</v>
      </c>
      <c r="L8" s="0" t="n">
        <f aca="false">L6*L7/100</f>
        <v>5252.65123282003</v>
      </c>
    </row>
    <row r="9" customFormat="false" ht="15" hidden="false" customHeight="false" outlineLevel="0" collapsed="false">
      <c r="A9" s="0" t="s">
        <v>103</v>
      </c>
      <c r="C9" s="4" t="n">
        <f aca="false">Assumptions!C43</f>
        <v>4</v>
      </c>
      <c r="D9" s="4" t="n">
        <f aca="false">Assumptions!D43</f>
        <v>3.8</v>
      </c>
      <c r="E9" s="4" t="n">
        <f aca="false">Assumptions!E43</f>
        <v>3.6</v>
      </c>
      <c r="F9" s="4" t="n">
        <f aca="false">Assumptions!F43</f>
        <v>3.5</v>
      </c>
      <c r="G9" s="4" t="n">
        <f aca="false">Assumptions!G43</f>
        <v>3.4</v>
      </c>
      <c r="H9" s="4" t="n">
        <f aca="false">Assumptions!H43</f>
        <v>3.3</v>
      </c>
      <c r="I9" s="4" t="n">
        <f aca="false">Assumptions!I43</f>
        <v>3.2</v>
      </c>
      <c r="J9" s="4" t="n">
        <f aca="false">Assumptions!J43</f>
        <v>3.2</v>
      </c>
      <c r="K9" s="4" t="n">
        <f aca="false">Assumptions!K43</f>
        <v>3.2</v>
      </c>
      <c r="L9" s="4" t="n">
        <f aca="false">Assumptions!L43</f>
        <v>3.2</v>
      </c>
    </row>
    <row r="10" customFormat="false" ht="15" hidden="false" customHeight="false" outlineLevel="0" collapsed="false">
      <c r="A10" s="0" t="s">
        <v>118</v>
      </c>
      <c r="C10" s="0" t="n">
        <f aca="false">-C6*C9/100</f>
        <v>-335.12</v>
      </c>
      <c r="D10" s="0" t="n">
        <f aca="false">-D6*D9/100</f>
        <v>-356.56768</v>
      </c>
      <c r="E10" s="0" t="n">
        <f aca="false">-E6*E9/100</f>
        <v>-351.3129984</v>
      </c>
      <c r="F10" s="0" t="n">
        <f aca="false">-F6*F9/100</f>
        <v>-368.87864832</v>
      </c>
      <c r="G10" s="0" t="n">
        <f aca="false">-G6*G9/100</f>
        <v>-390.58979162112</v>
      </c>
      <c r="H10" s="0" t="n">
        <f aca="false">-H6*H9/100</f>
        <v>-409.430005099315</v>
      </c>
      <c r="I10" s="0" t="n">
        <f aca="false">-I6*I9/100</f>
        <v>-420.84441736269</v>
      </c>
      <c r="J10" s="0" t="n">
        <f aca="false">-J6*J9/100</f>
        <v>-441.886638230825</v>
      </c>
      <c r="K10" s="0" t="n">
        <f aca="false">-K6*K9/100</f>
        <v>-461.771536951212</v>
      </c>
      <c r="L10" s="0" t="n">
        <f aca="false">-L6*L9/100</f>
        <v>-480.24239842926</v>
      </c>
    </row>
    <row r="11" customFormat="false" ht="15" hidden="false" customHeight="false" outlineLevel="0" collapsed="false">
      <c r="A11" s="0" t="s">
        <v>119</v>
      </c>
      <c r="C11" s="0" t="n">
        <f aca="false">C8+C10+C24</f>
        <v>2555.29</v>
      </c>
      <c r="D11" s="0" t="n">
        <f aca="false">D8+D10+D24</f>
        <v>2927.60832</v>
      </c>
      <c r="E11" s="0" t="n">
        <f aca="false">E8+E10+E24</f>
        <v>2966.6430976</v>
      </c>
      <c r="F11" s="0" t="n">
        <f aca="false">F8+F10+F24</f>
        <v>3267.21088512</v>
      </c>
      <c r="G11" s="0" t="n">
        <f aca="false">G8+G10+G24</f>
        <v>3630.18747506688</v>
      </c>
      <c r="H11" s="0" t="n">
        <f aca="false">H8+H10+H24</f>
        <v>3933.00944292373</v>
      </c>
      <c r="I11" s="0" t="n">
        <f aca="false">I8+I10+I24</f>
        <v>4182.14139754173</v>
      </c>
      <c r="J11" s="0" t="n">
        <f aca="false">J8+J10+J24</f>
        <v>4391.24846741882</v>
      </c>
      <c r="K11" s="0" t="n">
        <f aca="false">K8+K10+K24</f>
        <v>4588.85464845267</v>
      </c>
      <c r="L11" s="0" t="n">
        <f aca="false">L8+L10+L24</f>
        <v>4772.40883439077</v>
      </c>
    </row>
    <row r="12" customFormat="false" ht="15" hidden="false" customHeight="false" outlineLevel="0" collapsed="false">
      <c r="A12" s="0" t="s">
        <v>120</v>
      </c>
      <c r="C12" s="4" t="n">
        <f aca="false">-C6*Assumptions!C45/100</f>
        <v>-192.694</v>
      </c>
      <c r="D12" s="4" t="n">
        <f aca="false">-D6*Assumptions!D45/100</f>
        <v>-225.20064</v>
      </c>
      <c r="E12" s="4" t="n">
        <f aca="false">-E6*Assumptions!E45/100</f>
        <v>-243.96736</v>
      </c>
      <c r="F12" s="4" t="n">
        <f aca="false">-F6*Assumptions!F45/100</f>
        <v>-263.4847488</v>
      </c>
      <c r="G12" s="4" t="n">
        <f aca="false">-G6*Assumptions!G45/100</f>
        <v>-298.68631123968</v>
      </c>
      <c r="H12" s="4" t="n">
        <f aca="false">-H6*Assumptions!H45/100</f>
        <v>-322.581216138855</v>
      </c>
      <c r="I12" s="4" t="n">
        <f aca="false">-I6*Assumptions!I45/100</f>
        <v>-341.936089107186</v>
      </c>
      <c r="J12" s="4" t="n">
        <f aca="false">-J6*Assumptions!J45/100</f>
        <v>-359.032893562545</v>
      </c>
      <c r="K12" s="4" t="n">
        <f aca="false">-K6*Assumptions!K45/100</f>
        <v>-375.18937377286</v>
      </c>
      <c r="L12" s="4" t="n">
        <f aca="false">-L6*Assumptions!L45/100</f>
        <v>-390.196948723774</v>
      </c>
    </row>
    <row r="13" customFormat="false" ht="15" hidden="false" customHeight="false" outlineLevel="0" collapsed="false">
      <c r="A13" s="0" t="s">
        <v>121</v>
      </c>
      <c r="C13" s="0" t="n">
        <f aca="false">C11+C12</f>
        <v>2362.596</v>
      </c>
      <c r="D13" s="0" t="n">
        <f aca="false">D11+D12</f>
        <v>2702.40768</v>
      </c>
      <c r="E13" s="0" t="n">
        <f aca="false">E11+E12</f>
        <v>2722.6757376</v>
      </c>
      <c r="F13" s="0" t="n">
        <f aca="false">F11+F12</f>
        <v>3003.72613632</v>
      </c>
      <c r="G13" s="0" t="n">
        <f aca="false">G11+G12</f>
        <v>3331.5011638272</v>
      </c>
      <c r="H13" s="0" t="n">
        <f aca="false">H11+H12</f>
        <v>3610.42822678487</v>
      </c>
      <c r="I13" s="0" t="n">
        <f aca="false">I11+I12</f>
        <v>3840.20530843455</v>
      </c>
      <c r="J13" s="0" t="n">
        <f aca="false">J11+J12</f>
        <v>4032.21557385628</v>
      </c>
      <c r="K13" s="0" t="n">
        <f aca="false">K11+K12</f>
        <v>4213.66527467981</v>
      </c>
      <c r="L13" s="0" t="n">
        <f aca="false">L11+L12</f>
        <v>4382.211885667</v>
      </c>
    </row>
    <row r="14" customFormat="false" ht="15" hidden="false" customHeight="false" outlineLevel="0" collapsed="false">
      <c r="A14" s="0" t="s">
        <v>107</v>
      </c>
      <c r="C14" s="4" t="n">
        <f aca="false">Assumptions!C47</f>
        <v>14</v>
      </c>
      <c r="D14" s="4" t="n">
        <f aca="false">Assumptions!D47</f>
        <v>15</v>
      </c>
      <c r="E14" s="4" t="n">
        <f aca="false">Assumptions!E47</f>
        <v>16</v>
      </c>
      <c r="F14" s="4" t="n">
        <f aca="false">Assumptions!F47</f>
        <v>17</v>
      </c>
      <c r="G14" s="4" t="n">
        <f aca="false">Assumptions!G47</f>
        <v>17</v>
      </c>
      <c r="H14" s="4" t="n">
        <f aca="false">Assumptions!H47</f>
        <v>17</v>
      </c>
      <c r="I14" s="4" t="n">
        <f aca="false">Assumptions!I47</f>
        <v>17</v>
      </c>
      <c r="J14" s="4" t="n">
        <f aca="false">Assumptions!J47</f>
        <v>17</v>
      </c>
      <c r="K14" s="4" t="n">
        <f aca="false">Assumptions!K47</f>
        <v>17</v>
      </c>
      <c r="L14" s="4" t="n">
        <f aca="false">Assumptions!L47</f>
        <v>17</v>
      </c>
    </row>
    <row r="15" customFormat="false" ht="15" hidden="false" customHeight="false" outlineLevel="0" collapsed="false">
      <c r="A15" s="0" t="s">
        <v>122</v>
      </c>
      <c r="C15" s="0" t="n">
        <f aca="false">C13-MAX(0,C13)*C14/100</f>
        <v>2031.83256</v>
      </c>
      <c r="D15" s="0" t="n">
        <f aca="false">D13-MAX(0,D13)*D14/100</f>
        <v>2297.046528</v>
      </c>
      <c r="E15" s="0" t="n">
        <f aca="false">E13-MAX(0,E13)*E14/100</f>
        <v>2287.047619584</v>
      </c>
      <c r="F15" s="0" t="n">
        <f aca="false">F13-MAX(0,F13)*F14/100</f>
        <v>2493.0926931456</v>
      </c>
      <c r="G15" s="0" t="n">
        <f aca="false">G13-MAX(0,G13)*G14/100</f>
        <v>2765.14596597658</v>
      </c>
      <c r="H15" s="0" t="n">
        <f aca="false">H13-MAX(0,H13)*H14/100</f>
        <v>2996.65542823144</v>
      </c>
      <c r="I15" s="0" t="n">
        <f aca="false">I13-MAX(0,I13)*I14/100</f>
        <v>3187.37040600067</v>
      </c>
      <c r="J15" s="0" t="n">
        <f aca="false">J13-MAX(0,J13)*J14/100</f>
        <v>3346.73892630071</v>
      </c>
      <c r="K15" s="0" t="n">
        <f aca="false">K13-MAX(0,K13)*K14/100</f>
        <v>3497.34217798424</v>
      </c>
      <c r="L15" s="0" t="n">
        <f aca="false">L13-MAX(0,L13)*L14/100</f>
        <v>3637.23586510361</v>
      </c>
    </row>
    <row r="16" customFormat="false" ht="15" hidden="false" customHeight="false" outlineLevel="0" collapsed="false">
      <c r="A16" s="0" t="s">
        <v>123</v>
      </c>
      <c r="C16" s="0" t="n">
        <f aca="false">-C12</f>
        <v>192.694</v>
      </c>
      <c r="D16" s="0" t="n">
        <f aca="false">-D12</f>
        <v>225.20064</v>
      </c>
      <c r="E16" s="0" t="n">
        <f aca="false">-E12</f>
        <v>243.96736</v>
      </c>
      <c r="F16" s="0" t="n">
        <f aca="false">-F12</f>
        <v>263.4847488</v>
      </c>
      <c r="G16" s="0" t="n">
        <f aca="false">-G12</f>
        <v>298.68631123968</v>
      </c>
      <c r="H16" s="0" t="n">
        <f aca="false">-H12</f>
        <v>322.581216138855</v>
      </c>
      <c r="I16" s="0" t="n">
        <f aca="false">-I12</f>
        <v>341.936089107186</v>
      </c>
      <c r="J16" s="0" t="n">
        <f aca="false">-J12</f>
        <v>359.032893562545</v>
      </c>
      <c r="K16" s="0" t="n">
        <f aca="false">-K12</f>
        <v>375.18937377286</v>
      </c>
      <c r="L16" s="0" t="n">
        <f aca="false">-L12</f>
        <v>390.196948723774</v>
      </c>
    </row>
    <row r="17" customFormat="false" ht="15" hidden="false" customHeight="false" outlineLevel="0" collapsed="false">
      <c r="A17" s="0" t="s">
        <v>124</v>
      </c>
      <c r="C17" s="4" t="n">
        <f aca="false">-C6*Assumptions!C46/100</f>
        <v>-184.316</v>
      </c>
      <c r="D17" s="4" t="n">
        <f aca="false">-D6*Assumptions!D46/100</f>
        <v>-225.20064</v>
      </c>
      <c r="E17" s="4" t="n">
        <f aca="false">-E6*Assumptions!E46/100</f>
        <v>-243.96736</v>
      </c>
      <c r="F17" s="4" t="n">
        <f aca="false">-F6*Assumptions!F46/100</f>
        <v>-263.4847488</v>
      </c>
      <c r="G17" s="4" t="n">
        <f aca="false">-G6*Assumptions!G46/100</f>
        <v>-298.68631123968</v>
      </c>
      <c r="H17" s="4" t="n">
        <f aca="false">-H6*Assumptions!H46/100</f>
        <v>-322.581216138855</v>
      </c>
      <c r="I17" s="4" t="n">
        <f aca="false">-I6*Assumptions!I46/100</f>
        <v>-341.936089107186</v>
      </c>
      <c r="J17" s="4" t="n">
        <f aca="false">-J6*Assumptions!J46/100</f>
        <v>-359.032893562545</v>
      </c>
      <c r="K17" s="4" t="n">
        <f aca="false">-K6*Assumptions!K46/100</f>
        <v>-375.18937377286</v>
      </c>
      <c r="L17" s="4" t="n">
        <f aca="false">-L6*Assumptions!L46/100</f>
        <v>-390.196948723774</v>
      </c>
    </row>
    <row r="18" customFormat="false" ht="15" hidden="false" customHeight="false" outlineLevel="0" collapsed="false">
      <c r="A18" s="0" t="s">
        <v>125</v>
      </c>
      <c r="C18" s="4" t="n">
        <f aca="false">(C6-B6)*Assumptions!$B$51/100</f>
        <v>-127.8</v>
      </c>
      <c r="D18" s="4" t="n">
        <f aca="false">(D6-C6)*Assumptions!$B$51/100</f>
        <v>-100.536</v>
      </c>
      <c r="E18" s="4" t="n">
        <f aca="false">(E6-D6)*Assumptions!$B$51/100</f>
        <v>-37.53344</v>
      </c>
      <c r="F18" s="4" t="n">
        <f aca="false">(F6-E6)*Assumptions!$B$51/100</f>
        <v>-78.0695552000001</v>
      </c>
      <c r="G18" s="4" t="n">
        <f aca="false">(G6-F6)*Assumptions!$B$51/100</f>
        <v>-94.8545095680001</v>
      </c>
      <c r="H18" s="4" t="n">
        <f aca="false">(H6-G6)*Assumptions!$B$51/100</f>
        <v>-91.90348038144</v>
      </c>
      <c r="I18" s="4" t="n">
        <f aca="false">(I6-H6)*Assumptions!$B$51/100</f>
        <v>-74.4418191089664</v>
      </c>
      <c r="J18" s="4" t="n">
        <f aca="false">(J6-I6)*Assumptions!$B$51/100</f>
        <v>-65.7569402129204</v>
      </c>
      <c r="K18" s="4" t="n">
        <f aca="false">(K6-J6)*Assumptions!$B$51/100</f>
        <v>-62.1403085012096</v>
      </c>
      <c r="L18" s="4" t="n">
        <f aca="false">(L6-K6)*Assumptions!$B$51/100</f>
        <v>-57.7214421189015</v>
      </c>
    </row>
    <row r="19" customFormat="false" ht="15" hidden="false" customHeight="false" outlineLevel="0" collapsed="false">
      <c r="A19" s="0" t="s">
        <v>126</v>
      </c>
      <c r="C19" s="0" t="n">
        <f aca="false">C15+C16+C17+C18</f>
        <v>1912.41056</v>
      </c>
      <c r="D19" s="0" t="n">
        <f aca="false">D15+D16+D17+D18</f>
        <v>2196.510528</v>
      </c>
      <c r="E19" s="0" t="n">
        <f aca="false">E15+E16+E17+E18</f>
        <v>2249.514179584</v>
      </c>
      <c r="F19" s="0" t="n">
        <f aca="false">F15+F16+F17+F18</f>
        <v>2415.0231379456</v>
      </c>
      <c r="G19" s="0" t="n">
        <f aca="false">G15+G16+G17+G18</f>
        <v>2670.29145640858</v>
      </c>
      <c r="H19" s="0" t="n">
        <f aca="false">H15+H16+H17+H18</f>
        <v>2904.75194785</v>
      </c>
      <c r="I19" s="0" t="n">
        <f aca="false">I15+I16+I17+I18</f>
        <v>3112.92858689171</v>
      </c>
      <c r="J19" s="0" t="n">
        <f aca="false">J15+J16+J17+J18</f>
        <v>3280.98198608779</v>
      </c>
      <c r="K19" s="0" t="n">
        <f aca="false">K15+K16+K17+K18</f>
        <v>3435.20186948303</v>
      </c>
      <c r="L19" s="0" t="n">
        <f aca="false">L15+L16+L17+L18</f>
        <v>3579.51442298471</v>
      </c>
    </row>
    <row r="20" customFormat="false" ht="15" hidden="false" customHeight="false" outlineLevel="0" collapsed="false">
      <c r="A20" s="0" t="s">
        <v>127</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128</v>
      </c>
      <c r="C21" s="0" t="n">
        <f aca="false">C19*C20</f>
        <v>1746.49366210046</v>
      </c>
      <c r="D21" s="0" t="n">
        <f aca="false">D19*D20</f>
        <v>1831.91387001939</v>
      </c>
      <c r="E21" s="0" t="n">
        <f aca="false">E19*E20</f>
        <v>1713.3511385794</v>
      </c>
      <c r="F21" s="0" t="n">
        <f aca="false">F19*F20</f>
        <v>1679.82801292315</v>
      </c>
      <c r="G21" s="0" t="n">
        <f aca="false">G19*G20</f>
        <v>1696.24300747652</v>
      </c>
      <c r="H21" s="0" t="n">
        <f aca="false">H19*H20</f>
        <v>1685.09479274493</v>
      </c>
      <c r="I21" s="0" t="n">
        <f aca="false">I19*I20</f>
        <v>1649.18859776934</v>
      </c>
      <c r="J21" s="0" t="n">
        <f aca="false">J19*J20</f>
        <v>1587.4165086792</v>
      </c>
      <c r="K21" s="0" t="n">
        <f aca="false">K19*K20</f>
        <v>1517.83719407204</v>
      </c>
      <c r="L21" s="0" t="n">
        <f aca="false">L19*L20</f>
        <v>1444.38485131279</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9.5</v>
      </c>
    </row>
    <row r="28" customFormat="false" ht="15" hidden="false" customHeight="false" outlineLevel="0" collapsed="false">
      <c r="A28" s="0" t="s">
        <v>109</v>
      </c>
      <c r="B28" s="4" t="n">
        <f aca="false">Assumptions!$B$49</f>
        <v>3.5</v>
      </c>
    </row>
    <row r="29" customFormat="false" ht="15" hidden="false" customHeight="false" outlineLevel="0" collapsed="false">
      <c r="A29" s="0" t="s">
        <v>110</v>
      </c>
      <c r="B29" s="4" t="n">
        <f aca="false">Assumptions!$B$50</f>
        <v>20</v>
      </c>
    </row>
    <row r="30" customFormat="false" ht="15" hidden="false" customHeight="false" outlineLevel="0" collapsed="false">
      <c r="A30" s="0" t="s">
        <v>131</v>
      </c>
      <c r="B30" s="0" t="n">
        <f aca="false">SUM(C21:L21)</f>
        <v>16551.7516356772</v>
      </c>
    </row>
    <row r="31" customFormat="false" ht="15" hidden="false" customHeight="false" outlineLevel="0" collapsed="false">
      <c r="A31" s="0" t="s">
        <v>132</v>
      </c>
      <c r="B31" s="0" t="n">
        <f aca="false">L19</f>
        <v>3579.51442298471</v>
      </c>
    </row>
    <row r="32" customFormat="false" ht="15" hidden="false" customHeight="false" outlineLevel="0" collapsed="false">
      <c r="A32" s="0" t="s">
        <v>133</v>
      </c>
      <c r="B32" s="0" t="n">
        <f aca="false">IF(B27&gt;B28,B31*(1+B28/100)/((B27-B28)/100),B31*B29)</f>
        <v>61746.6237964862</v>
      </c>
    </row>
    <row r="33" customFormat="false" ht="15" hidden="false" customHeight="false" outlineLevel="0" collapsed="false">
      <c r="A33" s="0" t="s">
        <v>134</v>
      </c>
      <c r="B33" s="0" t="n">
        <f aca="false">B31*B29</f>
        <v>71590.2884596942</v>
      </c>
    </row>
    <row r="34" customFormat="false" ht="15" hidden="false" customHeight="false" outlineLevel="0" collapsed="false">
      <c r="A34" s="0" t="s">
        <v>135</v>
      </c>
      <c r="B34" s="0" t="n">
        <f aca="false">MAX(0,MIN(B32,B33))</f>
        <v>61746.6237964862</v>
      </c>
    </row>
    <row r="35" customFormat="false" ht="15" hidden="false" customHeight="false" outlineLevel="0" collapsed="false">
      <c r="A35" s="0" t="s">
        <v>136</v>
      </c>
      <c r="B35" s="0" t="n">
        <f aca="false">B34/(1+B27/100)^L4</f>
        <v>24915.6386851456</v>
      </c>
    </row>
    <row r="36" customFormat="false" ht="15" hidden="false" customHeight="false" outlineLevel="0" collapsed="false">
      <c r="A36" s="0" t="s">
        <v>137</v>
      </c>
      <c r="B36" s="0" t="n">
        <f aca="false">B30+B35</f>
        <v>41467.3903208228</v>
      </c>
    </row>
    <row r="37" customFormat="false" ht="15" hidden="false" customHeight="false" outlineLevel="0" collapsed="false">
      <c r="A37" s="0" t="s">
        <v>138</v>
      </c>
      <c r="B37" s="0" t="n">
        <f aca="false">B36+Assumptions!$B$5-Assumptions!$B$4</f>
        <v>41555.3903208228</v>
      </c>
    </row>
    <row r="38" customFormat="false" ht="15" hidden="false" customHeight="false" outlineLevel="0" collapsed="false">
      <c r="A38" s="0" t="s">
        <v>139</v>
      </c>
      <c r="B38" s="0" t="n">
        <f aca="false">B37/Assumptions!$B$3*Assumptions!$B$10</f>
        <v>240.204568328455</v>
      </c>
    </row>
    <row r="39" customFormat="false" ht="15" hidden="false" customHeight="false" outlineLevel="0" collapsed="false">
      <c r="A39" s="0" t="s">
        <v>140</v>
      </c>
      <c r="B39" s="4" t="n">
        <f aca="false">B38/Assumptions!$B$2-1</f>
        <v>-0.332282847811043</v>
      </c>
    </row>
    <row r="41" customFormat="false" ht="15" hidden="false" customHeight="false" outlineLevel="0" collapsed="false">
      <c r="A41" s="0" t="s">
        <v>141</v>
      </c>
      <c r="B41" s="0" t="n">
        <f aca="false">SUMPRODUCT(-C10:L10/(1+$B$27/100)^C4:L4)</f>
        <v>2447.7894845094</v>
      </c>
    </row>
    <row r="42" customFormat="false" ht="15" hidden="false" customHeight="false" outlineLevel="0" collapsed="false">
      <c r="A42" s="0" t="s">
        <v>142</v>
      </c>
      <c r="B42" s="0" t="n">
        <f aca="false">IF(B27&gt;B28,-L10*(1+B28/100)/((B27-B28)/100),-L10*20)/(1+B27/100)^L4</f>
        <v>3342.78470948971</v>
      </c>
    </row>
    <row r="43" customFormat="false" ht="15" hidden="false" customHeight="false" outlineLevel="0" collapsed="false">
      <c r="A43" s="0" t="s">
        <v>143</v>
      </c>
      <c r="B43" s="0" t="n">
        <f aca="false">(B37+B41+B42)/Assumptions!$B$3*Assumptions!$B$10</f>
        <v>273.676095461398</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32215.6298068624</v>
      </c>
    </row>
    <row r="47" customFormat="false" ht="15" hidden="false" customHeight="false" outlineLevel="0" collapsed="false">
      <c r="A47" s="0" t="s">
        <v>145</v>
      </c>
      <c r="B47" s="0" t="n">
        <f aca="false">(SUMPRODUCT(C19:L19/(1+B45/100)^C4:L4)+B46/(1+B45/100)^L4+Assumptions!$B$5-Assumptions!$B$4)/Assumptions!$B$3*Assumptions!$B$10</f>
        <v>120.939183910997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98.7595706581863</v>
      </c>
      <c r="C4" s="0" t="n">
        <f aca="false">B4/Assumptions!$B$2-1</f>
        <v>-0.725469587318101</v>
      </c>
      <c r="D4" s="4" t="n">
        <f aca="false">Assumptions!$B$24</f>
        <v>0.25</v>
      </c>
      <c r="E4" s="4" t="n">
        <f aca="false">DCF_Bear!$B$43</f>
        <v>120.390466874356</v>
      </c>
      <c r="F4" s="4" t="n">
        <f aca="false">DCF_Bear!$B$47</f>
        <v>56.0413812387712</v>
      </c>
    </row>
    <row r="5" customFormat="false" ht="15" hidden="false" customHeight="false" outlineLevel="0" collapsed="false">
      <c r="A5" s="0" t="s">
        <v>154</v>
      </c>
      <c r="B5" s="4" t="n">
        <f aca="false">DCF_Base!$B$38</f>
        <v>166.91569251039</v>
      </c>
      <c r="C5" s="0" t="n">
        <f aca="false">B5/Assumptions!$B$2-1</f>
        <v>-0.536010194834074</v>
      </c>
      <c r="D5" s="4" t="n">
        <f aca="false">Assumptions!$B$38</f>
        <v>0.5</v>
      </c>
      <c r="E5" s="4" t="n">
        <f aca="false">DCF_Base!$B$43</f>
        <v>195.084714846971</v>
      </c>
      <c r="F5" s="4" t="n">
        <f aca="false">DCF_Base!$B$47</f>
        <v>89.278676384805</v>
      </c>
    </row>
    <row r="6" customFormat="false" ht="15" hidden="false" customHeight="false" outlineLevel="0" collapsed="false">
      <c r="A6" s="0" t="s">
        <v>155</v>
      </c>
      <c r="B6" s="4" t="n">
        <f aca="false">DCF_Bull!$B$38</f>
        <v>240.204568328455</v>
      </c>
      <c r="C6" s="0" t="n">
        <f aca="false">B6/Assumptions!$B$2-1</f>
        <v>-0.332282847811043</v>
      </c>
      <c r="D6" s="4" t="n">
        <f aca="false">Assumptions!$B$52</f>
        <v>0.25</v>
      </c>
      <c r="E6" s="4" t="n">
        <f aca="false">DCF_Bull!$B$43</f>
        <v>273.676095461398</v>
      </c>
      <c r="F6" s="4" t="n">
        <f aca="false">DCF_Bull!$B$47</f>
        <v>120.939183910997</v>
      </c>
    </row>
    <row r="8" customFormat="false" ht="15" hidden="false" customHeight="false" outlineLevel="0" collapsed="false">
      <c r="A8" s="0" t="s">
        <v>156</v>
      </c>
      <c r="B8" s="0" t="n">
        <f aca="false">SUMPRODUCT(B4:B6,D4:D6)</f>
        <v>168.198881001856</v>
      </c>
    </row>
    <row r="9" customFormat="false" ht="15" hidden="false" customHeight="false" outlineLevel="0" collapsed="false">
      <c r="A9" s="0" t="s">
        <v>157</v>
      </c>
      <c r="B9" s="0" t="n">
        <f aca="false">SUMPRODUCT(E4:E6,D4:D6)</f>
        <v>196.058998007424</v>
      </c>
    </row>
    <row r="10" customFormat="false" ht="15" hidden="false" customHeight="false" outlineLevel="0" collapsed="false">
      <c r="A10" s="0" t="s">
        <v>158</v>
      </c>
      <c r="B10" s="0" t="n">
        <f aca="false">1-Assumptions!$B$2/B8</f>
        <v>-1.13877760575608</v>
      </c>
    </row>
    <row r="11" customFormat="false" ht="15" hidden="false" customHeight="false" outlineLevel="0" collapsed="false">
      <c r="A11" s="0" t="s">
        <v>159</v>
      </c>
      <c r="B11" s="0" t="n">
        <f aca="false">IF(ABS(B9-B8)&gt;0.01*ABS(B8),(Assumptions!$B$2-B8)/(B9-B8)*100,"n/a")</f>
        <v>687.510102559372</v>
      </c>
    </row>
    <row r="12" customFormat="false" ht="15" hidden="false" customHeight="false" outlineLevel="0" collapsed="false">
      <c r="A12" s="0" t="s">
        <v>160</v>
      </c>
      <c r="B12" s="0" t="n">
        <f aca="false">SUMPRODUCT(F4:F6,D4:D6)</f>
        <v>88.8844794798445</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181.091598671896</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166.91569251039</v>
      </c>
      <c r="C16" s="3" t="n">
        <v>9.5</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154.774650165743</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135.069694878626</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119.770523161866</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89.278676384805</v>
      </c>
      <c r="C20" s="3" t="n">
        <v>15</v>
      </c>
    </row>
    <row r="22" customFormat="false" ht="15" hidden="false" customHeight="false" outlineLevel="0" collapsed="false">
      <c r="A22" s="2" t="s">
        <v>169</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208.195459104627</v>
      </c>
      <c r="C24" s="0" t="n">
        <f aca="false">(SUMPRODUCT(DCF_Base!$C$19:$L$19/(1+$A$24/100)^DCF_Base!$C$4:$L$4)+MAX(0,MIN(IF($A$24&gt;$C$23,DCF_Base!$L$19*(1+$C$23/100)/(($A$24-$C$23)/100),DCF_Base!$L$19*DCF_Base!$B$29),DCF_Base!$L$19*DCF_Base!$B$29))/(1+$A$24/100)^DCF_Base!$L$4+Assumptions!$B$5-Assumptions!$B$4)/Assumptions!$B$3*Assumptions!$B$10</f>
        <v>208.195459104627</v>
      </c>
      <c r="D24" s="0" t="n">
        <f aca="false">(SUMPRODUCT(DCF_Base!$C$19:$L$19/(1+$A$24/100)^DCF_Base!$C$4:$L$4)+MAX(0,MIN(IF($A$24&gt;$D$23,DCF_Base!$L$19*(1+$D$23/100)/(($A$24-$D$23)/100),DCF_Base!$L$19*DCF_Base!$B$29),DCF_Base!$L$19*DCF_Base!$B$29))/(1+$A$24/100)^DCF_Base!$L$4+Assumptions!$B$5-Assumptions!$B$4)/Assumptions!$B$3*Assumptions!$B$10</f>
        <v>208.195459104627</v>
      </c>
      <c r="E24" s="0" t="n">
        <f aca="false">(SUMPRODUCT(DCF_Base!$C$19:$L$19/(1+$A$24/100)^DCF_Base!$C$4:$L$4)+MAX(0,MIN(IF($A$24&gt;$E$23,DCF_Base!$L$19*(1+$E$23/100)/(($A$24-$E$23)/100),DCF_Base!$L$19*DCF_Base!$B$29),DCF_Base!$L$19*DCF_Base!$B$29))/(1+$A$24/100)^DCF_Base!$L$4+Assumptions!$B$5-Assumptions!$B$4)/Assumptions!$B$3*Assumptions!$B$10</f>
        <v>208.195459104627</v>
      </c>
      <c r="F24" s="0" t="n">
        <f aca="false">(SUMPRODUCT(DCF_Base!$C$19:$L$19/(1+$A$24/100)^DCF_Base!$C$4:$L$4)+MAX(0,MIN(IF($A$24&gt;$F$23,DCF_Base!$L$19*(1+$F$23/100)/(($A$24-$F$23)/100),DCF_Base!$L$19*DCF_Base!$B$29),DCF_Base!$L$19*DCF_Base!$B$29))/(1+$A$24/100)^DCF_Base!$L$4+Assumptions!$B$5-Assumptions!$B$4)/Assumptions!$B$3*Assumptions!$B$10</f>
        <v>208.195459104627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178.378692021176</v>
      </c>
      <c r="C25" s="0" t="n">
        <f aca="false">(SUMPRODUCT(DCF_Base!$C$19:$L$19/(1+$A$25/100)^DCF_Base!$C$4:$L$4)+MAX(0,MIN(IF($A$25&gt;$C$23,DCF_Base!$L$19*(1+$C$23/100)/(($A$25-$C$23)/100),DCF_Base!$L$19*DCF_Base!$B$29),DCF_Base!$L$19*DCF_Base!$B$29))/(1+$A$25/100)^DCF_Base!$L$4+Assumptions!$B$5-Assumptions!$B$4)/Assumptions!$B$3*Assumptions!$B$10</f>
        <v>187.306633317473</v>
      </c>
      <c r="D25" s="0" t="n">
        <f aca="false">(SUMPRODUCT(DCF_Base!$C$19:$L$19/(1+$A$25/100)^DCF_Base!$C$4:$L$4)+MAX(0,MIN(IF($A$25&gt;$D$23,DCF_Base!$L$19*(1+$D$23/100)/(($A$25-$D$23)/100),DCF_Base!$L$19*DCF_Base!$B$29),DCF_Base!$L$19*DCF_Base!$B$29))/(1+$A$25/100)^DCF_Base!$L$4+Assumptions!$B$5-Assumptions!$B$4)/Assumptions!$B$3*Assumptions!$B$10</f>
        <v>193.190023203972</v>
      </c>
      <c r="E25" s="0" t="n">
        <f aca="false">(SUMPRODUCT(DCF_Base!$C$19:$L$19/(1+$A$25/100)^DCF_Base!$C$4:$L$4)+MAX(0,MIN(IF($A$25&gt;$E$23,DCF_Base!$L$19*(1+$E$23/100)/(($A$25-$E$23)/100),DCF_Base!$L$19*DCF_Base!$B$29),DCF_Base!$L$19*DCF_Base!$B$29))/(1+$A$25/100)^DCF_Base!$L$4+Assumptions!$B$5-Assumptions!$B$4)/Assumptions!$B$3*Assumptions!$B$10</f>
        <v>193.190023203972</v>
      </c>
      <c r="F25" s="0" t="n">
        <f aca="false">(SUMPRODUCT(DCF_Base!$C$19:$L$19/(1+$A$25/100)^DCF_Base!$C$4:$L$4)+MAX(0,MIN(IF($A$25&gt;$F$23,DCF_Base!$L$19*(1+$F$23/100)/(($A$25-$F$23)/100),DCF_Base!$L$19*DCF_Base!$B$29),DCF_Base!$L$19*DCF_Base!$B$29))/(1+$A$25/100)^DCF_Base!$L$4+Assumptions!$B$5-Assumptions!$B$4)/Assumptions!$B$3*Assumptions!$B$10</f>
        <v>193.190023203972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153.763084415858</v>
      </c>
      <c r="C26" s="0" t="n">
        <f aca="false">(SUMPRODUCT(DCF_Base!$C$19:$L$19/(1+$A$26/100)^DCF_Base!$C$4:$L$4)+MAX(0,MIN(IF($A$26&gt;$C$23,DCF_Base!$L$19*(1+$C$23/100)/(($A$26-$C$23)/100),DCF_Base!$L$19*DCF_Base!$B$29),DCF_Base!$L$19*DCF_Base!$B$29))/(1+$A$26/100)^DCF_Base!$L$4+Assumptions!$B$5-Assumptions!$B$4)/Assumptions!$B$3*Assumptions!$B$10</f>
        <v>159.869652459748</v>
      </c>
      <c r="D26" s="0" t="n">
        <f aca="false">(SUMPRODUCT(DCF_Base!$C$19:$L$19/(1+$A$26/100)^DCF_Base!$C$4:$L$4)+MAX(0,MIN(IF($A$26&gt;$D$23,DCF_Base!$L$19*(1+$D$23/100)/(($A$26-$D$23)/100),DCF_Base!$L$19*DCF_Base!$B$29),DCF_Base!$L$19*DCF_Base!$B$29))/(1+$A$26/100)^DCF_Base!$L$4+Assumptions!$B$5-Assumptions!$B$4)/Assumptions!$B$3*Assumptions!$B$10</f>
        <v>166.91569251039</v>
      </c>
      <c r="E26" s="0" t="n">
        <f aca="false">(SUMPRODUCT(DCF_Base!$C$19:$L$19/(1+$A$26/100)^DCF_Base!$C$4:$L$4)+MAX(0,MIN(IF($A$26&gt;$E$23,DCF_Base!$L$19*(1+$E$23/100)/(($A$26-$E$23)/100),DCF_Base!$L$19*DCF_Base!$B$29),DCF_Base!$L$19*DCF_Base!$B$29))/(1+$A$26/100)^DCF_Base!$L$4+Assumptions!$B$5-Assumptions!$B$4)/Assumptions!$B$3*Assumptions!$B$10</f>
        <v>175.136072569473</v>
      </c>
      <c r="F26" s="0" t="n">
        <f aca="false">(SUMPRODUCT(DCF_Base!$C$19:$L$19/(1+$A$26/100)^DCF_Base!$C$4:$L$4)+MAX(0,MIN(IF($A$26&gt;$F$23,DCF_Base!$L$19*(1+$F$23/100)/(($A$26-$F$23)/100),DCF_Base!$L$19*DCF_Base!$B$29),DCF_Base!$L$19*DCF_Base!$B$29))/(1+$A$26/100)^DCF_Base!$L$4+Assumptions!$B$5-Assumptions!$B$4)/Assumptions!$B$3*Assumptions!$B$10</f>
        <v>179.527782464051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134.993425076871</v>
      </c>
      <c r="C27" s="0" t="n">
        <f aca="false">(SUMPRODUCT(DCF_Base!$C$19:$L$19/(1+$A$27/100)^DCF_Base!$C$4:$L$4)+MAX(0,MIN(IF($A$27&gt;$C$23,DCF_Base!$L$19*(1+$C$23/100)/(($A$27-$C$23)/100),DCF_Base!$L$19*DCF_Base!$B$29),DCF_Base!$L$19*DCF_Base!$B$29))/(1+$A$27/100)^DCF_Base!$L$4+Assumptions!$B$5-Assumptions!$B$4)/Assumptions!$B$3*Assumptions!$B$10</f>
        <v>139.337668594905</v>
      </c>
      <c r="D27" s="0" t="n">
        <f aca="false">(SUMPRODUCT(DCF_Base!$C$19:$L$19/(1+$A$27/100)^DCF_Base!$C$4:$L$4)+MAX(0,MIN(IF($A$27&gt;$D$23,DCF_Base!$L$19*(1+$D$23/100)/(($A$27-$D$23)/100),DCF_Base!$L$19*DCF_Base!$B$29),DCF_Base!$L$19*DCF_Base!$B$29))/(1+$A$27/100)^DCF_Base!$L$4+Assumptions!$B$5-Assumptions!$B$4)/Assumptions!$B$3*Assumptions!$B$10</f>
        <v>144.26114458201</v>
      </c>
      <c r="E27" s="0" t="n">
        <f aca="false">(SUMPRODUCT(DCF_Base!$C$19:$L$19/(1+$A$27/100)^DCF_Base!$C$4:$L$4)+MAX(0,MIN(IF($A$27&gt;$E$23,DCF_Base!$L$19*(1+$E$23/100)/(($A$27-$E$23)/100),DCF_Base!$L$19*DCF_Base!$B$29),DCF_Base!$L$19*DCF_Base!$B$29))/(1+$A$27/100)^DCF_Base!$L$4+Assumptions!$B$5-Assumptions!$B$4)/Assumptions!$B$3*Assumptions!$B$10</f>
        <v>149.887974281558</v>
      </c>
      <c r="F27" s="0" t="n">
        <f aca="false">(SUMPRODUCT(DCF_Base!$C$19:$L$19/(1+$A$27/100)^DCF_Base!$C$4:$L$4)+MAX(0,MIN(IF($A$27&gt;$F$23,DCF_Base!$L$19*(1+$F$23/100)/(($A$27-$F$23)/100),DCF_Base!$L$19*DCF_Base!$B$29),DCF_Base!$L$19*DCF_Base!$B$29))/(1+$A$27/100)^DCF_Base!$L$4+Assumptions!$B$5-Assumptions!$B$4)/Assumptions!$B$3*Assumptions!$B$10</f>
        <v>156.380470088729</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120.219920280057</v>
      </c>
      <c r="C28" s="0" t="n">
        <f aca="false">(SUMPRODUCT(DCF_Base!$C$19:$L$19/(1+$A$28/100)^DCF_Base!$C$4:$L$4)+MAX(0,MIN(IF($A$28&gt;$C$23,DCF_Base!$L$19*(1+$C$23/100)/(($A$28-$C$23)/100),DCF_Base!$L$19*DCF_Base!$B$29),DCF_Base!$L$19*DCF_Base!$B$29))/(1+$A$28/100)^DCF_Base!$L$4+Assumptions!$B$5-Assumptions!$B$4)/Assumptions!$B$3*Assumptions!$B$10</f>
        <v>123.405904757278</v>
      </c>
      <c r="D28" s="0" t="n">
        <f aca="false">(SUMPRODUCT(DCF_Base!$C$19:$L$19/(1+$A$28/100)^DCF_Base!$C$4:$L$4)+MAX(0,MIN(IF($A$28&gt;$D$23,DCF_Base!$L$19*(1+$D$23/100)/(($A$28-$D$23)/100),DCF_Base!$L$19*DCF_Base!$B$29),DCF_Base!$L$19*DCF_Base!$B$29))/(1+$A$28/100)^DCF_Base!$L$4+Assumptions!$B$5-Assumptions!$B$4)/Assumptions!$B$3*Assumptions!$B$10</f>
        <v>126.966710937701</v>
      </c>
      <c r="E28" s="0" t="n">
        <f aca="false">(SUMPRODUCT(DCF_Base!$C$19:$L$19/(1+$A$28/100)^DCF_Base!$C$4:$L$4)+MAX(0,MIN(IF($A$28&gt;$E$23,DCF_Base!$L$19*(1+$E$23/100)/(($A$28-$E$23)/100),DCF_Base!$L$19*DCF_Base!$B$29),DCF_Base!$L$19*DCF_Base!$B$29))/(1+$A$28/100)^DCF_Base!$L$4+Assumptions!$B$5-Assumptions!$B$4)/Assumptions!$B$3*Assumptions!$B$10</f>
        <v>130.972617890678</v>
      </c>
      <c r="F28" s="0" t="n">
        <f aca="false">(SUMPRODUCT(DCF_Base!$C$19:$L$19/(1+$A$28/100)^DCF_Base!$C$4:$L$4)+MAX(0,MIN(IF($A$28&gt;$F$23,DCF_Base!$L$19*(1+$F$23/100)/(($A$28-$F$23)/100),DCF_Base!$L$19*DCF_Base!$B$29),DCF_Base!$L$19*DCF_Base!$B$29))/(1+$A$28/100)^DCF_Base!$L$4+Assumptions!$B$5-Assumptions!$B$4)/Assumptions!$B$3*Assumptions!$B$10</f>
        <v>135.512645770717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2026-09-28T22:28:08Z</dcterms:created>
  <dc:creator>openpyxl</dc:creator>
  <dc:description/>
  <dc:language>en-NZ</dc:language>
  <cp:lastModifiedBy/>
  <dcterms:modified xsi:type="dcterms:W3CDTF">2026-09-28T22:28:08Z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