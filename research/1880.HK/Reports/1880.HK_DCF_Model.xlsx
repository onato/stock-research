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<sst xmlns="http://schemas.openxmlformats.org/spreadsheetml/2006/main" count="346" uniqueCount="162">
  <si>
    <t xml:space="preserve">Ticker</t>
  </si>
  <si>
    <t xml:space="preserve">1880.HK</t>
  </si>
  <si>
    <t xml:space="preserve">Company</t>
  </si>
  <si>
    <t xml:space="preserve">China Tourism Group Duty Free Corporation Limited (H share; A share 601888.SH)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</si>
  <si>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</si>
  <si>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</si>
  <si>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</si>
  <si>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</si>
  <si>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regular close (HKEX), Yahoo chart API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</si>
  <si>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</si>
  <si>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</si>
  <si>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</si>
  <si>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</si>
  <si>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</si>
  <si>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</si>
  <si>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</si>
  <si>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</si>
  <si>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</si>
  <si>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</si>
  <si>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</si>
  <si>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</si>
  <si>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</si>
  <si>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2026-10-16T21:42:17Z</t>
  </si>
  <si>
    <t xml:space="preserve">Drivers file</t>
  </si>
  <si>
    <t xml:space="preserve">1880.HK_Drivers.json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</si>
  <si>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</si>
  <si>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</si>
  <si>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</si>
  <si>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Mid-cycle owner-FCF valuation of China's dominant duty-free operator in CNY, converted to HKD for the H-share quote. FY2021 is treated as a lockdown-era peak and FY2025 as a trough-ish base; the base case recovers margins only to FY2023 levels. Net cash of ~RMB32.7bn (~HKD 18/share, ~43% of the H-share price) is a large, matched part of value: all interest income is stripped from the flows. Leases are charged as operating cost (treatment B) and excluded from net debt. SBC-zero: house and street bases coincide. Risk is charged once, through the 25% bear weight and its flows, at a single 9% CNY cost of equity.
key_risks_to_valuation: Duty-free licensing policy (Hainan purchase caps, eligible categories, operator selection) can move earnings by more than any modelled driver; Competitive bidding for airport/port/downtown/offshore rights could reprice concession fees and margins across the network; China discretionary/luxury consumption and outbound-travel substitution (Japan/Korea/Europe) drive Hainan traffic; Cash deployment: RMB36bn of cash and deposits could be spent on low-return M&amp;A (DFS was the first) rather than returned; the valuation credits it at face value; H-share/A-share discount (~25%) and SOE governance can persist regardless of intrinsic value; FX: model in CNY, quote in HKD (HKD pegged to USD); a CNY move shifts the HKD value one-for-one</t>
  </si>
  <si>
    <t xml:space="preserve">Data sources</t>
  </si>
  <si>
    <t xml:space="preserve">price: Yahoo Finance chart API (1880.HK) at inputs.price_as_of; 52-week range HKD 42.2-107.0. FX Yahoo CNYHKD=X cross-checked against CNY=X and HKD=X; parity against 601888.SS.
financials: 1880.HK_Metrics.csv (FY2021-FY2025, interims to H1-2026); FY2025 Annual Report consolidated statements (P&amp;L 1880.HK_Annual_FY2025.txt:3905-3953, cash flow :4171-4262); 2026 Interim Report balance sheet (1880.HK_HalfYear_H1-2026.txt:1154-1240), cash flow (:1330-1420), time deposits note (:2360, :2409-2422), DFS acquisition (:2686-2751), dividends payable (:2461).
qualitative: 1880.HK_Analysis.json (risks, bull/bear cases); 2026 Interim Report MD&amp;A (Hainan customs data, DFS, new concessions, outlook).</t>
  </si>
  <si>
    <t xml:space="preserve">Scenario narrative: bear</t>
  </si>
  <si>
    <t xml:space="preserve">The incumbency moat erodes. Operating rights move to competitive bidding and negotiation, HNTI, CNSC, Shenzhen Duty Free and others discount in Hainan, and the island-wide regime narrows the duty-free price gap as general tariffs fall. Outbound travel normalisation pulls luxury spend back to Japan, Korea and Europe while the domestic consumer stays in 'rational consumption' mode; duty-paid sales keep falling against cross-border e-commerce (-21.7% FY2025). Revenue declines 3% and 2% in FY2026-27 then grows only ~2%; pre-lease EBITDA margin compresses to 11.5% (9.4% after lease), below FY2024-25. The fortress net cash (~RMB32.7bn, roughly HKD 18/share) puts a floor under the equity even in this path.</t>
  </si>
  <si>
    <t xml:space="preserve">Scenario narrative: base</t>
  </si>
  <si>
    <t xml:space="preserve">Mid-cycle recovery, not a return to the 2021 peak. FY2026 is flat (H1 organic -4.4% offset by DFS consolidation and a stronger H2 as the Hainan island-wide customs regime from 18 Dec 2025 lifts offshore traffic: Haikou Customs offshore duty-free sales +18.8% y/y in H1-2026). From FY2027 revenue compounds 4-5% on record cross-border traffic (+10.8% y/y H1-2026, visa-free foreign arrivals +30.6%), new airport/port concessions (29 new rights won in H1-2026) and DFS Hong Kong/Macau, decelerating to 2.5% by year 10. Underlying pre-lease EBITDA margin rises from 13.3% to 14.5% (12.4% after lease cash), roughly the FY2023 level, on mix toward higher-margin categories (H1-2026 group profit +4.9% on lower revenue). Capex 2.0-2.3% of revenue for Haikou complex and commercial projects; growth consumes inventory.</t>
  </si>
  <si>
    <t xml:space="preserve">Scenario narrative: bull</t>
  </si>
  <si>
    <t xml:space="preserve">Hainan becomes the structural domestic substitute for overseas luxury shopping. The island-wide regime and the Nov-2025 offshore policy (wider eligibility, more categories) keep offshore sales growing double-digit for several years, cdf defends ~80% Hainan share and keeps winning the majority of bidding rounds; DFS Greater China and the LVMH cooperation bring better brand allocation and pricing, and inbound foreign spend becomes material. Revenue grows 9-10% in FY2027-28, regaining ~RMB80bn+ by year 6; pre-lease EBITDA margin rebuilds to 17% (~15% after lease), still below FY2021's lockdown-era peak. Two independent things have to go right -- Hainan policy delivery and a China luxury recovery -- which is why the weight is 25%, not 35%.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</si>
  <si>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</si>
  <si>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</si>
  <si>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</si>
  <si>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</si>
  <si>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</si>
  <si>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</si>
  <si>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</si>
  <si>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</si>
  <si>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</si>
  <si>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</si>
  <si>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</si>
  <si>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</si>
  <si>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</si>
  <si>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</si>
  <si>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</si>
  <si>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</si>
  <si>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</si>
  <si>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</si>
  <si>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</si>
  <si>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</si>
  <si>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</si>
  <si>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</si>
  <si>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</si>
  <si>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</si>
  <si>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</si>
  <si>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</si>
  <si>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</si>
  <si>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NetIncomeInclNCI</t>
  </si>
  <si>
    <t xml:space="preserve">TotalEquityInclNCI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</si>
  <si>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</si>
  <si>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</si>
  <si>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</si>
  <si>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</si>
  <si>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</si>
  <si>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</si>
  <si>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</si>
  <si>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</si>
  <si>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</si>
  <si>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</si>
  <si>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</si>
  <si>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</si>
  <si>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</si>
  <si>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</si>
  <si>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</si>
  <si>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</si>
  <si>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</si>
  <si>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</si>
  <si>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</si>
  <si>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</si>
  <si>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</si>
  <si>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</si>
  <si>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</si>
  <si>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</si>
  <si>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</si>
  <si>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</si>
  <si>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</si>
  <si>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</si>
  <si>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</si>
  <si>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</si>
  <si>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</si>
  <si>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</si>
  <si>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</si>
  <si>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</si>
  <si>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</si>
  <si>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</si>
  <si>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</si>
  <si>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</si>
  <si>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</si>
  <si>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</si>
  <si>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</si>
  <si>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</si>
  <si>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1880.HK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</si>
  <si>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</si>
  <si>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</si>
  <si>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</si>
  <si>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</si>
  <si>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</si>
  <si>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</si>
  <si>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</si>
  <si>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</si>
  <si>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</si>
  <si>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</si>
  <si>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</si>
  <si>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</si>
  <si>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</si>
  <si>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</si>
  <si>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</si>
  <si>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</si>
  <si>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</si>
  <si>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</si>
  <si>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</si>
  <si>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</si>
  <si>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</si>
  <si>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</si>
  <si>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</si>
  <si>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</si>
  <si>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</si>
  <si>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</si>
  <si>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</si>
  <si>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</si>
  <si>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</si>
  <si>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</si>
  <si>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1880.HK owner-FCF component DCF: base case (millions, CNY)</t>
  </si>
  <si>
    <t xml:space="preserve">1880.HK owner-FCF component DCF: bull case (millions, CNY)</t>
  </si>
  <si>
    <t xml:space="preserve">1880.HK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</si>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</sst>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43.14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67675.515</v>
      </c>
      <c r="C2" s="0" t="n">
        <v>-45381.289</v>
      </c>
      <c r="D2" s="0" t="n">
        <v>22294.226</v>
      </c>
      <c r="E2" s="0" t="n">
        <v>32.9</v>
      </c>
      <c r="F2" s="0" t="n">
        <v>14940.369</v>
      </c>
      <c r="G2" s="0" t="n">
        <v>22.1</v>
      </c>
      <c r="I2" s="0" t="n">
        <v>9726.557</v>
      </c>
      <c r="J2" s="0" t="n">
        <v>14.4</v>
      </c>
      <c r="K2" s="0" t="n">
        <v>4.9817</v>
      </c>
      <c r="L2" s="0" t="n">
        <v>8328.82</v>
      </c>
      <c r="M2" s="0" t="n">
        <v>2154.847</v>
      </c>
      <c r="N2" s="0" t="n">
        <v>6173.973</v>
      </c>
      <c r="O2" s="0" t="n">
        <v>29271.399</v>
      </c>
      <c r="R2" s="0" t="n">
        <v>545.433</v>
      </c>
      <c r="S2" s="0" t="n">
        <v>16656.542</v>
      </c>
      <c r="T2" s="0" t="n">
        <v>1952.476</v>
      </c>
      <c r="AA2" s="0" t="s">
        <v>18</v>
      </c>
      <c r="AB2" s="0" t="s">
        <v>14</v>
      </c>
      <c r="AC2" s="0" t="n">
        <v>12441.251</v>
      </c>
    </row>
    <row r="3" customFormat="false" ht="15" hidden="false" customHeight="false" outlineLevel="0" collapsed="false">
      <c r="A3" s="0" t="s">
        <v>67</v>
      </c>
      <c r="B3" s="0" t="n">
        <v>54432.851</v>
      </c>
      <c r="C3" s="0" t="n">
        <v>-39572.524</v>
      </c>
      <c r="D3" s="0" t="n">
        <v>14860.327</v>
      </c>
      <c r="E3" s="0" t="n">
        <v>27.3</v>
      </c>
      <c r="F3" s="0" t="n">
        <v>7732.187</v>
      </c>
      <c r="G3" s="0" t="n">
        <v>14.2</v>
      </c>
      <c r="H3" s="0" t="n">
        <v>9085.916</v>
      </c>
      <c r="I3" s="0" t="n">
        <v>5113.962</v>
      </c>
      <c r="J3" s="0" t="n">
        <v>9.4</v>
      </c>
      <c r="K3" s="0" t="n">
        <v>2.5697</v>
      </c>
      <c r="L3" s="0" t="n">
        <v>-3415.245</v>
      </c>
      <c r="M3" s="0" t="n">
        <v>2995.38</v>
      </c>
      <c r="N3" s="0" t="n">
        <v>-6410.625</v>
      </c>
      <c r="O3" s="0" t="n">
        <v>48309.582</v>
      </c>
      <c r="P3" s="0" t="n">
        <v>75618.784</v>
      </c>
      <c r="Q3" s="0" t="n">
        <v>21780.188</v>
      </c>
      <c r="R3" s="0" t="n">
        <v>4588.797</v>
      </c>
      <c r="S3" s="0" t="n">
        <v>25762.143</v>
      </c>
      <c r="T3" s="0" t="n">
        <v>2068.859</v>
      </c>
      <c r="U3" s="0" t="n">
        <v>0</v>
      </c>
      <c r="AA3" s="0" t="s">
        <v>18</v>
      </c>
      <c r="AB3" s="0" t="s">
        <v>14</v>
      </c>
      <c r="AC3" s="0" t="n">
        <v>6271.83</v>
      </c>
      <c r="AD3" s="0" t="n">
        <v>53838.596</v>
      </c>
    </row>
    <row r="4" customFormat="false" ht="15" hidden="false" customHeight="false" outlineLevel="0" collapsed="false">
      <c r="A4" s="0" t="s">
        <v>68</v>
      </c>
      <c r="B4" s="0" t="n">
        <v>67540.105</v>
      </c>
      <c r="C4" s="0" t="n">
        <v>-46687.29</v>
      </c>
      <c r="D4" s="0" t="n">
        <v>20852.815</v>
      </c>
      <c r="E4" s="0" t="n">
        <v>30.9</v>
      </c>
      <c r="F4" s="0" t="n">
        <v>8949.737</v>
      </c>
      <c r="G4" s="0" t="n">
        <v>13.3</v>
      </c>
      <c r="H4" s="0" t="n">
        <v>10185.311</v>
      </c>
      <c r="I4" s="0" t="n">
        <v>6790.027</v>
      </c>
      <c r="J4" s="0" t="n">
        <v>10.1</v>
      </c>
      <c r="K4" s="0" t="n">
        <v>3.282</v>
      </c>
      <c r="L4" s="0" t="n">
        <v>15126.418</v>
      </c>
      <c r="M4" s="0" t="n">
        <v>1801.601</v>
      </c>
      <c r="N4" s="0" t="n">
        <v>13324.817</v>
      </c>
      <c r="O4" s="0" t="n">
        <v>53646.47</v>
      </c>
      <c r="P4" s="0" t="n">
        <v>78662.313</v>
      </c>
      <c r="Q4" s="0" t="n">
        <v>19687.77</v>
      </c>
      <c r="R4" s="0" t="n">
        <v>3187.763</v>
      </c>
      <c r="S4" s="0" t="n">
        <v>31802.16</v>
      </c>
      <c r="T4" s="0" t="n">
        <v>2068.859</v>
      </c>
      <c r="U4" s="0" t="n">
        <v>0</v>
      </c>
      <c r="AA4" s="0" t="s">
        <v>18</v>
      </c>
      <c r="AB4" s="0" t="s">
        <v>14</v>
      </c>
      <c r="AC4" s="0" t="n">
        <v>7347.937</v>
      </c>
      <c r="AD4" s="0" t="n">
        <v>58974.543</v>
      </c>
    </row>
    <row r="5" customFormat="false" ht="15" hidden="false" customHeight="false" outlineLevel="0" collapsed="false">
      <c r="A5" s="0" t="s">
        <v>69</v>
      </c>
      <c r="B5" s="0" t="n">
        <v>56473.848</v>
      </c>
      <c r="C5" s="0" t="n">
        <v>-39127.05</v>
      </c>
      <c r="D5" s="0" t="n">
        <v>17346.798</v>
      </c>
      <c r="E5" s="0" t="n">
        <v>30.7</v>
      </c>
      <c r="F5" s="0" t="n">
        <v>6433.327</v>
      </c>
      <c r="G5" s="0" t="n">
        <v>11.4</v>
      </c>
      <c r="H5" s="0" t="n">
        <v>7909.102</v>
      </c>
      <c r="I5" s="0" t="n">
        <v>4323.643</v>
      </c>
      <c r="J5" s="0" t="n">
        <v>7.7</v>
      </c>
      <c r="K5" s="0" t="n">
        <v>2.0899</v>
      </c>
      <c r="L5" s="0" t="n">
        <v>7939.327</v>
      </c>
      <c r="M5" s="0" t="n">
        <v>1118.981</v>
      </c>
      <c r="N5" s="0" t="n">
        <v>6820.346</v>
      </c>
      <c r="O5" s="0" t="n">
        <v>54965.759</v>
      </c>
      <c r="P5" s="0" t="n">
        <v>76108.344</v>
      </c>
      <c r="Q5" s="0" t="n">
        <v>15312.034</v>
      </c>
      <c r="R5" s="0" t="n">
        <v>3111.135</v>
      </c>
      <c r="S5" s="0" t="n">
        <v>34817.316</v>
      </c>
      <c r="T5" s="0" t="n">
        <v>2068.859</v>
      </c>
      <c r="U5" s="0" t="n">
        <v>0</v>
      </c>
      <c r="AA5" s="0" t="s">
        <v>18</v>
      </c>
      <c r="AB5" s="0" t="s">
        <v>14</v>
      </c>
      <c r="AC5" s="0" t="n">
        <v>4917.554</v>
      </c>
      <c r="AD5" s="0" t="n">
        <v>60796.31</v>
      </c>
    </row>
    <row r="6" customFormat="false" ht="15" hidden="false" customHeight="false" outlineLevel="0" collapsed="false">
      <c r="A6" s="0" t="s">
        <v>70</v>
      </c>
      <c r="B6" s="0" t="n">
        <v>53693.579</v>
      </c>
      <c r="C6" s="0" t="n">
        <v>-36641.831</v>
      </c>
      <c r="D6" s="0" t="n">
        <v>17051.748</v>
      </c>
      <c r="E6" s="0" t="n">
        <v>31.8</v>
      </c>
      <c r="F6" s="0" t="n">
        <v>5648.071</v>
      </c>
      <c r="G6" s="0" t="n">
        <v>10.5</v>
      </c>
      <c r="H6" s="0" t="n">
        <v>6896.062</v>
      </c>
      <c r="I6" s="0" t="n">
        <v>3643.905</v>
      </c>
      <c r="J6" s="0" t="n">
        <v>6.8</v>
      </c>
      <c r="K6" s="0" t="n">
        <v>1.7613</v>
      </c>
      <c r="L6" s="0" t="n">
        <v>6058.56</v>
      </c>
      <c r="M6" s="0" t="n">
        <v>1273.062</v>
      </c>
      <c r="N6" s="0" t="n">
        <v>4785.498</v>
      </c>
      <c r="O6" s="0" t="n">
        <v>55396.04</v>
      </c>
      <c r="P6" s="0" t="n">
        <v>74891.423</v>
      </c>
      <c r="Q6" s="0" t="n">
        <v>13857.345</v>
      </c>
      <c r="R6" s="0" t="n">
        <v>3505.28</v>
      </c>
      <c r="S6" s="0" t="n">
        <v>33781.245</v>
      </c>
      <c r="T6" s="0" t="n">
        <v>2068.859</v>
      </c>
      <c r="U6" s="0" t="n">
        <v>0</v>
      </c>
      <c r="AA6" s="0" t="s">
        <v>18</v>
      </c>
      <c r="AB6" s="0" t="s">
        <v>14</v>
      </c>
      <c r="AC6" s="0" t="n">
        <v>3750.145</v>
      </c>
      <c r="AD6" s="0" t="n">
        <v>61034.078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71</v>
      </c>
      <c r="B1" s="2" t="s">
        <v>72</v>
      </c>
    </row>
    <row r="2" customFormat="false" ht="15" hidden="false" customHeight="false" outlineLevel="0" collapsed="false">
      <c r="A2" s="0" t="s">
        <v>73</v>
      </c>
      <c r="B2" s="3" t="n">
        <v>43.14</v>
      </c>
    </row>
    <row r="3" customFormat="false" ht="15" hidden="false" customHeight="false" outlineLevel="0" collapsed="false">
      <c r="A3" s="0" t="s">
        <v>74</v>
      </c>
      <c r="B3" s="3" t="n">
        <v>2077.797</v>
      </c>
    </row>
    <row r="4" customFormat="false" ht="15" hidden="false" customHeight="false" outlineLevel="0" collapsed="false">
      <c r="A4" s="0" t="s">
        <v>75</v>
      </c>
      <c r="B4" s="3" t="n">
        <v>-32686.6</v>
      </c>
    </row>
    <row r="5" customFormat="false" ht="15" hidden="false" customHeight="false" outlineLevel="0" collapsed="false">
      <c r="A5" s="0" t="s">
        <v>76</v>
      </c>
      <c r="B5" s="3" t="n">
        <v>-184.1</v>
      </c>
    </row>
    <row r="6" customFormat="false" ht="15" hidden="false" customHeight="false" outlineLevel="0" collapsed="false">
      <c r="A6" s="0" t="s">
        <v>77</v>
      </c>
      <c r="B6" s="3" t="n">
        <v>15</v>
      </c>
    </row>
    <row r="7" customFormat="false" ht="15" hidden="false" customHeight="false" outlineLevel="0" collapsed="false">
      <c r="A7" s="0" t="s">
        <v>78</v>
      </c>
      <c r="B7" s="3" t="n">
        <v>53693.579</v>
      </c>
    </row>
    <row r="8" customFormat="false" ht="15" hidden="false" customHeight="false" outlineLevel="0" collapsed="false">
      <c r="A8" s="0" t="s">
        <v>79</v>
      </c>
      <c r="B8" s="3" t="s">
        <v>70</v>
      </c>
    </row>
    <row r="9" customFormat="false" ht="15" hidden="false" customHeight="false" outlineLevel="0" collapsed="false">
      <c r="A9" s="0" t="s">
        <v>80</v>
      </c>
      <c r="B9" s="3" t="s">
        <v>81</v>
      </c>
    </row>
    <row r="10" customFormat="false" ht="15" hidden="false" customHeight="false" outlineLevel="0" collapsed="false">
      <c r="A10" s="0" t="s">
        <v>82</v>
      </c>
      <c r="B10" s="3" t="n">
        <v>1.1724</v>
      </c>
    </row>
    <row r="12" customFormat="false" ht="15" hidden="false" customHeight="false" outlineLevel="0" collapsed="false">
      <c r="A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</row>
    <row r="13" customFormat="false" ht="15" hidden="false" customHeight="false" outlineLevel="0" collapsed="false">
      <c r="A13" s="0" t="s">
        <v>94</v>
      </c>
      <c r="C13" s="3" t="n">
        <v>-3</v>
      </c>
      <c r="D13" s="3" t="n">
        <v>-2</v>
      </c>
      <c r="E13" s="3" t="n">
        <v>1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95</v>
      </c>
      <c r="C14" s="3" t="n">
        <v>12.5</v>
      </c>
      <c r="D14" s="3" t="n">
        <v>12</v>
      </c>
      <c r="E14" s="3" t="n">
        <v>11.8</v>
      </c>
      <c r="F14" s="3" t="n">
        <v>11.5</v>
      </c>
      <c r="G14" s="3" t="n">
        <v>11.5</v>
      </c>
      <c r="H14" s="3" t="n">
        <v>11.5</v>
      </c>
      <c r="I14" s="3" t="n">
        <v>11.5</v>
      </c>
      <c r="J14" s="3" t="n">
        <v>11.5</v>
      </c>
      <c r="K14" s="3" t="n">
        <v>11.5</v>
      </c>
      <c r="L14" s="3" t="n">
        <v>11.5</v>
      </c>
    </row>
    <row r="15" customFormat="false" ht="15" hidden="false" customHeight="false" outlineLevel="0" collapsed="false">
      <c r="A15" s="0" t="s">
        <v>96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97</v>
      </c>
      <c r="C16" s="3" t="n">
        <v>2.1</v>
      </c>
      <c r="D16" s="3" t="n">
        <v>2.1</v>
      </c>
      <c r="E16" s="3" t="n">
        <v>2.1</v>
      </c>
      <c r="F16" s="3" t="n">
        <v>2.1</v>
      </c>
      <c r="G16" s="3" t="n">
        <v>2.1</v>
      </c>
      <c r="H16" s="3" t="n">
        <v>2.1</v>
      </c>
      <c r="I16" s="3" t="n">
        <v>2.1</v>
      </c>
      <c r="J16" s="3" t="n">
        <v>2.1</v>
      </c>
      <c r="K16" s="3" t="n">
        <v>2.1</v>
      </c>
      <c r="L16" s="3" t="n">
        <v>2.1</v>
      </c>
    </row>
    <row r="17" customFormat="false" ht="15" hidden="false" customHeight="false" outlineLevel="0" collapsed="false">
      <c r="A17" s="0" t="s">
        <v>98</v>
      </c>
      <c r="C17" s="3" t="n">
        <v>1.6</v>
      </c>
      <c r="D17" s="3" t="n">
        <v>1.6</v>
      </c>
      <c r="E17" s="3" t="n">
        <v>1.6</v>
      </c>
      <c r="F17" s="3" t="n">
        <v>1.6</v>
      </c>
      <c r="G17" s="3" t="n">
        <v>1.6</v>
      </c>
      <c r="H17" s="3" t="n">
        <v>1.6</v>
      </c>
      <c r="I17" s="3" t="n">
        <v>1.6</v>
      </c>
      <c r="J17" s="3" t="n">
        <v>1.6</v>
      </c>
      <c r="K17" s="3" t="n">
        <v>1.6</v>
      </c>
      <c r="L17" s="3" t="n">
        <v>1.6</v>
      </c>
    </row>
    <row r="18" customFormat="false" ht="15" hidden="false" customHeight="false" outlineLevel="0" collapsed="false">
      <c r="A18" s="0" t="s">
        <v>99</v>
      </c>
      <c r="C18" s="3" t="n">
        <v>2.3</v>
      </c>
      <c r="D18" s="3" t="n">
        <v>2.2</v>
      </c>
      <c r="E18" s="3" t="n">
        <v>2.1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3" t="n">
        <v>2</v>
      </c>
      <c r="L18" s="3" t="n">
        <v>2</v>
      </c>
    </row>
    <row r="19" customFormat="false" ht="15" hidden="false" customHeight="false" outlineLevel="0" collapsed="false">
      <c r="A19" s="0" t="s">
        <v>100</v>
      </c>
      <c r="C19" s="3" t="n">
        <v>26</v>
      </c>
      <c r="D19" s="3" t="n">
        <v>26</v>
      </c>
      <c r="E19" s="3" t="n">
        <v>26</v>
      </c>
      <c r="F19" s="3" t="n">
        <v>26</v>
      </c>
      <c r="G19" s="3" t="n">
        <v>26</v>
      </c>
      <c r="H19" s="3" t="n">
        <v>26</v>
      </c>
      <c r="I19" s="3" t="n">
        <v>26</v>
      </c>
      <c r="J19" s="3" t="n">
        <v>26</v>
      </c>
      <c r="K19" s="3" t="n">
        <v>26</v>
      </c>
      <c r="L19" s="3" t="n">
        <v>26</v>
      </c>
    </row>
    <row r="20" customFormat="false" ht="15" hidden="false" customHeight="false" outlineLevel="0" collapsed="false">
      <c r="A20" s="0" t="s">
        <v>101</v>
      </c>
      <c r="B20" s="3" t="n">
        <v>9</v>
      </c>
    </row>
    <row r="21" customFormat="false" ht="15" hidden="false" customHeight="false" outlineLevel="0" collapsed="false">
      <c r="A21" s="0" t="s">
        <v>102</v>
      </c>
      <c r="B21" s="3" t="n">
        <v>1.5</v>
      </c>
    </row>
    <row r="22" customFormat="false" ht="15" hidden="false" customHeight="false" outlineLevel="0" collapsed="false">
      <c r="A22" s="0" t="s">
        <v>103</v>
      </c>
      <c r="B22" s="3" t="n">
        <v>11</v>
      </c>
    </row>
    <row r="23" customFormat="false" ht="15" hidden="false" customHeight="false" outlineLevel="0" collapsed="false">
      <c r="A23" s="0" t="s">
        <v>104</v>
      </c>
      <c r="B23" s="3" t="n">
        <v>-20</v>
      </c>
    </row>
    <row r="24" customFormat="false" ht="15" hidden="false" customHeight="false" outlineLevel="0" collapsed="false">
      <c r="A24" s="0" t="s">
        <v>105</v>
      </c>
      <c r="B24" s="3" t="n">
        <v>0.25</v>
      </c>
    </row>
    <row r="26" customFormat="false" ht="15" hidden="false" customHeight="false" outlineLevel="0" collapsed="false">
      <c r="A26" s="2" t="s">
        <v>106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88</v>
      </c>
      <c r="H26" s="2" t="s">
        <v>89</v>
      </c>
      <c r="I26" s="2" t="s">
        <v>90</v>
      </c>
      <c r="J26" s="2" t="s">
        <v>91</v>
      </c>
      <c r="K26" s="2" t="s">
        <v>92</v>
      </c>
      <c r="L26" s="2" t="s">
        <v>93</v>
      </c>
    </row>
    <row r="27" customFormat="false" ht="15" hidden="false" customHeight="false" outlineLevel="0" collapsed="false">
      <c r="A27" s="0" t="s">
        <v>94</v>
      </c>
      <c r="C27" s="3" t="n">
        <v>0.5</v>
      </c>
      <c r="D27" s="3" t="n">
        <v>4</v>
      </c>
      <c r="E27" s="3" t="n">
        <v>5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95</v>
      </c>
      <c r="C28" s="3" t="n">
        <v>13.3</v>
      </c>
      <c r="D28" s="3" t="n">
        <v>13.6</v>
      </c>
      <c r="E28" s="3" t="n">
        <v>14</v>
      </c>
      <c r="F28" s="3" t="n">
        <v>14.3</v>
      </c>
      <c r="G28" s="3" t="n">
        <v>14.5</v>
      </c>
      <c r="H28" s="3" t="n">
        <v>14.5</v>
      </c>
      <c r="I28" s="3" t="n">
        <v>14.5</v>
      </c>
      <c r="J28" s="3" t="n">
        <v>14.5</v>
      </c>
      <c r="K28" s="3" t="n">
        <v>14.5</v>
      </c>
      <c r="L28" s="3" t="n">
        <v>14.5</v>
      </c>
    </row>
    <row r="29" customFormat="false" ht="15" hidden="false" customHeight="false" outlineLevel="0" collapsed="false">
      <c r="A29" s="0" t="s">
        <v>96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97</v>
      </c>
      <c r="C30" s="3" t="n">
        <v>2.1</v>
      </c>
      <c r="D30" s="3" t="n">
        <v>2.1</v>
      </c>
      <c r="E30" s="3" t="n">
        <v>2.1</v>
      </c>
      <c r="F30" s="3" t="n">
        <v>2.1</v>
      </c>
      <c r="G30" s="3" t="n">
        <v>2.1</v>
      </c>
      <c r="H30" s="3" t="n">
        <v>2.1</v>
      </c>
      <c r="I30" s="3" t="n">
        <v>2.1</v>
      </c>
      <c r="J30" s="3" t="n">
        <v>2.1</v>
      </c>
      <c r="K30" s="3" t="n">
        <v>2.1</v>
      </c>
      <c r="L30" s="3" t="n">
        <v>2.1</v>
      </c>
    </row>
    <row r="31" customFormat="false" ht="15" hidden="false" customHeight="false" outlineLevel="0" collapsed="false">
      <c r="A31" s="0" t="s">
        <v>98</v>
      </c>
      <c r="C31" s="3" t="n">
        <v>1.6</v>
      </c>
      <c r="D31" s="3" t="n">
        <v>1.6</v>
      </c>
      <c r="E31" s="3" t="n">
        <v>1.6</v>
      </c>
      <c r="F31" s="3" t="n">
        <v>1.6</v>
      </c>
      <c r="G31" s="3" t="n">
        <v>1.6</v>
      </c>
      <c r="H31" s="3" t="n">
        <v>1.6</v>
      </c>
      <c r="I31" s="3" t="n">
        <v>1.6</v>
      </c>
      <c r="J31" s="3" t="n">
        <v>1.6</v>
      </c>
      <c r="K31" s="3" t="n">
        <v>1.6</v>
      </c>
      <c r="L31" s="3" t="n">
        <v>1.6</v>
      </c>
    </row>
    <row r="32" customFormat="false" ht="15" hidden="false" customHeight="false" outlineLevel="0" collapsed="false">
      <c r="A32" s="0" t="s">
        <v>99</v>
      </c>
      <c r="C32" s="3" t="n">
        <v>2.3</v>
      </c>
      <c r="D32" s="3" t="n">
        <v>2.3</v>
      </c>
      <c r="E32" s="3" t="n">
        <v>2.2</v>
      </c>
      <c r="F32" s="3" t="n">
        <v>2.2</v>
      </c>
      <c r="G32" s="3" t="n">
        <v>2.1</v>
      </c>
      <c r="H32" s="3" t="n">
        <v>2</v>
      </c>
      <c r="I32" s="3" t="n">
        <v>2</v>
      </c>
      <c r="J32" s="3" t="n">
        <v>2</v>
      </c>
      <c r="K32" s="3" t="n">
        <v>2</v>
      </c>
      <c r="L32" s="3" t="n">
        <v>2</v>
      </c>
    </row>
    <row r="33" customFormat="false" ht="15" hidden="false" customHeight="false" outlineLevel="0" collapsed="false">
      <c r="A33" s="0" t="s">
        <v>100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101</v>
      </c>
      <c r="B34" s="3" t="n">
        <v>9</v>
      </c>
    </row>
    <row r="35" customFormat="false" ht="15" hidden="false" customHeight="false" outlineLevel="0" collapsed="false">
      <c r="A35" s="0" t="s">
        <v>102</v>
      </c>
      <c r="B35" s="3" t="n">
        <v>2</v>
      </c>
    </row>
    <row r="36" customFormat="false" ht="15" hidden="false" customHeight="false" outlineLevel="0" collapsed="false">
      <c r="A36" s="0" t="s">
        <v>103</v>
      </c>
      <c r="B36" s="3" t="n">
        <v>13</v>
      </c>
    </row>
    <row r="37" customFormat="false" ht="15" hidden="false" customHeight="false" outlineLevel="0" collapsed="false">
      <c r="A37" s="0" t="s">
        <v>104</v>
      </c>
      <c r="B37" s="3" t="n">
        <v>-20</v>
      </c>
    </row>
    <row r="38" customFormat="false" ht="15" hidden="false" customHeight="false" outlineLevel="0" collapsed="false">
      <c r="A38" s="0" t="s">
        <v>105</v>
      </c>
      <c r="B38" s="3" t="n">
        <v>0.5</v>
      </c>
    </row>
    <row r="40" customFormat="false" ht="15" hidden="false" customHeight="false" outlineLevel="0" collapsed="false">
      <c r="A40" s="2" t="s">
        <v>107</v>
      </c>
      <c r="C40" s="2" t="s">
        <v>84</v>
      </c>
      <c r="D40" s="2" t="s">
        <v>85</v>
      </c>
      <c r="E40" s="2" t="s">
        <v>86</v>
      </c>
      <c r="F40" s="2" t="s">
        <v>87</v>
      </c>
      <c r="G40" s="2" t="s">
        <v>88</v>
      </c>
      <c r="H40" s="2" t="s">
        <v>89</v>
      </c>
      <c r="I40" s="2" t="s">
        <v>90</v>
      </c>
      <c r="J40" s="2" t="s">
        <v>91</v>
      </c>
      <c r="K40" s="2" t="s">
        <v>92</v>
      </c>
      <c r="L40" s="2" t="s">
        <v>93</v>
      </c>
    </row>
    <row r="41" customFormat="false" ht="15" hidden="false" customHeight="false" outlineLevel="0" collapsed="false">
      <c r="A41" s="0" t="s">
        <v>94</v>
      </c>
      <c r="C41" s="3" t="n">
        <v>3</v>
      </c>
      <c r="D41" s="3" t="n">
        <v>9</v>
      </c>
      <c r="E41" s="3" t="n">
        <v>10</v>
      </c>
      <c r="F41" s="3" t="n">
        <v>9</v>
      </c>
      <c r="G41" s="3" t="n">
        <v>8</v>
      </c>
      <c r="H41" s="3" t="n">
        <v>7</v>
      </c>
      <c r="I41" s="3" t="n">
        <v>6</v>
      </c>
      <c r="J41" s="3" t="n">
        <v>5</v>
      </c>
      <c r="K41" s="3" t="n">
        <v>4</v>
      </c>
      <c r="L41" s="3" t="n">
        <v>3</v>
      </c>
    </row>
    <row r="42" customFormat="false" ht="15" hidden="false" customHeight="false" outlineLevel="0" collapsed="false">
      <c r="A42" s="0" t="s">
        <v>95</v>
      </c>
      <c r="C42" s="3" t="n">
        <v>13.8</v>
      </c>
      <c r="D42" s="3" t="n">
        <v>14.6</v>
      </c>
      <c r="E42" s="3" t="n">
        <v>15.4</v>
      </c>
      <c r="F42" s="3" t="n">
        <v>16</v>
      </c>
      <c r="G42" s="3" t="n">
        <v>16.5</v>
      </c>
      <c r="H42" s="3" t="n">
        <v>17</v>
      </c>
      <c r="I42" s="3" t="n">
        <v>17</v>
      </c>
      <c r="J42" s="3" t="n">
        <v>17</v>
      </c>
      <c r="K42" s="3" t="n">
        <v>17</v>
      </c>
      <c r="L42" s="3" t="n">
        <v>17</v>
      </c>
    </row>
    <row r="43" customFormat="false" ht="15" hidden="false" customHeight="false" outlineLevel="0" collapsed="false">
      <c r="A43" s="0" t="s">
        <v>96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97</v>
      </c>
      <c r="C44" s="3" t="n">
        <v>2.1</v>
      </c>
      <c r="D44" s="3" t="n">
        <v>2.1</v>
      </c>
      <c r="E44" s="3" t="n">
        <v>2.1</v>
      </c>
      <c r="F44" s="3" t="n">
        <v>2.1</v>
      </c>
      <c r="G44" s="3" t="n">
        <v>2.1</v>
      </c>
      <c r="H44" s="3" t="n">
        <v>2.1</v>
      </c>
      <c r="I44" s="3" t="n">
        <v>2.1</v>
      </c>
      <c r="J44" s="3" t="n">
        <v>2.1</v>
      </c>
      <c r="K44" s="3" t="n">
        <v>2.1</v>
      </c>
      <c r="L44" s="3" t="n">
        <v>2.1</v>
      </c>
    </row>
    <row r="45" customFormat="false" ht="15" hidden="false" customHeight="false" outlineLevel="0" collapsed="false">
      <c r="A45" s="0" t="s">
        <v>98</v>
      </c>
      <c r="C45" s="3" t="n">
        <v>1.6</v>
      </c>
      <c r="D45" s="3" t="n">
        <v>1.6</v>
      </c>
      <c r="E45" s="3" t="n">
        <v>1.6</v>
      </c>
      <c r="F45" s="3" t="n">
        <v>1.6</v>
      </c>
      <c r="G45" s="3" t="n">
        <v>1.6</v>
      </c>
      <c r="H45" s="3" t="n">
        <v>1.6</v>
      </c>
      <c r="I45" s="3" t="n">
        <v>1.6</v>
      </c>
      <c r="J45" s="3" t="n">
        <v>1.6</v>
      </c>
      <c r="K45" s="3" t="n">
        <v>1.6</v>
      </c>
      <c r="L45" s="3" t="n">
        <v>1.6</v>
      </c>
    </row>
    <row r="46" customFormat="false" ht="15" hidden="false" customHeight="false" outlineLevel="0" collapsed="false">
      <c r="A46" s="0" t="s">
        <v>99</v>
      </c>
      <c r="C46" s="3" t="n">
        <v>2.4</v>
      </c>
      <c r="D46" s="3" t="n">
        <v>2.4</v>
      </c>
      <c r="E46" s="3" t="n">
        <v>2.3</v>
      </c>
      <c r="F46" s="3" t="n">
        <v>2.3</v>
      </c>
      <c r="G46" s="3" t="n">
        <v>2.2</v>
      </c>
      <c r="H46" s="3" t="n">
        <v>2.1</v>
      </c>
      <c r="I46" s="3" t="n">
        <v>2</v>
      </c>
      <c r="J46" s="3" t="n">
        <v>2</v>
      </c>
      <c r="K46" s="3" t="n">
        <v>2</v>
      </c>
      <c r="L46" s="3" t="n">
        <v>2</v>
      </c>
    </row>
    <row r="47" customFormat="false" ht="15" hidden="false" customHeight="false" outlineLevel="0" collapsed="false">
      <c r="A47" s="0" t="s">
        <v>100</v>
      </c>
      <c r="C47" s="3" t="n">
        <v>24</v>
      </c>
      <c r="D47" s="3" t="n">
        <v>24</v>
      </c>
      <c r="E47" s="3" t="n">
        <v>24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101</v>
      </c>
      <c r="B48" s="3" t="n">
        <v>9</v>
      </c>
    </row>
    <row r="49" customFormat="false" ht="15" hidden="false" customHeight="false" outlineLevel="0" collapsed="false">
      <c r="A49" s="0" t="s">
        <v>102</v>
      </c>
      <c r="B49" s="3" t="n">
        <v>2.5</v>
      </c>
    </row>
    <row r="50" customFormat="false" ht="15" hidden="false" customHeight="false" outlineLevel="0" collapsed="false">
      <c r="A50" s="0" t="s">
        <v>103</v>
      </c>
      <c r="B50" s="3" t="n">
        <v>14</v>
      </c>
    </row>
    <row r="51" customFormat="false" ht="15" hidden="false" customHeight="false" outlineLevel="0" collapsed="false">
      <c r="A51" s="0" t="s">
        <v>104</v>
      </c>
      <c r="B51" s="3" t="n">
        <v>-20</v>
      </c>
    </row>
    <row r="52" customFormat="false" ht="15" hidden="false" customHeight="false" outlineLevel="0" collapsed="false">
      <c r="A52" s="0" t="s">
        <v>105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108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Assumptions!C13</f>
        <v>-3</v>
      </c>
      <c r="D5" s="4" t="n">
        <f aca="false">Assumptions!D13</f>
        <v>-2</v>
      </c>
      <c r="E5" s="4" t="n">
        <f aca="false">Assumptions!E13</f>
        <v>1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53693.579</v>
      </c>
      <c r="C6" s="0" t="n">
        <f aca="false">B6*(1+C5/100)</f>
        <v>52082.77163</v>
      </c>
      <c r="D6" s="0" t="n">
        <f aca="false">C6*(1+D5/100)</f>
        <v>51041.1161974</v>
      </c>
      <c r="E6" s="0" t="n">
        <f aca="false">D6*(1+E5/100)</f>
        <v>51551.527359374</v>
      </c>
      <c r="F6" s="0" t="n">
        <f aca="false">E6*(1+F5/100)</f>
        <v>52582.5579065615</v>
      </c>
      <c r="G6" s="0" t="n">
        <f aca="false">F6*(1+G5/100)</f>
        <v>53634.2090646927</v>
      </c>
      <c r="H6" s="0" t="n">
        <f aca="false">G6*(1+H5/100)</f>
        <v>54706.8932459866</v>
      </c>
      <c r="I6" s="0" t="n">
        <f aca="false">H6*(1+I5/100)</f>
        <v>55801.0311109063</v>
      </c>
      <c r="J6" s="0" t="n">
        <f aca="false">I6*(1+J5/100)</f>
        <v>56917.0517331244</v>
      </c>
      <c r="K6" s="0" t="n">
        <f aca="false">J6*(1+K5/100)</f>
        <v>57770.8075091213</v>
      </c>
      <c r="L6" s="0" t="n">
        <f aca="false">K6*(1+L5/100)</f>
        <v>58637.3696217581</v>
      </c>
    </row>
    <row r="7" customFormat="false" ht="15" hidden="false" customHeight="false" outlineLevel="0" collapsed="false">
      <c r="A7" s="0" t="s">
        <v>95</v>
      </c>
      <c r="C7" s="4" t="n">
        <f aca="false">Assumptions!C14</f>
        <v>12.5</v>
      </c>
      <c r="D7" s="4" t="n">
        <f aca="false">Assumptions!D14</f>
        <v>12</v>
      </c>
      <c r="E7" s="4" t="n">
        <f aca="false">Assumptions!E14</f>
        <v>11.8</v>
      </c>
      <c r="F7" s="4" t="n">
        <f aca="false">Assumptions!F14</f>
        <v>11.5</v>
      </c>
      <c r="G7" s="4" t="n">
        <f aca="false">Assumptions!G14</f>
        <v>11.5</v>
      </c>
      <c r="H7" s="4" t="n">
        <f aca="false">Assumptions!H14</f>
        <v>11.5</v>
      </c>
      <c r="I7" s="4" t="n">
        <f aca="false">Assumptions!I14</f>
        <v>11.5</v>
      </c>
      <c r="J7" s="4" t="n">
        <f aca="false">Assumptions!J14</f>
        <v>11.5</v>
      </c>
      <c r="K7" s="4" t="n">
        <f aca="false">Assumptions!K14</f>
        <v>11.5</v>
      </c>
      <c r="L7" s="4" t="n">
        <f aca="false">Assumptions!L14</f>
        <v>11.5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6510.34645375</v>
      </c>
      <c r="D8" s="0" t="n">
        <f aca="false">D6*D7/100</f>
        <v>6124.933943688</v>
      </c>
      <c r="E8" s="0" t="n">
        <f aca="false">E6*E7/100</f>
        <v>6083.08022840613</v>
      </c>
      <c r="F8" s="0" t="n">
        <f aca="false">F6*F7/100</f>
        <v>6046.99415925457</v>
      </c>
      <c r="G8" s="0" t="n">
        <f aca="false">G6*G7/100</f>
        <v>6167.93404243966</v>
      </c>
      <c r="H8" s="0" t="n">
        <f aca="false">H6*H7/100</f>
        <v>6291.29272328846</v>
      </c>
      <c r="I8" s="0" t="n">
        <f aca="false">I6*I7/100</f>
        <v>6417.11857775422</v>
      </c>
      <c r="J8" s="0" t="n">
        <f aca="false">J6*J7/100</f>
        <v>6545.46094930931</v>
      </c>
      <c r="K8" s="0" t="n">
        <f aca="false">K6*K7/100</f>
        <v>6643.64286354895</v>
      </c>
      <c r="L8" s="0" t="n">
        <f aca="false">L6*L7/100</f>
        <v>6743.29750650218</v>
      </c>
    </row>
    <row r="9" customFormat="false" ht="15" hidden="false" customHeight="false" outlineLevel="0" collapsed="false">
      <c r="A9" s="0" t="s">
        <v>96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5416.60824952</v>
      </c>
      <c r="D11" s="0" t="n">
        <f aca="false">D8+D10+D24</f>
        <v>5053.0705035426</v>
      </c>
      <c r="E11" s="0" t="n">
        <f aca="false">E8+E10+E24</f>
        <v>5000.49815385928</v>
      </c>
      <c r="F11" s="0" t="n">
        <f aca="false">F8+F10+F24</f>
        <v>4942.76044321678</v>
      </c>
      <c r="G11" s="0" t="n">
        <f aca="false">G8+G10+G24</f>
        <v>5041.61565208112</v>
      </c>
      <c r="H11" s="0" t="n">
        <f aca="false">H8+H10+H24</f>
        <v>5142.44796512274</v>
      </c>
      <c r="I11" s="0" t="n">
        <f aca="false">I8+I10+I24</f>
        <v>5245.29692442519</v>
      </c>
      <c r="J11" s="0" t="n">
        <f aca="false">J8+J10+J24</f>
        <v>5350.2028629137</v>
      </c>
      <c r="K11" s="0" t="n">
        <f aca="false">K8+K10+K24</f>
        <v>5430.4559058574</v>
      </c>
      <c r="L11" s="0" t="n">
        <f aca="false">L8+L10+L24</f>
        <v>5511.91274444526</v>
      </c>
    </row>
    <row r="12" customFormat="false" ht="15" hidden="false" customHeight="false" outlineLevel="0" collapsed="false">
      <c r="A12" s="0" t="s">
        <v>113</v>
      </c>
      <c r="C12" s="4" t="n">
        <f aca="false">-C6*Assumptions!C17/100</f>
        <v>-833.32434608</v>
      </c>
      <c r="D12" s="4" t="n">
        <f aca="false">-D6*Assumptions!D17/100</f>
        <v>-816.6578591584</v>
      </c>
      <c r="E12" s="4" t="n">
        <f aca="false">-E6*Assumptions!E17/100</f>
        <v>-824.824437749984</v>
      </c>
      <c r="F12" s="4" t="n">
        <f aca="false">-F6*Assumptions!F17/100</f>
        <v>-841.320926504984</v>
      </c>
      <c r="G12" s="4" t="n">
        <f aca="false">-G6*Assumptions!G17/100</f>
        <v>-858.147345035083</v>
      </c>
      <c r="H12" s="4" t="n">
        <f aca="false">-H6*Assumptions!H17/100</f>
        <v>-875.310291935785</v>
      </c>
      <c r="I12" s="4" t="n">
        <f aca="false">-I6*Assumptions!I17/100</f>
        <v>-892.816497774501</v>
      </c>
      <c r="J12" s="4" t="n">
        <f aca="false">-J6*Assumptions!J17/100</f>
        <v>-910.672827729991</v>
      </c>
      <c r="K12" s="4" t="n">
        <f aca="false">-K6*Assumptions!K17/100</f>
        <v>-924.332920145941</v>
      </c>
      <c r="L12" s="4" t="n">
        <f aca="false">-L6*Assumptions!L17/100</f>
        <v>-938.19791394813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4583.28390344</v>
      </c>
      <c r="D13" s="0" t="n">
        <f aca="false">D11+D12</f>
        <v>4236.4126443842</v>
      </c>
      <c r="E13" s="0" t="n">
        <f aca="false">E11+E12</f>
        <v>4175.67371610929</v>
      </c>
      <c r="F13" s="0" t="n">
        <f aca="false">F11+F12</f>
        <v>4101.4395167118</v>
      </c>
      <c r="G13" s="0" t="n">
        <f aca="false">G11+G12</f>
        <v>4183.46830704603</v>
      </c>
      <c r="H13" s="0" t="n">
        <f aca="false">H11+H12</f>
        <v>4267.13767318695</v>
      </c>
      <c r="I13" s="0" t="n">
        <f aca="false">I11+I12</f>
        <v>4352.48042665069</v>
      </c>
      <c r="J13" s="0" t="n">
        <f aca="false">J11+J12</f>
        <v>4439.5300351837</v>
      </c>
      <c r="K13" s="0" t="n">
        <f aca="false">K11+K12</f>
        <v>4506.12298571146</v>
      </c>
      <c r="L13" s="0" t="n">
        <f aca="false">L11+L12</f>
        <v>4573.71483049713</v>
      </c>
    </row>
    <row r="14" customFormat="false" ht="15" hidden="false" customHeight="false" outlineLevel="0" collapsed="false">
      <c r="A14" s="0" t="s">
        <v>100</v>
      </c>
      <c r="C14" s="4" t="n">
        <f aca="false">Assumptions!C19</f>
        <v>26</v>
      </c>
      <c r="D14" s="4" t="n">
        <f aca="false">Assumptions!D19</f>
        <v>26</v>
      </c>
      <c r="E14" s="4" t="n">
        <f aca="false">Assumptions!E19</f>
        <v>26</v>
      </c>
      <c r="F14" s="4" t="n">
        <f aca="false">Assumptions!F19</f>
        <v>26</v>
      </c>
      <c r="G14" s="4" t="n">
        <f aca="false">Assumptions!G19</f>
        <v>26</v>
      </c>
      <c r="H14" s="4" t="n">
        <f aca="false">Assumptions!H19</f>
        <v>26</v>
      </c>
      <c r="I14" s="4" t="n">
        <f aca="false">Assumptions!I19</f>
        <v>26</v>
      </c>
      <c r="J14" s="4" t="n">
        <f aca="false">Assumptions!J19</f>
        <v>26</v>
      </c>
      <c r="K14" s="4" t="n">
        <f aca="false">Assumptions!K19</f>
        <v>26</v>
      </c>
      <c r="L14" s="4" t="n">
        <f aca="false">Assumptions!L19</f>
        <v>26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3391.6300885456</v>
      </c>
      <c r="D15" s="0" t="n">
        <f aca="false">D13-MAX(0,D13)*D14/100</f>
        <v>3134.94535684431</v>
      </c>
      <c r="E15" s="0" t="n">
        <f aca="false">E13-MAX(0,E13)*E14/100</f>
        <v>3089.99854992088</v>
      </c>
      <c r="F15" s="0" t="n">
        <f aca="false">F13-MAX(0,F13)*F14/100</f>
        <v>3035.06524236673</v>
      </c>
      <c r="G15" s="0" t="n">
        <f aca="false">G13-MAX(0,G13)*G14/100</f>
        <v>3095.76654721406</v>
      </c>
      <c r="H15" s="0" t="n">
        <f aca="false">H13-MAX(0,H13)*H14/100</f>
        <v>3157.68187815834</v>
      </c>
      <c r="I15" s="0" t="n">
        <f aca="false">I13-MAX(0,I13)*I14/100</f>
        <v>3220.83551572151</v>
      </c>
      <c r="J15" s="0" t="n">
        <f aca="false">J13-MAX(0,J13)*J14/100</f>
        <v>3285.25222603594</v>
      </c>
      <c r="K15" s="0" t="n">
        <f aca="false">K13-MAX(0,K13)*K14/100</f>
        <v>3334.53100942648</v>
      </c>
      <c r="L15" s="0" t="n">
        <f aca="false">L13-MAX(0,L13)*L14/100</f>
        <v>3384.54897456788</v>
      </c>
    </row>
    <row r="16" customFormat="false" ht="15" hidden="false" customHeight="false" outlineLevel="0" collapsed="false">
      <c r="A16" s="0" t="s">
        <v>116</v>
      </c>
      <c r="C16" s="0" t="n">
        <f aca="false">-C12</f>
        <v>833.32434608</v>
      </c>
      <c r="D16" s="0" t="n">
        <f aca="false">-D12</f>
        <v>816.6578591584</v>
      </c>
      <c r="E16" s="0" t="n">
        <f aca="false">-E12</f>
        <v>824.824437749984</v>
      </c>
      <c r="F16" s="0" t="n">
        <f aca="false">-F12</f>
        <v>841.320926504984</v>
      </c>
      <c r="G16" s="0" t="n">
        <f aca="false">-G12</f>
        <v>858.147345035083</v>
      </c>
      <c r="H16" s="0" t="n">
        <f aca="false">-H12</f>
        <v>875.310291935785</v>
      </c>
      <c r="I16" s="0" t="n">
        <f aca="false">-I12</f>
        <v>892.816497774501</v>
      </c>
      <c r="J16" s="0" t="n">
        <f aca="false">-J12</f>
        <v>910.672827729991</v>
      </c>
      <c r="K16" s="0" t="n">
        <f aca="false">-K12</f>
        <v>924.332920145941</v>
      </c>
      <c r="L16" s="0" t="n">
        <f aca="false">-L12</f>
        <v>938.19791394813</v>
      </c>
    </row>
    <row r="17" customFormat="false" ht="15" hidden="false" customHeight="false" outlineLevel="0" collapsed="false">
      <c r="A17" s="0" t="s">
        <v>117</v>
      </c>
      <c r="C17" s="4" t="n">
        <f aca="false">-C6*Assumptions!C18/100</f>
        <v>-1197.90374749</v>
      </c>
      <c r="D17" s="4" t="n">
        <f aca="false">-D6*Assumptions!D18/100</f>
        <v>-1122.9045563428</v>
      </c>
      <c r="E17" s="4" t="n">
        <f aca="false">-E6*Assumptions!E18/100</f>
        <v>-1082.58207454685</v>
      </c>
      <c r="F17" s="4" t="n">
        <f aca="false">-F6*Assumptions!F18/100</f>
        <v>-1051.65115813123</v>
      </c>
      <c r="G17" s="4" t="n">
        <f aca="false">-G6*Assumptions!G18/100</f>
        <v>-1072.68418129385</v>
      </c>
      <c r="H17" s="4" t="n">
        <f aca="false">-H6*Assumptions!H18/100</f>
        <v>-1094.13786491973</v>
      </c>
      <c r="I17" s="4" t="n">
        <f aca="false">-I6*Assumptions!I18/100</f>
        <v>-1116.02062221813</v>
      </c>
      <c r="J17" s="4" t="n">
        <f aca="false">-J6*Assumptions!J18/100</f>
        <v>-1138.34103466249</v>
      </c>
      <c r="K17" s="4" t="n">
        <f aca="false">-K6*Assumptions!K18/100</f>
        <v>-1155.41615018243</v>
      </c>
      <c r="L17" s="4" t="n">
        <f aca="false">-L6*Assumptions!L18/100</f>
        <v>-1172.74739243516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(C6-B6)*Assumptions!$B$23/100</f>
        <v>322.161474</v>
      </c>
      <c r="D18" s="4" t="n">
        <f aca="false">(D6-C6)*Assumptions!$B$23/100</f>
        <v>208.331086520001</v>
      </c>
      <c r="E18" s="4" t="n">
        <f aca="false">(E6-D6)*Assumptions!$B$23/100</f>
        <v>-102.0822323948</v>
      </c>
      <c r="F18" s="4" t="n">
        <f aca="false">(F6-E6)*Assumptions!$B$23/100</f>
        <v>-206.206109437496</v>
      </c>
      <c r="G18" s="4" t="n">
        <f aca="false">(G6-F6)*Assumptions!$B$23/100</f>
        <v>-210.330231626246</v>
      </c>
      <c r="H18" s="4" t="n">
        <f aca="false">(H6-G6)*Assumptions!$B$23/100</f>
        <v>-214.536836258772</v>
      </c>
      <c r="I18" s="4" t="n">
        <f aca="false">(I6-H6)*Assumptions!$B$23/100</f>
        <v>-218.827572983946</v>
      </c>
      <c r="J18" s="4" t="n">
        <f aca="false">(J6-I6)*Assumptions!$B$23/100</f>
        <v>-223.204124443626</v>
      </c>
      <c r="K18" s="4" t="n">
        <f aca="false">(K6-J6)*Assumptions!$B$23/100</f>
        <v>-170.751155199372</v>
      </c>
      <c r="L18" s="4" t="n">
        <f aca="false">(L6-K6)*Assumptions!$B$23/100</f>
        <v>-173.312422527363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3349.2121611356</v>
      </c>
      <c r="D19" s="0" t="n">
        <f aca="false">D15+D16+D17+D18</f>
        <v>3037.02974617991</v>
      </c>
      <c r="E19" s="0" t="n">
        <f aca="false">E15+E16+E17+E18</f>
        <v>2730.15868072921</v>
      </c>
      <c r="F19" s="0" t="n">
        <f aca="false">F15+F16+F17+F18</f>
        <v>2618.52890130299</v>
      </c>
      <c r="G19" s="0" t="n">
        <f aca="false">G15+G16+G17+G18</f>
        <v>2670.89947932905</v>
      </c>
      <c r="H19" s="0" t="n">
        <f aca="false">H15+H16+H17+H18</f>
        <v>2724.31746891563</v>
      </c>
      <c r="I19" s="0" t="n">
        <f aca="false">I15+I16+I17+I18</f>
        <v>2778.80381829394</v>
      </c>
      <c r="J19" s="0" t="n">
        <f aca="false">J15+J16+J17+J18</f>
        <v>2834.37989465982</v>
      </c>
      <c r="K19" s="0" t="n">
        <f aca="false">K15+K16+K17+K18</f>
        <v>2932.69662419062</v>
      </c>
      <c r="L19" s="0" t="n">
        <f aca="false">L15+L16+L17+L18</f>
        <v>2976.68707355348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3072.67170746385</v>
      </c>
      <c r="D21" s="0" t="n">
        <f aca="false">D19*D20</f>
        <v>2556.20717631505</v>
      </c>
      <c r="E21" s="0" t="n">
        <f aca="false">E19*E20</f>
        <v>2108.1834312044</v>
      </c>
      <c r="F21" s="0" t="n">
        <f aca="false">F19*F20</f>
        <v>1855.03188958588</v>
      </c>
      <c r="G21" s="0" t="n">
        <f aca="false">G19*G20</f>
        <v>1735.90140126386</v>
      </c>
      <c r="H21" s="0" t="n">
        <f aca="false">H19*H20</f>
        <v>1624.42149476067</v>
      </c>
      <c r="I21" s="0" t="n">
        <f aca="false">I19*I20</f>
        <v>1520.10084830815</v>
      </c>
      <c r="J21" s="0" t="n">
        <f aca="false">J19*J20</f>
        <v>1422.47969291221</v>
      </c>
      <c r="K21" s="0" t="n">
        <f aca="false">K19*K20</f>
        <v>1350.29499467104</v>
      </c>
      <c r="L21" s="0" t="n">
        <f aca="false">L19*L20</f>
        <v>1257.38478861569</v>
      </c>
    </row>
    <row r="23" customFormat="false" ht="15" hidden="false" customHeight="false" outlineLevel="0" collapsed="false">
      <c r="A23" s="0" t="s">
        <v>97</v>
      </c>
      <c r="C23" s="4" t="n">
        <f aca="false">Assumptions!C16</f>
        <v>2.1</v>
      </c>
      <c r="D23" s="4" t="n">
        <f aca="false">Assumptions!D16</f>
        <v>2.1</v>
      </c>
      <c r="E23" s="4" t="n">
        <f aca="false">Assumptions!E16</f>
        <v>2.1</v>
      </c>
      <c r="F23" s="4" t="n">
        <f aca="false">Assumptions!F16</f>
        <v>2.1</v>
      </c>
      <c r="G23" s="4" t="n">
        <f aca="false">Assumptions!G16</f>
        <v>2.1</v>
      </c>
      <c r="H23" s="4" t="n">
        <f aca="false">Assumptions!H16</f>
        <v>2.1</v>
      </c>
      <c r="I23" s="4" t="n">
        <f aca="false">Assumptions!I16</f>
        <v>2.1</v>
      </c>
      <c r="J23" s="4" t="n">
        <f aca="false">Assumptions!J16</f>
        <v>2.1</v>
      </c>
      <c r="K23" s="4" t="n">
        <f aca="false">Assumptions!K16</f>
        <v>2.1</v>
      </c>
      <c r="L23" s="4" t="n">
        <f aca="false">Assumptions!L16</f>
        <v>2.1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-1093.73820423</v>
      </c>
      <c r="D24" s="0" t="n">
        <f aca="false">-D6*D23/100</f>
        <v>-1071.8634401454</v>
      </c>
      <c r="E24" s="0" t="n">
        <f aca="false">-E6*E23/100</f>
        <v>-1082.58207454685</v>
      </c>
      <c r="F24" s="0" t="n">
        <f aca="false">-F6*F23/100</f>
        <v>-1104.23371603779</v>
      </c>
      <c r="G24" s="0" t="n">
        <f aca="false">-G6*G23/100</f>
        <v>-1126.31839035855</v>
      </c>
      <c r="H24" s="0" t="n">
        <f aca="false">-H6*H23/100</f>
        <v>-1148.84475816572</v>
      </c>
      <c r="I24" s="0" t="n">
        <f aca="false">-I6*I23/100</f>
        <v>-1171.82165332903</v>
      </c>
      <c r="J24" s="0" t="n">
        <f aca="false">-J6*J23/100</f>
        <v>-1195.25808639561</v>
      </c>
      <c r="K24" s="0" t="n">
        <f aca="false">-K6*K23/100</f>
        <v>-1213.18695769155</v>
      </c>
      <c r="L24" s="0" t="n">
        <f aca="false">-L6*L23/100</f>
        <v>-1231.38476205692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102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103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18502.6774251008</v>
      </c>
    </row>
    <row r="31" customFormat="false" ht="15" hidden="false" customHeight="false" outlineLevel="0" collapsed="false">
      <c r="A31" s="0" t="s">
        <v>125</v>
      </c>
      <c r="B31" s="0" t="n">
        <f aca="false">L19</f>
        <v>2976.68707355348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40284.4983954238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32743.5578090883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32743.5578090883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13831.2326747726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32333.9100998734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64836.4100998734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36.5840393460437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-0.151969417106079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36.5840393460437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22380.2768863465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29.6694705930794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Assumptions!C27</f>
        <v>0.5</v>
      </c>
      <c r="D5" s="4" t="n">
        <f aca="false">Assumptions!D27</f>
        <v>4</v>
      </c>
      <c r="E5" s="4" t="n">
        <f aca="false">Assumptions!E27</f>
        <v>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53693.579</v>
      </c>
      <c r="C6" s="0" t="n">
        <f aca="false">B6*(1+C5/100)</f>
        <v>53962.046895</v>
      </c>
      <c r="D6" s="0" t="n">
        <f aca="false">C6*(1+D5/100)</f>
        <v>56120.5287708</v>
      </c>
      <c r="E6" s="0" t="n">
        <f aca="false">D6*(1+E5/100)</f>
        <v>58926.55520934</v>
      </c>
      <c r="F6" s="0" t="n">
        <f aca="false">E6*(1+F5/100)</f>
        <v>61872.882969807</v>
      </c>
      <c r="G6" s="0" t="n">
        <f aca="false">F6*(1+G5/100)</f>
        <v>64657.1627034483</v>
      </c>
      <c r="H6" s="0" t="n">
        <f aca="false">G6*(1+H5/100)</f>
        <v>67243.4492115862</v>
      </c>
      <c r="I6" s="0" t="n">
        <f aca="false">H6*(1+I5/100)</f>
        <v>69596.9699339918</v>
      </c>
      <c r="J6" s="0" t="n">
        <f aca="false">I6*(1+J5/100)</f>
        <v>71684.8790320115</v>
      </c>
      <c r="K6" s="0" t="n">
        <f aca="false">J6*(1+K5/100)</f>
        <v>73477.0010078118</v>
      </c>
      <c r="L6" s="0" t="n">
        <f aca="false">K6*(1+L5/100)</f>
        <v>75313.9260330071</v>
      </c>
    </row>
    <row r="7" customFormat="false" ht="15" hidden="false" customHeight="false" outlineLevel="0" collapsed="false">
      <c r="A7" s="0" t="s">
        <v>95</v>
      </c>
      <c r="C7" s="4" t="n">
        <f aca="false">Assumptions!C28</f>
        <v>13.3</v>
      </c>
      <c r="D7" s="4" t="n">
        <f aca="false">Assumptions!D28</f>
        <v>13.6</v>
      </c>
      <c r="E7" s="4" t="n">
        <f aca="false">Assumptions!E28</f>
        <v>14</v>
      </c>
      <c r="F7" s="4" t="n">
        <f aca="false">Assumptions!F28</f>
        <v>14.3</v>
      </c>
      <c r="G7" s="4" t="n">
        <f aca="false">Assumptions!G28</f>
        <v>14.5</v>
      </c>
      <c r="H7" s="4" t="n">
        <f aca="false">Assumptions!H28</f>
        <v>14.5</v>
      </c>
      <c r="I7" s="4" t="n">
        <f aca="false">Assumptions!I28</f>
        <v>14.5</v>
      </c>
      <c r="J7" s="4" t="n">
        <f aca="false">Assumptions!J28</f>
        <v>14.5</v>
      </c>
      <c r="K7" s="4" t="n">
        <f aca="false">Assumptions!K28</f>
        <v>14.5</v>
      </c>
      <c r="L7" s="4" t="n">
        <f aca="false">Assumptions!L28</f>
        <v>14.5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7176.952237035</v>
      </c>
      <c r="D8" s="0" t="n">
        <f aca="false">D6*D7/100</f>
        <v>7632.3919128288</v>
      </c>
      <c r="E8" s="0" t="n">
        <f aca="false">E6*E7/100</f>
        <v>8249.7177293076</v>
      </c>
      <c r="F8" s="0" t="n">
        <f aca="false">F6*F7/100</f>
        <v>8847.8222646824</v>
      </c>
      <c r="G8" s="0" t="n">
        <f aca="false">G6*G7/100</f>
        <v>9375.288592</v>
      </c>
      <c r="H8" s="0" t="n">
        <f aca="false">H6*H7/100</f>
        <v>9750.30013568</v>
      </c>
      <c r="I8" s="0" t="n">
        <f aca="false">I6*I7/100</f>
        <v>10091.5606404288</v>
      </c>
      <c r="J8" s="0" t="n">
        <f aca="false">J6*J7/100</f>
        <v>10394.3074596417</v>
      </c>
      <c r="K8" s="0" t="n">
        <f aca="false">K6*K7/100</f>
        <v>10654.1651461327</v>
      </c>
      <c r="L8" s="0" t="n">
        <f aca="false">L6*L7/100</f>
        <v>10920.519274786</v>
      </c>
    </row>
    <row r="9" customFormat="false" ht="15" hidden="false" customHeight="false" outlineLevel="0" collapsed="false">
      <c r="A9" s="0" t="s">
        <v>96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6043.74925224</v>
      </c>
      <c r="D11" s="0" t="n">
        <f aca="false">D8+D10+D24</f>
        <v>6453.860808642</v>
      </c>
      <c r="E11" s="0" t="n">
        <f aca="false">E8+E10+E24</f>
        <v>7012.26006991146</v>
      </c>
      <c r="F11" s="0" t="n">
        <f aca="false">F8+F10+F24</f>
        <v>7548.49172231646</v>
      </c>
      <c r="G11" s="0" t="n">
        <f aca="false">G8+G10+G24</f>
        <v>8017.48817522759</v>
      </c>
      <c r="H11" s="0" t="n">
        <f aca="false">H8+H10+H24</f>
        <v>8338.18770223669</v>
      </c>
      <c r="I11" s="0" t="n">
        <f aca="false">I8+I10+I24</f>
        <v>8630.02427181498</v>
      </c>
      <c r="J11" s="0" t="n">
        <f aca="false">J8+J10+J24</f>
        <v>8888.92499996943</v>
      </c>
      <c r="K11" s="0" t="n">
        <f aca="false">K8+K10+K24</f>
        <v>9111.14812496866</v>
      </c>
      <c r="L11" s="0" t="n">
        <f aca="false">L8+L10+L24</f>
        <v>9338.92682809288</v>
      </c>
    </row>
    <row r="12" customFormat="false" ht="15" hidden="false" customHeight="false" outlineLevel="0" collapsed="false">
      <c r="A12" s="0" t="s">
        <v>113</v>
      </c>
      <c r="C12" s="4" t="n">
        <f aca="false">-C6*Assumptions!C31/100</f>
        <v>-863.39275032</v>
      </c>
      <c r="D12" s="4" t="n">
        <f aca="false">-D6*Assumptions!D31/100</f>
        <v>-897.9284603328</v>
      </c>
      <c r="E12" s="4" t="n">
        <f aca="false">-E6*Assumptions!E31/100</f>
        <v>-942.82488334944</v>
      </c>
      <c r="F12" s="4" t="n">
        <f aca="false">-F6*Assumptions!F31/100</f>
        <v>-989.966127516912</v>
      </c>
      <c r="G12" s="4" t="n">
        <f aca="false">-G6*Assumptions!G31/100</f>
        <v>-1034.51460325517</v>
      </c>
      <c r="H12" s="4" t="n">
        <f aca="false">-H6*Assumptions!H31/100</f>
        <v>-1075.89518738538</v>
      </c>
      <c r="I12" s="4" t="n">
        <f aca="false">-I6*Assumptions!I31/100</f>
        <v>-1113.55151894387</v>
      </c>
      <c r="J12" s="4" t="n">
        <f aca="false">-J6*Assumptions!J31/100</f>
        <v>-1146.95806451218</v>
      </c>
      <c r="K12" s="4" t="n">
        <f aca="false">-K6*Assumptions!K31/100</f>
        <v>-1175.63201612499</v>
      </c>
      <c r="L12" s="4" t="n">
        <f aca="false">-L6*Assumptions!L31/100</f>
        <v>-1205.02281652811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5180.35650192</v>
      </c>
      <c r="D13" s="0" t="n">
        <f aca="false">D11+D12</f>
        <v>5555.9323483092</v>
      </c>
      <c r="E13" s="0" t="n">
        <f aca="false">E11+E12</f>
        <v>6069.43518656202</v>
      </c>
      <c r="F13" s="0" t="n">
        <f aca="false">F11+F12</f>
        <v>6558.52559479954</v>
      </c>
      <c r="G13" s="0" t="n">
        <f aca="false">G11+G12</f>
        <v>6982.97357197242</v>
      </c>
      <c r="H13" s="0" t="n">
        <f aca="false">H11+H12</f>
        <v>7262.29251485131</v>
      </c>
      <c r="I13" s="0" t="n">
        <f aca="false">I11+I12</f>
        <v>7516.47275287111</v>
      </c>
      <c r="J13" s="0" t="n">
        <f aca="false">J11+J12</f>
        <v>7741.96693545724</v>
      </c>
      <c r="K13" s="0" t="n">
        <f aca="false">K11+K12</f>
        <v>7935.51610884367</v>
      </c>
      <c r="L13" s="0" t="n">
        <f aca="false">L11+L12</f>
        <v>8133.90401156476</v>
      </c>
    </row>
    <row r="14" customFormat="false" ht="15" hidden="false" customHeight="false" outlineLevel="0" collapsed="false">
      <c r="A14" s="0" t="s">
        <v>100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3885.26737644</v>
      </c>
      <c r="D15" s="0" t="n">
        <f aca="false">D13-MAX(0,D13)*D14/100</f>
        <v>4166.9492612319</v>
      </c>
      <c r="E15" s="0" t="n">
        <f aca="false">E13-MAX(0,E13)*E14/100</f>
        <v>4552.07638992152</v>
      </c>
      <c r="F15" s="0" t="n">
        <f aca="false">F13-MAX(0,F13)*F14/100</f>
        <v>4918.89419609966</v>
      </c>
      <c r="G15" s="0" t="n">
        <f aca="false">G13-MAX(0,G13)*G14/100</f>
        <v>5237.23017897931</v>
      </c>
      <c r="H15" s="0" t="n">
        <f aca="false">H13-MAX(0,H13)*H14/100</f>
        <v>5446.71938613848</v>
      </c>
      <c r="I15" s="0" t="n">
        <f aca="false">I13-MAX(0,I13)*I14/100</f>
        <v>5637.35456465333</v>
      </c>
      <c r="J15" s="0" t="n">
        <f aca="false">J13-MAX(0,J13)*J14/100</f>
        <v>5806.47520159293</v>
      </c>
      <c r="K15" s="0" t="n">
        <f aca="false">K13-MAX(0,K13)*K14/100</f>
        <v>5951.63708163276</v>
      </c>
      <c r="L15" s="0" t="n">
        <f aca="false">L13-MAX(0,L13)*L14/100</f>
        <v>6100.42800867357</v>
      </c>
    </row>
    <row r="16" customFormat="false" ht="15" hidden="false" customHeight="false" outlineLevel="0" collapsed="false">
      <c r="A16" s="0" t="s">
        <v>116</v>
      </c>
      <c r="C16" s="0" t="n">
        <f aca="false">-C12</f>
        <v>863.39275032</v>
      </c>
      <c r="D16" s="0" t="n">
        <f aca="false">-D12</f>
        <v>897.9284603328</v>
      </c>
      <c r="E16" s="0" t="n">
        <f aca="false">-E12</f>
        <v>942.82488334944</v>
      </c>
      <c r="F16" s="0" t="n">
        <f aca="false">-F12</f>
        <v>989.966127516912</v>
      </c>
      <c r="G16" s="0" t="n">
        <f aca="false">-G12</f>
        <v>1034.51460325517</v>
      </c>
      <c r="H16" s="0" t="n">
        <f aca="false">-H12</f>
        <v>1075.89518738538</v>
      </c>
      <c r="I16" s="0" t="n">
        <f aca="false">-I12</f>
        <v>1113.55151894387</v>
      </c>
      <c r="J16" s="0" t="n">
        <f aca="false">-J12</f>
        <v>1146.95806451218</v>
      </c>
      <c r="K16" s="0" t="n">
        <f aca="false">-K12</f>
        <v>1175.63201612499</v>
      </c>
      <c r="L16" s="0" t="n">
        <f aca="false">-L12</f>
        <v>1205.02281652811</v>
      </c>
    </row>
    <row r="17" customFormat="false" ht="15" hidden="false" customHeight="false" outlineLevel="0" collapsed="false">
      <c r="A17" s="0" t="s">
        <v>117</v>
      </c>
      <c r="C17" s="4" t="n">
        <f aca="false">-C6*Assumptions!C32/100</f>
        <v>-1241.127078585</v>
      </c>
      <c r="D17" s="4" t="n">
        <f aca="false">-D6*Assumptions!D32/100</f>
        <v>-1290.7721617284</v>
      </c>
      <c r="E17" s="4" t="n">
        <f aca="false">-E6*Assumptions!E32/100</f>
        <v>-1296.38421460548</v>
      </c>
      <c r="F17" s="4" t="n">
        <f aca="false">-F6*Assumptions!F32/100</f>
        <v>-1361.20342533575</v>
      </c>
      <c r="G17" s="4" t="n">
        <f aca="false">-G6*Assumptions!G32/100</f>
        <v>-1357.80041677241</v>
      </c>
      <c r="H17" s="4" t="n">
        <f aca="false">-H6*Assumptions!H32/100</f>
        <v>-1344.86898423172</v>
      </c>
      <c r="I17" s="4" t="n">
        <f aca="false">-I6*Assumptions!I32/100</f>
        <v>-1391.93939867984</v>
      </c>
      <c r="J17" s="4" t="n">
        <f aca="false">-J6*Assumptions!J32/100</f>
        <v>-1433.69758064023</v>
      </c>
      <c r="K17" s="4" t="n">
        <f aca="false">-K6*Assumptions!K32/100</f>
        <v>-1469.54002015624</v>
      </c>
      <c r="L17" s="4" t="n">
        <f aca="false">-L6*Assumptions!L32/100</f>
        <v>-1506.27852066014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(C6-B6)*Assumptions!$B$37/100</f>
        <v>-53.6935789999989</v>
      </c>
      <c r="D18" s="4" t="n">
        <f aca="false">(D6-C6)*Assumptions!$B$37/100</f>
        <v>-431.696375160001</v>
      </c>
      <c r="E18" s="4" t="n">
        <f aca="false">(E6-D6)*Assumptions!$B$37/100</f>
        <v>-561.205287708</v>
      </c>
      <c r="F18" s="4" t="n">
        <f aca="false">(F6-E6)*Assumptions!$B$37/100</f>
        <v>-589.2655520934</v>
      </c>
      <c r="G18" s="4" t="n">
        <f aca="false">(G6-F6)*Assumptions!$B$37/100</f>
        <v>-556.855946728263</v>
      </c>
      <c r="H18" s="4" t="n">
        <f aca="false">(H6-G6)*Assumptions!$B$37/100</f>
        <v>-517.257301627586</v>
      </c>
      <c r="I18" s="4" t="n">
        <f aca="false">(I6-H6)*Assumptions!$B$37/100</f>
        <v>-470.704144481104</v>
      </c>
      <c r="J18" s="4" t="n">
        <f aca="false">(J6-I6)*Assumptions!$B$37/100</f>
        <v>-417.58181960395</v>
      </c>
      <c r="K18" s="4" t="n">
        <f aca="false">(K6-J6)*Assumptions!$B$37/100</f>
        <v>-358.424395160057</v>
      </c>
      <c r="L18" s="4" t="n">
        <f aca="false">(L6-K6)*Assumptions!$B$37/100</f>
        <v>-367.385005039058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3453.839469175</v>
      </c>
      <c r="D19" s="0" t="n">
        <f aca="false">D15+D16+D17+D18</f>
        <v>3342.4091846763</v>
      </c>
      <c r="E19" s="0" t="n">
        <f aca="false">E15+E16+E17+E18</f>
        <v>3637.31177095748</v>
      </c>
      <c r="F19" s="0" t="n">
        <f aca="false">F15+F16+F17+F18</f>
        <v>3958.39134618742</v>
      </c>
      <c r="G19" s="0" t="n">
        <f aca="false">G15+G16+G17+G18</f>
        <v>4357.08841873381</v>
      </c>
      <c r="H19" s="0" t="n">
        <f aca="false">H15+H16+H17+H18</f>
        <v>4660.48828766455</v>
      </c>
      <c r="I19" s="0" t="n">
        <f aca="false">I15+I16+I17+I18</f>
        <v>4888.26254043626</v>
      </c>
      <c r="J19" s="0" t="n">
        <f aca="false">J15+J16+J17+J18</f>
        <v>5102.15386586094</v>
      </c>
      <c r="K19" s="0" t="n">
        <f aca="false">K15+K16+K17+K18</f>
        <v>5299.30468244145</v>
      </c>
      <c r="L19" s="0" t="n">
        <f aca="false">L15+L16+L17+L18</f>
        <v>5431.78729950249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3168.6600634633</v>
      </c>
      <c r="D21" s="0" t="n">
        <f aca="false">D19*D20</f>
        <v>2813.23894005244</v>
      </c>
      <c r="E21" s="0" t="n">
        <f aca="false">E19*E20</f>
        <v>2808.67206136502</v>
      </c>
      <c r="F21" s="0" t="n">
        <f aca="false">F19*F20</f>
        <v>2804.22422490147</v>
      </c>
      <c r="G21" s="0" t="n">
        <f aca="false">G19*G20</f>
        <v>2831.80851621213</v>
      </c>
      <c r="H21" s="0" t="n">
        <f aca="false">H19*H20</f>
        <v>2778.89689323764</v>
      </c>
      <c r="I21" s="0" t="n">
        <f aca="false">I19*I20</f>
        <v>2674.04700740343</v>
      </c>
      <c r="J21" s="0" t="n">
        <f aca="false">J19*J20</f>
        <v>2560.59897897766</v>
      </c>
      <c r="K21" s="0" t="n">
        <f aca="false">K19*K20</f>
        <v>2439.94708791685</v>
      </c>
      <c r="L21" s="0" t="n">
        <f aca="false">L19*L20</f>
        <v>2294.4456560686</v>
      </c>
    </row>
    <row r="23" customFormat="false" ht="15" hidden="false" customHeight="false" outlineLevel="0" collapsed="false">
      <c r="A23" s="0" t="s">
        <v>97</v>
      </c>
      <c r="C23" s="4" t="n">
        <f aca="false">Assumptions!C30</f>
        <v>2.1</v>
      </c>
      <c r="D23" s="4" t="n">
        <f aca="false">Assumptions!D30</f>
        <v>2.1</v>
      </c>
      <c r="E23" s="4" t="n">
        <f aca="false">Assumptions!E30</f>
        <v>2.1</v>
      </c>
      <c r="F23" s="4" t="n">
        <f aca="false">Assumptions!F30</f>
        <v>2.1</v>
      </c>
      <c r="G23" s="4" t="n">
        <f aca="false">Assumptions!G30</f>
        <v>2.1</v>
      </c>
      <c r="H23" s="4" t="n">
        <f aca="false">Assumptions!H30</f>
        <v>2.1</v>
      </c>
      <c r="I23" s="4" t="n">
        <f aca="false">Assumptions!I30</f>
        <v>2.1</v>
      </c>
      <c r="J23" s="4" t="n">
        <f aca="false">Assumptions!J30</f>
        <v>2.1</v>
      </c>
      <c r="K23" s="4" t="n">
        <f aca="false">Assumptions!K30</f>
        <v>2.1</v>
      </c>
      <c r="L23" s="4" t="n">
        <f aca="false">Assumptions!L30</f>
        <v>2.1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-1133.202984795</v>
      </c>
      <c r="D24" s="0" t="n">
        <f aca="false">-D6*D23/100</f>
        <v>-1178.5311041868</v>
      </c>
      <c r="E24" s="0" t="n">
        <f aca="false">-E6*E23/100</f>
        <v>-1237.45765939614</v>
      </c>
      <c r="F24" s="0" t="n">
        <f aca="false">-F6*F23/100</f>
        <v>-1299.33054236595</v>
      </c>
      <c r="G24" s="0" t="n">
        <f aca="false">-G6*G23/100</f>
        <v>-1357.80041677241</v>
      </c>
      <c r="H24" s="0" t="n">
        <f aca="false">-H6*H23/100</f>
        <v>-1412.11243344331</v>
      </c>
      <c r="I24" s="0" t="n">
        <f aca="false">-I6*I23/100</f>
        <v>-1461.53636861383</v>
      </c>
      <c r="J24" s="0" t="n">
        <f aca="false">-J6*J23/100</f>
        <v>-1505.38245967224</v>
      </c>
      <c r="K24" s="0" t="n">
        <f aca="false">-K6*K23/100</f>
        <v>-1543.01702116405</v>
      </c>
      <c r="L24" s="0" t="n">
        <f aca="false">-L6*L23/100</f>
        <v>-1581.59244669315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102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103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27174.5394295985</v>
      </c>
    </row>
    <row r="31" customFormat="false" ht="15" hidden="false" customHeight="false" outlineLevel="0" collapsed="false">
      <c r="A31" s="0" t="s">
        <v>125</v>
      </c>
      <c r="B31" s="0" t="n">
        <f aca="false">L19</f>
        <v>5431.78729950249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79148.9006498934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70613.2348935323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70613.2348935323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29827.7935288918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57002.3329584903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89504.8329584903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50.5032330687426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0.170682268631028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50.5032330687426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42618.6388114811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35.9757712562171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Assumptions!C41</f>
        <v>3</v>
      </c>
      <c r="D5" s="4" t="n">
        <f aca="false">Assumptions!D41</f>
        <v>9</v>
      </c>
      <c r="E5" s="4" t="n">
        <f aca="false">Assumptions!E41</f>
        <v>10</v>
      </c>
      <c r="F5" s="4" t="n">
        <f aca="false">Assumptions!F41</f>
        <v>9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53693.579</v>
      </c>
      <c r="C6" s="0" t="n">
        <f aca="false">B6*(1+C5/100)</f>
        <v>55304.38637</v>
      </c>
      <c r="D6" s="0" t="n">
        <f aca="false">C6*(1+D5/100)</f>
        <v>60281.7811433</v>
      </c>
      <c r="E6" s="0" t="n">
        <f aca="false">D6*(1+E5/100)</f>
        <v>66309.95925763</v>
      </c>
      <c r="F6" s="0" t="n">
        <f aca="false">E6*(1+F5/100)</f>
        <v>72277.8555908167</v>
      </c>
      <c r="G6" s="0" t="n">
        <f aca="false">F6*(1+G5/100)</f>
        <v>78060.0840380821</v>
      </c>
      <c r="H6" s="0" t="n">
        <f aca="false">G6*(1+H5/100)</f>
        <v>83524.2899207478</v>
      </c>
      <c r="I6" s="0" t="n">
        <f aca="false">H6*(1+I5/100)</f>
        <v>88535.7473159927</v>
      </c>
      <c r="J6" s="0" t="n">
        <f aca="false">I6*(1+J5/100)</f>
        <v>92962.5346817923</v>
      </c>
      <c r="K6" s="0" t="n">
        <f aca="false">J6*(1+K5/100)</f>
        <v>96681.036069064</v>
      </c>
      <c r="L6" s="0" t="n">
        <f aca="false">K6*(1+L5/100)</f>
        <v>99581.4671511359</v>
      </c>
    </row>
    <row r="7" customFormat="false" ht="15" hidden="false" customHeight="false" outlineLevel="0" collapsed="false">
      <c r="A7" s="0" t="s">
        <v>95</v>
      </c>
      <c r="C7" s="4" t="n">
        <f aca="false">Assumptions!C42</f>
        <v>13.8</v>
      </c>
      <c r="D7" s="4" t="n">
        <f aca="false">Assumptions!D42</f>
        <v>14.6</v>
      </c>
      <c r="E7" s="4" t="n">
        <f aca="false">Assumptions!E42</f>
        <v>15.4</v>
      </c>
      <c r="F7" s="4" t="n">
        <f aca="false">Assumptions!F42</f>
        <v>16</v>
      </c>
      <c r="G7" s="4" t="n">
        <f aca="false">Assumptions!G42</f>
        <v>16.5</v>
      </c>
      <c r="H7" s="4" t="n">
        <f aca="false">Assumptions!H42</f>
        <v>17</v>
      </c>
      <c r="I7" s="4" t="n">
        <f aca="false">Assumptions!I42</f>
        <v>17</v>
      </c>
      <c r="J7" s="4" t="n">
        <f aca="false">Assumptions!J42</f>
        <v>17</v>
      </c>
      <c r="K7" s="4" t="n">
        <f aca="false">Assumptions!K42</f>
        <v>17</v>
      </c>
      <c r="L7" s="4" t="n">
        <f aca="false">Assumptions!L42</f>
        <v>17</v>
      </c>
    </row>
    <row r="8" customFormat="false" ht="15" hidden="false" customHeight="false" outlineLevel="0" collapsed="false">
      <c r="A8" s="0" t="s">
        <v>44</v>
      </c>
      <c r="C8" s="0" t="n">
        <f aca="false">C6*C7/100</f>
        <v>7632.00531906</v>
      </c>
      <c r="D8" s="0" t="n">
        <f aca="false">D6*D7/100</f>
        <v>8801.1400469218</v>
      </c>
      <c r="E8" s="0" t="n">
        <f aca="false">E6*E7/100</f>
        <v>10211.733725675</v>
      </c>
      <c r="F8" s="0" t="n">
        <f aca="false">F6*F7/100</f>
        <v>11564.4568945307</v>
      </c>
      <c r="G8" s="0" t="n">
        <f aca="false">G6*G7/100</f>
        <v>12879.9138662835</v>
      </c>
      <c r="H8" s="0" t="n">
        <f aca="false">H6*H7/100</f>
        <v>14199.1292865271</v>
      </c>
      <c r="I8" s="0" t="n">
        <f aca="false">I6*I7/100</f>
        <v>15051.0770437188</v>
      </c>
      <c r="J8" s="0" t="n">
        <f aca="false">J6*J7/100</f>
        <v>15803.6308959047</v>
      </c>
      <c r="K8" s="0" t="n">
        <f aca="false">K6*K7/100</f>
        <v>16435.7761317409</v>
      </c>
      <c r="L8" s="0" t="n">
        <f aca="false">L6*L7/100</f>
        <v>16928.8494156931</v>
      </c>
    </row>
    <row r="9" customFormat="false" ht="15" hidden="false" customHeight="false" outlineLevel="0" collapsed="false">
      <c r="A9" s="0" t="s">
        <v>96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6470.61320529</v>
      </c>
      <c r="D11" s="0" t="n">
        <f aca="false">D8+D10+D24</f>
        <v>7535.2226429125</v>
      </c>
      <c r="E11" s="0" t="n">
        <f aca="false">E8+E10+E24</f>
        <v>8819.22458126479</v>
      </c>
      <c r="F11" s="0" t="n">
        <f aca="false">F8+F10+F24</f>
        <v>10046.6219271235</v>
      </c>
      <c r="G11" s="0" t="n">
        <f aca="false">G8+G10+G24</f>
        <v>11240.6521014838</v>
      </c>
      <c r="H11" s="0" t="n">
        <f aca="false">H8+H10+H24</f>
        <v>12445.1191981914</v>
      </c>
      <c r="I11" s="0" t="n">
        <f aca="false">I8+I10+I24</f>
        <v>13191.8263500829</v>
      </c>
      <c r="J11" s="0" t="n">
        <f aca="false">J8+J10+J24</f>
        <v>13851.4176675871</v>
      </c>
      <c r="K11" s="0" t="n">
        <f aca="false">K8+K10+K24</f>
        <v>14405.4743742905</v>
      </c>
      <c r="L11" s="0" t="n">
        <f aca="false">L8+L10+L24</f>
        <v>14837.6386055193</v>
      </c>
    </row>
    <row r="12" customFormat="false" ht="15" hidden="false" customHeight="false" outlineLevel="0" collapsed="false">
      <c r="A12" s="0" t="s">
        <v>113</v>
      </c>
      <c r="C12" s="4" t="n">
        <f aca="false">-C6*Assumptions!C45/100</f>
        <v>-884.87018192</v>
      </c>
      <c r="D12" s="4" t="n">
        <f aca="false">-D6*Assumptions!D45/100</f>
        <v>-964.5084982928</v>
      </c>
      <c r="E12" s="4" t="n">
        <f aca="false">-E6*Assumptions!E45/100</f>
        <v>-1060.95934812208</v>
      </c>
      <c r="F12" s="4" t="n">
        <f aca="false">-F6*Assumptions!F45/100</f>
        <v>-1156.44568945307</v>
      </c>
      <c r="G12" s="4" t="n">
        <f aca="false">-G6*Assumptions!G45/100</f>
        <v>-1248.96134460931</v>
      </c>
      <c r="H12" s="4" t="n">
        <f aca="false">-H6*Assumptions!H45/100</f>
        <v>-1336.38863873197</v>
      </c>
      <c r="I12" s="4" t="n">
        <f aca="false">-I6*Assumptions!I45/100</f>
        <v>-1416.57195705588</v>
      </c>
      <c r="J12" s="4" t="n">
        <f aca="false">-J6*Assumptions!J45/100</f>
        <v>-1487.40055490868</v>
      </c>
      <c r="K12" s="4" t="n">
        <f aca="false">-K6*Assumptions!K45/100</f>
        <v>-1546.89657710502</v>
      </c>
      <c r="L12" s="4" t="n">
        <f aca="false">-L6*Assumptions!L45/100</f>
        <v>-1593.30347441818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5585.74302337</v>
      </c>
      <c r="D13" s="0" t="n">
        <f aca="false">D11+D12</f>
        <v>6570.7141446197</v>
      </c>
      <c r="E13" s="0" t="n">
        <f aca="false">E11+E12</f>
        <v>7758.26523314271</v>
      </c>
      <c r="F13" s="0" t="n">
        <f aca="false">F11+F12</f>
        <v>8890.17623767046</v>
      </c>
      <c r="G13" s="0" t="n">
        <f aca="false">G11+G12</f>
        <v>9991.6907568745</v>
      </c>
      <c r="H13" s="0" t="n">
        <f aca="false">H11+H12</f>
        <v>11108.7305594595</v>
      </c>
      <c r="I13" s="0" t="n">
        <f aca="false">I11+I12</f>
        <v>11775.254393027</v>
      </c>
      <c r="J13" s="0" t="n">
        <f aca="false">J11+J12</f>
        <v>12364.0171126784</v>
      </c>
      <c r="K13" s="0" t="n">
        <f aca="false">K11+K12</f>
        <v>12858.5777971855</v>
      </c>
      <c r="L13" s="0" t="n">
        <f aca="false">L11+L12</f>
        <v>13244.3351311011</v>
      </c>
    </row>
    <row r="14" customFormat="false" ht="15" hidden="false" customHeight="false" outlineLevel="0" collapsed="false">
      <c r="A14" s="0" t="s">
        <v>100</v>
      </c>
      <c r="C14" s="4" t="n">
        <f aca="false">Assumptions!C47</f>
        <v>24</v>
      </c>
      <c r="D14" s="4" t="n">
        <f aca="false">Assumptions!D47</f>
        <v>24</v>
      </c>
      <c r="E14" s="4" t="n">
        <f aca="false">Assumptions!E47</f>
        <v>24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4245.1646977612</v>
      </c>
      <c r="D15" s="0" t="n">
        <f aca="false">D13-MAX(0,D13)*D14/100</f>
        <v>4993.74274991097</v>
      </c>
      <c r="E15" s="0" t="n">
        <f aca="false">E13-MAX(0,E13)*E14/100</f>
        <v>5896.28157718846</v>
      </c>
      <c r="F15" s="0" t="n">
        <f aca="false">F13-MAX(0,F13)*F14/100</f>
        <v>6756.53394062955</v>
      </c>
      <c r="G15" s="0" t="n">
        <f aca="false">G13-MAX(0,G13)*G14/100</f>
        <v>7593.68497522462</v>
      </c>
      <c r="H15" s="0" t="n">
        <f aca="false">H13-MAX(0,H13)*H14/100</f>
        <v>8442.63522518919</v>
      </c>
      <c r="I15" s="0" t="n">
        <f aca="false">I13-MAX(0,I13)*I14/100</f>
        <v>8949.19333870054</v>
      </c>
      <c r="J15" s="0" t="n">
        <f aca="false">J13-MAX(0,J13)*J14/100</f>
        <v>9396.65300563557</v>
      </c>
      <c r="K15" s="0" t="n">
        <f aca="false">K13-MAX(0,K13)*K14/100</f>
        <v>9772.51912586099</v>
      </c>
      <c r="L15" s="0" t="n">
        <f aca="false">L13-MAX(0,L13)*L14/100</f>
        <v>10065.6946996368</v>
      </c>
    </row>
    <row r="16" customFormat="false" ht="15" hidden="false" customHeight="false" outlineLevel="0" collapsed="false">
      <c r="A16" s="0" t="s">
        <v>116</v>
      </c>
      <c r="C16" s="0" t="n">
        <f aca="false">-C12</f>
        <v>884.87018192</v>
      </c>
      <c r="D16" s="0" t="n">
        <f aca="false">-D12</f>
        <v>964.5084982928</v>
      </c>
      <c r="E16" s="0" t="n">
        <f aca="false">-E12</f>
        <v>1060.95934812208</v>
      </c>
      <c r="F16" s="0" t="n">
        <f aca="false">-F12</f>
        <v>1156.44568945307</v>
      </c>
      <c r="G16" s="0" t="n">
        <f aca="false">-G12</f>
        <v>1248.96134460931</v>
      </c>
      <c r="H16" s="0" t="n">
        <f aca="false">-H12</f>
        <v>1336.38863873197</v>
      </c>
      <c r="I16" s="0" t="n">
        <f aca="false">-I12</f>
        <v>1416.57195705588</v>
      </c>
      <c r="J16" s="0" t="n">
        <f aca="false">-J12</f>
        <v>1487.40055490868</v>
      </c>
      <c r="K16" s="0" t="n">
        <f aca="false">-K12</f>
        <v>1546.89657710502</v>
      </c>
      <c r="L16" s="0" t="n">
        <f aca="false">-L12</f>
        <v>1593.30347441818</v>
      </c>
    </row>
    <row r="17" customFormat="false" ht="15" hidden="false" customHeight="false" outlineLevel="0" collapsed="false">
      <c r="A17" s="0" t="s">
        <v>117</v>
      </c>
      <c r="C17" s="4" t="n">
        <f aca="false">-C6*Assumptions!C46/100</f>
        <v>-1327.30527288</v>
      </c>
      <c r="D17" s="4" t="n">
        <f aca="false">-D6*Assumptions!D46/100</f>
        <v>-1446.7627474392</v>
      </c>
      <c r="E17" s="4" t="n">
        <f aca="false">-E6*Assumptions!E46/100</f>
        <v>-1525.12906292549</v>
      </c>
      <c r="F17" s="4" t="n">
        <f aca="false">-F6*Assumptions!F46/100</f>
        <v>-1662.39067858878</v>
      </c>
      <c r="G17" s="4" t="n">
        <f aca="false">-G6*Assumptions!G46/100</f>
        <v>-1717.32184883781</v>
      </c>
      <c r="H17" s="4" t="n">
        <f aca="false">-H6*Assumptions!H46/100</f>
        <v>-1754.0100883357</v>
      </c>
      <c r="I17" s="4" t="n">
        <f aca="false">-I6*Assumptions!I46/100</f>
        <v>-1770.71494631985</v>
      </c>
      <c r="J17" s="4" t="n">
        <f aca="false">-J6*Assumptions!J46/100</f>
        <v>-1859.25069363585</v>
      </c>
      <c r="K17" s="4" t="n">
        <f aca="false">-K6*Assumptions!K46/100</f>
        <v>-1933.62072138128</v>
      </c>
      <c r="L17" s="4" t="n">
        <f aca="false">-L6*Assumptions!L46/100</f>
        <v>-1991.62934302272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(C6-B6)*Assumptions!$B$51/100</f>
        <v>-322.161474</v>
      </c>
      <c r="D18" s="4" t="n">
        <f aca="false">(D6-C6)*Assumptions!$B$51/100</f>
        <v>-995.478954660001</v>
      </c>
      <c r="E18" s="4" t="n">
        <f aca="false">(E6-D6)*Assumptions!$B$51/100</f>
        <v>-1205.635622866</v>
      </c>
      <c r="F18" s="4" t="n">
        <f aca="false">(F6-E6)*Assumptions!$B$51/100</f>
        <v>-1193.57926663734</v>
      </c>
      <c r="G18" s="4" t="n">
        <f aca="false">(G6-F6)*Assumptions!$B$51/100</f>
        <v>-1156.44568945307</v>
      </c>
      <c r="H18" s="4" t="n">
        <f aca="false">(H6-G6)*Assumptions!$B$51/100</f>
        <v>-1092.84117653315</v>
      </c>
      <c r="I18" s="4" t="n">
        <f aca="false">(I6-H6)*Assumptions!$B$51/100</f>
        <v>-1002.29147904897</v>
      </c>
      <c r="J18" s="4" t="n">
        <f aca="false">(J6-I6)*Assumptions!$B$51/100</f>
        <v>-885.357473159928</v>
      </c>
      <c r="K18" s="4" t="n">
        <f aca="false">(K6-J6)*Assumptions!$B$51/100</f>
        <v>-743.700277454339</v>
      </c>
      <c r="L18" s="4" t="n">
        <f aca="false">(L6-K6)*Assumptions!$B$51/100</f>
        <v>-580.086216414385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3480.5681328012</v>
      </c>
      <c r="D19" s="0" t="n">
        <f aca="false">D15+D16+D17+D18</f>
        <v>3516.00954610457</v>
      </c>
      <c r="E19" s="0" t="n">
        <f aca="false">E15+E16+E17+E18</f>
        <v>4226.47623951905</v>
      </c>
      <c r="F19" s="0" t="n">
        <f aca="false">F15+F16+F17+F18</f>
        <v>5057.00968485649</v>
      </c>
      <c r="G19" s="0" t="n">
        <f aca="false">G15+G16+G17+G18</f>
        <v>5968.87878154306</v>
      </c>
      <c r="H19" s="0" t="n">
        <f aca="false">H15+H16+H17+H18</f>
        <v>6932.1725990523</v>
      </c>
      <c r="I19" s="0" t="n">
        <f aca="false">I15+I16+I17+I18</f>
        <v>7592.75887038759</v>
      </c>
      <c r="J19" s="0" t="n">
        <f aca="false">J15+J16+J17+J18</f>
        <v>8139.44539374847</v>
      </c>
      <c r="K19" s="0" t="n">
        <f aca="false">K15+K16+K17+K18</f>
        <v>8642.09470413039</v>
      </c>
      <c r="L19" s="0" t="n">
        <f aca="false">L15+L16+L17+L18</f>
        <v>9087.28261461789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3193.18177321211</v>
      </c>
      <c r="D21" s="0" t="n">
        <f aca="false">D19*D20</f>
        <v>2959.35489109046</v>
      </c>
      <c r="E21" s="0" t="n">
        <f aca="false">E19*E20</f>
        <v>3263.61513102722</v>
      </c>
      <c r="F21" s="0" t="n">
        <f aca="false">F19*F20</f>
        <v>3582.5131533532</v>
      </c>
      <c r="G21" s="0" t="n">
        <f aca="false">G19*G20</f>
        <v>3879.36166113506</v>
      </c>
      <c r="H21" s="0" t="n">
        <f aca="false">H19*H20</f>
        <v>4133.42802510226</v>
      </c>
      <c r="I21" s="0" t="n">
        <f aca="false">I19*I20</f>
        <v>4153.49911493988</v>
      </c>
      <c r="J21" s="0" t="n">
        <f aca="false">J19*J20</f>
        <v>4084.91317836019</v>
      </c>
      <c r="K21" s="0" t="n">
        <f aca="false">K19*K20</f>
        <v>3979.06047499234</v>
      </c>
      <c r="L21" s="0" t="n">
        <f aca="false">L19*L20</f>
        <v>3838.56638172991</v>
      </c>
    </row>
    <row r="23" customFormat="false" ht="15" hidden="false" customHeight="false" outlineLevel="0" collapsed="false">
      <c r="A23" s="0" t="s">
        <v>97</v>
      </c>
      <c r="C23" s="4" t="n">
        <f aca="false">Assumptions!C44</f>
        <v>2.1</v>
      </c>
      <c r="D23" s="4" t="n">
        <f aca="false">Assumptions!D44</f>
        <v>2.1</v>
      </c>
      <c r="E23" s="4" t="n">
        <f aca="false">Assumptions!E44</f>
        <v>2.1</v>
      </c>
      <c r="F23" s="4" t="n">
        <f aca="false">Assumptions!F44</f>
        <v>2.1</v>
      </c>
      <c r="G23" s="4" t="n">
        <f aca="false">Assumptions!G44</f>
        <v>2.1</v>
      </c>
      <c r="H23" s="4" t="n">
        <f aca="false">Assumptions!H44</f>
        <v>2.1</v>
      </c>
      <c r="I23" s="4" t="n">
        <f aca="false">Assumptions!I44</f>
        <v>2.1</v>
      </c>
      <c r="J23" s="4" t="n">
        <f aca="false">Assumptions!J44</f>
        <v>2.1</v>
      </c>
      <c r="K23" s="4" t="n">
        <f aca="false">Assumptions!K44</f>
        <v>2.1</v>
      </c>
      <c r="L23" s="4" t="n">
        <f aca="false">Assumptions!L44</f>
        <v>2.1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-1161.39211377</v>
      </c>
      <c r="D24" s="0" t="n">
        <f aca="false">-D6*D23/100</f>
        <v>-1265.9174040093</v>
      </c>
      <c r="E24" s="0" t="n">
        <f aca="false">-E6*E23/100</f>
        <v>-1392.50914441023</v>
      </c>
      <c r="F24" s="0" t="n">
        <f aca="false">-F6*F23/100</f>
        <v>-1517.83496740715</v>
      </c>
      <c r="G24" s="0" t="n">
        <f aca="false">-G6*G23/100</f>
        <v>-1639.26176479972</v>
      </c>
      <c r="H24" s="0" t="n">
        <f aca="false">-H6*H23/100</f>
        <v>-1754.0100883357</v>
      </c>
      <c r="I24" s="0" t="n">
        <f aca="false">-I6*I23/100</f>
        <v>-1859.25069363585</v>
      </c>
      <c r="J24" s="0" t="n">
        <f aca="false">-J6*J23/100</f>
        <v>-1952.21322831764</v>
      </c>
      <c r="K24" s="0" t="n">
        <f aca="false">-K6*K23/100</f>
        <v>-2030.30175745034</v>
      </c>
      <c r="L24" s="0" t="n">
        <f aca="false">-L6*L23/100</f>
        <v>-2091.21081017385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102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103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37067.4937849426</v>
      </c>
    </row>
    <row r="31" customFormat="false" ht="15" hidden="false" customHeight="false" outlineLevel="0" collapsed="false">
      <c r="A31" s="0" t="s">
        <v>125</v>
      </c>
      <c r="B31" s="0" t="n">
        <f aca="false">L19</f>
        <v>9087.28261461789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143299.456615128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127221.95660465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127221.95660465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53739.9293442187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90807.4231291613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123309.923129161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69.5778047021094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0.612837382988164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69.5778047021094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74515.7174398667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44.2710508792885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2" t="s">
        <v>142</v>
      </c>
      <c r="B3" s="2" t="s">
        <v>143</v>
      </c>
      <c r="C3" s="2" t="s">
        <v>133</v>
      </c>
      <c r="D3" s="2" t="s">
        <v>144</v>
      </c>
      <c r="E3" s="2" t="s">
        <v>136</v>
      </c>
      <c r="F3" s="2" t="s">
        <v>145</v>
      </c>
    </row>
    <row r="4" customFormat="false" ht="15" hidden="false" customHeight="false" outlineLevel="0" collapsed="false">
      <c r="A4" s="0" t="s">
        <v>146</v>
      </c>
      <c r="B4" s="4" t="n">
        <f aca="false">DCF_Bear!$B$38</f>
        <v>36.5840393460437</v>
      </c>
      <c r="C4" s="0" t="n">
        <f aca="false">B4/Assumptions!$B$2-1</f>
        <v>-0.151969417106079</v>
      </c>
      <c r="D4" s="4" t="n">
        <f aca="false">Assumptions!$B$24</f>
        <v>0.25</v>
      </c>
      <c r="E4" s="4" t="n">
        <f aca="false">DCF_Bear!$B$43</f>
        <v>36.5840393460437</v>
      </c>
      <c r="F4" s="4" t="n">
        <f aca="false">DCF_Bear!$B$47</f>
        <v>29.6694705930794</v>
      </c>
    </row>
    <row r="5" customFormat="false" ht="15" hidden="false" customHeight="false" outlineLevel="0" collapsed="false">
      <c r="A5" s="0" t="s">
        <v>147</v>
      </c>
      <c r="B5" s="4" t="n">
        <f aca="false">DCF_Base!$B$38</f>
        <v>50.5032330687426</v>
      </c>
      <c r="C5" s="0" t="n">
        <f aca="false">B5/Assumptions!$B$2-1</f>
        <v>0.170682268631028</v>
      </c>
      <c r="D5" s="4" t="n">
        <f aca="false">Assumptions!$B$38</f>
        <v>0.5</v>
      </c>
      <c r="E5" s="4" t="n">
        <f aca="false">DCF_Base!$B$43</f>
        <v>50.5032330687426</v>
      </c>
      <c r="F5" s="4" t="n">
        <f aca="false">DCF_Base!$B$47</f>
        <v>35.9757712562171</v>
      </c>
    </row>
    <row r="6" customFormat="false" ht="15" hidden="false" customHeight="false" outlineLevel="0" collapsed="false">
      <c r="A6" s="0" t="s">
        <v>148</v>
      </c>
      <c r="B6" s="4" t="n">
        <f aca="false">DCF_Bull!$B$38</f>
        <v>69.5778047021094</v>
      </c>
      <c r="C6" s="0" t="n">
        <f aca="false">B6/Assumptions!$B$2-1</f>
        <v>0.612837382988164</v>
      </c>
      <c r="D6" s="4" t="n">
        <f aca="false">Assumptions!$B$52</f>
        <v>0.25</v>
      </c>
      <c r="E6" s="4" t="n">
        <f aca="false">DCF_Bull!$B$43</f>
        <v>69.5778047021094</v>
      </c>
      <c r="F6" s="4" t="n">
        <f aca="false">DCF_Bull!$B$47</f>
        <v>44.2710508792885</v>
      </c>
    </row>
    <row r="8" customFormat="false" ht="15" hidden="false" customHeight="false" outlineLevel="0" collapsed="false">
      <c r="A8" s="0" t="s">
        <v>149</v>
      </c>
      <c r="B8" s="0" t="n">
        <f aca="false">SUMPRODUCT(B4:B6,D4:D6)</f>
        <v>51.7920775464096</v>
      </c>
    </row>
    <row r="9" customFormat="false" ht="15" hidden="false" customHeight="false" outlineLevel="0" collapsed="false">
      <c r="A9" s="0" t="s">
        <v>150</v>
      </c>
      <c r="B9" s="0" t="n">
        <f aca="false">SUMPRODUCT(E4:E6,D4:D6)</f>
        <v>51.7920775464096</v>
      </c>
    </row>
    <row r="10" customFormat="false" ht="15" hidden="false" customHeight="false" outlineLevel="0" collapsed="false">
      <c r="A10" s="0" t="s">
        <v>151</v>
      </c>
      <c r="B10" s="0" t="n">
        <f aca="false">1-Assumptions!$B$2/B8</f>
        <v>0.167054073833139</v>
      </c>
    </row>
    <row r="11" customFormat="false" ht="15" hidden="false" customHeight="false" outlineLevel="0" collapsed="false">
      <c r="A11" s="0" t="s">
        <v>152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153</v>
      </c>
      <c r="B12" s="0" t="n">
        <f aca="false">SUMPRODUCT(F4:F6,D4:D6)</f>
        <v>36.4730159962005</v>
      </c>
    </row>
    <row r="14" customFormat="false" ht="15" hidden="false" customHeight="false" outlineLevel="0" collapsed="false">
      <c r="A14" s="2" t="s">
        <v>154</v>
      </c>
      <c r="C14" s="0" t="s">
        <v>155</v>
      </c>
    </row>
    <row r="15" customFormat="false" ht="15" hidden="false" customHeight="false" outlineLevel="0" collapsed="false">
      <c r="A15" s="0" t="s">
        <v>156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50.5032330687426</v>
      </c>
      <c r="C15" s="3" t="n">
        <v>9</v>
      </c>
    </row>
    <row r="16" customFormat="false" ht="15" hidden="false" customHeight="false" outlineLevel="0" collapsed="false">
      <c r="A16" s="0" t="s">
        <v>157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48.0225263100987</v>
      </c>
      <c r="C16" s="3" t="n">
        <v>10</v>
      </c>
    </row>
    <row r="17" customFormat="false" ht="15" hidden="false" customHeight="false" outlineLevel="0" collapsed="false">
      <c r="A17" s="0" t="s">
        <v>158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44.5222361237503</v>
      </c>
      <c r="C17" s="3" t="n">
        <v>11</v>
      </c>
    </row>
    <row r="18" customFormat="false" ht="15" hidden="false" customHeight="false" outlineLevel="0" collapsed="false">
      <c r="A18" s="0" t="s">
        <v>159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41.7316629290445</v>
      </c>
      <c r="C18" s="3" t="n">
        <v>12</v>
      </c>
    </row>
    <row r="19" customFormat="false" ht="15" hidden="false" customHeight="false" outlineLevel="0" collapsed="false">
      <c r="A19" s="0" t="s">
        <v>160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35.9757712562171</v>
      </c>
      <c r="C19" s="3" t="n">
        <v>15</v>
      </c>
    </row>
    <row r="21" customFormat="false" ht="15" hidden="false" customHeight="false" outlineLevel="0" collapsed="false">
      <c r="A21" s="2" t="s">
        <v>161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55.5247910806635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55.5247910806635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55.5247910806635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55.5247910806635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55.5247910806635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52.8977888677717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52.8977888677717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52.8977888677717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52.8977888677717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52.8977888677717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50.017741448199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50.5032330687426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50.5032330687426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50.5032330687426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50.5032330687426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46.2172287827106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47.066780560305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48.0225263100987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48.3179386327623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48.3179386327623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43.1909661657003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43.8215677247767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44.5222361237503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45.3053360990739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46.1863235713128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2026-10-16T21:42:17Z</dcterms:created>
  <dc:creator>openpyxl</dc:creator>
  <dc:description/>
  <dc:language>en-NZ</dc:language>
  <cp:lastModifiedBy/>
  <dcterms:modified xsi:type="dcterms:W3CDTF">2026-10-16T21:42:17Z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