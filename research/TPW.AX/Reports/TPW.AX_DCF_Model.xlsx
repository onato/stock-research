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ear" sheetId="4" state="visible" r:id="rId4"/>
    <sheet xmlns:r="http://schemas.openxmlformats.org/officeDocument/2006/relationships" name="DCF_Base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FCF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1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Temple &amp; Webster Group (TPW.AX) owner-FCF DCF model</t>
        </is>
      </c>
      <c r="B1" t="inlineStr"/>
    </row>
    <row r="2">
      <c r="A2" s="1" t="inlineStr">
        <is>
          <t>Version</t>
        </is>
      </c>
      <c r="B2" t="inlineStr">
        <is>
          <t>1.0 fresh build 2026-08-26; supersedes nothing (no prior TPW.AX DCF)</t>
        </is>
      </c>
    </row>
    <row r="3">
      <c r="A3" s="1" t="inlineStr">
        <is>
          <t>Built by</t>
        </is>
      </c>
      <c r="B3" t="inlineStr">
        <is>
          <t>dcf-analyst agent (Claude Fable 5) on 2026-08-26 at the research-stock orchestrator's request</t>
        </is>
      </c>
    </row>
    <row r="4">
      <c r="A4" s="1" t="inlineStr">
        <is>
          <t>Price</t>
        </is>
      </c>
      <c r="B4" t="inlineStr">
        <is>
          <t>A$4.82 ASX regular close 2026-08-26 06:10 UTC (Yahoo) — goes stale; refresh before use</t>
        </is>
      </c>
    </row>
    <row r="5">
      <c r="A5" s="1" t="inlineStr">
        <is>
          <t>Balance sheet</t>
        </is>
      </c>
      <c r="B5" t="inlineStr">
        <is>
          <t>30-Jun-2026 FY2026 Annual Report: cash A$122.694m, borrowings nil, lease liabilities A$42.372m</t>
        </is>
      </c>
    </row>
    <row r="6">
      <c r="A6" s="1" t="inlineStr">
        <is>
          <t>Share count</t>
        </is>
      </c>
      <c r="B6" t="inlineStr">
        <is>
          <t>121.903m fully diluted = 116.547m on issue 30-Jun-2026 + 5.356m dilutive effect (note 34); held flat (SBC expensed)</t>
        </is>
      </c>
    </row>
    <row r="7">
      <c r="A7" s="1" t="inlineStr">
        <is>
          <t>Guidance</t>
        </is>
      </c>
      <c r="B7" t="inlineStr">
        <is>
          <t>FY27 underlying EBITDA A$33-40m (5-6% margin), no revenue guidance; first 7 weeks FY27 checkout revenue −13% YoY (19-Aug-2026)</t>
        </is>
      </c>
    </row>
    <row r="8">
      <c r="A8" s="1" t="inlineStr">
        <is>
          <t>Method: model</t>
        </is>
      </c>
      <c r="B8" t="inlineStr">
        <is>
          <t>Owner-FCF DCF, 10-year component build, TV = MAX(0,MIN(Gordon, 15x FCF10)), end-year discounting, WACC 11.5% AUD-built, same in all scenarios</t>
        </is>
      </c>
    </row>
    <row r="9">
      <c r="A9" s="1" t="inlineStr">
        <is>
          <t>Method: SBC</t>
        </is>
      </c>
      <c r="B9" t="inlineStr">
        <is>
          <t>Expensed as % of revenue in the flows; share count flat (charge once). Street memo adds SBC PV back</t>
        </is>
      </c>
    </row>
    <row r="10">
      <c r="A10" s="1" t="inlineStr">
        <is>
          <t>Method: interest</t>
        </is>
      </c>
      <c r="B10" t="inlineStr">
        <is>
          <t>Interest income stripped from FCF; cash added in the bridge</t>
        </is>
      </c>
    </row>
    <row r="11">
      <c r="A11" s="1" t="inlineStr">
        <is>
          <t>Method: leases</t>
        </is>
      </c>
      <c r="B11" t="inlineStr">
        <is>
          <t>Treatment B — lease cash charged in flows at 1.8% of revenue; lease liabilities EXCLUDED from net debt; D&amp;A and capex ex-ROU</t>
        </is>
      </c>
    </row>
    <row r="12">
      <c r="A12" s="1" t="inlineStr">
        <is>
          <t>Method: working capital</t>
        </is>
      </c>
      <c r="B12" t="inlineStr">
        <is>
          <t>Capture rate x change in revenue (negative-WC model unwinds on decline)</t>
        </is>
      </c>
    </row>
    <row r="13">
      <c r="A13" s="1" t="inlineStr">
        <is>
          <t>Method: tax</t>
        </is>
      </c>
      <c r="B13" t="inlineStr">
        <is>
          <t>30% AU statutory on SBC-expensed EBIT</t>
        </is>
      </c>
    </row>
    <row r="14">
      <c r="A14" s="1" t="inlineStr">
        <is>
          <t>Scenario drivers</t>
        </is>
      </c>
      <c r="B14" t="inlineStr">
        <is>
          <t>Agent judgment 2026-08-26, informed by FY26 result and Analysis JSON; rows 5,7,9,15 on each DCF tab are the only hardcoded drivers</t>
        </is>
      </c>
    </row>
    <row r="15">
      <c r="A15" s="1" t="inlineStr">
        <is>
          <t>Refresh after next print</t>
        </is>
      </c>
      <c r="B15" t="inlineStr">
        <is>
          <t>Price, cash, share count, FY27 guidance, first-year growth; re-judge later years only on evidence</t>
        </is>
      </c>
    </row>
    <row r="16">
      <c r="A16" s="1" t="inlineStr">
        <is>
          <t>Legend</t>
        </is>
      </c>
      <c r="B16" t="inlineStr">
        <is>
          <t>Blue font = hardcoded input; yellow fill = key lever; black = formula; green font = cross-sheet link</t>
        </is>
      </c>
    </row>
    <row r="17">
      <c r="A17" s="1" t="inlineStr">
        <is>
          <t>Layout</t>
        </is>
      </c>
      <c r="B17" t="inlineStr">
        <is>
          <t>DCF tabs: row 3 years, 4 index, 5 growth, 6 revenue, 7 EBITDA margin, 8 EBITDA, 9 SBC%, 10 SBC$, 11 lease cost, 12 owner EBITDA after lease, 13 D&amp;A, 14 EBIT, 15 tax rate, 16 NOPAT, 17 add D&amp;A, 18 capex, 19 WC, 20 owner FCF, 21 DF, 22 PV; valuation block rows 27-40; street memo 42-44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FY</t>
        </is>
      </c>
      <c r="B1" s="1" t="inlineStr">
        <is>
          <t>Revenue</t>
        </is>
      </c>
      <c r="C1" s="1" t="inlineStr">
        <is>
          <t>Reported FCF</t>
        </is>
      </c>
      <c r="D1" s="1" t="inlineStr">
        <is>
          <t>SBC</t>
        </is>
      </c>
      <c r="E1" s="1" t="inlineStr">
        <is>
          <t>Interest income</t>
        </is>
      </c>
      <c r="F1" s="1" t="inlineStr">
        <is>
          <t>Lease principal</t>
        </is>
      </c>
      <c r="G1" s="1" t="inlineStr">
        <is>
          <t>EPS (c)</t>
        </is>
      </c>
      <c r="H1" s="1" t="inlineStr">
        <is>
          <t>Equity</t>
        </is>
      </c>
      <c r="I1" s="1" t="inlineStr">
        <is>
          <t>Shares (m)</t>
        </is>
      </c>
      <c r="J1" s="1" t="inlineStr">
        <is>
          <t>EBITDA</t>
        </is>
      </c>
      <c r="K1" s="1" t="inlineStr">
        <is>
          <t>Cash</t>
        </is>
      </c>
      <c r="L1" s="1" t="inlineStr">
        <is>
          <t>Net income</t>
        </is>
      </c>
    </row>
    <row r="2">
      <c r="A2" t="inlineStr">
        <is>
          <t>FY2019</t>
        </is>
      </c>
      <c r="B2" s="2" t="n">
        <v>101.613</v>
      </c>
      <c r="C2" s="2" t="n">
        <v>3.624</v>
      </c>
      <c r="D2" s="2" t="n">
        <v>1.047</v>
      </c>
      <c r="E2" s="2" t="n">
        <v>0.142</v>
      </c>
      <c r="F2" s="2" t="n">
        <v>0</v>
      </c>
      <c r="G2" s="2" t="n">
        <v>3.37</v>
      </c>
      <c r="H2" s="2" t="n">
        <v>15.213</v>
      </c>
      <c r="I2" s="2" t="n">
        <v>111.871</v>
      </c>
      <c r="J2" s="2" t="n">
        <v>1.109</v>
      </c>
      <c r="K2" s="2" t="n">
        <v>13.539</v>
      </c>
      <c r="L2" s="2" t="n">
        <v>3.764</v>
      </c>
    </row>
    <row r="3">
      <c r="A3" t="inlineStr">
        <is>
          <t>FY2020</t>
        </is>
      </c>
      <c r="B3" s="2" t="n">
        <v>176.342</v>
      </c>
      <c r="C3" s="2" t="n">
        <v>24.933</v>
      </c>
      <c r="D3" s="2" t="n">
        <v>0.909</v>
      </c>
      <c r="E3" s="2" t="n">
        <v>0.229</v>
      </c>
      <c r="F3" s="2" t="n">
        <v>0</v>
      </c>
      <c r="G3" s="2" t="n">
        <v>12.28</v>
      </c>
      <c r="H3" s="2" t="n">
        <v>29.984</v>
      </c>
      <c r="I3" s="2" t="n">
        <v>113.226</v>
      </c>
      <c r="J3" s="2" t="n">
        <v>8.484</v>
      </c>
      <c r="K3" s="2" t="n">
        <v>38.082</v>
      </c>
      <c r="L3" s="2" t="n">
        <v>13.909</v>
      </c>
    </row>
    <row r="4">
      <c r="A4" t="inlineStr">
        <is>
          <t>FY2021</t>
        </is>
      </c>
      <c r="B4" s="2" t="n">
        <v>326.344</v>
      </c>
      <c r="C4" s="2" t="n">
        <v>23.03</v>
      </c>
      <c r="D4" s="2" t="n">
        <v>1.238</v>
      </c>
      <c r="E4" s="2" t="n">
        <v>0.438</v>
      </c>
      <c r="F4" s="2" t="n">
        <v>1</v>
      </c>
      <c r="G4" s="2" t="n">
        <v>11.6</v>
      </c>
      <c r="H4" s="2" t="n">
        <v>84.004</v>
      </c>
      <c r="I4" s="2" t="n">
        <v>120.336</v>
      </c>
      <c r="J4" s="2" t="n">
        <v>20.504</v>
      </c>
      <c r="K4" s="2" t="n">
        <v>97.504</v>
      </c>
      <c r="L4" s="2" t="n">
        <v>13.953</v>
      </c>
    </row>
    <row r="5">
      <c r="A5" t="inlineStr">
        <is>
          <t>FY2022</t>
        </is>
      </c>
      <c r="B5" s="2" t="n">
        <v>426.335</v>
      </c>
      <c r="C5" s="2" t="n">
        <v>7.6</v>
      </c>
      <c r="D5" s="2" t="n">
        <v>1.717</v>
      </c>
      <c r="E5" s="2" t="n">
        <v>0.419</v>
      </c>
      <c r="F5" s="2" t="n">
        <v>2.2</v>
      </c>
      <c r="G5" s="2" t="n">
        <v>9.93</v>
      </c>
      <c r="H5" s="2" t="n">
        <v>102.912</v>
      </c>
      <c r="I5" s="2" t="n">
        <v>120.465</v>
      </c>
      <c r="J5" s="2" t="n">
        <v>16.191</v>
      </c>
      <c r="K5" s="2" t="n">
        <v>101.011</v>
      </c>
      <c r="L5" s="2" t="n">
        <v>11.968</v>
      </c>
    </row>
    <row r="6">
      <c r="A6" t="inlineStr">
        <is>
          <t>FY2023</t>
        </is>
      </c>
      <c r="B6" s="2" t="n">
        <v>395.513</v>
      </c>
      <c r="C6" s="2" t="n">
        <v>19.216</v>
      </c>
      <c r="D6" s="2" t="n">
        <v>3.103</v>
      </c>
      <c r="E6" s="2" t="n">
        <v>3.367</v>
      </c>
      <c r="F6" s="2" t="n">
        <v>4.6</v>
      </c>
      <c r="G6" s="2" t="n">
        <v>6.82</v>
      </c>
      <c r="H6" s="2" t="n">
        <v>107.731</v>
      </c>
      <c r="I6" s="2" t="n">
        <v>121.77</v>
      </c>
      <c r="J6" s="2" t="n">
        <v>14.809</v>
      </c>
      <c r="K6" s="2" t="n">
        <v>105.14</v>
      </c>
      <c r="L6" s="2" t="n">
        <v>8.305</v>
      </c>
    </row>
    <row r="7">
      <c r="A7" t="inlineStr">
        <is>
          <t>FY2024</t>
        </is>
      </c>
      <c r="B7" s="2" t="n">
        <v>497.841</v>
      </c>
      <c r="C7" s="2" t="n">
        <v>29.442</v>
      </c>
      <c r="D7" s="2" t="n">
        <v>3.854</v>
      </c>
      <c r="E7" s="2" t="n">
        <v>4.964</v>
      </c>
      <c r="F7" s="2" t="n">
        <v>5.7</v>
      </c>
      <c r="G7" s="2" t="n">
        <v>1.5</v>
      </c>
      <c r="H7" s="2" t="n">
        <v>106.523</v>
      </c>
      <c r="I7" s="2" t="n">
        <v>119.175</v>
      </c>
      <c r="J7" s="2" t="n">
        <v>8.430999999999999</v>
      </c>
      <c r="K7" s="2" t="n">
        <v>107.152</v>
      </c>
      <c r="L7" s="2" t="n">
        <v>1.786</v>
      </c>
    </row>
    <row r="8">
      <c r="A8" t="inlineStr">
        <is>
          <t>FY2025</t>
        </is>
      </c>
      <c r="B8" s="2" t="n">
        <v>600.7190000000001</v>
      </c>
      <c r="C8" s="2" t="n">
        <v>44.734</v>
      </c>
      <c r="D8" s="2" t="n">
        <v>4.88</v>
      </c>
      <c r="E8" s="2" t="n">
        <v>5.674</v>
      </c>
      <c r="F8" s="2" t="n">
        <v>6.798</v>
      </c>
      <c r="G8" s="2" t="n">
        <v>9.52</v>
      </c>
      <c r="H8" s="2" t="n">
        <v>148.077</v>
      </c>
      <c r="I8" s="2" t="n">
        <v>118.733</v>
      </c>
      <c r="J8" s="2" t="n">
        <v>18.791</v>
      </c>
      <c r="K8" s="2" t="n">
        <v>144.346</v>
      </c>
      <c r="L8" s="2" t="n">
        <v>11.302</v>
      </c>
    </row>
    <row r="9">
      <c r="A9" t="inlineStr">
        <is>
          <t>FY2026</t>
        </is>
      </c>
      <c r="B9" s="2" t="n">
        <v>664.586</v>
      </c>
      <c r="C9" s="2" t="n">
        <v>14.055</v>
      </c>
      <c r="D9" s="2" t="n">
        <v>4.177</v>
      </c>
      <c r="E9" s="2" t="n">
        <v>4.847</v>
      </c>
      <c r="F9" s="2" t="n">
        <v>6.615</v>
      </c>
      <c r="G9" s="2" t="n">
        <v>3.62</v>
      </c>
      <c r="H9" s="2" t="n">
        <v>105.634</v>
      </c>
      <c r="I9" s="2" t="n">
        <v>118.83</v>
      </c>
      <c r="J9" s="2" t="n">
        <v>21.905</v>
      </c>
      <c r="K9" s="2" t="n">
        <v>122.694</v>
      </c>
      <c r="L9" s="2" t="n">
        <v>4.304</v>
      </c>
    </row>
    <row r="11">
      <c r="A11" t="inlineStr">
        <is>
          <t>Source: TPW.AX_Metrics.csv (annual reports, AUD m); lease principal from cash-flow statements; FY2019-22 lease principal approximated from lease notes</t>
        </is>
      </c>
    </row>
    <row r="12">
      <c r="A12" t="inlineStr">
        <is>
          <t>FY27 guidance: underlying EBITDA A$33-40m; no revenue guidance; 7-week checkout revenue −13%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6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Global inputs</t>
        </is>
      </c>
    </row>
    <row r="3">
      <c r="A3" t="inlineStr">
        <is>
          <t>WACC</t>
        </is>
      </c>
      <c r="B3" s="3" t="n">
        <v>0.115</v>
      </c>
      <c r="C3" t="inlineStr">
        <is>
          <t>AUD-built: rf 4.2% + 5.5% ERP x beta 1.35; same all scenarios</t>
        </is>
      </c>
    </row>
    <row r="4">
      <c r="A4" t="inlineStr">
        <is>
          <t>D&amp;A % revenue (ex-ROU)</t>
        </is>
      </c>
      <c r="B4" s="3" t="n">
        <v>0.005</v>
      </c>
      <c r="C4" t="inlineStr">
        <is>
          <t>FY26 ex-ROU D&amp;A 1.6m = 0.24%; normalised 0.5%</t>
        </is>
      </c>
    </row>
    <row r="5">
      <c r="A5" t="inlineStr">
        <is>
          <t>Capex % revenue (cash, ex-ROU)</t>
        </is>
      </c>
      <c r="B5" s="3" t="n">
        <v>0.008</v>
      </c>
      <c r="C5" t="inlineStr">
        <is>
          <t>FY26 1.5% (warehouse fit-out), FY25 0.2%; normalised 0.8%</t>
        </is>
      </c>
    </row>
    <row r="6">
      <c r="A6" t="inlineStr">
        <is>
          <t>Lease cash cost % revenue</t>
        </is>
      </c>
      <c r="B6" s="3" t="n">
        <v>0.018</v>
      </c>
      <c r="C6" t="inlineStr">
        <is>
          <t>FY26 8.6m = 1.3%; liability doubled to 42.4m so payments step up to ~12m</t>
        </is>
      </c>
    </row>
    <row r="7">
      <c r="A7" t="inlineStr">
        <is>
          <t>Cash tax rate</t>
        </is>
      </c>
      <c r="B7" s="3" t="n">
        <v>0.3</v>
      </c>
      <c r="C7" t="inlineStr">
        <is>
          <t>AU statutory 30%</t>
        </is>
      </c>
    </row>
    <row r="8">
      <c r="A8" t="inlineStr">
        <is>
          <t>Net cash (A$m) 30-Jun-2026</t>
        </is>
      </c>
      <c r="B8" s="3" t="n">
        <v>122.694</v>
      </c>
      <c r="C8" t="inlineStr">
        <is>
          <t>cash 122.694; leases excluded (treatment B)</t>
        </is>
      </c>
    </row>
    <row r="9">
      <c r="A9" t="inlineStr">
        <is>
          <t>Diluted shares (m)</t>
        </is>
      </c>
      <c r="B9" s="3" t="n">
        <v>121.903</v>
      </c>
      <c r="C9" t="inlineStr">
        <is>
          <t>116.547 on issue + 5.356 dilutive (note 34)</t>
        </is>
      </c>
    </row>
    <row r="10">
      <c r="A10" t="inlineStr">
        <is>
          <t>Price (A$)</t>
        </is>
      </c>
      <c r="B10" s="3" t="n">
        <v>4.82</v>
      </c>
      <c r="C10" t="inlineStr">
        <is>
          <t>ASX close 2026-08-26</t>
        </is>
      </c>
    </row>
    <row r="11">
      <c r="A11" t="inlineStr">
        <is>
          <t>TV cap (x FCF10)</t>
        </is>
      </c>
      <c r="B11" s="3" t="n">
        <v>15</v>
      </c>
      <c r="C11" t="inlineStr">
        <is>
          <t>cyclical retailer cap</t>
        </is>
      </c>
    </row>
    <row r="12">
      <c r="A12" t="inlineStr">
        <is>
          <t>Hurdle rate</t>
        </is>
      </c>
      <c r="B12" s="3" t="n">
        <v>0.15</v>
      </c>
      <c r="C12" t="inlineStr">
        <is>
          <t>entry price IRR</t>
        </is>
      </c>
    </row>
    <row r="14">
      <c r="A14" s="1" t="inlineStr">
        <is>
          <t>Scenario</t>
        </is>
      </c>
      <c r="B14" t="inlineStr">
        <is>
          <t>Terminal growth</t>
        </is>
      </c>
      <c r="C14" t="inlineStr">
        <is>
          <t>Weight</t>
        </is>
      </c>
      <c r="D14" t="inlineStr">
        <is>
          <t>WC capture</t>
        </is>
      </c>
    </row>
    <row r="15">
      <c r="A15" t="inlineStr">
        <is>
          <t>bear</t>
        </is>
      </c>
      <c r="B15" s="2" t="n">
        <v>0.025</v>
      </c>
      <c r="C15" s="2" t="n">
        <v>0.25</v>
      </c>
      <c r="D15" s="2" t="n">
        <v>0.08</v>
      </c>
    </row>
    <row r="16">
      <c r="A16" t="inlineStr">
        <is>
          <t>base</t>
        </is>
      </c>
      <c r="B16" s="2" t="n">
        <v>0.03</v>
      </c>
      <c r="C16" s="2" t="n">
        <v>0.5</v>
      </c>
      <c r="D16" s="2" t="n">
        <v>0.1</v>
      </c>
    </row>
    <row r="17">
      <c r="A17" t="inlineStr">
        <is>
          <t>bull</t>
        </is>
      </c>
      <c r="B17" s="2" t="n">
        <v>0.035</v>
      </c>
      <c r="C17" s="2" t="n">
        <v>0.25</v>
      </c>
      <c r="D17" s="2" t="n">
        <v>0.12</v>
      </c>
    </row>
    <row r="18">
      <c r="A18" t="inlineStr">
        <is>
          <t>Weights sum</t>
        </is>
      </c>
      <c r="B18">
        <f>SUM(C15:C17)</f>
        <v/>
      </c>
    </row>
    <row r="20">
      <c r="A20" s="1" t="inlineStr">
        <is>
          <t>Narratives</t>
        </is>
      </c>
    </row>
    <row r="21">
      <c r="A21" t="inlineStr">
        <is>
          <t>Bear: −13% opening is demand; Amazon/Kogan discounting; revenue −10% FY27 then 3-4%; margin 3-4.5%; WC unwinds.</t>
        </is>
      </c>
    </row>
    <row r="22">
      <c r="A22" t="inlineStr">
        <is>
          <t>Base: FY27 −3% then 8-10% re-acceleration; A$1bn revenue ~FY32; EBITDA margin 4.6% -&gt; 7.5%; lease 1.8%; tax 30%.</t>
        </is>
      </c>
    </row>
    <row r="23">
      <c r="A23" t="inlineStr">
        <is>
          <t>Bull: comp artefact; 14-15% growth, A$1bn by FY30; private-label and AI lift margin to 9%.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Bear case owner-FCF DCF (A$m)</t>
        </is>
      </c>
    </row>
    <row r="3">
      <c r="A3" t="inlineStr">
        <is>
          <t>Year</t>
        </is>
      </c>
      <c r="B3" t="inlineStr">
        <is>
          <t>FY2026A</t>
        </is>
      </c>
      <c r="C3" t="inlineStr">
        <is>
          <t>FY2027E</t>
        </is>
      </c>
      <c r="D3" t="inlineStr">
        <is>
          <t>FY2028E</t>
        </is>
      </c>
      <c r="E3" t="inlineStr">
        <is>
          <t>FY2029E</t>
        </is>
      </c>
      <c r="F3" t="inlineStr">
        <is>
          <t>FY2030E</t>
        </is>
      </c>
      <c r="G3" t="inlineStr">
        <is>
          <t>FY2031E</t>
        </is>
      </c>
      <c r="H3" t="inlineStr">
        <is>
          <t>FY2032E</t>
        </is>
      </c>
      <c r="I3" t="inlineStr">
        <is>
          <t>FY2033E</t>
        </is>
      </c>
      <c r="J3" t="inlineStr">
        <is>
          <t>FY2034E</t>
        </is>
      </c>
      <c r="K3" t="inlineStr">
        <is>
          <t>FY2035E</t>
        </is>
      </c>
      <c r="L3" t="inlineStr">
        <is>
          <t>FY2036E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</t>
        </is>
      </c>
      <c r="C5" s="3" t="n">
        <v>-0.1</v>
      </c>
      <c r="D5" s="3" t="n">
        <v>0</v>
      </c>
      <c r="E5" s="3" t="n">
        <v>0.03</v>
      </c>
      <c r="F5" s="3" t="n">
        <v>0.04</v>
      </c>
      <c r="G5" s="3" t="n">
        <v>0.04</v>
      </c>
      <c r="H5" s="3" t="n">
        <v>0.04</v>
      </c>
      <c r="I5" s="3" t="n">
        <v>0.035</v>
      </c>
      <c r="J5" s="3" t="n">
        <v>0.03</v>
      </c>
      <c r="K5" s="3" t="n">
        <v>0.03</v>
      </c>
      <c r="L5" s="3" t="n">
        <v>0.03</v>
      </c>
    </row>
    <row r="6">
      <c r="A6" t="inlineStr">
        <is>
          <t>Revenue</t>
        </is>
      </c>
      <c r="B6" s="2" t="n">
        <v>664.586</v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t="inlineStr">
        <is>
          <t>Adj EBITDA margin (post-AASB16)</t>
        </is>
      </c>
      <c r="C7" s="3" t="n">
        <v>0.03</v>
      </c>
      <c r="D7" s="3" t="n">
        <v>0.03</v>
      </c>
      <c r="E7" s="3" t="n">
        <v>0.035</v>
      </c>
      <c r="F7" s="3" t="n">
        <v>0.04</v>
      </c>
      <c r="G7" s="3" t="n">
        <v>0.04</v>
      </c>
      <c r="H7" s="3" t="n">
        <v>0.045</v>
      </c>
      <c r="I7" s="3" t="n">
        <v>0.045</v>
      </c>
      <c r="J7" s="3" t="n">
        <v>0.045</v>
      </c>
      <c r="K7" s="3" t="n">
        <v>0.045</v>
      </c>
      <c r="L7" s="3" t="n">
        <v>0.045</v>
      </c>
    </row>
    <row r="8">
      <c r="A8" t="inlineStr">
        <is>
          <t>Adj EBITDA</t>
        </is>
      </c>
      <c r="B8" s="2" t="n">
        <v>21.905</v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t="inlineStr">
        <is>
          <t>SBC % revenue</t>
        </is>
      </c>
      <c r="C9" s="3" t="n">
        <v>0.006500000000000001</v>
      </c>
      <c r="D9" s="3" t="n">
        <v>0.006500000000000001</v>
      </c>
      <c r="E9" s="3" t="n">
        <v>0.006500000000000001</v>
      </c>
      <c r="F9" s="3" t="n">
        <v>0.006500000000000001</v>
      </c>
      <c r="G9" s="3" t="n">
        <v>0.006500000000000001</v>
      </c>
      <c r="H9" s="3" t="n">
        <v>0.006500000000000001</v>
      </c>
      <c r="I9" s="3" t="n">
        <v>0.006500000000000001</v>
      </c>
      <c r="J9" s="3" t="n">
        <v>0.006500000000000001</v>
      </c>
      <c r="K9" s="3" t="n">
        <v>0.006500000000000001</v>
      </c>
      <c r="L9" s="3" t="n">
        <v>0.006500000000000001</v>
      </c>
    </row>
    <row r="10">
      <c r="A10" t="inlineStr">
        <is>
          <t>SBC</t>
        </is>
      </c>
      <c r="B10" s="2" t="n">
        <v>-4.177</v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Lease cash cost</t>
        </is>
      </c>
      <c r="C11" s="4">
        <f>-C6*Assumptions!$B$6</f>
        <v/>
      </c>
      <c r="D11" s="4">
        <f>-D6*Assumptions!$B$6</f>
        <v/>
      </c>
      <c r="E11" s="4">
        <f>-E6*Assumptions!$B$6</f>
        <v/>
      </c>
      <c r="F11" s="4">
        <f>-F6*Assumptions!$B$6</f>
        <v/>
      </c>
      <c r="G11" s="4">
        <f>-G6*Assumptions!$B$6</f>
        <v/>
      </c>
      <c r="H11" s="4">
        <f>-H6*Assumptions!$B$6</f>
        <v/>
      </c>
      <c r="I11" s="4">
        <f>-I6*Assumptions!$B$6</f>
        <v/>
      </c>
      <c r="J11" s="4">
        <f>-J6*Assumptions!$B$6</f>
        <v/>
      </c>
      <c r="K11" s="4">
        <f>-K6*Assumptions!$B$6</f>
        <v/>
      </c>
      <c r="L11" s="4">
        <f>-L6*Assumptions!$B$6</f>
        <v/>
      </c>
    </row>
    <row r="12">
      <c r="A12" t="inlineStr">
        <is>
          <t>Owner EBITDA after lease</t>
        </is>
      </c>
      <c r="C12">
        <f>C8+C10+C11</f>
        <v/>
      </c>
      <c r="D12">
        <f>D8+D10+D11</f>
        <v/>
      </c>
      <c r="E12">
        <f>E8+E10+E11</f>
        <v/>
      </c>
      <c r="F12">
        <f>F8+F10+F11</f>
        <v/>
      </c>
      <c r="G12">
        <f>G8+G10+G11</f>
        <v/>
      </c>
      <c r="H12">
        <f>H8+H10+H11</f>
        <v/>
      </c>
      <c r="I12">
        <f>I8+I10+I11</f>
        <v/>
      </c>
      <c r="J12">
        <f>J8+J10+J11</f>
        <v/>
      </c>
      <c r="K12">
        <f>K8+K10+K11</f>
        <v/>
      </c>
      <c r="L12">
        <f>L8+L10+L11</f>
        <v/>
      </c>
    </row>
    <row r="13">
      <c r="A13" t="inlineStr">
        <is>
          <t>D&amp;A (ex-ROU)</t>
        </is>
      </c>
      <c r="C13" s="4">
        <f>-C6*Assumptions!$B$4</f>
        <v/>
      </c>
      <c r="D13" s="4">
        <f>-D6*Assumptions!$B$4</f>
        <v/>
      </c>
      <c r="E13" s="4">
        <f>-E6*Assumptions!$B$4</f>
        <v/>
      </c>
      <c r="F13" s="4">
        <f>-F6*Assumptions!$B$4</f>
        <v/>
      </c>
      <c r="G13" s="4">
        <f>-G6*Assumptions!$B$4</f>
        <v/>
      </c>
      <c r="H13" s="4">
        <f>-H6*Assumptions!$B$4</f>
        <v/>
      </c>
      <c r="I13" s="4">
        <f>-I6*Assumptions!$B$4</f>
        <v/>
      </c>
      <c r="J13" s="4">
        <f>-J6*Assumptions!$B$4</f>
        <v/>
      </c>
      <c r="K13" s="4">
        <f>-K6*Assumptions!$B$4</f>
        <v/>
      </c>
      <c r="L13" s="4">
        <f>-L6*Assumptions!$B$4</f>
        <v/>
      </c>
    </row>
    <row r="14">
      <c r="A14" t="inlineStr">
        <is>
          <t>EBIT (SBC expensed)</t>
        </is>
      </c>
      <c r="C14">
        <f>C12+C13</f>
        <v/>
      </c>
      <c r="D14">
        <f>D12+D13</f>
        <v/>
      </c>
      <c r="E14">
        <f>E12+E13</f>
        <v/>
      </c>
      <c r="F14">
        <f>F12+F13</f>
        <v/>
      </c>
      <c r="G14">
        <f>G12+G13</f>
        <v/>
      </c>
      <c r="H14">
        <f>H12+H13</f>
        <v/>
      </c>
      <c r="I14">
        <f>I12+I13</f>
        <v/>
      </c>
      <c r="J14">
        <f>J12+J13</f>
        <v/>
      </c>
      <c r="K14">
        <f>K12+K13</f>
        <v/>
      </c>
      <c r="L14">
        <f>L12+L13</f>
        <v/>
      </c>
    </row>
    <row r="15">
      <c r="A15" t="inlineStr">
        <is>
          <t>Cash tax rate</t>
        </is>
      </c>
      <c r="C15" s="3" t="n">
        <v>0.3</v>
      </c>
      <c r="D15" s="3" t="n">
        <v>0.3</v>
      </c>
      <c r="E15" s="3" t="n">
        <v>0.3</v>
      </c>
      <c r="F15" s="3" t="n">
        <v>0.3</v>
      </c>
      <c r="G15" s="3" t="n">
        <v>0.3</v>
      </c>
      <c r="H15" s="3" t="n">
        <v>0.3</v>
      </c>
      <c r="I15" s="3" t="n">
        <v>0.3</v>
      </c>
      <c r="J15" s="3" t="n">
        <v>0.3</v>
      </c>
      <c r="K15" s="3" t="n">
        <v>0.3</v>
      </c>
      <c r="L15" s="3" t="n">
        <v>0.3</v>
      </c>
    </row>
    <row r="16">
      <c r="A16" t="inlineStr">
        <is>
          <t>NOPAT</t>
        </is>
      </c>
      <c r="C16">
        <f>C14*(1-C15)</f>
        <v/>
      </c>
      <c r="D16">
        <f>D14*(1-D15)</f>
        <v/>
      </c>
      <c r="E16">
        <f>E14*(1-E15)</f>
        <v/>
      </c>
      <c r="F16">
        <f>F14*(1-F15)</f>
        <v/>
      </c>
      <c r="G16">
        <f>G14*(1-G15)</f>
        <v/>
      </c>
      <c r="H16">
        <f>H14*(1-H15)</f>
        <v/>
      </c>
      <c r="I16">
        <f>I14*(1-I15)</f>
        <v/>
      </c>
      <c r="J16">
        <f>J14*(1-J15)</f>
        <v/>
      </c>
      <c r="K16">
        <f>K14*(1-K15)</f>
        <v/>
      </c>
      <c r="L16">
        <f>L14*(1-L15)</f>
        <v/>
      </c>
    </row>
    <row r="17">
      <c r="A17" t="inlineStr">
        <is>
          <t>add back D&amp;A</t>
        </is>
      </c>
      <c r="C17">
        <f>-C13</f>
        <v/>
      </c>
      <c r="D17">
        <f>-D13</f>
        <v/>
      </c>
      <c r="E17">
        <f>-E13</f>
        <v/>
      </c>
      <c r="F17">
        <f>-F13</f>
        <v/>
      </c>
      <c r="G17">
        <f>-G13</f>
        <v/>
      </c>
      <c r="H17">
        <f>-H13</f>
        <v/>
      </c>
      <c r="I17">
        <f>-I13</f>
        <v/>
      </c>
      <c r="J17">
        <f>-J13</f>
        <v/>
      </c>
      <c r="K17">
        <f>-K13</f>
        <v/>
      </c>
      <c r="L17">
        <f>-L13</f>
        <v/>
      </c>
    </row>
    <row r="18">
      <c r="A18" t="inlineStr">
        <is>
          <t>less capex</t>
        </is>
      </c>
      <c r="C18" s="4">
        <f>-C6*Assumptions!$B$5</f>
        <v/>
      </c>
      <c r="D18" s="4">
        <f>-D6*Assumptions!$B$5</f>
        <v/>
      </c>
      <c r="E18" s="4">
        <f>-E6*Assumptions!$B$5</f>
        <v/>
      </c>
      <c r="F18" s="4">
        <f>-F6*Assumptions!$B$5</f>
        <v/>
      </c>
      <c r="G18" s="4">
        <f>-G6*Assumptions!$B$5</f>
        <v/>
      </c>
      <c r="H18" s="4">
        <f>-H6*Assumptions!$B$5</f>
        <v/>
      </c>
      <c r="I18" s="4">
        <f>-I6*Assumptions!$B$5</f>
        <v/>
      </c>
      <c r="J18" s="4">
        <f>-J6*Assumptions!$B$5</f>
        <v/>
      </c>
      <c r="K18" s="4">
        <f>-K6*Assumptions!$B$5</f>
        <v/>
      </c>
      <c r="L18" s="4">
        <f>-L6*Assumptions!$B$5</f>
        <v/>
      </c>
    </row>
    <row r="19">
      <c r="A19" t="inlineStr">
        <is>
          <t>add working capital</t>
        </is>
      </c>
      <c r="C19" s="4">
        <f>Assumptions!$D$15*(C6-B6)</f>
        <v/>
      </c>
      <c r="D19" s="4">
        <f>Assumptions!$D$15*(D6-C6)</f>
        <v/>
      </c>
      <c r="E19" s="4">
        <f>Assumptions!$D$15*(E6-D6)</f>
        <v/>
      </c>
      <c r="F19" s="4">
        <f>Assumptions!$D$15*(F6-E6)</f>
        <v/>
      </c>
      <c r="G19" s="4">
        <f>Assumptions!$D$15*(G6-F6)</f>
        <v/>
      </c>
      <c r="H19" s="4">
        <f>Assumptions!$D$15*(H6-G6)</f>
        <v/>
      </c>
      <c r="I19" s="4">
        <f>Assumptions!$D$15*(I6-H6)</f>
        <v/>
      </c>
      <c r="J19" s="4">
        <f>Assumptions!$D$15*(J6-I6)</f>
        <v/>
      </c>
      <c r="K19" s="4">
        <f>Assumptions!$D$15*(K6-J6)</f>
        <v/>
      </c>
      <c r="L19" s="4">
        <f>Assumptions!$D$15*(L6-K6)</f>
        <v/>
      </c>
    </row>
    <row r="20">
      <c r="A20" s="1" t="inlineStr">
        <is>
          <t>Unlevered owner FCF</t>
        </is>
      </c>
      <c r="B20" s="2" t="n">
        <v>-1.584000000000001</v>
      </c>
      <c r="C20" s="1">
        <f>C16+C17+C18+C19</f>
        <v/>
      </c>
      <c r="D20" s="1">
        <f>D16+D17+D18+D19</f>
        <v/>
      </c>
      <c r="E20" s="1">
        <f>E16+E17+E18+E19</f>
        <v/>
      </c>
      <c r="F20" s="1">
        <f>F16+F17+F18+F19</f>
        <v/>
      </c>
      <c r="G20" s="1">
        <f>G16+G17+G18+G19</f>
        <v/>
      </c>
      <c r="H20" s="1">
        <f>H16+H17+H18+H19</f>
        <v/>
      </c>
      <c r="I20" s="1">
        <f>I16+I17+I18+I19</f>
        <v/>
      </c>
      <c r="J20" s="1">
        <f>J16+J17+J18+J19</f>
        <v/>
      </c>
      <c r="K20" s="1">
        <f>K16+K17+K18+K19</f>
        <v/>
      </c>
      <c r="L20" s="1">
        <f>L16+L17+L18+L19</f>
        <v/>
      </c>
    </row>
    <row r="21">
      <c r="A21" t="inlineStr">
        <is>
          <t>Discount factor</t>
        </is>
      </c>
      <c r="C21" s="4">
        <f>1/(1+Assumptions!$B$3)^C4</f>
        <v/>
      </c>
      <c r="D21" s="4">
        <f>1/(1+Assumptions!$B$3)^D4</f>
        <v/>
      </c>
      <c r="E21" s="4">
        <f>1/(1+Assumptions!$B$3)^E4</f>
        <v/>
      </c>
      <c r="F21" s="4">
        <f>1/(1+Assumptions!$B$3)^F4</f>
        <v/>
      </c>
      <c r="G21" s="4">
        <f>1/(1+Assumptions!$B$3)^G4</f>
        <v/>
      </c>
      <c r="H21" s="4">
        <f>1/(1+Assumptions!$B$3)^H4</f>
        <v/>
      </c>
      <c r="I21" s="4">
        <f>1/(1+Assumptions!$B$3)^I4</f>
        <v/>
      </c>
      <c r="J21" s="4">
        <f>1/(1+Assumptions!$B$3)^J4</f>
        <v/>
      </c>
      <c r="K21" s="4">
        <f>1/(1+Assumptions!$B$3)^K4</f>
        <v/>
      </c>
      <c r="L21" s="4">
        <f>1/(1+Assumptions!$B$3)^L4</f>
        <v/>
      </c>
    </row>
    <row r="22">
      <c r="A22" t="inlineStr">
        <is>
          <t>PV of FCF</t>
        </is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  <c r="L22">
        <f>L20*L21</f>
        <v/>
      </c>
    </row>
    <row r="24">
      <c r="A24" t="inlineStr">
        <is>
          <t>Memo: FCF before SBC</t>
        </is>
      </c>
      <c r="C24">
        <f>C20-C10</f>
        <v/>
      </c>
      <c r="D24">
        <f>D20-D10</f>
        <v/>
      </c>
      <c r="E24">
        <f>E20-E10</f>
        <v/>
      </c>
      <c r="F24">
        <f>F20-F10</f>
        <v/>
      </c>
      <c r="G24">
        <f>G20-G10</f>
        <v/>
      </c>
      <c r="H24">
        <f>H20-H10</f>
        <v/>
      </c>
      <c r="I24">
        <f>I20-I10</f>
        <v/>
      </c>
      <c r="J24">
        <f>J20-J10</f>
        <v/>
      </c>
      <c r="K24">
        <f>K20-K10</f>
        <v/>
      </c>
      <c r="L24">
        <f>L20-L10</f>
        <v/>
      </c>
    </row>
    <row r="25">
      <c r="A25" t="inlineStr">
        <is>
          <t>Memo: owner FCF margin</t>
        </is>
      </c>
      <c r="C25">
        <f>C20/C6</f>
        <v/>
      </c>
      <c r="D25">
        <f>D20/D6</f>
        <v/>
      </c>
      <c r="E25">
        <f>E20/E6</f>
        <v/>
      </c>
      <c r="F25">
        <f>F20/F6</f>
        <v/>
      </c>
      <c r="G25">
        <f>G20/G6</f>
        <v/>
      </c>
      <c r="H25">
        <f>H20/H6</f>
        <v/>
      </c>
      <c r="I25">
        <f>I20/I6</f>
        <v/>
      </c>
      <c r="J25">
        <f>J20/J6</f>
        <v/>
      </c>
      <c r="K25">
        <f>K20/K6</f>
        <v/>
      </c>
      <c r="L25">
        <f>L20/L6</f>
        <v/>
      </c>
    </row>
    <row r="27">
      <c r="A27" t="inlineStr">
        <is>
          <t>Sum of PV FCF</t>
        </is>
      </c>
      <c r="B27">
        <f>SUM(C22:L22)</f>
        <v/>
      </c>
    </row>
    <row r="28">
      <c r="A28" t="inlineStr">
        <is>
          <t>Terminal growth</t>
        </is>
      </c>
      <c r="B28" s="4">
        <f>Assumptions!$B$15</f>
        <v/>
      </c>
    </row>
    <row r="29">
      <c r="A29" t="inlineStr">
        <is>
          <t>Terminal FCF (FCF10 x (1+g))</t>
        </is>
      </c>
      <c r="B29">
        <f>L20*(1+B28)</f>
        <v/>
      </c>
    </row>
    <row r="30">
      <c r="A30" t="inlineStr">
        <is>
          <t>Gordon TV</t>
        </is>
      </c>
      <c r="B30">
        <f>B29/(Assumptions!$B$3-B28)</f>
        <v/>
      </c>
    </row>
    <row r="31">
      <c r="A31" t="inlineStr">
        <is>
          <t>Cap TV</t>
        </is>
      </c>
      <c r="B31">
        <f>Assumptions!$B$11*L20</f>
        <v/>
      </c>
    </row>
    <row r="32">
      <c r="A32" t="inlineStr">
        <is>
          <t>TV used</t>
        </is>
      </c>
      <c r="B32">
        <f>MAX(0,MIN(B30,B31))</f>
        <v/>
      </c>
    </row>
    <row r="33">
      <c r="A33" t="inlineStr">
        <is>
          <t>Implied exit multiple (TV/FCF10)</t>
        </is>
      </c>
      <c r="B33">
        <f>IF(L20=0,"n/a",B32/L20)</f>
        <v/>
      </c>
    </row>
    <row r="34">
      <c r="A34" t="inlineStr">
        <is>
          <t>PV of TV</t>
        </is>
      </c>
      <c r="B34">
        <f>B32*L21</f>
        <v/>
      </c>
    </row>
    <row r="35">
      <c r="A35" t="inlineStr">
        <is>
          <t>Enterprise value</t>
        </is>
      </c>
      <c r="B35">
        <f>B27+B34</f>
        <v/>
      </c>
    </row>
    <row r="36">
      <c r="A36" t="inlineStr">
        <is>
          <t>add net cash</t>
        </is>
      </c>
      <c r="B36" s="4">
        <f>Assumptions!$B$8</f>
        <v/>
      </c>
    </row>
    <row r="37">
      <c r="A37" t="inlineStr">
        <is>
          <t>Equity value</t>
        </is>
      </c>
      <c r="B37">
        <f>B35+B36</f>
        <v/>
      </c>
    </row>
    <row r="38">
      <c r="A38" t="inlineStr">
        <is>
          <t>Diluted shares</t>
        </is>
      </c>
      <c r="B38" s="4">
        <f>Assumptions!$B$9</f>
        <v/>
      </c>
    </row>
    <row r="39">
      <c r="A39" s="1" t="inlineStr">
        <is>
          <t>Value per share (A$)</t>
        </is>
      </c>
      <c r="B39" s="5">
        <f>B37/B38</f>
        <v/>
      </c>
    </row>
    <row r="40">
      <c r="A40" t="inlineStr">
        <is>
          <t>Upside vs price</t>
        </is>
      </c>
      <c r="B40">
        <f>B39/Assumptions!$B$10-1</f>
        <v/>
      </c>
    </row>
    <row r="42">
      <c r="A42" t="inlineStr">
        <is>
          <t>Street memo: PV explicit SBC</t>
        </is>
      </c>
      <c r="B42">
        <f>SUMPRODUCT(-C10:L10/(1+Assumptions!$B$3)^C4:L4)</f>
        <v/>
      </c>
    </row>
    <row r="43">
      <c r="A43" t="inlineStr">
        <is>
          <t>Street memo: PV terminal SBC</t>
        </is>
      </c>
      <c r="B43">
        <f>(-L10*(1+B28)/(Assumptions!$B$3-B28))*L21</f>
        <v/>
      </c>
    </row>
    <row r="44">
      <c r="A44" t="inlineStr">
        <is>
          <t>Street value per share</t>
        </is>
      </c>
      <c r="B44">
        <f>(B37+B42+B43)/B38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Base case owner-FCF DCF (A$m)</t>
        </is>
      </c>
    </row>
    <row r="3">
      <c r="A3" t="inlineStr">
        <is>
          <t>Year</t>
        </is>
      </c>
      <c r="B3" t="inlineStr">
        <is>
          <t>FY2026A</t>
        </is>
      </c>
      <c r="C3" t="inlineStr">
        <is>
          <t>FY2027E</t>
        </is>
      </c>
      <c r="D3" t="inlineStr">
        <is>
          <t>FY2028E</t>
        </is>
      </c>
      <c r="E3" t="inlineStr">
        <is>
          <t>FY2029E</t>
        </is>
      </c>
      <c r="F3" t="inlineStr">
        <is>
          <t>FY2030E</t>
        </is>
      </c>
      <c r="G3" t="inlineStr">
        <is>
          <t>FY2031E</t>
        </is>
      </c>
      <c r="H3" t="inlineStr">
        <is>
          <t>FY2032E</t>
        </is>
      </c>
      <c r="I3" t="inlineStr">
        <is>
          <t>FY2033E</t>
        </is>
      </c>
      <c r="J3" t="inlineStr">
        <is>
          <t>FY2034E</t>
        </is>
      </c>
      <c r="K3" t="inlineStr">
        <is>
          <t>FY2035E</t>
        </is>
      </c>
      <c r="L3" t="inlineStr">
        <is>
          <t>FY2036E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</t>
        </is>
      </c>
      <c r="C5" s="3" t="n">
        <v>-0.03</v>
      </c>
      <c r="D5" s="3" t="n">
        <v>0.08</v>
      </c>
      <c r="E5" s="3" t="n">
        <v>0.1</v>
      </c>
      <c r="F5" s="3" t="n">
        <v>0.09</v>
      </c>
      <c r="G5" s="3" t="n">
        <v>0.08</v>
      </c>
      <c r="H5" s="3" t="n">
        <v>0.07000000000000001</v>
      </c>
      <c r="I5" s="3" t="n">
        <v>0.06</v>
      </c>
      <c r="J5" s="3" t="n">
        <v>0.05</v>
      </c>
      <c r="K5" s="3" t="n">
        <v>0.04</v>
      </c>
      <c r="L5" s="3" t="n">
        <v>0.035</v>
      </c>
    </row>
    <row r="6">
      <c r="A6" t="inlineStr">
        <is>
          <t>Revenue</t>
        </is>
      </c>
      <c r="B6" s="2" t="n">
        <v>664.586</v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t="inlineStr">
        <is>
          <t>Adj EBITDA margin (post-AASB16)</t>
        </is>
      </c>
      <c r="C7" s="3" t="n">
        <v>0.046</v>
      </c>
      <c r="D7" s="3" t="n">
        <v>0.05</v>
      </c>
      <c r="E7" s="3" t="n">
        <v>0.055</v>
      </c>
      <c r="F7" s="3" t="n">
        <v>0.06</v>
      </c>
      <c r="G7" s="3" t="n">
        <v>0.065</v>
      </c>
      <c r="H7" s="3" t="n">
        <v>0.07000000000000001</v>
      </c>
      <c r="I7" s="3" t="n">
        <v>0.075</v>
      </c>
      <c r="J7" s="3" t="n">
        <v>0.075</v>
      </c>
      <c r="K7" s="3" t="n">
        <v>0.075</v>
      </c>
      <c r="L7" s="3" t="n">
        <v>0.075</v>
      </c>
    </row>
    <row r="8">
      <c r="A8" t="inlineStr">
        <is>
          <t>Adj EBITDA</t>
        </is>
      </c>
      <c r="B8" s="2" t="n">
        <v>21.905</v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t="inlineStr">
        <is>
          <t>SBC % revenue</t>
        </is>
      </c>
      <c r="C9" s="3" t="n">
        <v>0.006500000000000001</v>
      </c>
      <c r="D9" s="3" t="n">
        <v>0.0063</v>
      </c>
      <c r="E9" s="3" t="n">
        <v>0.0061</v>
      </c>
      <c r="F9" s="3" t="n">
        <v>0.0059</v>
      </c>
      <c r="G9" s="3" t="n">
        <v>0.005699999999999999</v>
      </c>
      <c r="H9" s="3" t="n">
        <v>0.005500000000000001</v>
      </c>
      <c r="I9" s="3" t="n">
        <v>0.0053</v>
      </c>
      <c r="J9" s="3" t="n">
        <v>0.0051</v>
      </c>
      <c r="K9" s="3" t="n">
        <v>0.005</v>
      </c>
      <c r="L9" s="3" t="n">
        <v>0.005</v>
      </c>
    </row>
    <row r="10">
      <c r="A10" t="inlineStr">
        <is>
          <t>SBC</t>
        </is>
      </c>
      <c r="B10" s="2" t="n">
        <v>-4.177</v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Lease cash cost</t>
        </is>
      </c>
      <c r="C11" s="4">
        <f>-C6*Assumptions!$B$6</f>
        <v/>
      </c>
      <c r="D11" s="4">
        <f>-D6*Assumptions!$B$6</f>
        <v/>
      </c>
      <c r="E11" s="4">
        <f>-E6*Assumptions!$B$6</f>
        <v/>
      </c>
      <c r="F11" s="4">
        <f>-F6*Assumptions!$B$6</f>
        <v/>
      </c>
      <c r="G11" s="4">
        <f>-G6*Assumptions!$B$6</f>
        <v/>
      </c>
      <c r="H11" s="4">
        <f>-H6*Assumptions!$B$6</f>
        <v/>
      </c>
      <c r="I11" s="4">
        <f>-I6*Assumptions!$B$6</f>
        <v/>
      </c>
      <c r="J11" s="4">
        <f>-J6*Assumptions!$B$6</f>
        <v/>
      </c>
      <c r="K11" s="4">
        <f>-K6*Assumptions!$B$6</f>
        <v/>
      </c>
      <c r="L11" s="4">
        <f>-L6*Assumptions!$B$6</f>
        <v/>
      </c>
    </row>
    <row r="12">
      <c r="A12" t="inlineStr">
        <is>
          <t>Owner EBITDA after lease</t>
        </is>
      </c>
      <c r="C12">
        <f>C8+C10+C11</f>
        <v/>
      </c>
      <c r="D12">
        <f>D8+D10+D11</f>
        <v/>
      </c>
      <c r="E12">
        <f>E8+E10+E11</f>
        <v/>
      </c>
      <c r="F12">
        <f>F8+F10+F11</f>
        <v/>
      </c>
      <c r="G12">
        <f>G8+G10+G11</f>
        <v/>
      </c>
      <c r="H12">
        <f>H8+H10+H11</f>
        <v/>
      </c>
      <c r="I12">
        <f>I8+I10+I11</f>
        <v/>
      </c>
      <c r="J12">
        <f>J8+J10+J11</f>
        <v/>
      </c>
      <c r="K12">
        <f>K8+K10+K11</f>
        <v/>
      </c>
      <c r="L12">
        <f>L8+L10+L11</f>
        <v/>
      </c>
    </row>
    <row r="13">
      <c r="A13" t="inlineStr">
        <is>
          <t>D&amp;A (ex-ROU)</t>
        </is>
      </c>
      <c r="C13" s="4">
        <f>-C6*Assumptions!$B$4</f>
        <v/>
      </c>
      <c r="D13" s="4">
        <f>-D6*Assumptions!$B$4</f>
        <v/>
      </c>
      <c r="E13" s="4">
        <f>-E6*Assumptions!$B$4</f>
        <v/>
      </c>
      <c r="F13" s="4">
        <f>-F6*Assumptions!$B$4</f>
        <v/>
      </c>
      <c r="G13" s="4">
        <f>-G6*Assumptions!$B$4</f>
        <v/>
      </c>
      <c r="H13" s="4">
        <f>-H6*Assumptions!$B$4</f>
        <v/>
      </c>
      <c r="I13" s="4">
        <f>-I6*Assumptions!$B$4</f>
        <v/>
      </c>
      <c r="J13" s="4">
        <f>-J6*Assumptions!$B$4</f>
        <v/>
      </c>
      <c r="K13" s="4">
        <f>-K6*Assumptions!$B$4</f>
        <v/>
      </c>
      <c r="L13" s="4">
        <f>-L6*Assumptions!$B$4</f>
        <v/>
      </c>
    </row>
    <row r="14">
      <c r="A14" t="inlineStr">
        <is>
          <t>EBIT (SBC expensed)</t>
        </is>
      </c>
      <c r="C14">
        <f>C12+C13</f>
        <v/>
      </c>
      <c r="D14">
        <f>D12+D13</f>
        <v/>
      </c>
      <c r="E14">
        <f>E12+E13</f>
        <v/>
      </c>
      <c r="F14">
        <f>F12+F13</f>
        <v/>
      </c>
      <c r="G14">
        <f>G12+G13</f>
        <v/>
      </c>
      <c r="H14">
        <f>H12+H13</f>
        <v/>
      </c>
      <c r="I14">
        <f>I12+I13</f>
        <v/>
      </c>
      <c r="J14">
        <f>J12+J13</f>
        <v/>
      </c>
      <c r="K14">
        <f>K12+K13</f>
        <v/>
      </c>
      <c r="L14">
        <f>L12+L13</f>
        <v/>
      </c>
    </row>
    <row r="15">
      <c r="A15" t="inlineStr">
        <is>
          <t>Cash tax rate</t>
        </is>
      </c>
      <c r="C15" s="3" t="n">
        <v>0.3</v>
      </c>
      <c r="D15" s="3" t="n">
        <v>0.3</v>
      </c>
      <c r="E15" s="3" t="n">
        <v>0.3</v>
      </c>
      <c r="F15" s="3" t="n">
        <v>0.3</v>
      </c>
      <c r="G15" s="3" t="n">
        <v>0.3</v>
      </c>
      <c r="H15" s="3" t="n">
        <v>0.3</v>
      </c>
      <c r="I15" s="3" t="n">
        <v>0.3</v>
      </c>
      <c r="J15" s="3" t="n">
        <v>0.3</v>
      </c>
      <c r="K15" s="3" t="n">
        <v>0.3</v>
      </c>
      <c r="L15" s="3" t="n">
        <v>0.3</v>
      </c>
    </row>
    <row r="16">
      <c r="A16" t="inlineStr">
        <is>
          <t>NOPAT</t>
        </is>
      </c>
      <c r="C16">
        <f>C14*(1-C15)</f>
        <v/>
      </c>
      <c r="D16">
        <f>D14*(1-D15)</f>
        <v/>
      </c>
      <c r="E16">
        <f>E14*(1-E15)</f>
        <v/>
      </c>
      <c r="F16">
        <f>F14*(1-F15)</f>
        <v/>
      </c>
      <c r="G16">
        <f>G14*(1-G15)</f>
        <v/>
      </c>
      <c r="H16">
        <f>H14*(1-H15)</f>
        <v/>
      </c>
      <c r="I16">
        <f>I14*(1-I15)</f>
        <v/>
      </c>
      <c r="J16">
        <f>J14*(1-J15)</f>
        <v/>
      </c>
      <c r="K16">
        <f>K14*(1-K15)</f>
        <v/>
      </c>
      <c r="L16">
        <f>L14*(1-L15)</f>
        <v/>
      </c>
    </row>
    <row r="17">
      <c r="A17" t="inlineStr">
        <is>
          <t>add back D&amp;A</t>
        </is>
      </c>
      <c r="C17">
        <f>-C13</f>
        <v/>
      </c>
      <c r="D17">
        <f>-D13</f>
        <v/>
      </c>
      <c r="E17">
        <f>-E13</f>
        <v/>
      </c>
      <c r="F17">
        <f>-F13</f>
        <v/>
      </c>
      <c r="G17">
        <f>-G13</f>
        <v/>
      </c>
      <c r="H17">
        <f>-H13</f>
        <v/>
      </c>
      <c r="I17">
        <f>-I13</f>
        <v/>
      </c>
      <c r="J17">
        <f>-J13</f>
        <v/>
      </c>
      <c r="K17">
        <f>-K13</f>
        <v/>
      </c>
      <c r="L17">
        <f>-L13</f>
        <v/>
      </c>
    </row>
    <row r="18">
      <c r="A18" t="inlineStr">
        <is>
          <t>less capex</t>
        </is>
      </c>
      <c r="C18" s="4">
        <f>-C6*Assumptions!$B$5</f>
        <v/>
      </c>
      <c r="D18" s="4">
        <f>-D6*Assumptions!$B$5</f>
        <v/>
      </c>
      <c r="E18" s="4">
        <f>-E6*Assumptions!$B$5</f>
        <v/>
      </c>
      <c r="F18" s="4">
        <f>-F6*Assumptions!$B$5</f>
        <v/>
      </c>
      <c r="G18" s="4">
        <f>-G6*Assumptions!$B$5</f>
        <v/>
      </c>
      <c r="H18" s="4">
        <f>-H6*Assumptions!$B$5</f>
        <v/>
      </c>
      <c r="I18" s="4">
        <f>-I6*Assumptions!$B$5</f>
        <v/>
      </c>
      <c r="J18" s="4">
        <f>-J6*Assumptions!$B$5</f>
        <v/>
      </c>
      <c r="K18" s="4">
        <f>-K6*Assumptions!$B$5</f>
        <v/>
      </c>
      <c r="L18" s="4">
        <f>-L6*Assumptions!$B$5</f>
        <v/>
      </c>
    </row>
    <row r="19">
      <c r="A19" t="inlineStr">
        <is>
          <t>add working capital</t>
        </is>
      </c>
      <c r="C19" s="4">
        <f>Assumptions!$D$16*(C6-B6)</f>
        <v/>
      </c>
      <c r="D19" s="4">
        <f>Assumptions!$D$16*(D6-C6)</f>
        <v/>
      </c>
      <c r="E19" s="4">
        <f>Assumptions!$D$16*(E6-D6)</f>
        <v/>
      </c>
      <c r="F19" s="4">
        <f>Assumptions!$D$16*(F6-E6)</f>
        <v/>
      </c>
      <c r="G19" s="4">
        <f>Assumptions!$D$16*(G6-F6)</f>
        <v/>
      </c>
      <c r="H19" s="4">
        <f>Assumptions!$D$16*(H6-G6)</f>
        <v/>
      </c>
      <c r="I19" s="4">
        <f>Assumptions!$D$16*(I6-H6)</f>
        <v/>
      </c>
      <c r="J19" s="4">
        <f>Assumptions!$D$16*(J6-I6)</f>
        <v/>
      </c>
      <c r="K19" s="4">
        <f>Assumptions!$D$16*(K6-J6)</f>
        <v/>
      </c>
      <c r="L19" s="4">
        <f>Assumptions!$D$16*(L6-K6)</f>
        <v/>
      </c>
    </row>
    <row r="20">
      <c r="A20" s="1" t="inlineStr">
        <is>
          <t>Unlevered owner FCF</t>
        </is>
      </c>
      <c r="B20" s="2" t="n">
        <v>-1.584000000000001</v>
      </c>
      <c r="C20" s="1">
        <f>C16+C17+C18+C19</f>
        <v/>
      </c>
      <c r="D20" s="1">
        <f>D16+D17+D18+D19</f>
        <v/>
      </c>
      <c r="E20" s="1">
        <f>E16+E17+E18+E19</f>
        <v/>
      </c>
      <c r="F20" s="1">
        <f>F16+F17+F18+F19</f>
        <v/>
      </c>
      <c r="G20" s="1">
        <f>G16+G17+G18+G19</f>
        <v/>
      </c>
      <c r="H20" s="1">
        <f>H16+H17+H18+H19</f>
        <v/>
      </c>
      <c r="I20" s="1">
        <f>I16+I17+I18+I19</f>
        <v/>
      </c>
      <c r="J20" s="1">
        <f>J16+J17+J18+J19</f>
        <v/>
      </c>
      <c r="K20" s="1">
        <f>K16+K17+K18+K19</f>
        <v/>
      </c>
      <c r="L20" s="1">
        <f>L16+L17+L18+L19</f>
        <v/>
      </c>
    </row>
    <row r="21">
      <c r="A21" t="inlineStr">
        <is>
          <t>Discount factor</t>
        </is>
      </c>
      <c r="C21" s="4">
        <f>1/(1+Assumptions!$B$3)^C4</f>
        <v/>
      </c>
      <c r="D21" s="4">
        <f>1/(1+Assumptions!$B$3)^D4</f>
        <v/>
      </c>
      <c r="E21" s="4">
        <f>1/(1+Assumptions!$B$3)^E4</f>
        <v/>
      </c>
      <c r="F21" s="4">
        <f>1/(1+Assumptions!$B$3)^F4</f>
        <v/>
      </c>
      <c r="G21" s="4">
        <f>1/(1+Assumptions!$B$3)^G4</f>
        <v/>
      </c>
      <c r="H21" s="4">
        <f>1/(1+Assumptions!$B$3)^H4</f>
        <v/>
      </c>
      <c r="I21" s="4">
        <f>1/(1+Assumptions!$B$3)^I4</f>
        <v/>
      </c>
      <c r="J21" s="4">
        <f>1/(1+Assumptions!$B$3)^J4</f>
        <v/>
      </c>
      <c r="K21" s="4">
        <f>1/(1+Assumptions!$B$3)^K4</f>
        <v/>
      </c>
      <c r="L21" s="4">
        <f>1/(1+Assumptions!$B$3)^L4</f>
        <v/>
      </c>
    </row>
    <row r="22">
      <c r="A22" t="inlineStr">
        <is>
          <t>PV of FCF</t>
        </is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  <c r="L22">
        <f>L20*L21</f>
        <v/>
      </c>
    </row>
    <row r="24">
      <c r="A24" t="inlineStr">
        <is>
          <t>Memo: FCF before SBC</t>
        </is>
      </c>
      <c r="C24">
        <f>C20-C10</f>
        <v/>
      </c>
      <c r="D24">
        <f>D20-D10</f>
        <v/>
      </c>
      <c r="E24">
        <f>E20-E10</f>
        <v/>
      </c>
      <c r="F24">
        <f>F20-F10</f>
        <v/>
      </c>
      <c r="G24">
        <f>G20-G10</f>
        <v/>
      </c>
      <c r="H24">
        <f>H20-H10</f>
        <v/>
      </c>
      <c r="I24">
        <f>I20-I10</f>
        <v/>
      </c>
      <c r="J24">
        <f>J20-J10</f>
        <v/>
      </c>
      <c r="K24">
        <f>K20-K10</f>
        <v/>
      </c>
      <c r="L24">
        <f>L20-L10</f>
        <v/>
      </c>
    </row>
    <row r="25">
      <c r="A25" t="inlineStr">
        <is>
          <t>Memo: owner FCF margin</t>
        </is>
      </c>
      <c r="C25">
        <f>C20/C6</f>
        <v/>
      </c>
      <c r="D25">
        <f>D20/D6</f>
        <v/>
      </c>
      <c r="E25">
        <f>E20/E6</f>
        <v/>
      </c>
      <c r="F25">
        <f>F20/F6</f>
        <v/>
      </c>
      <c r="G25">
        <f>G20/G6</f>
        <v/>
      </c>
      <c r="H25">
        <f>H20/H6</f>
        <v/>
      </c>
      <c r="I25">
        <f>I20/I6</f>
        <v/>
      </c>
      <c r="J25">
        <f>J20/J6</f>
        <v/>
      </c>
      <c r="K25">
        <f>K20/K6</f>
        <v/>
      </c>
      <c r="L25">
        <f>L20/L6</f>
        <v/>
      </c>
    </row>
    <row r="27">
      <c r="A27" t="inlineStr">
        <is>
          <t>Sum of PV FCF</t>
        </is>
      </c>
      <c r="B27">
        <f>SUM(C22:L22)</f>
        <v/>
      </c>
    </row>
    <row r="28">
      <c r="A28" t="inlineStr">
        <is>
          <t>Terminal growth</t>
        </is>
      </c>
      <c r="B28" s="4">
        <f>Assumptions!$B$16</f>
        <v/>
      </c>
    </row>
    <row r="29">
      <c r="A29" t="inlineStr">
        <is>
          <t>Terminal FCF (FCF10 x (1+g))</t>
        </is>
      </c>
      <c r="B29">
        <f>L20*(1+B28)</f>
        <v/>
      </c>
    </row>
    <row r="30">
      <c r="A30" t="inlineStr">
        <is>
          <t>Gordon TV</t>
        </is>
      </c>
      <c r="B30">
        <f>B29/(Assumptions!$B$3-B28)</f>
        <v/>
      </c>
    </row>
    <row r="31">
      <c r="A31" t="inlineStr">
        <is>
          <t>Cap TV</t>
        </is>
      </c>
      <c r="B31">
        <f>Assumptions!$B$11*L20</f>
        <v/>
      </c>
    </row>
    <row r="32">
      <c r="A32" t="inlineStr">
        <is>
          <t>TV used</t>
        </is>
      </c>
      <c r="B32">
        <f>MAX(0,MIN(B30,B31))</f>
        <v/>
      </c>
    </row>
    <row r="33">
      <c r="A33" t="inlineStr">
        <is>
          <t>Implied exit multiple (TV/FCF10)</t>
        </is>
      </c>
      <c r="B33">
        <f>IF(L20=0,"n/a",B32/L20)</f>
        <v/>
      </c>
    </row>
    <row r="34">
      <c r="A34" t="inlineStr">
        <is>
          <t>PV of TV</t>
        </is>
      </c>
      <c r="B34">
        <f>B32*L21</f>
        <v/>
      </c>
    </row>
    <row r="35">
      <c r="A35" t="inlineStr">
        <is>
          <t>Enterprise value</t>
        </is>
      </c>
      <c r="B35">
        <f>B27+B34</f>
        <v/>
      </c>
    </row>
    <row r="36">
      <c r="A36" t="inlineStr">
        <is>
          <t>add net cash</t>
        </is>
      </c>
      <c r="B36" s="4">
        <f>Assumptions!$B$8</f>
        <v/>
      </c>
    </row>
    <row r="37">
      <c r="A37" t="inlineStr">
        <is>
          <t>Equity value</t>
        </is>
      </c>
      <c r="B37">
        <f>B35+B36</f>
        <v/>
      </c>
    </row>
    <row r="38">
      <c r="A38" t="inlineStr">
        <is>
          <t>Diluted shares</t>
        </is>
      </c>
      <c r="B38" s="4">
        <f>Assumptions!$B$9</f>
        <v/>
      </c>
    </row>
    <row r="39">
      <c r="A39" s="1" t="inlineStr">
        <is>
          <t>Value per share (A$)</t>
        </is>
      </c>
      <c r="B39" s="5">
        <f>B37/B38</f>
        <v/>
      </c>
    </row>
    <row r="40">
      <c r="A40" t="inlineStr">
        <is>
          <t>Upside vs price</t>
        </is>
      </c>
      <c r="B40">
        <f>B39/Assumptions!$B$10-1</f>
        <v/>
      </c>
    </row>
    <row r="42">
      <c r="A42" t="inlineStr">
        <is>
          <t>Street memo: PV explicit SBC</t>
        </is>
      </c>
      <c r="B42">
        <f>SUMPRODUCT(-C10:L10/(1+Assumptions!$B$3)^C4:L4)</f>
        <v/>
      </c>
    </row>
    <row r="43">
      <c r="A43" t="inlineStr">
        <is>
          <t>Street memo: PV terminal SBC</t>
        </is>
      </c>
      <c r="B43">
        <f>(-L10*(1+B28)/(Assumptions!$B$3-B28))*L21</f>
        <v/>
      </c>
    </row>
    <row r="44">
      <c r="A44" t="inlineStr">
        <is>
          <t>Street value per share</t>
        </is>
      </c>
      <c r="B44">
        <f>(B37+B42+B43)/B38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Bull case owner-FCF DCF (A$m)</t>
        </is>
      </c>
    </row>
    <row r="3">
      <c r="A3" t="inlineStr">
        <is>
          <t>Year</t>
        </is>
      </c>
      <c r="B3" t="inlineStr">
        <is>
          <t>FY2026A</t>
        </is>
      </c>
      <c r="C3" t="inlineStr">
        <is>
          <t>FY2027E</t>
        </is>
      </c>
      <c r="D3" t="inlineStr">
        <is>
          <t>FY2028E</t>
        </is>
      </c>
      <c r="E3" t="inlineStr">
        <is>
          <t>FY2029E</t>
        </is>
      </c>
      <c r="F3" t="inlineStr">
        <is>
          <t>FY2030E</t>
        </is>
      </c>
      <c r="G3" t="inlineStr">
        <is>
          <t>FY2031E</t>
        </is>
      </c>
      <c r="H3" t="inlineStr">
        <is>
          <t>FY2032E</t>
        </is>
      </c>
      <c r="I3" t="inlineStr">
        <is>
          <t>FY2033E</t>
        </is>
      </c>
      <c r="J3" t="inlineStr">
        <is>
          <t>FY2034E</t>
        </is>
      </c>
      <c r="K3" t="inlineStr">
        <is>
          <t>FY2035E</t>
        </is>
      </c>
      <c r="L3" t="inlineStr">
        <is>
          <t>FY2036E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</t>
        </is>
      </c>
      <c r="C5" s="3" t="n">
        <v>0.03</v>
      </c>
      <c r="D5" s="3" t="n">
        <v>0.14</v>
      </c>
      <c r="E5" s="3" t="n">
        <v>0.15</v>
      </c>
      <c r="F5" s="3" t="n">
        <v>0.14</v>
      </c>
      <c r="G5" s="3" t="n">
        <v>0.12</v>
      </c>
      <c r="H5" s="3" t="n">
        <v>0.1</v>
      </c>
      <c r="I5" s="3" t="n">
        <v>0.08</v>
      </c>
      <c r="J5" s="3" t="n">
        <v>0.07000000000000001</v>
      </c>
      <c r="K5" s="3" t="n">
        <v>0.06</v>
      </c>
      <c r="L5" s="3" t="n">
        <v>0.05</v>
      </c>
    </row>
    <row r="6">
      <c r="A6" t="inlineStr">
        <is>
          <t>Revenue</t>
        </is>
      </c>
      <c r="B6" s="2" t="n">
        <v>664.586</v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t="inlineStr">
        <is>
          <t>Adj EBITDA margin (post-AASB16)</t>
        </is>
      </c>
      <c r="C7" s="3" t="n">
        <v>0.052</v>
      </c>
      <c r="D7" s="3" t="n">
        <v>0.062</v>
      </c>
      <c r="E7" s="3" t="n">
        <v>0.07000000000000001</v>
      </c>
      <c r="F7" s="3" t="n">
        <v>0.08</v>
      </c>
      <c r="G7" s="3" t="n">
        <v>0.08500000000000001</v>
      </c>
      <c r="H7" s="3" t="n">
        <v>0.09</v>
      </c>
      <c r="I7" s="3" t="n">
        <v>0.09</v>
      </c>
      <c r="J7" s="3" t="n">
        <v>0.09</v>
      </c>
      <c r="K7" s="3" t="n">
        <v>0.09</v>
      </c>
      <c r="L7" s="3" t="n">
        <v>0.09</v>
      </c>
    </row>
    <row r="8">
      <c r="A8" t="inlineStr">
        <is>
          <t>Adj EBITDA</t>
        </is>
      </c>
      <c r="B8" s="2" t="n">
        <v>21.905</v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t="inlineStr">
        <is>
          <t>SBC % revenue</t>
        </is>
      </c>
      <c r="C9" s="3" t="n">
        <v>0.006500000000000001</v>
      </c>
      <c r="D9" s="3" t="n">
        <v>0.0063</v>
      </c>
      <c r="E9" s="3" t="n">
        <v>0.0061</v>
      </c>
      <c r="F9" s="3" t="n">
        <v>0.0059</v>
      </c>
      <c r="G9" s="3" t="n">
        <v>0.005699999999999999</v>
      </c>
      <c r="H9" s="3" t="n">
        <v>0.005500000000000001</v>
      </c>
      <c r="I9" s="3" t="n">
        <v>0.0053</v>
      </c>
      <c r="J9" s="3" t="n">
        <v>0.0051</v>
      </c>
      <c r="K9" s="3" t="n">
        <v>0.005</v>
      </c>
      <c r="L9" s="3" t="n">
        <v>0.005</v>
      </c>
    </row>
    <row r="10">
      <c r="A10" t="inlineStr">
        <is>
          <t>SBC</t>
        </is>
      </c>
      <c r="B10" s="2" t="n">
        <v>-4.177</v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Lease cash cost</t>
        </is>
      </c>
      <c r="C11" s="4">
        <f>-C6*Assumptions!$B$6</f>
        <v/>
      </c>
      <c r="D11" s="4">
        <f>-D6*Assumptions!$B$6</f>
        <v/>
      </c>
      <c r="E11" s="4">
        <f>-E6*Assumptions!$B$6</f>
        <v/>
      </c>
      <c r="F11" s="4">
        <f>-F6*Assumptions!$B$6</f>
        <v/>
      </c>
      <c r="G11" s="4">
        <f>-G6*Assumptions!$B$6</f>
        <v/>
      </c>
      <c r="H11" s="4">
        <f>-H6*Assumptions!$B$6</f>
        <v/>
      </c>
      <c r="I11" s="4">
        <f>-I6*Assumptions!$B$6</f>
        <v/>
      </c>
      <c r="J11" s="4">
        <f>-J6*Assumptions!$B$6</f>
        <v/>
      </c>
      <c r="K11" s="4">
        <f>-K6*Assumptions!$B$6</f>
        <v/>
      </c>
      <c r="L11" s="4">
        <f>-L6*Assumptions!$B$6</f>
        <v/>
      </c>
    </row>
    <row r="12">
      <c r="A12" t="inlineStr">
        <is>
          <t>Owner EBITDA after lease</t>
        </is>
      </c>
      <c r="C12">
        <f>C8+C10+C11</f>
        <v/>
      </c>
      <c r="D12">
        <f>D8+D10+D11</f>
        <v/>
      </c>
      <c r="E12">
        <f>E8+E10+E11</f>
        <v/>
      </c>
      <c r="F12">
        <f>F8+F10+F11</f>
        <v/>
      </c>
      <c r="G12">
        <f>G8+G10+G11</f>
        <v/>
      </c>
      <c r="H12">
        <f>H8+H10+H11</f>
        <v/>
      </c>
      <c r="I12">
        <f>I8+I10+I11</f>
        <v/>
      </c>
      <c r="J12">
        <f>J8+J10+J11</f>
        <v/>
      </c>
      <c r="K12">
        <f>K8+K10+K11</f>
        <v/>
      </c>
      <c r="L12">
        <f>L8+L10+L11</f>
        <v/>
      </c>
    </row>
    <row r="13">
      <c r="A13" t="inlineStr">
        <is>
          <t>D&amp;A (ex-ROU)</t>
        </is>
      </c>
      <c r="C13" s="4">
        <f>-C6*Assumptions!$B$4</f>
        <v/>
      </c>
      <c r="D13" s="4">
        <f>-D6*Assumptions!$B$4</f>
        <v/>
      </c>
      <c r="E13" s="4">
        <f>-E6*Assumptions!$B$4</f>
        <v/>
      </c>
      <c r="F13" s="4">
        <f>-F6*Assumptions!$B$4</f>
        <v/>
      </c>
      <c r="G13" s="4">
        <f>-G6*Assumptions!$B$4</f>
        <v/>
      </c>
      <c r="H13" s="4">
        <f>-H6*Assumptions!$B$4</f>
        <v/>
      </c>
      <c r="I13" s="4">
        <f>-I6*Assumptions!$B$4</f>
        <v/>
      </c>
      <c r="J13" s="4">
        <f>-J6*Assumptions!$B$4</f>
        <v/>
      </c>
      <c r="K13" s="4">
        <f>-K6*Assumptions!$B$4</f>
        <v/>
      </c>
      <c r="L13" s="4">
        <f>-L6*Assumptions!$B$4</f>
        <v/>
      </c>
    </row>
    <row r="14">
      <c r="A14" t="inlineStr">
        <is>
          <t>EBIT (SBC expensed)</t>
        </is>
      </c>
      <c r="C14">
        <f>C12+C13</f>
        <v/>
      </c>
      <c r="D14">
        <f>D12+D13</f>
        <v/>
      </c>
      <c r="E14">
        <f>E12+E13</f>
        <v/>
      </c>
      <c r="F14">
        <f>F12+F13</f>
        <v/>
      </c>
      <c r="G14">
        <f>G12+G13</f>
        <v/>
      </c>
      <c r="H14">
        <f>H12+H13</f>
        <v/>
      </c>
      <c r="I14">
        <f>I12+I13</f>
        <v/>
      </c>
      <c r="J14">
        <f>J12+J13</f>
        <v/>
      </c>
      <c r="K14">
        <f>K12+K13</f>
        <v/>
      </c>
      <c r="L14">
        <f>L12+L13</f>
        <v/>
      </c>
    </row>
    <row r="15">
      <c r="A15" t="inlineStr">
        <is>
          <t>Cash tax rate</t>
        </is>
      </c>
      <c r="C15" s="3" t="n">
        <v>0.3</v>
      </c>
      <c r="D15" s="3" t="n">
        <v>0.3</v>
      </c>
      <c r="E15" s="3" t="n">
        <v>0.3</v>
      </c>
      <c r="F15" s="3" t="n">
        <v>0.3</v>
      </c>
      <c r="G15" s="3" t="n">
        <v>0.3</v>
      </c>
      <c r="H15" s="3" t="n">
        <v>0.3</v>
      </c>
      <c r="I15" s="3" t="n">
        <v>0.3</v>
      </c>
      <c r="J15" s="3" t="n">
        <v>0.3</v>
      </c>
      <c r="K15" s="3" t="n">
        <v>0.3</v>
      </c>
      <c r="L15" s="3" t="n">
        <v>0.3</v>
      </c>
    </row>
    <row r="16">
      <c r="A16" t="inlineStr">
        <is>
          <t>NOPAT</t>
        </is>
      </c>
      <c r="C16">
        <f>C14*(1-C15)</f>
        <v/>
      </c>
      <c r="D16">
        <f>D14*(1-D15)</f>
        <v/>
      </c>
      <c r="E16">
        <f>E14*(1-E15)</f>
        <v/>
      </c>
      <c r="F16">
        <f>F14*(1-F15)</f>
        <v/>
      </c>
      <c r="G16">
        <f>G14*(1-G15)</f>
        <v/>
      </c>
      <c r="H16">
        <f>H14*(1-H15)</f>
        <v/>
      </c>
      <c r="I16">
        <f>I14*(1-I15)</f>
        <v/>
      </c>
      <c r="J16">
        <f>J14*(1-J15)</f>
        <v/>
      </c>
      <c r="K16">
        <f>K14*(1-K15)</f>
        <v/>
      </c>
      <c r="L16">
        <f>L14*(1-L15)</f>
        <v/>
      </c>
    </row>
    <row r="17">
      <c r="A17" t="inlineStr">
        <is>
          <t>add back D&amp;A</t>
        </is>
      </c>
      <c r="C17">
        <f>-C13</f>
        <v/>
      </c>
      <c r="D17">
        <f>-D13</f>
        <v/>
      </c>
      <c r="E17">
        <f>-E13</f>
        <v/>
      </c>
      <c r="F17">
        <f>-F13</f>
        <v/>
      </c>
      <c r="G17">
        <f>-G13</f>
        <v/>
      </c>
      <c r="H17">
        <f>-H13</f>
        <v/>
      </c>
      <c r="I17">
        <f>-I13</f>
        <v/>
      </c>
      <c r="J17">
        <f>-J13</f>
        <v/>
      </c>
      <c r="K17">
        <f>-K13</f>
        <v/>
      </c>
      <c r="L17">
        <f>-L13</f>
        <v/>
      </c>
    </row>
    <row r="18">
      <c r="A18" t="inlineStr">
        <is>
          <t>less capex</t>
        </is>
      </c>
      <c r="C18" s="4">
        <f>-C6*Assumptions!$B$5</f>
        <v/>
      </c>
      <c r="D18" s="4">
        <f>-D6*Assumptions!$B$5</f>
        <v/>
      </c>
      <c r="E18" s="4">
        <f>-E6*Assumptions!$B$5</f>
        <v/>
      </c>
      <c r="F18" s="4">
        <f>-F6*Assumptions!$B$5</f>
        <v/>
      </c>
      <c r="G18" s="4">
        <f>-G6*Assumptions!$B$5</f>
        <v/>
      </c>
      <c r="H18" s="4">
        <f>-H6*Assumptions!$B$5</f>
        <v/>
      </c>
      <c r="I18" s="4">
        <f>-I6*Assumptions!$B$5</f>
        <v/>
      </c>
      <c r="J18" s="4">
        <f>-J6*Assumptions!$B$5</f>
        <v/>
      </c>
      <c r="K18" s="4">
        <f>-K6*Assumptions!$B$5</f>
        <v/>
      </c>
      <c r="L18" s="4">
        <f>-L6*Assumptions!$B$5</f>
        <v/>
      </c>
    </row>
    <row r="19">
      <c r="A19" t="inlineStr">
        <is>
          <t>add working capital</t>
        </is>
      </c>
      <c r="C19" s="4">
        <f>Assumptions!$D$17*(C6-B6)</f>
        <v/>
      </c>
      <c r="D19" s="4">
        <f>Assumptions!$D$17*(D6-C6)</f>
        <v/>
      </c>
      <c r="E19" s="4">
        <f>Assumptions!$D$17*(E6-D6)</f>
        <v/>
      </c>
      <c r="F19" s="4">
        <f>Assumptions!$D$17*(F6-E6)</f>
        <v/>
      </c>
      <c r="G19" s="4">
        <f>Assumptions!$D$17*(G6-F6)</f>
        <v/>
      </c>
      <c r="H19" s="4">
        <f>Assumptions!$D$17*(H6-G6)</f>
        <v/>
      </c>
      <c r="I19" s="4">
        <f>Assumptions!$D$17*(I6-H6)</f>
        <v/>
      </c>
      <c r="J19" s="4">
        <f>Assumptions!$D$17*(J6-I6)</f>
        <v/>
      </c>
      <c r="K19" s="4">
        <f>Assumptions!$D$17*(K6-J6)</f>
        <v/>
      </c>
      <c r="L19" s="4">
        <f>Assumptions!$D$17*(L6-K6)</f>
        <v/>
      </c>
    </row>
    <row r="20">
      <c r="A20" s="1" t="inlineStr">
        <is>
          <t>Unlevered owner FCF</t>
        </is>
      </c>
      <c r="B20" s="2" t="n">
        <v>-1.584000000000001</v>
      </c>
      <c r="C20" s="1">
        <f>C16+C17+C18+C19</f>
        <v/>
      </c>
      <c r="D20" s="1">
        <f>D16+D17+D18+D19</f>
        <v/>
      </c>
      <c r="E20" s="1">
        <f>E16+E17+E18+E19</f>
        <v/>
      </c>
      <c r="F20" s="1">
        <f>F16+F17+F18+F19</f>
        <v/>
      </c>
      <c r="G20" s="1">
        <f>G16+G17+G18+G19</f>
        <v/>
      </c>
      <c r="H20" s="1">
        <f>H16+H17+H18+H19</f>
        <v/>
      </c>
      <c r="I20" s="1">
        <f>I16+I17+I18+I19</f>
        <v/>
      </c>
      <c r="J20" s="1">
        <f>J16+J17+J18+J19</f>
        <v/>
      </c>
      <c r="K20" s="1">
        <f>K16+K17+K18+K19</f>
        <v/>
      </c>
      <c r="L20" s="1">
        <f>L16+L17+L18+L19</f>
        <v/>
      </c>
    </row>
    <row r="21">
      <c r="A21" t="inlineStr">
        <is>
          <t>Discount factor</t>
        </is>
      </c>
      <c r="C21" s="4">
        <f>1/(1+Assumptions!$B$3)^C4</f>
        <v/>
      </c>
      <c r="D21" s="4">
        <f>1/(1+Assumptions!$B$3)^D4</f>
        <v/>
      </c>
      <c r="E21" s="4">
        <f>1/(1+Assumptions!$B$3)^E4</f>
        <v/>
      </c>
      <c r="F21" s="4">
        <f>1/(1+Assumptions!$B$3)^F4</f>
        <v/>
      </c>
      <c r="G21" s="4">
        <f>1/(1+Assumptions!$B$3)^G4</f>
        <v/>
      </c>
      <c r="H21" s="4">
        <f>1/(1+Assumptions!$B$3)^H4</f>
        <v/>
      </c>
      <c r="I21" s="4">
        <f>1/(1+Assumptions!$B$3)^I4</f>
        <v/>
      </c>
      <c r="J21" s="4">
        <f>1/(1+Assumptions!$B$3)^J4</f>
        <v/>
      </c>
      <c r="K21" s="4">
        <f>1/(1+Assumptions!$B$3)^K4</f>
        <v/>
      </c>
      <c r="L21" s="4">
        <f>1/(1+Assumptions!$B$3)^L4</f>
        <v/>
      </c>
    </row>
    <row r="22">
      <c r="A22" t="inlineStr">
        <is>
          <t>PV of FCF</t>
        </is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  <c r="L22">
        <f>L20*L21</f>
        <v/>
      </c>
    </row>
    <row r="24">
      <c r="A24" t="inlineStr">
        <is>
          <t>Memo: FCF before SBC</t>
        </is>
      </c>
      <c r="C24">
        <f>C20-C10</f>
        <v/>
      </c>
      <c r="D24">
        <f>D20-D10</f>
        <v/>
      </c>
      <c r="E24">
        <f>E20-E10</f>
        <v/>
      </c>
      <c r="F24">
        <f>F20-F10</f>
        <v/>
      </c>
      <c r="G24">
        <f>G20-G10</f>
        <v/>
      </c>
      <c r="H24">
        <f>H20-H10</f>
        <v/>
      </c>
      <c r="I24">
        <f>I20-I10</f>
        <v/>
      </c>
      <c r="J24">
        <f>J20-J10</f>
        <v/>
      </c>
      <c r="K24">
        <f>K20-K10</f>
        <v/>
      </c>
      <c r="L24">
        <f>L20-L10</f>
        <v/>
      </c>
    </row>
    <row r="25">
      <c r="A25" t="inlineStr">
        <is>
          <t>Memo: owner FCF margin</t>
        </is>
      </c>
      <c r="C25">
        <f>C20/C6</f>
        <v/>
      </c>
      <c r="D25">
        <f>D20/D6</f>
        <v/>
      </c>
      <c r="E25">
        <f>E20/E6</f>
        <v/>
      </c>
      <c r="F25">
        <f>F20/F6</f>
        <v/>
      </c>
      <c r="G25">
        <f>G20/G6</f>
        <v/>
      </c>
      <c r="H25">
        <f>H20/H6</f>
        <v/>
      </c>
      <c r="I25">
        <f>I20/I6</f>
        <v/>
      </c>
      <c r="J25">
        <f>J20/J6</f>
        <v/>
      </c>
      <c r="K25">
        <f>K20/K6</f>
        <v/>
      </c>
      <c r="L25">
        <f>L20/L6</f>
        <v/>
      </c>
    </row>
    <row r="27">
      <c r="A27" t="inlineStr">
        <is>
          <t>Sum of PV FCF</t>
        </is>
      </c>
      <c r="B27">
        <f>SUM(C22:L22)</f>
        <v/>
      </c>
    </row>
    <row r="28">
      <c r="A28" t="inlineStr">
        <is>
          <t>Terminal growth</t>
        </is>
      </c>
      <c r="B28" s="4">
        <f>Assumptions!$B$17</f>
        <v/>
      </c>
    </row>
    <row r="29">
      <c r="A29" t="inlineStr">
        <is>
          <t>Terminal FCF (FCF10 x (1+g))</t>
        </is>
      </c>
      <c r="B29">
        <f>L20*(1+B28)</f>
        <v/>
      </c>
    </row>
    <row r="30">
      <c r="A30" t="inlineStr">
        <is>
          <t>Gordon TV</t>
        </is>
      </c>
      <c r="B30">
        <f>B29/(Assumptions!$B$3-B28)</f>
        <v/>
      </c>
    </row>
    <row r="31">
      <c r="A31" t="inlineStr">
        <is>
          <t>Cap TV</t>
        </is>
      </c>
      <c r="B31">
        <f>Assumptions!$B$11*L20</f>
        <v/>
      </c>
    </row>
    <row r="32">
      <c r="A32" t="inlineStr">
        <is>
          <t>TV used</t>
        </is>
      </c>
      <c r="B32">
        <f>MAX(0,MIN(B30,B31))</f>
        <v/>
      </c>
    </row>
    <row r="33">
      <c r="A33" t="inlineStr">
        <is>
          <t>Implied exit multiple (TV/FCF10)</t>
        </is>
      </c>
      <c r="B33">
        <f>IF(L20=0,"n/a",B32/L20)</f>
        <v/>
      </c>
    </row>
    <row r="34">
      <c r="A34" t="inlineStr">
        <is>
          <t>PV of TV</t>
        </is>
      </c>
      <c r="B34">
        <f>B32*L21</f>
        <v/>
      </c>
    </row>
    <row r="35">
      <c r="A35" t="inlineStr">
        <is>
          <t>Enterprise value</t>
        </is>
      </c>
      <c r="B35">
        <f>B27+B34</f>
        <v/>
      </c>
    </row>
    <row r="36">
      <c r="A36" t="inlineStr">
        <is>
          <t>add net cash</t>
        </is>
      </c>
      <c r="B36" s="4">
        <f>Assumptions!$B$8</f>
        <v/>
      </c>
    </row>
    <row r="37">
      <c r="A37" t="inlineStr">
        <is>
          <t>Equity value</t>
        </is>
      </c>
      <c r="B37">
        <f>B35+B36</f>
        <v/>
      </c>
    </row>
    <row r="38">
      <c r="A38" t="inlineStr">
        <is>
          <t>Diluted shares</t>
        </is>
      </c>
      <c r="B38" s="4">
        <f>Assumptions!$B$9</f>
        <v/>
      </c>
    </row>
    <row r="39">
      <c r="A39" s="1" t="inlineStr">
        <is>
          <t>Value per share (A$)</t>
        </is>
      </c>
      <c r="B39" s="5">
        <f>B37/B38</f>
        <v/>
      </c>
    </row>
    <row r="40">
      <c r="A40" t="inlineStr">
        <is>
          <t>Upside vs price</t>
        </is>
      </c>
      <c r="B40">
        <f>B39/Assumptions!$B$10-1</f>
        <v/>
      </c>
    </row>
    <row r="42">
      <c r="A42" t="inlineStr">
        <is>
          <t>Street memo: PV explicit SBC</t>
        </is>
      </c>
      <c r="B42">
        <f>SUMPRODUCT(-C10:L10/(1+Assumptions!$B$3)^C4:L4)</f>
        <v/>
      </c>
    </row>
    <row r="43">
      <c r="A43" t="inlineStr">
        <is>
          <t>Street memo: PV terminal SBC</t>
        </is>
      </c>
      <c r="B43">
        <f>(-L10*(1+B28)/(Assumptions!$B$3-B28))*L21</f>
        <v/>
      </c>
    </row>
    <row r="44">
      <c r="A44" t="inlineStr">
        <is>
          <t>Street value per share</t>
        </is>
      </c>
      <c r="B44">
        <f>(B37+B42+B43)/B38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FY</t>
        </is>
      </c>
      <c r="B1" s="1" t="inlineStr">
        <is>
          <t>Reported FCF</t>
        </is>
      </c>
      <c r="C1" s="1" t="inlineStr">
        <is>
          <t>less SBC</t>
        </is>
      </c>
      <c r="D1" s="1" t="inlineStr">
        <is>
          <t>less interest income</t>
        </is>
      </c>
      <c r="E1" s="1" t="inlineStr">
        <is>
          <t>less lease principal</t>
        </is>
      </c>
      <c r="F1" s="1" t="inlineStr">
        <is>
          <t>Owner FCF</t>
        </is>
      </c>
      <c r="G1" s="1" t="inlineStr">
        <is>
          <t>Revenue</t>
        </is>
      </c>
      <c r="H1" s="1" t="inlineStr">
        <is>
          <t>Reported FCF margin</t>
        </is>
      </c>
      <c r="I1" s="1" t="inlineStr">
        <is>
          <t>Owner FCF margin</t>
        </is>
      </c>
      <c r="J1" s="1" t="inlineStr">
        <is>
          <t>Cash tax rate memo</t>
        </is>
      </c>
    </row>
    <row r="2">
      <c r="A2" t="inlineStr">
        <is>
          <t>FY2019</t>
        </is>
      </c>
      <c r="B2" s="2" t="n">
        <v>3.624</v>
      </c>
      <c r="C2" s="2" t="n">
        <v>-1.047</v>
      </c>
      <c r="D2" s="2" t="n">
        <v>-0.142</v>
      </c>
      <c r="E2" s="2" t="n">
        <v>-0</v>
      </c>
      <c r="F2">
        <f>SUM(B2:E2)</f>
        <v/>
      </c>
      <c r="G2" s="2" t="n">
        <v>101.613</v>
      </c>
      <c r="H2">
        <f>B2/G2</f>
        <v/>
      </c>
      <c r="I2">
        <f>F2/G2</f>
        <v/>
      </c>
    </row>
    <row r="3">
      <c r="A3" t="inlineStr">
        <is>
          <t>FY2020</t>
        </is>
      </c>
      <c r="B3" s="2" t="n">
        <v>24.933</v>
      </c>
      <c r="C3" s="2" t="n">
        <v>-0.909</v>
      </c>
      <c r="D3" s="2" t="n">
        <v>-0.229</v>
      </c>
      <c r="E3" s="2" t="n">
        <v>-0</v>
      </c>
      <c r="F3">
        <f>SUM(B3:E3)</f>
        <v/>
      </c>
      <c r="G3" s="2" t="n">
        <v>176.342</v>
      </c>
      <c r="H3">
        <f>B3/G3</f>
        <v/>
      </c>
      <c r="I3">
        <f>F3/G3</f>
        <v/>
      </c>
    </row>
    <row r="4">
      <c r="A4" t="inlineStr">
        <is>
          <t>FY2021</t>
        </is>
      </c>
      <c r="B4" s="2" t="n">
        <v>23.03</v>
      </c>
      <c r="C4" s="2" t="n">
        <v>-1.238</v>
      </c>
      <c r="D4" s="2" t="n">
        <v>-0.438</v>
      </c>
      <c r="E4" s="2" t="n">
        <v>-1</v>
      </c>
      <c r="F4">
        <f>SUM(B4:E4)</f>
        <v/>
      </c>
      <c r="G4" s="2" t="n">
        <v>326.344</v>
      </c>
      <c r="H4">
        <f>B4/G4</f>
        <v/>
      </c>
      <c r="I4">
        <f>F4/G4</f>
        <v/>
      </c>
    </row>
    <row r="5">
      <c r="A5" t="inlineStr">
        <is>
          <t>FY2022</t>
        </is>
      </c>
      <c r="B5" s="2" t="n">
        <v>7.6</v>
      </c>
      <c r="C5" s="2" t="n">
        <v>-1.717</v>
      </c>
      <c r="D5" s="2" t="n">
        <v>-0.419</v>
      </c>
      <c r="E5" s="2" t="n">
        <v>-2.2</v>
      </c>
      <c r="F5">
        <f>SUM(B5:E5)</f>
        <v/>
      </c>
      <c r="G5" s="2" t="n">
        <v>426.335</v>
      </c>
      <c r="H5">
        <f>B5/G5</f>
        <v/>
      </c>
      <c r="I5">
        <f>F5/G5</f>
        <v/>
      </c>
    </row>
    <row r="6">
      <c r="A6" t="inlineStr">
        <is>
          <t>FY2023</t>
        </is>
      </c>
      <c r="B6" s="2" t="n">
        <v>19.216</v>
      </c>
      <c r="C6" s="2" t="n">
        <v>-3.103</v>
      </c>
      <c r="D6" s="2" t="n">
        <v>-3.367</v>
      </c>
      <c r="E6" s="2" t="n">
        <v>-4.6</v>
      </c>
      <c r="F6">
        <f>SUM(B6:E6)</f>
        <v/>
      </c>
      <c r="G6" s="2" t="n">
        <v>395.513</v>
      </c>
      <c r="H6">
        <f>B6/G6</f>
        <v/>
      </c>
      <c r="I6">
        <f>F6/G6</f>
        <v/>
      </c>
    </row>
    <row r="7">
      <c r="A7" t="inlineStr">
        <is>
          <t>FY2024</t>
        </is>
      </c>
      <c r="B7" s="2" t="n">
        <v>29.442</v>
      </c>
      <c r="C7" s="2" t="n">
        <v>-3.854</v>
      </c>
      <c r="D7" s="2" t="n">
        <v>-4.964</v>
      </c>
      <c r="E7" s="2" t="n">
        <v>-5.7</v>
      </c>
      <c r="F7">
        <f>SUM(B7:E7)</f>
        <v/>
      </c>
      <c r="G7" s="2" t="n">
        <v>497.841</v>
      </c>
      <c r="H7">
        <f>B7/G7</f>
        <v/>
      </c>
      <c r="I7">
        <f>F7/G7</f>
        <v/>
      </c>
    </row>
    <row r="8">
      <c r="A8" t="inlineStr">
        <is>
          <t>FY2025</t>
        </is>
      </c>
      <c r="B8" s="2" t="n">
        <v>44.734</v>
      </c>
      <c r="C8" s="2" t="n">
        <v>-4.88</v>
      </c>
      <c r="D8" s="2" t="n">
        <v>-5.674</v>
      </c>
      <c r="E8" s="2" t="n">
        <v>-6.798</v>
      </c>
      <c r="F8">
        <f>SUM(B8:E8)</f>
        <v/>
      </c>
      <c r="G8" s="2" t="n">
        <v>600.7190000000001</v>
      </c>
      <c r="H8">
        <f>B8/G8</f>
        <v/>
      </c>
      <c r="I8">
        <f>F8/G8</f>
        <v/>
      </c>
    </row>
    <row r="9">
      <c r="A9" t="inlineStr">
        <is>
          <t>FY2026</t>
        </is>
      </c>
      <c r="B9" s="2" t="n">
        <v>14.055</v>
      </c>
      <c r="C9" s="2" t="n">
        <v>-4.177</v>
      </c>
      <c r="D9" s="2" t="n">
        <v>-4.847</v>
      </c>
      <c r="E9" s="2" t="n">
        <v>-6.615</v>
      </c>
      <c r="F9">
        <f>SUM(B9:E9)</f>
        <v/>
      </c>
      <c r="G9" s="2" t="n">
        <v>664.586</v>
      </c>
      <c r="H9">
        <f>B9/G9</f>
        <v/>
      </c>
      <c r="I9">
        <f>F9/G9</f>
        <v/>
      </c>
    </row>
    <row r="11">
      <c r="A11" t="inlineStr">
        <is>
          <t>Memo: FY2025 OCF 45.9 vs NPAT 11.3 — ~A$20m of negative-working-capital inflow (deferred revenue 21.2 -&gt; 27.8); FY2026 deferred revenue fell to 22.5 and the inflow stopped</t>
        </is>
      </c>
    </row>
    <row r="12">
      <c r="A12" t="inlineStr">
        <is>
          <t>Memo: cash tax paid FY2026 A$3.6m on PBT A$11.9m (30%); SBC non-deductible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Scenario summary</t>
        </is>
      </c>
    </row>
    <row r="2">
      <c r="A2" s="1" t="inlineStr">
        <is>
          <t>Scenario</t>
        </is>
      </c>
      <c r="B2" s="1" t="inlineStr">
        <is>
          <t>Value/share</t>
        </is>
      </c>
      <c r="C2" s="1" t="inlineStr">
        <is>
          <t>Upside</t>
        </is>
      </c>
      <c r="D2" s="1" t="inlineStr">
        <is>
          <t>Weight</t>
        </is>
      </c>
      <c r="E2" s="1" t="inlineStr">
        <is>
          <t>Street value/share</t>
        </is>
      </c>
      <c r="F2" s="1" t="inlineStr">
        <is>
          <t>Entry price @ hurdle</t>
        </is>
      </c>
      <c r="G2" s="1" t="inlineStr">
        <is>
          <t>Street entry @ hurdle</t>
        </is>
      </c>
    </row>
    <row r="3">
      <c r="A3" t="inlineStr">
        <is>
          <t>bear</t>
        </is>
      </c>
      <c r="B3" s="4">
        <f>DCF_Bear!$B$39</f>
        <v/>
      </c>
      <c r="C3">
        <f>B3/Assumptions!$B$10-1</f>
        <v/>
      </c>
      <c r="D3" s="4">
        <f>Assumptions!$C$15</f>
        <v/>
      </c>
      <c r="E3" s="4">
        <f>DCF_Bear!$B$44</f>
        <v/>
      </c>
      <c r="F3">
        <f>(SUMPRODUCT(DCF_Bear!$C$20:$L$20/(1+Assumptions!$B$12)^DCF_Bear!$C$4:$L$4)+MAX(0,MIN(DCF_Bear!$L$20*(1+Assumptions!$B$15)/(Assumptions!$B$3-Assumptions!$B$15),Assumptions!$B$11*DCF_Bear!$L$20))/(1+Assumptions!$B$12)^10+Assumptions!$B$8)/Assumptions!$B$9</f>
        <v/>
      </c>
      <c r="G3">
        <f>(SUMPRODUCT(DCF_Bear!$C$20:$L$20/(1+Assumptions!$B$12)^DCF_Bear!$C$4:$L$4)+MAX(0,MIN(DCF_Bear!$L$20*(1+Assumptions!$B$15)/(Assumptions!$B$3-Assumptions!$B$15),Assumptions!$B$11*DCF_Bear!$L$20))/(1+Assumptions!$B$12)^10+Assumptions!$B$8+SUMPRODUCT(-DCF_Bear!$C$10:$L$10/(1+Assumptions!$B$12)^DCF_Bear!$C$4:$L$4)+(-DCF_Bear!$L$10*(1+Assumptions!$B$15)/(Assumptions!$B$3-Assumptions!$B$15))/(1+Assumptions!$B$12)^10)/Assumptions!$B$9</f>
        <v/>
      </c>
    </row>
    <row r="4">
      <c r="A4" t="inlineStr">
        <is>
          <t>base</t>
        </is>
      </c>
      <c r="B4" s="4">
        <f>DCF_Base!$B$39</f>
        <v/>
      </c>
      <c r="C4">
        <f>B4/Assumptions!$B$10-1</f>
        <v/>
      </c>
      <c r="D4" s="4">
        <f>Assumptions!$C$16</f>
        <v/>
      </c>
      <c r="E4" s="4">
        <f>DCF_Base!$B$44</f>
        <v/>
      </c>
      <c r="F4">
        <f>(SUMPRODUCT(DCF_Base!$C$20:$L$20/(1+Assumptions!$B$12)^DCF_Base!$C$4:$L$4)+MAX(0,MIN(DCF_Base!$L$20*(1+Assumptions!$B$16)/(Assumptions!$B$3-Assumptions!$B$16),Assumptions!$B$11*DCF_Base!$L$20))/(1+Assumptions!$B$12)^10+Assumptions!$B$8)/Assumptions!$B$9</f>
        <v/>
      </c>
      <c r="G4">
        <f>(SUMPRODUCT(DCF_Base!$C$20:$L$20/(1+Assumptions!$B$12)^DCF_Base!$C$4:$L$4)+MAX(0,MIN(DCF_Base!$L$20*(1+Assumptions!$B$16)/(Assumptions!$B$3-Assumptions!$B$16),Assumptions!$B$11*DCF_Base!$L$20))/(1+Assumptions!$B$12)^10+Assumptions!$B$8+SUMPRODUCT(-DCF_Base!$C$10:$L$10/(1+Assumptions!$B$12)^DCF_Base!$C$4:$L$4)+(-DCF_Base!$L$10*(1+Assumptions!$B$16)/(Assumptions!$B$3-Assumptions!$B$16))/(1+Assumptions!$B$12)^10)/Assumptions!$B$9</f>
        <v/>
      </c>
    </row>
    <row r="5">
      <c r="A5" t="inlineStr">
        <is>
          <t>bull</t>
        </is>
      </c>
      <c r="B5" s="4">
        <f>DCF_Bull!$B$39</f>
        <v/>
      </c>
      <c r="C5">
        <f>B5/Assumptions!$B$10-1</f>
        <v/>
      </c>
      <c r="D5" s="4">
        <f>Assumptions!$C$17</f>
        <v/>
      </c>
      <c r="E5" s="4">
        <f>DCF_Bull!$B$44</f>
        <v/>
      </c>
      <c r="F5">
        <f>(SUMPRODUCT(DCF_Bull!$C$20:$L$20/(1+Assumptions!$B$12)^DCF_Bull!$C$4:$L$4)+MAX(0,MIN(DCF_Bull!$L$20*(1+Assumptions!$B$17)/(Assumptions!$B$3-Assumptions!$B$17),Assumptions!$B$11*DCF_Bull!$L$20))/(1+Assumptions!$B$12)^10+Assumptions!$B$8)/Assumptions!$B$9</f>
        <v/>
      </c>
      <c r="G5">
        <f>(SUMPRODUCT(DCF_Bull!$C$20:$L$20/(1+Assumptions!$B$12)^DCF_Bull!$C$4:$L$4)+MAX(0,MIN(DCF_Bull!$L$20*(1+Assumptions!$B$17)/(Assumptions!$B$3-Assumptions!$B$17),Assumptions!$B$11*DCF_Bull!$L$20))/(1+Assumptions!$B$12)^10+Assumptions!$B$8+SUMPRODUCT(-DCF_Bull!$C$10:$L$10/(1+Assumptions!$B$12)^DCF_Bull!$C$4:$L$4)+(-DCF_Bull!$L$10*(1+Assumptions!$B$17)/(Assumptions!$B$3-Assumptions!$B$17))/(1+Assumptions!$B$12)^10)/Assumptions!$B$9</f>
        <v/>
      </c>
    </row>
    <row r="7">
      <c r="A7" s="1" t="inlineStr">
        <is>
          <t>Probability-weighted value</t>
        </is>
      </c>
      <c r="B7" s="5">
        <f>SUMPRODUCT(B3:B5,D3:D5)</f>
        <v/>
      </c>
    </row>
    <row r="8">
      <c r="A8" t="inlineStr">
        <is>
          <t>Margin of safety</t>
        </is>
      </c>
      <c r="B8">
        <f>1-Assumptions!$B$10/B7</f>
        <v/>
      </c>
    </row>
    <row r="9">
      <c r="A9" t="inlineStr">
        <is>
          <t>Street weighted value</t>
        </is>
      </c>
      <c r="B9">
        <f>SUMPRODUCT(E3:E5,D3:D5)</f>
        <v/>
      </c>
    </row>
    <row r="10">
      <c r="A10" t="inlineStr">
        <is>
          <t>Band position (0=house,1=street)</t>
        </is>
      </c>
      <c r="B10">
        <f>IF(B9=B7,"n/a",(Assumptions!$B$10-B7)/(B9-B7))</f>
        <v/>
      </c>
    </row>
    <row r="11">
      <c r="A11" s="1" t="inlineStr">
        <is>
          <t>Weighted entry price @ hurdle</t>
        </is>
      </c>
      <c r="B11" s="5">
        <f>SUMPRODUCT(F3:F5,D3:D5)</f>
        <v/>
      </c>
    </row>
    <row r="12">
      <c r="A12" t="inlineStr">
        <is>
          <t>Street weighted entry price</t>
        </is>
      </c>
      <c r="B12">
        <f>SUMPRODUCT(G3:G5,D3:D5)</f>
        <v/>
      </c>
    </row>
    <row r="14">
      <c r="A14" s="1" t="inlineStr">
        <is>
          <t>Required-return table (base)</t>
        </is>
      </c>
    </row>
    <row r="15">
      <c r="A15" t="inlineStr">
        <is>
          <t>Required return</t>
        </is>
      </c>
      <c r="B15" t="inlineStr">
        <is>
          <t>Value/share</t>
        </is>
      </c>
    </row>
    <row r="16">
      <c r="A16" s="2" t="n">
        <v>0.09</v>
      </c>
      <c r="B16">
        <f>(SUMPRODUCT(DCF_Base!$C$20:$L$20/(1+$A$16)^DCF_Base!$C$4:$L$4)+MAX(0,MIN(DCF_Base!$L$20*(1+Assumptions!$B$16)/(Assumptions!$B$3-Assumptions!$B$16),Assumptions!$B$11*DCF_Base!$L$20))/(1+$A$16)^10+Assumptions!$B$8)/Assumptions!$B$9</f>
        <v/>
      </c>
    </row>
    <row r="17">
      <c r="A17" s="2" t="n">
        <v>0.1</v>
      </c>
      <c r="B17">
        <f>(SUMPRODUCT(DCF_Base!$C$20:$L$20/(1+$A$17)^DCF_Base!$C$4:$L$4)+MAX(0,MIN(DCF_Base!$L$20*(1+Assumptions!$B$16)/(Assumptions!$B$3-Assumptions!$B$16),Assumptions!$B$11*DCF_Base!$L$20))/(1+$A$17)^10+Assumptions!$B$8)/Assumptions!$B$9</f>
        <v/>
      </c>
    </row>
    <row r="18">
      <c r="A18" s="2" t="n">
        <v>0.11</v>
      </c>
      <c r="B18">
        <f>(SUMPRODUCT(DCF_Base!$C$20:$L$20/(1+$A$18)^DCF_Base!$C$4:$L$4)+MAX(0,MIN(DCF_Base!$L$20*(1+Assumptions!$B$16)/(Assumptions!$B$3-Assumptions!$B$16),Assumptions!$B$11*DCF_Base!$L$20))/(1+$A$18)^10+Assumptions!$B$8)/Assumptions!$B$9</f>
        <v/>
      </c>
    </row>
    <row r="19">
      <c r="A19" s="2" t="n">
        <v>0.12</v>
      </c>
      <c r="B19">
        <f>(SUMPRODUCT(DCF_Base!$C$20:$L$20/(1+$A$19)^DCF_Base!$C$4:$L$4)+MAX(0,MIN(DCF_Base!$L$20*(1+Assumptions!$B$16)/(Assumptions!$B$3-Assumptions!$B$16),Assumptions!$B$11*DCF_Base!$L$20))/(1+$A$19)^10+Assumptions!$B$8)/Assumptions!$B$9</f>
        <v/>
      </c>
    </row>
    <row r="20">
      <c r="A20" s="2" t="n">
        <v>0.15</v>
      </c>
      <c r="B20">
        <f>(SUMPRODUCT(DCF_Base!$C$20:$L$20/(1+$A$20)^DCF_Base!$C$4:$L$4)+MAX(0,MIN(DCF_Base!$L$20*(1+Assumptions!$B$16)/(Assumptions!$B$3-Assumptions!$B$16),Assumptions!$B$11*DCF_Base!$L$20))/(1+$A$20)^10+Assumptions!$B$8)/Assumptions!$B$9</f>
        <v/>
      </c>
    </row>
    <row r="21">
      <c r="A21" s="4">
        <f>Assumptions!$B$3</f>
        <v/>
      </c>
      <c r="B21">
        <f>(SUMPRODUCT(DCF_Base!$C$20:$L$20/(1+$A$21)^DCF_Base!$C$4:$L$4)+MAX(0,MIN(DCF_Base!$L$20*(1+Assumptions!$B$16)/(Assumptions!$B$3-Assumptions!$B$16),Assumptions!$B$11*DCF_Base!$L$20))/(1+$A$21)^10+Assumptions!$B$8)/Assumptions!$B$9</f>
        <v/>
      </c>
    </row>
    <row r="23">
      <c r="A23" s="1" t="inlineStr">
        <is>
          <t>Sensitivity: base value/share, WACC (rows) x terminal growth (cols)</t>
        </is>
      </c>
    </row>
    <row r="24">
      <c r="B24" s="2" t="n">
        <v>0.02</v>
      </c>
      <c r="C24" s="2" t="n">
        <v>0.025</v>
      </c>
      <c r="D24" s="2" t="n">
        <v>0.03</v>
      </c>
      <c r="E24" s="2" t="n">
        <v>0.035</v>
      </c>
      <c r="F24" s="2" t="n">
        <v>0.04</v>
      </c>
    </row>
    <row r="25">
      <c r="A25" s="2" t="n">
        <v>0.095</v>
      </c>
      <c r="B25">
        <f>IF($A$25&gt;B$24,(SUMPRODUCT(DCF_Base!$C$20:$L$20/(1+$A$25)^DCF_Base!$C$4:$L$4)+MAX(0,MIN(DCF_Base!$L$20*(1+B$24)/($A$25-B$24),Assumptions!$B$11*DCF_Base!$L$20))/(1+$A$25)^10+Assumptions!$B$8)/Assumptions!$B$9,"n/a")</f>
        <v/>
      </c>
      <c r="C25">
        <f>IF($A$25&gt;C$24,(SUMPRODUCT(DCF_Base!$C$20:$L$20/(1+$A$25)^DCF_Base!$C$4:$L$4)+MAX(0,MIN(DCF_Base!$L$20*(1+C$24)/($A$25-C$24),Assumptions!$B$11*DCF_Base!$L$20))/(1+$A$25)^10+Assumptions!$B$8)/Assumptions!$B$9,"n/a")</f>
        <v/>
      </c>
      <c r="D25">
        <f>IF($A$25&gt;D$24,(SUMPRODUCT(DCF_Base!$C$20:$L$20/(1+$A$25)^DCF_Base!$C$4:$L$4)+MAX(0,MIN(DCF_Base!$L$20*(1+D$24)/($A$25-D$24),Assumptions!$B$11*DCF_Base!$L$20))/(1+$A$25)^10+Assumptions!$B$8)/Assumptions!$B$9,"n/a")</f>
        <v/>
      </c>
      <c r="E25">
        <f>IF($A$25&gt;E$24,(SUMPRODUCT(DCF_Base!$C$20:$L$20/(1+$A$25)^DCF_Base!$C$4:$L$4)+MAX(0,MIN(DCF_Base!$L$20*(1+E$24)/($A$25-E$24),Assumptions!$B$11*DCF_Base!$L$20))/(1+$A$25)^10+Assumptions!$B$8)/Assumptions!$B$9,"n/a")</f>
        <v/>
      </c>
      <c r="F25">
        <f>IF($A$25&gt;F$24,(SUMPRODUCT(DCF_Base!$C$20:$L$20/(1+$A$25)^DCF_Base!$C$4:$L$4)+MAX(0,MIN(DCF_Base!$L$20*(1+F$24)/($A$25-F$24),Assumptions!$B$11*DCF_Base!$L$20))/(1+$A$25)^10+Assumptions!$B$8)/Assumptions!$B$9,"n/a")</f>
        <v/>
      </c>
    </row>
    <row r="26">
      <c r="A26" s="2" t="n">
        <v>0.105</v>
      </c>
      <c r="B26">
        <f>IF($A$26&gt;B$24,(SUMPRODUCT(DCF_Base!$C$20:$L$20/(1+$A$26)^DCF_Base!$C$4:$L$4)+MAX(0,MIN(DCF_Base!$L$20*(1+B$24)/($A$26-B$24),Assumptions!$B$11*DCF_Base!$L$20))/(1+$A$26)^10+Assumptions!$B$8)/Assumptions!$B$9,"n/a")</f>
        <v/>
      </c>
      <c r="C26">
        <f>IF($A$26&gt;C$24,(SUMPRODUCT(DCF_Base!$C$20:$L$20/(1+$A$26)^DCF_Base!$C$4:$L$4)+MAX(0,MIN(DCF_Base!$L$20*(1+C$24)/($A$26-C$24),Assumptions!$B$11*DCF_Base!$L$20))/(1+$A$26)^10+Assumptions!$B$8)/Assumptions!$B$9,"n/a")</f>
        <v/>
      </c>
      <c r="D26">
        <f>IF($A$26&gt;D$24,(SUMPRODUCT(DCF_Base!$C$20:$L$20/(1+$A$26)^DCF_Base!$C$4:$L$4)+MAX(0,MIN(DCF_Base!$L$20*(1+D$24)/($A$26-D$24),Assumptions!$B$11*DCF_Base!$L$20))/(1+$A$26)^10+Assumptions!$B$8)/Assumptions!$B$9,"n/a")</f>
        <v/>
      </c>
      <c r="E26">
        <f>IF($A$26&gt;E$24,(SUMPRODUCT(DCF_Base!$C$20:$L$20/(1+$A$26)^DCF_Base!$C$4:$L$4)+MAX(0,MIN(DCF_Base!$L$20*(1+E$24)/($A$26-E$24),Assumptions!$B$11*DCF_Base!$L$20))/(1+$A$26)^10+Assumptions!$B$8)/Assumptions!$B$9,"n/a")</f>
        <v/>
      </c>
      <c r="F26">
        <f>IF($A$26&gt;F$24,(SUMPRODUCT(DCF_Base!$C$20:$L$20/(1+$A$26)^DCF_Base!$C$4:$L$4)+MAX(0,MIN(DCF_Base!$L$20*(1+F$24)/($A$26-F$24),Assumptions!$B$11*DCF_Base!$L$20))/(1+$A$26)^10+Assumptions!$B$8)/Assumptions!$B$9,"n/a")</f>
        <v/>
      </c>
    </row>
    <row r="27">
      <c r="A27" s="2" t="n">
        <v>0.115</v>
      </c>
      <c r="B27">
        <f>IF($A$27&gt;B$24,(SUMPRODUCT(DCF_Base!$C$20:$L$20/(1+$A$27)^DCF_Base!$C$4:$L$4)+MAX(0,MIN(DCF_Base!$L$20*(1+B$24)/($A$27-B$24),Assumptions!$B$11*DCF_Base!$L$20))/(1+$A$27)^10+Assumptions!$B$8)/Assumptions!$B$9,"n/a")</f>
        <v/>
      </c>
      <c r="C27">
        <f>IF($A$27&gt;C$24,(SUMPRODUCT(DCF_Base!$C$20:$L$20/(1+$A$27)^DCF_Base!$C$4:$L$4)+MAX(0,MIN(DCF_Base!$L$20*(1+C$24)/($A$27-C$24),Assumptions!$B$11*DCF_Base!$L$20))/(1+$A$27)^10+Assumptions!$B$8)/Assumptions!$B$9,"n/a")</f>
        <v/>
      </c>
      <c r="D27" s="5">
        <f>IF($A$27&gt;D$24,(SUMPRODUCT(DCF_Base!$C$20:$L$20/(1+$A$27)^DCF_Base!$C$4:$L$4)+MAX(0,MIN(DCF_Base!$L$20*(1+D$24)/($A$27-D$24),Assumptions!$B$11*DCF_Base!$L$20))/(1+$A$27)^10+Assumptions!$B$8)/Assumptions!$B$9,"n/a")</f>
        <v/>
      </c>
      <c r="E27">
        <f>IF($A$27&gt;E$24,(SUMPRODUCT(DCF_Base!$C$20:$L$20/(1+$A$27)^DCF_Base!$C$4:$L$4)+MAX(0,MIN(DCF_Base!$L$20*(1+E$24)/($A$27-E$24),Assumptions!$B$11*DCF_Base!$L$20))/(1+$A$27)^10+Assumptions!$B$8)/Assumptions!$B$9,"n/a")</f>
        <v/>
      </c>
      <c r="F27">
        <f>IF($A$27&gt;F$24,(SUMPRODUCT(DCF_Base!$C$20:$L$20/(1+$A$27)^DCF_Base!$C$4:$L$4)+MAX(0,MIN(DCF_Base!$L$20*(1+F$24)/($A$27-F$24),Assumptions!$B$11*DCF_Base!$L$20))/(1+$A$27)^10+Assumptions!$B$8)/Assumptions!$B$9,"n/a")</f>
        <v/>
      </c>
    </row>
    <row r="28">
      <c r="A28" s="2" t="n">
        <v>0.125</v>
      </c>
      <c r="B28">
        <f>IF($A$28&gt;B$24,(SUMPRODUCT(DCF_Base!$C$20:$L$20/(1+$A$28)^DCF_Base!$C$4:$L$4)+MAX(0,MIN(DCF_Base!$L$20*(1+B$24)/($A$28-B$24),Assumptions!$B$11*DCF_Base!$L$20))/(1+$A$28)^10+Assumptions!$B$8)/Assumptions!$B$9,"n/a")</f>
        <v/>
      </c>
      <c r="C28">
        <f>IF($A$28&gt;C$24,(SUMPRODUCT(DCF_Base!$C$20:$L$20/(1+$A$28)^DCF_Base!$C$4:$L$4)+MAX(0,MIN(DCF_Base!$L$20*(1+C$24)/($A$28-C$24),Assumptions!$B$11*DCF_Base!$L$20))/(1+$A$28)^10+Assumptions!$B$8)/Assumptions!$B$9,"n/a")</f>
        <v/>
      </c>
      <c r="D28">
        <f>IF($A$28&gt;D$24,(SUMPRODUCT(DCF_Base!$C$20:$L$20/(1+$A$28)^DCF_Base!$C$4:$L$4)+MAX(0,MIN(DCF_Base!$L$20*(1+D$24)/($A$28-D$24),Assumptions!$B$11*DCF_Base!$L$20))/(1+$A$28)^10+Assumptions!$B$8)/Assumptions!$B$9,"n/a")</f>
        <v/>
      </c>
      <c r="E28">
        <f>IF($A$28&gt;E$24,(SUMPRODUCT(DCF_Base!$C$20:$L$20/(1+$A$28)^DCF_Base!$C$4:$L$4)+MAX(0,MIN(DCF_Base!$L$20*(1+E$24)/($A$28-E$24),Assumptions!$B$11*DCF_Base!$L$20))/(1+$A$28)^10+Assumptions!$B$8)/Assumptions!$B$9,"n/a")</f>
        <v/>
      </c>
      <c r="F28">
        <f>IF($A$28&gt;F$24,(SUMPRODUCT(DCF_Base!$C$20:$L$20/(1+$A$28)^DCF_Base!$C$4:$L$4)+MAX(0,MIN(DCF_Base!$L$20*(1+F$24)/($A$28-F$24),Assumptions!$B$11*DCF_Base!$L$20))/(1+$A$28)^10+Assumptions!$B$8)/Assumptions!$B$9,"n/a")</f>
        <v/>
      </c>
    </row>
    <row r="29">
      <c r="A29" s="2" t="n">
        <v>0.135</v>
      </c>
      <c r="B29">
        <f>IF($A$29&gt;B$24,(SUMPRODUCT(DCF_Base!$C$20:$L$20/(1+$A$29)^DCF_Base!$C$4:$L$4)+MAX(0,MIN(DCF_Base!$L$20*(1+B$24)/($A$29-B$24),Assumptions!$B$11*DCF_Base!$L$20))/(1+$A$29)^10+Assumptions!$B$8)/Assumptions!$B$9,"n/a")</f>
        <v/>
      </c>
      <c r="C29">
        <f>IF($A$29&gt;C$24,(SUMPRODUCT(DCF_Base!$C$20:$L$20/(1+$A$29)^DCF_Base!$C$4:$L$4)+MAX(0,MIN(DCF_Base!$L$20*(1+C$24)/($A$29-C$24),Assumptions!$B$11*DCF_Base!$L$20))/(1+$A$29)^10+Assumptions!$B$8)/Assumptions!$B$9,"n/a")</f>
        <v/>
      </c>
      <c r="D29">
        <f>IF($A$29&gt;D$24,(SUMPRODUCT(DCF_Base!$C$20:$L$20/(1+$A$29)^DCF_Base!$C$4:$L$4)+MAX(0,MIN(DCF_Base!$L$20*(1+D$24)/($A$29-D$24),Assumptions!$B$11*DCF_Base!$L$20))/(1+$A$29)^10+Assumptions!$B$8)/Assumptions!$B$9,"n/a")</f>
        <v/>
      </c>
      <c r="E29">
        <f>IF($A$29&gt;E$24,(SUMPRODUCT(DCF_Base!$C$20:$L$20/(1+$A$29)^DCF_Base!$C$4:$L$4)+MAX(0,MIN(DCF_Base!$L$20*(1+E$24)/($A$29-E$24),Assumptions!$B$11*DCF_Base!$L$20))/(1+$A$29)^10+Assumptions!$B$8)/Assumptions!$B$9,"n/a")</f>
        <v/>
      </c>
      <c r="F29">
        <f>IF($A$29&gt;F$24,(SUMPRODUCT(DCF_Base!$C$20:$L$20/(1+$A$29)^DCF_Base!$C$4:$L$4)+MAX(0,MIN(DCF_Base!$L$20*(1+F$24)/($A$29-F$24),Assumptions!$B$11*DCF_Base!$L$20))/(1+$A$29)^10+Assumptions!$B$8)/Assumptions!$B$9,"n/a")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2026-08-26T07:42:23Z</dcterms:created>
  <dcterms:modified xsi:type="dcterms:W3CDTF">2026-08-26T07:42:23Z</dcterms:modified>
</cp:coreProperties>
</file>