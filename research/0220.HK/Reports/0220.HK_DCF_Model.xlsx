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<sst xmlns="http://schemas.openxmlformats.org/spreadsheetml/2006/main" count="360" uniqueCount="166">
  <si>
    <t xml:space="preserve">Ticker</t>
  </si>
  <si>
    <t xml:space="preserve">0220.HK</t>
  </si>
  <si>
    <t xml:space="preserve">Company</t>
  </si>
  <si>
    <t xml:space="preserve">Uni-President China Holdings Ltd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</si>
  <si>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</si>
  <si>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</si>
  <si>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</si>
  <si>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</si>
  <si>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(Yahoo regularMarketTime; Friday close, market shut over weekend)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</si>
  <si>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</si>
  <si>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</si>
  <si>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</si>
  <si>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</si>
  <si>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</si>
  <si>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</si>
  <si>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</si>
  <si>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</si>
  <si>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</si>
  <si>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</si>
  <si>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</si>
  <si>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</si>
  <si>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</si>
  <si>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2026-10-10T21:45:04Z</t>
  </si>
  <si>
    <t xml:space="preserve">Drivers file</t>
  </si>
  <si>
    <t xml:space="preserve">0220.HK_Drivers.json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</si>
  <si>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</si>
  <si>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</si>
  <si>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</si>
  <si>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mature, cash-rich China staples franchise valued on owner FCF: operating cash generation after capex, with interest on the RMB13.5bn deposit pile stripped out of the flows and the pile itself (net of borrowings, leases and the declared-but-unpaid dividend) added in the bridge. No SBC, so house and street bases coincide. Roughly a third of the market capitalisation is net cash, and with ~100% payout the investment case is essentially a dividend stream plus that cash.
key_risks_to_valuation: Baixiang Food share gains at the value end of instant noodles force price or promotion responses that the base margin path does not include; Beverages are 62% of revenue and tea/juice are declining; isotonic growth may not offset them; Palm oil, wheat and PET cost spikes with no pricing power (both leaders have publicly resisted price rises); Cash is held in PRC bank deposits; it is only fully accessible to HK shareholders after PRC dividend withholding tax and continued 100% payout. A change in payout policy would trap value; Related-party dependency on parent Uni-President Enterprises (2026 framework purchase agreement through 2029); RMB/HKD exchange-rate moves translate directly into the HKD value</t>
  </si>
  <si>
    <t xml:space="preserve">Data sources</t>
  </si>
  <si>
    <t xml:space="preserve">price: Yahoo Finance chart API at inputs.price_as_of (HKD); 52-week range 6.63-9.00
fx: Yahoo Finance CNYHKD=X, 2026-10-10
financials: 0220.HK FY2025 Annual Report (income statement, balance sheet, cash-flow reconciliation, notes 10, 11, 24, 25); H1 FY2026 Interim Report (balance sheet at 30 June 2026, net-cash table, dividends note); 0220.HK_Metrics.csv and kpis table
qualitative: 0220.HK_Analysis.json (2026-10-11)</t>
  </si>
  <si>
    <t xml:space="preserve">Scenario narrative: bear</t>
  </si>
  <si>
    <t xml:space="preserve">Low-cost challenger Baixiang keeps taking noodle share (5.9% in 2021 to ~15% in 2025, against Uni-President's ~18%), forcing promotional spend, while tea and juice keep shrinking and health trends erode both traditional noodles and sugared drinks. A palm-oil or wheat spike cannot be passed through under the industry's no-price-rise stance, so EBITDA margin slides to 10% - near the FY2022 9.3% trough - and revenue barely grows.</t>
  </si>
  <si>
    <t xml:space="preserve">Scenario narrative: base</t>
  </si>
  <si>
    <t xml:space="preserve">Steady #2 in a concentrated China instant-noodle market: premium SKUs (Tang Daren soup noodles, Lao Tan, Sam's Club co-creations) keep food growing mid-single digits while isotonic and sugar-free lines roughly offset declining tea and juice in the 62%-of-revenue beverage segment. Neither Uni-President nor Master Kong raises list prices, so margin gains come from mix only and plateau around 12.3% EBITDA. Revenue compounds ~3% for a decade and essentially all owner FCF is paid out.</t>
  </si>
  <si>
    <t xml:space="preserve">Scenario narrative: bull</t>
  </si>
  <si>
    <t xml:space="preserve">Premiumisation keeps working and the China consumer recovers moderately: food grows high-single digits, sports/isotonic drinks and new occasions (banquet, gifting, instant retail) return beverages to growth, and Baixiang's share gains stall as reported in 2026. Mix plus a benign palm-oil/wheat/PET cost backdrop lift EBITDA margin back toward the FY2020-21 13-14% band. Revenue ~5% CAGR over five years.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</si>
  <si>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</si>
  <si>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</si>
  <si>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</si>
  <si>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</si>
  <si>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</si>
  <si>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</si>
  <si>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</si>
  <si>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</si>
  <si>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</si>
  <si>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</si>
  <si>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</si>
  <si>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</si>
  <si>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</si>
  <si>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</si>
  <si>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</si>
  <si>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</si>
  <si>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</si>
  <si>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</si>
  <si>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</si>
  <si>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</si>
  <si>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</si>
  <si>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</si>
  <si>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</si>
  <si>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</si>
  <si>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</si>
  <si>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</si>
  <si>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</si>
  <si>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</si>
  <si>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</si>
  <si>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</si>
  <si>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</si>
  <si>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</si>
  <si>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</si>
  <si>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</si>
  <si>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</si>
  <si>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</si>
  <si>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</si>
  <si>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</si>
  <si>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</si>
  <si>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</si>
  <si>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</si>
  <si>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</si>
  <si>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</si>
  <si>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</si>
  <si>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</si>
  <si>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</si>
  <si>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</si>
  <si>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</si>
  <si>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</si>
  <si>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</si>
  <si>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</si>
  <si>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</si>
  <si>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</si>
  <si>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</si>
  <si>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</si>
  <si>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</si>
  <si>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</si>
  <si>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</si>
  <si>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</si>
  <si>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</si>
  <si>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</si>
  <si>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</si>
  <si>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</si>
  <si>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</si>
  <si>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</si>
  <si>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</si>
  <si>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</si>
  <si>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</si>
  <si>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</si>
  <si>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</si>
  <si>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</si>
  <si>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</si>
  <si>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</si>
  <si>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</si>
  <si>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0220.HK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</si>
  <si>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</si>
  <si>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</si>
  <si>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</si>
  <si>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</si>
  <si>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</si>
  <si>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</si>
  <si>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</si>
  <si>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</si>
  <si>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</si>
  <si>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</si>
  <si>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</si>
  <si>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</si>
  <si>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</si>
  <si>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</si>
  <si>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</si>
  <si>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</si>
  <si>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</si>
  <si>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</si>
  <si>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</si>
  <si>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</si>
  <si>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</si>
  <si>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</si>
  <si>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</si>
  <si>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</si>
  <si>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</si>
  <si>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</si>
  <si>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</si>
  <si>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</si>
  <si>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</si>
  <si>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</si>
  <si>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0220.HK owner-FCF component DCF: base case (millions, CNY)</t>
  </si>
  <si>
    <t xml:space="preserve">0220.HK owner-FCF component DCF: bull case (millions, CNY)</t>
  </si>
  <si>
    <t xml:space="preserve">0220.HK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</si>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</sst>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7.665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K2" s="0" t="n">
        <v>0.1406</v>
      </c>
      <c r="O2" s="0" t="n">
        <v>12040.111</v>
      </c>
      <c r="P2" s="0" t="n">
        <v>20705.427</v>
      </c>
      <c r="Q2" s="0" t="n">
        <v>8665.316</v>
      </c>
      <c r="R2" s="0" t="n">
        <v>2600.169</v>
      </c>
      <c r="S2" s="0" t="n">
        <v>2463.201</v>
      </c>
      <c r="T2" s="0" t="n">
        <v>4319.334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20821.949</v>
      </c>
      <c r="C3" s="0" t="n">
        <v>14245.011</v>
      </c>
      <c r="D3" s="0" t="n">
        <v>6576.938</v>
      </c>
      <c r="E3" s="0" t="n">
        <v>31.6</v>
      </c>
      <c r="F3" s="0" t="n">
        <v>1186.611</v>
      </c>
      <c r="G3" s="0" t="n">
        <v>5.7</v>
      </c>
      <c r="I3" s="0" t="n">
        <v>878.216</v>
      </c>
      <c r="J3" s="0" t="n">
        <v>4.2</v>
      </c>
      <c r="K3" s="0" t="n">
        <v>0.2033</v>
      </c>
      <c r="L3" s="0" t="n">
        <v>2452.763</v>
      </c>
      <c r="M3" s="0" t="n">
        <v>1000.805</v>
      </c>
      <c r="N3" s="0" t="n">
        <v>1451.958</v>
      </c>
      <c r="O3" s="0" t="n">
        <v>12815.477</v>
      </c>
      <c r="P3" s="0" t="n">
        <v>20036.552</v>
      </c>
      <c r="Q3" s="0" t="n">
        <v>7221.075</v>
      </c>
      <c r="R3" s="0" t="n">
        <v>1334.768</v>
      </c>
      <c r="S3" s="0" t="n">
        <v>2782.731</v>
      </c>
      <c r="T3" s="0" t="n">
        <v>4319.334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21772.24</v>
      </c>
      <c r="C4" s="0" t="n">
        <v>14483.641</v>
      </c>
      <c r="D4" s="0" t="n">
        <v>7288.599</v>
      </c>
      <c r="E4" s="0" t="n">
        <v>33.5</v>
      </c>
      <c r="F4" s="0" t="n">
        <v>1331.925</v>
      </c>
      <c r="G4" s="0" t="n">
        <v>6.1</v>
      </c>
      <c r="I4" s="0" t="n">
        <v>1029.704</v>
      </c>
      <c r="J4" s="0" t="n">
        <v>4.7</v>
      </c>
      <c r="K4" s="0" t="n">
        <v>0.2384</v>
      </c>
      <c r="L4" s="0" t="n">
        <v>2563.204</v>
      </c>
      <c r="M4" s="0" t="n">
        <v>915.722</v>
      </c>
      <c r="N4" s="0" t="n">
        <v>1647.482</v>
      </c>
      <c r="O4" s="0" t="n">
        <v>13222.307</v>
      </c>
      <c r="P4" s="0" t="n">
        <v>21732.558</v>
      </c>
      <c r="Q4" s="0" t="n">
        <v>8510.251</v>
      </c>
      <c r="R4" s="0" t="n">
        <v>1987.726</v>
      </c>
      <c r="S4" s="0" t="n">
        <v>4626.478</v>
      </c>
      <c r="T4" s="0" t="n">
        <v>4319.334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22019.737</v>
      </c>
      <c r="C5" s="0" t="n">
        <v>14101.447</v>
      </c>
      <c r="D5" s="0" t="n">
        <v>7918.29</v>
      </c>
      <c r="E5" s="0" t="n">
        <v>36</v>
      </c>
      <c r="F5" s="0" t="n">
        <v>1806.321</v>
      </c>
      <c r="G5" s="0" t="n">
        <v>8.2</v>
      </c>
      <c r="I5" s="0" t="n">
        <v>1366.212</v>
      </c>
      <c r="J5" s="0" t="n">
        <v>6.2</v>
      </c>
      <c r="K5" s="0" t="n">
        <v>0.3163</v>
      </c>
      <c r="L5" s="0" t="n">
        <v>2869.341</v>
      </c>
      <c r="M5" s="0" t="n">
        <v>512.25</v>
      </c>
      <c r="N5" s="0" t="n">
        <v>2357.091</v>
      </c>
      <c r="O5" s="0" t="n">
        <v>13632.93</v>
      </c>
      <c r="P5" s="0" t="n">
        <v>21757.042</v>
      </c>
      <c r="Q5" s="0" t="n">
        <v>8124.112</v>
      </c>
      <c r="R5" s="0" t="n">
        <v>1162.867</v>
      </c>
      <c r="S5" s="0" t="n">
        <v>3953.5</v>
      </c>
      <c r="T5" s="0" t="n">
        <v>4319.334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22761.822</v>
      </c>
      <c r="C6" s="0" t="n">
        <v>14695.891</v>
      </c>
      <c r="D6" s="0" t="n">
        <v>8065.931</v>
      </c>
      <c r="E6" s="0" t="n">
        <v>35.4</v>
      </c>
      <c r="F6" s="0" t="n">
        <v>2108.273</v>
      </c>
      <c r="G6" s="0" t="n">
        <v>9.3</v>
      </c>
      <c r="I6" s="0" t="n">
        <v>1625.703</v>
      </c>
      <c r="J6" s="0" t="n">
        <v>7.1</v>
      </c>
      <c r="K6" s="0" t="n">
        <v>0.3764</v>
      </c>
      <c r="L6" s="0" t="n">
        <v>3215.227</v>
      </c>
      <c r="M6" s="0" t="n">
        <v>322.335</v>
      </c>
      <c r="N6" s="0" t="n">
        <v>2892.892</v>
      </c>
      <c r="O6" s="0" t="n">
        <v>13886.533</v>
      </c>
      <c r="P6" s="0" t="n">
        <v>22104.371</v>
      </c>
      <c r="Q6" s="0" t="n">
        <v>8217.838</v>
      </c>
      <c r="R6" s="0" t="n">
        <v>487.072</v>
      </c>
      <c r="S6" s="0" t="n">
        <v>1348.431</v>
      </c>
      <c r="T6" s="0" t="n">
        <v>4319.334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25230.613</v>
      </c>
      <c r="C7" s="0" t="n">
        <v>17011.703</v>
      </c>
      <c r="D7" s="0" t="n">
        <v>8218.91</v>
      </c>
      <c r="E7" s="0" t="n">
        <v>32.6</v>
      </c>
      <c r="F7" s="0" t="n">
        <v>1905.835</v>
      </c>
      <c r="G7" s="0" t="n">
        <v>7.6</v>
      </c>
      <c r="I7" s="0" t="n">
        <v>1500.715</v>
      </c>
      <c r="J7" s="0" t="n">
        <v>5.9</v>
      </c>
      <c r="K7" s="0" t="n">
        <v>0.3474</v>
      </c>
      <c r="L7" s="0" t="n">
        <v>2421.36</v>
      </c>
      <c r="M7" s="0" t="n">
        <v>383.022</v>
      </c>
      <c r="N7" s="0" t="n">
        <v>2038.338</v>
      </c>
      <c r="O7" s="0" t="n">
        <v>13765.301</v>
      </c>
      <c r="P7" s="0" t="n">
        <v>22065.346</v>
      </c>
      <c r="Q7" s="0" t="n">
        <v>8300.045</v>
      </c>
      <c r="R7" s="0" t="n">
        <v>112.3</v>
      </c>
      <c r="S7" s="0" t="n">
        <v>2128.271</v>
      </c>
      <c r="T7" s="0" t="n">
        <v>4319.334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28257.432</v>
      </c>
      <c r="C8" s="0" t="n">
        <v>20069.515</v>
      </c>
      <c r="D8" s="0" t="n">
        <v>8187.917</v>
      </c>
      <c r="E8" s="0" t="n">
        <v>29</v>
      </c>
      <c r="F8" s="0" t="n">
        <v>1495.817</v>
      </c>
      <c r="G8" s="0" t="n">
        <v>5.3</v>
      </c>
      <c r="I8" s="0" t="n">
        <v>1222.157</v>
      </c>
      <c r="J8" s="0" t="n">
        <v>4.3</v>
      </c>
      <c r="K8" s="0" t="n">
        <v>0.283</v>
      </c>
      <c r="L8" s="0" t="n">
        <v>1430.28</v>
      </c>
      <c r="M8" s="0" t="n">
        <v>445.403</v>
      </c>
      <c r="N8" s="0" t="n">
        <v>984.877</v>
      </c>
      <c r="O8" s="0" t="n">
        <v>13181.353</v>
      </c>
      <c r="P8" s="0" t="n">
        <v>21784.355</v>
      </c>
      <c r="Q8" s="0" t="n">
        <v>8603.002</v>
      </c>
      <c r="R8" s="0" t="n">
        <v>767.756</v>
      </c>
      <c r="S8" s="0" t="n">
        <v>3122.038</v>
      </c>
      <c r="T8" s="0" t="n">
        <v>4319.334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28591.271</v>
      </c>
      <c r="C9" s="0" t="n">
        <v>19879.54</v>
      </c>
      <c r="D9" s="0" t="n">
        <v>8711.731</v>
      </c>
      <c r="E9" s="0" t="n">
        <v>30.5</v>
      </c>
      <c r="F9" s="0" t="n">
        <v>1996.46</v>
      </c>
      <c r="G9" s="0" t="n">
        <v>7</v>
      </c>
      <c r="I9" s="0" t="n">
        <v>1667.06</v>
      </c>
      <c r="J9" s="0" t="n">
        <v>5.8</v>
      </c>
      <c r="K9" s="0" t="n">
        <v>0.386</v>
      </c>
      <c r="L9" s="0" t="n">
        <v>3053.504</v>
      </c>
      <c r="M9" s="0" t="n">
        <v>959.931</v>
      </c>
      <c r="N9" s="0" t="n">
        <v>2093.573</v>
      </c>
      <c r="O9" s="0" t="n">
        <v>13382.377</v>
      </c>
      <c r="P9" s="0" t="n">
        <v>22134.218</v>
      </c>
      <c r="Q9" s="0" t="n">
        <v>8751.841</v>
      </c>
      <c r="R9" s="0" t="n">
        <v>990.647</v>
      </c>
      <c r="S9" s="0" t="n">
        <v>2495.284</v>
      </c>
      <c r="T9" s="0" t="n">
        <v>4319.334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30331.512</v>
      </c>
      <c r="C10" s="0" t="n">
        <v>20461.844</v>
      </c>
      <c r="D10" s="0" t="n">
        <v>9869.668</v>
      </c>
      <c r="E10" s="0" t="n">
        <v>32.5</v>
      </c>
      <c r="F10" s="0" t="n">
        <v>2243.905</v>
      </c>
      <c r="G10" s="0" t="n">
        <v>7.4</v>
      </c>
      <c r="I10" s="0" t="n">
        <v>1849.119</v>
      </c>
      <c r="J10" s="0" t="n">
        <v>6.1</v>
      </c>
      <c r="K10" s="0" t="n">
        <v>0.4281</v>
      </c>
      <c r="L10" s="0" t="n">
        <v>4373.264</v>
      </c>
      <c r="M10" s="0" t="n">
        <v>696.88</v>
      </c>
      <c r="N10" s="0" t="n">
        <v>3676.384</v>
      </c>
      <c r="O10" s="0" t="n">
        <v>13399.11</v>
      </c>
      <c r="P10" s="0" t="n">
        <v>23376.234</v>
      </c>
      <c r="Q10" s="0" t="n">
        <v>9977.124</v>
      </c>
      <c r="R10" s="0" t="n">
        <v>201.264</v>
      </c>
      <c r="S10" s="0" t="n">
        <v>3406.856</v>
      </c>
      <c r="T10" s="0" t="n">
        <v>4319.334</v>
      </c>
      <c r="AA10" s="0" t="s">
        <v>18</v>
      </c>
      <c r="AB10" s="0" t="s">
        <v>14</v>
      </c>
    </row>
    <row r="11" customFormat="false" ht="15" hidden="false" customHeight="false" outlineLevel="0" collapsed="false">
      <c r="A11" s="0" t="s">
        <v>73</v>
      </c>
      <c r="B11" s="0" t="n">
        <v>31714.309</v>
      </c>
      <c r="C11" s="0" t="n">
        <v>21185.101</v>
      </c>
      <c r="D11" s="0" t="n">
        <v>10529.208</v>
      </c>
      <c r="E11" s="0" t="n">
        <v>33.2</v>
      </c>
      <c r="F11" s="0" t="n">
        <v>2565.047</v>
      </c>
      <c r="G11" s="0" t="n">
        <v>8.1</v>
      </c>
      <c r="I11" s="0" t="n">
        <v>2050.234</v>
      </c>
      <c r="J11" s="0" t="n">
        <v>6.5</v>
      </c>
      <c r="K11" s="0" t="n">
        <v>0.4747</v>
      </c>
      <c r="L11" s="0" t="n">
        <v>3284.365</v>
      </c>
      <c r="M11" s="0" t="n">
        <v>1084.518</v>
      </c>
      <c r="N11" s="0" t="n">
        <v>2199.847</v>
      </c>
      <c r="O11" s="0" t="n">
        <v>13600.821</v>
      </c>
      <c r="P11" s="0" t="n">
        <v>24488.765</v>
      </c>
      <c r="Q11" s="0" t="n">
        <v>10887.944</v>
      </c>
      <c r="R11" s="0" t="n">
        <v>1041.504</v>
      </c>
      <c r="S11" s="0" t="n">
        <v>4529.778</v>
      </c>
      <c r="T11" s="0" t="n">
        <v>4319.334</v>
      </c>
      <c r="AA11" s="0" t="s">
        <v>18</v>
      </c>
      <c r="AB1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7.665</v>
      </c>
    </row>
    <row r="3" customFormat="false" ht="15" hidden="false" customHeight="false" outlineLevel="0" collapsed="false">
      <c r="A3" s="0" t="s">
        <v>77</v>
      </c>
      <c r="B3" s="3" t="n">
        <v>4319.334</v>
      </c>
    </row>
    <row r="4" customFormat="false" ht="15" hidden="false" customHeight="false" outlineLevel="0" collapsed="false">
      <c r="A4" s="0" t="s">
        <v>78</v>
      </c>
      <c r="B4" s="3" t="n">
        <v>-10935.8</v>
      </c>
    </row>
    <row r="5" customFormat="false" ht="15" hidden="false" customHeight="false" outlineLevel="0" collapsed="false">
      <c r="A5" s="0" t="s">
        <v>79</v>
      </c>
      <c r="B5" s="3" t="n">
        <v>-1290.4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31714.309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0.5</v>
      </c>
      <c r="D13" s="3" t="n">
        <v>1</v>
      </c>
      <c r="E13" s="3" t="n">
        <v>1</v>
      </c>
      <c r="F13" s="3" t="n">
        <v>1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98</v>
      </c>
      <c r="C14" s="3" t="n">
        <v>11.3</v>
      </c>
      <c r="D14" s="3" t="n">
        <v>11</v>
      </c>
      <c r="E14" s="3" t="n">
        <v>10.7</v>
      </c>
      <c r="F14" s="3" t="n">
        <v>10.5</v>
      </c>
      <c r="G14" s="3" t="n">
        <v>10.3</v>
      </c>
      <c r="H14" s="3" t="n">
        <v>10.2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3.4</v>
      </c>
      <c r="D17" s="3" t="n">
        <v>3.45</v>
      </c>
      <c r="E17" s="3" t="n">
        <v>3.5</v>
      </c>
      <c r="F17" s="3" t="n">
        <v>3.5</v>
      </c>
      <c r="G17" s="3" t="n">
        <v>3.5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102</v>
      </c>
      <c r="C18" s="3" t="n">
        <v>3.4</v>
      </c>
      <c r="D18" s="3" t="n">
        <v>3.4</v>
      </c>
      <c r="E18" s="3" t="n">
        <v>3.4</v>
      </c>
      <c r="F18" s="3" t="n">
        <v>3.4</v>
      </c>
      <c r="G18" s="3" t="n">
        <v>3.4</v>
      </c>
      <c r="H18" s="3" t="n">
        <v>3.4</v>
      </c>
      <c r="I18" s="3" t="n">
        <v>3.4</v>
      </c>
      <c r="J18" s="3" t="n">
        <v>3.4</v>
      </c>
      <c r="K18" s="3" t="n">
        <v>3.4</v>
      </c>
      <c r="L18" s="3" t="n">
        <v>3.4</v>
      </c>
    </row>
    <row r="19" customFormat="false" ht="15" hidden="false" customHeight="false" outlineLevel="0" collapsed="false">
      <c r="A19" s="0" t="s">
        <v>103</v>
      </c>
      <c r="C19" s="3" t="n">
        <v>27</v>
      </c>
      <c r="D19" s="3" t="n">
        <v>27</v>
      </c>
      <c r="E19" s="3" t="n">
        <v>27</v>
      </c>
      <c r="F19" s="3" t="n">
        <v>27</v>
      </c>
      <c r="G19" s="3" t="n">
        <v>27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104</v>
      </c>
      <c r="B20" s="3" t="n">
        <v>8</v>
      </c>
    </row>
    <row r="21" customFormat="false" ht="15" hidden="false" customHeight="false" outlineLevel="0" collapsed="false">
      <c r="A21" s="0" t="s">
        <v>105</v>
      </c>
      <c r="B21" s="3" t="n">
        <v>1.5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5</v>
      </c>
    </row>
    <row r="24" customFormat="false" ht="15" hidden="false" customHeight="false" outlineLevel="0" collapsed="false">
      <c r="A24" s="0" t="s">
        <v>108</v>
      </c>
      <c r="B24" s="3" t="n">
        <v>0.2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3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98</v>
      </c>
      <c r="C28" s="3" t="n">
        <v>12</v>
      </c>
      <c r="D28" s="3" t="n">
        <v>12.1</v>
      </c>
      <c r="E28" s="3" t="n">
        <v>12.2</v>
      </c>
      <c r="F28" s="3" t="n">
        <v>12.3</v>
      </c>
      <c r="G28" s="3" t="n">
        <v>12.3</v>
      </c>
      <c r="H28" s="3" t="n">
        <v>12.3</v>
      </c>
      <c r="I28" s="3" t="n">
        <v>12.3</v>
      </c>
      <c r="J28" s="3" t="n">
        <v>12.3</v>
      </c>
      <c r="K28" s="3" t="n">
        <v>12.3</v>
      </c>
      <c r="L28" s="3" t="n">
        <v>12.3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3.4</v>
      </c>
      <c r="D31" s="3" t="n">
        <v>3.4</v>
      </c>
      <c r="E31" s="3" t="n">
        <v>3.4</v>
      </c>
      <c r="F31" s="3" t="n">
        <v>3.35</v>
      </c>
      <c r="G31" s="3" t="n">
        <v>3.35</v>
      </c>
      <c r="H31" s="3" t="n">
        <v>3.3</v>
      </c>
      <c r="I31" s="3" t="n">
        <v>3.3</v>
      </c>
      <c r="J31" s="3" t="n">
        <v>3.3</v>
      </c>
      <c r="K31" s="3" t="n">
        <v>3.3</v>
      </c>
      <c r="L31" s="3" t="n">
        <v>3.3</v>
      </c>
    </row>
    <row r="32" customFormat="false" ht="15" hidden="false" customHeight="false" outlineLevel="0" collapsed="false">
      <c r="A32" s="0" t="s">
        <v>102</v>
      </c>
      <c r="C32" s="3" t="n">
        <v>3.2</v>
      </c>
      <c r="D32" s="3" t="n">
        <v>3.3</v>
      </c>
      <c r="E32" s="3" t="n">
        <v>3.3</v>
      </c>
      <c r="F32" s="3" t="n">
        <v>3.3</v>
      </c>
      <c r="G32" s="3" t="n">
        <v>3.3</v>
      </c>
      <c r="H32" s="3" t="n">
        <v>3.3</v>
      </c>
      <c r="I32" s="3" t="n">
        <v>3.3</v>
      </c>
      <c r="J32" s="3" t="n">
        <v>3.3</v>
      </c>
      <c r="K32" s="3" t="n">
        <v>3.3</v>
      </c>
      <c r="L32" s="3" t="n">
        <v>3.3</v>
      </c>
    </row>
    <row r="33" customFormat="false" ht="15" hidden="false" customHeight="false" outlineLevel="0" collapsed="false">
      <c r="A33" s="0" t="s">
        <v>103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104</v>
      </c>
      <c r="B34" s="3" t="n">
        <v>8</v>
      </c>
    </row>
    <row r="35" customFormat="false" ht="15" hidden="false" customHeight="false" outlineLevel="0" collapsed="false">
      <c r="A35" s="0" t="s">
        <v>105</v>
      </c>
      <c r="B35" s="3" t="n">
        <v>2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5</v>
      </c>
    </row>
    <row r="38" customFormat="false" ht="15" hidden="false" customHeight="false" outlineLevel="0" collapsed="false">
      <c r="A38" s="0" t="s">
        <v>108</v>
      </c>
      <c r="B38" s="3" t="n">
        <v>0.55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4.5</v>
      </c>
      <c r="D41" s="3" t="n">
        <v>6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2.5</v>
      </c>
    </row>
    <row r="42" customFormat="false" ht="15" hidden="false" customHeight="false" outlineLevel="0" collapsed="false">
      <c r="A42" s="0" t="s">
        <v>98</v>
      </c>
      <c r="C42" s="3" t="n">
        <v>12.3</v>
      </c>
      <c r="D42" s="3" t="n">
        <v>12.6</v>
      </c>
      <c r="E42" s="3" t="n">
        <v>12.9</v>
      </c>
      <c r="F42" s="3" t="n">
        <v>13.2</v>
      </c>
      <c r="G42" s="3" t="n">
        <v>13.5</v>
      </c>
      <c r="H42" s="3" t="n">
        <v>13.6</v>
      </c>
      <c r="I42" s="3" t="n">
        <v>13.7</v>
      </c>
      <c r="J42" s="3" t="n">
        <v>13.8</v>
      </c>
      <c r="K42" s="3" t="n">
        <v>13.8</v>
      </c>
      <c r="L42" s="3" t="n">
        <v>13.8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3.4</v>
      </c>
      <c r="D45" s="3" t="n">
        <v>3.4</v>
      </c>
      <c r="E45" s="3" t="n">
        <v>3.4</v>
      </c>
      <c r="F45" s="3" t="n">
        <v>3.35</v>
      </c>
      <c r="G45" s="3" t="n">
        <v>3.35</v>
      </c>
      <c r="H45" s="3" t="n">
        <v>3.3</v>
      </c>
      <c r="I45" s="3" t="n">
        <v>3.3</v>
      </c>
      <c r="J45" s="3" t="n">
        <v>3.3</v>
      </c>
      <c r="K45" s="3" t="n">
        <v>3.3</v>
      </c>
      <c r="L45" s="3" t="n">
        <v>3.3</v>
      </c>
    </row>
    <row r="46" customFormat="false" ht="15" hidden="false" customHeight="false" outlineLevel="0" collapsed="false">
      <c r="A46" s="0" t="s">
        <v>102</v>
      </c>
      <c r="C46" s="3" t="n">
        <v>3.3</v>
      </c>
      <c r="D46" s="3" t="n">
        <v>3.5</v>
      </c>
      <c r="E46" s="3" t="n">
        <v>3.5</v>
      </c>
      <c r="F46" s="3" t="n">
        <v>3.5</v>
      </c>
      <c r="G46" s="3" t="n">
        <v>3.4</v>
      </c>
      <c r="H46" s="3" t="n">
        <v>3.4</v>
      </c>
      <c r="I46" s="3" t="n">
        <v>3.4</v>
      </c>
      <c r="J46" s="3" t="n">
        <v>3.4</v>
      </c>
      <c r="K46" s="3" t="n">
        <v>3.4</v>
      </c>
      <c r="L46" s="3" t="n">
        <v>3.4</v>
      </c>
    </row>
    <row r="47" customFormat="false" ht="15" hidden="false" customHeight="false" outlineLevel="0" collapsed="false">
      <c r="A47" s="0" t="s">
        <v>103</v>
      </c>
      <c r="C47" s="3" t="n">
        <v>27</v>
      </c>
      <c r="D47" s="3" t="n">
        <v>27</v>
      </c>
      <c r="E47" s="3" t="n">
        <v>27</v>
      </c>
      <c r="F47" s="3" t="n">
        <v>27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104</v>
      </c>
      <c r="B48" s="3" t="n">
        <v>8</v>
      </c>
    </row>
    <row r="49" customFormat="false" ht="15" hidden="false" customHeight="false" outlineLevel="0" collapsed="false">
      <c r="A49" s="0" t="s">
        <v>105</v>
      </c>
      <c r="B49" s="3" t="n">
        <v>2.5</v>
      </c>
    </row>
    <row r="50" customFormat="false" ht="15" hidden="false" customHeight="false" outlineLevel="0" collapsed="false">
      <c r="A50" s="0" t="s">
        <v>106</v>
      </c>
      <c r="B50" s="3" t="n">
        <v>15</v>
      </c>
    </row>
    <row r="51" customFormat="false" ht="15" hidden="false" customHeight="false" outlineLevel="0" collapsed="false">
      <c r="A51" s="0" t="s">
        <v>107</v>
      </c>
      <c r="B51" s="3" t="n">
        <v>5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0.5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31714.309</v>
      </c>
      <c r="C6" s="0" t="n">
        <f aca="false">B6*(1+C5/100)</f>
        <v>31872.880545</v>
      </c>
      <c r="D6" s="0" t="n">
        <f aca="false">C6*(1+D5/100)</f>
        <v>32191.60935045</v>
      </c>
      <c r="E6" s="0" t="n">
        <f aca="false">D6*(1+E5/100)</f>
        <v>32513.5254439545</v>
      </c>
      <c r="F6" s="0" t="n">
        <f aca="false">E6*(1+F5/100)</f>
        <v>32838.660698394</v>
      </c>
      <c r="G6" s="0" t="n">
        <f aca="false">F6*(1+G5/100)</f>
        <v>33331.24060887</v>
      </c>
      <c r="H6" s="0" t="n">
        <f aca="false">G6*(1+H5/100)</f>
        <v>33831.209218003</v>
      </c>
      <c r="I6" s="0" t="n">
        <f aca="false">H6*(1+I5/100)</f>
        <v>34338.677356273</v>
      </c>
      <c r="J6" s="0" t="n">
        <f aca="false">I6*(1+J5/100)</f>
        <v>34853.7575166171</v>
      </c>
      <c r="K6" s="0" t="n">
        <f aca="false">J6*(1+K5/100)</f>
        <v>35376.5638793664</v>
      </c>
      <c r="L6" s="0" t="n">
        <f aca="false">K6*(1+L5/100)</f>
        <v>35907.2123375569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11.3</v>
      </c>
      <c r="D7" s="4" t="n">
        <f aca="false">Assumptions!D14</f>
        <v>11</v>
      </c>
      <c r="E7" s="4" t="n">
        <f aca="false">Assumptions!E14</f>
        <v>10.7</v>
      </c>
      <c r="F7" s="4" t="n">
        <f aca="false">Assumptions!F14</f>
        <v>10.5</v>
      </c>
      <c r="G7" s="4" t="n">
        <f aca="false">Assumptions!G14</f>
        <v>10.3</v>
      </c>
      <c r="H7" s="4" t="n">
        <f aca="false">Assumptions!H14</f>
        <v>10.2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3601.635501585</v>
      </c>
      <c r="D8" s="0" t="n">
        <f aca="false">D6*D7/100</f>
        <v>3541.0770285495</v>
      </c>
      <c r="E8" s="0" t="n">
        <f aca="false">E6*E7/100</f>
        <v>3478.94722250313</v>
      </c>
      <c r="F8" s="0" t="n">
        <f aca="false">F6*F7/100</f>
        <v>3448.05937333137</v>
      </c>
      <c r="G8" s="0" t="n">
        <f aca="false">G6*G7/100</f>
        <v>3433.11778271361</v>
      </c>
      <c r="H8" s="0" t="n">
        <f aca="false">H6*H7/100</f>
        <v>3450.78334023631</v>
      </c>
      <c r="I8" s="0" t="n">
        <f aca="false">I6*I7/100</f>
        <v>3433.8677356273</v>
      </c>
      <c r="J8" s="0" t="n">
        <f aca="false">J6*J7/100</f>
        <v>3485.37575166171</v>
      </c>
      <c r="K8" s="0" t="n">
        <f aca="false">K6*K7/100</f>
        <v>3537.65638793664</v>
      </c>
      <c r="L8" s="0" t="n">
        <f aca="false">L6*L7/100</f>
        <v>3590.72123375569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3601.635501585</v>
      </c>
      <c r="D11" s="0" t="n">
        <f aca="false">D8+D10+D24</f>
        <v>3541.0770285495</v>
      </c>
      <c r="E11" s="0" t="n">
        <f aca="false">E8+E10+E24</f>
        <v>3478.94722250313</v>
      </c>
      <c r="F11" s="0" t="n">
        <f aca="false">F8+F10+F24</f>
        <v>3448.05937333137</v>
      </c>
      <c r="G11" s="0" t="n">
        <f aca="false">G8+G10+G24</f>
        <v>3433.11778271361</v>
      </c>
      <c r="H11" s="0" t="n">
        <f aca="false">H8+H10+H24</f>
        <v>3450.78334023631</v>
      </c>
      <c r="I11" s="0" t="n">
        <f aca="false">I8+I10+I24</f>
        <v>3433.8677356273</v>
      </c>
      <c r="J11" s="0" t="n">
        <f aca="false">J8+J10+J24</f>
        <v>3485.37575166171</v>
      </c>
      <c r="K11" s="0" t="n">
        <f aca="false">K8+K10+K24</f>
        <v>3537.65638793664</v>
      </c>
      <c r="L11" s="0" t="n">
        <f aca="false">L8+L10+L24</f>
        <v>3590.72123375569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-1083.67793853</v>
      </c>
      <c r="D12" s="4" t="n">
        <f aca="false">-D6*Assumptions!D17/100</f>
        <v>-1110.61052259052</v>
      </c>
      <c r="E12" s="4" t="n">
        <f aca="false">-E6*Assumptions!E17/100</f>
        <v>-1137.97339053841</v>
      </c>
      <c r="F12" s="4" t="n">
        <f aca="false">-F6*Assumptions!F17/100</f>
        <v>-1149.35312444379</v>
      </c>
      <c r="G12" s="4" t="n">
        <f aca="false">-G6*Assumptions!G17/100</f>
        <v>-1166.59342131045</v>
      </c>
      <c r="H12" s="4" t="n">
        <f aca="false">-H6*Assumptions!H17/100</f>
        <v>-1184.0923226301</v>
      </c>
      <c r="I12" s="4" t="n">
        <f aca="false">-I6*Assumptions!I17/100</f>
        <v>-1201.85370746956</v>
      </c>
      <c r="J12" s="4" t="n">
        <f aca="false">-J6*Assumptions!J17/100</f>
        <v>-1219.8815130816</v>
      </c>
      <c r="K12" s="4" t="n">
        <f aca="false">-K6*Assumptions!K17/100</f>
        <v>-1238.17973577782</v>
      </c>
      <c r="L12" s="4" t="n">
        <f aca="false">-L6*Assumptions!L17/100</f>
        <v>-1256.75243181449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2517.957563055</v>
      </c>
      <c r="D13" s="0" t="n">
        <f aca="false">D11+D12</f>
        <v>2430.46650595897</v>
      </c>
      <c r="E13" s="0" t="n">
        <f aca="false">E11+E12</f>
        <v>2340.97383196472</v>
      </c>
      <c r="F13" s="0" t="n">
        <f aca="false">F11+F12</f>
        <v>2298.70624888758</v>
      </c>
      <c r="G13" s="0" t="n">
        <f aca="false">G11+G12</f>
        <v>2266.52436140316</v>
      </c>
      <c r="H13" s="0" t="n">
        <f aca="false">H11+H12</f>
        <v>2266.6910176062</v>
      </c>
      <c r="I13" s="0" t="n">
        <f aca="false">I11+I12</f>
        <v>2232.01402815775</v>
      </c>
      <c r="J13" s="0" t="n">
        <f aca="false">J11+J12</f>
        <v>2265.49423858011</v>
      </c>
      <c r="K13" s="0" t="n">
        <f aca="false">K11+K12</f>
        <v>2299.47665215881</v>
      </c>
      <c r="L13" s="0" t="n">
        <f aca="false">L11+L12</f>
        <v>2333.9688019412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27</v>
      </c>
      <c r="D14" s="4" t="n">
        <f aca="false">Assumptions!D19</f>
        <v>27</v>
      </c>
      <c r="E14" s="4" t="n">
        <f aca="false">Assumptions!E19</f>
        <v>27</v>
      </c>
      <c r="F14" s="4" t="n">
        <f aca="false">Assumptions!F19</f>
        <v>27</v>
      </c>
      <c r="G14" s="4" t="n">
        <f aca="false">Assumptions!G19</f>
        <v>27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1838.10902103015</v>
      </c>
      <c r="D15" s="0" t="n">
        <f aca="false">D13-MAX(0,D13)*D14/100</f>
        <v>1774.24054935005</v>
      </c>
      <c r="E15" s="0" t="n">
        <f aca="false">E13-MAX(0,E13)*E14/100</f>
        <v>1708.91089733425</v>
      </c>
      <c r="F15" s="0" t="n">
        <f aca="false">F13-MAX(0,F13)*F14/100</f>
        <v>1678.05556168794</v>
      </c>
      <c r="G15" s="0" t="n">
        <f aca="false">G13-MAX(0,G13)*G14/100</f>
        <v>1654.5627838243</v>
      </c>
      <c r="H15" s="0" t="n">
        <f aca="false">H13-MAX(0,H13)*H14/100</f>
        <v>1654.68444285253</v>
      </c>
      <c r="I15" s="0" t="n">
        <f aca="false">I13-MAX(0,I13)*I14/100</f>
        <v>1629.37024055516</v>
      </c>
      <c r="J15" s="0" t="n">
        <f aca="false">J13-MAX(0,J13)*J14/100</f>
        <v>1653.81079416348</v>
      </c>
      <c r="K15" s="0" t="n">
        <f aca="false">K13-MAX(0,K13)*K14/100</f>
        <v>1678.61795607593</v>
      </c>
      <c r="L15" s="0" t="n">
        <f aca="false">L13-MAX(0,L13)*L14/100</f>
        <v>1703.79722541707</v>
      </c>
    </row>
    <row r="16" customFormat="false" ht="15" hidden="false" customHeight="false" outlineLevel="0" collapsed="false">
      <c r="A16" s="0" t="s">
        <v>119</v>
      </c>
      <c r="C16" s="0" t="n">
        <f aca="false">-C12</f>
        <v>1083.67793853</v>
      </c>
      <c r="D16" s="0" t="n">
        <f aca="false">-D12</f>
        <v>1110.61052259052</v>
      </c>
      <c r="E16" s="0" t="n">
        <f aca="false">-E12</f>
        <v>1137.97339053841</v>
      </c>
      <c r="F16" s="0" t="n">
        <f aca="false">-F12</f>
        <v>1149.35312444379</v>
      </c>
      <c r="G16" s="0" t="n">
        <f aca="false">-G12</f>
        <v>1166.59342131045</v>
      </c>
      <c r="H16" s="0" t="n">
        <f aca="false">-H12</f>
        <v>1184.0923226301</v>
      </c>
      <c r="I16" s="0" t="n">
        <f aca="false">-I12</f>
        <v>1201.85370746956</v>
      </c>
      <c r="J16" s="0" t="n">
        <f aca="false">-J12</f>
        <v>1219.8815130816</v>
      </c>
      <c r="K16" s="0" t="n">
        <f aca="false">-K12</f>
        <v>1238.17973577782</v>
      </c>
      <c r="L16" s="0" t="n">
        <f aca="false">-L12</f>
        <v>1256.75243181449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-1083.67793853</v>
      </c>
      <c r="D17" s="4" t="n">
        <f aca="false">-D6*Assumptions!D18/100</f>
        <v>-1094.5147179153</v>
      </c>
      <c r="E17" s="4" t="n">
        <f aca="false">-E6*Assumptions!E18/100</f>
        <v>-1105.45986509445</v>
      </c>
      <c r="F17" s="4" t="n">
        <f aca="false">-F6*Assumptions!F18/100</f>
        <v>-1116.5144637454</v>
      </c>
      <c r="G17" s="4" t="n">
        <f aca="false">-G6*Assumptions!G18/100</f>
        <v>-1133.26218070158</v>
      </c>
      <c r="H17" s="4" t="n">
        <f aca="false">-H6*Assumptions!H18/100</f>
        <v>-1150.2611134121</v>
      </c>
      <c r="I17" s="4" t="n">
        <f aca="false">-I6*Assumptions!I18/100</f>
        <v>-1167.51503011328</v>
      </c>
      <c r="J17" s="4" t="n">
        <f aca="false">-J6*Assumptions!J18/100</f>
        <v>-1185.02775556498</v>
      </c>
      <c r="K17" s="4" t="n">
        <f aca="false">-K6*Assumptions!K18/100</f>
        <v>-1202.80317189846</v>
      </c>
      <c r="L17" s="4" t="n">
        <f aca="false">-L6*Assumptions!L18/100</f>
        <v>-1220.84521947693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7.92857724999976</v>
      </c>
      <c r="D18" s="4" t="n">
        <f aca="false">(D6-C6)*Assumptions!$B$23/100</f>
        <v>15.9364402724999</v>
      </c>
      <c r="E18" s="4" t="n">
        <f aca="false">(E6-D6)*Assumptions!$B$23/100</f>
        <v>16.095804675225</v>
      </c>
      <c r="F18" s="4" t="n">
        <f aca="false">(F6-E6)*Assumptions!$B$23/100</f>
        <v>16.2567627219774</v>
      </c>
      <c r="G18" s="4" t="n">
        <f aca="false">(G6-F6)*Assumptions!$B$23/100</f>
        <v>24.6289955237953</v>
      </c>
      <c r="H18" s="4" t="n">
        <f aca="false">(H6-G6)*Assumptions!$B$23/100</f>
        <v>24.9984304566522</v>
      </c>
      <c r="I18" s="4" t="n">
        <f aca="false">(I6-H6)*Assumptions!$B$23/100</f>
        <v>25.3734069135022</v>
      </c>
      <c r="J18" s="4" t="n">
        <f aca="false">(J6-I6)*Assumptions!$B$23/100</f>
        <v>25.7540080172046</v>
      </c>
      <c r="K18" s="4" t="n">
        <f aca="false">(K6-J6)*Assumptions!$B$23/100</f>
        <v>26.1403181374626</v>
      </c>
      <c r="L18" s="4" t="n">
        <f aca="false">(L6-K6)*Assumptions!$B$23/100</f>
        <v>26.5324229095248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1846.03759828015</v>
      </c>
      <c r="D19" s="0" t="n">
        <f aca="false">D15+D16+D17+D18</f>
        <v>1806.27279429778</v>
      </c>
      <c r="E19" s="0" t="n">
        <f aca="false">E15+E16+E17+E18</f>
        <v>1757.52022745343</v>
      </c>
      <c r="F19" s="0" t="n">
        <f aca="false">F15+F16+F17+F18</f>
        <v>1727.15098510831</v>
      </c>
      <c r="G19" s="0" t="n">
        <f aca="false">G15+G16+G17+G18</f>
        <v>1712.52301995697</v>
      </c>
      <c r="H19" s="0" t="n">
        <f aca="false">H15+H16+H17+H18</f>
        <v>1713.51408252718</v>
      </c>
      <c r="I19" s="0" t="n">
        <f aca="false">I15+I16+I17+I18</f>
        <v>1689.08232482493</v>
      </c>
      <c r="J19" s="0" t="n">
        <f aca="false">J15+J16+J17+J18</f>
        <v>1714.4185596973</v>
      </c>
      <c r="K19" s="0" t="n">
        <f aca="false">K15+K16+K17+K18</f>
        <v>1740.13483809276</v>
      </c>
      <c r="L19" s="0" t="n">
        <f aca="false">L15+L16+L17+L18</f>
        <v>1766.23686066416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1709.29407248162</v>
      </c>
      <c r="D21" s="0" t="n">
        <f aca="false">D19*D20</f>
        <v>1548.58778660646</v>
      </c>
      <c r="E21" s="0" t="n">
        <f aca="false">E19*E20</f>
        <v>1395.17622079763</v>
      </c>
      <c r="F21" s="0" t="n">
        <f aca="false">F19*F20</f>
        <v>1269.50753434141</v>
      </c>
      <c r="G21" s="0" t="n">
        <f aca="false">G19*G20</f>
        <v>1165.51439191621</v>
      </c>
      <c r="H21" s="0" t="n">
        <f aca="false">H19*H20</f>
        <v>1079.8045300451</v>
      </c>
      <c r="I21" s="0" t="n">
        <f aca="false">I19*I20</f>
        <v>985.563313342383</v>
      </c>
      <c r="J21" s="0" t="n">
        <f aca="false">J19*J20</f>
        <v>926.247002817146</v>
      </c>
      <c r="K21" s="0" t="n">
        <f aca="false">K19*K20</f>
        <v>870.500655425374</v>
      </c>
      <c r="L21" s="0" t="n">
        <f aca="false">L19*L20</f>
        <v>818.109412274772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11768.3049200481</v>
      </c>
    </row>
    <row r="31" customFormat="false" ht="15" hidden="false" customHeight="false" outlineLevel="0" collapsed="false">
      <c r="A31" s="0" t="s">
        <v>128</v>
      </c>
      <c r="B31" s="0" t="n">
        <f aca="false">L19</f>
        <v>1766.23686066416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27580.4679011403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26493.5529099623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26493.5529099623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12271.6411841216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24039.9461041697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33685.3461041697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9.14089861277162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0.192550373486186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9.14089861277162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13279.4845449935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5.90507715128693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3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31714.309</v>
      </c>
      <c r="C6" s="0" t="n">
        <f aca="false">B6*(1+C5/100)</f>
        <v>32665.73827</v>
      </c>
      <c r="D6" s="0" t="n">
        <f aca="false">C6*(1+D5/100)</f>
        <v>33972.3678008</v>
      </c>
      <c r="E6" s="0" t="n">
        <f aca="false">D6*(1+E5/100)</f>
        <v>35331.262512832</v>
      </c>
      <c r="F6" s="0" t="n">
        <f aca="false">E6*(1+F5/100)</f>
        <v>36567.8567007811</v>
      </c>
      <c r="G6" s="0" t="n">
        <f aca="false">F6*(1+G5/100)</f>
        <v>37847.7316853085</v>
      </c>
      <c r="H6" s="0" t="n">
        <f aca="false">G6*(1+H5/100)</f>
        <v>38983.1636358677</v>
      </c>
      <c r="I6" s="0" t="n">
        <f aca="false">H6*(1+I5/100)</f>
        <v>40152.6585449438</v>
      </c>
      <c r="J6" s="0" t="n">
        <f aca="false">I6*(1+J5/100)</f>
        <v>41156.4750085673</v>
      </c>
      <c r="K6" s="0" t="n">
        <f aca="false">J6*(1+K5/100)</f>
        <v>42185.3868837815</v>
      </c>
      <c r="L6" s="0" t="n">
        <f aca="false">K6*(1+L5/100)</f>
        <v>43029.0946214571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12</v>
      </c>
      <c r="D7" s="4" t="n">
        <f aca="false">Assumptions!D28</f>
        <v>12.1</v>
      </c>
      <c r="E7" s="4" t="n">
        <f aca="false">Assumptions!E28</f>
        <v>12.2</v>
      </c>
      <c r="F7" s="4" t="n">
        <f aca="false">Assumptions!F28</f>
        <v>12.3</v>
      </c>
      <c r="G7" s="4" t="n">
        <f aca="false">Assumptions!G28</f>
        <v>12.3</v>
      </c>
      <c r="H7" s="4" t="n">
        <f aca="false">Assumptions!H28</f>
        <v>12.3</v>
      </c>
      <c r="I7" s="4" t="n">
        <f aca="false">Assumptions!I28</f>
        <v>12.3</v>
      </c>
      <c r="J7" s="4" t="n">
        <f aca="false">Assumptions!J28</f>
        <v>12.3</v>
      </c>
      <c r="K7" s="4" t="n">
        <f aca="false">Assumptions!K28</f>
        <v>12.3</v>
      </c>
      <c r="L7" s="4" t="n">
        <f aca="false">Assumptions!L28</f>
        <v>12.3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3919.8885924</v>
      </c>
      <c r="D8" s="0" t="n">
        <f aca="false">D6*D7/100</f>
        <v>4110.6565038968</v>
      </c>
      <c r="E8" s="0" t="n">
        <f aca="false">E6*E7/100</f>
        <v>4310.4140265655</v>
      </c>
      <c r="F8" s="0" t="n">
        <f aca="false">F6*F7/100</f>
        <v>4497.84637419608</v>
      </c>
      <c r="G8" s="0" t="n">
        <f aca="false">G6*G7/100</f>
        <v>4655.27099729294</v>
      </c>
      <c r="H8" s="0" t="n">
        <f aca="false">H6*H7/100</f>
        <v>4794.92912721173</v>
      </c>
      <c r="I8" s="0" t="n">
        <f aca="false">I6*I7/100</f>
        <v>4938.77700102808</v>
      </c>
      <c r="J8" s="0" t="n">
        <f aca="false">J6*J7/100</f>
        <v>5062.24642605378</v>
      </c>
      <c r="K8" s="0" t="n">
        <f aca="false">K6*K7/100</f>
        <v>5188.80258670513</v>
      </c>
      <c r="L8" s="0" t="n">
        <f aca="false">L6*L7/100</f>
        <v>5292.57863843923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3919.8885924</v>
      </c>
      <c r="D11" s="0" t="n">
        <f aca="false">D8+D10+D24</f>
        <v>4110.6565038968</v>
      </c>
      <c r="E11" s="0" t="n">
        <f aca="false">E8+E10+E24</f>
        <v>4310.4140265655</v>
      </c>
      <c r="F11" s="0" t="n">
        <f aca="false">F8+F10+F24</f>
        <v>4497.84637419608</v>
      </c>
      <c r="G11" s="0" t="n">
        <f aca="false">G8+G10+G24</f>
        <v>4655.27099729294</v>
      </c>
      <c r="H11" s="0" t="n">
        <f aca="false">H8+H10+H24</f>
        <v>4794.92912721173</v>
      </c>
      <c r="I11" s="0" t="n">
        <f aca="false">I8+I10+I24</f>
        <v>4938.77700102808</v>
      </c>
      <c r="J11" s="0" t="n">
        <f aca="false">J8+J10+J24</f>
        <v>5062.24642605378</v>
      </c>
      <c r="K11" s="0" t="n">
        <f aca="false">K8+K10+K24</f>
        <v>5188.80258670513</v>
      </c>
      <c r="L11" s="0" t="n">
        <f aca="false">L8+L10+L24</f>
        <v>5292.57863843923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-1110.63510118</v>
      </c>
      <c r="D12" s="4" t="n">
        <f aca="false">-D6*Assumptions!D31/100</f>
        <v>-1155.0605052272</v>
      </c>
      <c r="E12" s="4" t="n">
        <f aca="false">-E6*Assumptions!E31/100</f>
        <v>-1201.26292543629</v>
      </c>
      <c r="F12" s="4" t="n">
        <f aca="false">-F6*Assumptions!F31/100</f>
        <v>-1225.02319947617</v>
      </c>
      <c r="G12" s="4" t="n">
        <f aca="false">-G6*Assumptions!G31/100</f>
        <v>-1267.89901145783</v>
      </c>
      <c r="H12" s="4" t="n">
        <f aca="false">-H6*Assumptions!H31/100</f>
        <v>-1286.44439998363</v>
      </c>
      <c r="I12" s="4" t="n">
        <f aca="false">-I6*Assumptions!I31/100</f>
        <v>-1325.03773198314</v>
      </c>
      <c r="J12" s="4" t="n">
        <f aca="false">-J6*Assumptions!J31/100</f>
        <v>-1358.16367528272</v>
      </c>
      <c r="K12" s="4" t="n">
        <f aca="false">-K6*Assumptions!K31/100</f>
        <v>-1392.11776716479</v>
      </c>
      <c r="L12" s="4" t="n">
        <f aca="false">-L6*Assumptions!L31/100</f>
        <v>-1419.96012250809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2809.25349122</v>
      </c>
      <c r="D13" s="0" t="n">
        <f aca="false">D11+D12</f>
        <v>2955.5959986696</v>
      </c>
      <c r="E13" s="0" t="n">
        <f aca="false">E11+E12</f>
        <v>3109.15110112922</v>
      </c>
      <c r="F13" s="0" t="n">
        <f aca="false">F11+F12</f>
        <v>3272.82317471991</v>
      </c>
      <c r="G13" s="0" t="n">
        <f aca="false">G11+G12</f>
        <v>3387.37198583511</v>
      </c>
      <c r="H13" s="0" t="n">
        <f aca="false">H11+H12</f>
        <v>3508.48472722809</v>
      </c>
      <c r="I13" s="0" t="n">
        <f aca="false">I11+I12</f>
        <v>3613.73926904494</v>
      </c>
      <c r="J13" s="0" t="n">
        <f aca="false">J11+J12</f>
        <v>3704.08275077106</v>
      </c>
      <c r="K13" s="0" t="n">
        <f aca="false">K11+K12</f>
        <v>3796.68481954034</v>
      </c>
      <c r="L13" s="0" t="n">
        <f aca="false">L11+L12</f>
        <v>3872.61851593114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2050.7550485906</v>
      </c>
      <c r="D15" s="0" t="n">
        <f aca="false">D13-MAX(0,D13)*D14/100</f>
        <v>2157.58507902881</v>
      </c>
      <c r="E15" s="0" t="n">
        <f aca="false">E13-MAX(0,E13)*E14/100</f>
        <v>2269.68030382433</v>
      </c>
      <c r="F15" s="0" t="n">
        <f aca="false">F13-MAX(0,F13)*F14/100</f>
        <v>2389.16091754553</v>
      </c>
      <c r="G15" s="0" t="n">
        <f aca="false">G13-MAX(0,G13)*G14/100</f>
        <v>2472.78154965963</v>
      </c>
      <c r="H15" s="0" t="n">
        <f aca="false">H13-MAX(0,H13)*H14/100</f>
        <v>2561.19385087651</v>
      </c>
      <c r="I15" s="0" t="n">
        <f aca="false">I13-MAX(0,I13)*I14/100</f>
        <v>2638.0296664028</v>
      </c>
      <c r="J15" s="0" t="n">
        <f aca="false">J13-MAX(0,J13)*J14/100</f>
        <v>2703.98040806287</v>
      </c>
      <c r="K15" s="0" t="n">
        <f aca="false">K13-MAX(0,K13)*K14/100</f>
        <v>2771.57991826445</v>
      </c>
      <c r="L15" s="0" t="n">
        <f aca="false">L13-MAX(0,L13)*L14/100</f>
        <v>2827.01151662974</v>
      </c>
    </row>
    <row r="16" customFormat="false" ht="15" hidden="false" customHeight="false" outlineLevel="0" collapsed="false">
      <c r="A16" s="0" t="s">
        <v>119</v>
      </c>
      <c r="C16" s="0" t="n">
        <f aca="false">-C12</f>
        <v>1110.63510118</v>
      </c>
      <c r="D16" s="0" t="n">
        <f aca="false">-D12</f>
        <v>1155.0605052272</v>
      </c>
      <c r="E16" s="0" t="n">
        <f aca="false">-E12</f>
        <v>1201.26292543629</v>
      </c>
      <c r="F16" s="0" t="n">
        <f aca="false">-F12</f>
        <v>1225.02319947617</v>
      </c>
      <c r="G16" s="0" t="n">
        <f aca="false">-G12</f>
        <v>1267.89901145783</v>
      </c>
      <c r="H16" s="0" t="n">
        <f aca="false">-H12</f>
        <v>1286.44439998363</v>
      </c>
      <c r="I16" s="0" t="n">
        <f aca="false">-I12</f>
        <v>1325.03773198314</v>
      </c>
      <c r="J16" s="0" t="n">
        <f aca="false">-J12</f>
        <v>1358.16367528272</v>
      </c>
      <c r="K16" s="0" t="n">
        <f aca="false">-K12</f>
        <v>1392.11776716479</v>
      </c>
      <c r="L16" s="0" t="n">
        <f aca="false">-L12</f>
        <v>1419.96012250809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-1045.30362464</v>
      </c>
      <c r="D17" s="4" t="n">
        <f aca="false">-D6*Assumptions!D32/100</f>
        <v>-1121.0881374264</v>
      </c>
      <c r="E17" s="4" t="n">
        <f aca="false">-E6*Assumptions!E32/100</f>
        <v>-1165.93166292346</v>
      </c>
      <c r="F17" s="4" t="n">
        <f aca="false">-F6*Assumptions!F32/100</f>
        <v>-1206.73927112578</v>
      </c>
      <c r="G17" s="4" t="n">
        <f aca="false">-G6*Assumptions!G32/100</f>
        <v>-1248.97514561518</v>
      </c>
      <c r="H17" s="4" t="n">
        <f aca="false">-H6*Assumptions!H32/100</f>
        <v>-1286.44439998363</v>
      </c>
      <c r="I17" s="4" t="n">
        <f aca="false">-I6*Assumptions!I32/100</f>
        <v>-1325.03773198314</v>
      </c>
      <c r="J17" s="4" t="n">
        <f aca="false">-J6*Assumptions!J32/100</f>
        <v>-1358.16367528272</v>
      </c>
      <c r="K17" s="4" t="n">
        <f aca="false">-K6*Assumptions!K32/100</f>
        <v>-1392.11776716479</v>
      </c>
      <c r="L17" s="4" t="n">
        <f aca="false">-L6*Assumptions!L32/100</f>
        <v>-1419.96012250809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47.5714635</v>
      </c>
      <c r="D18" s="4" t="n">
        <f aca="false">(D6-C6)*Assumptions!$B$37/100</f>
        <v>65.3314765400002</v>
      </c>
      <c r="E18" s="4" t="n">
        <f aca="false">(E6-D6)*Assumptions!$B$37/100</f>
        <v>67.9447356016</v>
      </c>
      <c r="F18" s="4" t="n">
        <f aca="false">(F6-E6)*Assumptions!$B$37/100</f>
        <v>61.8297093974557</v>
      </c>
      <c r="G18" s="4" t="n">
        <f aca="false">(G6-F6)*Assumptions!$B$37/100</f>
        <v>63.9937492263667</v>
      </c>
      <c r="H18" s="4" t="n">
        <f aca="false">(H6-G6)*Assumptions!$B$37/100</f>
        <v>56.7715975279629</v>
      </c>
      <c r="I18" s="4" t="n">
        <f aca="false">(I6-H6)*Assumptions!$B$37/100</f>
        <v>58.4747454538017</v>
      </c>
      <c r="J18" s="4" t="n">
        <f aca="false">(J6-I6)*Assumptions!$B$37/100</f>
        <v>50.1908231811794</v>
      </c>
      <c r="K18" s="4" t="n">
        <f aca="false">(K6-J6)*Assumptions!$B$37/100</f>
        <v>51.445593760709</v>
      </c>
      <c r="L18" s="4" t="n">
        <f aca="false">(L6-K6)*Assumptions!$B$37/100</f>
        <v>42.1853868837814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2163.6579886306</v>
      </c>
      <c r="D19" s="0" t="n">
        <f aca="false">D15+D16+D17+D18</f>
        <v>2256.88892336961</v>
      </c>
      <c r="E19" s="0" t="n">
        <f aca="false">E15+E16+E17+E18</f>
        <v>2372.95630193876</v>
      </c>
      <c r="F19" s="0" t="n">
        <f aca="false">F15+F16+F17+F18</f>
        <v>2469.27455529338</v>
      </c>
      <c r="G19" s="0" t="n">
        <f aca="false">G15+G16+G17+G18</f>
        <v>2555.69916472865</v>
      </c>
      <c r="H19" s="0" t="n">
        <f aca="false">H15+H16+H17+H18</f>
        <v>2617.96544840447</v>
      </c>
      <c r="I19" s="0" t="n">
        <f aca="false">I15+I16+I17+I18</f>
        <v>2696.50441185661</v>
      </c>
      <c r="J19" s="0" t="n">
        <f aca="false">J15+J16+J17+J18</f>
        <v>2754.17123124405</v>
      </c>
      <c r="K19" s="0" t="n">
        <f aca="false">K15+K16+K17+K18</f>
        <v>2823.02551202516</v>
      </c>
      <c r="L19" s="0" t="n">
        <f aca="false">L15+L16+L17+L18</f>
        <v>2869.19690351352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2003.38702650981</v>
      </c>
      <c r="D21" s="0" t="n">
        <f aca="false">D19*D20</f>
        <v>1934.91848711386</v>
      </c>
      <c r="E21" s="0" t="n">
        <f aca="false">E19*E20</f>
        <v>1883.72921901098</v>
      </c>
      <c r="F21" s="0" t="n">
        <f aca="false">F19*F20</f>
        <v>1814.99051289132</v>
      </c>
      <c r="G21" s="0" t="n">
        <f aca="false">G19*G20</f>
        <v>1739.36590818752</v>
      </c>
      <c r="H21" s="0" t="n">
        <f aca="false">H19*H20</f>
        <v>1649.76230981391</v>
      </c>
      <c r="I21" s="0" t="n">
        <f aca="false">I19*I20</f>
        <v>1573.3844251003</v>
      </c>
      <c r="J21" s="0" t="n">
        <f aca="false">J19*J20</f>
        <v>1487.99301883166</v>
      </c>
      <c r="K21" s="0" t="n">
        <f aca="false">K19*K20</f>
        <v>1412.21559657634</v>
      </c>
      <c r="L21" s="0" t="n">
        <f aca="false">L19*L20</f>
        <v>1328.9933217402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16828.7398257759</v>
      </c>
    </row>
    <row r="31" customFormat="false" ht="15" hidden="false" customHeight="false" outlineLevel="0" collapsed="false">
      <c r="A31" s="0" t="s">
        <v>128</v>
      </c>
      <c r="B31" s="0" t="n">
        <f aca="false">L19</f>
        <v>2869.19690351352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48776.3473597298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43037.9535527028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43037.9535527028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19934.899826103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36763.6396518789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46409.0396518789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12.5936163714052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0.643002788180722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12.5936163714052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22512.1603198753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7.48911613182025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4.5</v>
      </c>
      <c r="D5" s="4" t="n">
        <f aca="false">Assumptions!D41</f>
        <v>6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31714.309</v>
      </c>
      <c r="C6" s="0" t="n">
        <f aca="false">B6*(1+C5/100)</f>
        <v>33141.452905</v>
      </c>
      <c r="D6" s="0" t="n">
        <f aca="false">C6*(1+D5/100)</f>
        <v>35129.9400793</v>
      </c>
      <c r="E6" s="0" t="n">
        <f aca="false">D6*(1+E5/100)</f>
        <v>37237.736484058</v>
      </c>
      <c r="F6" s="0" t="n">
        <f aca="false">E6*(1+F5/100)</f>
        <v>39285.8119906812</v>
      </c>
      <c r="G6" s="0" t="n">
        <f aca="false">F6*(1+G5/100)</f>
        <v>41250.1025902153</v>
      </c>
      <c r="H6" s="0" t="n">
        <f aca="false">G6*(1+H5/100)</f>
        <v>43106.3572067749</v>
      </c>
      <c r="I6" s="0" t="n">
        <f aca="false">H6*(1+I5/100)</f>
        <v>44830.6114950459</v>
      </c>
      <c r="J6" s="0" t="n">
        <f aca="false">I6*(1+J5/100)</f>
        <v>46399.6828973725</v>
      </c>
      <c r="K6" s="0" t="n">
        <f aca="false">J6*(1+K5/100)</f>
        <v>47791.6733842937</v>
      </c>
      <c r="L6" s="0" t="n">
        <f aca="false">K6*(1+L5/100)</f>
        <v>48986.4652189011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12.3</v>
      </c>
      <c r="D7" s="4" t="n">
        <f aca="false">Assumptions!D42</f>
        <v>12.6</v>
      </c>
      <c r="E7" s="4" t="n">
        <f aca="false">Assumptions!E42</f>
        <v>12.9</v>
      </c>
      <c r="F7" s="4" t="n">
        <f aca="false">Assumptions!F42</f>
        <v>13.2</v>
      </c>
      <c r="G7" s="4" t="n">
        <f aca="false">Assumptions!G42</f>
        <v>13.5</v>
      </c>
      <c r="H7" s="4" t="n">
        <f aca="false">Assumptions!H42</f>
        <v>13.6</v>
      </c>
      <c r="I7" s="4" t="n">
        <f aca="false">Assumptions!I42</f>
        <v>13.7</v>
      </c>
      <c r="J7" s="4" t="n">
        <f aca="false">Assumptions!J42</f>
        <v>13.8</v>
      </c>
      <c r="K7" s="4" t="n">
        <f aca="false">Assumptions!K42</f>
        <v>13.8</v>
      </c>
      <c r="L7" s="4" t="n">
        <f aca="false">Assumptions!L42</f>
        <v>13.8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4076.398707315</v>
      </c>
      <c r="D8" s="0" t="n">
        <f aca="false">D6*D7/100</f>
        <v>4426.3724499918</v>
      </c>
      <c r="E8" s="0" t="n">
        <f aca="false">E6*E7/100</f>
        <v>4803.66800644348</v>
      </c>
      <c r="F8" s="0" t="n">
        <f aca="false">F6*F7/100</f>
        <v>5185.72718276992</v>
      </c>
      <c r="G8" s="0" t="n">
        <f aca="false">G6*G7/100</f>
        <v>5568.76384967906</v>
      </c>
      <c r="H8" s="0" t="n">
        <f aca="false">H6*H7/100</f>
        <v>5862.46458012139</v>
      </c>
      <c r="I8" s="0" t="n">
        <f aca="false">I6*I7/100</f>
        <v>6141.79377482129</v>
      </c>
      <c r="J8" s="0" t="n">
        <f aca="false">J6*J7/100</f>
        <v>6403.15623983741</v>
      </c>
      <c r="K8" s="0" t="n">
        <f aca="false">K6*K7/100</f>
        <v>6595.25092703253</v>
      </c>
      <c r="L8" s="0" t="n">
        <f aca="false">L6*L7/100</f>
        <v>6760.13220020835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4076.398707315</v>
      </c>
      <c r="D11" s="0" t="n">
        <f aca="false">D8+D10+D24</f>
        <v>4426.3724499918</v>
      </c>
      <c r="E11" s="0" t="n">
        <f aca="false">E8+E10+E24</f>
        <v>4803.66800644348</v>
      </c>
      <c r="F11" s="0" t="n">
        <f aca="false">F8+F10+F24</f>
        <v>5185.72718276992</v>
      </c>
      <c r="G11" s="0" t="n">
        <f aca="false">G8+G10+G24</f>
        <v>5568.76384967906</v>
      </c>
      <c r="H11" s="0" t="n">
        <f aca="false">H8+H10+H24</f>
        <v>5862.46458012139</v>
      </c>
      <c r="I11" s="0" t="n">
        <f aca="false">I8+I10+I24</f>
        <v>6141.79377482129</v>
      </c>
      <c r="J11" s="0" t="n">
        <f aca="false">J8+J10+J24</f>
        <v>6403.15623983741</v>
      </c>
      <c r="K11" s="0" t="n">
        <f aca="false">K8+K10+K24</f>
        <v>6595.25092703253</v>
      </c>
      <c r="L11" s="0" t="n">
        <f aca="false">L8+L10+L24</f>
        <v>6760.13220020835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-1126.80939877</v>
      </c>
      <c r="D12" s="4" t="n">
        <f aca="false">-D6*Assumptions!D45/100</f>
        <v>-1194.4179626962</v>
      </c>
      <c r="E12" s="4" t="n">
        <f aca="false">-E6*Assumptions!E45/100</f>
        <v>-1266.08304045797</v>
      </c>
      <c r="F12" s="4" t="n">
        <f aca="false">-F6*Assumptions!F45/100</f>
        <v>-1316.07470168782</v>
      </c>
      <c r="G12" s="4" t="n">
        <f aca="false">-G6*Assumptions!G45/100</f>
        <v>-1381.87843677221</v>
      </c>
      <c r="H12" s="4" t="n">
        <f aca="false">-H6*Assumptions!H45/100</f>
        <v>-1422.50978782357</v>
      </c>
      <c r="I12" s="4" t="n">
        <f aca="false">-I6*Assumptions!I45/100</f>
        <v>-1479.41017933652</v>
      </c>
      <c r="J12" s="4" t="n">
        <f aca="false">-J6*Assumptions!J45/100</f>
        <v>-1531.18953561329</v>
      </c>
      <c r="K12" s="4" t="n">
        <f aca="false">-K6*Assumptions!K45/100</f>
        <v>-1577.12522168169</v>
      </c>
      <c r="L12" s="4" t="n">
        <f aca="false">-L6*Assumptions!L45/100</f>
        <v>-1616.55335222374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2949.589308545</v>
      </c>
      <c r="D13" s="0" t="n">
        <f aca="false">D11+D12</f>
        <v>3231.9544872956</v>
      </c>
      <c r="E13" s="0" t="n">
        <f aca="false">E11+E12</f>
        <v>3537.58496598551</v>
      </c>
      <c r="F13" s="0" t="n">
        <f aca="false">F11+F12</f>
        <v>3869.6524810821</v>
      </c>
      <c r="G13" s="0" t="n">
        <f aca="false">G11+G12</f>
        <v>4186.88541290685</v>
      </c>
      <c r="H13" s="0" t="n">
        <f aca="false">H11+H12</f>
        <v>4439.95479229782</v>
      </c>
      <c r="I13" s="0" t="n">
        <f aca="false">I11+I12</f>
        <v>4662.38359548478</v>
      </c>
      <c r="J13" s="0" t="n">
        <f aca="false">J11+J12</f>
        <v>4871.96670422412</v>
      </c>
      <c r="K13" s="0" t="n">
        <f aca="false">K11+K12</f>
        <v>5018.12570535084</v>
      </c>
      <c r="L13" s="0" t="n">
        <f aca="false">L11+L12</f>
        <v>5143.57884798461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27</v>
      </c>
      <c r="D14" s="4" t="n">
        <f aca="false">Assumptions!D47</f>
        <v>27</v>
      </c>
      <c r="E14" s="4" t="n">
        <f aca="false">Assumptions!E47</f>
        <v>27</v>
      </c>
      <c r="F14" s="4" t="n">
        <f aca="false">Assumptions!F47</f>
        <v>27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2153.20019523785</v>
      </c>
      <c r="D15" s="0" t="n">
        <f aca="false">D13-MAX(0,D13)*D14/100</f>
        <v>2359.32677572579</v>
      </c>
      <c r="E15" s="0" t="n">
        <f aca="false">E13-MAX(0,E13)*E14/100</f>
        <v>2582.43702516942</v>
      </c>
      <c r="F15" s="0" t="n">
        <f aca="false">F13-MAX(0,F13)*F14/100</f>
        <v>2824.84631118993</v>
      </c>
      <c r="G15" s="0" t="n">
        <f aca="false">G13-MAX(0,G13)*G14/100</f>
        <v>3056.426351422</v>
      </c>
      <c r="H15" s="0" t="n">
        <f aca="false">H13-MAX(0,H13)*H14/100</f>
        <v>3241.16699837741</v>
      </c>
      <c r="I15" s="0" t="n">
        <f aca="false">I13-MAX(0,I13)*I14/100</f>
        <v>3403.54002470389</v>
      </c>
      <c r="J15" s="0" t="n">
        <f aca="false">J13-MAX(0,J13)*J14/100</f>
        <v>3556.53569408361</v>
      </c>
      <c r="K15" s="0" t="n">
        <f aca="false">K13-MAX(0,K13)*K14/100</f>
        <v>3663.23176490611</v>
      </c>
      <c r="L15" s="0" t="n">
        <f aca="false">L13-MAX(0,L13)*L14/100</f>
        <v>3754.81255902877</v>
      </c>
    </row>
    <row r="16" customFormat="false" ht="15" hidden="false" customHeight="false" outlineLevel="0" collapsed="false">
      <c r="A16" s="0" t="s">
        <v>119</v>
      </c>
      <c r="C16" s="0" t="n">
        <f aca="false">-C12</f>
        <v>1126.80939877</v>
      </c>
      <c r="D16" s="0" t="n">
        <f aca="false">-D12</f>
        <v>1194.4179626962</v>
      </c>
      <c r="E16" s="0" t="n">
        <f aca="false">-E12</f>
        <v>1266.08304045797</v>
      </c>
      <c r="F16" s="0" t="n">
        <f aca="false">-F12</f>
        <v>1316.07470168782</v>
      </c>
      <c r="G16" s="0" t="n">
        <f aca="false">-G12</f>
        <v>1381.87843677221</v>
      </c>
      <c r="H16" s="0" t="n">
        <f aca="false">-H12</f>
        <v>1422.50978782357</v>
      </c>
      <c r="I16" s="0" t="n">
        <f aca="false">-I12</f>
        <v>1479.41017933652</v>
      </c>
      <c r="J16" s="0" t="n">
        <f aca="false">-J12</f>
        <v>1531.18953561329</v>
      </c>
      <c r="K16" s="0" t="n">
        <f aca="false">-K12</f>
        <v>1577.12522168169</v>
      </c>
      <c r="L16" s="0" t="n">
        <f aca="false">-L12</f>
        <v>1616.55335222374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-1093.667945865</v>
      </c>
      <c r="D17" s="4" t="n">
        <f aca="false">-D6*Assumptions!D46/100</f>
        <v>-1229.5479027755</v>
      </c>
      <c r="E17" s="4" t="n">
        <f aca="false">-E6*Assumptions!E46/100</f>
        <v>-1303.32077694203</v>
      </c>
      <c r="F17" s="4" t="n">
        <f aca="false">-F6*Assumptions!F46/100</f>
        <v>-1375.00341967384</v>
      </c>
      <c r="G17" s="4" t="n">
        <f aca="false">-G6*Assumptions!G46/100</f>
        <v>-1402.50348806732</v>
      </c>
      <c r="H17" s="4" t="n">
        <f aca="false">-H6*Assumptions!H46/100</f>
        <v>-1465.61614503035</v>
      </c>
      <c r="I17" s="4" t="n">
        <f aca="false">-I6*Assumptions!I46/100</f>
        <v>-1524.24079083156</v>
      </c>
      <c r="J17" s="4" t="n">
        <f aca="false">-J6*Assumptions!J46/100</f>
        <v>-1577.58921851067</v>
      </c>
      <c r="K17" s="4" t="n">
        <f aca="false">-K6*Assumptions!K46/100</f>
        <v>-1624.91689506599</v>
      </c>
      <c r="L17" s="4" t="n">
        <f aca="false">-L6*Assumptions!L46/100</f>
        <v>-1665.53981744264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71.3571952499999</v>
      </c>
      <c r="D18" s="4" t="n">
        <f aca="false">(D6-C6)*Assumptions!$B$51/100</f>
        <v>99.4243587150002</v>
      </c>
      <c r="E18" s="4" t="n">
        <f aca="false">(E6-D6)*Assumptions!$B$51/100</f>
        <v>105.3898202379</v>
      </c>
      <c r="F18" s="4" t="n">
        <f aca="false">(F6-E6)*Assumptions!$B$51/100</f>
        <v>102.403775331159</v>
      </c>
      <c r="G18" s="4" t="n">
        <f aca="false">(G6-F6)*Assumptions!$B$51/100</f>
        <v>98.2145299767031</v>
      </c>
      <c r="H18" s="4" t="n">
        <f aca="false">(H6-G6)*Assumptions!$B$51/100</f>
        <v>92.8127308279843</v>
      </c>
      <c r="I18" s="4" t="n">
        <f aca="false">(I6-H6)*Assumptions!$B$51/100</f>
        <v>86.2127144135498</v>
      </c>
      <c r="J18" s="4" t="n">
        <f aca="false">(J6-I6)*Assumptions!$B$51/100</f>
        <v>78.4535701163302</v>
      </c>
      <c r="K18" s="4" t="n">
        <f aca="false">(K6-J6)*Assumptions!$B$51/100</f>
        <v>69.5995243460588</v>
      </c>
      <c r="L18" s="4" t="n">
        <f aca="false">(L6-K6)*Assumptions!$B$51/100</f>
        <v>59.7395917303671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2257.69884339285</v>
      </c>
      <c r="D19" s="0" t="n">
        <f aca="false">D15+D16+D17+D18</f>
        <v>2423.62119436149</v>
      </c>
      <c r="E19" s="0" t="n">
        <f aca="false">E15+E16+E17+E18</f>
        <v>2650.58910892326</v>
      </c>
      <c r="F19" s="0" t="n">
        <f aca="false">F15+F16+F17+F18</f>
        <v>2868.32136853507</v>
      </c>
      <c r="G19" s="0" t="n">
        <f aca="false">G15+G16+G17+G18</f>
        <v>3134.0158301036</v>
      </c>
      <c r="H19" s="0" t="n">
        <f aca="false">H15+H16+H17+H18</f>
        <v>3290.87337199862</v>
      </c>
      <c r="I19" s="0" t="n">
        <f aca="false">I15+I16+I17+I18</f>
        <v>3444.92212762239</v>
      </c>
      <c r="J19" s="0" t="n">
        <f aca="false">J15+J16+J17+J18</f>
        <v>3588.58958130256</v>
      </c>
      <c r="K19" s="0" t="n">
        <f aca="false">K15+K16+K17+K18</f>
        <v>3685.03961586788</v>
      </c>
      <c r="L19" s="0" t="n">
        <f aca="false">L15+L16+L17+L18</f>
        <v>3765.56568554023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2090.46189203042</v>
      </c>
      <c r="D21" s="0" t="n">
        <f aca="false">D19*D20</f>
        <v>2077.86453563228</v>
      </c>
      <c r="E21" s="0" t="n">
        <f aca="false">E19*E20</f>
        <v>2104.12309236021</v>
      </c>
      <c r="F21" s="0" t="n">
        <f aca="false">F19*F20</f>
        <v>2108.30183328725</v>
      </c>
      <c r="G21" s="0" t="n">
        <f aca="false">G19*G20</f>
        <v>2132.9585132063</v>
      </c>
      <c r="H21" s="0" t="n">
        <f aca="false">H19*H20</f>
        <v>2073.80844495191</v>
      </c>
      <c r="I21" s="0" t="n">
        <f aca="false">I19*I20</f>
        <v>2010.07897389366</v>
      </c>
      <c r="J21" s="0" t="n">
        <f aca="false">J19*J20</f>
        <v>1938.80329002575</v>
      </c>
      <c r="K21" s="0" t="n">
        <f aca="false">K19*K20</f>
        <v>1843.43726167641</v>
      </c>
      <c r="L21" s="0" t="n">
        <f aca="false">L19*L20</f>
        <v>1744.18550449738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20124.0233415616</v>
      </c>
    </row>
    <row r="31" customFormat="false" ht="15" hidden="false" customHeight="false" outlineLevel="0" collapsed="false">
      <c r="A31" s="0" t="s">
        <v>128</v>
      </c>
      <c r="B31" s="0" t="n">
        <f aca="false">L19</f>
        <v>3765.56568554023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70176.4514123407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56483.4852831035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56483.4852831035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26162.7825674606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46286.8059090222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55932.2059090222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15.1778349500096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0.980148069146723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15.1778349500096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30877.6386214299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8.65204867643309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9.14089861277162</v>
      </c>
      <c r="C4" s="0" t="n">
        <f aca="false">B4/Assumptions!$B$2-1</f>
        <v>0.192550373486186</v>
      </c>
      <c r="D4" s="4" t="n">
        <f aca="false">Assumptions!$B$24</f>
        <v>0.2</v>
      </c>
      <c r="E4" s="4" t="n">
        <f aca="false">DCF_Bear!$B$43</f>
        <v>9.14089861277162</v>
      </c>
      <c r="F4" s="4" t="n">
        <f aca="false">DCF_Bear!$B$47</f>
        <v>5.90507715128693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12.5936163714052</v>
      </c>
      <c r="C5" s="0" t="n">
        <f aca="false">B5/Assumptions!$B$2-1</f>
        <v>0.643002788180722</v>
      </c>
      <c r="D5" s="4" t="n">
        <f aca="false">Assumptions!$B$38</f>
        <v>0.55</v>
      </c>
      <c r="E5" s="4" t="n">
        <f aca="false">DCF_Base!$B$43</f>
        <v>12.5936163714052</v>
      </c>
      <c r="F5" s="4" t="n">
        <f aca="false">DCF_Base!$B$47</f>
        <v>7.48911613182025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15.1778349500096</v>
      </c>
      <c r="C6" s="0" t="n">
        <f aca="false">B6/Assumptions!$B$2-1</f>
        <v>0.980148069146723</v>
      </c>
      <c r="D6" s="4" t="n">
        <f aca="false">Assumptions!$B$52</f>
        <v>0.25</v>
      </c>
      <c r="E6" s="4" t="n">
        <f aca="false">DCF_Bull!$B$43</f>
        <v>15.1778349500096</v>
      </c>
      <c r="F6" s="4" t="n">
        <f aca="false">DCF_Bull!$B$47</f>
        <v>8.65204867643309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12.5491274643296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12.5491274643296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0.389200562207416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7.46304147186679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12.5936163714052</v>
      </c>
      <c r="C15" s="3" t="n">
        <v>8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11.7670494121628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10.6068782245428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9.70511974290554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8.98422133101181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7.48911613182025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14.1719524300968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14.1719524300968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14.1719524300968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14.1719524300968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14.1719524300968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13.3457775373398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13.3457775373398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13.3457775373398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13.3457775373398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13.3457775373398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12.387537898274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12.5936163714052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12.5936163714052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12.5936163714052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12.5936163714052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11.1268994516796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11.4256360999051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11.7670494121628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11.9079998621775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11.9079998621775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10.1482702854717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10.3640857862111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10.6068782245428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10.8820429879854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11.1965170033484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2026-10-10T21:45:04Z</dcterms:created>
  <dc:creator>openpyxl</dc:creator>
  <dc:description/>
  <dc:language>en-NZ</dc:language>
  <cp:lastModifiedBy/>
  <dcterms:modified xsi:type="dcterms:W3CDTF">2026-10-10T21:45:04Z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