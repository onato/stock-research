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<sst xmlns="http://schemas.openxmlformats.org/spreadsheetml/2006/main" count="349" uniqueCount="162">
  <si>
    <t xml:space="preserve">Ticker</t>
  </si>
  <si>
    <t xml:space="preserve">3738.HK</t>
  </si>
  <si>
    <t xml:space="preserve">Company</t>
  </si>
  <si>
    <t xml:space="preserve">Vobile Group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</si>
  <si>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</si>
  <si>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</si>
  <si>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</si>
  <si>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</si>
  <si>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</si>
  <si>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</si>
  <si>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</si>
  <si>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</si>
  <si>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</si>
  <si>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</si>
  <si>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</si>
  <si>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</si>
  <si>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</si>
  <si>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</si>
  <si>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</si>
  <si>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</si>
  <si>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</si>
  <si>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2026-10-22T12:27:38Z</t>
  </si>
  <si>
    <t xml:space="preserve">Drivers file</t>
  </si>
  <si>
    <t xml:space="preserve">3738.HK_Drivers.json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</si>
  <si>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</si>
  <si>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</si>
  <si>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</si>
  <si>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Vobile reports rising profits (FY2025 net profit +34%, H1 FY2026 +93%) that have never arrived as cash: FY2025 adjusted EBITDA of HK$542m became HK$71m of operating cash and -HK$363m of reported free cash flow, because receivables and prepayments absorb essentially all incremental revenue and ~HK$430m a year of development and content is capitalised. The DCF is therefore built on components that charge those two drains explicitly -- a negative working-capital capture on the revenue change and capex converging onto D&amp;A only by year 7 -- rather than on an EBITDA multiple or the company's adjusted net profit. The Sep 2025 HK$1.6bn CB is carried at its redeemed principal, NCI is deducted at book, the wealth-management products are added as cash-like, and the Oct 2026 HK$530m CB (conversion HK$3.02) is debt. Value lives almost entirely in the terminal year, when the model assumes the business finally converts ~9% of revenue to owner cash; the price today is paying for AI-copyright optionality (DreamMaker, SeeBay, RWA tokenisation, the Ant Digital copyright-model collaboration) that the base case carries at zero.
key_risks_to_valuation: Receivable quality: HK$1.9bn of trade receivables (~215 days of revenue) with the ECL charge tripling in FY2025 -- a collection shortfall or write-down converts reported profit into a loss and the model's -45% capture would be too generous; Refinancing cycle: net debt ~HK$1.0bn, the Sep 2026 redemption consumed the cash pile, and the replacement is a 12-month 3.75% CB due 25 Oct 2027 -- a second failed conversion forces another cash redemption or a dilutive reset; Dilution outside SBC: 175.5m shares if the new CB converts at HK$3.02, 20.5m consideration shares just issued, and a track record of placements and CB conversions (+45% count FY2020-25); the flat count assumes no further non-SBC issuance; Capitalised development (HK$499m carrying value) and purchased copyright are judgment-heavy intangibles; a change in capitalisation policy or impairment would collapse EBITDA margin without changing cash; Platform in-house identification (YouTube Content ID, Chinese platforms) and an AI-rights legal settlement that bypasses third-party settlement would cap both growth and pricing; Chinese Mainland is ~50% of revenue: data/content regulation and RMB translation; Terminal-value dependence: owner FCF is negative through year 3 in the base case, so the valuation is a bet on cash conversion that has not yet been demonstrated</t>
  </si>
  <si>
    <t xml:space="preserve">Data sources</t>
  </si>
  <si>
    <t xml:space="preserve">price: Yahoo Finance chart API at inputs.price_as_of (HKEX regular close); 52-week range 2.17-6.30
financials: 3738.HK_Metrics.csv (FY2020-FY2025 annual, H1 FY2023-H1 FY2026 interims) built from the HKEX annual and interim reports; owner-FCF components from the FY2025 annual report cash flow statement and notes 20/22/27/30, and the H1 FY2026 interim report statement of financial position and notes 15-17
post_balance_sheet: HKEX announcements 2026-09-28 (full redemption of HK$1,458m CB), 2026-10-07 (September monthly return: 2,592.9m shares), 2026-10-09 and 2026-10-20 (HK$75m acquisition for 20.55m shares at HK$3.65; 2,613.4m shares after), 2026-10-21 (proposed HK$530m 3.75% CB due 2027, conversion HK$3.02, 175.5m shares), 2026-09-11 (Ant Digital copyright large-model collaboration), 2026-09-21 (SeeBay launch)
qualitative: 3738.HK_Analysis.json (2026-10-23)</t>
  </si>
  <si>
    <t xml:space="preserve">Scenario narrative: bear</t>
  </si>
  <si>
    <t xml:space="preserve">Growth stalls at 15% then low single digits as YouTube/Chinese-platform in-house identification commoditises monitoring, AI-rights frameworks settle in a way that bypasses third-party settlement, and short-drama/UGC monetisation economics soften. Margins slip to 16% on pricing and R&amp;D that can no longer be capitalised at the same rate. The receivables book (HK$1.9bn, 60% of revenue, HK$27m ECL in FY2025) proves the profit was never cash: working capital absorbs 55% of what little revenue growth there is, and capex only falls to 9% -- barely above D&amp;A -- leaving a business that cannot generate owner FCF materially above zero. With HK$1.0bn of net debt rolled on a 12-month cycle (the HK$1.458bn CB was redeemed in cash in Sep 2026 and immediately refinanced with a 3.75% CB due Oct 2027), the equity is worth little or nothing on this path; expect the engine to show this scenario at or near the zero floor.</t>
  </si>
  <si>
    <t xml:space="preserve">Scenario narrative: base</t>
  </si>
  <si>
    <t xml:space="preserve">AI-era content volume keeps both the subscription (monitoring) and value-added (revenue-share) lines growing -- FY2026 +22% off H1's +24%, fading to mid-single digits by year 7 as the short-drama and music (Pex) tailwinds mature and platforms' in-house Content-ID keeps the price of third-party identification in check. Adjusted EBITDA margin edges from 19% to 22% on gross-margin stability and S&amp;M leverage. The decisive assumptions are below the EBITDA line: working capital absorbs 45% of every incremental revenue dollar (collections improve from the ~100% of FY2024-25 but DSO stays well above 150 days), capex (capitalised R&amp;D + AI compute) takes until year 7 to converge onto D&amp;A at ~10% of revenue, and cash tax normalises to 20% as the US loss shelter runs out. Owner FCF is negative for the first three forecast years and reaches a ~9% margin only by year 10, so most of the value is terminal. DreamMaker/SeeBay/RWA are carried as upside options, not as modelled revenue.</t>
  </si>
  <si>
    <t xml:space="preserve">Scenario narrative: bull</t>
  </si>
  <si>
    <t xml:space="preserve">The AI-copyright thesis works: regulatory consensus on licensed use of copyrighted material for generative AI (US/EU/PRC legislation now advancing), element-level identification and the Pex music catalogue push growth to 26%/24%/21% and the value-added mix shift plus DreamMaker compute revenue (&gt;US$10m in its first half) lift adjusted EBITDA margin to 26%. Crucially, platform settlement cycles shorten and receivables stop compounding: working capital captures only 30% of incremental revenue, and the AI-compute build-out ends by year 5 with capex at 9%. Terminal growth 3.5% capped at 20x. This is the case the Sep 2025 CB buyers at HK$5.87 and the Crédit Agricole HK$7.6 target were underwriting.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</si>
  <si>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</si>
  <si>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</si>
  <si>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</si>
  <si>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</si>
  <si>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</si>
  <si>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</si>
  <si>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</si>
  <si>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</si>
  <si>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</si>
  <si>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</si>
  <si>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</si>
  <si>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</si>
  <si>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</si>
  <si>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</si>
  <si>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</si>
  <si>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</si>
  <si>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</si>
  <si>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</si>
  <si>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</si>
  <si>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</si>
  <si>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</si>
  <si>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</si>
  <si>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</si>
  <si>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</si>
  <si>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</si>
  <si>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</si>
  <si>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</si>
  <si>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</si>
  <si>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</si>
  <si>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</si>
  <si>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</si>
  <si>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</si>
  <si>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</si>
  <si>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</si>
  <si>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</si>
  <si>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</si>
  <si>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</si>
  <si>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</si>
  <si>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</si>
  <si>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</si>
  <si>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</si>
  <si>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</si>
  <si>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</si>
  <si>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</si>
  <si>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</si>
  <si>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</si>
  <si>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</si>
  <si>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</si>
  <si>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</si>
  <si>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</si>
  <si>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</si>
  <si>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</si>
  <si>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</si>
  <si>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</si>
  <si>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</si>
  <si>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</si>
  <si>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</si>
  <si>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</si>
  <si>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</si>
  <si>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</si>
  <si>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</si>
  <si>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</si>
  <si>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</si>
  <si>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</si>
  <si>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</si>
  <si>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</si>
  <si>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</si>
  <si>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</si>
  <si>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</si>
  <si>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</si>
  <si>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</si>
  <si>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3738.HK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</si>
  <si>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</si>
  <si>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</si>
  <si>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</si>
  <si>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</si>
  <si>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</si>
  <si>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</si>
  <si>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</si>
  <si>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</si>
  <si>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</si>
  <si>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</si>
  <si>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</si>
  <si>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</si>
  <si>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</si>
  <si>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</si>
  <si>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</si>
  <si>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</si>
  <si>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</si>
  <si>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</si>
  <si>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</si>
  <si>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</si>
  <si>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</si>
  <si>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</si>
  <si>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</si>
  <si>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</si>
  <si>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</si>
  <si>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</si>
  <si>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</si>
  <si>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</si>
  <si>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</si>
  <si>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</si>
  <si>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3738.HK owner-FCF component DCF: base case (millions, HKD)</t>
  </si>
  <si>
    <t xml:space="preserve">3738.HK owner-FCF component DCF: bull case (millions, HKD)</t>
  </si>
  <si>
    <t xml:space="preserve">3738.HK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</si>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</sst>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2.475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340.294</v>
      </c>
      <c r="C2" s="0" t="n">
        <v>174.73</v>
      </c>
      <c r="D2" s="0" t="n">
        <v>165.564</v>
      </c>
      <c r="E2" s="0" t="n">
        <v>48.7</v>
      </c>
      <c r="F2" s="0" t="n">
        <v>117.332</v>
      </c>
      <c r="G2" s="0" t="n">
        <v>34.5</v>
      </c>
      <c r="H2" s="0" t="n">
        <v>134.953</v>
      </c>
      <c r="I2" s="0" t="n">
        <v>81.187</v>
      </c>
      <c r="J2" s="0" t="n">
        <v>23.9</v>
      </c>
      <c r="K2" s="0" t="n">
        <v>0.0459</v>
      </c>
      <c r="L2" s="0" t="n">
        <v>33.527</v>
      </c>
      <c r="M2" s="0" t="n">
        <v>11.289</v>
      </c>
      <c r="N2" s="0" t="n">
        <v>22.238</v>
      </c>
      <c r="O2" s="0" t="n">
        <v>788.866</v>
      </c>
      <c r="P2" s="0" t="n">
        <v>1153.538</v>
      </c>
      <c r="Q2" s="0" t="n">
        <v>364.672</v>
      </c>
      <c r="R2" s="0" t="n">
        <v>238.025</v>
      </c>
      <c r="S2" s="0" t="n">
        <v>262.362</v>
      </c>
      <c r="T2" s="0" t="n">
        <v>1770.6</v>
      </c>
      <c r="U2" s="0" t="n">
        <v>23.994</v>
      </c>
      <c r="V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686.528</v>
      </c>
      <c r="C3" s="0" t="n">
        <v>337.757</v>
      </c>
      <c r="D3" s="0" t="n">
        <v>348.771</v>
      </c>
      <c r="E3" s="0" t="n">
        <v>50.8</v>
      </c>
      <c r="F3" s="0" t="n">
        <v>5.406</v>
      </c>
      <c r="G3" s="0" t="n">
        <v>0.8</v>
      </c>
      <c r="H3" s="0" t="n">
        <v>27.132</v>
      </c>
      <c r="I3" s="0" t="n">
        <v>-22.677</v>
      </c>
      <c r="J3" s="0" t="n">
        <v>-3.3</v>
      </c>
      <c r="K3" s="0" t="n">
        <v>-0.0119</v>
      </c>
      <c r="L3" s="0" t="n">
        <v>-8.773</v>
      </c>
      <c r="M3" s="0" t="n">
        <v>66.282</v>
      </c>
      <c r="N3" s="0" t="n">
        <v>-75.055</v>
      </c>
      <c r="O3" s="0" t="n">
        <v>1536.323</v>
      </c>
      <c r="P3" s="0" t="n">
        <v>1770.15</v>
      </c>
      <c r="Q3" s="0" t="n">
        <v>233.827</v>
      </c>
      <c r="R3" s="0" t="n">
        <v>0</v>
      </c>
      <c r="S3" s="0" t="n">
        <v>496.865</v>
      </c>
      <c r="T3" s="0" t="n">
        <v>1913.4</v>
      </c>
      <c r="U3" s="0" t="n">
        <v>67.387</v>
      </c>
      <c r="V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1442.67</v>
      </c>
      <c r="C4" s="0" t="n">
        <v>851.958</v>
      </c>
      <c r="D4" s="0" t="n">
        <v>590.712</v>
      </c>
      <c r="E4" s="0" t="n">
        <v>40.9</v>
      </c>
      <c r="F4" s="0" t="n">
        <v>185.407</v>
      </c>
      <c r="G4" s="0" t="n">
        <v>12.9</v>
      </c>
      <c r="H4" s="0" t="n">
        <v>266.987</v>
      </c>
      <c r="I4" s="0" t="n">
        <v>42.002</v>
      </c>
      <c r="J4" s="0" t="n">
        <v>2.9</v>
      </c>
      <c r="K4" s="0" t="n">
        <v>0.0196</v>
      </c>
      <c r="L4" s="0" t="n">
        <v>37.608</v>
      </c>
      <c r="M4" s="0" t="n">
        <v>105.086</v>
      </c>
      <c r="N4" s="0" t="n">
        <v>-67.478</v>
      </c>
      <c r="O4" s="0" t="n">
        <v>1492.449</v>
      </c>
      <c r="P4" s="0" t="n">
        <v>3260.325</v>
      </c>
      <c r="Q4" s="0" t="n">
        <v>1586.69</v>
      </c>
      <c r="R4" s="0" t="n">
        <v>1105.572</v>
      </c>
      <c r="S4" s="0" t="n">
        <v>226.495</v>
      </c>
      <c r="T4" s="0" t="n">
        <v>2338.9</v>
      </c>
      <c r="U4" s="0" t="n">
        <v>52.554</v>
      </c>
      <c r="V4" s="0" t="n">
        <v>0</v>
      </c>
      <c r="AA4" s="0" t="s">
        <v>17</v>
      </c>
      <c r="AB4" s="0" t="s">
        <v>14</v>
      </c>
      <c r="AC4" s="0" t="n">
        <v>299.464</v>
      </c>
    </row>
    <row r="5" customFormat="false" ht="15" hidden="false" customHeight="false" outlineLevel="0" collapsed="false">
      <c r="A5" s="0" t="s">
        <v>67</v>
      </c>
      <c r="B5" s="0" t="n">
        <v>2000.989</v>
      </c>
      <c r="C5" s="0" t="n">
        <v>1150.832</v>
      </c>
      <c r="D5" s="0" t="n">
        <v>850.157</v>
      </c>
      <c r="E5" s="0" t="n">
        <v>42.5</v>
      </c>
      <c r="F5" s="0" t="n">
        <v>139.392</v>
      </c>
      <c r="G5" s="0" t="n">
        <v>7</v>
      </c>
      <c r="H5" s="0" t="n">
        <v>270.709</v>
      </c>
      <c r="I5" s="0" t="n">
        <v>-7.818</v>
      </c>
      <c r="J5" s="0" t="n">
        <v>-0.4</v>
      </c>
      <c r="K5" s="0" t="n">
        <v>-0.0035</v>
      </c>
      <c r="L5" s="0" t="n">
        <v>110.073</v>
      </c>
      <c r="M5" s="0" t="n">
        <v>210.08</v>
      </c>
      <c r="N5" s="0" t="n">
        <v>-100.007</v>
      </c>
      <c r="O5" s="0" t="n">
        <v>1954.166</v>
      </c>
      <c r="P5" s="0" t="n">
        <v>3506.108</v>
      </c>
      <c r="Q5" s="0" t="n">
        <v>1366.296</v>
      </c>
      <c r="R5" s="0" t="n">
        <v>682.934</v>
      </c>
      <c r="S5" s="0" t="n">
        <v>240.043</v>
      </c>
      <c r="T5" s="0" t="n">
        <v>2222.8</v>
      </c>
      <c r="U5" s="0" t="n">
        <v>41.9</v>
      </c>
      <c r="V5" s="0" t="n">
        <v>0</v>
      </c>
      <c r="AA5" s="0" t="s">
        <v>17</v>
      </c>
      <c r="AB5" s="0" t="s">
        <v>14</v>
      </c>
      <c r="AC5" s="0" t="n">
        <v>319.196</v>
      </c>
    </row>
    <row r="6" customFormat="false" ht="15" hidden="false" customHeight="false" outlineLevel="0" collapsed="false">
      <c r="A6" s="0" t="s">
        <v>68</v>
      </c>
      <c r="B6" s="0" t="n">
        <v>2401.322</v>
      </c>
      <c r="C6" s="0" t="n">
        <v>1349.859</v>
      </c>
      <c r="D6" s="0" t="n">
        <v>1051.463</v>
      </c>
      <c r="E6" s="0" t="n">
        <v>43.8</v>
      </c>
      <c r="F6" s="0" t="n">
        <v>278.297</v>
      </c>
      <c r="G6" s="0" t="n">
        <v>11.6</v>
      </c>
      <c r="H6" s="0" t="n">
        <v>409.187</v>
      </c>
      <c r="I6" s="0" t="n">
        <v>142.727</v>
      </c>
      <c r="J6" s="0" t="n">
        <v>5.9</v>
      </c>
      <c r="K6" s="0" t="n">
        <v>0.0588</v>
      </c>
      <c r="L6" s="0" t="n">
        <v>4.137</v>
      </c>
      <c r="M6" s="0" t="n">
        <v>224.97</v>
      </c>
      <c r="N6" s="0" t="n">
        <v>-220.833</v>
      </c>
      <c r="O6" s="0" t="n">
        <v>2098.32</v>
      </c>
      <c r="P6" s="0" t="n">
        <v>3916.882</v>
      </c>
      <c r="Q6" s="0" t="n">
        <v>1624.945</v>
      </c>
      <c r="R6" s="0" t="n">
        <v>996.28</v>
      </c>
      <c r="S6" s="0" t="n">
        <v>220.29</v>
      </c>
      <c r="T6" s="0" t="n">
        <v>2428.1</v>
      </c>
      <c r="U6" s="0" t="n">
        <v>24.273</v>
      </c>
      <c r="V6" s="0" t="n">
        <v>0</v>
      </c>
      <c r="AA6" s="0" t="s">
        <v>17</v>
      </c>
      <c r="AB6" s="0" t="s">
        <v>14</v>
      </c>
      <c r="AC6" s="0" t="n">
        <v>438.234</v>
      </c>
    </row>
    <row r="7" customFormat="false" ht="15" hidden="false" customHeight="false" outlineLevel="0" collapsed="false">
      <c r="A7" s="0" t="s">
        <v>69</v>
      </c>
      <c r="B7" s="0" t="n">
        <v>2872.361</v>
      </c>
      <c r="C7" s="0" t="n">
        <v>1586.369</v>
      </c>
      <c r="D7" s="0" t="n">
        <v>1285.992</v>
      </c>
      <c r="E7" s="0" t="n">
        <v>44.8</v>
      </c>
      <c r="F7" s="0" t="n">
        <v>340.622</v>
      </c>
      <c r="G7" s="0" t="n">
        <v>11.9</v>
      </c>
      <c r="H7" s="0" t="n">
        <v>494.916</v>
      </c>
      <c r="I7" s="0" t="n">
        <v>199.312</v>
      </c>
      <c r="J7" s="0" t="n">
        <v>6.9</v>
      </c>
      <c r="K7" s="0" t="n">
        <v>0.0775</v>
      </c>
      <c r="L7" s="0" t="n">
        <v>69.916</v>
      </c>
      <c r="M7" s="0" t="n">
        <v>433.365</v>
      </c>
      <c r="N7" s="0" t="n">
        <v>-363.449</v>
      </c>
      <c r="O7" s="0" t="n">
        <v>3228.97</v>
      </c>
      <c r="P7" s="0" t="n">
        <v>6262.715</v>
      </c>
      <c r="Q7" s="0" t="n">
        <v>2815.599</v>
      </c>
      <c r="R7" s="0" t="n">
        <v>2009.56</v>
      </c>
      <c r="S7" s="0" t="n">
        <v>1157.048</v>
      </c>
      <c r="T7" s="0" t="n">
        <v>2571</v>
      </c>
      <c r="U7" s="0" t="n">
        <v>18.72</v>
      </c>
      <c r="V7" s="0" t="n">
        <v>0</v>
      </c>
      <c r="AA7" s="0" t="s">
        <v>17</v>
      </c>
      <c r="AB7" s="0" t="s">
        <v>14</v>
      </c>
      <c r="AC7" s="0" t="n">
        <v>541.758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2.475</v>
      </c>
    </row>
    <row r="3" customFormat="false" ht="15" hidden="false" customHeight="false" outlineLevel="0" collapsed="false">
      <c r="A3" s="0" t="s">
        <v>73</v>
      </c>
      <c r="B3" s="3" t="n">
        <v>2627</v>
      </c>
    </row>
    <row r="4" customFormat="false" ht="15" hidden="false" customHeight="false" outlineLevel="0" collapsed="false">
      <c r="A4" s="0" t="s">
        <v>74</v>
      </c>
      <c r="B4" s="3" t="n">
        <v>1025.3</v>
      </c>
    </row>
    <row r="5" customFormat="false" ht="15" hidden="false" customHeight="false" outlineLevel="0" collapsed="false">
      <c r="A5" s="0" t="s">
        <v>75</v>
      </c>
      <c r="B5" s="3" t="n">
        <v>38.8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2872.361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15</v>
      </c>
      <c r="D13" s="3" t="n">
        <v>8</v>
      </c>
      <c r="E13" s="3" t="n">
        <v>5</v>
      </c>
      <c r="F13" s="3" t="n">
        <v>3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94</v>
      </c>
      <c r="C14" s="3" t="n">
        <v>18</v>
      </c>
      <c r="D14" s="3" t="n">
        <v>17</v>
      </c>
      <c r="E14" s="3" t="n">
        <v>16.5</v>
      </c>
      <c r="F14" s="3" t="n">
        <v>16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95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96</v>
      </c>
      <c r="C16" s="3" t="n">
        <v>0.45</v>
      </c>
      <c r="D16" s="3" t="n">
        <v>0.45</v>
      </c>
      <c r="E16" s="3" t="n">
        <v>0.45</v>
      </c>
      <c r="F16" s="3" t="n">
        <v>0.45</v>
      </c>
      <c r="G16" s="3" t="n">
        <v>0.45</v>
      </c>
      <c r="H16" s="3" t="n">
        <v>0.45</v>
      </c>
      <c r="I16" s="3" t="n">
        <v>0.45</v>
      </c>
      <c r="J16" s="3" t="n">
        <v>0.45</v>
      </c>
      <c r="K16" s="3" t="n">
        <v>0.45</v>
      </c>
      <c r="L16" s="3" t="n">
        <v>0.45</v>
      </c>
    </row>
    <row r="17" customFormat="false" ht="15" hidden="false" customHeight="false" outlineLevel="0" collapsed="false">
      <c r="A17" s="0" t="s">
        <v>97</v>
      </c>
      <c r="C17" s="3" t="n">
        <v>6</v>
      </c>
      <c r="D17" s="3" t="n">
        <v>6.8</v>
      </c>
      <c r="E17" s="3" t="n">
        <v>7.5</v>
      </c>
      <c r="F17" s="3" t="n">
        <v>8</v>
      </c>
      <c r="G17" s="3" t="n">
        <v>8.3</v>
      </c>
      <c r="H17" s="3" t="n">
        <v>8.5</v>
      </c>
      <c r="I17" s="3" t="n">
        <v>8.5</v>
      </c>
      <c r="J17" s="3" t="n">
        <v>8.5</v>
      </c>
      <c r="K17" s="3" t="n">
        <v>8.5</v>
      </c>
      <c r="L17" s="3" t="n">
        <v>8.5</v>
      </c>
    </row>
    <row r="18" customFormat="false" ht="15" hidden="false" customHeight="false" outlineLevel="0" collapsed="false">
      <c r="A18" s="0" t="s">
        <v>98</v>
      </c>
      <c r="C18" s="3" t="n">
        <v>18</v>
      </c>
      <c r="D18" s="3" t="n">
        <v>14</v>
      </c>
      <c r="E18" s="3" t="n">
        <v>12</v>
      </c>
      <c r="F18" s="3" t="n">
        <v>10.5</v>
      </c>
      <c r="G18" s="3" t="n">
        <v>9.5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99</v>
      </c>
      <c r="C19" s="3" t="n">
        <v>8</v>
      </c>
      <c r="D19" s="3" t="n">
        <v>12</v>
      </c>
      <c r="E19" s="3" t="n">
        <v>15</v>
      </c>
      <c r="F19" s="3" t="n">
        <v>18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100</v>
      </c>
      <c r="B20" s="3" t="n">
        <v>10.5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14</v>
      </c>
    </row>
    <row r="23" customFormat="false" ht="15" hidden="false" customHeight="false" outlineLevel="0" collapsed="false">
      <c r="A23" s="0" t="s">
        <v>103</v>
      </c>
      <c r="B23" s="3" t="n">
        <v>-55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22</v>
      </c>
      <c r="D27" s="3" t="n">
        <v>18</v>
      </c>
      <c r="E27" s="3" t="n">
        <v>15</v>
      </c>
      <c r="F27" s="3" t="n">
        <v>12</v>
      </c>
      <c r="G27" s="3" t="n">
        <v>10</v>
      </c>
      <c r="H27" s="3" t="n">
        <v>8</v>
      </c>
      <c r="I27" s="3" t="n">
        <v>6</v>
      </c>
      <c r="J27" s="3" t="n">
        <v>5</v>
      </c>
      <c r="K27" s="3" t="n">
        <v>4</v>
      </c>
      <c r="L27" s="3" t="n">
        <v>3</v>
      </c>
    </row>
    <row r="28" customFormat="false" ht="15" hidden="false" customHeight="false" outlineLevel="0" collapsed="false">
      <c r="A28" s="0" t="s">
        <v>94</v>
      </c>
      <c r="C28" s="3" t="n">
        <v>18.5</v>
      </c>
      <c r="D28" s="3" t="n">
        <v>19.3</v>
      </c>
      <c r="E28" s="3" t="n">
        <v>20</v>
      </c>
      <c r="F28" s="3" t="n">
        <v>20.7</v>
      </c>
      <c r="G28" s="3" t="n">
        <v>21.3</v>
      </c>
      <c r="H28" s="3" t="n">
        <v>21.8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95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96</v>
      </c>
      <c r="C30" s="3" t="n">
        <v>0.45</v>
      </c>
      <c r="D30" s="3" t="n">
        <v>0.45</v>
      </c>
      <c r="E30" s="3" t="n">
        <v>0.45</v>
      </c>
      <c r="F30" s="3" t="n">
        <v>0.45</v>
      </c>
      <c r="G30" s="3" t="n">
        <v>0.45</v>
      </c>
      <c r="H30" s="3" t="n">
        <v>0.45</v>
      </c>
      <c r="I30" s="3" t="n">
        <v>0.45</v>
      </c>
      <c r="J30" s="3" t="n">
        <v>0.45</v>
      </c>
      <c r="K30" s="3" t="n">
        <v>0.45</v>
      </c>
      <c r="L30" s="3" t="n">
        <v>0.45</v>
      </c>
    </row>
    <row r="31" customFormat="false" ht="15" hidden="false" customHeight="false" outlineLevel="0" collapsed="false">
      <c r="A31" s="0" t="s">
        <v>97</v>
      </c>
      <c r="C31" s="3" t="n">
        <v>6</v>
      </c>
      <c r="D31" s="3" t="n">
        <v>6.8</v>
      </c>
      <c r="E31" s="3" t="n">
        <v>7.5</v>
      </c>
      <c r="F31" s="3" t="n">
        <v>8.2</v>
      </c>
      <c r="G31" s="3" t="n">
        <v>8.8</v>
      </c>
      <c r="H31" s="3" t="n">
        <v>9.2</v>
      </c>
      <c r="I31" s="3" t="n">
        <v>9.5</v>
      </c>
      <c r="J31" s="3" t="n">
        <v>9.7</v>
      </c>
      <c r="K31" s="3" t="n">
        <v>9.8</v>
      </c>
      <c r="L31" s="3" t="n">
        <v>9.8</v>
      </c>
    </row>
    <row r="32" customFormat="false" ht="15" hidden="false" customHeight="false" outlineLevel="0" collapsed="false">
      <c r="A32" s="0" t="s">
        <v>98</v>
      </c>
      <c r="C32" s="3" t="n">
        <v>18</v>
      </c>
      <c r="D32" s="3" t="n">
        <v>15.5</v>
      </c>
      <c r="E32" s="3" t="n">
        <v>13.5</v>
      </c>
      <c r="F32" s="3" t="n">
        <v>12</v>
      </c>
      <c r="G32" s="3" t="n">
        <v>11</v>
      </c>
      <c r="H32" s="3" t="n">
        <v>10.5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99</v>
      </c>
      <c r="C33" s="3" t="n">
        <v>8</v>
      </c>
      <c r="D33" s="3" t="n">
        <v>12</v>
      </c>
      <c r="E33" s="3" t="n">
        <v>15</v>
      </c>
      <c r="F33" s="3" t="n">
        <v>18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100</v>
      </c>
      <c r="B34" s="3" t="n">
        <v>10.5</v>
      </c>
    </row>
    <row r="35" customFormat="false" ht="15" hidden="false" customHeight="false" outlineLevel="0" collapsed="false">
      <c r="A35" s="0" t="s">
        <v>101</v>
      </c>
      <c r="B35" s="3" t="n">
        <v>3</v>
      </c>
    </row>
    <row r="36" customFormat="false" ht="15" hidden="false" customHeight="false" outlineLevel="0" collapsed="false">
      <c r="A36" s="0" t="s">
        <v>102</v>
      </c>
      <c r="B36" s="3" t="n">
        <v>18</v>
      </c>
    </row>
    <row r="37" customFormat="false" ht="15" hidden="false" customHeight="false" outlineLevel="0" collapsed="false">
      <c r="A37" s="0" t="s">
        <v>103</v>
      </c>
      <c r="B37" s="3" t="n">
        <v>-45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26</v>
      </c>
      <c r="D41" s="3" t="n">
        <v>24</v>
      </c>
      <c r="E41" s="3" t="n">
        <v>21</v>
      </c>
      <c r="F41" s="3" t="n">
        <v>18</v>
      </c>
      <c r="G41" s="3" t="n">
        <v>15</v>
      </c>
      <c r="H41" s="3" t="n">
        <v>12</v>
      </c>
      <c r="I41" s="3" t="n">
        <v>9</v>
      </c>
      <c r="J41" s="3" t="n">
        <v>7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94</v>
      </c>
      <c r="C42" s="3" t="n">
        <v>19.5</v>
      </c>
      <c r="D42" s="3" t="n">
        <v>20.8</v>
      </c>
      <c r="E42" s="3" t="n">
        <v>22</v>
      </c>
      <c r="F42" s="3" t="n">
        <v>23.2</v>
      </c>
      <c r="G42" s="3" t="n">
        <v>24.3</v>
      </c>
      <c r="H42" s="3" t="n">
        <v>25.2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95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96</v>
      </c>
      <c r="C44" s="3" t="n">
        <v>0.45</v>
      </c>
      <c r="D44" s="3" t="n">
        <v>0.45</v>
      </c>
      <c r="E44" s="3" t="n">
        <v>0.45</v>
      </c>
      <c r="F44" s="3" t="n">
        <v>0.45</v>
      </c>
      <c r="G44" s="3" t="n">
        <v>0.45</v>
      </c>
      <c r="H44" s="3" t="n">
        <v>0.45</v>
      </c>
      <c r="I44" s="3" t="n">
        <v>0.45</v>
      </c>
      <c r="J44" s="3" t="n">
        <v>0.45</v>
      </c>
      <c r="K44" s="3" t="n">
        <v>0.45</v>
      </c>
      <c r="L44" s="3" t="n">
        <v>0.45</v>
      </c>
    </row>
    <row r="45" customFormat="false" ht="15" hidden="false" customHeight="false" outlineLevel="0" collapsed="false">
      <c r="A45" s="0" t="s">
        <v>97</v>
      </c>
      <c r="C45" s="3" t="n">
        <v>6</v>
      </c>
      <c r="D45" s="3" t="n">
        <v>6.8</v>
      </c>
      <c r="E45" s="3" t="n">
        <v>7.5</v>
      </c>
      <c r="F45" s="3" t="n">
        <v>8</v>
      </c>
      <c r="G45" s="3" t="n">
        <v>8.5</v>
      </c>
      <c r="H45" s="3" t="n">
        <v>8.8</v>
      </c>
      <c r="I45" s="3" t="n">
        <v>9</v>
      </c>
      <c r="J45" s="3" t="n">
        <v>9</v>
      </c>
      <c r="K45" s="3" t="n">
        <v>9</v>
      </c>
      <c r="L45" s="3" t="n">
        <v>9</v>
      </c>
    </row>
    <row r="46" customFormat="false" ht="15" hidden="false" customHeight="false" outlineLevel="0" collapsed="false">
      <c r="A46" s="0" t="s">
        <v>98</v>
      </c>
      <c r="C46" s="3" t="n">
        <v>18</v>
      </c>
      <c r="D46" s="3" t="n">
        <v>15</v>
      </c>
      <c r="E46" s="3" t="n">
        <v>13</v>
      </c>
      <c r="F46" s="3" t="n">
        <v>11</v>
      </c>
      <c r="G46" s="3" t="n">
        <v>10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99</v>
      </c>
      <c r="C47" s="3" t="n">
        <v>8</v>
      </c>
      <c r="D47" s="3" t="n">
        <v>12</v>
      </c>
      <c r="E47" s="3" t="n">
        <v>15</v>
      </c>
      <c r="F47" s="3" t="n">
        <v>18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100</v>
      </c>
      <c r="B48" s="3" t="n">
        <v>10.5</v>
      </c>
    </row>
    <row r="49" customFormat="false" ht="15" hidden="false" customHeight="false" outlineLevel="0" collapsed="false">
      <c r="A49" s="0" t="s">
        <v>101</v>
      </c>
      <c r="B49" s="3" t="n">
        <v>3.5</v>
      </c>
    </row>
    <row r="50" customFormat="false" ht="15" hidden="false" customHeight="false" outlineLevel="0" collapsed="false">
      <c r="A50" s="0" t="s">
        <v>102</v>
      </c>
      <c r="B50" s="3" t="n">
        <v>20</v>
      </c>
    </row>
    <row r="51" customFormat="false" ht="15" hidden="false" customHeight="false" outlineLevel="0" collapsed="false">
      <c r="A51" s="0" t="s">
        <v>103</v>
      </c>
      <c r="B51" s="3" t="n">
        <v>-30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15</v>
      </c>
      <c r="D5" s="4" t="n">
        <f aca="false">Assumptions!D13</f>
        <v>8</v>
      </c>
      <c r="E5" s="4" t="n">
        <f aca="false">Assumptions!E13</f>
        <v>5</v>
      </c>
      <c r="F5" s="4" t="n">
        <f aca="false">Assumptions!F13</f>
        <v>3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2872.361</v>
      </c>
      <c r="C6" s="0" t="n">
        <f aca="false">B6*(1+C5/100)</f>
        <v>3303.21515</v>
      </c>
      <c r="D6" s="0" t="n">
        <f aca="false">C6*(1+D5/100)</f>
        <v>3567.472362</v>
      </c>
      <c r="E6" s="0" t="n">
        <f aca="false">D6*(1+E5/100)</f>
        <v>3745.8459801</v>
      </c>
      <c r="F6" s="0" t="n">
        <f aca="false">E6*(1+F5/100)</f>
        <v>3858.221359503</v>
      </c>
      <c r="G6" s="0" t="n">
        <f aca="false">F6*(1+G5/100)</f>
        <v>3935.38578669306</v>
      </c>
      <c r="H6" s="0" t="n">
        <f aca="false">G6*(1+H5/100)</f>
        <v>4014.09350242692</v>
      </c>
      <c r="I6" s="0" t="n">
        <f aca="false">H6*(1+I5/100)</f>
        <v>4094.37537247546</v>
      </c>
      <c r="J6" s="0" t="n">
        <f aca="false">I6*(1+J5/100)</f>
        <v>4176.26287992497</v>
      </c>
      <c r="K6" s="0" t="n">
        <f aca="false">J6*(1+K5/100)</f>
        <v>4259.78813752347</v>
      </c>
      <c r="L6" s="0" t="n">
        <f aca="false">K6*(1+L5/100)</f>
        <v>4344.98390027394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18</v>
      </c>
      <c r="D7" s="4" t="n">
        <f aca="false">Assumptions!D14</f>
        <v>17</v>
      </c>
      <c r="E7" s="4" t="n">
        <f aca="false">Assumptions!E14</f>
        <v>16.5</v>
      </c>
      <c r="F7" s="4" t="n">
        <f aca="false">Assumptions!F14</f>
        <v>16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594.578727</v>
      </c>
      <c r="D8" s="0" t="n">
        <f aca="false">D6*D7/100</f>
        <v>606.47030154</v>
      </c>
      <c r="E8" s="0" t="n">
        <f aca="false">E6*E7/100</f>
        <v>618.0645867165</v>
      </c>
      <c r="F8" s="0" t="n">
        <f aca="false">F6*F7/100</f>
        <v>617.31541752048</v>
      </c>
      <c r="G8" s="0" t="n">
        <f aca="false">G6*G7/100</f>
        <v>629.66172587089</v>
      </c>
      <c r="H8" s="0" t="n">
        <f aca="false">H6*H7/100</f>
        <v>642.254960388307</v>
      </c>
      <c r="I8" s="0" t="n">
        <f aca="false">I6*I7/100</f>
        <v>655.100059596074</v>
      </c>
      <c r="J8" s="0" t="n">
        <f aca="false">J6*J7/100</f>
        <v>668.202060787995</v>
      </c>
      <c r="K8" s="0" t="n">
        <f aca="false">K6*K7/100</f>
        <v>681.566102003755</v>
      </c>
      <c r="L8" s="0" t="n">
        <f aca="false">L6*L7/100</f>
        <v>695.19742404383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-16.51607575</v>
      </c>
      <c r="D10" s="0" t="n">
        <f aca="false">-D6*D9/100</f>
        <v>-17.83736181</v>
      </c>
      <c r="E10" s="0" t="n">
        <f aca="false">-E6*E9/100</f>
        <v>-18.7292299005</v>
      </c>
      <c r="F10" s="0" t="n">
        <f aca="false">-F6*F9/100</f>
        <v>-19.291106797515</v>
      </c>
      <c r="G10" s="0" t="n">
        <f aca="false">-G6*G9/100</f>
        <v>-19.6769289334653</v>
      </c>
      <c r="H10" s="0" t="n">
        <f aca="false">-H6*H9/100</f>
        <v>-20.0704675121346</v>
      </c>
      <c r="I10" s="0" t="n">
        <f aca="false">-I6*I9/100</f>
        <v>-20.4718768623773</v>
      </c>
      <c r="J10" s="0" t="n">
        <f aca="false">-J6*J9/100</f>
        <v>-20.8813143996248</v>
      </c>
      <c r="K10" s="0" t="n">
        <f aca="false">-K6*K9/100</f>
        <v>-21.2989406876173</v>
      </c>
      <c r="L10" s="0" t="n">
        <f aca="false">-L6*L9/100</f>
        <v>-21.7249195013697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563.198183075</v>
      </c>
      <c r="D11" s="0" t="n">
        <f aca="false">D8+D10+D24</f>
        <v>572.579314101</v>
      </c>
      <c r="E11" s="0" t="n">
        <f aca="false">E8+E10+E24</f>
        <v>582.47904990555</v>
      </c>
      <c r="F11" s="0" t="n">
        <f aca="false">F8+F10+F24</f>
        <v>580.662314605201</v>
      </c>
      <c r="G11" s="0" t="n">
        <f aca="false">G8+G10+G24</f>
        <v>592.275560897306</v>
      </c>
      <c r="H11" s="0" t="n">
        <f aca="false">H8+H10+H24</f>
        <v>604.121072115251</v>
      </c>
      <c r="I11" s="0" t="n">
        <f aca="false">I8+I10+I24</f>
        <v>616.203493557557</v>
      </c>
      <c r="J11" s="0" t="n">
        <f aca="false">J8+J10+J24</f>
        <v>628.527563428708</v>
      </c>
      <c r="K11" s="0" t="n">
        <f aca="false">K8+K10+K24</f>
        <v>641.098114697282</v>
      </c>
      <c r="L11" s="0" t="n">
        <f aca="false">L8+L10+L24</f>
        <v>653.920076991228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-198.192909</v>
      </c>
      <c r="D12" s="4" t="n">
        <f aca="false">-D6*Assumptions!D17/100</f>
        <v>-242.588120616</v>
      </c>
      <c r="E12" s="4" t="n">
        <f aca="false">-E6*Assumptions!E17/100</f>
        <v>-280.9384485075</v>
      </c>
      <c r="F12" s="4" t="n">
        <f aca="false">-F6*Assumptions!F17/100</f>
        <v>-308.65770876024</v>
      </c>
      <c r="G12" s="4" t="n">
        <f aca="false">-G6*Assumptions!G17/100</f>
        <v>-326.637020295524</v>
      </c>
      <c r="H12" s="4" t="n">
        <f aca="false">-H6*Assumptions!H17/100</f>
        <v>-341.197947706288</v>
      </c>
      <c r="I12" s="4" t="n">
        <f aca="false">-I6*Assumptions!I17/100</f>
        <v>-348.021906660414</v>
      </c>
      <c r="J12" s="4" t="n">
        <f aca="false">-J6*Assumptions!J17/100</f>
        <v>-354.982344793622</v>
      </c>
      <c r="K12" s="4" t="n">
        <f aca="false">-K6*Assumptions!K17/100</f>
        <v>-362.081991689495</v>
      </c>
      <c r="L12" s="4" t="n">
        <f aca="false">-L6*Assumptions!L17/100</f>
        <v>-369.323631523285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365.005274075</v>
      </c>
      <c r="D13" s="0" t="n">
        <f aca="false">D11+D12</f>
        <v>329.991193485</v>
      </c>
      <c r="E13" s="0" t="n">
        <f aca="false">E11+E12</f>
        <v>301.54060139805</v>
      </c>
      <c r="F13" s="0" t="n">
        <f aca="false">F11+F12</f>
        <v>272.004605844961</v>
      </c>
      <c r="G13" s="0" t="n">
        <f aca="false">G11+G12</f>
        <v>265.638540601782</v>
      </c>
      <c r="H13" s="0" t="n">
        <f aca="false">H11+H12</f>
        <v>262.923124408963</v>
      </c>
      <c r="I13" s="0" t="n">
        <f aca="false">I11+I12</f>
        <v>268.181586897143</v>
      </c>
      <c r="J13" s="0" t="n">
        <f aca="false">J11+J12</f>
        <v>273.545218635086</v>
      </c>
      <c r="K13" s="0" t="n">
        <f aca="false">K11+K12</f>
        <v>279.016123007787</v>
      </c>
      <c r="L13" s="0" t="n">
        <f aca="false">L11+L12</f>
        <v>284.596445467943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8</v>
      </c>
      <c r="D14" s="4" t="n">
        <f aca="false">Assumptions!D19</f>
        <v>12</v>
      </c>
      <c r="E14" s="4" t="n">
        <f aca="false">Assumptions!E19</f>
        <v>15</v>
      </c>
      <c r="F14" s="4" t="n">
        <f aca="false">Assumptions!F19</f>
        <v>18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335.804852149</v>
      </c>
      <c r="D15" s="0" t="n">
        <f aca="false">D13-MAX(0,D13)*D14/100</f>
        <v>290.3922502668</v>
      </c>
      <c r="E15" s="0" t="n">
        <f aca="false">E13-MAX(0,E13)*E14/100</f>
        <v>256.309511188342</v>
      </c>
      <c r="F15" s="0" t="n">
        <f aca="false">F13-MAX(0,F13)*F14/100</f>
        <v>223.043776792868</v>
      </c>
      <c r="G15" s="0" t="n">
        <f aca="false">G13-MAX(0,G13)*G14/100</f>
        <v>212.510832481425</v>
      </c>
      <c r="H15" s="0" t="n">
        <f aca="false">H13-MAX(0,H13)*H14/100</f>
        <v>210.338499527171</v>
      </c>
      <c r="I15" s="0" t="n">
        <f aca="false">I13-MAX(0,I13)*I14/100</f>
        <v>214.545269517714</v>
      </c>
      <c r="J15" s="0" t="n">
        <f aca="false">J13-MAX(0,J13)*J14/100</f>
        <v>218.836174908068</v>
      </c>
      <c r="K15" s="0" t="n">
        <f aca="false">K13-MAX(0,K13)*K14/100</f>
        <v>223.21289840623</v>
      </c>
      <c r="L15" s="0" t="n">
        <f aca="false">L13-MAX(0,L13)*L14/100</f>
        <v>227.677156374354</v>
      </c>
    </row>
    <row r="16" customFormat="false" ht="15" hidden="false" customHeight="false" outlineLevel="0" collapsed="false">
      <c r="A16" s="0" t="s">
        <v>115</v>
      </c>
      <c r="C16" s="0" t="n">
        <f aca="false">-C12</f>
        <v>198.192909</v>
      </c>
      <c r="D16" s="0" t="n">
        <f aca="false">-D12</f>
        <v>242.588120616</v>
      </c>
      <c r="E16" s="0" t="n">
        <f aca="false">-E12</f>
        <v>280.9384485075</v>
      </c>
      <c r="F16" s="0" t="n">
        <f aca="false">-F12</f>
        <v>308.65770876024</v>
      </c>
      <c r="G16" s="0" t="n">
        <f aca="false">-G12</f>
        <v>326.637020295524</v>
      </c>
      <c r="H16" s="0" t="n">
        <f aca="false">-H12</f>
        <v>341.197947706288</v>
      </c>
      <c r="I16" s="0" t="n">
        <f aca="false">-I12</f>
        <v>348.021906660414</v>
      </c>
      <c r="J16" s="0" t="n">
        <f aca="false">-J12</f>
        <v>354.982344793622</v>
      </c>
      <c r="K16" s="0" t="n">
        <f aca="false">-K12</f>
        <v>362.081991689495</v>
      </c>
      <c r="L16" s="0" t="n">
        <f aca="false">-L12</f>
        <v>369.323631523285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-594.578727</v>
      </c>
      <c r="D17" s="4" t="n">
        <f aca="false">-D6*Assumptions!D18/100</f>
        <v>-499.44613068</v>
      </c>
      <c r="E17" s="4" t="n">
        <f aca="false">-E6*Assumptions!E18/100</f>
        <v>-449.501517612</v>
      </c>
      <c r="F17" s="4" t="n">
        <f aca="false">-F6*Assumptions!F18/100</f>
        <v>-405.113242747815</v>
      </c>
      <c r="G17" s="4" t="n">
        <f aca="false">-G6*Assumptions!G18/100</f>
        <v>-373.861649735841</v>
      </c>
      <c r="H17" s="4" t="n">
        <f aca="false">-H6*Assumptions!H18/100</f>
        <v>-361.268415218423</v>
      </c>
      <c r="I17" s="4" t="n">
        <f aca="false">-I6*Assumptions!I18/100</f>
        <v>-368.493783522791</v>
      </c>
      <c r="J17" s="4" t="n">
        <f aca="false">-J6*Assumptions!J18/100</f>
        <v>-375.863659193247</v>
      </c>
      <c r="K17" s="4" t="n">
        <f aca="false">-K6*Assumptions!K18/100</f>
        <v>-383.380932377112</v>
      </c>
      <c r="L17" s="4" t="n">
        <f aca="false">-L6*Assumptions!L18/100</f>
        <v>-391.048551024654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-236.9697825</v>
      </c>
      <c r="D18" s="4" t="n">
        <f aca="false">(D6-C6)*Assumptions!$B$23/100</f>
        <v>-145.3414666</v>
      </c>
      <c r="E18" s="4" t="n">
        <f aca="false">(E6-D6)*Assumptions!$B$23/100</f>
        <v>-98.105489955</v>
      </c>
      <c r="F18" s="4" t="n">
        <f aca="false">(F6-E6)*Assumptions!$B$23/100</f>
        <v>-61.8064586716499</v>
      </c>
      <c r="G18" s="4" t="n">
        <f aca="false">(G6-F6)*Assumptions!$B$23/100</f>
        <v>-42.440434954533</v>
      </c>
      <c r="H18" s="4" t="n">
        <f aca="false">(H6-G6)*Assumptions!$B$23/100</f>
        <v>-43.2892436536237</v>
      </c>
      <c r="I18" s="4" t="n">
        <f aca="false">(I6-H6)*Assumptions!$B$23/100</f>
        <v>-44.1550285266962</v>
      </c>
      <c r="J18" s="4" t="n">
        <f aca="false">(J6-I6)*Assumptions!$B$23/100</f>
        <v>-45.0381290972302</v>
      </c>
      <c r="K18" s="4" t="n">
        <f aca="false">(K6-J6)*Assumptions!$B$23/100</f>
        <v>-45.9388916791748</v>
      </c>
      <c r="L18" s="4" t="n">
        <f aca="false">(L6-K6)*Assumptions!$B$23/100</f>
        <v>-46.8576695127584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-297.550748351</v>
      </c>
      <c r="D19" s="0" t="n">
        <f aca="false">D15+D16+D17+D18</f>
        <v>-111.8072263972</v>
      </c>
      <c r="E19" s="0" t="n">
        <f aca="false">E15+E16+E17+E18</f>
        <v>-10.3590478711575</v>
      </c>
      <c r="F19" s="0" t="n">
        <f aca="false">F15+F16+F17+F18</f>
        <v>64.7817841336435</v>
      </c>
      <c r="G19" s="0" t="n">
        <f aca="false">G15+G16+G17+G18</f>
        <v>122.845768086575</v>
      </c>
      <c r="H19" s="0" t="n">
        <f aca="false">H15+H16+H17+H18</f>
        <v>146.978788361412</v>
      </c>
      <c r="I19" s="0" t="n">
        <f aca="false">I15+I16+I17+I18</f>
        <v>149.918364128641</v>
      </c>
      <c r="J19" s="0" t="n">
        <f aca="false">J15+J16+J17+J18</f>
        <v>152.916731411213</v>
      </c>
      <c r="K19" s="0" t="n">
        <f aca="false">K15+K16+K17+K18</f>
        <v>155.975066039438</v>
      </c>
      <c r="L19" s="0" t="n">
        <f aca="false">L15+L16+L17+L18</f>
        <v>159.094567360226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-269.276695340271</v>
      </c>
      <c r="D21" s="0" t="n">
        <f aca="false">D19*D20</f>
        <v>-91.5683351259801</v>
      </c>
      <c r="E21" s="0" t="n">
        <f aca="false">E19*E20</f>
        <v>-7.6777330159486</v>
      </c>
      <c r="F21" s="0" t="n">
        <f aca="false">F19*F20</f>
        <v>43.4514018586844</v>
      </c>
      <c r="G21" s="0" t="n">
        <f aca="false">G19*G20</f>
        <v>74.5673672899747</v>
      </c>
      <c r="H21" s="0" t="n">
        <f aca="false">H19*H20</f>
        <v>80.7385591480278</v>
      </c>
      <c r="I21" s="0" t="n">
        <f aca="false">I19*I20</f>
        <v>74.5279007520256</v>
      </c>
      <c r="J21" s="0" t="n">
        <f aca="false">J19*J20</f>
        <v>68.7949853095622</v>
      </c>
      <c r="K21" s="0" t="n">
        <f aca="false">K19*K20</f>
        <v>63.5030633626727</v>
      </c>
      <c r="L21" s="0" t="n">
        <f aca="false">L19*L20</f>
        <v>58.6182123347748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0.45</v>
      </c>
      <c r="D23" s="4" t="n">
        <f aca="false">Assumptions!D16</f>
        <v>0.45</v>
      </c>
      <c r="E23" s="4" t="n">
        <f aca="false">Assumptions!E16</f>
        <v>0.45</v>
      </c>
      <c r="F23" s="4" t="n">
        <f aca="false">Assumptions!F16</f>
        <v>0.45</v>
      </c>
      <c r="G23" s="4" t="n">
        <f aca="false">Assumptions!G16</f>
        <v>0.45</v>
      </c>
      <c r="H23" s="4" t="n">
        <f aca="false">Assumptions!H16</f>
        <v>0.45</v>
      </c>
      <c r="I23" s="4" t="n">
        <f aca="false">Assumptions!I16</f>
        <v>0.45</v>
      </c>
      <c r="J23" s="4" t="n">
        <f aca="false">Assumptions!J16</f>
        <v>0.45</v>
      </c>
      <c r="K23" s="4" t="n">
        <f aca="false">Assumptions!K16</f>
        <v>0.45</v>
      </c>
      <c r="L23" s="4" t="n">
        <f aca="false">Assumptions!L16</f>
        <v>0.45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-14.864468175</v>
      </c>
      <c r="D24" s="0" t="n">
        <f aca="false">-D6*D23/100</f>
        <v>-16.053625629</v>
      </c>
      <c r="E24" s="0" t="n">
        <f aca="false">-E6*E23/100</f>
        <v>-16.85630691045</v>
      </c>
      <c r="F24" s="0" t="n">
        <f aca="false">-F6*F23/100</f>
        <v>-17.3619961177635</v>
      </c>
      <c r="G24" s="0" t="n">
        <f aca="false">-G6*G23/100</f>
        <v>-17.7092360401188</v>
      </c>
      <c r="H24" s="0" t="n">
        <f aca="false">-H6*H23/100</f>
        <v>-18.0634207609211</v>
      </c>
      <c r="I24" s="0" t="n">
        <f aca="false">-I6*I23/100</f>
        <v>-18.4246891761396</v>
      </c>
      <c r="J24" s="0" t="n">
        <f aca="false">-J6*J23/100</f>
        <v>-18.7931829596624</v>
      </c>
      <c r="K24" s="0" t="n">
        <f aca="false">-K6*K23/100</f>
        <v>-19.1690466188556</v>
      </c>
      <c r="L24" s="0" t="n">
        <f aca="false">-L6*L23/100</f>
        <v>-19.5524275512327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95.6787265735222</v>
      </c>
    </row>
    <row r="31" customFormat="false" ht="15" hidden="false" customHeight="false" outlineLevel="0" collapsed="false">
      <c r="A31" s="0" t="s">
        <v>124</v>
      </c>
      <c r="B31" s="0" t="n">
        <f aca="false">L19</f>
        <v>159.094567360226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1909.13480832272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2227.32394304317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1909.13480832272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703.418548017298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799.09727459082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-187.40272540918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-0.0713371623179216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-1.02882309588603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115.592156697551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96.0542624742483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0.0092286615008068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1248.28045159562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-0.257467477837194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22</v>
      </c>
      <c r="D5" s="4" t="n">
        <f aca="false">Assumptions!D27</f>
        <v>18</v>
      </c>
      <c r="E5" s="4" t="n">
        <f aca="false">Assumptions!E27</f>
        <v>15</v>
      </c>
      <c r="F5" s="4" t="n">
        <f aca="false">Assumptions!F27</f>
        <v>12</v>
      </c>
      <c r="G5" s="4" t="n">
        <f aca="false">Assumptions!G27</f>
        <v>10</v>
      </c>
      <c r="H5" s="4" t="n">
        <f aca="false">Assumptions!H27</f>
        <v>8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2872.361</v>
      </c>
      <c r="C6" s="0" t="n">
        <f aca="false">B6*(1+C5/100)</f>
        <v>3504.28042</v>
      </c>
      <c r="D6" s="0" t="n">
        <f aca="false">C6*(1+D5/100)</f>
        <v>4135.0508956</v>
      </c>
      <c r="E6" s="0" t="n">
        <f aca="false">D6*(1+E5/100)</f>
        <v>4755.30852994</v>
      </c>
      <c r="F6" s="0" t="n">
        <f aca="false">E6*(1+F5/100)</f>
        <v>5325.9455535328</v>
      </c>
      <c r="G6" s="0" t="n">
        <f aca="false">F6*(1+G5/100)</f>
        <v>5858.54010888608</v>
      </c>
      <c r="H6" s="0" t="n">
        <f aca="false">G6*(1+H5/100)</f>
        <v>6327.22331759697</v>
      </c>
      <c r="I6" s="0" t="n">
        <f aca="false">H6*(1+I5/100)</f>
        <v>6706.85671665279</v>
      </c>
      <c r="J6" s="0" t="n">
        <f aca="false">I6*(1+J5/100)</f>
        <v>7042.19955248543</v>
      </c>
      <c r="K6" s="0" t="n">
        <f aca="false">J6*(1+K5/100)</f>
        <v>7323.88753458484</v>
      </c>
      <c r="L6" s="0" t="n">
        <f aca="false">K6*(1+L5/100)</f>
        <v>7543.60416062239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18.5</v>
      </c>
      <c r="D7" s="4" t="n">
        <f aca="false">Assumptions!D28</f>
        <v>19.3</v>
      </c>
      <c r="E7" s="4" t="n">
        <f aca="false">Assumptions!E28</f>
        <v>20</v>
      </c>
      <c r="F7" s="4" t="n">
        <f aca="false">Assumptions!F28</f>
        <v>20.7</v>
      </c>
      <c r="G7" s="4" t="n">
        <f aca="false">Assumptions!G28</f>
        <v>21.3</v>
      </c>
      <c r="H7" s="4" t="n">
        <f aca="false">Assumptions!H28</f>
        <v>21.8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648.2918777</v>
      </c>
      <c r="D8" s="0" t="n">
        <f aca="false">D6*D7/100</f>
        <v>798.0648228508</v>
      </c>
      <c r="E8" s="0" t="n">
        <f aca="false">E6*E7/100</f>
        <v>951.061705988</v>
      </c>
      <c r="F8" s="0" t="n">
        <f aca="false">F6*F7/100</f>
        <v>1102.47072958129</v>
      </c>
      <c r="G8" s="0" t="n">
        <f aca="false">G6*G7/100</f>
        <v>1247.86904319274</v>
      </c>
      <c r="H8" s="0" t="n">
        <f aca="false">H6*H7/100</f>
        <v>1379.33468323614</v>
      </c>
      <c r="I8" s="0" t="n">
        <f aca="false">I6*I7/100</f>
        <v>1475.50847766361</v>
      </c>
      <c r="J8" s="0" t="n">
        <f aca="false">J6*J7/100</f>
        <v>1549.28390154679</v>
      </c>
      <c r="K8" s="0" t="n">
        <f aca="false">K6*K7/100</f>
        <v>1611.25525760867</v>
      </c>
      <c r="L8" s="0" t="n">
        <f aca="false">L6*L7/100</f>
        <v>1659.59291533693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-17.5214021</v>
      </c>
      <c r="D10" s="0" t="n">
        <f aca="false">-D6*D9/100</f>
        <v>-20.675254478</v>
      </c>
      <c r="E10" s="0" t="n">
        <f aca="false">-E6*E9/100</f>
        <v>-23.7765426497</v>
      </c>
      <c r="F10" s="0" t="n">
        <f aca="false">-F6*F9/100</f>
        <v>-26.629727767664</v>
      </c>
      <c r="G10" s="0" t="n">
        <f aca="false">-G6*G9/100</f>
        <v>-29.2927005444304</v>
      </c>
      <c r="H10" s="0" t="n">
        <f aca="false">-H6*H9/100</f>
        <v>-31.6361165879848</v>
      </c>
      <c r="I10" s="0" t="n">
        <f aca="false">-I6*I9/100</f>
        <v>-33.5342835832639</v>
      </c>
      <c r="J10" s="0" t="n">
        <f aca="false">-J6*J9/100</f>
        <v>-35.2109977624271</v>
      </c>
      <c r="K10" s="0" t="n">
        <f aca="false">-K6*K9/100</f>
        <v>-36.6194376729242</v>
      </c>
      <c r="L10" s="0" t="n">
        <f aca="false">-L6*L9/100</f>
        <v>-37.7180208031119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615.00121371</v>
      </c>
      <c r="D11" s="0" t="n">
        <f aca="false">D8+D10+D24</f>
        <v>758.7818393426</v>
      </c>
      <c r="E11" s="0" t="n">
        <f aca="false">E8+E10+E24</f>
        <v>905.88627495357</v>
      </c>
      <c r="F11" s="0" t="n">
        <f aca="false">F8+F10+F24</f>
        <v>1051.87424682273</v>
      </c>
      <c r="G11" s="0" t="n">
        <f aca="false">G8+G10+G24</f>
        <v>1192.21291215832</v>
      </c>
      <c r="H11" s="0" t="n">
        <f aca="false">H8+H10+H24</f>
        <v>1319.22606171897</v>
      </c>
      <c r="I11" s="0" t="n">
        <f aca="false">I8+I10+I24</f>
        <v>1411.79333885541</v>
      </c>
      <c r="J11" s="0" t="n">
        <f aca="false">J8+J10+J24</f>
        <v>1482.38300579818</v>
      </c>
      <c r="K11" s="0" t="n">
        <f aca="false">K8+K10+K24</f>
        <v>1541.67832603011</v>
      </c>
      <c r="L11" s="0" t="n">
        <f aca="false">L8+L10+L24</f>
        <v>1587.92867581101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-210.2568252</v>
      </c>
      <c r="D12" s="4" t="n">
        <f aca="false">-D6*Assumptions!D31/100</f>
        <v>-281.1834609008</v>
      </c>
      <c r="E12" s="4" t="n">
        <f aca="false">-E6*Assumptions!E31/100</f>
        <v>-356.6481397455</v>
      </c>
      <c r="F12" s="4" t="n">
        <f aca="false">-F6*Assumptions!F31/100</f>
        <v>-436.72753538969</v>
      </c>
      <c r="G12" s="4" t="n">
        <f aca="false">-G6*Assumptions!G31/100</f>
        <v>-515.551529581975</v>
      </c>
      <c r="H12" s="4" t="n">
        <f aca="false">-H6*Assumptions!H31/100</f>
        <v>-582.104545218921</v>
      </c>
      <c r="I12" s="4" t="n">
        <f aca="false">-I6*Assumptions!I31/100</f>
        <v>-637.151388082015</v>
      </c>
      <c r="J12" s="4" t="n">
        <f aca="false">-J6*Assumptions!J31/100</f>
        <v>-683.093356591086</v>
      </c>
      <c r="K12" s="4" t="n">
        <f aca="false">-K6*Assumptions!K31/100</f>
        <v>-717.740978389315</v>
      </c>
      <c r="L12" s="4" t="n">
        <f aca="false">-L6*Assumptions!L31/100</f>
        <v>-739.273207740994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404.74438851</v>
      </c>
      <c r="D13" s="0" t="n">
        <f aca="false">D11+D12</f>
        <v>477.5983784418</v>
      </c>
      <c r="E13" s="0" t="n">
        <f aca="false">E11+E12</f>
        <v>549.23813520807</v>
      </c>
      <c r="F13" s="0" t="n">
        <f aca="false">F11+F12</f>
        <v>615.146711433038</v>
      </c>
      <c r="G13" s="0" t="n">
        <f aca="false">G11+G12</f>
        <v>676.661382576342</v>
      </c>
      <c r="H13" s="0" t="n">
        <f aca="false">H11+H12</f>
        <v>737.121516500047</v>
      </c>
      <c r="I13" s="0" t="n">
        <f aca="false">I11+I12</f>
        <v>774.641950773397</v>
      </c>
      <c r="J13" s="0" t="n">
        <f aca="false">J11+J12</f>
        <v>799.289649207096</v>
      </c>
      <c r="K13" s="0" t="n">
        <f aca="false">K11+K12</f>
        <v>823.937347640795</v>
      </c>
      <c r="L13" s="0" t="n">
        <f aca="false">L11+L12</f>
        <v>848.655468070018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8</v>
      </c>
      <c r="D14" s="4" t="n">
        <f aca="false">Assumptions!D33</f>
        <v>12</v>
      </c>
      <c r="E14" s="4" t="n">
        <f aca="false">Assumptions!E33</f>
        <v>15</v>
      </c>
      <c r="F14" s="4" t="n">
        <f aca="false">Assumptions!F33</f>
        <v>18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372.3648374292</v>
      </c>
      <c r="D15" s="0" t="n">
        <f aca="false">D13-MAX(0,D13)*D14/100</f>
        <v>420.286573028784</v>
      </c>
      <c r="E15" s="0" t="n">
        <f aca="false">E13-MAX(0,E13)*E14/100</f>
        <v>466.852414926859</v>
      </c>
      <c r="F15" s="0" t="n">
        <f aca="false">F13-MAX(0,F13)*F14/100</f>
        <v>504.420303375091</v>
      </c>
      <c r="G15" s="0" t="n">
        <f aca="false">G13-MAX(0,G13)*G14/100</f>
        <v>541.329106061074</v>
      </c>
      <c r="H15" s="0" t="n">
        <f aca="false">H13-MAX(0,H13)*H14/100</f>
        <v>589.697213200038</v>
      </c>
      <c r="I15" s="0" t="n">
        <f aca="false">I13-MAX(0,I13)*I14/100</f>
        <v>619.713560618718</v>
      </c>
      <c r="J15" s="0" t="n">
        <f aca="false">J13-MAX(0,J13)*J14/100</f>
        <v>639.431719365677</v>
      </c>
      <c r="K15" s="0" t="n">
        <f aca="false">K13-MAX(0,K13)*K14/100</f>
        <v>659.149878112636</v>
      </c>
      <c r="L15" s="0" t="n">
        <f aca="false">L13-MAX(0,L13)*L14/100</f>
        <v>678.924374456015</v>
      </c>
    </row>
    <row r="16" customFormat="false" ht="15" hidden="false" customHeight="false" outlineLevel="0" collapsed="false">
      <c r="A16" s="0" t="s">
        <v>115</v>
      </c>
      <c r="C16" s="0" t="n">
        <f aca="false">-C12</f>
        <v>210.2568252</v>
      </c>
      <c r="D16" s="0" t="n">
        <f aca="false">-D12</f>
        <v>281.1834609008</v>
      </c>
      <c r="E16" s="0" t="n">
        <f aca="false">-E12</f>
        <v>356.6481397455</v>
      </c>
      <c r="F16" s="0" t="n">
        <f aca="false">-F12</f>
        <v>436.72753538969</v>
      </c>
      <c r="G16" s="0" t="n">
        <f aca="false">-G12</f>
        <v>515.551529581975</v>
      </c>
      <c r="H16" s="0" t="n">
        <f aca="false">-H12</f>
        <v>582.104545218921</v>
      </c>
      <c r="I16" s="0" t="n">
        <f aca="false">-I12</f>
        <v>637.151388082015</v>
      </c>
      <c r="J16" s="0" t="n">
        <f aca="false">-J12</f>
        <v>683.093356591086</v>
      </c>
      <c r="K16" s="0" t="n">
        <f aca="false">-K12</f>
        <v>717.740978389315</v>
      </c>
      <c r="L16" s="0" t="n">
        <f aca="false">-L12</f>
        <v>739.273207740994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-630.7704756</v>
      </c>
      <c r="D17" s="4" t="n">
        <f aca="false">-D6*Assumptions!D32/100</f>
        <v>-640.932888818</v>
      </c>
      <c r="E17" s="4" t="n">
        <f aca="false">-E6*Assumptions!E32/100</f>
        <v>-641.9666515419</v>
      </c>
      <c r="F17" s="4" t="n">
        <f aca="false">-F6*Assumptions!F32/100</f>
        <v>-639.113466423936</v>
      </c>
      <c r="G17" s="4" t="n">
        <f aca="false">-G6*Assumptions!G32/100</f>
        <v>-644.439411977469</v>
      </c>
      <c r="H17" s="4" t="n">
        <f aca="false">-H6*Assumptions!H32/100</f>
        <v>-664.358448347682</v>
      </c>
      <c r="I17" s="4" t="n">
        <f aca="false">-I6*Assumptions!I32/100</f>
        <v>-670.685671665279</v>
      </c>
      <c r="J17" s="4" t="n">
        <f aca="false">-J6*Assumptions!J32/100</f>
        <v>-704.219955248543</v>
      </c>
      <c r="K17" s="4" t="n">
        <f aca="false">-K6*Assumptions!K32/100</f>
        <v>-732.388753458484</v>
      </c>
      <c r="L17" s="4" t="n">
        <f aca="false">-L6*Assumptions!L32/100</f>
        <v>-754.360416062239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-284.363739</v>
      </c>
      <c r="D18" s="4" t="n">
        <f aca="false">(D6-C6)*Assumptions!$B$37/100</f>
        <v>-283.84671402</v>
      </c>
      <c r="E18" s="4" t="n">
        <f aca="false">(E6-D6)*Assumptions!$B$37/100</f>
        <v>-279.115935453</v>
      </c>
      <c r="F18" s="4" t="n">
        <f aca="false">(F6-E6)*Assumptions!$B$37/100</f>
        <v>-256.78666061676</v>
      </c>
      <c r="G18" s="4" t="n">
        <f aca="false">(G6-F6)*Assumptions!$B$37/100</f>
        <v>-239.667549908976</v>
      </c>
      <c r="H18" s="4" t="n">
        <f aca="false">(H6-G6)*Assumptions!$B$37/100</f>
        <v>-210.907443919899</v>
      </c>
      <c r="I18" s="4" t="n">
        <f aca="false">(I6-H6)*Assumptions!$B$37/100</f>
        <v>-170.835029575118</v>
      </c>
      <c r="J18" s="4" t="n">
        <f aca="false">(J6-I6)*Assumptions!$B$37/100</f>
        <v>-150.904276124688</v>
      </c>
      <c r="K18" s="4" t="n">
        <f aca="false">(K6-J6)*Assumptions!$B$37/100</f>
        <v>-126.759591944738</v>
      </c>
      <c r="L18" s="4" t="n">
        <f aca="false">(L6-K6)*Assumptions!$B$37/100</f>
        <v>-98.8724817168954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-332.5125519708</v>
      </c>
      <c r="D19" s="0" t="n">
        <f aca="false">D15+D16+D17+D18</f>
        <v>-223.309568908416</v>
      </c>
      <c r="E19" s="0" t="n">
        <f aca="false">E15+E16+E17+E18</f>
        <v>-97.5820323225403</v>
      </c>
      <c r="F19" s="0" t="n">
        <f aca="false">F15+F16+F17+F18</f>
        <v>45.2477117240848</v>
      </c>
      <c r="G19" s="0" t="n">
        <f aca="false">G15+G16+G17+G18</f>
        <v>172.773673756604</v>
      </c>
      <c r="H19" s="0" t="n">
        <f aca="false">H15+H16+H17+H18</f>
        <v>296.535866151378</v>
      </c>
      <c r="I19" s="0" t="n">
        <f aca="false">I15+I16+I17+I18</f>
        <v>415.344247460335</v>
      </c>
      <c r="J19" s="0" t="n">
        <f aca="false">J15+J16+J17+J18</f>
        <v>467.400844583533</v>
      </c>
      <c r="K19" s="0" t="n">
        <f aca="false">K15+K16+K17+K18</f>
        <v>517.742511098728</v>
      </c>
      <c r="L19" s="0" t="n">
        <f aca="false">L15+L16+L17+L18</f>
        <v>564.964684417875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-300.916336625158</v>
      </c>
      <c r="D21" s="0" t="n">
        <f aca="false">D19*D20</f>
        <v>-182.88697521215</v>
      </c>
      <c r="E21" s="0" t="n">
        <f aca="false">E19*E20</f>
        <v>-72.3240977978429</v>
      </c>
      <c r="F21" s="0" t="n">
        <f aca="false">F19*F20</f>
        <v>30.3492182501973</v>
      </c>
      <c r="G21" s="0" t="n">
        <f aca="false">G19*G20</f>
        <v>104.87360036666</v>
      </c>
      <c r="H21" s="0" t="n">
        <f aca="false">H19*H20</f>
        <v>162.893427246815</v>
      </c>
      <c r="I21" s="0" t="n">
        <f aca="false">I19*I20</f>
        <v>206.477272031112</v>
      </c>
      <c r="J21" s="0" t="n">
        <f aca="false">J19*J20</f>
        <v>210.276756114623</v>
      </c>
      <c r="K21" s="0" t="n">
        <f aca="false">K19*K20</f>
        <v>210.7916112665</v>
      </c>
      <c r="L21" s="0" t="n">
        <f aca="false">L19*L20</f>
        <v>208.160595187836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0.45</v>
      </c>
      <c r="D23" s="4" t="n">
        <f aca="false">Assumptions!D30</f>
        <v>0.45</v>
      </c>
      <c r="E23" s="4" t="n">
        <f aca="false">Assumptions!E30</f>
        <v>0.45</v>
      </c>
      <c r="F23" s="4" t="n">
        <f aca="false">Assumptions!F30</f>
        <v>0.45</v>
      </c>
      <c r="G23" s="4" t="n">
        <f aca="false">Assumptions!G30</f>
        <v>0.45</v>
      </c>
      <c r="H23" s="4" t="n">
        <f aca="false">Assumptions!H30</f>
        <v>0.45</v>
      </c>
      <c r="I23" s="4" t="n">
        <f aca="false">Assumptions!I30</f>
        <v>0.45</v>
      </c>
      <c r="J23" s="4" t="n">
        <f aca="false">Assumptions!J30</f>
        <v>0.45</v>
      </c>
      <c r="K23" s="4" t="n">
        <f aca="false">Assumptions!K30</f>
        <v>0.45</v>
      </c>
      <c r="L23" s="4" t="n">
        <f aca="false">Assumptions!L30</f>
        <v>0.45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-15.76926189</v>
      </c>
      <c r="D24" s="0" t="n">
        <f aca="false">-D6*D23/100</f>
        <v>-18.6077290302</v>
      </c>
      <c r="E24" s="0" t="n">
        <f aca="false">-E6*E23/100</f>
        <v>-21.39888838473</v>
      </c>
      <c r="F24" s="0" t="n">
        <f aca="false">-F6*F23/100</f>
        <v>-23.9667549908976</v>
      </c>
      <c r="G24" s="0" t="n">
        <f aca="false">-G6*G23/100</f>
        <v>-26.3634304899874</v>
      </c>
      <c r="H24" s="0" t="n">
        <f aca="false">-H6*H23/100</f>
        <v>-28.4725049291864</v>
      </c>
      <c r="I24" s="0" t="n">
        <f aca="false">-I6*I23/100</f>
        <v>-30.1808552249375</v>
      </c>
      <c r="J24" s="0" t="n">
        <f aca="false">-J6*J23/100</f>
        <v>-31.6898979861844</v>
      </c>
      <c r="K24" s="0" t="n">
        <f aca="false">-K6*K23/100</f>
        <v>-32.9574939056318</v>
      </c>
      <c r="L24" s="0" t="n">
        <f aca="false">-L6*L23/100</f>
        <v>-33.9462187228007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577.695070828593</v>
      </c>
    </row>
    <row r="31" customFormat="false" ht="15" hidden="false" customHeight="false" outlineLevel="0" collapsed="false">
      <c r="A31" s="0" t="s">
        <v>124</v>
      </c>
      <c r="B31" s="0" t="n">
        <f aca="false">L19</f>
        <v>564.964684417875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7758.84833267215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10169.3643195217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7758.84833267215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2858.73884057962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3436.43391140821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2449.93391140821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0.932597606169856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-0.623192886396018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164.74982182563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190.854356092624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1.06796272909268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4849.28020792009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0.200130833188391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26</v>
      </c>
      <c r="D5" s="4" t="n">
        <f aca="false">Assumptions!D41</f>
        <v>24</v>
      </c>
      <c r="E5" s="4" t="n">
        <f aca="false">Assumptions!E41</f>
        <v>21</v>
      </c>
      <c r="F5" s="4" t="n">
        <f aca="false">Assumptions!F41</f>
        <v>18</v>
      </c>
      <c r="G5" s="4" t="n">
        <f aca="false">Assumptions!G41</f>
        <v>15</v>
      </c>
      <c r="H5" s="4" t="n">
        <f aca="false">Assumptions!H41</f>
        <v>12</v>
      </c>
      <c r="I5" s="4" t="n">
        <f aca="false">Assumptions!I41</f>
        <v>9</v>
      </c>
      <c r="J5" s="4" t="n">
        <f aca="false">Assumptions!J41</f>
        <v>7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2872.361</v>
      </c>
      <c r="C6" s="0" t="n">
        <f aca="false">B6*(1+C5/100)</f>
        <v>3619.17486</v>
      </c>
      <c r="D6" s="0" t="n">
        <f aca="false">C6*(1+D5/100)</f>
        <v>4487.7768264</v>
      </c>
      <c r="E6" s="0" t="n">
        <f aca="false">D6*(1+E5/100)</f>
        <v>5430.209959944</v>
      </c>
      <c r="F6" s="0" t="n">
        <f aca="false">E6*(1+F5/100)</f>
        <v>6407.64775273392</v>
      </c>
      <c r="G6" s="0" t="n">
        <f aca="false">F6*(1+G5/100)</f>
        <v>7368.79491564401</v>
      </c>
      <c r="H6" s="0" t="n">
        <f aca="false">G6*(1+H5/100)</f>
        <v>8253.05030552129</v>
      </c>
      <c r="I6" s="0" t="n">
        <f aca="false">H6*(1+I5/100)</f>
        <v>8995.82483301821</v>
      </c>
      <c r="J6" s="0" t="n">
        <f aca="false">I6*(1+J5/100)</f>
        <v>9625.53257132948</v>
      </c>
      <c r="K6" s="0" t="n">
        <f aca="false">J6*(1+K5/100)</f>
        <v>10106.809199896</v>
      </c>
      <c r="L6" s="0" t="n">
        <f aca="false">K6*(1+L5/100)</f>
        <v>10511.0815678918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19.5</v>
      </c>
      <c r="D7" s="4" t="n">
        <f aca="false">Assumptions!D42</f>
        <v>20.8</v>
      </c>
      <c r="E7" s="4" t="n">
        <f aca="false">Assumptions!E42</f>
        <v>22</v>
      </c>
      <c r="F7" s="4" t="n">
        <f aca="false">Assumptions!F42</f>
        <v>23.2</v>
      </c>
      <c r="G7" s="4" t="n">
        <f aca="false">Assumptions!G42</f>
        <v>24.3</v>
      </c>
      <c r="H7" s="4" t="n">
        <f aca="false">Assumptions!H42</f>
        <v>25.2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705.7390977</v>
      </c>
      <c r="D8" s="0" t="n">
        <f aca="false">D6*D7/100</f>
        <v>933.4575798912</v>
      </c>
      <c r="E8" s="0" t="n">
        <f aca="false">E6*E7/100</f>
        <v>1194.64619118768</v>
      </c>
      <c r="F8" s="0" t="n">
        <f aca="false">F6*F7/100</f>
        <v>1486.57427863427</v>
      </c>
      <c r="G8" s="0" t="n">
        <f aca="false">G6*G7/100</f>
        <v>1790.61716450149</v>
      </c>
      <c r="H8" s="0" t="n">
        <f aca="false">H6*H7/100</f>
        <v>2079.76867699137</v>
      </c>
      <c r="I8" s="0" t="n">
        <f aca="false">I6*I7/100</f>
        <v>2338.91445658473</v>
      </c>
      <c r="J8" s="0" t="n">
        <f aca="false">J6*J7/100</f>
        <v>2502.63846854566</v>
      </c>
      <c r="K8" s="0" t="n">
        <f aca="false">K6*K7/100</f>
        <v>2627.77039197295</v>
      </c>
      <c r="L8" s="0" t="n">
        <f aca="false">L6*L7/100</f>
        <v>2732.88120765187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-18.0958743</v>
      </c>
      <c r="D10" s="0" t="n">
        <f aca="false">-D6*D9/100</f>
        <v>-22.438884132</v>
      </c>
      <c r="E10" s="0" t="n">
        <f aca="false">-E6*E9/100</f>
        <v>-27.15104979972</v>
      </c>
      <c r="F10" s="0" t="n">
        <f aca="false">-F6*F9/100</f>
        <v>-32.0382387636696</v>
      </c>
      <c r="G10" s="0" t="n">
        <f aca="false">-G6*G9/100</f>
        <v>-36.84397457822</v>
      </c>
      <c r="H10" s="0" t="n">
        <f aca="false">-H6*H9/100</f>
        <v>-41.2652515276064</v>
      </c>
      <c r="I10" s="0" t="n">
        <f aca="false">-I6*I9/100</f>
        <v>-44.979124165091</v>
      </c>
      <c r="J10" s="0" t="n">
        <f aca="false">-J6*J9/100</f>
        <v>-48.1276628566474</v>
      </c>
      <c r="K10" s="0" t="n">
        <f aca="false">-K6*K9/100</f>
        <v>-50.5340459994798</v>
      </c>
      <c r="L10" s="0" t="n">
        <f aca="false">-L6*L9/100</f>
        <v>-52.555407839459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671.35693653</v>
      </c>
      <c r="D11" s="0" t="n">
        <f aca="false">D8+D10+D24</f>
        <v>890.8237000404</v>
      </c>
      <c r="E11" s="0" t="n">
        <f aca="false">E8+E10+E24</f>
        <v>1143.05919656821</v>
      </c>
      <c r="F11" s="0" t="n">
        <f aca="false">F8+F10+F24</f>
        <v>1425.7016249833</v>
      </c>
      <c r="G11" s="0" t="n">
        <f aca="false">G8+G10+G24</f>
        <v>1720.61361280288</v>
      </c>
      <c r="H11" s="0" t="n">
        <f aca="false">H8+H10+H24</f>
        <v>2001.36469908891</v>
      </c>
      <c r="I11" s="0" t="n">
        <f aca="false">I8+I10+I24</f>
        <v>2253.45412067106</v>
      </c>
      <c r="J11" s="0" t="n">
        <f aca="false">J8+J10+J24</f>
        <v>2411.19590911803</v>
      </c>
      <c r="K11" s="0" t="n">
        <f aca="false">K8+K10+K24</f>
        <v>2531.75570457394</v>
      </c>
      <c r="L11" s="0" t="n">
        <f aca="false">L8+L10+L24</f>
        <v>2633.02593275689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-217.1504916</v>
      </c>
      <c r="D12" s="4" t="n">
        <f aca="false">-D6*Assumptions!D45/100</f>
        <v>-305.1688241952</v>
      </c>
      <c r="E12" s="4" t="n">
        <f aca="false">-E6*Assumptions!E45/100</f>
        <v>-407.2657469958</v>
      </c>
      <c r="F12" s="4" t="n">
        <f aca="false">-F6*Assumptions!F45/100</f>
        <v>-512.611820218714</v>
      </c>
      <c r="G12" s="4" t="n">
        <f aca="false">-G6*Assumptions!G45/100</f>
        <v>-626.347567829741</v>
      </c>
      <c r="H12" s="4" t="n">
        <f aca="false">-H6*Assumptions!H45/100</f>
        <v>-726.268426885874</v>
      </c>
      <c r="I12" s="4" t="n">
        <f aca="false">-I6*Assumptions!I45/100</f>
        <v>-809.624234971639</v>
      </c>
      <c r="J12" s="4" t="n">
        <f aca="false">-J6*Assumptions!J45/100</f>
        <v>-866.297931419653</v>
      </c>
      <c r="K12" s="4" t="n">
        <f aca="false">-K6*Assumptions!K45/100</f>
        <v>-909.612827990636</v>
      </c>
      <c r="L12" s="4" t="n">
        <f aca="false">-L6*Assumptions!L45/100</f>
        <v>-945.997341110261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454.20644493</v>
      </c>
      <c r="D13" s="0" t="n">
        <f aca="false">D11+D12</f>
        <v>585.6548758452</v>
      </c>
      <c r="E13" s="0" t="n">
        <f aca="false">E11+E12</f>
        <v>735.793449572412</v>
      </c>
      <c r="F13" s="0" t="n">
        <f aca="false">F11+F12</f>
        <v>913.089804764583</v>
      </c>
      <c r="G13" s="0" t="n">
        <f aca="false">G11+G12</f>
        <v>1094.26604497314</v>
      </c>
      <c r="H13" s="0" t="n">
        <f aca="false">H11+H12</f>
        <v>1275.09627220304</v>
      </c>
      <c r="I13" s="0" t="n">
        <f aca="false">I11+I12</f>
        <v>1443.82988569942</v>
      </c>
      <c r="J13" s="0" t="n">
        <f aca="false">J11+J12</f>
        <v>1544.89797769838</v>
      </c>
      <c r="K13" s="0" t="n">
        <f aca="false">K11+K12</f>
        <v>1622.1428765833</v>
      </c>
      <c r="L13" s="0" t="n">
        <f aca="false">L11+L12</f>
        <v>1687.02859164663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8</v>
      </c>
      <c r="D14" s="4" t="n">
        <f aca="false">Assumptions!D47</f>
        <v>12</v>
      </c>
      <c r="E14" s="4" t="n">
        <f aca="false">Assumptions!E47</f>
        <v>15</v>
      </c>
      <c r="F14" s="4" t="n">
        <f aca="false">Assumptions!F47</f>
        <v>18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417.8699293356</v>
      </c>
      <c r="D15" s="0" t="n">
        <f aca="false">D13-MAX(0,D13)*D14/100</f>
        <v>515.376290743776</v>
      </c>
      <c r="E15" s="0" t="n">
        <f aca="false">E13-MAX(0,E13)*E14/100</f>
        <v>625.42443213655</v>
      </c>
      <c r="F15" s="0" t="n">
        <f aca="false">F13-MAX(0,F13)*F14/100</f>
        <v>748.733639906958</v>
      </c>
      <c r="G15" s="0" t="n">
        <f aca="false">G13-MAX(0,G13)*G14/100</f>
        <v>875.412835978508</v>
      </c>
      <c r="H15" s="0" t="n">
        <f aca="false">H13-MAX(0,H13)*H14/100</f>
        <v>1020.07701776243</v>
      </c>
      <c r="I15" s="0" t="n">
        <f aca="false">I13-MAX(0,I13)*I14/100</f>
        <v>1155.06390855954</v>
      </c>
      <c r="J15" s="0" t="n">
        <f aca="false">J13-MAX(0,J13)*J14/100</f>
        <v>1235.91838215871</v>
      </c>
      <c r="K15" s="0" t="n">
        <f aca="false">K13-MAX(0,K13)*K14/100</f>
        <v>1297.71430126664</v>
      </c>
      <c r="L15" s="0" t="n">
        <f aca="false">L13-MAX(0,L13)*L14/100</f>
        <v>1349.62287331731</v>
      </c>
    </row>
    <row r="16" customFormat="false" ht="15" hidden="false" customHeight="false" outlineLevel="0" collapsed="false">
      <c r="A16" s="0" t="s">
        <v>115</v>
      </c>
      <c r="C16" s="0" t="n">
        <f aca="false">-C12</f>
        <v>217.1504916</v>
      </c>
      <c r="D16" s="0" t="n">
        <f aca="false">-D12</f>
        <v>305.1688241952</v>
      </c>
      <c r="E16" s="0" t="n">
        <f aca="false">-E12</f>
        <v>407.2657469958</v>
      </c>
      <c r="F16" s="0" t="n">
        <f aca="false">-F12</f>
        <v>512.611820218714</v>
      </c>
      <c r="G16" s="0" t="n">
        <f aca="false">-G12</f>
        <v>626.347567829741</v>
      </c>
      <c r="H16" s="0" t="n">
        <f aca="false">-H12</f>
        <v>726.268426885874</v>
      </c>
      <c r="I16" s="0" t="n">
        <f aca="false">-I12</f>
        <v>809.624234971639</v>
      </c>
      <c r="J16" s="0" t="n">
        <f aca="false">-J12</f>
        <v>866.297931419653</v>
      </c>
      <c r="K16" s="0" t="n">
        <f aca="false">-K12</f>
        <v>909.612827990636</v>
      </c>
      <c r="L16" s="0" t="n">
        <f aca="false">-L12</f>
        <v>945.997341110261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-651.4514748</v>
      </c>
      <c r="D17" s="4" t="n">
        <f aca="false">-D6*Assumptions!D46/100</f>
        <v>-673.16652396</v>
      </c>
      <c r="E17" s="4" t="n">
        <f aca="false">-E6*Assumptions!E46/100</f>
        <v>-705.92729479272</v>
      </c>
      <c r="F17" s="4" t="n">
        <f aca="false">-F6*Assumptions!F46/100</f>
        <v>-704.841252800731</v>
      </c>
      <c r="G17" s="4" t="n">
        <f aca="false">-G6*Assumptions!G46/100</f>
        <v>-736.879491564401</v>
      </c>
      <c r="H17" s="4" t="n">
        <f aca="false">-H6*Assumptions!H46/100</f>
        <v>-742.774527496916</v>
      </c>
      <c r="I17" s="4" t="n">
        <f aca="false">-I6*Assumptions!I46/100</f>
        <v>-809.624234971639</v>
      </c>
      <c r="J17" s="4" t="n">
        <f aca="false">-J6*Assumptions!J46/100</f>
        <v>-866.297931419653</v>
      </c>
      <c r="K17" s="4" t="n">
        <f aca="false">-K6*Assumptions!K46/100</f>
        <v>-909.612827990636</v>
      </c>
      <c r="L17" s="4" t="n">
        <f aca="false">-L6*Assumptions!L46/100</f>
        <v>-945.997341110261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-224.044158</v>
      </c>
      <c r="D18" s="4" t="n">
        <f aca="false">(D6-C6)*Assumptions!$B$51/100</f>
        <v>-260.58058992</v>
      </c>
      <c r="E18" s="4" t="n">
        <f aca="false">(E6-D6)*Assumptions!$B$51/100</f>
        <v>-282.7299400632</v>
      </c>
      <c r="F18" s="4" t="n">
        <f aca="false">(F6-E6)*Assumptions!$B$51/100</f>
        <v>-293.231337836976</v>
      </c>
      <c r="G18" s="4" t="n">
        <f aca="false">(G6-F6)*Assumptions!$B$51/100</f>
        <v>-288.344148873026</v>
      </c>
      <c r="H18" s="4" t="n">
        <f aca="false">(H6-G6)*Assumptions!$B$51/100</f>
        <v>-265.276616963185</v>
      </c>
      <c r="I18" s="4" t="n">
        <f aca="false">(I6-H6)*Assumptions!$B$51/100</f>
        <v>-222.832358249075</v>
      </c>
      <c r="J18" s="4" t="n">
        <f aca="false">(J6-I6)*Assumptions!$B$51/100</f>
        <v>-188.912321493383</v>
      </c>
      <c r="K18" s="4" t="n">
        <f aca="false">(K6-J6)*Assumptions!$B$51/100</f>
        <v>-144.382988569942</v>
      </c>
      <c r="L18" s="4" t="n">
        <f aca="false">(L6-K6)*Assumptions!$B$51/100</f>
        <v>-121.281710398751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-240.4752118644</v>
      </c>
      <c r="D19" s="0" t="n">
        <f aca="false">D15+D16+D17+D18</f>
        <v>-113.201998941024</v>
      </c>
      <c r="E19" s="0" t="n">
        <f aca="false">E15+E16+E17+E18</f>
        <v>44.0329442764299</v>
      </c>
      <c r="F19" s="0" t="n">
        <f aca="false">F15+F16+F17+F18</f>
        <v>263.272869487965</v>
      </c>
      <c r="G19" s="0" t="n">
        <f aca="false">G15+G16+G17+G18</f>
        <v>476.536763370822</v>
      </c>
      <c r="H19" s="0" t="n">
        <f aca="false">H15+H16+H17+H18</f>
        <v>738.294300188204</v>
      </c>
      <c r="I19" s="0" t="n">
        <f aca="false">I15+I16+I17+I18</f>
        <v>932.231550310463</v>
      </c>
      <c r="J19" s="0" t="n">
        <f aca="false">J15+J16+J17+J18</f>
        <v>1047.00606066532</v>
      </c>
      <c r="K19" s="0" t="n">
        <f aca="false">K15+K16+K17+K18</f>
        <v>1153.3313126967</v>
      </c>
      <c r="L19" s="0" t="n">
        <f aca="false">L15+L16+L17+L18</f>
        <v>1228.34116291855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-217.624626121629</v>
      </c>
      <c r="D21" s="0" t="n">
        <f aca="false">D19*D20</f>
        <v>-92.7106315931482</v>
      </c>
      <c r="E21" s="0" t="n">
        <f aca="false">E19*E20</f>
        <v>32.6355466511417</v>
      </c>
      <c r="F21" s="0" t="n">
        <f aca="false">F19*F20</f>
        <v>176.586295107447</v>
      </c>
      <c r="G21" s="0" t="n">
        <f aca="false">G19*G20</f>
        <v>289.257761296304</v>
      </c>
      <c r="H21" s="0" t="n">
        <f aca="false">H19*H20</f>
        <v>405.560684565058</v>
      </c>
      <c r="I21" s="0" t="n">
        <f aca="false">I19*I20</f>
        <v>463.433955294688</v>
      </c>
      <c r="J21" s="0" t="n">
        <f aca="false">J19*J20</f>
        <v>471.032606424202</v>
      </c>
      <c r="K21" s="0" t="n">
        <f aca="false">K19*K20</f>
        <v>469.562689012195</v>
      </c>
      <c r="L21" s="0" t="n">
        <f aca="false">L19*L20</f>
        <v>452.580903937924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0.45</v>
      </c>
      <c r="D23" s="4" t="n">
        <f aca="false">Assumptions!D44</f>
        <v>0.45</v>
      </c>
      <c r="E23" s="4" t="n">
        <f aca="false">Assumptions!E44</f>
        <v>0.45</v>
      </c>
      <c r="F23" s="4" t="n">
        <f aca="false">Assumptions!F44</f>
        <v>0.45</v>
      </c>
      <c r="G23" s="4" t="n">
        <f aca="false">Assumptions!G44</f>
        <v>0.45</v>
      </c>
      <c r="H23" s="4" t="n">
        <f aca="false">Assumptions!H44</f>
        <v>0.45</v>
      </c>
      <c r="I23" s="4" t="n">
        <f aca="false">Assumptions!I44</f>
        <v>0.45</v>
      </c>
      <c r="J23" s="4" t="n">
        <f aca="false">Assumptions!J44</f>
        <v>0.45</v>
      </c>
      <c r="K23" s="4" t="n">
        <f aca="false">Assumptions!K44</f>
        <v>0.45</v>
      </c>
      <c r="L23" s="4" t="n">
        <f aca="false">Assumptions!L44</f>
        <v>0.45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-16.28628687</v>
      </c>
      <c r="D24" s="0" t="n">
        <f aca="false">-D6*D23/100</f>
        <v>-20.1949957188</v>
      </c>
      <c r="E24" s="0" t="n">
        <f aca="false">-E6*E23/100</f>
        <v>-24.435944819748</v>
      </c>
      <c r="F24" s="0" t="n">
        <f aca="false">-F6*F23/100</f>
        <v>-28.8344148873026</v>
      </c>
      <c r="G24" s="0" t="n">
        <f aca="false">-G6*G23/100</f>
        <v>-33.159577120398</v>
      </c>
      <c r="H24" s="0" t="n">
        <f aca="false">-H6*H23/100</f>
        <v>-37.1387263748458</v>
      </c>
      <c r="I24" s="0" t="n">
        <f aca="false">-I6*I23/100</f>
        <v>-40.4812117485819</v>
      </c>
      <c r="J24" s="0" t="n">
        <f aca="false">-J6*J23/100</f>
        <v>-43.3148965709827</v>
      </c>
      <c r="K24" s="0" t="n">
        <f aca="false">-K6*K23/100</f>
        <v>-45.4806413995318</v>
      </c>
      <c r="L24" s="0" t="n">
        <f aca="false">-L6*L23/100</f>
        <v>-47.2998670555131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2450.31518457418</v>
      </c>
    </row>
    <row r="31" customFormat="false" ht="15" hidden="false" customHeight="false" outlineLevel="0" collapsed="false">
      <c r="A31" s="0" t="s">
        <v>124</v>
      </c>
      <c r="B31" s="0" t="n">
        <f aca="false">L19</f>
        <v>1228.34116291855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18161.9014802958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24566.8232583711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18161.9014802958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6691.73193679644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9142.04712137062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8155.54712137062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3.10450975309122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0.254347374986349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205.348404064615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286.310279023018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3.29166570401913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11055.070466267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1.33659321409578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-0.0713371623179216</v>
      </c>
      <c r="C4" s="0" t="n">
        <f aca="false">B4/Assumptions!$B$2-1</f>
        <v>-1.02882309588603</v>
      </c>
      <c r="D4" s="4" t="n">
        <f aca="false">Assumptions!$B$24</f>
        <v>0.3</v>
      </c>
      <c r="E4" s="4" t="n">
        <f aca="false">DCF_Bear!$B$43</f>
        <v>0.0092286615008068</v>
      </c>
      <c r="F4" s="4" t="n">
        <f aca="false">DCF_Bear!$B$47</f>
        <v>-0.257467477837194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0.932597606169856</v>
      </c>
      <c r="C5" s="0" t="n">
        <f aca="false">B5/Assumptions!$B$2-1</f>
        <v>-0.623192886396018</v>
      </c>
      <c r="D5" s="4" t="n">
        <f aca="false">Assumptions!$B$38</f>
        <v>0.5</v>
      </c>
      <c r="E5" s="4" t="n">
        <f aca="false">DCF_Base!$B$43</f>
        <v>1.06796272909268</v>
      </c>
      <c r="F5" s="4" t="n">
        <f aca="false">DCF_Base!$B$47</f>
        <v>0.200130833188391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3.10450975309122</v>
      </c>
      <c r="C6" s="0" t="n">
        <f aca="false">B6/Assumptions!$B$2-1</f>
        <v>0.254347374986349</v>
      </c>
      <c r="D6" s="4" t="n">
        <f aca="false">Assumptions!$B$52</f>
        <v>0.2</v>
      </c>
      <c r="E6" s="4" t="n">
        <f aca="false">DCF_Bull!$B$43</f>
        <v>3.29166570401913</v>
      </c>
      <c r="F6" s="4" t="n">
        <f aca="false">DCF_Bull!$B$47</f>
        <v>1.33659321409578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1.06579960500779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1.19508310380041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-1.32220014754265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1090.00793461874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0.290143816062193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1.44723398860114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1.07823918873284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0.932597606169856</v>
      </c>
      <c r="C17" s="3" t="n">
        <v>10.5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0.80632951082128</v>
      </c>
      <c r="C18" s="3" t="n">
        <v>11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0.598861634540042</v>
      </c>
      <c r="C19" s="3" t="n">
        <v>12</v>
      </c>
    </row>
    <row r="20" customFormat="false" ht="15" hidden="false" customHeight="false" outlineLevel="0" collapsed="false">
      <c r="A20" s="0" t="s">
        <v>160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0.200130833188391</v>
      </c>
      <c r="C20" s="3" t="n">
        <v>15</v>
      </c>
    </row>
    <row r="22" customFormat="false" ht="15" hidden="false" customHeight="false" outlineLevel="0" collapsed="false">
      <c r="A22" s="2" t="s">
        <v>161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1.39616106395291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1.52847298713862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1.6156647153209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1.6156647153209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1.6156647153209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1.0528533700951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1.14335259439966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1.24777477628953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1.36960065516105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1.43468571373625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0.795250176278123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0.859631784039873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0.932597606169856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1.01598711717555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1.11220578372058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0.595992247826055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0.643208478245915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0.695979559303405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0.755347025493083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0.822630153841384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0.438164094475965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0.473642919751059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0.512856358213004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0.556426845392944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0.605123272241111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2026-10-22T12:27:38Z</dcterms:created>
  <dc:creator>openpyxl</dc:creator>
  <dc:description/>
  <dc:language>en-NZ</dc:language>
  <cp:lastModifiedBy/>
  <dcterms:modified xsi:type="dcterms:W3CDTF">2026-10-22T12:27:38Z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