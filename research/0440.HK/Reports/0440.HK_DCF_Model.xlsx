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<sst xmlns="http://schemas.openxmlformats.org/spreadsheetml/2006/main" count="358" uniqueCount="168">
  <si>
    <t xml:space="preserve">Ticker</t>
  </si>
  <si>
    <t xml:space="preserve">0440.HK</t>
  </si>
  <si>
    <t xml:space="preserve">Company</t>
  </si>
  <si>
    <t xml:space="preserve">Dah Sing Financial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</si>
  <si>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</si>
  <si>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</si>
  <si>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</si>
  <si>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</si>
  <si>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(Yahoo Finance chart API; Friday close, markets shut over the weekend of the valuation date)</t>
  </si>
  <si>
    <t xml:space="preserve">Balance sheet date</t>
  </si>
  <si>
    <t xml:space="preserve">2026-06-30</t>
  </si>
  <si>
    <t xml:space="preserve">Model</t>
  </si>
  <si>
    <t xml:space="preserve">Bank FCFE at cost of equity (engine route), holdco look-through: core banking and insurance profit attributable to DSFH after the 25.63% DSBG minority, payout-constrained retention, net debt zero, Bank of Chongqing stake at market in the bridge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</si>
  <si>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</si>
  <si>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</si>
  <si>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</si>
  <si>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</si>
  <si>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</si>
  <si>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</si>
  <si>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</si>
  <si>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</si>
  <si>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2026-10-10T22:44:03Z</t>
  </si>
  <si>
    <t xml:space="preserve">Drivers file</t>
  </si>
  <si>
    <t xml:space="preserve">0440.HK_Drivers.json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</si>
  <si>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</si>
  <si>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</si>
  <si>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</si>
  <si>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small Hong Kong bank holdco valued on what a minority holder receives. The core banking and insurance flow attributable to DSFH, after the 25.63% DSBG minority, is capitalised at an 11% HKD cost of equity, with retention set at the family's demonstrated payout. The Bank of Chongqing associate is valued at market on the H line, not on its equity-accounted earnings. The holdco discount comes from the payout constraint and the uncredited CET1 surplus, not from an arbitrary percentage.
key_risks_to_valuation: HKCRE credit losses: every scenario's margin path depends on credit cost normalising from 1.2% of loans; HIBOR/NIM sensitivity: NII is about 70% of operating income; Capital allocation is controlled by the Wong family: the CET1 surplus may never be released (base assumes it is not); BOCQ value is marked to a thinly traded H line and to Chongqing/Mainland credit; it is about 20% of base value; BCM Macau structural decline and further goodwill or impairment charges; Engine terminal value relies on a 3% HKD nominal growth rate and an 11% CoE; core ROE is below CoE, so value is sensitive to the spread</t>
  </si>
  <si>
    <t xml:space="preserve">Data sources</t>
  </si>
  <si>
    <t xml:space="preserve">price: Yahoo Finance chart API at inputs.price_as_of; 52-week range 33.08-51.20. Look-through cross-checks used 2356.HK, 1963.HK, 601963.SS and CNYHKD=X closes on the same date.
financials: 0440.HK_Metrics.csv (core_metrics, HKD millions); 0440.HK_Annual_FY2025.txt income statement and note 25 (BOCQ); 0440.HK_HalfYear_H1-2026.txt income statement, balance sheet, note 10 (BOCQ deemed disposal and stake purchase), segment note 30, capital ratios and directors' interests.
qualitative: 0440.HK_Analysis.json (2026 analysis: HKCRE, BCM, holdco structure, guidance).</t>
  </si>
  <si>
    <t xml:space="preserve">Scenario narrative: bear</t>
  </si>
  <si>
    <t xml:space="preserve">A second HKCRE leg, Mainland developer defaults and faster HIBOR cuts drive a year-2 earnings trough and further BCM write-downs. Payout stays at 40% while ROE sits about 6%, so the trapped capital earns well below its cost.</t>
  </si>
  <si>
    <t xml:space="preserve">Scenario narrative: base</t>
  </si>
  <si>
    <t xml:space="preserve">Credit costs normalise gradually from the HKCRE peak, NIM holds about 2.4%, and wealth and SME fees carry growth. The Wong family keeps paying about 45% of earnings and keeps the CET1 surplus. Core ROE stays about 7.5%, below the 11% CoE. Value is roughly 0.45-0.5x book: the core franchise is worth less than book, plus the BOCQ stake at market.</t>
  </si>
  <si>
    <t xml:space="preserve">Scenario narrative: bull</t>
  </si>
  <si>
    <t xml:space="preserve">HKCRE troughs, credit cost falls to about 0.6% of loans, core ROE approaches 9%, and the group releases about half its look-through CET1 surplus through special dividends or buybacks. The holdco discount narrows toward DSBG's own rating.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</si>
  <si>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</si>
  <si>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</si>
  <si>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</si>
  <si>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</si>
  <si>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</si>
  <si>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</si>
  <si>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</si>
  <si>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</si>
  <si>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</si>
  <si>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</si>
  <si>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</si>
  <si>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</si>
  <si>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</si>
  <si>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</si>
  <si>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</si>
  <si>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</si>
  <si>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</si>
  <si>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</si>
  <si>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</si>
  <si>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</si>
  <si>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</si>
  <si>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</si>
  <si>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</si>
  <si>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</si>
  <si>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</si>
  <si>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</si>
  <si>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</si>
  <si>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CreditImpairmentCharge</t>
  </si>
  <si>
    <t xml:space="preserve">DilutedEPS</t>
  </si>
  <si>
    <t xml:space="preserve">NetIncomeInclNCI</t>
  </si>
  <si>
    <t xml:space="preserve">NetInterestIncome</t>
  </si>
  <si>
    <t xml:space="preserve">ShareAwardSettlement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</si>
  <si>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</si>
  <si>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</si>
  <si>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</si>
  <si>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</si>
  <si>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</si>
  <si>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</si>
  <si>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</si>
  <si>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</si>
  <si>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</si>
  <si>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</si>
  <si>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</si>
  <si>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</si>
  <si>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</si>
  <si>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</si>
  <si>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</si>
  <si>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</si>
  <si>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</si>
  <si>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 (H2-25 + H1-26)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</si>
  <si>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</si>
  <si>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</si>
  <si>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</si>
  <si>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</si>
  <si>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</si>
  <si>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</si>
  <si>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</si>
  <si>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</si>
  <si>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</si>
  <si>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</si>
  <si>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</si>
  <si>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</si>
  <si>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</si>
  <si>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</si>
  <si>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</si>
  <si>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</si>
  <si>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</si>
  <si>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</si>
  <si>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</si>
  <si>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</si>
  <si>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</si>
  <si>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</si>
  <si>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</si>
  <si>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</si>
  <si>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</si>
  <si>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</si>
  <si>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</si>
  <si>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</si>
  <si>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0440.HK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</si>
  <si>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</si>
  <si>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</si>
  <si>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</si>
  <si>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</si>
  <si>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</si>
  <si>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</si>
  <si>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</si>
  <si>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</si>
  <si>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</si>
  <si>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</si>
  <si>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</si>
  <si>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</si>
  <si>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</si>
  <si>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</si>
  <si>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</si>
  <si>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</si>
  <si>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</si>
  <si>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</si>
  <si>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</si>
  <si>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</si>
  <si>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</si>
  <si>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</si>
  <si>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</si>
  <si>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</si>
  <si>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</si>
  <si>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</si>
  <si>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</si>
  <si>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</si>
  <si>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</si>
  <si>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</si>
  <si>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0440.HK owner-FCF component DCF: base case (millions, HKD)</t>
  </si>
  <si>
    <t xml:space="preserve">0440.HK owner-FCF component DCF: bull case (millions, HKD)</t>
  </si>
  <si>
    <t xml:space="preserve">0440.HK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</si>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</sst>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43.84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5905.93</v>
      </c>
      <c r="F2" s="0" t="n">
        <v>2860.487</v>
      </c>
      <c r="G2" s="0" t="n">
        <v>48.4342</v>
      </c>
      <c r="I2" s="0" t="n">
        <v>1915.181</v>
      </c>
      <c r="J2" s="0" t="n">
        <v>32.4281</v>
      </c>
      <c r="K2" s="0" t="n">
        <v>5.72</v>
      </c>
      <c r="L2" s="0" t="n">
        <v>-4869.362</v>
      </c>
      <c r="M2" s="0" t="n">
        <v>176.234</v>
      </c>
      <c r="N2" s="0" t="n">
        <v>-5045.596</v>
      </c>
      <c r="O2" s="0" t="n">
        <v>25435.407</v>
      </c>
      <c r="P2" s="0" t="n">
        <v>237301.478</v>
      </c>
      <c r="Q2" s="0" t="n">
        <v>205309.03</v>
      </c>
      <c r="R2" s="0" t="n">
        <v>11984.158</v>
      </c>
      <c r="S2" s="0" t="n">
        <v>16479.375</v>
      </c>
      <c r="T2" s="0" t="n">
        <v>334.82</v>
      </c>
      <c r="U2" s="0" t="n">
        <v>4.365</v>
      </c>
      <c r="AA2" s="0" t="s">
        <v>17</v>
      </c>
      <c r="AB2" s="0" t="s">
        <v>14</v>
      </c>
      <c r="AD2" s="0" t="n">
        <v>5.72</v>
      </c>
      <c r="AE2" s="0" t="n">
        <v>2550.107</v>
      </c>
      <c r="AF2" s="0" t="n">
        <v>4214.992</v>
      </c>
    </row>
    <row r="3" customFormat="false" ht="15" hidden="false" customHeight="false" outlineLevel="0" collapsed="false">
      <c r="A3" s="0" t="s">
        <v>69</v>
      </c>
      <c r="B3" s="0" t="n">
        <v>5604.253</v>
      </c>
      <c r="F3" s="0" t="n">
        <v>2263.886</v>
      </c>
      <c r="G3" s="0" t="n">
        <v>40.3959</v>
      </c>
      <c r="I3" s="0" t="n">
        <v>1707.809</v>
      </c>
      <c r="J3" s="0" t="n">
        <v>30.4734</v>
      </c>
      <c r="K3" s="0" t="n">
        <v>5.28</v>
      </c>
      <c r="L3" s="0" t="n">
        <v>11442.086</v>
      </c>
      <c r="M3" s="0" t="n">
        <v>105.651</v>
      </c>
      <c r="N3" s="0" t="n">
        <v>11336.435</v>
      </c>
      <c r="O3" s="0" t="n">
        <v>26805.23</v>
      </c>
      <c r="P3" s="0" t="n">
        <v>250311.979</v>
      </c>
      <c r="Q3" s="0" t="n">
        <v>216507.438</v>
      </c>
      <c r="R3" s="0" t="n">
        <v>12261.006</v>
      </c>
      <c r="S3" s="0" t="n">
        <v>26064.665</v>
      </c>
      <c r="T3" s="0" t="n">
        <v>323.45</v>
      </c>
      <c r="U3" s="0" t="n">
        <v>0</v>
      </c>
      <c r="AA3" s="0" t="s">
        <v>17</v>
      </c>
      <c r="AB3" s="0" t="s">
        <v>14</v>
      </c>
      <c r="AD3" s="0" t="n">
        <v>5.28</v>
      </c>
      <c r="AE3" s="0" t="n">
        <v>2283.491</v>
      </c>
      <c r="AF3" s="0" t="n">
        <v>4125.044</v>
      </c>
    </row>
    <row r="4" customFormat="false" ht="15" hidden="false" customHeight="false" outlineLevel="0" collapsed="false">
      <c r="A4" s="0" t="s">
        <v>70</v>
      </c>
      <c r="B4" s="0" t="n">
        <v>5571.309</v>
      </c>
      <c r="F4" s="0" t="n">
        <v>1903.757</v>
      </c>
      <c r="G4" s="0" t="n">
        <v>34.1707</v>
      </c>
      <c r="I4" s="0" t="n">
        <v>1158.152</v>
      </c>
      <c r="J4" s="0" t="n">
        <v>20.7878</v>
      </c>
      <c r="K4" s="0" t="n">
        <v>3.62</v>
      </c>
      <c r="L4" s="0" t="n">
        <v>-3428.82</v>
      </c>
      <c r="M4" s="0" t="n">
        <v>139.873</v>
      </c>
      <c r="N4" s="0" t="n">
        <v>-3568.693</v>
      </c>
      <c r="O4" s="0" t="n">
        <v>28386.07</v>
      </c>
      <c r="P4" s="0" t="n">
        <v>254961.101</v>
      </c>
      <c r="Q4" s="0" t="n">
        <v>219270.132</v>
      </c>
      <c r="R4" s="0" t="n">
        <v>11954.26</v>
      </c>
      <c r="S4" s="0" t="n">
        <v>19933.665</v>
      </c>
      <c r="T4" s="0" t="n">
        <v>319.575</v>
      </c>
      <c r="U4" s="0" t="n">
        <v>0</v>
      </c>
      <c r="AA4" s="0" t="s">
        <v>17</v>
      </c>
      <c r="AB4" s="0" t="s">
        <v>14</v>
      </c>
      <c r="AC4" s="0" t="n">
        <v>647.668</v>
      </c>
      <c r="AD4" s="0" t="n">
        <v>3.62</v>
      </c>
      <c r="AE4" s="0" t="n">
        <v>1543.032</v>
      </c>
      <c r="AF4" s="0" t="n">
        <v>3719.201</v>
      </c>
    </row>
    <row r="5" customFormat="false" ht="15" hidden="false" customHeight="false" outlineLevel="0" collapsed="false">
      <c r="A5" s="0" t="s">
        <v>71</v>
      </c>
      <c r="B5" s="0" t="n">
        <v>5676.277</v>
      </c>
      <c r="F5" s="0" t="n">
        <v>2098.45</v>
      </c>
      <c r="G5" s="0" t="n">
        <v>36.9688</v>
      </c>
      <c r="I5" s="0" t="n">
        <v>1308.404</v>
      </c>
      <c r="J5" s="0" t="n">
        <v>23.0504</v>
      </c>
      <c r="K5" s="0" t="n">
        <v>4.09</v>
      </c>
      <c r="L5" s="0" t="n">
        <v>-2504.453</v>
      </c>
      <c r="M5" s="0" t="n">
        <v>309.051</v>
      </c>
      <c r="N5" s="0" t="n">
        <v>-2813.504</v>
      </c>
      <c r="O5" s="0" t="n">
        <v>30192.382</v>
      </c>
      <c r="P5" s="0" t="n">
        <v>256530.989</v>
      </c>
      <c r="Q5" s="0" t="n">
        <v>218704.642</v>
      </c>
      <c r="R5" s="0" t="n">
        <v>10718.163</v>
      </c>
      <c r="S5" s="0" t="n">
        <v>16849.228</v>
      </c>
      <c r="T5" s="0" t="n">
        <v>319.575</v>
      </c>
      <c r="U5" s="0" t="n">
        <v>0</v>
      </c>
      <c r="AA5" s="0" t="s">
        <v>17</v>
      </c>
      <c r="AB5" s="0" t="s">
        <v>14</v>
      </c>
      <c r="AC5" s="0" t="n">
        <v>372.305</v>
      </c>
      <c r="AD5" s="0" t="n">
        <v>4.09</v>
      </c>
      <c r="AE5" s="0" t="n">
        <v>1734.752</v>
      </c>
      <c r="AF5" s="0" t="n">
        <v>3954.225</v>
      </c>
    </row>
    <row r="6" customFormat="false" ht="15" hidden="false" customHeight="false" outlineLevel="0" collapsed="false">
      <c r="A6" s="0" t="s">
        <v>72</v>
      </c>
      <c r="B6" s="0" t="n">
        <v>6985.941</v>
      </c>
      <c r="F6" s="0" t="n">
        <v>3078.415</v>
      </c>
      <c r="G6" s="0" t="n">
        <v>44.0659</v>
      </c>
      <c r="I6" s="0" t="n">
        <v>1224.378</v>
      </c>
      <c r="J6" s="0" t="n">
        <v>17.5263</v>
      </c>
      <c r="K6" s="0" t="n">
        <v>3.83</v>
      </c>
      <c r="L6" s="0" t="n">
        <v>5683.163</v>
      </c>
      <c r="M6" s="0" t="n">
        <v>269.478</v>
      </c>
      <c r="N6" s="0" t="n">
        <v>5413.685</v>
      </c>
      <c r="O6" s="0" t="n">
        <v>29600.862</v>
      </c>
      <c r="P6" s="0" t="n">
        <v>259159.076</v>
      </c>
      <c r="Q6" s="0" t="n">
        <v>221924.039</v>
      </c>
      <c r="R6" s="0" t="n">
        <v>8030.478</v>
      </c>
      <c r="S6" s="0" t="n">
        <v>21427.656</v>
      </c>
      <c r="T6" s="0" t="n">
        <v>319.575</v>
      </c>
      <c r="U6" s="0" t="n">
        <v>0.22</v>
      </c>
      <c r="AA6" s="0" t="s">
        <v>17</v>
      </c>
      <c r="AB6" s="0" t="s">
        <v>14</v>
      </c>
      <c r="AC6" s="0" t="n">
        <v>803.854</v>
      </c>
      <c r="AD6" s="0" t="n">
        <v>3.6</v>
      </c>
      <c r="AE6" s="0" t="n">
        <v>1636.71</v>
      </c>
      <c r="AF6" s="0" t="n">
        <v>4431.408</v>
      </c>
    </row>
    <row r="7" customFormat="false" ht="15" hidden="false" customHeight="false" outlineLevel="0" collapsed="false">
      <c r="A7" s="0" t="s">
        <v>73</v>
      </c>
      <c r="B7" s="0" t="n">
        <v>6243.413</v>
      </c>
      <c r="F7" s="0" t="n">
        <v>2261.939</v>
      </c>
      <c r="G7" s="0" t="n">
        <v>36.2292</v>
      </c>
      <c r="I7" s="0" t="n">
        <v>1592.095</v>
      </c>
      <c r="J7" s="0" t="n">
        <v>25.5004</v>
      </c>
      <c r="K7" s="0" t="n">
        <v>4.99</v>
      </c>
      <c r="L7" s="0" t="n">
        <v>-2098.907</v>
      </c>
      <c r="M7" s="0" t="n">
        <v>281.073</v>
      </c>
      <c r="N7" s="0" t="n">
        <v>-2379.98</v>
      </c>
      <c r="O7" s="0" t="n">
        <v>32681.558</v>
      </c>
      <c r="P7" s="0" t="n">
        <v>269788.561</v>
      </c>
      <c r="Q7" s="0" t="n">
        <v>228789.977</v>
      </c>
      <c r="R7" s="0" t="n">
        <v>8344.673</v>
      </c>
      <c r="S7" s="0" t="n">
        <v>20252.511</v>
      </c>
      <c r="T7" s="0" t="n">
        <v>318.929</v>
      </c>
      <c r="U7" s="0" t="n">
        <v>14.209</v>
      </c>
      <c r="AA7" s="0" t="s">
        <v>17</v>
      </c>
      <c r="AB7" s="0" t="s">
        <v>14</v>
      </c>
      <c r="AC7" s="0" t="n">
        <v>731.509</v>
      </c>
      <c r="AD7" s="0" t="n">
        <v>4.11</v>
      </c>
      <c r="AE7" s="0" t="n">
        <v>2068.886</v>
      </c>
      <c r="AF7" s="0" t="n">
        <v>4950.897</v>
      </c>
    </row>
    <row r="8" customFormat="false" ht="15" hidden="false" customHeight="false" outlineLevel="0" collapsed="false">
      <c r="A8" s="0" t="s">
        <v>74</v>
      </c>
      <c r="B8" s="0" t="n">
        <v>7211.133</v>
      </c>
      <c r="F8" s="0" t="n">
        <v>1977.514</v>
      </c>
      <c r="G8" s="0" t="n">
        <v>27.4231</v>
      </c>
      <c r="I8" s="0" t="n">
        <v>1673.119</v>
      </c>
      <c r="J8" s="0" t="n">
        <v>23.2019</v>
      </c>
      <c r="K8" s="0" t="n">
        <v>5.25</v>
      </c>
      <c r="L8" s="0" t="n">
        <v>-3334.336</v>
      </c>
      <c r="M8" s="0" t="n">
        <v>357.378</v>
      </c>
      <c r="N8" s="0" t="n">
        <v>-3691.714</v>
      </c>
      <c r="O8" s="0" t="n">
        <v>34641.754</v>
      </c>
      <c r="P8" s="0" t="n">
        <v>266523.315</v>
      </c>
      <c r="Q8" s="0" t="n">
        <v>223325.171</v>
      </c>
      <c r="R8" s="0" t="n">
        <v>8441.91</v>
      </c>
      <c r="S8" s="0" t="n">
        <v>13309.122</v>
      </c>
      <c r="T8" s="0" t="n">
        <v>318.992</v>
      </c>
      <c r="U8" s="0" t="n">
        <v>19.882</v>
      </c>
      <c r="AA8" s="0" t="s">
        <v>17</v>
      </c>
      <c r="AB8" s="0" t="s">
        <v>14</v>
      </c>
      <c r="AC8" s="0" t="n">
        <v>1790.24</v>
      </c>
      <c r="AD8" s="0" t="n">
        <v>4.36</v>
      </c>
      <c r="AE8" s="0" t="n">
        <v>2201.181</v>
      </c>
      <c r="AF8" s="0" t="n">
        <v>5400.675</v>
      </c>
      <c r="AG8" s="0" t="n">
        <v>6.335</v>
      </c>
    </row>
    <row r="9" customFormat="false" ht="15" hidden="false" customHeight="false" outlineLevel="0" collapsed="false">
      <c r="A9" s="0" t="s">
        <v>75</v>
      </c>
      <c r="B9" s="0" t="n">
        <v>8266.884</v>
      </c>
      <c r="F9" s="0" t="n">
        <v>2906.299</v>
      </c>
      <c r="G9" s="0" t="n">
        <v>35.1559</v>
      </c>
      <c r="I9" s="0" t="n">
        <v>2056.906</v>
      </c>
      <c r="J9" s="0" t="n">
        <v>24.8813</v>
      </c>
      <c r="K9" s="0" t="n">
        <v>6.45</v>
      </c>
      <c r="L9" s="0" t="n">
        <v>2800.717</v>
      </c>
      <c r="M9" s="0" t="n">
        <v>413.226</v>
      </c>
      <c r="N9" s="0" t="n">
        <v>2387.491</v>
      </c>
      <c r="O9" s="0" t="n">
        <v>37490.226</v>
      </c>
      <c r="P9" s="0" t="n">
        <v>270379.977</v>
      </c>
      <c r="Q9" s="0" t="n">
        <v>223893.603</v>
      </c>
      <c r="R9" s="0" t="n">
        <v>5162.813</v>
      </c>
      <c r="S9" s="0" t="n">
        <v>14665.107</v>
      </c>
      <c r="T9" s="0" t="n">
        <v>318.886</v>
      </c>
      <c r="U9" s="0" t="n">
        <v>21.258</v>
      </c>
      <c r="AA9" s="0" t="s">
        <v>17</v>
      </c>
      <c r="AB9" s="0" t="s">
        <v>14</v>
      </c>
      <c r="AC9" s="0" t="n">
        <v>1783.443</v>
      </c>
      <c r="AD9" s="0" t="n">
        <v>5.47</v>
      </c>
      <c r="AE9" s="0" t="n">
        <v>2691.45</v>
      </c>
      <c r="AF9" s="0" t="n">
        <v>5900.664</v>
      </c>
      <c r="AG9" s="0" t="n">
        <v>3.129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43.84</v>
      </c>
    </row>
    <row r="3" customFormat="false" ht="15" hidden="false" customHeight="false" outlineLevel="0" collapsed="false">
      <c r="A3" s="0" t="s">
        <v>79</v>
      </c>
      <c r="B3" s="3" t="n">
        <v>319.08</v>
      </c>
    </row>
    <row r="4" customFormat="false" ht="15" hidden="false" customHeight="false" outlineLevel="0" collapsed="false">
      <c r="A4" s="0" t="s">
        <v>80</v>
      </c>
      <c r="B4" s="3" t="n">
        <v>0</v>
      </c>
    </row>
    <row r="5" customFormat="false" ht="15" hidden="false" customHeight="false" outlineLevel="0" collapsed="false">
      <c r="A5" s="0" t="s">
        <v>81</v>
      </c>
      <c r="B5" s="3" t="n">
        <v>3142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8472.8</v>
      </c>
    </row>
    <row r="8" customFormat="false" ht="15" hidden="false" customHeight="false" outlineLevel="0" collapsed="false">
      <c r="A8" s="0" t="s">
        <v>84</v>
      </c>
      <c r="B8" s="3" t="s">
        <v>85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1</v>
      </c>
      <c r="D13" s="3" t="n">
        <v>-2</v>
      </c>
      <c r="E13" s="3" t="n">
        <v>1</v>
      </c>
      <c r="F13" s="3" t="n">
        <v>2.5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101</v>
      </c>
      <c r="C14" s="3" t="n">
        <v>27.3</v>
      </c>
      <c r="D14" s="3" t="n">
        <v>24.3</v>
      </c>
      <c r="E14" s="3" t="n">
        <v>26.6</v>
      </c>
      <c r="F14" s="3" t="n">
        <v>28.8</v>
      </c>
      <c r="G14" s="3" t="n">
        <v>30</v>
      </c>
      <c r="H14" s="3" t="n">
        <v>30</v>
      </c>
      <c r="I14" s="3" t="n">
        <v>30</v>
      </c>
      <c r="J14" s="3" t="n">
        <v>30</v>
      </c>
      <c r="K14" s="3" t="n">
        <v>30</v>
      </c>
      <c r="L14" s="3" t="n">
        <v>30</v>
      </c>
    </row>
    <row r="15" customFormat="false" ht="15" hidden="false" customHeight="false" outlineLevel="0" collapsed="false">
      <c r="A15" s="0" t="s">
        <v>102</v>
      </c>
      <c r="C15" s="3" t="n">
        <v>0.25</v>
      </c>
      <c r="D15" s="3" t="n">
        <v>0.25</v>
      </c>
      <c r="E15" s="3" t="n">
        <v>0.25</v>
      </c>
      <c r="F15" s="3" t="n">
        <v>0.25</v>
      </c>
      <c r="G15" s="3" t="n">
        <v>0.25</v>
      </c>
      <c r="H15" s="3" t="n">
        <v>0.25</v>
      </c>
      <c r="I15" s="3" t="n">
        <v>0.25</v>
      </c>
      <c r="J15" s="3" t="n">
        <v>0.25</v>
      </c>
      <c r="K15" s="3" t="n">
        <v>0.25</v>
      </c>
      <c r="L15" s="3" t="n">
        <v>0.25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105</v>
      </c>
      <c r="C18" s="3" t="n">
        <v>13.56</v>
      </c>
      <c r="D18" s="3" t="n">
        <v>12.05</v>
      </c>
      <c r="E18" s="3" t="n">
        <v>13.19</v>
      </c>
      <c r="F18" s="3" t="n">
        <v>14.32</v>
      </c>
      <c r="G18" s="3" t="n">
        <v>14.88</v>
      </c>
      <c r="H18" s="3" t="n">
        <v>13.64</v>
      </c>
      <c r="I18" s="3" t="n">
        <v>12.9</v>
      </c>
      <c r="J18" s="3" t="n">
        <v>12.4</v>
      </c>
      <c r="K18" s="3" t="n">
        <v>12.4</v>
      </c>
      <c r="L18" s="3" t="n">
        <v>12.4</v>
      </c>
    </row>
    <row r="19" customFormat="false" ht="15" hidden="false" customHeight="false" outlineLevel="0" collapsed="false">
      <c r="A19" s="0" t="s">
        <v>106</v>
      </c>
      <c r="C19" s="3" t="n">
        <v>16.5</v>
      </c>
      <c r="D19" s="3" t="n">
        <v>16.5</v>
      </c>
      <c r="E19" s="3" t="n">
        <v>16.5</v>
      </c>
      <c r="F19" s="3" t="n">
        <v>16.5</v>
      </c>
      <c r="G19" s="3" t="n">
        <v>16.5</v>
      </c>
      <c r="H19" s="3" t="n">
        <v>16.5</v>
      </c>
      <c r="I19" s="3" t="n">
        <v>16.5</v>
      </c>
      <c r="J19" s="3" t="n">
        <v>16.5</v>
      </c>
      <c r="K19" s="3" t="n">
        <v>16.5</v>
      </c>
      <c r="L19" s="3" t="n">
        <v>16.5</v>
      </c>
    </row>
    <row r="20" customFormat="false" ht="15" hidden="false" customHeight="false" outlineLevel="0" collapsed="false">
      <c r="A20" s="0" t="s">
        <v>107</v>
      </c>
      <c r="B20" s="3" t="n">
        <v>11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11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4</v>
      </c>
      <c r="D27" s="3" t="n">
        <v>4.5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101</v>
      </c>
      <c r="C28" s="3" t="n">
        <v>30</v>
      </c>
      <c r="D28" s="3" t="n">
        <v>31.5</v>
      </c>
      <c r="E28" s="3" t="n">
        <v>32.6</v>
      </c>
      <c r="F28" s="3" t="n">
        <v>33.3</v>
      </c>
      <c r="G28" s="3" t="n">
        <v>33.7</v>
      </c>
      <c r="H28" s="3" t="n">
        <v>33.7</v>
      </c>
      <c r="I28" s="3" t="n">
        <v>33.7</v>
      </c>
      <c r="J28" s="3" t="n">
        <v>33.7</v>
      </c>
      <c r="K28" s="3" t="n">
        <v>33.7</v>
      </c>
      <c r="L28" s="3" t="n">
        <v>33.7</v>
      </c>
    </row>
    <row r="29" customFormat="false" ht="15" hidden="false" customHeight="false" outlineLevel="0" collapsed="false">
      <c r="A29" s="0" t="s">
        <v>102</v>
      </c>
      <c r="C29" s="3" t="n">
        <v>0.25</v>
      </c>
      <c r="D29" s="3" t="n">
        <v>0.25</v>
      </c>
      <c r="E29" s="3" t="n">
        <v>0.25</v>
      </c>
      <c r="F29" s="3" t="n">
        <v>0.25</v>
      </c>
      <c r="G29" s="3" t="n">
        <v>0.25</v>
      </c>
      <c r="H29" s="3" t="n">
        <v>0.25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105</v>
      </c>
      <c r="C32" s="3" t="n">
        <v>13.66</v>
      </c>
      <c r="D32" s="3" t="n">
        <v>14.35</v>
      </c>
      <c r="E32" s="3" t="n">
        <v>14.59</v>
      </c>
      <c r="F32" s="3" t="n">
        <v>14.63</v>
      </c>
      <c r="G32" s="3" t="n">
        <v>14.52</v>
      </c>
      <c r="H32" s="3" t="n">
        <v>13.97</v>
      </c>
      <c r="I32" s="3" t="n">
        <v>13.69</v>
      </c>
      <c r="J32" s="3" t="n">
        <v>13.13</v>
      </c>
      <c r="K32" s="3" t="n">
        <v>12.85</v>
      </c>
      <c r="L32" s="3" t="n">
        <v>12.57</v>
      </c>
    </row>
    <row r="33" customFormat="false" ht="15" hidden="false" customHeight="false" outlineLevel="0" collapsed="false">
      <c r="A33" s="0" t="s">
        <v>106</v>
      </c>
      <c r="C33" s="3" t="n">
        <v>16.5</v>
      </c>
      <c r="D33" s="3" t="n">
        <v>16.5</v>
      </c>
      <c r="E33" s="3" t="n">
        <v>16.5</v>
      </c>
      <c r="F33" s="3" t="n">
        <v>16.5</v>
      </c>
      <c r="G33" s="3" t="n">
        <v>16.5</v>
      </c>
      <c r="H33" s="3" t="n">
        <v>16.5</v>
      </c>
      <c r="I33" s="3" t="n">
        <v>16.5</v>
      </c>
      <c r="J33" s="3" t="n">
        <v>16.5</v>
      </c>
      <c r="K33" s="3" t="n">
        <v>16.5</v>
      </c>
      <c r="L33" s="3" t="n">
        <v>16.5</v>
      </c>
    </row>
    <row r="34" customFormat="false" ht="15" hidden="false" customHeight="false" outlineLevel="0" collapsed="false">
      <c r="A34" s="0" t="s">
        <v>107</v>
      </c>
      <c r="B34" s="3" t="n">
        <v>11</v>
      </c>
    </row>
    <row r="35" customFormat="false" ht="15" hidden="false" customHeight="false" outlineLevel="0" collapsed="false">
      <c r="A35" s="0" t="s">
        <v>108</v>
      </c>
      <c r="B35" s="3" t="n">
        <v>3</v>
      </c>
    </row>
    <row r="36" customFormat="false" ht="15" hidden="false" customHeight="false" outlineLevel="0" collapsed="false">
      <c r="A36" s="0" t="s">
        <v>109</v>
      </c>
      <c r="B36" s="3" t="n">
        <v>13.5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5</v>
      </c>
      <c r="D41" s="3" t="n">
        <v>5.5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4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101</v>
      </c>
      <c r="C42" s="3" t="n">
        <v>31.1</v>
      </c>
      <c r="D42" s="3" t="n">
        <v>33.3</v>
      </c>
      <c r="E42" s="3" t="n">
        <v>34.8</v>
      </c>
      <c r="F42" s="3" t="n">
        <v>35.6</v>
      </c>
      <c r="G42" s="3" t="n">
        <v>36</v>
      </c>
      <c r="H42" s="3" t="n">
        <v>36</v>
      </c>
      <c r="I42" s="3" t="n">
        <v>36</v>
      </c>
      <c r="J42" s="3" t="n">
        <v>36</v>
      </c>
      <c r="K42" s="3" t="n">
        <v>36</v>
      </c>
      <c r="L42" s="3" t="n">
        <v>36</v>
      </c>
    </row>
    <row r="43" customFormat="false" ht="15" hidden="false" customHeight="false" outlineLevel="0" collapsed="false">
      <c r="A43" s="0" t="s">
        <v>102</v>
      </c>
      <c r="C43" s="3" t="n">
        <v>0.25</v>
      </c>
      <c r="D43" s="3" t="n">
        <v>0.25</v>
      </c>
      <c r="E43" s="3" t="n">
        <v>0.25</v>
      </c>
      <c r="F43" s="3" t="n">
        <v>0.25</v>
      </c>
      <c r="G43" s="3" t="n">
        <v>0.25</v>
      </c>
      <c r="H43" s="3" t="n">
        <v>0.25</v>
      </c>
      <c r="I43" s="3" t="n">
        <v>0.25</v>
      </c>
      <c r="J43" s="3" t="n">
        <v>0.25</v>
      </c>
      <c r="K43" s="3" t="n">
        <v>0.25</v>
      </c>
      <c r="L43" s="3" t="n">
        <v>0.25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105</v>
      </c>
      <c r="C46" s="3" t="n">
        <v>4.9</v>
      </c>
      <c r="D46" s="3" t="n">
        <v>6</v>
      </c>
      <c r="E46" s="3" t="n">
        <v>6.9</v>
      </c>
      <c r="F46" s="3" t="n">
        <v>12.98</v>
      </c>
      <c r="G46" s="3" t="n">
        <v>12.83</v>
      </c>
      <c r="H46" s="3" t="n">
        <v>12.53</v>
      </c>
      <c r="I46" s="3" t="n">
        <v>12.23</v>
      </c>
      <c r="J46" s="3" t="n">
        <v>11.93</v>
      </c>
      <c r="K46" s="3" t="n">
        <v>11.93</v>
      </c>
      <c r="L46" s="3" t="n">
        <v>11.93</v>
      </c>
    </row>
    <row r="47" customFormat="false" ht="15" hidden="false" customHeight="false" outlineLevel="0" collapsed="false">
      <c r="A47" s="0" t="s">
        <v>106</v>
      </c>
      <c r="C47" s="3" t="n">
        <v>16.5</v>
      </c>
      <c r="D47" s="3" t="n">
        <v>16.5</v>
      </c>
      <c r="E47" s="3" t="n">
        <v>16.5</v>
      </c>
      <c r="F47" s="3" t="n">
        <v>16.5</v>
      </c>
      <c r="G47" s="3" t="n">
        <v>16.5</v>
      </c>
      <c r="H47" s="3" t="n">
        <v>16.5</v>
      </c>
      <c r="I47" s="3" t="n">
        <v>16.5</v>
      </c>
      <c r="J47" s="3" t="n">
        <v>16.5</v>
      </c>
      <c r="K47" s="3" t="n">
        <v>16.5</v>
      </c>
      <c r="L47" s="3" t="n">
        <v>16.5</v>
      </c>
    </row>
    <row r="48" customFormat="false" ht="15" hidden="false" customHeight="false" outlineLevel="0" collapsed="false">
      <c r="A48" s="0" t="s">
        <v>107</v>
      </c>
      <c r="B48" s="3" t="n">
        <v>11</v>
      </c>
    </row>
    <row r="49" customFormat="false" ht="15" hidden="false" customHeight="false" outlineLevel="0" collapsed="false">
      <c r="A49" s="0" t="s">
        <v>108</v>
      </c>
      <c r="B49" s="3" t="n">
        <v>3.5</v>
      </c>
    </row>
    <row r="50" customFormat="false" ht="15" hidden="false" customHeight="false" outlineLevel="0" collapsed="false">
      <c r="A50" s="0" t="s">
        <v>109</v>
      </c>
      <c r="B50" s="3" t="n">
        <v>14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1</v>
      </c>
      <c r="D5" s="4" t="n">
        <f aca="false">Assumptions!D13</f>
        <v>-2</v>
      </c>
      <c r="E5" s="4" t="n">
        <f aca="false">Assumptions!E13</f>
        <v>1</v>
      </c>
      <c r="F5" s="4" t="n">
        <f aca="false">Assumptions!F13</f>
        <v>2.5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8472.8</v>
      </c>
      <c r="C6" s="0" t="n">
        <f aca="false">B6*(1+C5/100)</f>
        <v>8557.528</v>
      </c>
      <c r="D6" s="0" t="n">
        <f aca="false">C6*(1+D5/100)</f>
        <v>8386.37744</v>
      </c>
      <c r="E6" s="0" t="n">
        <f aca="false">D6*(1+E5/100)</f>
        <v>8470.2412144</v>
      </c>
      <c r="F6" s="0" t="n">
        <f aca="false">E6*(1+F5/100)</f>
        <v>8681.99724476</v>
      </c>
      <c r="G6" s="0" t="n">
        <f aca="false">F6*(1+G5/100)</f>
        <v>8942.4571621028</v>
      </c>
      <c r="H6" s="0" t="n">
        <f aca="false">G6*(1+H5/100)</f>
        <v>9210.73087696588</v>
      </c>
      <c r="I6" s="0" t="n">
        <f aca="false">H6*(1+I5/100)</f>
        <v>9487.05280327486</v>
      </c>
      <c r="J6" s="0" t="n">
        <f aca="false">I6*(1+J5/100)</f>
        <v>9724.22912335673</v>
      </c>
      <c r="K6" s="0" t="n">
        <f aca="false">J6*(1+K5/100)</f>
        <v>9967.33485144065</v>
      </c>
      <c r="L6" s="0" t="n">
        <f aca="false">K6*(1+L5/100)</f>
        <v>10216.5182227267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27.3</v>
      </c>
      <c r="D7" s="4" t="n">
        <f aca="false">Assumptions!D14</f>
        <v>24.3</v>
      </c>
      <c r="E7" s="4" t="n">
        <f aca="false">Assumptions!E14</f>
        <v>26.6</v>
      </c>
      <c r="F7" s="4" t="n">
        <f aca="false">Assumptions!F14</f>
        <v>28.8</v>
      </c>
      <c r="G7" s="4" t="n">
        <f aca="false">Assumptions!G14</f>
        <v>30</v>
      </c>
      <c r="H7" s="4" t="n">
        <f aca="false">Assumptions!H14</f>
        <v>30</v>
      </c>
      <c r="I7" s="4" t="n">
        <f aca="false">Assumptions!I14</f>
        <v>30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2336.205144</v>
      </c>
      <c r="D8" s="0" t="n">
        <f aca="false">D6*D7/100</f>
        <v>2037.88971792</v>
      </c>
      <c r="E8" s="0" t="n">
        <f aca="false">E6*E7/100</f>
        <v>2253.0841630304</v>
      </c>
      <c r="F8" s="0" t="n">
        <f aca="false">F6*F7/100</f>
        <v>2500.41520649088</v>
      </c>
      <c r="G8" s="0" t="n">
        <f aca="false">G6*G7/100</f>
        <v>2682.73714863084</v>
      </c>
      <c r="H8" s="0" t="n">
        <f aca="false">H6*H7/100</f>
        <v>2763.21926308977</v>
      </c>
      <c r="I8" s="0" t="n">
        <f aca="false">I6*I7/100</f>
        <v>2846.11584098246</v>
      </c>
      <c r="J8" s="0" t="n">
        <f aca="false">J6*J7/100</f>
        <v>2917.26873700702</v>
      </c>
      <c r="K8" s="0" t="n">
        <f aca="false">K6*K7/100</f>
        <v>2990.20045543219</v>
      </c>
      <c r="L8" s="0" t="n">
        <f aca="false">L6*L7/100</f>
        <v>3064.955466818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0.25</v>
      </c>
      <c r="D9" s="4" t="n">
        <f aca="false">Assumptions!D15</f>
        <v>0.25</v>
      </c>
      <c r="E9" s="4" t="n">
        <f aca="false">Assumptions!E15</f>
        <v>0.25</v>
      </c>
      <c r="F9" s="4" t="n">
        <f aca="false">Assumptions!F15</f>
        <v>0.25</v>
      </c>
      <c r="G9" s="4" t="n">
        <f aca="false">Assumptions!G15</f>
        <v>0.25</v>
      </c>
      <c r="H9" s="4" t="n">
        <f aca="false">Assumptions!H15</f>
        <v>0.25</v>
      </c>
      <c r="I9" s="4" t="n">
        <f aca="false">Assumptions!I15</f>
        <v>0.25</v>
      </c>
      <c r="J9" s="4" t="n">
        <f aca="false">Assumptions!J15</f>
        <v>0.25</v>
      </c>
      <c r="K9" s="4" t="n">
        <f aca="false">Assumptions!K15</f>
        <v>0.25</v>
      </c>
      <c r="L9" s="4" t="n">
        <f aca="false">Assumptions!L15</f>
        <v>0.25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-21.39382</v>
      </c>
      <c r="D10" s="0" t="n">
        <f aca="false">-D6*D9/100</f>
        <v>-20.9659436</v>
      </c>
      <c r="E10" s="0" t="n">
        <f aca="false">-E6*E9/100</f>
        <v>-21.175603036</v>
      </c>
      <c r="F10" s="0" t="n">
        <f aca="false">-F6*F9/100</f>
        <v>-21.7049931119</v>
      </c>
      <c r="G10" s="0" t="n">
        <f aca="false">-G6*G9/100</f>
        <v>-22.356142905257</v>
      </c>
      <c r="H10" s="0" t="n">
        <f aca="false">-H6*H9/100</f>
        <v>-23.0268271924147</v>
      </c>
      <c r="I10" s="0" t="n">
        <f aca="false">-I6*I9/100</f>
        <v>-23.7176320081872</v>
      </c>
      <c r="J10" s="0" t="n">
        <f aca="false">-J6*J9/100</f>
        <v>-24.3105728083918</v>
      </c>
      <c r="K10" s="0" t="n">
        <f aca="false">-K6*K9/100</f>
        <v>-24.9183371286016</v>
      </c>
      <c r="L10" s="0" t="n">
        <f aca="false">-L6*L9/100</f>
        <v>-25.5412955568167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2314.811324</v>
      </c>
      <c r="D11" s="0" t="n">
        <f aca="false">D8+D10+D24</f>
        <v>2016.92377432</v>
      </c>
      <c r="E11" s="0" t="n">
        <f aca="false">E8+E10+E24</f>
        <v>2231.9085599944</v>
      </c>
      <c r="F11" s="0" t="n">
        <f aca="false">F8+F10+F24</f>
        <v>2478.71021337898</v>
      </c>
      <c r="G11" s="0" t="n">
        <f aca="false">G8+G10+G24</f>
        <v>2660.38100572558</v>
      </c>
      <c r="H11" s="0" t="n">
        <f aca="false">H8+H10+H24</f>
        <v>2740.19243589735</v>
      </c>
      <c r="I11" s="0" t="n">
        <f aca="false">I8+I10+I24</f>
        <v>2822.39820897427</v>
      </c>
      <c r="J11" s="0" t="n">
        <f aca="false">J8+J10+J24</f>
        <v>2892.95816419863</v>
      </c>
      <c r="K11" s="0" t="n">
        <f aca="false">K8+K10+K24</f>
        <v>2965.28211830359</v>
      </c>
      <c r="L11" s="0" t="n">
        <f aca="false">L8+L10+L24</f>
        <v>3039.41417126118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2314.811324</v>
      </c>
      <c r="D13" s="0" t="n">
        <f aca="false">D11+D12</f>
        <v>2016.92377432</v>
      </c>
      <c r="E13" s="0" t="n">
        <f aca="false">E11+E12</f>
        <v>2231.9085599944</v>
      </c>
      <c r="F13" s="0" t="n">
        <f aca="false">F11+F12</f>
        <v>2478.71021337898</v>
      </c>
      <c r="G13" s="0" t="n">
        <f aca="false">G11+G12</f>
        <v>2660.38100572558</v>
      </c>
      <c r="H13" s="0" t="n">
        <f aca="false">H11+H12</f>
        <v>2740.19243589735</v>
      </c>
      <c r="I13" s="0" t="n">
        <f aca="false">I11+I12</f>
        <v>2822.39820897427</v>
      </c>
      <c r="J13" s="0" t="n">
        <f aca="false">J11+J12</f>
        <v>2892.95816419863</v>
      </c>
      <c r="K13" s="0" t="n">
        <f aca="false">K11+K12</f>
        <v>2965.28211830359</v>
      </c>
      <c r="L13" s="0" t="n">
        <f aca="false">L11+L12</f>
        <v>3039.41417126118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16.5</v>
      </c>
      <c r="D14" s="4" t="n">
        <f aca="false">Assumptions!D19</f>
        <v>16.5</v>
      </c>
      <c r="E14" s="4" t="n">
        <f aca="false">Assumptions!E19</f>
        <v>16.5</v>
      </c>
      <c r="F14" s="4" t="n">
        <f aca="false">Assumptions!F19</f>
        <v>16.5</v>
      </c>
      <c r="G14" s="4" t="n">
        <f aca="false">Assumptions!G19</f>
        <v>16.5</v>
      </c>
      <c r="H14" s="4" t="n">
        <f aca="false">Assumptions!H19</f>
        <v>16.5</v>
      </c>
      <c r="I14" s="4" t="n">
        <f aca="false">Assumptions!I19</f>
        <v>16.5</v>
      </c>
      <c r="J14" s="4" t="n">
        <f aca="false">Assumptions!J19</f>
        <v>16.5</v>
      </c>
      <c r="K14" s="4" t="n">
        <f aca="false">Assumptions!K19</f>
        <v>16.5</v>
      </c>
      <c r="L14" s="4" t="n">
        <f aca="false">Assumptions!L19</f>
        <v>16.5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1932.86745554</v>
      </c>
      <c r="D15" s="0" t="n">
        <f aca="false">D13-MAX(0,D13)*D14/100</f>
        <v>1684.1313515572</v>
      </c>
      <c r="E15" s="0" t="n">
        <f aca="false">E13-MAX(0,E13)*E14/100</f>
        <v>1863.64364759532</v>
      </c>
      <c r="F15" s="0" t="n">
        <f aca="false">F13-MAX(0,F13)*F14/100</f>
        <v>2069.72302817145</v>
      </c>
      <c r="G15" s="0" t="n">
        <f aca="false">G13-MAX(0,G13)*G14/100</f>
        <v>2221.41813978086</v>
      </c>
      <c r="H15" s="0" t="n">
        <f aca="false">H13-MAX(0,H13)*H14/100</f>
        <v>2288.06068397429</v>
      </c>
      <c r="I15" s="0" t="n">
        <f aca="false">I13-MAX(0,I13)*I14/100</f>
        <v>2356.70250449352</v>
      </c>
      <c r="J15" s="0" t="n">
        <f aca="false">J13-MAX(0,J13)*J14/100</f>
        <v>2415.62006710585</v>
      </c>
      <c r="K15" s="0" t="n">
        <f aca="false">K13-MAX(0,K13)*K14/100</f>
        <v>2476.0105687835</v>
      </c>
      <c r="L15" s="0" t="n">
        <f aca="false">L13-MAX(0,L13)*L14/100</f>
        <v>2537.91083300309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-1160.4007968</v>
      </c>
      <c r="D17" s="4" t="n">
        <f aca="false">-D6*Assumptions!D18/100</f>
        <v>-1010.55848152</v>
      </c>
      <c r="E17" s="4" t="n">
        <f aca="false">-E6*Assumptions!E18/100</f>
        <v>-1117.22481617936</v>
      </c>
      <c r="F17" s="4" t="n">
        <f aca="false">-F6*Assumptions!F18/100</f>
        <v>-1243.26200544963</v>
      </c>
      <c r="G17" s="4" t="n">
        <f aca="false">-G6*Assumptions!G18/100</f>
        <v>-1330.6376257209</v>
      </c>
      <c r="H17" s="4" t="n">
        <f aca="false">-H6*Assumptions!H18/100</f>
        <v>-1256.34369161815</v>
      </c>
      <c r="I17" s="4" t="n">
        <f aca="false">-I6*Assumptions!I18/100</f>
        <v>-1223.82981162246</v>
      </c>
      <c r="J17" s="4" t="n">
        <f aca="false">-J6*Assumptions!J18/100</f>
        <v>-1205.80441129623</v>
      </c>
      <c r="K17" s="4" t="n">
        <f aca="false">-K6*Assumptions!K18/100</f>
        <v>-1235.94952157864</v>
      </c>
      <c r="L17" s="4" t="n">
        <f aca="false">-L6*Assumptions!L18/100</f>
        <v>-1266.84825961811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772.46665874</v>
      </c>
      <c r="D19" s="0" t="n">
        <f aca="false">D15+D16+D17+D18</f>
        <v>673.5728700372</v>
      </c>
      <c r="E19" s="0" t="n">
        <f aca="false">E15+E16+E17+E18</f>
        <v>746.418831415964</v>
      </c>
      <c r="F19" s="0" t="n">
        <f aca="false">F15+F16+F17+F18</f>
        <v>826.461022721816</v>
      </c>
      <c r="G19" s="0" t="n">
        <f aca="false">G15+G16+G17+G18</f>
        <v>890.780514059965</v>
      </c>
      <c r="H19" s="0" t="n">
        <f aca="false">H15+H16+H17+H18</f>
        <v>1031.71699235614</v>
      </c>
      <c r="I19" s="0" t="n">
        <f aca="false">I15+I16+I17+I18</f>
        <v>1132.87269287106</v>
      </c>
      <c r="J19" s="0" t="n">
        <f aca="false">J15+J16+J17+J18</f>
        <v>1209.81565580962</v>
      </c>
      <c r="K19" s="0" t="n">
        <f aca="false">K15+K16+K17+K18</f>
        <v>1240.06104720486</v>
      </c>
      <c r="L19" s="0" t="n">
        <f aca="false">L15+L16+L17+L18</f>
        <v>1271.06257338498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695.915908774775</v>
      </c>
      <c r="D21" s="0" t="n">
        <f aca="false">D19*D20</f>
        <v>546.686851746774</v>
      </c>
      <c r="E21" s="0" t="n">
        <f aca="false">E19*E20</f>
        <v>545.77501637208</v>
      </c>
      <c r="F21" s="0" t="n">
        <f aca="false">F19*F20</f>
        <v>544.415474590415</v>
      </c>
      <c r="G21" s="0" t="n">
        <f aca="false">G19*G20</f>
        <v>528.634879077572</v>
      </c>
      <c r="H21" s="0" t="n">
        <f aca="false">H19*H20</f>
        <v>551.5980354003</v>
      </c>
      <c r="I21" s="0" t="n">
        <f aca="false">I19*I20</f>
        <v>545.657660989859</v>
      </c>
      <c r="J21" s="0" t="n">
        <f aca="false">J19*J20</f>
        <v>524.971068691961</v>
      </c>
      <c r="K21" s="0" t="n">
        <f aca="false">K19*K20</f>
        <v>484.770581449783</v>
      </c>
      <c r="L21" s="0" t="n">
        <f aca="false">L19*L20</f>
        <v>447.648509897322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5416.07398699084</v>
      </c>
    </row>
    <row r="31" customFormat="false" ht="15" hidden="false" customHeight="false" outlineLevel="0" collapsed="false">
      <c r="A31" s="0" t="s">
        <v>131</v>
      </c>
      <c r="B31" s="0" t="n">
        <f aca="false">L19</f>
        <v>1271.06257338498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14405.3758316965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13981.6883072348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13981.6883072348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4924.13360887055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10340.2075958614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13482.2075958614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42.2533771965068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-0.0361912135833306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132.35891813626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101.946142446224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42.9876916649238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9972.95249886678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31.7427865715031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4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8472.8</v>
      </c>
      <c r="C6" s="0" t="n">
        <f aca="false">B6*(1+C5/100)</f>
        <v>8811.712</v>
      </c>
      <c r="D6" s="0" t="n">
        <f aca="false">C6*(1+D5/100)</f>
        <v>9208.23904</v>
      </c>
      <c r="E6" s="0" t="n">
        <f aca="false">D6*(1+E5/100)</f>
        <v>9622.6097968</v>
      </c>
      <c r="F6" s="0" t="n">
        <f aca="false">E6*(1+F5/100)</f>
        <v>10007.514188672</v>
      </c>
      <c r="G6" s="0" t="n">
        <f aca="false">F6*(1+G5/100)</f>
        <v>10407.8147562189</v>
      </c>
      <c r="H6" s="0" t="n">
        <f aca="false">G6*(1+H5/100)</f>
        <v>10772.0882726865</v>
      </c>
      <c r="I6" s="0" t="n">
        <f aca="false">H6*(1+I5/100)</f>
        <v>11149.1113622306</v>
      </c>
      <c r="J6" s="0" t="n">
        <f aca="false">I6*(1+J5/100)</f>
        <v>11483.5847030975</v>
      </c>
      <c r="K6" s="0" t="n">
        <f aca="false">J6*(1+K5/100)</f>
        <v>11828.0922441904</v>
      </c>
      <c r="L6" s="0" t="n">
        <f aca="false">K6*(1+L5/100)</f>
        <v>12182.9350115161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30</v>
      </c>
      <c r="D7" s="4" t="n">
        <f aca="false">Assumptions!D28</f>
        <v>31.5</v>
      </c>
      <c r="E7" s="4" t="n">
        <f aca="false">Assumptions!E28</f>
        <v>32.6</v>
      </c>
      <c r="F7" s="4" t="n">
        <f aca="false">Assumptions!F28</f>
        <v>33.3</v>
      </c>
      <c r="G7" s="4" t="n">
        <f aca="false">Assumptions!G28</f>
        <v>33.7</v>
      </c>
      <c r="H7" s="4" t="n">
        <f aca="false">Assumptions!H28</f>
        <v>33.7</v>
      </c>
      <c r="I7" s="4" t="n">
        <f aca="false">Assumptions!I28</f>
        <v>33.7</v>
      </c>
      <c r="J7" s="4" t="n">
        <f aca="false">Assumptions!J28</f>
        <v>33.7</v>
      </c>
      <c r="K7" s="4" t="n">
        <f aca="false">Assumptions!K28</f>
        <v>33.7</v>
      </c>
      <c r="L7" s="4" t="n">
        <f aca="false">Assumptions!L28</f>
        <v>33.7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2643.5136</v>
      </c>
      <c r="D8" s="0" t="n">
        <f aca="false">D6*D7/100</f>
        <v>2900.5952976</v>
      </c>
      <c r="E8" s="0" t="n">
        <f aca="false">E6*E7/100</f>
        <v>3136.9707937568</v>
      </c>
      <c r="F8" s="0" t="n">
        <f aca="false">F6*F7/100</f>
        <v>3332.50222482778</v>
      </c>
      <c r="G8" s="0" t="n">
        <f aca="false">G6*G7/100</f>
        <v>3507.43357284576</v>
      </c>
      <c r="H8" s="0" t="n">
        <f aca="false">H6*H7/100</f>
        <v>3630.19374789536</v>
      </c>
      <c r="I8" s="0" t="n">
        <f aca="false">I6*I7/100</f>
        <v>3757.2505290717</v>
      </c>
      <c r="J8" s="0" t="n">
        <f aca="false">J6*J7/100</f>
        <v>3869.96804494385</v>
      </c>
      <c r="K8" s="0" t="n">
        <f aca="false">K6*K7/100</f>
        <v>3986.06708629217</v>
      </c>
      <c r="L8" s="0" t="n">
        <f aca="false">L6*L7/100</f>
        <v>4105.64909888093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0.25</v>
      </c>
      <c r="D9" s="4" t="n">
        <f aca="false">Assumptions!D29</f>
        <v>0.25</v>
      </c>
      <c r="E9" s="4" t="n">
        <f aca="false">Assumptions!E29</f>
        <v>0.25</v>
      </c>
      <c r="F9" s="4" t="n">
        <f aca="false">Assumptions!F29</f>
        <v>0.25</v>
      </c>
      <c r="G9" s="4" t="n">
        <f aca="false">Assumptions!G29</f>
        <v>0.25</v>
      </c>
      <c r="H9" s="4" t="n">
        <f aca="false">Assumptions!H29</f>
        <v>0.25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-22.02928</v>
      </c>
      <c r="D10" s="0" t="n">
        <f aca="false">-D6*D9/100</f>
        <v>-23.0205976</v>
      </c>
      <c r="E10" s="0" t="n">
        <f aca="false">-E6*E9/100</f>
        <v>-24.056524492</v>
      </c>
      <c r="F10" s="0" t="n">
        <f aca="false">-F6*F9/100</f>
        <v>-25.01878547168</v>
      </c>
      <c r="G10" s="0" t="n">
        <f aca="false">-G6*G9/100</f>
        <v>-26.0195368905472</v>
      </c>
      <c r="H10" s="0" t="n">
        <f aca="false">-H6*H9/100</f>
        <v>-26.9302206817163</v>
      </c>
      <c r="I10" s="0" t="n">
        <f aca="false">-I6*I9/100</f>
        <v>-27.8727784055764</v>
      </c>
      <c r="J10" s="0" t="n">
        <f aca="false">-J6*J9/100</f>
        <v>-28.7089617577437</v>
      </c>
      <c r="K10" s="0" t="n">
        <f aca="false">-K6*K9/100</f>
        <v>-29.570230610476</v>
      </c>
      <c r="L10" s="0" t="n">
        <f aca="false">-L6*L9/100</f>
        <v>-30.4573375287903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2621.48432</v>
      </c>
      <c r="D11" s="0" t="n">
        <f aca="false">D8+D10+D24</f>
        <v>2877.5747</v>
      </c>
      <c r="E11" s="0" t="n">
        <f aca="false">E8+E10+E24</f>
        <v>3112.9142692648</v>
      </c>
      <c r="F11" s="0" t="n">
        <f aca="false">F8+F10+F24</f>
        <v>3307.4834393561</v>
      </c>
      <c r="G11" s="0" t="n">
        <f aca="false">G8+G10+G24</f>
        <v>3481.41403595522</v>
      </c>
      <c r="H11" s="0" t="n">
        <f aca="false">H8+H10+H24</f>
        <v>3603.26352721365</v>
      </c>
      <c r="I11" s="0" t="n">
        <f aca="false">I8+I10+I24</f>
        <v>3729.37775066612</v>
      </c>
      <c r="J11" s="0" t="n">
        <f aca="false">J8+J10+J24</f>
        <v>3841.25908318611</v>
      </c>
      <c r="K11" s="0" t="n">
        <f aca="false">K8+K10+K24</f>
        <v>3956.49685568169</v>
      </c>
      <c r="L11" s="0" t="n">
        <f aca="false">L8+L10+L24</f>
        <v>4075.19176135214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2621.48432</v>
      </c>
      <c r="D13" s="0" t="n">
        <f aca="false">D11+D12</f>
        <v>2877.5747</v>
      </c>
      <c r="E13" s="0" t="n">
        <f aca="false">E11+E12</f>
        <v>3112.9142692648</v>
      </c>
      <c r="F13" s="0" t="n">
        <f aca="false">F11+F12</f>
        <v>3307.4834393561</v>
      </c>
      <c r="G13" s="0" t="n">
        <f aca="false">G11+G12</f>
        <v>3481.41403595522</v>
      </c>
      <c r="H13" s="0" t="n">
        <f aca="false">H11+H12</f>
        <v>3603.26352721365</v>
      </c>
      <c r="I13" s="0" t="n">
        <f aca="false">I11+I12</f>
        <v>3729.37775066612</v>
      </c>
      <c r="J13" s="0" t="n">
        <f aca="false">J11+J12</f>
        <v>3841.25908318611</v>
      </c>
      <c r="K13" s="0" t="n">
        <f aca="false">K11+K12</f>
        <v>3956.49685568169</v>
      </c>
      <c r="L13" s="0" t="n">
        <f aca="false">L11+L12</f>
        <v>4075.19176135214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16.5</v>
      </c>
      <c r="D14" s="4" t="n">
        <f aca="false">Assumptions!D33</f>
        <v>16.5</v>
      </c>
      <c r="E14" s="4" t="n">
        <f aca="false">Assumptions!E33</f>
        <v>16.5</v>
      </c>
      <c r="F14" s="4" t="n">
        <f aca="false">Assumptions!F33</f>
        <v>16.5</v>
      </c>
      <c r="G14" s="4" t="n">
        <f aca="false">Assumptions!G33</f>
        <v>16.5</v>
      </c>
      <c r="H14" s="4" t="n">
        <f aca="false">Assumptions!H33</f>
        <v>16.5</v>
      </c>
      <c r="I14" s="4" t="n">
        <f aca="false">Assumptions!I33</f>
        <v>16.5</v>
      </c>
      <c r="J14" s="4" t="n">
        <f aca="false">Assumptions!J33</f>
        <v>16.5</v>
      </c>
      <c r="K14" s="4" t="n">
        <f aca="false">Assumptions!K33</f>
        <v>16.5</v>
      </c>
      <c r="L14" s="4" t="n">
        <f aca="false">Assumptions!L33</f>
        <v>16.5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2188.9394072</v>
      </c>
      <c r="D15" s="0" t="n">
        <f aca="false">D13-MAX(0,D13)*D14/100</f>
        <v>2402.7748745</v>
      </c>
      <c r="E15" s="0" t="n">
        <f aca="false">E13-MAX(0,E13)*E14/100</f>
        <v>2599.28341483611</v>
      </c>
      <c r="F15" s="0" t="n">
        <f aca="false">F13-MAX(0,F13)*F14/100</f>
        <v>2761.74867186234</v>
      </c>
      <c r="G15" s="0" t="n">
        <f aca="false">G13-MAX(0,G13)*G14/100</f>
        <v>2906.9807200226</v>
      </c>
      <c r="H15" s="0" t="n">
        <f aca="false">H13-MAX(0,H13)*H14/100</f>
        <v>3008.72504522339</v>
      </c>
      <c r="I15" s="0" t="n">
        <f aca="false">I13-MAX(0,I13)*I14/100</f>
        <v>3114.03042180621</v>
      </c>
      <c r="J15" s="0" t="n">
        <f aca="false">J13-MAX(0,J13)*J14/100</f>
        <v>3207.4513344604</v>
      </c>
      <c r="K15" s="0" t="n">
        <f aca="false">K13-MAX(0,K13)*K14/100</f>
        <v>3303.67487449421</v>
      </c>
      <c r="L15" s="0" t="n">
        <f aca="false">L13-MAX(0,L13)*L14/100</f>
        <v>3402.78512072904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-1203.6798592</v>
      </c>
      <c r="D17" s="4" t="n">
        <f aca="false">-D6*Assumptions!D32/100</f>
        <v>-1321.38230224</v>
      </c>
      <c r="E17" s="4" t="n">
        <f aca="false">-E6*Assumptions!E32/100</f>
        <v>-1403.93876935312</v>
      </c>
      <c r="F17" s="4" t="n">
        <f aca="false">-F6*Assumptions!F32/100</f>
        <v>-1464.09932580271</v>
      </c>
      <c r="G17" s="4" t="n">
        <f aca="false">-G6*Assumptions!G32/100</f>
        <v>-1511.21470260298</v>
      </c>
      <c r="H17" s="4" t="n">
        <f aca="false">-H6*Assumptions!H32/100</f>
        <v>-1504.86073169431</v>
      </c>
      <c r="I17" s="4" t="n">
        <f aca="false">-I6*Assumptions!I32/100</f>
        <v>-1526.31334548936</v>
      </c>
      <c r="J17" s="4" t="n">
        <f aca="false">-J6*Assumptions!J32/100</f>
        <v>-1507.7946715167</v>
      </c>
      <c r="K17" s="4" t="n">
        <f aca="false">-K6*Assumptions!K32/100</f>
        <v>-1519.90985337847</v>
      </c>
      <c r="L17" s="4" t="n">
        <f aca="false">-L6*Assumptions!L32/100</f>
        <v>-1531.39493094758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985.259548</v>
      </c>
      <c r="D19" s="0" t="n">
        <f aca="false">D15+D16+D17+D18</f>
        <v>1081.39257226</v>
      </c>
      <c r="E19" s="0" t="n">
        <f aca="false">E15+E16+E17+E18</f>
        <v>1195.34464548299</v>
      </c>
      <c r="F19" s="0" t="n">
        <f aca="false">F15+F16+F17+F18</f>
        <v>1297.64934605963</v>
      </c>
      <c r="G19" s="0" t="n">
        <f aca="false">G15+G16+G17+G18</f>
        <v>1395.76601741962</v>
      </c>
      <c r="H19" s="0" t="n">
        <f aca="false">H15+H16+H17+H18</f>
        <v>1503.86431352909</v>
      </c>
      <c r="I19" s="0" t="n">
        <f aca="false">I15+I16+I17+I18</f>
        <v>1587.71707631685</v>
      </c>
      <c r="J19" s="0" t="n">
        <f aca="false">J15+J16+J17+J18</f>
        <v>1699.6566629437</v>
      </c>
      <c r="K19" s="0" t="n">
        <f aca="false">K15+K16+K17+K18</f>
        <v>1783.76502111575</v>
      </c>
      <c r="L19" s="0" t="n">
        <f aca="false">L15+L16+L17+L18</f>
        <v>1871.39018978146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887.621214414414</v>
      </c>
      <c r="D21" s="0" t="n">
        <f aca="false">D19*D20</f>
        <v>877.682470789708</v>
      </c>
      <c r="E21" s="0" t="n">
        <f aca="false">E19*E20</f>
        <v>874.025702461401</v>
      </c>
      <c r="F21" s="0" t="n">
        <f aca="false">F19*F20</f>
        <v>854.80181782848</v>
      </c>
      <c r="G21" s="0" t="n">
        <f aca="false">G19*G20</f>
        <v>828.319196696681</v>
      </c>
      <c r="H21" s="0" t="n">
        <f aca="false">H19*H20</f>
        <v>804.027273949287</v>
      </c>
      <c r="I21" s="0" t="n">
        <f aca="false">I19*I20</f>
        <v>764.737283922966</v>
      </c>
      <c r="J21" s="0" t="n">
        <f aca="false">J19*J20</f>
        <v>737.526060660746</v>
      </c>
      <c r="K21" s="0" t="n">
        <f aca="false">K19*K20</f>
        <v>697.31793318173</v>
      </c>
      <c r="L21" s="0" t="n">
        <f aca="false">L19*L20</f>
        <v>659.074578571835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13.5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7985.13353247725</v>
      </c>
    </row>
    <row r="31" customFormat="false" ht="15" hidden="false" customHeight="false" outlineLevel="0" collapsed="false">
      <c r="A31" s="0" t="s">
        <v>131</v>
      </c>
      <c r="B31" s="0" t="n">
        <f aca="false">L19</f>
        <v>1871.39018978146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24094.1486934363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25263.7675620497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24094.1486934363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8485.58519911238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16470.7187315896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19612.7187315896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61.4664621147976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0.402063460647756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150.609202886911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138.104994858851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62.3712953783859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16062.7657956242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43.189929192102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5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8472.8</v>
      </c>
      <c r="C6" s="0" t="n">
        <f aca="false">B6*(1+C5/100)</f>
        <v>8896.44</v>
      </c>
      <c r="D6" s="0" t="n">
        <f aca="false">C6*(1+D5/100)</f>
        <v>9385.7442</v>
      </c>
      <c r="E6" s="0" t="n">
        <f aca="false">D6*(1+E5/100)</f>
        <v>9901.960131</v>
      </c>
      <c r="F6" s="0" t="n">
        <f aca="false">E6*(1+F5/100)</f>
        <v>10397.05813755</v>
      </c>
      <c r="G6" s="0" t="n">
        <f aca="false">F6*(1+G5/100)</f>
        <v>10864.9257537397</v>
      </c>
      <c r="H6" s="0" t="n">
        <f aca="false">G6*(1+H5/100)</f>
        <v>11299.5227838893</v>
      </c>
      <c r="I6" s="0" t="n">
        <f aca="false">H6*(1+I5/100)</f>
        <v>11751.5036952449</v>
      </c>
      <c r="J6" s="0" t="n">
        <f aca="false">I6*(1+J5/100)</f>
        <v>12162.8063245785</v>
      </c>
      <c r="K6" s="0" t="n">
        <f aca="false">J6*(1+K5/100)</f>
        <v>12588.5045459387</v>
      </c>
      <c r="L6" s="0" t="n">
        <f aca="false">K6*(1+L5/100)</f>
        <v>13029.1022050466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31.1</v>
      </c>
      <c r="D7" s="4" t="n">
        <f aca="false">Assumptions!D42</f>
        <v>33.3</v>
      </c>
      <c r="E7" s="4" t="n">
        <f aca="false">Assumptions!E42</f>
        <v>34.8</v>
      </c>
      <c r="F7" s="4" t="n">
        <f aca="false">Assumptions!F42</f>
        <v>35.6</v>
      </c>
      <c r="G7" s="4" t="n">
        <f aca="false">Assumptions!G42</f>
        <v>36</v>
      </c>
      <c r="H7" s="4" t="n">
        <f aca="false">Assumptions!H42</f>
        <v>36</v>
      </c>
      <c r="I7" s="4" t="n">
        <f aca="false">Assumptions!I42</f>
        <v>36</v>
      </c>
      <c r="J7" s="4" t="n">
        <f aca="false">Assumptions!J42</f>
        <v>36</v>
      </c>
      <c r="K7" s="4" t="n">
        <f aca="false">Assumptions!K42</f>
        <v>36</v>
      </c>
      <c r="L7" s="4" t="n">
        <f aca="false">Assumptions!L42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2766.79284</v>
      </c>
      <c r="D8" s="0" t="n">
        <f aca="false">D6*D7/100</f>
        <v>3125.4528186</v>
      </c>
      <c r="E8" s="0" t="n">
        <f aca="false">E6*E7/100</f>
        <v>3445.882125588</v>
      </c>
      <c r="F8" s="0" t="n">
        <f aca="false">F6*F7/100</f>
        <v>3701.3526969678</v>
      </c>
      <c r="G8" s="0" t="n">
        <f aca="false">G6*G7/100</f>
        <v>3911.37327134631</v>
      </c>
      <c r="H8" s="0" t="n">
        <f aca="false">H6*H7/100</f>
        <v>4067.82820220016</v>
      </c>
      <c r="I8" s="0" t="n">
        <f aca="false">I6*I7/100</f>
        <v>4230.54133028817</v>
      </c>
      <c r="J8" s="0" t="n">
        <f aca="false">J6*J7/100</f>
        <v>4378.61027684826</v>
      </c>
      <c r="K8" s="0" t="n">
        <f aca="false">K6*K7/100</f>
        <v>4531.86163653794</v>
      </c>
      <c r="L8" s="0" t="n">
        <f aca="false">L6*L7/100</f>
        <v>4690.47679381677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0.25</v>
      </c>
      <c r="D9" s="4" t="n">
        <f aca="false">Assumptions!D43</f>
        <v>0.25</v>
      </c>
      <c r="E9" s="4" t="n">
        <f aca="false">Assumptions!E43</f>
        <v>0.25</v>
      </c>
      <c r="F9" s="4" t="n">
        <f aca="false">Assumptions!F43</f>
        <v>0.25</v>
      </c>
      <c r="G9" s="4" t="n">
        <f aca="false">Assumptions!G43</f>
        <v>0.25</v>
      </c>
      <c r="H9" s="4" t="n">
        <f aca="false">Assumptions!H43</f>
        <v>0.25</v>
      </c>
      <c r="I9" s="4" t="n">
        <f aca="false">Assumptions!I43</f>
        <v>0.25</v>
      </c>
      <c r="J9" s="4" t="n">
        <f aca="false">Assumptions!J43</f>
        <v>0.25</v>
      </c>
      <c r="K9" s="4" t="n">
        <f aca="false">Assumptions!K43</f>
        <v>0.25</v>
      </c>
      <c r="L9" s="4" t="n">
        <f aca="false">Assumptions!L43</f>
        <v>0.25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-22.2411</v>
      </c>
      <c r="D10" s="0" t="n">
        <f aca="false">-D6*D9/100</f>
        <v>-23.4643605</v>
      </c>
      <c r="E10" s="0" t="n">
        <f aca="false">-E6*E9/100</f>
        <v>-24.7549003275</v>
      </c>
      <c r="F10" s="0" t="n">
        <f aca="false">-F6*F9/100</f>
        <v>-25.992645343875</v>
      </c>
      <c r="G10" s="0" t="n">
        <f aca="false">-G6*G9/100</f>
        <v>-27.1623143843494</v>
      </c>
      <c r="H10" s="0" t="n">
        <f aca="false">-H6*H9/100</f>
        <v>-28.2488069597233</v>
      </c>
      <c r="I10" s="0" t="n">
        <f aca="false">-I6*I9/100</f>
        <v>-29.3787592381123</v>
      </c>
      <c r="J10" s="0" t="n">
        <f aca="false">-J6*J9/100</f>
        <v>-30.4070158114462</v>
      </c>
      <c r="K10" s="0" t="n">
        <f aca="false">-K6*K9/100</f>
        <v>-31.4712613648468</v>
      </c>
      <c r="L10" s="0" t="n">
        <f aca="false">-L6*L9/100</f>
        <v>-32.5727555126165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2744.55174</v>
      </c>
      <c r="D11" s="0" t="n">
        <f aca="false">D8+D10+D24</f>
        <v>3101.9884581</v>
      </c>
      <c r="E11" s="0" t="n">
        <f aca="false">E8+E10+E24</f>
        <v>3421.1272252605</v>
      </c>
      <c r="F11" s="0" t="n">
        <f aca="false">F8+F10+F24</f>
        <v>3675.36005162392</v>
      </c>
      <c r="G11" s="0" t="n">
        <f aca="false">G8+G10+G24</f>
        <v>3884.21095696196</v>
      </c>
      <c r="H11" s="0" t="n">
        <f aca="false">H8+H10+H24</f>
        <v>4039.57939524044</v>
      </c>
      <c r="I11" s="0" t="n">
        <f aca="false">I8+I10+I24</f>
        <v>4201.16257105006</v>
      </c>
      <c r="J11" s="0" t="n">
        <f aca="false">J8+J10+J24</f>
        <v>4348.20326103681</v>
      </c>
      <c r="K11" s="0" t="n">
        <f aca="false">K8+K10+K24</f>
        <v>4500.3903751731</v>
      </c>
      <c r="L11" s="0" t="n">
        <f aca="false">L8+L10+L24</f>
        <v>4657.90403830415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2744.55174</v>
      </c>
      <c r="D13" s="0" t="n">
        <f aca="false">D11+D12</f>
        <v>3101.9884581</v>
      </c>
      <c r="E13" s="0" t="n">
        <f aca="false">E11+E12</f>
        <v>3421.1272252605</v>
      </c>
      <c r="F13" s="0" t="n">
        <f aca="false">F11+F12</f>
        <v>3675.36005162392</v>
      </c>
      <c r="G13" s="0" t="n">
        <f aca="false">G11+G12</f>
        <v>3884.21095696196</v>
      </c>
      <c r="H13" s="0" t="n">
        <f aca="false">H11+H12</f>
        <v>4039.57939524044</v>
      </c>
      <c r="I13" s="0" t="n">
        <f aca="false">I11+I12</f>
        <v>4201.16257105006</v>
      </c>
      <c r="J13" s="0" t="n">
        <f aca="false">J11+J12</f>
        <v>4348.20326103681</v>
      </c>
      <c r="K13" s="0" t="n">
        <f aca="false">K11+K12</f>
        <v>4500.3903751731</v>
      </c>
      <c r="L13" s="0" t="n">
        <f aca="false">L11+L12</f>
        <v>4657.90403830415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16.5</v>
      </c>
      <c r="D14" s="4" t="n">
        <f aca="false">Assumptions!D47</f>
        <v>16.5</v>
      </c>
      <c r="E14" s="4" t="n">
        <f aca="false">Assumptions!E47</f>
        <v>16.5</v>
      </c>
      <c r="F14" s="4" t="n">
        <f aca="false">Assumptions!F47</f>
        <v>16.5</v>
      </c>
      <c r="G14" s="4" t="n">
        <f aca="false">Assumptions!G47</f>
        <v>16.5</v>
      </c>
      <c r="H14" s="4" t="n">
        <f aca="false">Assumptions!H47</f>
        <v>16.5</v>
      </c>
      <c r="I14" s="4" t="n">
        <f aca="false">Assumptions!I47</f>
        <v>16.5</v>
      </c>
      <c r="J14" s="4" t="n">
        <f aca="false">Assumptions!J47</f>
        <v>16.5</v>
      </c>
      <c r="K14" s="4" t="n">
        <f aca="false">Assumptions!K47</f>
        <v>16.5</v>
      </c>
      <c r="L14" s="4" t="n">
        <f aca="false">Assumptions!L47</f>
        <v>16.5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2291.7007029</v>
      </c>
      <c r="D15" s="0" t="n">
        <f aca="false">D13-MAX(0,D13)*D14/100</f>
        <v>2590.1603625135</v>
      </c>
      <c r="E15" s="0" t="n">
        <f aca="false">E13-MAX(0,E13)*E14/100</f>
        <v>2856.64123309252</v>
      </c>
      <c r="F15" s="0" t="n">
        <f aca="false">F13-MAX(0,F13)*F14/100</f>
        <v>3068.92564310598</v>
      </c>
      <c r="G15" s="0" t="n">
        <f aca="false">G13-MAX(0,G13)*G14/100</f>
        <v>3243.31614906324</v>
      </c>
      <c r="H15" s="0" t="n">
        <f aca="false">H13-MAX(0,H13)*H14/100</f>
        <v>3373.04879502577</v>
      </c>
      <c r="I15" s="0" t="n">
        <f aca="false">I13-MAX(0,I13)*I14/100</f>
        <v>3507.9707468268</v>
      </c>
      <c r="J15" s="0" t="n">
        <f aca="false">J13-MAX(0,J13)*J14/100</f>
        <v>3630.74972296574</v>
      </c>
      <c r="K15" s="0" t="n">
        <f aca="false">K13-MAX(0,K13)*K14/100</f>
        <v>3757.82596326954</v>
      </c>
      <c r="L15" s="0" t="n">
        <f aca="false">L13-MAX(0,L13)*L14/100</f>
        <v>3889.34987198397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-435.92556</v>
      </c>
      <c r="D17" s="4" t="n">
        <f aca="false">-D6*Assumptions!D46/100</f>
        <v>-563.144652</v>
      </c>
      <c r="E17" s="4" t="n">
        <f aca="false">-E6*Assumptions!E46/100</f>
        <v>-683.235249039</v>
      </c>
      <c r="F17" s="4" t="n">
        <f aca="false">-F6*Assumptions!F46/100</f>
        <v>-1349.53814625399</v>
      </c>
      <c r="G17" s="4" t="n">
        <f aca="false">-G6*Assumptions!G46/100</f>
        <v>-1393.96997420481</v>
      </c>
      <c r="H17" s="4" t="n">
        <f aca="false">-H6*Assumptions!H46/100</f>
        <v>-1415.83020482133</v>
      </c>
      <c r="I17" s="4" t="n">
        <f aca="false">-I6*Assumptions!I46/100</f>
        <v>-1437.20890192845</v>
      </c>
      <c r="J17" s="4" t="n">
        <f aca="false">-J6*Assumptions!J46/100</f>
        <v>-1451.02279452221</v>
      </c>
      <c r="K17" s="4" t="n">
        <f aca="false">-K6*Assumptions!K46/100</f>
        <v>-1501.80859233049</v>
      </c>
      <c r="L17" s="4" t="n">
        <f aca="false">-L6*Assumptions!L46/100</f>
        <v>-1554.37189306206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1855.7751429</v>
      </c>
      <c r="D19" s="0" t="n">
        <f aca="false">D15+D16+D17+D18</f>
        <v>2027.0157105135</v>
      </c>
      <c r="E19" s="0" t="n">
        <f aca="false">E15+E16+E17+E18</f>
        <v>2173.40598405352</v>
      </c>
      <c r="F19" s="0" t="n">
        <f aca="false">F15+F16+F17+F18</f>
        <v>1719.38749685199</v>
      </c>
      <c r="G19" s="0" t="n">
        <f aca="false">G15+G16+G17+G18</f>
        <v>1849.34617485843</v>
      </c>
      <c r="H19" s="0" t="n">
        <f aca="false">H15+H16+H17+H18</f>
        <v>1957.21859020443</v>
      </c>
      <c r="I19" s="0" t="n">
        <f aca="false">I15+I16+I17+I18</f>
        <v>2070.76184489834</v>
      </c>
      <c r="J19" s="0" t="n">
        <f aca="false">J15+J16+J17+J18</f>
        <v>2179.72692844352</v>
      </c>
      <c r="K19" s="0" t="n">
        <f aca="false">K15+K16+K17+K18</f>
        <v>2256.01737093904</v>
      </c>
      <c r="L19" s="0" t="n">
        <f aca="false">L15+L16+L17+L18</f>
        <v>2334.97797892191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1671.86949810811</v>
      </c>
      <c r="D21" s="0" t="n">
        <f aca="false">D19*D20</f>
        <v>1645.17142319089</v>
      </c>
      <c r="E21" s="0" t="n">
        <f aca="false">E19*E20</f>
        <v>1589.17572360784</v>
      </c>
      <c r="F21" s="0" t="n">
        <f aca="false">F19*F20</f>
        <v>1132.61380073404</v>
      </c>
      <c r="G21" s="0" t="n">
        <f aca="false">G19*G20</f>
        <v>1097.49694350975</v>
      </c>
      <c r="H21" s="0" t="n">
        <f aca="false">H19*H20</f>
        <v>1046.40898347542</v>
      </c>
      <c r="I21" s="0" t="n">
        <f aca="false">I19*I20</f>
        <v>997.399859547044</v>
      </c>
      <c r="J21" s="0" t="n">
        <f aca="false">J19*J20</f>
        <v>945.841268945944</v>
      </c>
      <c r="K21" s="0" t="n">
        <f aca="false">K19*K20</f>
        <v>881.933075098245</v>
      </c>
      <c r="L21" s="0" t="n">
        <f aca="false">L19*L20</f>
        <v>822.343002456471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11830.2535786738</v>
      </c>
    </row>
    <row r="31" customFormat="false" ht="15" hidden="false" customHeight="false" outlineLevel="0" collapsed="false">
      <c r="A31" s="0" t="s">
        <v>131</v>
      </c>
      <c r="B31" s="0" t="n">
        <f aca="false">L19</f>
        <v>2334.97797892191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32222.6961091224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32689.6917049068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32222.6961091224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11348.3334338993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23178.5870125731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26320.5870125731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82.4889902612921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0.88159193114261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156.645886959896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158.308341129934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83.4760600497145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21014.8018102972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57.5723996439404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42.2533771965068</v>
      </c>
      <c r="C4" s="0" t="n">
        <f aca="false">B4/Assumptions!$B$2-1</f>
        <v>-0.0361912135833306</v>
      </c>
      <c r="D4" s="4" t="n">
        <f aca="false">Assumptions!$B$24</f>
        <v>0.25</v>
      </c>
      <c r="E4" s="4" t="n">
        <f aca="false">DCF_Bear!$B$43</f>
        <v>42.9876916649238</v>
      </c>
      <c r="F4" s="4" t="n">
        <f aca="false">DCF_Bear!$B$47</f>
        <v>31.7427865715031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61.4664621147976</v>
      </c>
      <c r="C5" s="0" t="n">
        <f aca="false">B5/Assumptions!$B$2-1</f>
        <v>0.402063460647756</v>
      </c>
      <c r="D5" s="4" t="n">
        <f aca="false">Assumptions!$B$38</f>
        <v>0.5</v>
      </c>
      <c r="E5" s="4" t="n">
        <f aca="false">DCF_Base!$B$43</f>
        <v>62.3712953783859</v>
      </c>
      <c r="F5" s="4" t="n">
        <f aca="false">DCF_Base!$B$47</f>
        <v>43.189929192102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82.4889902612921</v>
      </c>
      <c r="C6" s="0" t="n">
        <f aca="false">B6/Assumptions!$B$2-1</f>
        <v>0.88159193114261</v>
      </c>
      <c r="D6" s="4" t="n">
        <f aca="false">Assumptions!$B$52</f>
        <v>0.25</v>
      </c>
      <c r="E6" s="4" t="n">
        <f aca="false">DCF_Bull!$B$43</f>
        <v>83.4760600497145</v>
      </c>
      <c r="F6" s="4" t="n">
        <f aca="false">DCF_Bull!$B$47</f>
        <v>57.5723996439404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61.9188229218485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62.8015856178525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0.29197620479102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-2047.98220446849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43.9237611499119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70.8514459043612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66.6205004941331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61.4664621147976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55.34452664815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43.189929192102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70.8514459043612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70.8514459043612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70.8514459043612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70.8514459043612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70.8514459043612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64.9246046461298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66.6205004941331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66.6205004941331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66.6205004941331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66.6205004941331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58.2820779207661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59.7806116591339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61.4664621147976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62.7574286799455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62.7574286799455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52.9945689117154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54.1077067868686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55.34452664815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56.7268547284056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58.2819738186931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48.6908063789415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49.5359816739306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50.4656744984187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51.4932297254845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52.6349577555576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2026-10-10T22:44:03Z</dcterms:created>
  <dc:creator>openpyxl</dc:creator>
  <dc:description/>
  <dc:language>en-NZ</dc:language>
  <cp:lastModifiedBy/>
  <dcterms:modified xsi:type="dcterms:W3CDTF">2026-10-10T22:44:03Z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